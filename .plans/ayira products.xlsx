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YIRA MINI MART FINAL MENU - Pr" sheetId="1" r:id="rId5"/>
    <sheet state="visible" name="English Products" sheetId="2" r:id="rId6"/>
    <sheet state="visible" name="Arabic Products" sheetId="3" r:id="rId7"/>
  </sheets>
  <definedNames/>
  <calcPr/>
</workbook>
</file>

<file path=xl/sharedStrings.xml><?xml version="1.0" encoding="utf-8"?>
<sst xmlns="http://schemas.openxmlformats.org/spreadsheetml/2006/main" count="3755" uniqueCount="1743">
  <si>
    <t>Name</t>
  </si>
  <si>
    <t>Category</t>
  </si>
  <si>
    <t>Price</t>
  </si>
  <si>
    <t>Description</t>
  </si>
  <si>
    <t>Size</t>
  </si>
  <si>
    <t>Color</t>
  </si>
  <si>
    <t>Tag</t>
  </si>
  <si>
    <t>Brand</t>
  </si>
  <si>
    <t>Stock</t>
  </si>
  <si>
    <t>Availability</t>
  </si>
  <si>
    <t>Thumbnail</t>
  </si>
  <si>
    <t>Image1</t>
  </si>
  <si>
    <t>Image2</t>
  </si>
  <si>
    <t>Mountain Dew 2.25L – ماونتن ديو 2.25 لتر</t>
  </si>
  <si>
    <t>Carbonated Soft Drinks – المشروبات الغازية</t>
  </si>
  <si>
    <t>استمتع بـ ماونتن ديو،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</si>
  <si>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Show</t>
  </si>
  <si>
    <t>Pepsi 1.25L – بيبسي 1.25 لتر</t>
  </si>
  <si>
    <t>استمتع بـ بيبسي،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</si>
  <si>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Mountain Dew 1.25L – ماونتن ديو 1.25 لتر</t>
  </si>
  <si>
    <t>Mountain Dew 330ml – ماونتن ديو 330 مل</t>
  </si>
  <si>
    <t>Shani Can 330ml – شاني – علبة 330 مل</t>
  </si>
  <si>
    <t>استمتع بـ شاني،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</si>
  <si>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7Up 330ml – سفن أب 330 مل</t>
  </si>
  <si>
    <t>استمتع بـ سفن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</si>
  <si>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Mirinda Orange 1.25L – ميرندا برتقال 1.25 لتر</t>
  </si>
  <si>
    <t>استمتع بـ ميرندا،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</si>
  <si>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Red Bull Sugar Free 250ml – ريد بول خالي من السكر 250 مل</t>
  </si>
  <si>
    <t>Energy &amp; Sports Drinks – مشروبات الطاقة والرياضة</t>
  </si>
  <si>
    <t>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t>
  </si>
  <si>
    <t>Red Bull Sea Blue Edition 250ml – ريد بُل سي بلو إديشن 250 مل</t>
  </si>
  <si>
    <t>Red Bull White Edition Coconut Berry 250ml – ريد بُل وايت إديشن بنكهة جوز الهند والتوت 250 مل</t>
  </si>
  <si>
    <t>Red Bull Energy Drink 250ml – مشروب الطاقة ريد بُل 250 مل</t>
  </si>
  <si>
    <t>Coca-Cola Sleek Can 330ml – كوكاكولا – علبة نحيفة 330 مل</t>
  </si>
  <si>
    <t>استمتع بـ كوكاكولا،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</si>
  <si>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7Up 150ml – سفن أب 150 مل</t>
  </si>
  <si>
    <t>Mirinda Citrus 330ml – ميرندا الحمضيات 330 مل</t>
  </si>
  <si>
    <t>Mirinda Apple 330ml – ميرندا تفاح 330 مل</t>
  </si>
  <si>
    <t>Double Up Fresh Breeze Mojito 350ml – موهيتو دبل أب نسيم منعش 350 مل</t>
  </si>
  <si>
    <t>استمتع بـ دبل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</si>
  <si>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Out of Stock</t>
  </si>
  <si>
    <t>Double Up Fresh Breeze Red Apple 350ml – دبل أب نسيم منعش بنكهة التفاح الأحمر 350 مل</t>
  </si>
  <si>
    <t>CARbonated Soft Drinks – المشروبات الغازية</t>
  </si>
  <si>
    <t>RAYYAN Natural Water 330ml × 12 – مياه ريان طبيعية 330 مل × 12</t>
  </si>
  <si>
    <t>Water – المياه</t>
  </si>
  <si>
    <t>اشرب ريان،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</si>
  <si>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 xml:space="preserve">Rayyan Natural Water 1.5L x 6 مياه ريان طبيعية 1.5 لتر × 6 </t>
  </si>
  <si>
    <t>Qatar Oasis Natural Water 1.5L x 6 مياه قطر واحة الطبيعية – ١.٥ لتر × ٦ زجاجات</t>
  </si>
  <si>
    <t>اشرب Qatar Oasis Natural Water 1.5L x 6 مياه قطر واحة الطبيعية – ١.٥ لتر × ٦ زجاجات،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</si>
  <si>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Amwaj Mineral Water 1.5L x 6 مياه أمواج المعدنية 1.5 لتر × 6</t>
  </si>
  <si>
    <t>اشرب Amwaj Mineral Water 1.5L x 6 مياه أمواج المعدنية 1.5 لتر × 6،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</si>
  <si>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Hide</t>
  </si>
  <si>
    <t>Amwaj Mineral Water 330ml x 30 مياه أمواج المع30 مل × 30</t>
  </si>
  <si>
    <t>اشرب Amwaj Mineral Water 330ml x 300 مياه أمواج المعدنية 330 مل × 30،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</si>
  <si>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Rayyan Mineral Water 330ml x 30 مياه ريان المعدنية 330 مل × 30</t>
  </si>
  <si>
    <t>Rayyan Mineral Water 200ml x 30 مياه ريان المعدنية 200 مل × 30</t>
  </si>
  <si>
    <t>Rayyan Natural Water 330ml x 12 مياه ريان طبيعية 330 مل × 12</t>
  </si>
  <si>
    <t>Rayyan Alkaline Mineral Water 1.5L x 6 مياه ريان القلوية المعدنية 1.5 لتر × 6</t>
  </si>
  <si>
    <t>Arwa Water 12pcs</t>
  </si>
  <si>
    <t>Pran Basil Seed Lychee 250 ml بران بذور الريحان بنكهة الليتشي بحجم 250 مل</t>
  </si>
  <si>
    <t>Juices &amp; Fruit Drinks – العصائر ومشروبات الفاكهة</t>
  </si>
  <si>
    <t>اكتشف Pran Basil Seed Lychee 250 ml بران بذور الريحان بنكهة الليتشي بحجم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</si>
  <si>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KDD Cocktail Fruit Drink 250ml – مشروب كوكتيل فواكه كي دي دي 250 مل</t>
  </si>
  <si>
    <t>استمتع بـ كي دي دي،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</si>
  <si>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KDD Cherry Drink 250 ml – كي دي دي كرز مشروب 250 مل</t>
  </si>
  <si>
    <t>KDD Guava Nectar 250 ml – كي دي دي جوافة نكتار 250 مل</t>
  </si>
  <si>
    <t>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</si>
  <si>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KDD Mango Nectar 250 ml – كي دي دي مانجو نكتار 250 مل</t>
  </si>
  <si>
    <t>KDD 100% Pineapple Juice 250 ml – كي دي دي 100% أناناس عصير 250 مل</t>
  </si>
  <si>
    <t>KDD 100% Apple Juice 250 ml – كي دي دي 100% تفاح عصير 250 مل</t>
  </si>
  <si>
    <t>KDD 100% Orange Juice 250 ml – كي دي دي 100% برتقال عصير 250 مل</t>
  </si>
  <si>
    <t>KDD Peach Nectar 250 ml – كي دي دي خوخ نكتار 250 مل</t>
  </si>
  <si>
    <t>KDD Cocktail Fruit Drink 180 ml – كي دي دي Cocktail Fruit مشروب 180 مل</t>
  </si>
  <si>
    <t>KDD 100% Orange Juice 180 ml – كي دي دي 100% برتقال عصير 180 مل</t>
  </si>
  <si>
    <t>KDD Guava Nectar 180 ml – كي دي دي جوافة نكتار 180 مل</t>
  </si>
  <si>
    <t>KDD 100% Apple Juice 180 ml – كي دي دي 100% تفاح عصير 180 مل</t>
  </si>
  <si>
    <t>KDD Chocolate Milk Enriched with Vitamins A &amp; D 125 ml – كي دي دي شوكولاتة حليب مدعم with فيتامينات A &amp; D 125 مل</t>
  </si>
  <si>
    <t>دلّل حواسك مع كي دي دي،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</si>
  <si>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KDD Apple Juice 125 ml – كي دي دي تفاح عصير 125 مل</t>
  </si>
  <si>
    <t>KDD Mango Nectar 125 ml – كي دي دي مانجو نكتار 125 مل</t>
  </si>
  <si>
    <t>KDD Cocktail Fruit Drink 125 ml – كي دي دي Cocktail Fruit مشروب 125 مل</t>
  </si>
  <si>
    <t>KDD Orange with Grape Juice 125 ml – كي دي دي برتقال with عنب عصير 125 مل</t>
  </si>
  <si>
    <t>Double Up Cola 200 ml – دبل أب Cola 200 مل</t>
  </si>
  <si>
    <t>Double Up Lemon 200 ml – دبل أب ليمون 200 مل</t>
  </si>
  <si>
    <t>Guava Nectar (Contains 35% Juice) 250 ml – جوافة نكتار (Contains 35% Juice) 250 مل</t>
  </si>
  <si>
    <t>احرص على صحتك مع Guava Nectar (Contains 35% Juice) 250 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</si>
  <si>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Pomegranate Nectar 250ml – نكتار الرمان بحجم 250 مل</t>
  </si>
  <si>
    <t>احرص على صحتك مع Pomegranate Nectar 250ml – نكتار الرمان بحجم 250 مل،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</si>
  <si>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Mango Nectar 250ml – نكتار المانجو بحجم 250 مل</t>
  </si>
  <si>
    <t>احرص على صحتك مع Mango Nectar 250ml – نكتار المانجو بحجم 250 مل،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</si>
  <si>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Vimto Blue Raspberry Fruit Flavoured Drink 250ml – مشروب فاكهة فيمتو بنكهة التوت الأزرق 250 مل</t>
  </si>
  <si>
    <t>اكتشف Vimto Blue Raspberry Fruit Flavoured Drink 250ml – مشروب فاكهة فيمتو بنكهة التوت الأزرق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</si>
  <si>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Vimto Fruit Flavoured Drink 250ml – مشروب فاكهة فيمتو 250 مل</t>
  </si>
  <si>
    <t>اكتشف Vimto Fruit Flavoured Drink 250ml – مشروب فاكهة فيمتو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</si>
  <si>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Vimto Strawberry Fruit Flavoured Drink 250ml – مشروب فاكهة فيمتو بنكهة الفراولة 250 مل</t>
  </si>
  <si>
    <t>اكتشف Vimto Strawberry Fruit Flavoured Drink 250ml – مشروب فاكهة فيمتو بنكهة الفراولة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</si>
  <si>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Best Apple Drink 250ml – مشروب التفاح بست 250 مل</t>
  </si>
  <si>
    <t>اكتشف Best Apple Drink 250ml – مشروب التفاح بست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</si>
  <si>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Pran Frooto Mango Juice 200ml – عصير مانجو بران فروتو 200 مل</t>
  </si>
  <si>
    <t>احرص على صحتك مع Pran Frooto Mango Juice 200ml – عصير مانجو بران فروتو 200 مل،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</si>
  <si>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Capri-Sun Mixed Fruit 200ml – كابري صن فواكه مشكلة 200 مل</t>
  </si>
  <si>
    <t>اكتشف Capri-Sun Mixed Fruit 200ml – كابري صن فواكه مشكلة 200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</si>
  <si>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Capri-Sun Mango 200ml – كابري صن مانجو 200 مل</t>
  </si>
  <si>
    <t>اكتشف Capri-Sun Mango 200ml – كابري صن مانجو 200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</si>
  <si>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Vitamilk Strawberry 300ml – فيتاميلك بنكهة الفراولة 300 مل</t>
  </si>
  <si>
    <t>اكتشف Vitamilk Strawberry 300ml – فيتاميلك بنكهة الفراولة 300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</si>
  <si>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Vitamilk Double Choco Shake 300 ml فيتامينلك دبل شوكو شيك بحجم 300 مل</t>
  </si>
  <si>
    <t>اكتشف Vitamilk Double Choco Shake 300 ml فيتامينلك دبل شوكو شيك بحجم 300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</si>
  <si>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Vitamilk Energy 300 ml فيتامينلك إنرجي بحجم 300 مل</t>
  </si>
  <si>
    <t>اكتشف Vitamilk Energy 300 ml فيتامينلك إنرجي بحجم 300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</si>
  <si>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Double Up Orange 1 Litre دبل أب برتقال سعة 1 لتر</t>
  </si>
  <si>
    <t>Double Up Soda Water 500 ml مياه صودا دبل أب بحجم 500 مل</t>
  </si>
  <si>
    <t>اشرب دبل أب،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</si>
  <si>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High Speed Drink 250 ml مشروب هاي سبيد بحجم 250 مل</t>
  </si>
  <si>
    <t>اكتشف High Speed Drink 250 ml مشروب هاي سبيد بحجم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</si>
  <si>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Double Up Orange 200 ml دبل أب برتقال بحجم 200 مل</t>
  </si>
  <si>
    <t>Double Up Red Berries 200 ml دبل أب توت أحمر بحجم 200 مل</t>
  </si>
  <si>
    <t>Pran Litchi Drink 250 ml مشروب الليتشي من بران بحجم 250 مل</t>
  </si>
  <si>
    <t>اكتشف Pran Litchi Drink 250 ml مشروب الليتشي من بران بحجم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</si>
  <si>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Shami Strawberry Drink 200 ml مشروب الفراولة شامي بحجم 200 مل</t>
  </si>
  <si>
    <t>اكتشف Shami Strawberry Drink 200 ml مشروب الفراولة شامي بحجم 200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</si>
  <si>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Al Rabie Original Orange Drink 200ml – الربيع أصلي برتقال مشروب 200 مل</t>
  </si>
  <si>
    <t>اكتشف Al Rabie Original Orange Drink 200ml،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</si>
  <si>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Al Rabie Original Orange Drink 250ml – الربيع أصلي برتقال مشروب 250 مل</t>
  </si>
  <si>
    <t>اكتشف Al Rabie Original Orange Drink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</si>
  <si>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Royal Tiger Energy Drink 250ml – Royal Tiger مشروب الطاقة 250 مل</t>
  </si>
  <si>
    <t>اشحن طاقتك مع Royal Tiger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t>
  </si>
  <si>
    <t>Power X Carbonated Drink 250ml – Power X Carbonated مشروب 250 مل</t>
  </si>
  <si>
    <t>استمتع بـ Power X Carbonated Drink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</si>
  <si>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Pran Frooto Mango Juice 500ml – Pran Frooto مانجو عصير 500 مل</t>
  </si>
  <si>
    <t>احرص على صحتك مع Pran Frooto Mango Juice 500ml،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</si>
  <si>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Double Up Cola 1 Litre – دبل أب Cola 1 Litre</t>
  </si>
  <si>
    <t>Fruitoo Original Taste Berries Mixed Flavour 1 Litre – Fruitoo أصلي Taste Berries مشكل Flavour 1 Litre</t>
  </si>
  <si>
    <t>اكتشف Fruitoo Original Taste Berries Mixed Flavour 1 Litre،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</si>
  <si>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Oshee Isotonic Drink 750ml – Oshee Isotonic مشروب 750 مل</t>
  </si>
  <si>
    <t>اكتشف Oshee Isotonic Drink 750ml،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</si>
  <si>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Pran Frooto Mango Juice 1 Litre – Pran Frooto مانجو عصير 1 Litre</t>
  </si>
  <si>
    <t>احرص على صحتك مع Pran Frooto Mango Juice 1 Litre،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</si>
  <si>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Mizo Orange &amp; Carrot Drink 1.35 Litre – Mizo برتقال &amp; Carrot مشروب 1.35 Litre</t>
  </si>
  <si>
    <t>اكتشف Mizo Orange &amp; Carrot Drink 1.35 Litre،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</si>
  <si>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Extra Fizz 7UP Zero Sugar 330ml – Extra Fizz سفن أب زيرو سكر 330 مل</t>
  </si>
  <si>
    <t>استمتع بـ إكسترا،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</si>
  <si>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Pepsi 330ml – بيبسي 330 مل</t>
  </si>
  <si>
    <t>Mirinda Orange 330ml – ميرندا برتقال 330 مل</t>
  </si>
  <si>
    <t>Mirinda Strawberry 330ml – ميرندا فراولة 330 مل</t>
  </si>
  <si>
    <t>Evervess Club Soda 330ml – Evervess Club Soda 330 مل</t>
  </si>
  <si>
    <t>استمتع بـ Evervess Club Soda 330ml،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</si>
  <si>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Pepsi Zero Sugar 330ml – بيبسي زيرو سكر 330 مل</t>
  </si>
  <si>
    <t>Shani Fruit Flavoured Drink 330ml – شاني Fruit Flavoured مشروب 330 مل</t>
  </si>
  <si>
    <t>Mountain Dew Zero Sugar 330ml – ماونتن ديو زيرو سكر 330 مل</t>
  </si>
  <si>
    <t>Rayyan 40 Years Together 250ml – ريان 40 Years Together 250 مل</t>
  </si>
  <si>
    <t>Perrier Natural Sparkling Water 200ml – Perrier طبيعي غازي مياه 200 مل</t>
  </si>
  <si>
    <t>اشرب Perrier Natural Sparkling Water 200ml،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</si>
  <si>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Barbican Strawberry Flavour 250ml – Barbican فراولة Flavour 250 مل</t>
  </si>
  <si>
    <t>اكتشف Barbican Strawberry Flavour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</si>
  <si>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Barbican Pomegranate Flavour 250ml – Barbican Pomegranate Flavour 250 مل</t>
  </si>
  <si>
    <t>اكتشف Barbican Pomegranate Flavour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</si>
  <si>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Barbican Apple Flavour 250ml – Barbican تفاح Flavour 250 مل</t>
  </si>
  <si>
    <t>اكتشف Barbican Apple Flavour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</si>
  <si>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Barbican Classic Malt 250ml – Barbican كلاسيك Malt 250 مل</t>
  </si>
  <si>
    <t>اكتشف Barbican Classic Malt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</si>
  <si>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Double Cola 250ml – Double Cola 250 مل</t>
  </si>
  <si>
    <t>استمتع بـ Double Cola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</si>
  <si>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Flash Carbonated Soft Drink 250ml – Flash Carbonated Soft مشروب 250 مل</t>
  </si>
  <si>
    <t>استمتع بـ Flash Carbonated Soft Drink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</si>
  <si>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Freez Mix Blue Hawaii Tropical Fruit Carbonated Drink 275ml – Freez Mix Blue Hawaii استوائي Fruit Carbonated مشروب 275 مل</t>
  </si>
  <si>
    <t>استمتع بـ Freez Mix Blue Hawaii Tropical Fruit Carbonated Drink 275ml،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</si>
  <si>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Freez Mix Strawberry Carbonated Drink 275ml – Freez Mix فراولة Carbonated مشروب 275 مل</t>
  </si>
  <si>
    <t>استمتع بـ Freez Mix Strawberry Carbonated Drink 275ml،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</si>
  <si>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Freez Mix Lemon &amp; Mint Carbonated Drink 275ml – Freez Mix ليمون &amp; نعناع Carbonated مشروب 275 مل</t>
  </si>
  <si>
    <t>أضف لحظة حلوة إلى يومك مع Freez Mix Lemon &amp; Mint Carbonated Drink 275ml،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</si>
  <si>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Freez Mix Pineapple &amp; Coconut Carbonated Drink 275ml – Freez Mix أناناس &amp; جوز الهند Carbonated مشروب 275 مل</t>
  </si>
  <si>
    <t>اختر Freez Mix Pineapple &amp; Coconut Carbonated Drink 275ml،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</si>
  <si>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Freez Mix Carbonated Flavored Drink Lychee 275ml – Freez Mix Carbonated Flavored مشروب Lychee 275 مل</t>
  </si>
  <si>
    <t>استمتع بـ Freez Mix Carbonated Flavored Drink Lychee 275ml،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</si>
  <si>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Freez Mix Carbonated Flavored Drink Pomegranate Mix 275ml – Freez Mix Carbonated Flavored مشروب Pomegranate Mix 275 مل</t>
  </si>
  <si>
    <t>استمتع بـ Freez Mix Carbonated Flavored Drink Pomegranate Mix 275ml،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</si>
  <si>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Barbican English Flavour 330ml – Barbican English Flavour 330 مل</t>
  </si>
  <si>
    <t>اكتشف Barbican English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</si>
  <si>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Barbican Strawberry Flavour 330ml – Barbican فراولة Flavour 330 مل</t>
  </si>
  <si>
    <t>اكتشف Barbican Strawberry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</si>
  <si>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Barbican Pomegranate Flavour 330ml – Barbican Pomegranate Flavour 330 مل</t>
  </si>
  <si>
    <t>اكتشف Barbican Pomegranate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</si>
  <si>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Barbican Apple Flavour 330ml – Barbican تفاح Flavour 330 مل</t>
  </si>
  <si>
    <t>اكتشف Barbican Apple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</si>
  <si>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Barbican Peach Flavour 330ml – Barbican خوخ Flavour 330 مل</t>
  </si>
  <si>
    <t>اكتشف Barbican Peach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</si>
  <si>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Barbican Pineapple Flavour 330ml – Barbican أناناس Flavour 330 مل</t>
  </si>
  <si>
    <t>اكتشف Barbican Pineapple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</si>
  <si>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Moussy Peach Flavour 330ml – Moussy خوخ Flavour 330 مل</t>
  </si>
  <si>
    <t>اكتشف Moussy Peach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</si>
  <si>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Moussy Raspberry Flavour 330ml – Moussy Raspberry Flavour 330 مل</t>
  </si>
  <si>
    <t>اكتشف Moussy Raspberry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</si>
  <si>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Moussy Strawberry Flavour 330ml – Moussy فراولة Flavour 330 مل</t>
  </si>
  <si>
    <t>اكتشف Moussy Strawberry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</si>
  <si>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Moussy Apple Flavour 330ml – Moussy تفاح Flavour 330 مل</t>
  </si>
  <si>
    <t>اكتشف Moussy Apple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</si>
  <si>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Moussy Lemon Mint Flavour 330ml – Moussy ليمون نعناع Flavour 330 مل</t>
  </si>
  <si>
    <t>أضف لحظة حلوة إلى يومك مع Moussy Lemon Mint Flavour 330ml،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</si>
  <si>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Moussy Classic Flavour 330ml – Moussy كلاسيك Flavour 330 مل</t>
  </si>
  <si>
    <t>اكتشف Moussy Classic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</si>
  <si>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Moussy Ice Berry Flavour 330ml – Moussy Ice Berry Flavour 330 مل</t>
  </si>
  <si>
    <t>اكتشف Moussy Ice Berry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</si>
  <si>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Kinza Citrus 250ml – Kinza Citrus 250 مل</t>
  </si>
  <si>
    <t>اكتشف Kinza Citrus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</si>
  <si>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Kinza Pomegranate 250ml – Kinza Pomegranate 250 مل</t>
  </si>
  <si>
    <t>اكتشف Kinza Pomegranate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</si>
  <si>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Kinza Orange 250ml – Kinza برتقال 250 مل</t>
  </si>
  <si>
    <t>اكتشف Kinza Orange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</si>
  <si>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Kinza Cola 250ml – Kinza Cola 250 مل</t>
  </si>
  <si>
    <t>استمتع بـ Kinza Cola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</si>
  <si>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Kinza Lemon 250ml – Kinza ليمون 250 مل</t>
  </si>
  <si>
    <t>اكتشف Kinza Lemon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</si>
  <si>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Kinza Blackcurrant 250ml – Kinza Blackcurrant 250 مل</t>
  </si>
  <si>
    <t>اكتشف Kinza Blackcurrant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</si>
  <si>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Kinza Diet Cola 250ml – Kinza دايت Cola 250 مل</t>
  </si>
  <si>
    <t>استمتع بـ Kinza Diet Cola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</si>
  <si>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Kinza Lemon Zero Sugar 250ml – Kinza ليمون زيرو سكر 250 مل</t>
  </si>
  <si>
    <t>اكتشف Kinza Lemon Zero Sugar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</si>
  <si>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Fizzy Vimto Blue Raspberry 250ml – Fizzy فيمتو Blue Raspberry 250 مل</t>
  </si>
  <si>
    <t>اكتشف Fizzy Vimto Blue Raspberry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</si>
  <si>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Nescafé Spanish Latte 225ml – نسكافيه Spanish Latte 225 مل</t>
  </si>
  <si>
    <t>اكتشف Nescafé Spanish Latte 225ml،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</si>
  <si>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Nescafé Mocha 225ml – نسكافيه Mocha 225 مل</t>
  </si>
  <si>
    <t>اكتشف Nescafé Mocha 225ml،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</si>
  <si>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Walkers Vitamin Drink 150ml – Walkers فيتامين مشروب 150 مل</t>
  </si>
  <si>
    <t>اكتشف Walkers Vitamin Drink 150ml،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</si>
  <si>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Oronamin C Drink 120ml – Oronamin C مشروب 120 مل</t>
  </si>
  <si>
    <t>اكتشف Oronamin C Drink 120ml،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</si>
  <si>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Rita Passion 240ml – Rita Passion 240 مل</t>
  </si>
  <si>
    <t>اكتشف Rita Passion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</si>
  <si>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Rita Mojito 240ml – Rita موهيتو 240 مل</t>
  </si>
  <si>
    <t>استمتع بـ Rita Mojito 240ml،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</si>
  <si>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Rita Red Zero Sugar 240ml – Rita Red زيرو سكر 240 مل</t>
  </si>
  <si>
    <t>اكتشف Rita Red Zero Sugar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</si>
  <si>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Rita Blue 240ml – Rita Blue 240 مل</t>
  </si>
  <si>
    <t>اكتشف Rita Blue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</si>
  <si>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Rita Red 240ml – Rita Red 240 مل</t>
  </si>
  <si>
    <t>اكتشف Rita Red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</si>
  <si>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Rita Berry 240ml – Rita Berry 240 مل</t>
  </si>
  <si>
    <t>اكتشف Rita Berry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</si>
  <si>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Rita Pink 240ml – Rita Pink 240 مل</t>
  </si>
  <si>
    <t>اكتشف Rita Pink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</si>
  <si>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Rita Mixed Berries Sparkling Drink 240ml – Rita مشكل Berries غازي مشروب 240 مل</t>
  </si>
  <si>
    <t>اكتشف Rita Mixed Berries Sparkling Drink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</si>
  <si>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Power Boss Energy Drink 250ml – Power Boss مشروب الطاقة 250 مل</t>
  </si>
  <si>
    <t>اشحن طاقتك مع Power Boss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t>
  </si>
  <si>
    <t>Power Red Energy Drink 250ml – Power Red مشروب الطاقة 250 مل</t>
  </si>
  <si>
    <t>اشحن طاقتك مع Power Red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t>
  </si>
  <si>
    <t>Boom Boom Energy Drink 250ml – Boom Boom مشروب الطاقة 250 مل</t>
  </si>
  <si>
    <t>ENErgy &amp; Sports Drinks – مشروبات الطاقة والرياضة</t>
  </si>
  <si>
    <t>اشحن طاقتك مع Boom Boom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t>
  </si>
  <si>
    <t>Code Red Energy Drink 250ml – Code Red مشروب الطاقة 250 مل</t>
  </si>
  <si>
    <t>اشحن طاقتك مع Code Red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t>
  </si>
  <si>
    <t>Speed Energy Drink 250ml – Speed مشروب الطاقة 250 مل</t>
  </si>
  <si>
    <t>اشحن طاقتك مع Speed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t>
  </si>
  <si>
    <t>Rita Red Sparkling Drink 275ml – Rita Red غازي مشروب 275 مل</t>
  </si>
  <si>
    <t>اكتشف Rita Red Sparkling Drink 275ml،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</si>
  <si>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Rita Lemon &amp; Mint Sparkling Drink 275ml – Rita ليمون &amp; نعناع غازي مشروب 275 مل</t>
  </si>
  <si>
    <t>أضف لحظة حلوة إلى يومك مع Rita Lemon &amp; Mint Sparkling Drink 275ml،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</si>
  <si>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Rita Blue Sparkling Drink 275ml – Rita Blue غازي مشروب 275 مل</t>
  </si>
  <si>
    <t>اكتشف Rita Blue Sparkling Drink 275ml،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</si>
  <si>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Monster Energy Drink 250ml – مونستر مشروب الطاقة 250 مل</t>
  </si>
  <si>
    <t>اشحن طاقتك مع مونستر،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t>
  </si>
  <si>
    <t>Red Bull Apricot Strawberry Energy Drink 250ml – ريد بول Apricot فراولة مشروب الطاقة 250 مل</t>
  </si>
  <si>
    <t>Shaheem Energy Drink 250ml – Shaheem مشروب الطاقة 250 مل</t>
  </si>
  <si>
    <t>اشحن طاقتك مع Shaheem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t>
  </si>
  <si>
    <t>Pran Mango Fruit Drink 250ml – Pran مانجو Fruit مشروب 250 مل</t>
  </si>
  <si>
    <t>اكتشف Pran Mango Fruit Drink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</si>
  <si>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Saba Orange Drink Float 240ml – Saba برتقال مشروب Float 240 مل</t>
  </si>
  <si>
    <t>اكتشف Saba Orange Drink Float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</si>
  <si>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Saba Peach Drink Float 240ml – Saba خوخ مشروب Float 240 مل</t>
  </si>
  <si>
    <t>اكتشف Saba Peach Drink Float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</si>
  <si>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Saba Pineapple Drink Float 240ml – Saba أناناس مشروب Float 240 مل</t>
  </si>
  <si>
    <t>اكتشف Saba Pineapple Drink Float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</si>
  <si>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Saba Strawberry &amp; Banana Drink Float 240ml – Saba فراولة &amp; Banana مشروب Float 240 مل</t>
  </si>
  <si>
    <t>اكتشف Saba Strawberry &amp; Banana Drink Float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</si>
  <si>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Almarai Mango Juice 200ml – المراعي مانجو عصير 200 مل</t>
  </si>
  <si>
    <t>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</si>
  <si>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Almarai Mixed Orange Juice 200ml – المراعي مشكل برتقال عصير 200 مل</t>
  </si>
  <si>
    <t>Almarai Lemon &amp; Mint Juice 200ml – المراعي ليمون &amp; نعناع عصير 200 مل</t>
  </si>
  <si>
    <t>Almarai Mixed Berry Juice 200ml – المراعي مشكل Berry عصير 200 مل</t>
  </si>
  <si>
    <t>Almarai Mixed Apple Juice 200ml – المراعي مشكل تفاح عصير 200 مل</t>
  </si>
  <si>
    <t>Almarai Mixed Fruit Juice 200ml – المراعي مشكل Fruit عصير 200 مل</t>
  </si>
  <si>
    <t>Ion Supply Drink Pocari Sweat 300ml – Ion Supply مشروب Pocari Sweat 300 مل</t>
  </si>
  <si>
    <t>اكتشف Ion Supply Drink Pocari Sweat 300ml،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</si>
  <si>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Naba Coconut Water with Pulp 330ml – Naba جوز الهند مياه with Pulp 330 مل</t>
  </si>
  <si>
    <t>اشرب Naba Coconut Water with Pulp 330ml،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</si>
  <si>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Non-Alcoholic Malt Beverage Effs Original 330ml – Non-Alcoholic Malt Beverage Effs أصلي 330 مل</t>
  </si>
  <si>
    <t>اكتشف Non-Alcoholic Malt Beverage Effs Original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</si>
  <si>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Sprite Lemon Lime Flavoured 350ml – سبرايت ليمون Lime Flavoured 350 مل</t>
  </si>
  <si>
    <t>استمتع بـ سبرايت،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</si>
  <si>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Coca-Cola Original Taste 350ml – كوكاكولا أصلي Taste 350 مل</t>
  </si>
  <si>
    <t>Coca-Cola Zero Sugar 350ml – كوكاكولا زيرو سكر 350 مل</t>
  </si>
  <si>
    <t>Sprite Lemon &amp; Mint Flavoured 350ml – سبرايت ليمون &amp; نعناع Flavoured 350 مل</t>
  </si>
  <si>
    <t>أضف لحظة حلوة إلى يومك مع سبرايت،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</si>
  <si>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Fanta Citrus 330ml – فانتا Citrus 330 مل</t>
  </si>
  <si>
    <t>استمتع بـ فانتا،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</si>
  <si>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Fanta Orange 330ml – فانتا برتقال 330 مل</t>
  </si>
  <si>
    <t>Fanta Strawberry 330ml – فانتا فراولة 330 مل</t>
  </si>
  <si>
    <t>Thums Up 330ml – Thums Up 330 مل</t>
  </si>
  <si>
    <t>اكتشف Thums Up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</si>
  <si>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Sprite Zero Calories 330ml – سبرايت زيرو Calories 330 مل</t>
  </si>
  <si>
    <t>Coca-Cola Light 330ml – كوكاكولا لايت 330 مل</t>
  </si>
  <si>
    <t>Schweppes Tonic Water 250ml – Schweppes Tonic مياه 250 مل</t>
  </si>
  <si>
    <t>اشرب Schweppes Tonic Water 250ml،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</si>
  <si>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Schweppes Ginger Ale 250ml – Schweppes Ginger Ale 250 مل</t>
  </si>
  <si>
    <t>اكتشف Schweppes Ginger Ale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</si>
  <si>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Coca-Cola Original Taste 330ml – كوكاكولا أصلي Taste 330 مل</t>
  </si>
  <si>
    <t>Coca-Cola Original Taste 250ml – كوكاكولا أصلي Taste 250 مل</t>
  </si>
  <si>
    <t>Coca-Cola Original Taste 2.25L – كوكاكولا أصلي Taste 2.25 لتر</t>
  </si>
  <si>
    <t>Sprite Lemon Lime Flavoured 2.25L – سبرايت ليمون Lime Flavoured 2.25 لتر</t>
  </si>
  <si>
    <t>Lipton Peach Ice Tea 320ml – ليبتون خوخ Ice شاي 320 مل</t>
  </si>
  <si>
    <t>اكتشف ليبتون،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</si>
  <si>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Lipton Zero Sugar Peach Ice Tea 320ml – ليبتون زيرو سكر خوخ Ice شاي 320 مل</t>
  </si>
  <si>
    <t>7UP Refreshing Lemon 150ml – سفن أب Refreshing ليمون 150 مل</t>
  </si>
  <si>
    <t>Pepsi Great Taste Less Sugar 150ml – بيبسي Great Taste Less سكر 150 مل</t>
  </si>
  <si>
    <t>Mirinda Orange 150ml – ميرندا برتقال 150 مل</t>
  </si>
  <si>
    <t>Mountain Dew 150ml – ماونتن ديو 150 مل</t>
  </si>
  <si>
    <t>Spring Water 250ml – Spring مياه 250 مل</t>
  </si>
  <si>
    <t>اشرب Spring Water 250ml،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</si>
  <si>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Canada Dry Club Soda 330ml – Canada Dry Club Soda 330 مل</t>
  </si>
  <si>
    <t>استمتع بـ ندى،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</si>
  <si>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7UP Lemon &amp; Lime Taste 1.25L – سفن أب ليمون &amp; Lime Taste 1.25 لتر</t>
  </si>
  <si>
    <t>Coca-Cola Zero Calories 1.25L – كوكاكولا زيرو Calories 1.25 لتر</t>
  </si>
  <si>
    <t>Pepsi 2.25L – بيبسي 2.25 لتر</t>
  </si>
  <si>
    <t>7UP Lemon &amp; Lime Bubbly 2.25L – سفن أب ليمون &amp; Lime Bubbly 2.25 لتر</t>
  </si>
  <si>
    <t>Mirinda Orange 2.25L – ميرندا برتقال 2.25 لتر</t>
  </si>
  <si>
    <t>Red Bull The Blue Edition (Blueberry) 250ml – ريد بول The الإصدار الأزرق (Blueberry) 250 مل</t>
  </si>
  <si>
    <t>Red Bull The Red Edition (Watermelon) 250ml – ريد بول The الإصدار الأحمر (Watermelon) 250 مل</t>
  </si>
  <si>
    <t>Red Bull The Sea Blue Edition (Cherry &amp; Forest Fruits) 250ml – ريد بول The Sea الإصدار الأزرق (Cherry &amp; Forest Fruits) 250 مل</t>
  </si>
  <si>
    <t>Red Bull The Apricot Edition (Apricot &amp; Strawberry) 250ml – ريد بول The Apricot Edition (Apricot &amp; Strawberry) 250 مل</t>
  </si>
  <si>
    <t>Red Bull Energy Drink 250ml – ريد بول مشروب الطاقة 250 مل</t>
  </si>
  <si>
    <t>Red Bull The White Edition (Coconut &amp; Berry) 250ml – ريد بول The الإصدار الأبيض (Coconut &amp; Berry) 250 مل</t>
  </si>
  <si>
    <t>Red Bull Sugarfree 250ml – ريد بول Sugarfree 250 مل</t>
  </si>
  <si>
    <t>Baladna Orange Nectar Refreshing Delight 200ml – بلدنا برتقال نكتار Refreshing Delight 200 مل</t>
  </si>
  <si>
    <t>احرص على صحتك مع Baladna Orange Nectar Refreshing Delight 200ml،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</si>
  <si>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Baladna Mango Nectar Tropical Indulgence 200ml – بلدنا مانجو نكتار استوائي Indulgence 200 مل</t>
  </si>
  <si>
    <t>احرص على صحتك مع Baladna Mango Nectar Tropical Indulgence 200ml،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</si>
  <si>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Baladna Apple Nectar 1.5L – بلدنا تفاح نكتار 1.5 لتر</t>
  </si>
  <si>
    <t>احرص على صحتك مع Baladna Apple Nectar 1.5L،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</si>
  <si>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Baladna Orange Nectar 1.5L – بلدنا برتقال نكتار 1.5 لتر</t>
  </si>
  <si>
    <t>احرص على صحتك مع Baladna Orange Nectar 1.5L،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</si>
  <si>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Baladna Lemon &amp; Mint Drink 1.5L – بلدنا ليمون &amp; نعناع مشروب 1.5 لتر</t>
  </si>
  <si>
    <t>أضف لحظة حلوة إلى يومك مع Baladna Lemon &amp; Mint Drink 1.5L،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</si>
  <si>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Almarai Mango Nectar 1.4L – المراعي مانجو نكتار 1.4 لتر</t>
  </si>
  <si>
    <t>Almarai Mixed Fruit Nectar 1.4L – المراعي مشكل Fruit نكتار 1.4 لتر</t>
  </si>
  <si>
    <t>Almarai Mixed Berry Nectar 1.4L – المراعي مشكل Berry نكتار 1.4 لتر</t>
  </si>
  <si>
    <t>Baladna Apple Nectar Refreshing Delight 200ml – بلدنا تفاح نكتار Refreshing Delight 200 مل</t>
  </si>
  <si>
    <t>احرص على صحتك مع Baladna Apple Nectar Refreshing Delight 200ml،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</si>
  <si>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Dabur Glucose-D Energy Powder – Vitamin D &amp; Calcium (500g) – Dabur Glucose-D Energy بودرة – فيتامين D &amp; Calcium (500 غرام)</t>
  </si>
  <si>
    <t>اكتشف Dabur Glucose-D Energy Powder – Vitamin D &amp; Calcium (500g)،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</si>
  <si>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Dabur Glucose Orange Flavoured Energy Powder – Vitamin C &amp; Calcium (500g) – Dabur Glucose برتقال Flavoured Energy بودرة – فيتامين C &amp; Calcium (500 غرام)</t>
  </si>
  <si>
    <t>اكتشف فيتامين سي،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</si>
  <si>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Tang Orange Instant Drink Powder 375g – تانج برتقال فوري مشروب بودرة 375 غرام</t>
  </si>
  <si>
    <t>اكتشف Tang Orange Instant Drink Powder 375g،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</si>
  <si>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Rani Float Pineapple 240ml – Rani Float أناناس 240 مل</t>
  </si>
  <si>
    <t>اكتشف Rani Float Pineapple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</si>
  <si>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Rani Float Orange 240ml – Rani Float برتقال 240 مل</t>
  </si>
  <si>
    <t>اكتشف Rani Float Orange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</si>
  <si>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Rani Float Cocktail 240ml – Rani Float Cocktail 240 مل</t>
  </si>
  <si>
    <t>اكتشف Rani Float Cocktail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</si>
  <si>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Rani Float Green Apple 238ml – Rani Float Green تفاح 238 مل</t>
  </si>
  <si>
    <t>اكتشف Rani Float Green Apple 238ml،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</si>
  <si>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Rani Float Peach 240ml – Rani Float خوخ 240 مل</t>
  </si>
  <si>
    <t>اكتشف Rani Float Peach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</si>
  <si>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Rani Float Guava 240ml – Rani Float جوافة 240 مل</t>
  </si>
  <si>
    <t>اكتشف Rani Float Guava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</si>
  <si>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Rani Float Pineapple Coconut 240ml – Rani Float أناناس جوز الهند 240 مل</t>
  </si>
  <si>
    <t>اختر Rani Float Pineapple Coconut 240ml،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</si>
  <si>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Rani Guava Juice 1.4L – Rani جوافة عصير 1.4 لتر</t>
  </si>
  <si>
    <t>احرص على صحتك مع Rani Guava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</si>
  <si>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Rani Apple Juice 1.4L – Rani تفاح عصير 1.4 لتر</t>
  </si>
  <si>
    <t>احرص على صحتك مع Rani Apple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</si>
  <si>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Rani Mango Juice 1.4L – Rani مانجو عصير 1.4 لتر</t>
  </si>
  <si>
    <t>احرص على صحتك مع Rani Mango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</si>
  <si>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Rani Orange Juice 1.4L – Rani برتقال عصير 1.4 لتر</t>
  </si>
  <si>
    <t>احرص على صحتك مع Rani Orange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</si>
  <si>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Rani Pineapple Juice 1.4L – Rani أناناس عصير 1.4 لتر</t>
  </si>
  <si>
    <t>احرص على صحتك مع Rani Pineapple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</si>
  <si>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Rani Peach Juice 1.4L – Rani خوخ عصير 1.4 لتر</t>
  </si>
  <si>
    <t>احرص على صحتك مع Rani Peach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</si>
  <si>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Rani Pomegranate Juice 1.4L – Rani Pomegranate عصير 1.4 لتر</t>
  </si>
  <si>
    <t>احرص على صحتك مع Rani Pomegranate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</si>
  <si>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Rani Carrot Orange Juice 1.4L – Rani Carrot برتقال عصير 1.4 لتر</t>
  </si>
  <si>
    <t>احرص على صحتك مع Rani Carrot Orange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</si>
  <si>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SNICKERS Ice Cream Stick 73.5g – سنيكرز آيس كريم عصا 73.5 غرام</t>
  </si>
  <si>
    <t>Ice Cream | الآيس كريم</t>
  </si>
  <si>
    <t>برّد أيامك الحارة مع سنيكرز،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</si>
  <si>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SNICKERS White Ice Cream Bar 41g – سنيكرز أبيض آيس كريم قطعة 41 غرام</t>
  </si>
  <si>
    <t>DANDY 50-50 Ice Cream 100ml – داندي 50-50 آيس كريم 100 مل</t>
  </si>
  <si>
    <t>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</si>
  <si>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DANDY Peanut Delight Ice Cream 100ml – داندي فول سوداني Delight آيس كريم 100 مل</t>
  </si>
  <si>
    <t>DANDY Almond Delight Ice Cream 100ml – داندي لوز Delight آيس كريم 100 مل</t>
  </si>
  <si>
    <t>DANDY Ice Cream Sandwich 100ml – داندي آيس كريم ساندويتش 100 مل</t>
  </si>
  <si>
    <t>GALAXY Ice Cream Cone 110ml – غالاكسي آيس كريم Cone 110 مل</t>
  </si>
  <si>
    <t>برّد أيامك الحارة مع GALAXY Ice Cream Cone 110ml،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</si>
  <si>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GALAXY Ice Cream Heart 54.6g – غالاكسي آيس كريم Heart 54.6 غرام</t>
  </si>
  <si>
    <t>برّد أيامك الحارة مع GALAXY Ice Cream Heart 54.6g،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</si>
  <si>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KDD Chocolate Ice Cream Silver Cones 100ml – كي دي دي شوكولاتة آيس كريم Silver Cones 100 مل</t>
  </si>
  <si>
    <t>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</si>
  <si>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KDD Orange Ice Cream Lollies 62.5ml – كي دي دي برتقال آيس كريم Lollies 62.5 مل</t>
  </si>
  <si>
    <t>KDD Vanilla Ice Cream Gold Cone 100cc – كي دي دي فانيليا آيس كريم Gold Cone 100cc</t>
  </si>
  <si>
    <t>IGLOO Chocobar Chocolate Stick 55ml – إيغلو Chocobar شوكولاتة عصا 55 مل</t>
  </si>
  <si>
    <t>دلّل حواسك مع IGLOO Chocobar Chocolate Stick 55ml،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</si>
  <si>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DANDY Bonbon Ice Cream Tub 238ml – داندي Bonbon آيس كريم Tub 238 مل</t>
  </si>
  <si>
    <t>Kulfi Stick Ice Cream (Saudi) – Kulfi عصا آيس كريم (Saudi)</t>
  </si>
  <si>
    <t>برّد أيامك الحارة مع Kulfi Stick Ice Cream (Saudi)،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</si>
  <si>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Vanilla Sandwich Semi Ice Milk – فانيليا ساندويتش Semi آيس ميلك</t>
  </si>
  <si>
    <t>برّد أيامك الحارة مع Vanilla Sandwich Semi Ice Milk،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</si>
  <si>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Sandwich Coffee Ice Cream (Saudi) – ساندويتش قهوة آيس كريم (Saudi)</t>
  </si>
  <si>
    <t>برّد أيامك الحارة مع Sandwich Coffee Ice Cream (Saudi)،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</si>
  <si>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Strawberry Sandwich Semi Ice Milk (Saudia) – فراولة ساندويتش Semi آيس ميلك (Saudia)</t>
  </si>
  <si>
    <t>برّد أيامك الحارة مع سعودية،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</si>
  <si>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Vanilla Semi Ice Milk Covered with Chocolate Coating (Saudia) – فانيليا Semi آيس ميلك Covered with شوكولاتة Coating (Saudia)</t>
  </si>
  <si>
    <t>Saudi Mango Stick – Saudi مانجو عصا</t>
  </si>
  <si>
    <t>برّد أيامك الحارة مع Saudi Mango Stick،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</si>
  <si>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Lemon Mint Ice Lolly – ليمون نعناع Ice Lolly</t>
  </si>
  <si>
    <t>أضف لحظة حلوة إلى يومك مع Lemon Mint Ice Lolly،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</si>
  <si>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Chocolate Sandwich Semi Ice Milk – شوكولاتة ساندويتش Semi آيس ميلك</t>
  </si>
  <si>
    <t>برّد أيامك الحارة مع Chocolate Sandwich Semi Ice Milk،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</si>
  <si>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Cola PushUp (Saudia) – كولا بوش أب (سعودية)</t>
  </si>
  <si>
    <t>استمتع بـ سعودية،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</si>
  <si>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Orange Push Up (Saudia) – برتقال بوش أب (Saudia)</t>
  </si>
  <si>
    <t>Bamboo Strawberry Push Up – بامبو فراولة بوش أب</t>
  </si>
  <si>
    <t>برّد أيامك الحارة مع بامبو،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</si>
  <si>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Chocolate Semi Ice Milk with Cone Biscuits – شوكولاتة Semi آيس ميلك with Cone Biscuits</t>
  </si>
  <si>
    <t>برّد أيامك الحارة مع Chocolate Semi Ice Milk with Cone Biscuits،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</si>
  <si>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Semi Ice Milk with Cotton Candy – Semi آيس ميلك with قطن Candy</t>
  </si>
  <si>
    <t>برّد أيامك الحارة مع Semi Ice Milk with Cotton Candy،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</si>
  <si>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Chocolate Semi Ice Milk Covered with Chocolate Coating – شوكولاتة Semi آيس ميلك Covered with شوكولاتة Coating</t>
  </si>
  <si>
    <t>برّد أيامك الحارة مع Chocolate Semi Ice Milk Covered with Chocolate Coating،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</si>
  <si>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Oreo Stick with Oreo Cookie Pieces 64g – أوريو عصا with أوريو كوكيز Pieces 64 غرام</t>
  </si>
  <si>
    <t>برّد أيامك الحارة مع أوريو،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</si>
  <si>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Oreo Cone with Oreo Cookie Pieces 110ml – أوريو Cone with أوريو كوكيز Pieces 110 مل</t>
  </si>
  <si>
    <t>Oreo Sandwich with Oreo Cookie Pieces 135ml – أوريو ساندويتش with أوريو كوكيز Pieces 135 مل</t>
  </si>
  <si>
    <t>Ice Cream Kunafa – آيس كريم Kunafa</t>
  </si>
  <si>
    <t>برّد أيامك الحارة مع Ice Cream Kunafa،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</si>
  <si>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Mango Propotious Ice Cream – مانجو Propotious آيس كريم</t>
  </si>
  <si>
    <t>برّد أيامك الحارة مع Mango Propotious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</si>
  <si>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Dairy Vanilla Ice Cream Decorated with Chocolate – Dairy فانيليا آيس كريم Decorated with شوكولاتة</t>
  </si>
  <si>
    <t>برّد أيامك الحارة مع Dairy Vanilla Ice Cream Decorated with Chocolate،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</si>
  <si>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Cappuccino Vanilla Ice Cream – Cappuccino فانيليا آيس كريم</t>
  </si>
  <si>
    <t>برّد أيامك الحارة مع Cappuccino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</si>
  <si>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Dairy Saffron Ice Cream – Dairy Saffron آيس كريم</t>
  </si>
  <si>
    <t>برّد أيامك الحارة مع Dairy Saffron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</si>
  <si>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Strawberry &amp; Vanilla Ice Cream – فراولة &amp; فانيليا آيس كريم</t>
  </si>
  <si>
    <t>برّد أيامك الحارة مع Strawberry &amp;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</si>
  <si>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Duet Raspberry &amp; Vanilla Ice Cream 65ml – Duet Raspberry &amp; فانيليا آيس كريم 65 مل</t>
  </si>
  <si>
    <t>برّد أيامك الحارة مع Duet Raspberry &amp; Vanilla Ice Cream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</si>
  <si>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Duet Mango &amp; Vanilla Ice Cream 65ml – Duet مانجو &amp; فانيليا آيس كريم 65 مل</t>
  </si>
  <si>
    <t>برّد أيامك الحارة مع Duet Mango &amp; Vanilla Ice Cream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</si>
  <si>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Balou Balou Vanilla Ice Cream 69g – Balou Balou فانيليا آيس كريم 69 غرام</t>
  </si>
  <si>
    <t>برّد أيامك الحارة مع Balou Balou Vanilla Ice Cream 69g،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</si>
  <si>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Cookies &amp; Cream Ice Cream 75g – Cookies &amp; كريم آيس كريم 75 غرام</t>
  </si>
  <si>
    <t>برّد أيامك الحارة مع Cookies &amp; Cream Ice Cream 75g،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</si>
  <si>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Iceland Luna Panna Cotta Aromatic with Chocolate Topping – Iceland Luna Panna Cotta Aromatic with شوكولاتة Topping</t>
  </si>
  <si>
    <t>دلّل حواسك مع Iceland Luna Panna Cotta Aromatic with Chocolate Topping،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</si>
  <si>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Iceland Luna Hazelnut Chocolate and Panna Cotta – Iceland Luna بندق شوكولاتة and Panna Cotta</t>
  </si>
  <si>
    <t>دلّل حواسك مع Iceland Luna Hazelnut Chocolate and Panna Cotta،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</si>
  <si>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Plombir Vanilla Ice Cream 15% – Plombir فانيليا آيس كريم 15%</t>
  </si>
  <si>
    <t>برّد أيامك الحارة مع Plombir Vanilla Ice Cream 15%،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</si>
  <si>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Penguin Vanilla Ice Cream – Penguin فانيليا آيس كريم</t>
  </si>
  <si>
    <t>برّد أيامك الحارة مع Penguin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</si>
  <si>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Iceland Vanilla Ice Cream – Iceland فانيليا آيس كريم</t>
  </si>
  <si>
    <t>برّد أيامك الحارة مع Iceland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</si>
  <si>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Bonetto Vanilla Ice Cream – Ronetto فانيليا آيس كريم</t>
  </si>
  <si>
    <t>برّد أيامك الحارة مع Ronetto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</si>
  <si>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Delisimo Hazelnut Plombir Ice Cream 500g – Delisimo بندق Plombir آيس كريم 500 غرام</t>
  </si>
  <si>
    <t>برّد أيامك الحارة مع Delisimo Hazelnut Plombir Ice Cream 500g،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</si>
  <si>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Oazis Ice Cream – Oazis آيس كريم</t>
  </si>
  <si>
    <t>برّد أيامك الحارة مع Oazis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</si>
  <si>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Apple Fruity Ice – تفاح Fruity Ice</t>
  </si>
  <si>
    <t>برّد أيامك الحارة مع Apple Fruity Ice،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</si>
  <si>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Oreo Sandwich with Cookie Pieces 80g – أوريو ساندويتش with كوكيز Pieces 80 غرام</t>
  </si>
  <si>
    <t>Contetteria Raffaello Ice Cream 47g – Contetteria رافاييلو آيس كريم 47 غرام</t>
  </si>
  <si>
    <t>برّد أيامك الحارة مع Contetteria Raffaello Ice Cream 47g،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</si>
  <si>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KitKat Ice Cream 90ml – كيت كات آيس كريم 90 مل</t>
  </si>
  <si>
    <t>برّد أيامك الحارة مع كيت كات،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</si>
  <si>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Cadbury Dairy Milk Ice Cream 90ml – كادبوري ديري ميلك آيس كريم 90 مل</t>
  </si>
  <si>
    <t>برّد أيامك الحارة مع كادبوري،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</si>
  <si>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Ferrero Rocher Classic Ice Cream 50g – فيريرو روشيه كلاسيك آيس كريم 50 غرام</t>
  </si>
  <si>
    <t>برّد أيامك الحارة مع فيريرو،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</si>
  <si>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Toblerone Ice Cream 65g – توبليرون آيس كريم 65 غرام</t>
  </si>
  <si>
    <t>برّد أيامك الحارة مع توبليرون،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</si>
  <si>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BR Baskin-Robbins Cotton Candy 120ml – BR Baskin-Robbins قطن Candy 120 مل</t>
  </si>
  <si>
    <t>أضف لحظة حلوة إلى يومك مع BR Baskin-Robbins Cotton Candy 120ml،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</si>
  <si>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Kinder Bueno Ice Cream 62g – كيندر Bueno آيس كريم 62 غرام</t>
  </si>
  <si>
    <t>برّد أيامك الحارة مع كيندر،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</si>
  <si>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BR Baskin-Robbins Pralines ’n Cream 120ml – BR Baskin-Robbins Pralines ’n كريم 120 مل</t>
  </si>
  <si>
    <t>برّد أيامك الحارة مع BR Baskin-Robbins Pralines ’n Cream 120ml،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</si>
  <si>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Igloo Kulfi Alphonso Mango 65ml – إيغلو Kulfi Alphonso مانجو 65 مل</t>
  </si>
  <si>
    <t>برّد أيامك الحارة مع Igloo Kulfi Alphonso Mango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</si>
  <si>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Igloo Kulfi Creamy Pista 65ml – إيغلو Kulfi Creamy Pista 65 مل</t>
  </si>
  <si>
    <t>برّد أيامك الحارة مع Igloo Kulfi Creamy Pista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</si>
  <si>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Igloo Traditional Malai Kulfi Pistachio &amp; Cashew 85g – إيغلو Traditional Malai Kulfi فستق &amp; كاجو 85 غرام</t>
  </si>
  <si>
    <t>اختر Igloo Traditional Malai Kulfi Pistachio &amp; Cashew 85g،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</si>
  <si>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Igloo Kulfi Royal Kesari 65ml – إيغلو Kulfi Royal Kesari 65 مل</t>
  </si>
  <si>
    <t>برّد أيامك الحارة مع Igloo Kulfi Royal Kesari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</si>
  <si>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Igloo Push Up Semi-Milk – إيغلو بوش أب Semi-Milk</t>
  </si>
  <si>
    <t>برّد أيامك الحارة مع Igloo Push Up Semi-Milk،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</si>
  <si>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Dairy Sarin Ice Cream 90g – Dairy Sarin آيس كريم 90 غرام</t>
  </si>
  <si>
    <t>برّد أيامك الحارة مع Dairy Sarin Ice Cream 90g،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</si>
  <si>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Igloo Big 3 in 1 Ice Cream 58g – إيغلو Big 3 in 1 آيس كريم 58 غرام</t>
  </si>
  <si>
    <t>برّد أيامك الحارة مع Igloo Big 3 in 1 Ice Cream 58g،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</si>
  <si>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Igloo Hyperloop Ice Cream 68g – إيغلو Hyperloop آيس كريم 68 غرام</t>
  </si>
  <si>
    <t>برّد أيامك الحارة مع Igloo Hyperloop Ice Cream 68g،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</si>
  <si>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Igloo Vanilla Sandwich Evens 55g – إيغلو فانيليا ساندويتش Evens 55 غرام</t>
  </si>
  <si>
    <t>برّد أيامك الحارة مع Igloo Vanilla Sandwich Evens 55g،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</si>
  <si>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Ice Pop Blue Raspberry 54g – Ice Pop Blue Raspberry 54 غرام</t>
  </si>
  <si>
    <t>برّد أيامك الحارة مع Ice Pop Blue Raspberry 54g،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</si>
  <si>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Semi-Ice Milk Vanilla 44g – Semi-Ice حليب فانيليا 44 غرام</t>
  </si>
  <si>
    <t>برّد أيامك الحارة مع Semi-Ice Milk Vanilla 44g،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</si>
  <si>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Dairy Fruity Spiral 5g – Dairy Fruity Spiral 5 غرام</t>
  </si>
  <si>
    <t>برّد أيامك الحارة مع Dairy Fruity Spiral 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</si>
  <si>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Dandy Swirly Ice Cream 80ml – داندي Swirly آيس كريم 80 مل</t>
  </si>
  <si>
    <t>Dandy Peanut Delight Ice Cream 100ml – داندي فول سوداني Delight آيس كريم 100 مل</t>
  </si>
  <si>
    <t>Dandy Choco Nuts Ice Cream 85ml – داندي Choco مكسرات آيس كريم 85 مل</t>
  </si>
  <si>
    <t>Dandy Almond Delight Ice Cream 100ml – داندي لوز Delight آيس كريم 100 مل</t>
  </si>
  <si>
    <t>Dandy 50-50 Ice Cream 100ml – داندي 50-50 آيس كريم 100 مل</t>
  </si>
  <si>
    <t>Dandy Choco Bar Ice Cream 60ml – داندي Choco قطعة آيس كريم 60 مل</t>
  </si>
  <si>
    <t>Dandy Stack Up Ice Cream 80ml – داندي Stack Up آيس كريم 80 مل</t>
  </si>
  <si>
    <t>Daity Sarin Ice Cream 90ml – Daity Sarin آيس كريم 90 مل</t>
  </si>
  <si>
    <t>برّد أيامك الحارة مع Daity Sarin Ice Cream 90ml،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</si>
  <si>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Daity Amiral Ice Cream 80g – Daity Amiral آيس كريم 80 غرام</t>
  </si>
  <si>
    <t>برّد أيامك الحارة مع Daity Amiral Ice Cream 80g،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</si>
  <si>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Dandy Sandwich Ice Cream 100ml – داندي ساندويتش آيس كريم 100 مل</t>
  </si>
  <si>
    <t>Dandy Trio Ice Cream 80ml – داندي Trio آيس كريم 80 مل</t>
  </si>
  <si>
    <t>KDD Vanilla Ice Cream Biscuit Sandwich 77ml – كي دي دي فانيليا آيس كريم بسكويت ساندويتش 77 مل</t>
  </si>
  <si>
    <t>KDD Lulu Ice Cream – Chocolate &amp; Nougat 100ml – كي دي دي Lulu آيس كريم – شوكولاتة &amp; Nougat 100 مل</t>
  </si>
  <si>
    <t>KDD Orange Lolly Water Ice 62.5g – كي دي دي برتقال Lolly مياه Ice 62.5 غرام</t>
  </si>
  <si>
    <t>اشرب كي دي دي،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</si>
  <si>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KDD Vanilla Almond Ice Cream 95g – كي دي دي فانيليا لوز آيس كريم 95 غرام</t>
  </si>
  <si>
    <t>KDD Choco Rico Ice Cream 62.5g – كي دي دي Choco Rico آيس كريم 62.5 غرام</t>
  </si>
  <si>
    <t>KDD Strawberry Ice Cream 100g – كي دي دي فراولة آيس كريم 100 غرام</t>
  </si>
  <si>
    <t>KDD Blitz Vanilla Ice Cream with Raspberry 62.5g – كي دي دي Blitz فانيليا آيس كريم with Raspberry 62.5 غرام</t>
  </si>
  <si>
    <t>KDD Chocolate Ice Cream 100g – كي دي دي شوكولاتة آيس كريم 100 غرام</t>
  </si>
  <si>
    <t>Galaxy Hazelnut &amp; Chocolate Ice Cream 73g – غالاكسي بندق &amp; شوكولاتة آيس كريم 73 غرام</t>
  </si>
  <si>
    <t>برّد أيامك الحارة مع Galaxy Hazelnut &amp; Chocolate Ice Cream 73g،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</si>
  <si>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Galaxy Vanilla Ice Cream 59g – Galaxy فانيليا آيس كريم 59 غرام</t>
  </si>
  <si>
    <t>برّد أيامك الحارة مع Glace Vanilla Ice Cream 59g،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</si>
  <si>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Snickers Ice Cream 70g – Snickers آيس كريم 70 غرام</t>
  </si>
  <si>
    <t>برّد أيامك الحارة مع Stickers Ice Cream 70g،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</si>
  <si>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Galaxy Almond Ice Cream 58g – غالاكسي لوز آيس كريم 58 غرام</t>
  </si>
  <si>
    <t>برّد أيامك الحارة مع Galaxy Almond Ice Cream 58g،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</si>
  <si>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Snickers Ice Cream 73.5g – Snickers آيس كريم 73.5 غرام</t>
  </si>
  <si>
    <t>برّد أيامك الحارة مع Stickers Ice Cream 73.5g،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</si>
  <si>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Mars Ice Cream 51g – مارس آيس كريم 51 غرام</t>
  </si>
  <si>
    <t>برّد أيامك الحارة مع مارس،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</si>
  <si>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Snickers Peanut Butter Creamy Ice Cream 36.5g – Snickers فول سوداني زبدة Creamy آيس كريم 36.5 غرام</t>
  </si>
  <si>
    <t>برّد أيامك الحارة مع Stickers Peanut Butter Creamy Ice Cream 36.5g،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</si>
  <si>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Twix Ice Cream 40g – تويكس آيس كريم 40 غرام</t>
  </si>
  <si>
    <t>برّد أيامك الحارة مع تويكس،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</si>
  <si>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Bounty Ice Cream 50g – باونتي آيس كريم 50 غرام</t>
  </si>
  <si>
    <t>برّد أيامك الحارة مع باونتي،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</si>
  <si>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Galaxy Vanilla Ice Cream 50g – غالاكسي فانيليا آيس كريم 50 غرام</t>
  </si>
  <si>
    <t>برّد أيامك الحارة مع Galaxy Vanilla Ice Cream 50g،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</si>
  <si>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Reese’s Peanut Butter Ice Cream 100ml – Reese’s فول سوداني زبدة آيس كريم 100 مل</t>
  </si>
  <si>
    <t>برّد أيامك الحارة مع Reese’s Peanut Butter Ice Cream 100ml،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</si>
  <si>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Reese’s Peanut Butter Sandwich Ice Cream 63g – Reese’s فول سوداني زبدة ساندويتش آيس كريم 63 غرام</t>
  </si>
  <si>
    <t>برّد أيامك الحارة مع Reese’s Peanut Butter Sandwich Ice Cream 63g،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</si>
  <si>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Reese’s Peanut Butter Chocolate Ice Cream 61ml – Reese’s فول سوداني زبدة شوكولاتة آيس كريم 61 مل</t>
  </si>
  <si>
    <t>برّد أيامك الحارة مع Reese’s Peanut Butter Chocolate Ice Cream 61ml،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</si>
  <si>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Hershey’s Cookie &amp; Chocolate Ice Cream 61g – Hershey’s كوكيز &amp; شوكولاتة آيس كريم 61 غرام</t>
  </si>
  <si>
    <t>برّد أيامك الحارة مع Hershey’s Cookie &amp; Chocolate Ice Cream 61g،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</si>
  <si>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Hershey’s Cookies &amp; Cream Ice Cream 61g – Hershey’s Cookies &amp; كريم آيس كريم 61 غرام</t>
  </si>
  <si>
    <t>برّد أيامك الحارة مع Hershey’s Cookies &amp; Cream Ice Cream 61g،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</si>
  <si>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Maharaj Kulfi Semi Ice Milk 80g – Maharaj Kulfi Semi آيس ميلك 80 غرام</t>
  </si>
  <si>
    <t>برّد أيامك الحارة مع Maharaj Kulfi Semi Ice Milk 80g،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</si>
  <si>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Muncho Almond Semi Ice Milk 120ml – Muncho لوز Semi آيس ميلك 120 مل</t>
  </si>
  <si>
    <t>برّد أيامك الحارة مع Muncho Almond Semi Ice Milk 120ml،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</si>
  <si>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Twistee Strawberry &amp; Lemon Water Ice Cream 65g – Twistee فراولة &amp; ليمون مياه آيس كريم 65 غرام</t>
  </si>
  <si>
    <t>اشرب Twistee Strawberry &amp; Lemon Water Ice Cream 65g،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</si>
  <si>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Xtreme Pop Ice Cream 60ml – Xtreme Pop آيس كريم 60 مل</t>
  </si>
  <si>
    <t>برّد أيامك الحارة مع Xtreme Pop Ice Cream 60ml،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</si>
  <si>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Melon Water Ice 70g – Melon مياه Ice 70 غرام</t>
  </si>
  <si>
    <t>اشرب Melon Water Ice 70g،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</si>
  <si>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Big 4 in 1 Ice Cream 64g – Big 4 in 1 آيس كريم 64 غرام</t>
  </si>
  <si>
    <t>برّد أيامك الحارة مع Big 4 in 1 Ice Cream 64g،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</si>
  <si>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Xtreme Butterscotch Ice Cream 110ml – Xtreme Butterscotch آيس كريم 110 مل</t>
  </si>
  <si>
    <t>برّد أيامك الحارة مع Xtreme Butterscotch Ice Cream 110ml،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</si>
  <si>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Anquria Melon Ice Cream 70ml – Anquria Melon آيس كريم 70 مل</t>
  </si>
  <si>
    <t>برّد أيامك الحارة مع Anquria Melon Ice Cream 70ml،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</si>
  <si>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Anquria Watermelon Ice Cream 70ml – Anquria Watermelon آيس كريم 70 مل</t>
  </si>
  <si>
    <t>اشرب Anquria Watermelon Ice Cream 70ml،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</si>
  <si>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Spiner Ice Cream 170ml – Spiner آيس كريم 170 مل</t>
  </si>
  <si>
    <t>برّد أيامك الحارة مع Spiner Ice Cream 170ml،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</si>
  <si>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Donut Strawberry Ice Cream 85ml – Donut فراولة آيس كريم 85 مل</t>
  </si>
  <si>
    <t>برّد أيامك الحارة مع Donut Strawberry Ice Cream 85ml،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</si>
  <si>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Feloudeh Lemon Water Ice 70ml – Feloudeh ليمون مياه Ice 70 مل</t>
  </si>
  <si>
    <t>اشرب Feloudeh Lemon Water Ice 70ml،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</si>
  <si>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Vanilla &amp; Strawberry Sandwich Ice Cream 160ml – فانيليا &amp; فراولة ساندويتش آيس كريم 160 مل</t>
  </si>
  <si>
    <t>برّد أيامك الحارة مع Vanilla &amp; Strawberry Sandwich Ice Cream 160ml،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</si>
  <si>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ICE QUEEN Bom Bom Ice Cream 80ml – ICE QUEEN Bom Bom آيس كريم 80 مل</t>
  </si>
  <si>
    <t>برّد أيامك الحارة مع ICE QUEEN Bom Bom Ice Cream 80ml،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</si>
  <si>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Ice Queen Bubble Gum Ice Cream 80ml – Ice Queen Bubble Gum آيس كريم 80 مل</t>
  </si>
  <si>
    <t>برّد أيامك الحارة مع Ice Queen Bubble Gum Ice Cream 80ml،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</si>
  <si>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Ice Queen Koro Ice Cream 70ml – Ice Queen Koro آيس كريم 70 مل</t>
  </si>
  <si>
    <t>برّد أيامك الحارة مع Ice Queen Koro Ice Cream 70ml،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</si>
  <si>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Daity Amiral with Milk Ice Cream 80ml – Daity Amiral with حليب آيس كريم 80 مل</t>
  </si>
  <si>
    <t>برّد أيامك الحارة مع Daity Amiral with Milk Ice Cream 80ml،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</si>
  <si>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KDD Vanilla Ice Cream 100g – كي دي دي فانيليا آيس كريم 100 غرام</t>
  </si>
  <si>
    <t>Baskin Robbins Almond ’n Caramel Ice Cream Bar 90ml – Baskin Robbins لوز ’n كراميل آيس كريم قطعة 90 مل</t>
  </si>
  <si>
    <t>برّد أيامك الحارة مع Baskin Robbins Almond ’n Caramel Ice Cream Bar 90ml،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</si>
  <si>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Barakat Juice Pop Beetroot Berry 50ml – Barakat عصير Pop Beetroot Berry 50 مل</t>
  </si>
  <si>
    <t>احرص على صحتك مع Barakat Juice Pop Beetroot Berry 50ml،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</si>
  <si>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Barakat Juice Pop Strawberry Banana 50ml – Barakat عصير Pop فراولة Banana 50 مل</t>
  </si>
  <si>
    <t>احرص على صحتك مع Barakat Juice Pop Strawberry Banana 50ml،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</si>
  <si>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Barakat Juice Pop Orange 50ml – Barakat عصير Pop برتقال 50 مل</t>
  </si>
  <si>
    <t>احرص على صحتك مع Barakat Juice Pop Orange 50ml،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</si>
  <si>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Barakat Juice Pop Mango Passion 50ml – Barakat عصير Pop مانجو Passion 50 مل</t>
  </si>
  <si>
    <t>احرص على صحتك مع Barakat Juice Pop Mango Passion 50ml،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</si>
  <si>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SNICKERS Chocolate Bar 40g – سنيكرز شوكولاتة قطعة 40 غرام</t>
  </si>
  <si>
    <t>Chocolates – الشوكولاتة</t>
  </si>
  <si>
    <t>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</si>
  <si>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Mixed Minis Chocolate Pack 400g × 2 – مشكل Minis شوكولاتة عبوة 400 غرام × 2</t>
  </si>
  <si>
    <t>دلّل حواسك مع Mixed Minis Chocolate Pack 400g × 2،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</si>
  <si>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SNICKERS Chocolate Bar 45g – سنيكرز شوكولاتة قطعة 45 غرام</t>
  </si>
  <si>
    <t>Snickers Xtreme Extra Nuts &amp; Caramel Chocolate Bar 42g – سنيكرز Xtreme Extra مكسرات &amp; كراميل شوكولاتة قطعة 42 غرام</t>
  </si>
  <si>
    <t>SNICKERS Creamy Peanut Butter 36.5g – سنيكرز Creamy فول سوداني زبدة 36.5 غرام</t>
  </si>
  <si>
    <t>MARS Chocolate Bar 51g – مارس شوكولاتة قطعة 51 غرام</t>
  </si>
  <si>
    <t>دلّل حواسك مع مارس،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</si>
  <si>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Nice Chips with Tomato Ketchup 167g – Nice شيبس with Tomato كاتشاب 167 غرام</t>
  </si>
  <si>
    <t>Chips &amp; Crisps – الشيبس والمقرمشات</t>
  </si>
  <si>
    <t>لا تقاوم طعم Nice Chips with Tomato Ketchup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</si>
  <si>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Nice Chips with Light Salt 167g – Nice شيبس with لايت ملح 167 غرام</t>
  </si>
  <si>
    <t>لا تقاوم طعم Nice Chips with Light Salt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</si>
  <si>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KITCO Nice Chips Chilly 16g × 20 – كيتكو Nice شيبس Chilly 16 غرام × 20</t>
  </si>
  <si>
    <t>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</si>
  <si>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KITCO Nice Chips Paprika 80g – كيتكو Nice شيبس Paprika 80 غرام</t>
  </si>
  <si>
    <t>KITCO Nice Hot &amp; Spicy Chips 80g – كيتكو Nice حار &amp; حار شيبس 80 غرام</t>
  </si>
  <si>
    <t>KITCO Nice French Cheese Chips 80g – كيتكو Nice French جبنة شيبس 80 غرام</t>
  </si>
  <si>
    <t>KITCO Nice Chips French Cheese Pack 20 × 16g – كيتكو Nice شيبس French جبنة عبوة 20 × 16 غرام</t>
  </si>
  <si>
    <t>KITCO Nice Chips Chicken Flavor Pack 20 × 16g – كيتكو Nice شيبس Chicken Flavor عبوة 20 × 16 غرام</t>
  </si>
  <si>
    <t>KITCO Nice Chips Salt &amp; Vinegar Pack 20 × 16g – كيتكو Nice شيبس ملح &amp; Vinegar عبوة 20 × 16 غرام</t>
  </si>
  <si>
    <t>KITCO Nice Chips Tomato Ketchup Pack 20 × 16g – كيتكو Nice شيبس Tomato كاتشاب عبوة 20 × 16 غرام</t>
  </si>
  <si>
    <t>KITCO Nice Chicken Flavor Chips 16g – كيتكو Nice Chicken Flavor شيبس 16 غرام</t>
  </si>
  <si>
    <t>KITCO Nice Hot &amp; Spicy Chips 16g – كيتكو Nice حار &amp; حار شيبس 16 غرام</t>
  </si>
  <si>
    <t>KITCO Nice French Cheese Chips 16g – كيتكو Nice French جبنة شيبس 16 غرام</t>
  </si>
  <si>
    <t>KITCO Nice Salt &amp; Vinegar Chips 80g – كيتكو Nice ملح &amp; Vinegar شيبس 80 غرام</t>
  </si>
  <si>
    <t>KITCO Nice Tomato Ketchup Chips 16g – كيتكو Nice Tomato كاتشاب شيبس 16 غرام</t>
  </si>
  <si>
    <t>KITCO Nice Chips Lightly Salted 80g – كيتكو Nice شيبس Lightly مملح 80 غرام</t>
  </si>
  <si>
    <t>OMAN Chips Chilli Flavor 15g – OMAN شيبس Chilli Flavor 15 غرام</t>
  </si>
  <si>
    <t>لا تقاوم طعم OMAN Chips Chilli Flavor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</si>
  <si>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Ripple Chilli Chips 75g – Al Mudhish Ripple Chilli شيبس 75 غرام</t>
  </si>
  <si>
    <t>لا تقاوم طعم Al Mudhish Ripple Chilli Chips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</si>
  <si>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ALBADIA Corn Cones Cheese 16g – ALBADIA Corn Cones جبنة 16 غرام</t>
  </si>
  <si>
    <t>لا تقاوم طعم ALBADIA Corn Cones Cheese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</si>
  <si>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Ripples Crunchy Cheese 15g – AL MUDHISH Potato Ripples Crunchy جبنة 15 غرام</t>
  </si>
  <si>
    <t>لا تقاوم طعم AL MUDHISH Potato Ripples Crunchy Cheese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</si>
  <si>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Ripples Crunchy Chilli 15g – AL MUDHISH Potato Ripples Crunchy Chilli 15 غرام</t>
  </si>
  <si>
    <t>لا تقاوم طعم AL MUDHISH Potato Ripples Crunchy Chilli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</si>
  <si>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Ripples Sour Cream &amp; Onion 15g – AL MUDHISH Potato Ripples Sour كريم &amp; بصل 15 غرام</t>
  </si>
  <si>
    <t>لا تقاوم طعم AL MUDHISH Potato Ripples Sour Cream &amp; Onion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</si>
  <si>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Rings Salsa Crunchy Potato 15g – AL MUDHISH Rings Salsa Crunchy Potato 15 غرام</t>
  </si>
  <si>
    <t>لا تقاوم طعم AL MUDHISH Rings Salsa Crunchy Potato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</si>
  <si>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Chips Salt &amp; Vinegar 15g – AL MUDHISH Potato شيبس ملح &amp; Vinegar 15 غرام</t>
  </si>
  <si>
    <t>لا تقاوم طعم AL MUDHISH Potato Chips Salt &amp; Vinegar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</si>
  <si>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Chips Salted 15g – AL MUDHISH Potato شيبس مملح 15 غرام</t>
  </si>
  <si>
    <t>لا تقاوم طعم AL MUDHISH Potato Chips Salted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</si>
  <si>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Salt &amp; Vinegar Potato Chips 75g – AL MUDHISH ملح &amp; Vinegar Potato شيبس 75 غرام</t>
  </si>
  <si>
    <t>لا تقاوم طعم AL MUDHISH Salt &amp; Vinegar Potato Chips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</si>
  <si>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Ripples Cheese Potato Chips 75g – AL MUDHISH Ripples جبنة Potato شيبس 75 غرام</t>
  </si>
  <si>
    <t>لا تقاوم طعم AL MUDHISH Ripples Cheese Potato Chips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</si>
  <si>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Cadbury Dairy Milk Bubbly Milk Chocolate 28g – كادبوري ديري ميلك Bubbly حليب شوكولاتة 28 غرام</t>
  </si>
  <si>
    <t>دلّل حواسك مع كادبوري،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</si>
  <si>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Cadbury Dairy Milk Hazelnut Chocolate Bar 32g – كادبوري ديري ميلك بندق شوكولاتة قطعة 32 غرام</t>
  </si>
  <si>
    <t>Cadbury Dairy Milk Fruit &amp; Nut Chocolate Bar 32g – كادبوري ديري ميلك Fruit &amp; Nut شوكولاتة قطعة 32 غرام</t>
  </si>
  <si>
    <t>Cadbury Time Out Crunch Wafer 28g – كادبوري Time Out Crunch ويفر 28 غرام</t>
  </si>
  <si>
    <t>Cadbury Flake Minis Chocolate 28g – كادبوري Flake Minis شوكولاتة 28 غرام</t>
  </si>
  <si>
    <t>Konak Hoop Dubai Wafer Balls Pistachio Kunafa 27g – Konak Hoop Dubai ويفر Balls فستق Kunafa 27 غرام</t>
  </si>
  <si>
    <t>اختر Konak Hoop Dubai Wafer Balls Pistachio Kunafa 27g،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</si>
  <si>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Nestlé Lion Chocolate Bar 42g – نستله Lion شوكولاتة قطعة 50 غرام</t>
  </si>
  <si>
    <t>دلّل حواسك مع Nestlé Lion Chocolate Bar 50g،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</si>
  <si>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Nutella B-Ready – نوتيلا B-Ready</t>
  </si>
  <si>
    <t>دلّل حواسك مع نوتيلا،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</si>
  <si>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Tofi Luk Chocolate Bar 33g – Tofi Luk شوكولاتة قطعة 33 غرام</t>
  </si>
  <si>
    <t>دلّل حواسك مع Tofi Luk Chocolate Bar 33g،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</si>
  <si>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Raffaello Chocolate 30g – رافاييلو شوكولاتة 30 غرام</t>
  </si>
  <si>
    <t>دلّل حواسك مع Raffaello Chocolate 30g،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</si>
  <si>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HALABI Unsalted Mix 400g (Tin) – HALABI Unsalted Mix 400 غرام (Tin)</t>
  </si>
  <si>
    <t>Nuts &amp; Seeds – المكسرات والبذور</t>
  </si>
  <si>
    <t>اختر HALABI Unsalted Mix 400g (Tin)،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</si>
  <si>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HALABI Super Extra Mix 400g (Tin) – HALABI Super Extra Mix 400 غرام (Tin)</t>
  </si>
  <si>
    <t>دلّل حواسك مع إكسترا،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</si>
  <si>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HALABI Kernels Mix 400g (Tin) – HALABI Kernels Mix 400 غرام (Tin)</t>
  </si>
  <si>
    <t>دلّل حواسك مع HALABI Kernels Mix 400g (Tin)،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</si>
  <si>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HALABI Kernels Mix 300g – HALABI Kernels Mix 300 غرام</t>
  </si>
  <si>
    <t>دلّل حواسك مع HALABI Kernels Mix 300g،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</si>
  <si>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HALABI Mexican Nuts 175g – HALABI Mexican مكسرات 175 غرام</t>
  </si>
  <si>
    <t>اختر HALABI Mexican Nuts 175g،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</si>
  <si>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HALABI Classic Mix 300g – HALABI كلاسيك Mix 300 غرام</t>
  </si>
  <si>
    <t>دلّل حواسك مع HALABI Classic Mix 300g،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</si>
  <si>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HALABI Thai Mix 175g – HALABI Thai Mix 175 غرام</t>
  </si>
  <si>
    <t>دلّل حواسك مع HALABI Thai Mix 175g،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</si>
  <si>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HALABI Super Extra Mix 300g – HALABI Super Extra Mix 300 غرام</t>
  </si>
  <si>
    <t>HALABI Pumpkin Seeds 250g – HALABI Pumpkin Seeds 250 غرام</t>
  </si>
  <si>
    <t>دلّل حواسك مع HALABI Pumpkin Seeds 250g،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</si>
  <si>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HALABI Sunflower Seeds 250g – HALABI Sunflower Seeds 250 غرام</t>
  </si>
  <si>
    <t>اختر HALABI Sunflower Seeds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</si>
  <si>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HALABI Cashews 250g – HALABI Cashews 250 غرام</t>
  </si>
  <si>
    <t>اختر HALABI Cashews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</si>
  <si>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HALABI Peanuts 250g – HALABI Peanuts 250 غرام</t>
  </si>
  <si>
    <t>اختر HALABI Peanuts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</si>
  <si>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HALABI Cashews 90g – HALABI Cashews 90 غرام</t>
  </si>
  <si>
    <t>اختر HALABI Cashews 90g،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</si>
  <si>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HALABI Salted Almonds 90g – HALABI مملح Almonds 90 غرام</t>
  </si>
  <si>
    <t>اختر HALABI Salted Almonds 90g،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</si>
  <si>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HALABI Coated Peanuts Kri Kri 250g – HALABI Coated Peanuts Kri Kri 250 غرام</t>
  </si>
  <si>
    <t>اختر HALABI Coated Peanuts Kri Kri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</si>
  <si>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HALABI Pistachios 250g – HALABI Pistachios 250 غرام</t>
  </si>
  <si>
    <t>اختر HALABI Pistachios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</si>
  <si>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DORITOS Nacho Cheese 175g – دوريتوس Nacho جبنة 175 غرام</t>
  </si>
  <si>
    <t>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</si>
  <si>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DORITOS Sweet Chili Pepper 175g – دوريتوس Sweet Chili Pepper 175 غرام</t>
  </si>
  <si>
    <t>CHEETOS Crunchy Cheese 190g – تشيتوس Crunchy جبنة 190 غرام</t>
  </si>
  <si>
    <t>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</si>
  <si>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Balaji Wafers Crunchem Chaat Chaska 135g – Balaji Wafers Crunchem Chaat Chaska 135 غرام</t>
  </si>
  <si>
    <t>لا تقاوم طعم Balaji Wafers Crunchem Chaat Chaska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</si>
  <si>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Cheetos Flamin’ Hot Crunchy Export 226.8g – تشيتوس Flamin’ حار Crunchy Export 226.8 غرام</t>
  </si>
  <si>
    <t>DORITOS Sweet Chili Pepper 105g – دوريتوس Sweet Chili Pepper 105 غرام</t>
  </si>
  <si>
    <t>LAYS Tomato Ketchup 155g – ليز Tomato كاتشاب 155 غرام</t>
  </si>
  <si>
    <t>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</si>
  <si>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LAYS Salted 155g – ليز مملح 155 غرام</t>
  </si>
  <si>
    <t>Balaji Crunchem Simply Salted 155g – Balaji Crunchem Simply مملح 155 غرام</t>
  </si>
  <si>
    <t>لا تقاوم طعم Balaji Crunchem Simply Salted 155g،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</si>
  <si>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Cheetos Flamin’ Hot 50g – تشيتوس Flamin’ حار 40 غرام</t>
  </si>
  <si>
    <t>DORITOS Flamin’ Hot 50g – دوريتوس Flamin’ حار 50 غرام</t>
  </si>
  <si>
    <t>Cheetos Crunchy Flamin’ Hot 110g – تشيتوس Crunchy Flamin’ حار 110 غرام</t>
  </si>
  <si>
    <t>DORITOS Dinamita Flamin’ Hot 40g – دوريتوس Dinamita Flamin’ حار 40 غرام</t>
  </si>
  <si>
    <t>LAYS Salted 48g – ليز مملح 48 غرام</t>
  </si>
  <si>
    <t>DORITOS Sweet Chili Pepper 48g – دوريتوس Sweet Chili Pepper 48 غرام</t>
  </si>
  <si>
    <t>LAYS French Cheese 48g – ليز French جبنة 48 غرام</t>
  </si>
  <si>
    <t>LAYS Chili 48g – ليز Chili 48 غرام</t>
  </si>
  <si>
    <t>Cheetos Flamin’ Hot Crunchy Export 35.4g – تشيتوس Flamin’ حار Crunchy Export 35.4 غرام</t>
  </si>
  <si>
    <t>Mexita Hot Chili &amp; Lime Tortilla Chips 23g – Mexita حار Chili &amp; Lime Tortilla شيبس 23 غرام</t>
  </si>
  <si>
    <t>لا تقاوم طعم Mexita Hot Chili &amp; Lime Tortilla Chips 23g،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</si>
  <si>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Mexita Nacho Cheese Tortilla Chips 23g – Mexita Nacho جبنة Tortilla شيبس 23 غرام</t>
  </si>
  <si>
    <t>لا تقاوم طعم Mexita Nacho Cheese Tortilla Chips 23g،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</si>
  <si>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Mexita Sweet Chili Pepper Tortilla Chips 23g – Mexita Sweet Chili Pepper Tortilla شيبس 23 غرام</t>
  </si>
  <si>
    <t>لا تقاوم طعم Mexita Sweet Chili Pepper Tortilla Chips 23g،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</si>
  <si>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Karkish Salt – Karkish ملح</t>
  </si>
  <si>
    <t>لا تقاوم طعم Karkish Salt،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</si>
  <si>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Karkish Salt &amp; Vinegar – Karkish ملح &amp; Vinegar</t>
  </si>
  <si>
    <t>لا تقاوم طعم Karkish Salt &amp; Vinegar،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</si>
  <si>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DORITOS Nacho Cheese – دوريتوس Nacho جبنة</t>
  </si>
  <si>
    <t>DORITOS Sweet Chili Pepper – دوريتوس Sweet Chili Pepper</t>
  </si>
  <si>
    <t>Fonzies Original Cheese Flavoured Corn Snacks 24g – Fonzies أصلي جبنة Flavoured Corn Snacks 24 غرام</t>
  </si>
  <si>
    <t>لا تقاوم طعم Fonzies Original Cheese Flavoured Corn Snacks 24g،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</si>
  <si>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FORNO Authentic Cheese 40g – FORNO Authentic جبنة 40 غرام</t>
  </si>
  <si>
    <t>لا تقاوم طعم FORNO Authentic Cheese 40g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</si>
  <si>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LAYS French Cheese 21g – ليز French جبنة 12 غرام</t>
  </si>
  <si>
    <t>LAYS Salted 12g – ليز مملح 12 غرام</t>
  </si>
  <si>
    <t>LAYS Tomato Ketchup 21g – ليز Tomato كاتشاب 21 غرام</t>
  </si>
  <si>
    <t>Molto Chips Cheese Flavour 16g – Molto شيبس جبنة Flavour 16 غرام</t>
  </si>
  <si>
    <t>لا تقاوم طعم Molto Chips Cheese Flavour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</si>
  <si>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LAYS Barbecue Flavored 184.2g – ليز باربيكيو Flavored 184.2 غرام</t>
  </si>
  <si>
    <t>LAYS Honey Barbecue Flavored 184.2g – ليز عسل باربيكيو Flavored 184.2 غرام</t>
  </si>
  <si>
    <t>Cheetos Cheddar Jalapeño Crunchy 226.6g – تشيتوس Cheddar Jalapeño Crunchy 226.6 غرام</t>
  </si>
  <si>
    <t>LAYS Classic 184.2g – ليز كلاسيك 184.2 غرام</t>
  </si>
  <si>
    <t>LAYS Sour Cream &amp; Onion Flavored 184.2g – ليز Sour كريم &amp; بصل Flavored 184.2 غرام</t>
  </si>
  <si>
    <t>LAYS Salt &amp; Vinegar Flavored 184.2g – ليز ملح &amp; Vinegar Flavored 184.2 غرام</t>
  </si>
  <si>
    <t>LAYS Cheddar &amp; Sour Cream Flavored 184.2g – ليز Cheddar &amp; Sour كريم Flavored 184.2 غرام</t>
  </si>
  <si>
    <t>Cheetos Crunchy 99.2g – تشيتوس Crunchy 99.2 غرام</t>
  </si>
  <si>
    <t>Cheetos Flamin’ Hot Crunchy 99.2g – تشيتوس Flamin’ حار Crunchy 99.2 غرام</t>
  </si>
  <si>
    <t>Cheetos Flamin’ Hot 40g – تشيتوس Flamin’ حار 40 غرام</t>
  </si>
  <si>
    <t>Crispy Potato Chips Mexican Chilli 75g – Crispy Potato شيبس Mexican Chilli 75 غرام</t>
  </si>
  <si>
    <t>لا تقاوم طعم Crispy Potato Chips Mexican Chilli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</si>
  <si>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Moudhish Potato Chips Ready Salted 75g – Al Moudhish Potato شيبس Ready مملح 75 غرام</t>
  </si>
  <si>
    <t>لا تقاوم طعم Al Moudhish Potato Chips Ready Salted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</si>
  <si>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Moudhish Potato Chips 75g – Al Moudhish Potato شيبس 75 غرام</t>
  </si>
  <si>
    <t>لا تقاوم طعم Al Moudhish Potato Chips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</si>
  <si>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Bliss Hummus Chips Original 135g – Bliss Hummus شيبس أصلي 135 غرام</t>
  </si>
  <si>
    <t>لا تقاوم طعم Bliss Hummus Chips Original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</si>
  <si>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Bliss Veggie Straws Original 135g – Bliss Veggie Straws أصلي 135 غرام</t>
  </si>
  <si>
    <t>لا تقاوم طعم Bliss Veggie Straws Original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</si>
  <si>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Bliss Veggie Chips Original 135g – Bliss Veggie شيبس أصلي 135 غرام</t>
  </si>
  <si>
    <t>لا تقاوم طعم Bliss Veggie Chips Original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</si>
  <si>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Doritos Spicy Sweet Chili Flavored 92.1g – دوريتوس حار Sweet Chili Flavored 92.1 غرام</t>
  </si>
  <si>
    <t>Cheetos Crunchy 35.4g – تشيتوس Crunchy 35.4 غرام</t>
  </si>
  <si>
    <t>Cheetos Flamin’ Hot Crunchy 25g – تشيتوس Flamin’ حار Crunchy 25 غرام</t>
  </si>
  <si>
    <t>Cheetos Flamin’ Hot Crunchy Lime 50g – تشيتوس Flamin’ حار Crunchy Lime 50 غرام</t>
  </si>
  <si>
    <t>Fonnzies Chickenator Flavoured Corn Snacks 24g – Fonnzies Chickenator Flavoured Corn Snacks 24 غرام</t>
  </si>
  <si>
    <t>لا تقاوم طعم Fonnzies Chickenator Flavoured Corn Snacks 24g،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</si>
  <si>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Fonnzies BBQ Curry Best Flavoured Corn Snacks 24g – Fonnzies باربيكيو Curry Best Flavoured Corn Snacks 24 غرام</t>
  </si>
  <si>
    <t>لا تقاوم طعم Fonnzies BBQ Curry Best Flavoured Corn Snacks 24g،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</si>
  <si>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Rubiyan Salt &amp; Vinegar Flavour 20g – Rubiyan ملح &amp; Vinegar Flavour 20 غرام</t>
  </si>
  <si>
    <t>لا تقاوم طعم Rubiyan Salt &amp; Vinegar Flavour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</si>
  <si>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Chips 15g – Al Mudhish Potato شيبس 15 غرام</t>
  </si>
  <si>
    <t>لا تقاوم طعم Al Mudhish Potato Chips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</si>
  <si>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Chips Ripples Sour Cream &amp; Onion 15g – Al Mudhish Potato شيبس Ripples Sour كريم &amp; بصل 15 غرام</t>
  </si>
  <si>
    <t>لا تقاوم طعم Al Mudhish Potato Chips Ripples Sour Cream &amp; Onion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</si>
  <si>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Dr Puffs Hot Cheese 18g – Dr Puffs حار جبنة 18 غرام</t>
  </si>
  <si>
    <t>لا تقاوم طعم Dr Puffs Hot Cheese 18g،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</si>
  <si>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Karkish Salt &amp; Vinegar 40g – Karkish ملح &amp; Vinegar 40 غرام</t>
  </si>
  <si>
    <t>لا تقاوم طعم Karkish Salt &amp; Vinegar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</si>
  <si>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Dragos Flamin’ Lime Flavour 25g – Dragos Flamin’ Lime Flavour 25 غرام</t>
  </si>
  <si>
    <t>لا تقاوم طعم Dragos Flamin’ Lime Flavour 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</si>
  <si>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Dragos Cheddar Cheese Flavour 25g – Dragos Cheddar جبنة Flavour 25 غرام</t>
  </si>
  <si>
    <t>لا تقاوم طعم Dragos Cheddar Cheese Flavour 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</si>
  <si>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Batal Popcorn Chilli Flavour 14g – Al Batal فشار Chilli Flavour 14 غرام</t>
  </si>
  <si>
    <t>لا تقاوم طعم Al Batal Popcorn Chilli Flavour 14g،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</si>
  <si>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Balaji Wafers Chataka Pataka Chilli Flavour 65g – Balaji Wafers Chataka Pataka Chilli Flavour 65 غرام</t>
  </si>
  <si>
    <t>لا تقاوم طعم Balaji Wafers Chataka Pataka Chilli Flavour 65g،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</si>
  <si>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Balaji Wafers Chataka Pataka Tomato Flavour 65g – Balaji Wafers Chataka Pataka Tomato Flavour 65 غرام</t>
  </si>
  <si>
    <t>لا تقاوم طعم Balaji Wafers Chataka Pataka Tomato Flavour 65g،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</si>
  <si>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Lay’s Maxx Mexican Chilli 105g – Lay’s Maxx Mexican Chilli 105 غرام</t>
  </si>
  <si>
    <t>لا تقاوم طعم Lay’s Maxx Mexican Chilli 105g،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</si>
  <si>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Lay’s Maxx Chicago Hot Wings 160g – Lay’s Maxx Chicago حار Wings 160 غرام</t>
  </si>
  <si>
    <t>لا تقاوم طعم Lay’s Maxx Chicago Hot Wings 160g،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</si>
  <si>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Lay’s Flamin’ Hot 48g – Lay’s Flamin’ حار 48 غرام</t>
  </si>
  <si>
    <t>لا تقاوم طعم Lay’s Flamin’ Hot 48g،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</si>
  <si>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Balaji Chataka Pataka Spicy Rice &amp; Corn Snacks 75g – Balaji Chataka Pataka حار أرز &amp; Corn Snacks 75 غرام</t>
  </si>
  <si>
    <t>لا تقاوم طعم Balaji Chataka Pataka Spicy Rice &amp; Corn Snacks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</si>
  <si>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Molto Chips Chilli &amp; Vinegar Flavour 16g – Molto شيبس Chilli &amp; Vinegar Flavour 16 غرام</t>
  </si>
  <si>
    <t>لا تقاوم طعم Molto Chips Chilli &amp; Vinegar Flavour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</si>
  <si>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Molto Chips Ketchup Flavour 16g – Molto شيبس كاتشاب Flavour 16 غرام</t>
  </si>
  <si>
    <t>لا تقاوم طعم Molto Chips Ketchup Flavour 16g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</si>
  <si>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Raja Potato Crunchies 12g – Raja Potato Crunchies 12 غرام</t>
  </si>
  <si>
    <t>لا تقاوم طعم Raja Potato Crunchies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</si>
  <si>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Rubiyan Cheesy Flavour 18g – Rubiyan Cheesy Flavour 18 غرام</t>
  </si>
  <si>
    <t>لا تقاوم طعم Rubiyan Cheesy Flavour 18g،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</si>
  <si>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Rubiyan Chips Spicy Cheese Flavour 20g – Rubiyan شيبس حار جبنة Flavour 20 غرام</t>
  </si>
  <si>
    <t>لا تقاوم طعم Rubiyan Chips Spicy Cheese Flavour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</si>
  <si>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Rubiyan Corn Stick Spicy Cheese Flavour 18g – Rubiyan Corn عصا حار جبنة Flavour 18 غرام</t>
  </si>
  <si>
    <t>لا تقاوم طعم Rubiyan Corn Stick Spicy Cheese Flavour 18g،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</si>
  <si>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Ripples Chips 15g – Al Mudhish Ripples شيبس 15 غرام</t>
  </si>
  <si>
    <t>لا تقاوم طعم Al Mudhish Ripples Chips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</si>
  <si>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Raja Potato Crunchies Ketchup 12g – Raja Potato Crunchies كاتشاب 12 غرام</t>
  </si>
  <si>
    <t>لا تقاوم طعم Raja Potato Crunchies Ketchup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</si>
  <si>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Extra Refreshers Strawberry Citrus Sugar Free 30 pcs – Extra Refreshers فراولة Citrus خالي من السكر 30 pcs</t>
  </si>
  <si>
    <t>Gums | العلكة</t>
  </si>
  <si>
    <t>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</si>
  <si>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Extra Peppermint Flavour Sugar Free 60 pcs – Extra Peppermint Flavour خالي من السكر 60 pcs</t>
  </si>
  <si>
    <t>أضف لحظة حلوة إلى يومك مع إكسترا،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</si>
  <si>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Extra Refreshers Tropical Flavour Sugar Free 30 pcs – Extra Refreshers استوائي Flavour خالي من السكر 30 pcs</t>
  </si>
  <si>
    <t>Extra Spearmint Flavour 60 pcs – إكسترا نعناع أخضر 60 حبة</t>
  </si>
  <si>
    <t>Airwaves Chewing Gum 46 pcs – إيرويفز علكة 46 حبة</t>
  </si>
  <si>
    <t>استمتع بـ Airwaves Chewing Gum 46 pcs،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</si>
  <si>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Extra Bubblemint Flavour 60 pcs – إكسترا بابل مينت 60 حبة</t>
  </si>
  <si>
    <t>Extra Watermelon Flavour 60 pcs – إكسترا بطيخ 60 حبة</t>
  </si>
  <si>
    <t>اشرب إكسترا،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</si>
  <si>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Extra Refreshers Bubblemint Flavour Sugar Free 30 pcs – Extra Refreshers Bubblemint Flavour خالي من السكر 30 pcs</t>
  </si>
  <si>
    <t>Extra Blueberry Flavour 60 pcs – إكسترا توت أزرق 60 حبة</t>
  </si>
  <si>
    <t>Extra Refreshers Watermelon Raspberry Flavour Sugar Free 30 pcs – Extra Refreshers Watermelon Raspberry Flavour خالي من السكر 30 pcs</t>
  </si>
  <si>
    <t>Extra Strawberry Flavour 60 pcs – Extra فراولة Flavour 60 pcs</t>
  </si>
  <si>
    <t>Extra Refreshers Spearmint Flavour Sugar Free 30 pcs – Extra Refreshers Spearmint Flavour خالي من السكر 30 pcs</t>
  </si>
  <si>
    <t>Extra Mega Spearmint Chewing Gum 23 Cubes – إكسترا ميغا نعناع علكة 23 قطعة</t>
  </si>
  <si>
    <t>Airwaves Chewing Gum 40 pcs – إيرويفز علكة 40 حبة</t>
  </si>
  <si>
    <t>استمتع بـ Airwaves Chewing Gum 40 pcs،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</si>
  <si>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Extra Mega Peppermint Chewing Gum 23 Cubes – إكسترا ميغا نعناع فلفلي علكة 23 قطعة</t>
  </si>
  <si>
    <t>Extra Bubblemint Flavour Chewing Gum 14g – Extra Bubblemint Flavour Chewing Gum 14 غرام</t>
  </si>
  <si>
    <t>Extra Peppermint Flavour Chewing Gum 14g – Extra Peppermint Flavour Chewing Gum 14 غرام</t>
  </si>
  <si>
    <t>Extra Spearmint Flavour Chewing Gum 14g – Extra Spearmint Flavour Chewing Gum 14 غرام</t>
  </si>
  <si>
    <t>Airwaves Chewing Gum 14g – Airwaves Chewing Gum 14 غرام</t>
  </si>
  <si>
    <t>استمتع بـ Airwaves Chewing Gum 14g،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</si>
  <si>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Extra Strawberry Flavour Chewing Gum 14g – Extra فراولة Flavour Chewing Gum 14 غرام</t>
  </si>
  <si>
    <t>Extra Watermelon Flavour Chewing Gum 14g – Extra Watermelon Flavour Chewing Gum 14 غرام</t>
  </si>
  <si>
    <t>Wrigley’s Doublemint Chewing Gum 5 Sticks – ريغلي دبل مينت علكة 5 قطع</t>
  </si>
  <si>
    <t>استمتع بـ ريغلي،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</si>
  <si>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LAYS Original Taste 155g – ليز أصلي Taste 155 غرام</t>
  </si>
  <si>
    <t>Al Mudhish Potato Ripples Crunch Sour Cream &amp; Onion Flavour 75g – Al Mudhish Potato Ripples Crunch Sour كريم &amp; بصل Flavour 75 غرام</t>
  </si>
  <si>
    <t>لا تقاوم طعم Al Mudhish Potato Ripples Crunch Sour Cream &amp; Onion Flavour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</si>
  <si>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ABC Salt &amp; Vinegar Chips 80g – ABC ملح &amp; Vinegar شيبس 80 غرام</t>
  </si>
  <si>
    <t>لا تقاوم طعم ABC Salt &amp; Vinegar Chips 80g،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</si>
  <si>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Natural Potato Sticks 75g – Al Mudhish طبيعي Potato Sticks 75 غرام</t>
  </si>
  <si>
    <t>لا تقاوم طعم Al Mudhish Natural Potato Sticks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</si>
  <si>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Chilli Out Fire Fingers Spicy Masala 60g – Chilli Out Fire Fingers حار Masala 60 غرام</t>
  </si>
  <si>
    <t>لا تقاوم طعم Chilli Out Fire Fingers Spicy Masala 60g،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</si>
  <si>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Chilli Out Fire Fingers Spicy Honey 60g – Chilli Out Fire Fingers حار عسل 60 غرام</t>
  </si>
  <si>
    <t>لا تقاوم طعم Chilli Out Fire Fingers Spicy Honey 60g،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</si>
  <si>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Chilli Out Fire Fingers Spicy Lemon 60g – Chilli Out Fire Fingers حار ليمون 60 غرام</t>
  </si>
  <si>
    <t>لا تقاوم طعم Chilli Out Fire Fingers Spicy Lemon 60g،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</si>
  <si>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Mexita Hot Chilli &amp; Lime Tortilla Chips 40g – Mexita حار Chilli &amp; Lime Tortilla شيبس 40 غرام</t>
  </si>
  <si>
    <t>لا تقاوم طعم Mexita Hot Chilli &amp; Lime Tortilla Chips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</si>
  <si>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Mexita Sweet Chilli Pepper Tortilla Chips 40g – Mexita Sweet Chilli Pepper Tortilla شيبس 40 غرام</t>
  </si>
  <si>
    <t>لا تقاوم طعم Mexita Sweet Chilli Pepper Tortilla Chips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</si>
  <si>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Mazoon Snack 20g – Mazoon Snack 20 غرام</t>
  </si>
  <si>
    <t>لا تقاوم طعم Mazoon Snack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</si>
  <si>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Batal Salt &amp; Vinegar Potato Chips 12g – Al Batal ملح &amp; Vinegar Potato شيبس 12 غرام</t>
  </si>
  <si>
    <t>لا تقاوم طعم Al Batal Salt &amp; Vinegar Potato Chips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</si>
  <si>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Batal Potato Chips Ketchup Flavour 12g – Al Batal Potato شيبس كاتشاب Flavour 12 غرام</t>
  </si>
  <si>
    <t>لا تقاوم طعم Al Batal Potato Chips Ketchup Flavour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</si>
  <si>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Batal Potato Chips Cheese Flavour 12g – Al Batal Potato شيبس جبنة Flavour 12 غرام</t>
  </si>
  <si>
    <t>لا تقاوم طعم Al Batal Potato Chips Cheese Flavour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</si>
  <si>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Batal Potato Chips Salt Flavour 12g – Al Batal Potato شيبس ملح Flavour 12 غرام</t>
  </si>
  <si>
    <t>لا تقاوم طعم Al Batal Potato Chips Salt Flavour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</si>
  <si>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Cheetos Flamin’ Hot Crunchy Cheese Flavour Snacks – تشيتوس Flamin’ حار Crunchy جبنة Flavour Snacks</t>
  </si>
  <si>
    <t>Doritos Spicy Sweet Chili Flavoured – دوريتوس حار Sweet Chili Flavoured</t>
  </si>
  <si>
    <t>Suroor Natural Potato Chips Ready Salted 14 g
 سرور شرائح البطاطس الطبيعية بنكهة الملح 14 جم</t>
  </si>
  <si>
    <t>لا تقاوم طعم Suroor Natural Potato Chips Ready Salted 14 g
 سرور شرائح البطاطس الطبيعية بنكهة الملح 14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</si>
  <si>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Suroor Natural Potato Chips Chilli 14 g
 سرور شرائح البطاطس الطبيعية بنكهة الشطة 14 جم</t>
  </si>
  <si>
    <t>لا تقاوم طعم Suroor Natural Potato Chips Chilli 14 g
 سرور شرائح البطاطس الطبيعية بنكهة الشطة 14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</si>
  <si>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Chips Ripples Crunch Sour Cream &amp; Onion Flavour 15 g
 أل مدّيش شرائح البطاطس المموجة المقرمشة بنكهة القشدة الحامضة والبصل 15 جم</t>
  </si>
  <si>
    <t>لا تقاوم طعم Al Mudhish Potato Chips Ripples Crunch Sour Cream &amp; Onion Flavour 15 g
 أل مدّيش شرائح البطاطس المموجة المقرمشة بنكهة القشدة الحامضة والبصل 15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</si>
  <si>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Suroor Natural Potato Chips Tomato Ketchup 14 g
 سرور شرائح البطاطس الطبيعية بنكهة الكاتشب 14 جم</t>
  </si>
  <si>
    <t>لا تقاوم طعم Suroor Natural Potato Chips Tomato Ketchup 14 g
 سرور شرائح البطاطس الطبيعية بنكهة الكاتشب 14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</si>
  <si>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Suroor Natural Potato Chips Salt &amp; Vinegar 14 g
 سرور شرائح البطاطس الطبيعية بنكهة الملح والخل 14 جم</t>
  </si>
  <si>
    <t>لا تقاوم طعم Suroor Natural Potato Chips Salt &amp; Vinegar 14 g
 سرور شرائح البطاطس الطبيعية بنكهة الملح والخل 14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</si>
  <si>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Sohar Chips 22 g – Sohar شيبس 22 غرام</t>
  </si>
  <si>
    <t>لا تقاوم طعم Sohar Chips 22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</si>
  <si>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Mudish Tortilla Chips – Pizza Flavour 20 g – Al Mudish Tortilla شيبس – Pizza Flavour 20 غرام</t>
  </si>
  <si>
    <t>لا تقاوم طعم Al Mudish Tortilla Chips – Pizza Flavour 20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</si>
  <si>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Qatar Pafki 15 g – Qatar Pafki 15 غرام</t>
  </si>
  <si>
    <t>لا تقاوم طعم Qatar Pafki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</si>
  <si>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Bliss Veggie Straws Original 27 g – Bliss Veggie Straws أصلي 27 غرام</t>
  </si>
  <si>
    <t>لا تقاوم طعم Bliss Veggie Straws Original 27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</si>
  <si>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Smokey BBQ 15 g – Batatos Smokey باربيكيو 15 غرام</t>
  </si>
  <si>
    <t>لا تقاوم طعم Batatos Smokey BBQ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</si>
  <si>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Rings – Salsa Flavour 15 g – Al Mudhish Potato Rings – Salsa Flavour 15 غرام</t>
  </si>
  <si>
    <t>لا تقاوم طعم Al Mudhish Potato Rings – Salsa Flavour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</si>
  <si>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Nice Hot &amp; Spicy Natural Potato Chips 167 g – Nice حار &amp; حار طبيعي Potato شيبس 167 غرام</t>
  </si>
  <si>
    <t>لا تقاوم طعم Nice Hot &amp; Spicy Natural Potato Chips 167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</si>
  <si>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Nice Lightly Salted Natural Potato Chips 167 g – Nice Lightly مملح طبيعي Potato شيبس 167 غرام</t>
  </si>
  <si>
    <t>لا تقاوم طعم Nice Lightly Salted Natural Potato Chips 167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</si>
  <si>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Nice Paprika Natural Potato Chips 167 g – Nice Paprika طبيعي Potato شيبس 167 غرام</t>
  </si>
  <si>
    <t>لا تقاوم طعم Nice Paprika Natural Potato Chips 167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</si>
  <si>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Nice Salt &amp; Vinegar Natural Potato Chips 167 g – Nice ملح &amp; Vinegar طبيعي Potato شيبس 167 غرام</t>
  </si>
  <si>
    <t>لا تقاوم طعم Nice Salt &amp; Vinegar Natural Potato Chips 167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</si>
  <si>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Nice French Cheese Natural Potato Chips 80 g – Nice French جبنة طبيعي Potato شيبس 80 غرام</t>
  </si>
  <si>
    <t>لا تقاوم طعم Nice French Cheese Natural Potato Chips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</si>
  <si>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Nice Paprika Natural Potato Chips 80 g – Nice Paprika طبيعي Potato شيبس 80 غرام</t>
  </si>
  <si>
    <t>لا تقاوم طعم Nice Paprika Natural Potato Chips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</si>
  <si>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Nice Tomato Ketchup Natural Potato Chips 80 g – Nice Tomato كاتشاب طبيعي Potato شيبس 80 غرام</t>
  </si>
  <si>
    <t>لا تقاوم طعم Nice Tomato Ketchup Natural Potato Chips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</si>
  <si>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Nice Lightly Salted Natural Potato Chips 80 g – Nice Lightly مملح طبيعي Potato شيبس 80 غرام</t>
  </si>
  <si>
    <t>لا تقاوم طعم Nice Lightly Salted Natural Potato Chips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</si>
  <si>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Chips Oman Chili Flavour 100 g – شيبس Oman Chili Flavour 100 غرام</t>
  </si>
  <si>
    <t>لا تقاوم طعم Chips Oman Chili Flavour 100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</si>
  <si>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Salad Chips 75 g – Salad شيبس 75 غرام</t>
  </si>
  <si>
    <t>لا تقاوم طعم Salad Chips 75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</si>
  <si>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Molto Chips Cheese Flavour 70 g – Molto شيبس جبنة Flavour 70 غرام</t>
  </si>
  <si>
    <t>لا تقاوم طعم Molto Chips Cheese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</si>
  <si>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Molto Chips Barbecue Flavour 70 g – Molto شيبس باربيكيو Flavour 70 غرام</t>
  </si>
  <si>
    <t>لا تقاوم طعم Molto Chips Barbecue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</si>
  <si>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Molto Chips Chilli &amp; Lemon Flavour 70 g – Molto شيبس Chilli &amp; ليمون Flavour 70 غرام</t>
  </si>
  <si>
    <t>لا تقاوم طعم Molto Chips Chilli &amp; Lemon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</si>
  <si>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Molto Chips Salt Flavour 70 g – Molto شيبس ملح Flavour 70 غرام</t>
  </si>
  <si>
    <t>لا تقاوم طعم Molto Chips Salt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</si>
  <si>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Molto Chips Ketchup Flavour 70 g – Molto شيبس كاتشاب Flavour 70 غرام</t>
  </si>
  <si>
    <t>لا تقاوم طعم Molto Chips Ketchup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</si>
  <si>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Karkish Natural Potato Chips Barbecue Flavour 40 g – Karkish طبيعي Potato شيبس باربيكيو Flavour 40 غرام</t>
  </si>
  <si>
    <t>لا تقاوم طعم Karkish Natural Potato Chips Barbecue Flavour 40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</si>
  <si>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Takis Fuego Hot Chili Pepper &amp; Lime Tortilla Chips, Artificially Flavoured 113.4 g – Takis Fuego حار Chili Pepper &amp; Lime Tortilla Chips, Artificially Flavoured 113.4 غرام</t>
  </si>
  <si>
    <t>لا تقاوم طعم Takis Fuego Hot Chili Pepper &amp; Lime Tortilla Chips, Artificially Flavoured 113.4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</si>
  <si>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Takis Zombie Habanero &amp; Cucumber Tortilla Chips, Artificially Flavoured 92.3 g – Takis Zombie Habanero &amp; Cucumber Tortilla Chips, Artificially Flavoured 92.3 غرام</t>
  </si>
  <si>
    <t>لا تقاوم طعم Takis Zombie Habanero &amp; Cucumber Tortilla Chips, Artificially Flavoured 92.3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</si>
  <si>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Takis Blue Heat Hot Chili Pepper &amp; Lime Tortilla Chips, Artificially Flavoured 113.4 g – Takis Blue Heat حار Chili Pepper &amp; Lime Tortilla Chips, Artificially Flavoured 113.4 غرام</t>
  </si>
  <si>
    <t>لا تقاوم طعم Takis Blue Heat Hot Chili Pepper &amp; Lime Tortilla Chips, Artificially Flavoured 113.4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</si>
  <si>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ABC Ketchup 12 g – ABC كاتشاب 12 غرام</t>
  </si>
  <si>
    <t>لا تقاوم طعم ABC Ketchup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</si>
  <si>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Chips Oman Chili Flavour 15 g – شيبس Oman Chili Flavour 15 غرام</t>
  </si>
  <si>
    <t>لا تقاوم طعم Chips Oman Chili Flavour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</si>
  <si>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Salad Chips 15 g – Salad شيبس 15 غرام</t>
  </si>
  <si>
    <t>لا تقاوم طعم Salad Chips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</si>
  <si>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Mini Takis Fuego Hot Chili Pepper &amp; Lime Artificially Flavoured Tortilla Chips 35 g – ميني Takis Fuego حار Chili Pepper &amp; Lime Artificially Flavoured Tortilla شيبس 35 غرام</t>
  </si>
  <si>
    <t>لا تقاوم طعم Mini Takis Fuego Hot Chili Pepper &amp; Lime Artificially Flavoured Tortilla Chips 35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</si>
  <si>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Raja Potatos Crunchies Ketchup 60 g – Raja Potatos Crunchies كاتشاب 60 غرام</t>
  </si>
  <si>
    <t>لا تقاوم طعم Raja Potatos Crunchies Ketchup 60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</si>
  <si>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Chilli Out Fire Fingers Spicy Shrimp 60 g – Chilli Out Fire Fingers حار Shrimp 60 غرام</t>
  </si>
  <si>
    <t>لا تقاوم طعم Chilli Out Fire Fingers Spicy Shrimp 60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</si>
  <si>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Chilli Out Fire Fingers Spicy Chicken 60 g – Chilli Out Fire Fingers حار Chicken 60 غرام</t>
  </si>
  <si>
    <t>لا تقاوم طعم Chilli Out Fire Fingers Spicy Chicken 60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</si>
  <si>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ABC Cheese 12 g – ABC جبنة 12 غرام</t>
  </si>
  <si>
    <t>لا تقاوم طعم ABC Cheese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</si>
  <si>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Date &amp; Almond Bar Granio Milk Chocolate 40 GM – Date &amp; لوز قطعة Granio حليب شوكولاتة 40 GM</t>
  </si>
  <si>
    <t>دلّل حواسك مع Date &amp; Almond Bar Granio Milk Chocolate 40 GM،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</si>
  <si>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Nutella Biscuits 1.4 GM – نوتيلا Biscuits 1.4 GM</t>
  </si>
  <si>
    <t>Ülker Rulokat 24 GM – أولكر رولوكات 24 غرام</t>
  </si>
  <si>
    <t>لا تقاوم طعم Ülker Rulokat 24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</si>
  <si>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Jordina Tropi 35 GM – جوردينا تروبي 35 غرام</t>
  </si>
  <si>
    <t>لا تقاوم طعم Jordina Tropi 35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</si>
  <si>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Ülker Çikolatalı Gofret 36 GM – أولكر غوفريت بالشوكولاتة 36 غرام</t>
  </si>
  <si>
    <t>لا تقاوم طعم Ülker Çikolatalı Gofret 36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</si>
  <si>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Loacker Classic Cremkakao 45 GM – Loacker كلاسيك Cremkakao 45 GM</t>
  </si>
  <si>
    <t>لا تقاوم طعم Loacker Classic Cremkakao 45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</si>
  <si>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Loacker Classic Napolitaner 45 GM – Loacker كلاسيك Napolitaner 45 GM</t>
  </si>
  <si>
    <t>لا تقاوم طعم Loacker Classic Napolitaner 45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</si>
  <si>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Maltesers 37 GM – مالتيزرز 37 GM</t>
  </si>
  <si>
    <t>لا تقاوم طعم Maltesers 37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</si>
  <si>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Astor Mini Stick 20 GM – Astor ميني عصا 20 GM</t>
  </si>
  <si>
    <t>لا تقاوم طعم Astor Mini Stick 20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</si>
  <si>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M&amp;M’s Chocolate 45 GM – M&amp;M’s شوكولاتة 45 GM</t>
  </si>
  <si>
    <t>دلّل حواسك مع إم آند إم،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</si>
  <si>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Nestlé Lion 30 GM – نستله Lion 30 GM</t>
  </si>
  <si>
    <t>لا تقاوم طعم Nestlé Lion 30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</si>
  <si>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M&amp;M’s Peanut 45 GM – M&amp;M’s فول سوداني 45 GM</t>
  </si>
  <si>
    <t>اختر إم آند إم،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</si>
  <si>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Go On Protein Cocoa Chocolate Vitamin 7 – 50 GM – Go On Protein Cocoa شوكولاتة فيتامين 7 – 50 GM</t>
  </si>
  <si>
    <t>دلّل حواسك مع Go On Protein Cocoa Chocolate Vitamin 7 – 50 GM،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</si>
  <si>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Go On Vitamin L-Carnitine Magnesium 7 Vitamins 50 GM – Go On فيتامين L-Carnitine Magnesium 7 فيتامينات 50 GM</t>
  </si>
  <si>
    <t>لا تقاوم طعم Go On Vitamin L-Carnitine Magnesium 7 Vitamins 50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</si>
  <si>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Galaxy Minstrels Pleasure Worth Sharing 42 GM – غالاكسي Minstrels Pleasure Worth Sharing 42 GM</t>
  </si>
  <si>
    <t>لا تقاوم طعم Galaxy Minstrels Pleasure Worth Sharing 42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</si>
  <si>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Nestlé KitKat 36.5 GM – نستله كيت كات 36.5 GM</t>
  </si>
  <si>
    <t>دلّل حواسك مع كيت كات،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</si>
  <si>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Nestlé KitKat 18 GM – نستله كيت كات 18 GM</t>
  </si>
  <si>
    <t>Flake 32 GM – فليك شوكولاتة 32 غرام</t>
  </si>
  <si>
    <t>لا تقاوم طعم Flake 32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</si>
  <si>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M&amp;M's Snacks 36 GM – إم آند إم سناكس 36 غرام</t>
  </si>
  <si>
    <t>لا تقاوم طعم إم آند إم،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</si>
  <si>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Nestlé KitKat Crunchy 40 GM – نستله كيت كات Crunchy 40 GM</t>
  </si>
  <si>
    <t>Sando Italian Recipe Chocolate Wafer 32 GM – Sando Italian Recipe شوكولاتة ويفر 32 GM</t>
  </si>
  <si>
    <t>دلّل حواسك مع Sando Italian Recipe Chocolate Wafer 32 GM،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</si>
  <si>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Ferrero Rocher 37.5 GM – فيريرو روشيه 37.5 GM</t>
  </si>
  <si>
    <t>دلّل حواسك مع فيريرو،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</si>
  <si>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Confetteria Raffaello 30 GM – Confetteria رافاييلو 30 GM</t>
  </si>
  <si>
    <t>لا تقاوم طعم Confetteria Raffaello 30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</si>
  <si>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X-Treme Sour Candy 18 GM – إكستريم حلوى حامضة 18 غرام</t>
  </si>
  <si>
    <t>Candy | الحلوى 🍬</t>
  </si>
  <si>
    <t>أضف لحظة حلوة إلى يومك مع X-Treme Sour Candy 18 GM،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</si>
  <si>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Brain Blasterz Sour Powder with Lolly Dipper 10 GM – Brain Blasterz Sour بودرة with Lolly Dipper 10 GM</t>
  </si>
  <si>
    <t>لا تقاوم طعم Brain Blasterz Sour Powder with Lolly Dipper 10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</si>
  <si>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Hot Dog with Candy Mustard 15 ML – حار Dog with Candy Mustard 15 مل</t>
  </si>
  <si>
    <t>أضف لحظة حلوة إلى يومك مع Hot Dog with Candy Mustard 15 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</si>
  <si>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Kiokpop Candy Orange 5G – Kiokpop Candy برتقال 5 غرام</t>
  </si>
  <si>
    <t>أضف لحظة حلوة إلى يومك مع Kiokpop Candy Orange 5G،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</si>
  <si>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Chupa Chups Soft Bubble Gum Babol Tutti Frutti Flavour 27 GM – تشوبا تشوبس Soft Bubble Gum Babol Tutti Frutti Flavour 27 GM</t>
  </si>
  <si>
    <t>استمتع بـ Chupa Chups Soft Bubble Gum Babol Tutti Frutti Flavour 27 GM،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</si>
  <si>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Soft Bubble Gum Babol Strawberry Flavour 27 GM – تشوبا تشوبس Soft Bubble Gum Babol فراولة Flavour 27 GM</t>
  </si>
  <si>
    <t>استمتع بـ Chupa Chups Soft Bubble Gum Babol Strawberry Flavour 27 GM،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</si>
  <si>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Galaxy Crispy 36 GM – غالاكسي Crispy 36 GM</t>
  </si>
  <si>
    <t>لا تقاوم طعم Galaxy Crispy 36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</si>
  <si>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Snickers 70 GM – سنيكرز 70 GM</t>
  </si>
  <si>
    <t>Snickers 45 GM – سنيكرز 45 GM</t>
  </si>
  <si>
    <t>Snickers Creamy Peanut Butter 36.5 GM – سنيكرز Creamy فول سوداني زبدة 36.5 GM</t>
  </si>
  <si>
    <t>Snickers Dark 42 GM – سنيكرز داكن 42 GM</t>
  </si>
  <si>
    <t>Snickers X-Treme 42 GM – سنيكرز X-Treme 42 GM</t>
  </si>
  <si>
    <t>Spark 18 gm – سبارك 18 غرام</t>
  </si>
  <si>
    <t>لا تقاوم طعم Spark 18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</si>
  <si>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Galaxy Cookie Crumble 36 gm – غالاكسي كوكيز Crumble 36 gm</t>
  </si>
  <si>
    <t>لا تقاوم طعم Galaxy Cookie Crumble 36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</si>
  <si>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Galaxy Fruit &amp; Nut 36 gm – غالاكسي Fruit &amp; Nut 36 gm</t>
  </si>
  <si>
    <t>اختر Galaxy Fruit &amp; Nut 36 gm،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</si>
  <si>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Galaxy Hazelnut 36 gm – غالاكسي بندق 36 gm</t>
  </si>
  <si>
    <t>اختر Galaxy Hazelnut 36 gm،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</si>
  <si>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Galaxy Smooth Dark 40 gm – غالاكسي Smooth داكن 40 gm</t>
  </si>
  <si>
    <t>لا تقاوم طعم Galaxy Smooth Dark 40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</si>
  <si>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Galaxy Smooth White 38 gm – غالاكسي Smooth أبيض 38 gm</t>
  </si>
  <si>
    <t>لا تقاوم طعم Galaxy Smooth White 38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</si>
  <si>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Galaxy Smooth Milk 36 gm – غالاكسي Smooth حليب 36 gm</t>
  </si>
  <si>
    <t>لا تقاوم طعم Galaxy Smooth Milk 36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</si>
  <si>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Ülker Laviva 35 gm – أولكر لافيفا 35 غرام</t>
  </si>
  <si>
    <t>لا تقاوم طعم Ülker Laviva 35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</si>
  <si>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Galaxy Caramel 40 gm – غالاكسي كراميل 40 gm</t>
  </si>
  <si>
    <t>لا تقاوم طعم Galaxy Caramel 40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</si>
  <si>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Godiva Belgium 1926 Double Chocolate Bar 35 gm – غوديفا Belgium 1926 Double شوكولاتة قطعة 35 gm</t>
  </si>
  <si>
    <t>دلّل حواسك مع Godiva Belgium 1926 Double Chocolate Bar 35 gm،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</si>
  <si>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Snickers Wafer Rolls 24 gm – سنيكرز ويفر Rolls 24 gm</t>
  </si>
  <si>
    <t>Haribo Mega-Roulette 45 gm – هاريبو Mega-Roulette 45 gm</t>
  </si>
  <si>
    <t>أضف لحظة حلوة إلى يومك مع هاريبو،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</si>
  <si>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Ülker Katkattat Hazelnut Cream 28 gm – Ülker Katkattat بندق كريم 28 gm</t>
  </si>
  <si>
    <t>اختر Ülker Katkattat Hazelnut Cream 28 gm،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</si>
  <si>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Ülker Hobby 30 gm – أولكر هوبي 30 غرام</t>
  </si>
  <si>
    <t>لا تقاوم طعم Ülker Hobby 30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</si>
  <si>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Ülker Laviva Milky Cream Filling 35 gm – Ülker Laviva Milky كريم Filling 35 gm</t>
  </si>
  <si>
    <t>لا تقاوم طعم Ülker Laviva Milky Cream Filling 35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</si>
  <si>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Ülker Çikolata Hazelnut 40 gm – Ülker Çikolata بندق 40 gm</t>
  </si>
  <si>
    <t>اختر Ülker Çikolata Hazelnut 40 gm،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</si>
  <si>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Bounty 50 gm – باونتي 50 gm</t>
  </si>
  <si>
    <t>دلّل حواسك مع باونتي،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</si>
  <si>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Boundry Wafer Rolls – Boundry ويفر Rolls</t>
  </si>
  <si>
    <t>Biscuits &amp; Wafers – البسكويت والويفر</t>
  </si>
  <si>
    <t>لا تقاوم طعم Boundry Wafer Rolls،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</si>
  <si>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Twix Wafer Rolls 22.5 gm – تويكس ويفر Rolls 22.5 gm</t>
  </si>
  <si>
    <t>دلّل حواسك مع تويكس،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</si>
  <si>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Nestlé Tola Crispy Wafer with Caramel &amp; Milk Chocolate – نستله Tola Crispy ويفر with كراميل &amp; حليب شوكولاتة</t>
  </si>
  <si>
    <t>دلّل حواسك مع Nestlé Tola Crispy Wafer with Caramel &amp; Milk Chocolate،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</si>
  <si>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Snickers Chocolate Bar – سنيكرز شوكولاتة قطعة</t>
  </si>
  <si>
    <t>Kinder Bueno White 3.5g – كيندر Bueno أبيض 3.5 غرام</t>
  </si>
  <si>
    <t>دلّل حواسك مع كيندر،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</si>
  <si>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Kinder Cards 25.6g – كيندر Cards 25.6 غرام</t>
  </si>
  <si>
    <t>Kinder Maxi 21g – كيندر Maxi 21 غرام</t>
  </si>
  <si>
    <t>Kinder Chocolate 4 Bars 50g – كيندر شوكولاتة 4 Bars 50 غرام</t>
  </si>
  <si>
    <t>Twix Top 21g – تويكس Top 21 غرام</t>
  </si>
  <si>
    <t>Twix White 23g – تويكس أبيض 23غ</t>
  </si>
  <si>
    <t>Dubai Chocolate Pistachio with Kunafa 27g – شوكولاتة دبي فستق مع كنافة 27غ</t>
  </si>
  <si>
    <t>دلّل حواسك مع Dubai Chocolate Pistachio with Kunafa 27g
 ،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</si>
  <si>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Milky Bar 12g – ميلكي بار 12غ</t>
  </si>
  <si>
    <t>لا تقاوم طعم Milky Bar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</si>
  <si>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Frit-C Belts Strawberry 20g – فريت سي بيلتس فراولة 20غ</t>
  </si>
  <si>
    <t>لا تقاوم طعم Frit-C Belts Licorice Belts Strawberry Flavour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</si>
  <si>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Smokey BBQ 15g – بطاطس سموكي باربيكيو 15غ</t>
  </si>
  <si>
    <t>لا تقاوم طعم Batatos Smokey BBQ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</si>
  <si>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Classic 15g – بطاطس كلاسيك 15غ</t>
  </si>
  <si>
    <t>لا تقاوم طعم Batatos Classic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</si>
  <si>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Tangy Ketchup 15g – بطاطس كاتشب 15غ</t>
  </si>
  <si>
    <t>لا تقاوم طعم Batatos Tangy Ketchup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</si>
  <si>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Spicy 15g – بطاطس حار 15غ</t>
  </si>
  <si>
    <t>لا تقاوم طعم Batatos Spicy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</si>
  <si>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Wisconsin Cheddar 15g – بطاطس ويسكونسن شيدر 15غ</t>
  </si>
  <si>
    <t>لا تقاوم طعم Batatos Wisconsin Cheddar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</si>
  <si>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Albadia Potato Chips 16g – البادية شيبس بطاطس 16غ</t>
  </si>
  <si>
    <t>لا تقاوم طعم Albadia Potato Chips 16g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</si>
  <si>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Albadia Potato Chips Chilli 16g – البادية شيبس بطاطس فلفل حار 16غ</t>
  </si>
  <si>
    <t>لا تقاوم طعم Albadia Potato Chips Chilli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</si>
  <si>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Potato Ripples Crunch Cheese 15g – رقائق بطاطس جبنة 15غ</t>
  </si>
  <si>
    <t>لا تقاوم طعم Potato Ripples Crunch Cheese Flavour 15g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</si>
  <si>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Mudhish Potato Chips Ready Salted 15g – Al Mudhish Potato شيبس Ready مملح 15 غرام</t>
  </si>
  <si>
    <t>لا تقاوم طعم Al Mudhish Potato Chips Ready Salted 15g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</si>
  <si>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Mexita Sweet &amp; Sour Tortilla Chips 180g – Mexita Sweet &amp; Sour Tortilla شيبس 180 غرام</t>
  </si>
  <si>
    <t>لا تقاوم طعم Mexita Sweet &amp; Sour Tortilla Chips 180g،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</si>
  <si>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Mexita Sweet Chilli Pepper Tortilla Chips 180g – Mexita Sweet Chilli Pepper Tortilla شيبس 180 غرام</t>
  </si>
  <si>
    <t>لا تقاوم طعم Mexita Sweet Chilli Pepper Tortilla Chips 180g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</si>
  <si>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Mexita Nacho Cheese Tortilla Chips 180g – Mexita Nacho جبنة Tortilla شيبس 180 غرام</t>
  </si>
  <si>
    <t>لا تقاوم طعم Mexita Nacho Cheese Tortilla Chips 180g،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</si>
  <si>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Mexita Hot Chilli &amp; Lime Tortilla Chips 180g – Mexita حار Chilli &amp; Lime Tortilla شيبس 180 غرام</t>
  </si>
  <si>
    <t>لا تقاوم طعم Mexita Hot Chilli &amp; Lime Tortilla Chips 180g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</si>
  <si>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Karkish Caramelized Onion 85g – Karkish Caramelized بصل 85 غرام</t>
  </si>
  <si>
    <t>لا تقاوم طعم Karkish Caramelized Onion 85g،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</si>
  <si>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Karkish Nacho Cheese 85g – Karkish Nacho جبنة 85 غرام</t>
  </si>
  <si>
    <t>لا تقاوم طعم Karkish Nacho Cheese 85g،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</si>
  <si>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Karkish Paprika 40g – Karkish Paprika 40 غرام</t>
  </si>
  <si>
    <t>لا تقاوم طعم Karkish Paprika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</si>
  <si>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Karkish French Cheese 40g – Karkish French جبنة 40 غرام</t>
  </si>
  <si>
    <t>لا تقاوم طعم Karkish French Cheese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</si>
  <si>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Karkish Hot Chilli 40g – Karkish حار Chilli 40 غرام</t>
  </si>
  <si>
    <t>لا تقاوم طعم Karkish Hot Chilli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</si>
  <si>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Bugles Chilli Cheese 65g – Bugles Chilli جبنة 65 غرام</t>
  </si>
  <si>
    <t>لا تقاوم طعم Bugles Chilli Cheese 65g،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</si>
  <si>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Batal Salt &amp; Vinegar Flavour 110g – Al Batal ملح &amp; Vinegar Flavour 110 غرام</t>
  </si>
  <si>
    <t>لا تقاوم طعم Al Batal Salt &amp; Vinegar Flavour 110g،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</si>
  <si>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Bugles Algerian Sauce Flavour 65g – Bugles Algerian Sauce Flavour 65 غرام</t>
  </si>
  <si>
    <t>لا تقاوم طعم Bugles Algerian Sauce Flavour 65g،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</si>
  <si>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Batal Cheese Flavour 110g – Al Batal جبنة Flavour 110 غرام</t>
  </si>
  <si>
    <t>لا تقاوم طعم Al Batal Cheese Flavour 110g،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</si>
  <si>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 Batal Ketchup Flavour 110g – Al Batal كاتشاب Flavour 110 غرام</t>
  </si>
  <si>
    <t>لا تقاوم طعم Al Batal Ketchup Flavour 110g،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</si>
  <si>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Spicy Flavour 167g – Batatos حار Flavour 167 غرام</t>
  </si>
  <si>
    <t>لا تقاوم طعم Batatos Spicy Flavour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</si>
  <si>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Smoky BBQ 167g – Batatos Smoky باربيكيو 167 غرام</t>
  </si>
  <si>
    <t>لا تقاوم طعم Batatos Smoky BBQ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</si>
  <si>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Classic Salted 167g – Batatos كلاسيك مملح 167 غرام</t>
  </si>
  <si>
    <t>Dairy Beverages – المشروبات الألبانية</t>
  </si>
  <si>
    <t>لا تقاوم طعم Batatos Classic Salted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</si>
  <si>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Wisconsin Cheddar 167g – Batatos Wisconsin Cheddar 167 غرام</t>
  </si>
  <si>
    <t>لا تقاوم طعم Batatos Wisconsin Cheddar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</si>
  <si>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Tangy Ketchup 167g – Batatos Tangy كاتشاب 167 غرام</t>
  </si>
  <si>
    <t>لا تقاوم طعم Batatos Tangy Ketchup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</si>
  <si>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Batatos Salt 167g – Batatos ملح 167 غرام</t>
  </si>
  <si>
    <t>لا تقاوم طعم Batatos Salt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</si>
  <si>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Peanut Butter Bar Granio Milk Chocolate 40g – فول سوداني زبدة قطعة Granio حليب شوكولاتة 40 غرام</t>
  </si>
  <si>
    <t>دلّل حواسك مع Peanut Butter Bar Granio Milk Chocolate 40g،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</si>
  <si>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Galaxy Flutes 45g – غالاكسي Flutes 45 غرام</t>
  </si>
  <si>
    <t>لا تقاوم طعم Galaxy Flutes 45g،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</si>
  <si>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Galaxy Ripple 30g – غالاكسي Ripple 30 غرام</t>
  </si>
  <si>
    <t>لا تقاوم طعم Galaxy Ripple 30g،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</si>
  <si>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Smarties 38g – Smarties 38 غرام</t>
  </si>
  <si>
    <t>لا تقاوم طعم Smarties 38g،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</si>
  <si>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Ülker Cocoa Cream 40g – Ülker Cocoa كريم 40 غرام</t>
  </si>
  <si>
    <t>لا تقاوم طعم Ülker Cocoa Cream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</si>
  <si>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Chupa Chups Bites Fruit Flavour 24.2g – تشوبا تشوبس Bites Fruit Flavour 24.2 غرام</t>
  </si>
  <si>
    <t>لا تقاوم طعم Chupa Chups Bites Fruit Flavour 24.2g،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</si>
  <si>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Twin Burger 14g – Twin Burger 14 غرام</t>
  </si>
  <si>
    <t>لا تقاوم طعم Twin Burger 14g،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</si>
  <si>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Narshmallow 13g – Narshmallow 13 غرام</t>
  </si>
  <si>
    <t>لا تقاوم طعم Narshmallow 13g،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</si>
  <si>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Color Bubble Pencil 12g – Color Bubble Pencil 12 غرام</t>
  </si>
  <si>
    <t>لا تقاوم طعم Color Bubble Pencil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</si>
  <si>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Jelly Cola 20g – Jelly Cola 20 غرام</t>
  </si>
  <si>
    <t>أضف لحظة حلوة إلى يومك مع Jelly Cola 20g،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</si>
  <si>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Brain Blasters Sour Candy 45g – Brain Blasters Sour Candy 45 غرام</t>
  </si>
  <si>
    <t>أضف لحظة حلوة إلى يومك مع Brain Blasters Sour Candy 45g،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</si>
  <si>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Ring Candy Strawberry 10g – Ring Candy فراولة 10 غرام</t>
  </si>
  <si>
    <t>أضف لحظة حلوة إلى يومك مع Ring Candy Strawberry 10g،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</si>
  <si>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Sour Punk Strawberry 20g – Sour Punk فراولة 20 غرام</t>
  </si>
  <si>
    <t>لا تقاوم طعم Sour Punk Strawberry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</si>
  <si>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Sour Punk Blueberry 50g – Sour Punk Blueberry 50 غرام</t>
  </si>
  <si>
    <t>لا تقاوم طعم Sour Punk Blueberry 50g،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</si>
  <si>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Sour Punk Cola Flavour 50g – Sour Punk Cola Flavour 50 غرام</t>
  </si>
  <si>
    <t>استمتع بـ Sour Punk Cola Flavour 50g،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</si>
  <si>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Sour Punk Apple Flavour 40g – Sour Punk تفاح Flavour 40 غرام</t>
  </si>
  <si>
    <t>لا تقاوم طعم Sour Punk Apple Flavour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</si>
  <si>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Bebeto Cobra X Jelly Gum 30g – Bebeto Cobra X Jelly Gum 30 غرام</t>
  </si>
  <si>
    <t>استمتع بـ Bebeto Cobra X Jelly Gum 30g،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</si>
  <si>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Marshmallow Flower 15g – Marshmallow Flower 15 غرام</t>
  </si>
  <si>
    <t>لا تقاوم طعم مارس،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</si>
  <si>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Scary Eyes Chewy Candy 39g – Scary Eyes Chewy Candy 39 غرام</t>
  </si>
  <si>
    <t>أضف لحظة حلوة إلى يومك مع Scary Eyes Chewy Candy 39g،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</si>
  <si>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Funkee Dips Blue Raspberry Sherbet with Candy Dipstick 12g – Funkee Dips Blue Raspberry Sherbet with Candy Dipstick 12 غرام</t>
  </si>
  <si>
    <t>أضف لحظة حلوة إلى يومك مع Funkee Dips Blue Raspberry Sherbet with Candy Dipstick 12g،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</si>
  <si>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Jellopy Rainbow Licorice 20g – Jellopy Rainbow Licorice 20 غرام</t>
  </si>
  <si>
    <t>لا تقاوم طعم Jellopy Rainbow Licorice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</si>
  <si>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Funny Faces Chewy Candy 39g – Funny Faces Chewy Candy 39 غرام</t>
  </si>
  <si>
    <t>أضف لحظة حلوة إلى يومك مع Funny Faces Chewy Candy 39g،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</si>
  <si>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Yupi Fruit Cocktails 14g – Yupi Fruit Cocktails 14 غرام</t>
  </si>
  <si>
    <t>لا تقاوم طعم Yupi Fruit Cocktails 14g،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</si>
  <si>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Bubbles Squeeze 40g – Bubbles Squeeze 40 غرام</t>
  </si>
  <si>
    <t>لا تقاوم طعم Bubbles Squeeze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</si>
  <si>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Fruit Roll Strawberry Flavour 12g – Fruit Roll فراولة Flavour 12 غرام</t>
  </si>
  <si>
    <t>لا تقاوم طعم Fruit Roll Strawberry Flavour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</si>
  <si>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Sour Stick Apple Flavour 20g – Sour عصا تفاح Flavour 20 غرام</t>
  </si>
  <si>
    <t>لا تقاوم طعم Sour Stick Apple Flavour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</si>
  <si>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Mallow Iam Filled Mallows 20g – Mallow Iam Filled Mallows 20 غرام</t>
  </si>
  <si>
    <t>لا تقاوم طعم Mallow Iam Filled Mallows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</si>
  <si>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Brain Blasters 45g – Brain Blasters 45 غرام</t>
  </si>
  <si>
    <t>لا تقاوم طعم Brain Blasters 45g،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</si>
  <si>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Ring Candy Grape Flavour 10g – Ring Candy عنب Flavour 10 غرام</t>
  </si>
  <si>
    <t>أضف لحظة حلوة إلى يومك مع Ring Candy Grape Flavour 10g،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</si>
  <si>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Tazzy Mini Licorice Strawberry 25g – Tazzy ميني Licorice فراولة 25 غرام</t>
  </si>
  <si>
    <t>لا تقاوم طعم Tazzy Mini Licorice Strawberry 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</si>
  <si>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Frit-C Extreme Z Apple 20g – Frit-C Extreme Z تفاح 20 غرام</t>
  </si>
  <si>
    <t>لا تقاوم طعم Frit-C Extreme Z Apple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</si>
  <si>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Frit-C Extreme Z Cola 20g – Frit-C Extreme Z Cola 20 غرام</t>
  </si>
  <si>
    <t>استمتع بـ Frit-C Extreme Z Cola 20g،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</si>
  <si>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Frit-C Extreme Z Strawberry 20g – Frit-C Extreme Z فراولة 20 غرام</t>
  </si>
  <si>
    <t>لا تقاوم طعم Frit-C Extreme Z Strawberry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</si>
  <si>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Crazy Brain Pop Blueberry 16g – Crazy Brain Pop Blueberry 16 غرام</t>
  </si>
  <si>
    <t>لا تقاوم طعم Crazy Brain Pop Blueberry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</si>
  <si>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Funkee Dips Strawberry Sherbet with Candy Dipstick 12g – Funkee Dips فراولة Sherbet with Candy Dipstick 12 غرام</t>
  </si>
  <si>
    <t>أضف لحظة حلوة إلى يومك مع Funkee Dips Strawberry Sherbet with Candy Dipstick 12g،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</si>
  <si>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Funkee Dips Cherry Sherbet with Candy Dipstick 12g – Funkee Dips كرز Sherbet with Candy Dipstick 12 غرام</t>
  </si>
  <si>
    <t>أضف لحظة حلوة إلى يومك مع Funkee Dips Cherry Sherbet with Candy Dipstick 12g،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</si>
  <si>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Choki Choki Choco Cashew 27g – Choki Choki Choco كاجو 27 غرام</t>
  </si>
  <si>
    <t>اختر Choki Choki Choco Cashew 27g،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</si>
  <si>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CC Stick Crazy Birds Mix Fruit 11g – CC عصا Crazy Birds Mix Fruit 11 غرام</t>
  </si>
  <si>
    <t>لا تقاوم طعم CC Stick Crazy Birds Mix Fruit 11g،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</si>
  <si>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Tongue Painter Bubble Gum 16g – Tongue Painter Bubble Gum 16 غرام</t>
  </si>
  <si>
    <t>استمتع بـ Tongue Painter Bubble Gum 16g،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</si>
  <si>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Super Hyper Acid 17.5g – Super Hyper Acid 17.5 غرام</t>
  </si>
  <si>
    <t>لا تقاوم طعم Super Hyper Acid 17.5g،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</si>
  <si>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Super Hyper Acid Apple 0.25g – Super Hyper Acid تفاح 0.25 غرام</t>
  </si>
  <si>
    <t>لا تقاوم طعم Super Hyper Acid Apple 0.25g،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</si>
  <si>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Crazy Rollz Bubble Gum 12g – Crazy Rollz Bubble Gum 12 غرام</t>
  </si>
  <si>
    <t>استمتع بـ Crazy Rollz Bubble Gum 12g،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</si>
  <si>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Halley Milk Chocolate 26g – Halley حليب شوكولاتة 26 غرام</t>
  </si>
  <si>
    <t>دلّل حواسك مع Halley Milk Chocolate 26g،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</si>
  <si>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Ice Blaster 48g – Ice Blaster 48 غرام</t>
  </si>
  <si>
    <t>لا تقاوم طعم Ice Blaster 48g،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</si>
  <si>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Hiss Crispy Wafer – Hiss Crispy ويفر</t>
  </si>
  <si>
    <t>لا تقاوم طعم Hiss Crispy Wafer،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</si>
  <si>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Zombie Blueberry 6g – Zombie Blueberry 6 غرام</t>
  </si>
  <si>
    <t>لا تقاوم طعم Zombie Blueberry 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</si>
  <si>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Gum Powder Explosively Sour Bubblegum 35g – Gum بودرة Explosively Sour Bubblegum 35 غرام</t>
  </si>
  <si>
    <t>استمتع بـ Gum Powder Explosively Sour Bubblegum 35g،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</si>
  <si>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Soft and Chewy 10g – تشوبا تشوبس Soft and Chewy 10 غرام</t>
  </si>
  <si>
    <t>لا تقاوم طعم Chupa Chups Soft and Chewy 10g،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</si>
  <si>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Sour Whacky Squeeze Candy 70g – Sour Whacky Squeeze Candy 70 غرام</t>
  </si>
  <si>
    <t>أضف لحظة حلوة إلى يومك مع Sour Whacky Squeeze Candy 70g،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</si>
  <si>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Tongue Painter 18g – Tongue Painter 18 غرام</t>
  </si>
  <si>
    <t>لا تقاوم طعم Tongue Painter 18g،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</si>
  <si>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Brain Bitz Chew Bar Watermelon 20g – Brain Bitz Chew قطعة Watermelon 20 غرام</t>
  </si>
  <si>
    <t>اشرب Brain Bitz Chew Bar Watermelon 20g،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</si>
  <si>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Candy Choco Belight 34g – Candy Choco Belight 34 غرام</t>
  </si>
  <si>
    <t>أضف لحظة حلوة إلى يومك مع Candy Choco Belight 34g،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</si>
  <si>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Cadbury Dairy Milk Oreo 95g – كادبوري ديري ميلك أوريو 95 غرام</t>
  </si>
  <si>
    <t>Toblerone 35g – توبليرون 35 غرام</t>
  </si>
  <si>
    <t>دلّل حواسك مع توبليرون،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</si>
  <si>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Oreo Cake Choco Coated 24g – أوريو Cake Choco Coated 24 غرام</t>
  </si>
  <si>
    <t>لا تقاوم طعم أوريو،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</si>
  <si>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Pistachio Kunafa Chocolate 100g – فستق Kunafa شوكولاتة 100 غرام</t>
  </si>
  <si>
    <t>دلّل حواسك مع Pistachio Kunafa Chocolate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</si>
  <si>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Snickers Miniatures 150g – سنيكرز Miniatures 150 غرام</t>
  </si>
  <si>
    <t>Twix Miniatures 150g – تويكس Miniatures 150 غرام</t>
  </si>
  <si>
    <t>Bounty Miniatures 150g – باونتي Miniatures 150 غرام</t>
  </si>
  <si>
    <t>Erko Mallow Plus Fat-Free Ice Cream 100g – Erko Mallow Plus Fat-Free آيس كريم 100 غرام</t>
  </si>
  <si>
    <t>برّد أيامك الحارة مع Erko Mallow Plus Fat-Free Ice Cream 100g،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</si>
  <si>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Ice Cream Jam-Filled Mallow 100g – آيس كريم Jam-Filled Mallow 100 غرام</t>
  </si>
  <si>
    <t>برّد أيامك الحارة مع Ice Cream Jam-Filled Mallow 100g،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</si>
  <si>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Erko Mallow World Pink &amp; White Mallow 150g – Erko Mallow World Pink &amp; أبيض Mallow 150 غرام</t>
  </si>
  <si>
    <t>لا تقاوم طعم Erko Mallow World Pink &amp; White Mallow 150g،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</si>
  <si>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Erko Mallow World 120g – Erko Mallow World 120 غرام</t>
  </si>
  <si>
    <t>لا تقاوم طعم Erko Mallow World 120g،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</si>
  <si>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Schogetten Alpine Milk Chocolate 100g – Schogetten Alpine حليب شوكولاتة 100 غرام</t>
  </si>
  <si>
    <t>دلّل حواسك مع Schogetten Alpine Milk Chocolate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</si>
  <si>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Schogetten Dark Chocolate 100g – Schogetten داكن شوكولاتة 100 غرام</t>
  </si>
  <si>
    <t>دلّل حواسك مع Schogetten Dark Chocolate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</si>
  <si>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Schogetten Alpine Milk Chocolate with Hazelnuts 100g – Schogetten Alpine حليب شوكولاتة with Hazelnuts 100 غرام</t>
  </si>
  <si>
    <t>دلّل حواسك مع Schogetten Alpine Milk Chocolate with Hazelnuts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</si>
  <si>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Schogetten Praline Noisettes 100g – Schogetten Praline Noisettes 100 غرام</t>
  </si>
  <si>
    <t>لا تقاوم طعم Schogetten Praline Noisettes 100g،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</si>
  <si>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Schogetten White Chocolate 100g – Schogetten أبيض شوكولاتة 100 غرام</t>
  </si>
  <si>
    <t>دلّل حواسك مع Schogetten White Chocolate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</si>
  <si>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Skittles Tropical 38g – سكيتلز استوائي 38 غرام</t>
  </si>
  <si>
    <t>أضف لحظة حلوة إلى يومك مع سكيتلز،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</si>
  <si>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Skittles Crazy Sours 38g – سكيتلز Crazy Sours 38 غرام</t>
  </si>
  <si>
    <t>Skittles Smoothies 38g – سكيتلز Smoothies 38 غرام</t>
  </si>
  <si>
    <t>احرص على صحتك مع سكيتلز،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</si>
  <si>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Skittles Fruits 38g – سكيتلز Fruits 38 غرام</t>
  </si>
  <si>
    <t>M&amp;M's Minis 30.6g – M&amp;M's Minis 30.6 غرام</t>
  </si>
  <si>
    <t>Skittles Gummies Fruits 60g – سكيتلز Gummies Fruits 60 غرام</t>
  </si>
  <si>
    <t>استمتع بـ سكيتلز،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</si>
  <si>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Nani Pistachio 40g – Nani فستق 40 غرام</t>
  </si>
  <si>
    <t>اختر Nani Pistachio 40g،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</si>
  <si>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Nani Chocolate with Nougat, Caramel &amp; Hazelnut 40g – Nani شوكولاتة with Nougat, كراميل &amp; بندق 40 غرام</t>
  </si>
  <si>
    <t>دلّل حواسك مع Nani Chocolate with Nougat, Caramel &amp; Hazelnut 40g،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</si>
  <si>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Ulker Stick Crackers (Salted) – 30 g – Ulker عصا Crackers (Salted) – 30 غرام</t>
  </si>
  <si>
    <t>لا تقاوم طعم Ulker Stick Crackers (Salted) – 30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</si>
  <si>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Pringles Original – برينغلز أصلي</t>
  </si>
  <si>
    <t>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</si>
  <si>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Pringles Barbeque – 40 g – برينغلز Barbeque – 40 غرام</t>
  </si>
  <si>
    <t>Pringles Hot &amp; Spicy – 40 g – برينغلز حار &amp; حار – 40 غرام</t>
  </si>
  <si>
    <t>Pringles Ketchup – 40 g – برينغلز كاتشاب – 40 غرام</t>
  </si>
  <si>
    <t>Pringles Paprika – 40 g – برينغلز Paprika – 40 غرام</t>
  </si>
  <si>
    <t>Pringles Salt &amp; Vinegar – 40 g – برينغلز ملح &amp; Vinegar – 40 غرام</t>
  </si>
  <si>
    <t>Chips Oman Potato Chips Chilli Flavour – 40 g – شيبس Oman Potato شيبس Chilli Flavour – 40 غرام</t>
  </si>
  <si>
    <t>لا تقاوم طعم Chips Oman Potato Chips Chilli Flavour – 40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</si>
  <si>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Pringles Cheesy Cheesy – 40 g – برينغلز Cheesy Cheesy – 40 غرام</t>
  </si>
  <si>
    <t>Pringles Original – 165 g – برينغلز أصلي – 165 غرام</t>
  </si>
  <si>
    <t>Pringles Sour Cream &amp; Onion – 165 g – برينغلز Sour كريم &amp; بصل – 165 غرام</t>
  </si>
  <si>
    <t>Pringles Cheesy Cheesy – 165 g – برينغلز Cheesy Cheesy – 165 غرام</t>
  </si>
  <si>
    <t>Pringles Salt &amp; Vinegar – 165 g – برينغلز ملح &amp; Vinegar – 165 غرام</t>
  </si>
  <si>
    <t>Chips Oman Chilli Flavour Potato Chips – 137 g – شيبس Oman Chilli Flavour Potato شيبس – 137 غرام</t>
  </si>
  <si>
    <t>لا تقاوم طعم Chips Oman Chilli Flavour Potato Chips – 137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</si>
  <si>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Pringles Ketchup – 165 g – برينغلز كاتشاب – 165 غرام</t>
  </si>
  <si>
    <t>Pringles Barbeque – 165 g – برينغلز Barbeque – 165 غرام</t>
  </si>
  <si>
    <t>Pringles Hot &amp; Spicy – 165 g – برينغلز حار &amp; حار – 165 غرام</t>
  </si>
  <si>
    <t>Pringles Paprika – 165 g – برينغلز Paprika – 165 غرام</t>
  </si>
  <si>
    <t>fruits Roll Grape Flavour 12 g – fruits Roll عنب Flavour 12 غرام</t>
  </si>
  <si>
    <t>لا تقاوم طعم fruits Roll Grape Flavour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</si>
  <si>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Cats Pop 35 g – Cats Pop 35 غرام</t>
  </si>
  <si>
    <t>لا تقاوم طعم Cats Pop 35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</si>
  <si>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Twist Stick Mallow 12 g – Twist عصا Mallow 12 غرام</t>
  </si>
  <si>
    <t>لا تقاوم طعم Twist Stick Mallow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</si>
  <si>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Juicy Drop Pop Copa 26 g – Juicy Drop Pop Copa 26 غرام</t>
  </si>
  <si>
    <t>لا تقاوم طعم Juicy Drop Pop Copa 26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</si>
  <si>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Trinketto 70 ml – Trinketto 70 مل</t>
  </si>
  <si>
    <t>لا تقاوم طعم Trinketto 70 ml،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</si>
  <si>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Saray Cikonella – Hazelnut Paste with Cocoa – Saray Cikonella – بندق Paste with Cocoa</t>
  </si>
  <si>
    <t>اختر Saray Cikonella – Hazelnut Paste with Cocoa،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</si>
  <si>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Fruties Chew Apple 12 g – Fruties Chew تفاح 12 غرام</t>
  </si>
  <si>
    <t>لا تقاوم طعم Fruties Chew Apple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</si>
  <si>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Fruties Chew Strawberry 12 g – Fruties Chew فراولة 12 غرام</t>
  </si>
  <si>
    <t>لا تقاوم طعم Fruties Chew Strawberry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</si>
  <si>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Watermelon 16 g – Watermelon 16 غرام</t>
  </si>
  <si>
    <t>اشرب Watermelon 16 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</si>
  <si>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Yupi Strawberry Heart 14 g – Yupi فراولة Heart 14 غرام</t>
  </si>
  <si>
    <t>لا تقاوم طعم Yupi Strawberry Heart 14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</si>
  <si>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Yupi Gummi Pizza 14 g – Yupi Gummi Pizza 14 غرام</t>
  </si>
  <si>
    <t>استمتع بـ Yupi Gummi Pizza 14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</si>
  <si>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Fruties Chew Blueberry 12 g – Fruties Chew Blueberry 12 غرام</t>
  </si>
  <si>
    <t>لا تقاوم طعم Fruties Chew Blueberry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</si>
  <si>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Tupi Raspberry &amp; Blackberry 16 g – Tupi Raspberry &amp; Blackberry 16 غرام</t>
  </si>
  <si>
    <t>لا تقاوم طعم Tupi Raspberry &amp; Blackberry 16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</si>
  <si>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Yupi Iced Cola 17.5 g – Yupi Iced Cola 17.5 غرام</t>
  </si>
  <si>
    <t>استمتع بـ Yupi Iced Cola 17.5 g،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</si>
  <si>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Yupi Aquarium 14 g – Yupi Aquarium 14 غرام</t>
  </si>
  <si>
    <t>لا تقاوم طعم Yupi Aquarium 14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</si>
  <si>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Funti – فانتي حلوى</t>
  </si>
  <si>
    <t>لا تقاوم طعم Funti،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</si>
  <si>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Fruties Chew Tape Strawberry 12 g – Fruties Chew Tape فراولة 12 غرام</t>
  </si>
  <si>
    <t>لا تقاوم طعم Fruties Chew Tape Strawberry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</si>
  <si>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Weirds Tangy Candy Blue Raspberry &amp; Strawberry 15 g – Weirds Tangy Candy Blue Raspberry &amp; فراولة 15 غرام</t>
  </si>
  <si>
    <t>أضف لحظة حلوة إلى يومك مع Weirds Tangy Candy Blue Raspberry &amp; Strawberry 15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</si>
  <si>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Screamers Mega Sour Gum 17 g – Screamers Mega Sour Gum 17 غرام</t>
  </si>
  <si>
    <t>استمتع بـ Screamers Mega Sour Gum 17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</si>
  <si>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Watermelon Gumball 35 g – Watermelon Gumball 35 غرام</t>
  </si>
  <si>
    <t>اشرب Watermelon Gumball 35 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</si>
  <si>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Bubble Gum Strawberry 18 g – Bubble Gum فراولة 18 غرام</t>
  </si>
  <si>
    <t>استمتع بـ Bubble Gum Strawberry 18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</si>
  <si>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Diploko Roll 18 g – Diploko Roll 18 غرام</t>
  </si>
  <si>
    <t>لا تقاوم طعم Diploko Roll 18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</si>
  <si>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Haribo Goldbears with Fruit Juice – 80 g – هاريبو Goldbears with Fruit عصير – 80 غرام</t>
  </si>
  <si>
    <t>احرص على صحتك مع هاريبو،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</si>
  <si>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Haribo Worms – 80 g – هاريبو Worms – 80 غرام</t>
  </si>
  <si>
    <t>Haribo Starmix – 80 g – هاريبو Starmix – 80 غرام</t>
  </si>
  <si>
    <t>Haribo Veggy Mix – 80 g – هاريبو Veggy Mix – 80 غرام</t>
  </si>
  <si>
    <t>Haribo Teeth – 80 g – هاريبو Teeth – 80 غرام</t>
  </si>
  <si>
    <t>Haribo Berries – 80 g – هاريبو Berries – 80 غرام</t>
  </si>
  <si>
    <t>Haribo Happy Cola Fizz – 70 g – هاريبو Happy Cola Fizz – 70 غرام</t>
  </si>
  <si>
    <t>Mentos Strawberry – منتوس فراولة</t>
  </si>
  <si>
    <t>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</si>
  <si>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Extra Refreshers Spearmint – 15.6 g – Extra Refreshers Spearmint – 15.6 غرام</t>
  </si>
  <si>
    <t>Airlist Mint Chews – 32 g – Airlist نعناع Chews – 32 غرام</t>
  </si>
  <si>
    <t>أضف لحظة حلوة إلى يومك مع Airlist Mint Chews – 32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</si>
  <si>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Airlist Fruit Chews – 32 g – Airlist Fruit Chews – 32 غرام</t>
  </si>
  <si>
    <t>لا تقاوم طعم Airlist Fruit Chews – 32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</si>
  <si>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Brain Blasterz Strawberry – 28 g – Brain Blasterz فراولة – 28 غرام</t>
  </si>
  <si>
    <t>لا تقاوم طعم Brain Blasterz Strawberry – 28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</si>
  <si>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Brain Blasterz Sour Scales – 45 g – Brain Blasterz Sour Scales – 45 غرام</t>
  </si>
  <si>
    <t>لا تقاوم طعم Brain Blasterz Sour Scales – 45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</si>
  <si>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Roller Blaster Blue Raspberry – 60 ml – Roller Blaster Blue Raspberry – 60 مل</t>
  </si>
  <si>
    <t>لا تقاوم طعم Roller Blaster Blue Raspberry – 60 ml،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</si>
  <si>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Windmill Lollipop – ويندميل مصاصة</t>
  </si>
  <si>
    <t>أضف لحظة حلوة إلى يومك مع Windmill Lollipop،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</si>
  <si>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Original Oreo – 36.8 g – أصلي أوريو – 36.8 غرام</t>
  </si>
  <si>
    <t>Chocolate Cream Oreo – 36.8 g – شوكولاتة كريم أوريو – 36.8 غرام</t>
  </si>
  <si>
    <t>دلّل حواسك مع أوريو،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</si>
  <si>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Topsy Salted Peanuts – 15 g – Topsy مملح Peanuts – 15 غرام</t>
  </si>
  <si>
    <t>اختر Topsy Salted Peanuts – 15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</si>
  <si>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Topsy Sunflower Seeds – 25 g – Topsy Sunflower Seeds – 25 غرام</t>
  </si>
  <si>
    <t>اختر Topsy Sunflower Seeds – 25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</si>
  <si>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Minis 35 Mixed – 710 gm – Minis 35 مشكل – 710 gm</t>
  </si>
  <si>
    <t>لا تقاوم طعم Minis 35 Mixed – 710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</si>
  <si>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Minis 20 Mixed – 400 gm – Minis 20 مشكل – 400 gm</t>
  </si>
  <si>
    <t>لا تقاوم طعم Minis 20 Mixed – 400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</si>
  <si>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Camel Natural Baked Almonds (36 g) – Camel طبيعي Baked Almonds (36 غرام)</t>
  </si>
  <si>
    <t>اختر Camel Natural Baked Almonds (36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</si>
  <si>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Camel Natural Smoked Almonds (36 g) – Camel طبيعي Smoked Almonds (36 غرام)</t>
  </si>
  <si>
    <t>اختر Camel Natural Smoked Almonds (36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</si>
  <si>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Camel Roasted Peanuts (36 g) – Camel محمص Peanuts (36 غرام)</t>
  </si>
  <si>
    <t>اختر Camel Roasted Peanuts (36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</si>
  <si>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Camel Green Peas (36 g) – Camel Green بازيلاء (36 غرام)</t>
  </si>
  <si>
    <t>لا تقاوم طعم Camel Green Peas (36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</si>
  <si>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Camel Mixed Snacks (36 g) – Camel مشكل Snacks (36 غرام)</t>
  </si>
  <si>
    <t>لا تقاوم طعم Camel Mixed Snacks (36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</si>
  <si>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Star Fries Ring Murukku – Kerala Style – بران رينج موروكو – أسلوب كيرالا</t>
  </si>
  <si>
    <t>Snacks | وجبات خفيفة 🍿</t>
  </si>
  <si>
    <t>لا تقاوم طعم Pran Ring Murukku – Kerala Style،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</si>
  <si>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Star Fries Tapioca Chips – 125g – Star Fries Tapioca شيبس – 125 غرام</t>
  </si>
  <si>
    <t>لا تقاوم طعم Star Fries Tapioca Chips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</si>
  <si>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Star Fries Fruit Banana Chips – 125g – Star Fries Fruit Banana شيبس – 125 غرام</t>
  </si>
  <si>
    <t>لا تقاوم طعم Star Fries Fruit Banana Chips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</si>
  <si>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Star Fries Jackfruit Chips – 125g – Star Fries Jackfruit شيبس – 125 غرام</t>
  </si>
  <si>
    <t>لا تقاوم طعم Star Fries Jackfruit Chips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</si>
  <si>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Star Fries Indian Mixture – 200g – Star Fries Indian Mixture – 200 غرام</t>
  </si>
  <si>
    <t>لا تقاوم طعم Star Fries Indian Mixture – 200g،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</si>
  <si>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Star Fries Tapioca Stick – 125g – Star Fries Tapioca عصا – 125 غرام</t>
  </si>
  <si>
    <t>لا تقاوم طعم Star Fries Tapioca Stick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</si>
  <si>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Star Fries Garlic Murukku – 125g – Star Fries Garlic Murukku – 125 غرام</t>
  </si>
  <si>
    <t>لا تقاوم طعم Star Fries Garlic Murukku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</si>
  <si>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Star Fries Banana Chips – 125g – Star Fries Banana شيبس – 125 غرام</t>
  </si>
  <si>
    <t>لا تقاوم طعم Star Fries Banana Chips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</si>
  <si>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Ola Pakkavada – 100g – Topsy Ola Pakkavada – 100 غرام</t>
  </si>
  <si>
    <t>لا تقاوم طعم Topsy Ola Pakkavada – 100g،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</si>
  <si>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Star Fries Malabar Murukku – 125g – Star Fries Malabar Murukku – 125 غرام</t>
  </si>
  <si>
    <t>لا تقاوم طعم Star Fries Malabar Murukku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</si>
  <si>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Mixed Nuts 100 g – Topsy مشكل مكسرات 100 غرام</t>
  </si>
  <si>
    <t>اختر Topsy Mixed Nuts 100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</si>
  <si>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Topsy Makai Mixture 70 g – Topsy Makai Mixture 70 غرام</t>
  </si>
  <si>
    <t>لا تقاوم طعم Topsy Makai Mixture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</si>
  <si>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Payyoli Mixture 100 g – Topsy Payyoli Mixture 100 غرام</t>
  </si>
  <si>
    <t>لا تقاوم طعم Topsy Payyoli Mixture 100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</si>
  <si>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Chilly Murukku 100 g – Topsy Chilly Murukku 100 غرام</t>
  </si>
  <si>
    <t>لا تقاوم طعم Topsy Chilly Murukku 100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</si>
  <si>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Butter Murukku 80 g – Topsy زبدة Murukku 80 غرام</t>
  </si>
  <si>
    <t>لا تقاوم طعم Topsy Butter Murukku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</si>
  <si>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Chilly Sev 90 g – Topsy Chilly Sev 90 غرام</t>
  </si>
  <si>
    <t>لا تقاوم طعم Topsy Chilly Sev 90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</si>
  <si>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PRAN Chanachur Bombay Mix 50 g – PRAN Chanachur Bombay Mix 50 غرام</t>
  </si>
  <si>
    <t>لا تقاوم طعم PRAN Chanachur Bombay Mix 50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</si>
  <si>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Garlic Mixture – 100g – Topsy Garlic Mixture – 100 غرام</t>
  </si>
  <si>
    <t>لا تقاوم طعم Topsy Garlic Mixture – 100g،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</si>
  <si>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Payyoli Mixture – 300g – Topsy Payyoli Mixture – 300 غرام</t>
  </si>
  <si>
    <t>لا تقاوم طعم Topsy Payyoli Mixture – 300g،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</si>
  <si>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Masala Peanut – 300g – Topsy Masala فول سوداني – 300 غرام</t>
  </si>
  <si>
    <t>اختر Topsy Masala Peanut – 300g،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</si>
  <si>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Topsy Makai Mixture – 190g – Topsy Makai Mixture – 190 غرام</t>
  </si>
  <si>
    <t>لا تقاوم طعم Topsy Makai Mixture – 190g،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</si>
  <si>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Garlic Mixture – 300g – Topsy Garlic Mixture – 300 غرام</t>
  </si>
  <si>
    <t>لا تقاوم طعم Topsy Garlic Mixture – 300g،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</si>
  <si>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Garlic Mixture – 100 g – Garlic Mixture – 100 غرام</t>
  </si>
  <si>
    <t>لا تقاوم طعم Garlic Mixture – 100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</si>
  <si>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Kifco Plain Rusks 385g – Kifco Plain Rusks 385 غرام</t>
  </si>
  <si>
    <t>Bakery &amp; Pastries – المخبوزات والمعجنات</t>
  </si>
  <si>
    <t>لا تقاوم طعم Kifco Plain Rusks 385g،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</si>
  <si>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PRAN Special Toast (Rusk) – 385g – PRAN Special Toast (Rusk) – 385 غرام</t>
  </si>
  <si>
    <t>لا تقاوم طعم PRAN Special Toast (Rusk) – 385g،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</si>
  <si>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Sunflower Seeds Roasted &amp; Salted 25 g – Topsy Sunflower Seeds محمص &amp; مملح 25 غرام</t>
  </si>
  <si>
    <t>اختر Topsy Sunflower Seeds Roasted &amp; Salted 25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</si>
  <si>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PRAN Jhal Muri 50 g – PRAN Jhal Muri 50 غرام</t>
  </si>
  <si>
    <t>لا تقاوم طعم PRAN Jhal Muri 50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</si>
  <si>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Popcorn 35 g – Topsy فشار 35 غرام</t>
  </si>
  <si>
    <t>لا تقاوم طعم Topsy Popcorn 35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</si>
  <si>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Topsy Cheese Popcorn 18 g – Topsy جبنة فشار 18 غرام</t>
  </si>
  <si>
    <t>لا تقاوم طعم Topsy Cheese Popcorn 18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</si>
  <si>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Napoleon Original Butterscotch Candy 150 g – Napoleon أصلي Butterscotch Candy 150 غرام</t>
  </si>
  <si>
    <t>أضف لحظة حلوة إلى يومك مع Napoleon Original Butterscotch Candy 150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</si>
  <si>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Napoleon Vanilla Flavour Butterscotch Candy 150 g – Napoleon فانيليا Flavour Butterscotch Candy 150 غرام</t>
  </si>
  <si>
    <t>أضف لحظة حلوة إلى يومك مع Napoleon Vanilla Flavour Butterscotch Candy 150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</si>
  <si>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Ülker Napoliten Milk Chocolate 30 g – Ülker Napoliten حليب شوكولاتة 30 غرام</t>
  </si>
  <si>
    <t>دلّل حواسك مع Ülker Napoliten Milk Chocolate 30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</si>
  <si>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Hobby Caramel Nougat Bar 16 g – Hobby كراميل Nougat قطعة 16 غرام</t>
  </si>
  <si>
    <t>لا تقاوم طعم Hobby Caramel Nougat Bar 16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</si>
  <si>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Hobby Chocolate Coated Wafer Bar 20 g – Hobby شوكولاتة Coated ويفر قطعة 20 غرام</t>
  </si>
  <si>
    <t>دلّل حواسك مع Hobby Chocolate Coated Wafer Bar 20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</si>
  <si>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Oreo Original Sandwich Biscuits 36.8 g – أوريو أصلي ساندويتش Biscuits 36.8 غرام</t>
  </si>
  <si>
    <t>Alvita Banana Wafer – Alvita Banana ويفر</t>
  </si>
  <si>
    <t>لا تقاوم طعم Alvita Banana Wafer،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</si>
  <si>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Alvita Orange Wafer – Alvita برتقال ويفر</t>
  </si>
  <si>
    <t>لا تقاوم طعم Alvita Orange Wafer،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</si>
  <si>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Exira Strawberry Wafer 32 g – Exira فراولة ويفر 32 غرام</t>
  </si>
  <si>
    <t>لا تقاوم طعم Exira Strawberry Wafer 32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</si>
  <si>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Avita Strawberry Wafe 23 g – Avita فراولة Wafe 23 غرام</t>
  </si>
  <si>
    <t>لا تقاوم طعم Avita Strawberry Wafe 23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</si>
  <si>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Double Dares Jelly Bean Game Cup – Double Dares Jelly Bean Game كوب</t>
  </si>
  <si>
    <t>أضف لحظة حلوة إلى يومك مع Double Dares Jelly Bean Game Cup،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</si>
  <si>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Brain Blasterz Super Sour Berry Candy 48 – براين بلاسترز حلوى توت حامضة 48 قطعة</t>
  </si>
  <si>
    <t>أضف لحظة حلوة إلى يومك مع Brain Blasterz Super Sour Berry Candy 48،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</si>
  <si>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Brain Blasterz Super Sour Candy 48 – براين بلاسترز حلوى حامضة 48 قطعة</t>
  </si>
  <si>
    <t>أضف لحظة حلوة إلى يومك مع Brain Blasterz Super Sour Candy 48،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</si>
  <si>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Ice Blasterz Super Sour Cool Candy 48 g – Ice Blasterz Super Sour Cool Candy 48 غرام</t>
  </si>
  <si>
    <t>أضف لحظة حلوة إلى يومك مع Ice Blasterz Super Sour Cool Candy 48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</si>
  <si>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Fun Basketball Candy Toy – حلوى لعبة كرة السلة</t>
  </si>
  <si>
    <t>أضف لحظة حلوة إلى يومك مع Fun Basketball Candy Toy،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</si>
  <si>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Brain Blasterz Apple Flavour Brain Gunk 28 ML – Brain Blasterz تفاح Flavour Brain Gunk 28 مل</t>
  </si>
  <si>
    <t>لا تقاوم طعم Brain Blasterz Apple Flavour Brain Gunk 28 ML،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</si>
  <si>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Brain Blasterz Sour Candy Brain Breakerz45 g – Brain Blasterz Sour Candy Brain Breakerz45 غرام</t>
  </si>
  <si>
    <t>أضف لحظة حلوة إلى يومك مع Brain Blasterz Sour Candy Brain Breakerz45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</si>
  <si>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Big Baby Pop Candy 32 g – Big Baby Pop Candy 32 غرام</t>
  </si>
  <si>
    <t>أضف لحظة حلوة إلى يومك مع Big Baby Pop Candy 32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</si>
  <si>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Pop Plier Candy Toy – حلوى لعبة بوب بلاير</t>
  </si>
  <si>
    <t>أضف لحظة حلوة إلى يومك مع Pop Plier Candy Toy،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</si>
  <si>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Crazy Bottle Pop Apple Candy 25 g – Crazy زجاجة Pop تفاح Candy 25 غرام</t>
  </si>
  <si>
    <t>أضف لحظة حلوة إلى يومك مع Crazy Bottle Pop Apple Candy 25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</si>
  <si>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Cats Pop Candy Toy – حلوى لعبة كاتس بوب</t>
  </si>
  <si>
    <t>أضف لحظة حلوة إلى يومك مع Cats Pop Candy Toy،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</si>
  <si>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Screamerz Big Lick Sour Candy Rolle Purple Razz 60 ml – Screamerz Big Lick Sour Candy Rolle Purple Razz 60 مل</t>
  </si>
  <si>
    <t>أضف لحظة حلوة إلى يومك مع Screamerz Big Lick Sour Candy Rolle Purple Razz 60 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</si>
  <si>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Triple Power Push Pop Candy – تريبل باور بوش بوب حلوى</t>
  </si>
  <si>
    <t>أضف لحظة حلوة إلى يومك مع Triple Power Push Pop Candy،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</si>
  <si>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Roller Blaster Sour Liquid Candy Rol Blue Raspberry 60 ml – Roller Blaster Sour Liquid Candy Rol Blue Raspberry 60 مل</t>
  </si>
  <si>
    <t>أضف لحظة حلوة إلى يومك مع Roller Blaster Sour Liquid Candy Rol Blue Raspberry 60 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</si>
  <si>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Brain Blasterz Sour Powder (Strawberry Flavour) 10 g – Brain Blasterz Sour بودرة (Strawberry Flavour) 10 غرام</t>
  </si>
  <si>
    <t>لا تقاوم طعم Brain Blasterz Sour Powder (Strawberry Flavour) 10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</si>
  <si>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Brain Blasterz Sour Candy Brain Bitz 45 – براين بلاسترز حلوى حامضة 45 قطعة</t>
  </si>
  <si>
    <t>أضف لحظة حلوة إلى يومك مع Brain Blasterz Sour Candy Brain Bitz 45،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</si>
  <si>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Juicy Drop Pop Raspberry 26 g – Juicy Drop Pop Raspberry 26 غرام</t>
  </si>
  <si>
    <t>لا تقاوم طعم Juicy Drop Pop Raspberry 26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</si>
  <si>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Juicy Drop Pop Cola Flavour 27 g – Juicy Drop Pop Cola Flavour 27 غرام</t>
  </si>
  <si>
    <t>استمتع بـ Juicy Drop Pop Cola Flavour 27 g،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</si>
  <si>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Push Pop Candy Strawberry Flavour 15 g – Push Pop Candy فراولة Flavour 15 غرام</t>
  </si>
  <si>
    <t>أضف لحظة حلوة إلى يومك مع Push Pop Candy Strawberry Flavour 15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</si>
  <si>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Screamers Megasaur Gum – سكريمرز ميغاسور علكة</t>
  </si>
  <si>
    <t>استمتع بـ Screamers Megasaur Gum،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</si>
  <si>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Gremmers Mega Sour Gum 14 g – Gremmers Mega Sour Gum 14 غرام</t>
  </si>
  <si>
    <t>استمتع بـ Gremmers Mega Sour Gum 14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</si>
  <si>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Brain Bitz Chew Bar Apple Flavour (20 g) – Brain Bitz Chew قطعة تفاح Flavour (20 غرام)</t>
  </si>
  <si>
    <t>لا تقاوم طعم Brain Bitz Chew Bar Apple Flavour (20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</si>
  <si>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Brain Blasterz Sour Powder 10 g – Brain Blasterz Sour بودرة 10 غرام</t>
  </si>
  <si>
    <t>لا تقاوم طعم Brain Blasterz Sour Powder 10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</si>
  <si>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Fizzy Tubes Sour Fizz Powder 15 g – Fizzy Tubes Sour Fizz بودرة 15 غرام</t>
  </si>
  <si>
    <t>لا تقاوم طعم Fizzy Tubes Sour Fizz Powder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</si>
  <si>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Brain Blasterz Candy Spray Apple Flavour 28 ml – Brain Blasterz Candy Spray تفاح Flavour 28 مل</t>
  </si>
  <si>
    <t>أضف لحظة حلوة إلى يومك مع Brain Blasterz Candy Spray Apple Flavour 28 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</si>
  <si>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Triple Power Push Pop Candy (3 Pops in 1) 15 g – Triple Power Push Pop Candy (3 Pops in 1) 15 غرام</t>
  </si>
  <si>
    <t>أضف لحظة حلوة إلى يومك مع Triple Power Push Pop Candy (3 Pops in 1) 15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</si>
  <si>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Juice Dip Candy Strawberry 20g – عصير Dip Candy فراولة 20 غرام</t>
  </si>
  <si>
    <t>احرص على صحتك مع Juice Dip Candy Strawberry 20g،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</si>
  <si>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Leetak Kreetenes Almond Toffee 100 g – Leetak Kreetenes لوز Toffee 100 غرام</t>
  </si>
  <si>
    <t>أضف لحظة حلوة إلى يومك مع Leetak Kreetenes Almond Toffee 100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</si>
  <si>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Space Chupi Lollipop (20 Units) – سبيس تشوبي مصاصة (20 قطعة)</t>
  </si>
  <si>
    <t>أضف لحظة حلوة إلى يومك مع Space Chupi Lollipop (20 Units)،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</si>
  <si>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Haribo Chamallows Rubino Strawberry Marshmallow 70 g – هاريبو Chamallows Rubino فراولة Marshmallow 70 غرام</t>
  </si>
  <si>
    <t>Milki Krowka Cream Fudge Candy 750 g – Milki Krowka كريم Fudge Candy 750 غرام</t>
  </si>
  <si>
    <t>أضف لحظة حلوة إلى يومك مع Milki Krowka Cream Fudge Candy 750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</si>
  <si>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Vigo Snow Ball White Chocolate 300 g – Vigo Snow Ball أبيض شوكولاتة 300 غرام</t>
  </si>
  <si>
    <t>دلّل حواسك مع Vigo Snow Ball White Chocolate 300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</si>
  <si>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Ice Cream Jam Filled Mallow 100 g – آيس كريم Jam Filled Mallow 100 غرام</t>
  </si>
  <si>
    <t>برّد أيامك الحارة مع Ice Cream Jam Filled Mallow 100 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t>
  </si>
  <si>
    <t>Yupi Gummi Lunch – يوبي غامي لانش</t>
  </si>
  <si>
    <t>استمتع بـ Yupi Gummi Lunch،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</si>
  <si>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Borgat Tongue Paint Lollipops – بورغات مصاصات ملونة</t>
  </si>
  <si>
    <t>أضف لحظة حلوة إلى يومك مع Borgat Tongue Paint Lollipops،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</si>
  <si>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Pink &amp; White Marshmallow 100 g – Pink &amp; أبيض Marshmallow 100 غرام</t>
  </si>
  <si>
    <t>Yupi Burger Gummy Candy – يوبي برغر حلوى جيلي</t>
  </si>
  <si>
    <t>استمتع بـ Yupi Burger Gummy Candy،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</si>
  <si>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Yupi Gummi Pizza – يوبي غامي بيتزا</t>
  </si>
  <si>
    <t>استمتع بـ Yupi Gummi Pizza،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</si>
  <si>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Kiddy Toys Rubber Chicken Toy – لعبة الدجاجة المطاطية كيدي تويز</t>
  </si>
  <si>
    <t>لا تقاوم طعم Kiddy Toys Rubber Chicken Toy،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</si>
  <si>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Kinder Bueno Chocolate Bar 43 g – كيندر Bueno شوكولاتة قطعة 43 غرام</t>
  </si>
  <si>
    <t>Ülker Halley Milk Chocolate Coated Biscuit – Ülker Halley حليب شوكولاتة Coated بسكويت</t>
  </si>
  <si>
    <t>دلّل حواسك مع Ülker Halley Milk Chocolate Coated Biscuit،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</si>
  <si>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Relish Cashew, Pistachio &amp; Oats Cookies 42 g – Relish Cashew, فستق &amp; شوفان Cookies 42 غرام</t>
  </si>
  <si>
    <t>Biscuits | بسكويت 🍪</t>
  </si>
  <si>
    <t>اختر Relish Cashew, Pistachio &amp; Oats Cookies 42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</si>
  <si>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Ülker Albeni Bites Chocolate Bar 72 g – Ülker Albeni Bites شوكولاتة قطعة 72 غرام</t>
  </si>
  <si>
    <t>دلّل حواسك مع Ülker Albeni Bites Chocolate Bar 72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</si>
  <si>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Ülker Hanimeller Cocoa Chips Cookies 82 g – Ülker Hanimeller Cocoa شيبس Cookies 82 غرام</t>
  </si>
  <si>
    <t>لا تقاوم طعم Ülker Hanimeller Cocoa Chips Cookies 82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</si>
  <si>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Ülker Rondo Kremali Strawberry Cream Biscuits 61 g – Ülker Rondo Kremali فراولة كريم Biscuits 61 غرام</t>
  </si>
  <si>
    <t>لا تقاوم طعم Ülker Rondo Kremali Strawberry Cream Biscuits 61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</si>
  <si>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Ülker Rondo Kremaliı Banana Cream Biscuits 61 g – Ülker Rondo Kremaliı Banana كريم Biscuits 61 غرام</t>
  </si>
  <si>
    <t>لا تقاوم طعم Ülker Rondo Kremaliı Banana Cream Biscuits 61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</si>
  <si>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Britannia 50-50 Sweet &amp; Salty Biscuits 71 g – بريتانيا 50-50 Sweet &amp; Salty Biscuits 71 غرام</t>
  </si>
  <si>
    <t>لا تقاوم طعم بريتانيا،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</si>
  <si>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Ülker Coffee Biscuit 58 g – Ülker قهوة بسكويت 58 غرام</t>
  </si>
  <si>
    <t>لا تقاوم طعم Ülker Coffee Biscuit 58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</si>
  <si>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Takis Fuego Hot Chili Pepper &amp; Lime Tortilla Chips – Takis Fuego حار Chili Pepper &amp; Lime Tortilla شيبس</t>
  </si>
  <si>
    <t>لا تقاوم طعم Takis Fuego Hot Chili Pepper &amp; Lime Tortilla Chips،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</si>
  <si>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لا تقاوم طعم Fruittella Gelatin Free Chewy Sweets،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</si>
  <si>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Fruittella Orange Chewy Sweets with Fruit Juice – Fruittella برتقال Chewy Sweets with Fruit عصير</t>
  </si>
  <si>
    <t>احرص على صحتك مع Fruittella Orange Chewy Sweets with Fruit Juice،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t>
  </si>
  <si>
    <t>Fruittella Strawberry Chewy Sweets Gelatin Free – Fruittella فراولة Chewy Sweets Gelatin Free</t>
  </si>
  <si>
    <t>لا تقاوم طعم Fruittella Strawberry Chewy Sweets Gelatin Free،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</si>
  <si>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Fruittella Mixed Fruit Chewy Sweets Gelatin Free – Fruittella مشكل Fruit Chewy Sweets Gelatin Free</t>
  </si>
  <si>
    <t>لا تقاوم طعم Fruittella Mixed Fruit Chewy Sweets Gelatin Free،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</si>
  <si>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Strawberry Lollipop – فراولة Lollipop</t>
  </si>
  <si>
    <t>أضف لحظة حلوة إلى يومك مع Strawberry Lollipop،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</si>
  <si>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Chupa Chups Melody Pops Cola Flavour – تشوبا تشوبس Melody Pops Cola Flavour</t>
  </si>
  <si>
    <t>استمتع بـ Chupa Chups Melody Pops Cola Flavour،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t>
  </si>
  <si>
    <t>Chupa Chups Melody Pops Strawberry Flavour – تشوبا تشوبس Melody Pops فراولة Flavour</t>
  </si>
  <si>
    <t>لا تقاوم طعم Chupa Chups Melody Pops Strawberry Flavour،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</si>
  <si>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Chupa Chups Sour Belt Mixed Fruit Flavour Soft and Chewy – تشوبا تشوبس Sour Belt مشكل Fruit Flavour Soft and Chewy</t>
  </si>
  <si>
    <t>لا تقاوم طعم Chupa Chups Sour Belt Mixed Fruit Flavour Soft and Chewy،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</si>
  <si>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Milk Flavour Chews Rich and Creamy Gelatin Free – حليب Flavour Chews Rich and Creamy Gelatin Free</t>
  </si>
  <si>
    <t>لا تقاوم طعم Milk Flavour Chews Rich and Creamy Gelatin Free،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t>
  </si>
  <si>
    <t>Mentos Incredible Chew Soft Candy Green Apple Flavour – منتوس Incredible Chew Soft Candy Green تفاح Flavour</t>
  </si>
  <si>
    <t>Mentos Incredible Chew Soft Candy Grape Flavour – منتوس Incredible Chew Soft Candy عنب Flavour</t>
  </si>
  <si>
    <t>Mentos Incredible Chew Soft Candy Strawberry Flavour – منتوس Incredible Chew Soft Candy فراولة Flavour</t>
  </si>
  <si>
    <t>Red Band Tutti Frutti Fruit Flavoured Candy – ريد باند توتي فروتي حلوى بنكهة الفواكه</t>
  </si>
  <si>
    <t>أضف لحظة حلوة إلى يومك مع Red Band Tutti Frutti Fruit Flavoured Candy،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</si>
  <si>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Mentos White Sugar Free Chewing Gum Strawberry Flavour 72 Pieces – منتوس أبيض خالي من السكر Chewing Gum فراولة Flavour 72 Pieces</t>
  </si>
  <si>
    <t>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</si>
  <si>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Mentos White Sugar Free Chewing Gum Spearmint Flavour 72 Pieces – منتوس أبيض خالي من السكر Chewing Gum Spearmint Flavour 72 Pieces</t>
  </si>
  <si>
    <t>Mentos White Sugar Free Chewing Gum Sweet Mint Flavour 38 Pieces – منتوس أبيض خالي من السكر Chewing Gum Sweet نعناع Flavour 38 Pieces</t>
  </si>
  <si>
    <t>Mentos White Sugar Free Chewing Gum Tutti Frutti Flavour 38 Pieces – منتوس أبيض خالي من السكر Chewing Gum Tutti Frutti Flavour 38 Pieces</t>
  </si>
  <si>
    <t>Mentos White Sugar Free Chewing Gum Peppermint Flavour 38 Pieces – منتوس أبيض خالي من السكر Chewing Gum Peppermint Flavour 38 Pieces</t>
  </si>
  <si>
    <t>Mentos Fresh Dive Soft Gum Tidal Grape Flavour 44 Pieces – منتوس Fresh Dive Soft Gum Tidal عنب Flavour 44 Pieces</t>
  </si>
  <si>
    <t>Mentos Fresh Dive Soft Gum Cool Peppermint Flavour (44 Pieces) – منتوس Fresh Dive Soft Gum Cool Peppermint Flavour (44 Pieces)</t>
  </si>
  <si>
    <t>Mentos Bubble Gum – منتوس Bubble Gum</t>
  </si>
  <si>
    <t>Chupa Chups Pinkis Soft &amp; Chewy Strawberry Flavour Gummy Candy 106 g – تشوبا تشوبس Pinkis Soft &amp; Chewy فراولة Flavour Gummy Candy 106 غرام</t>
  </si>
  <si>
    <t>استمتع بـ Chupa Chups Pinkis Soft &amp; Chewy Strawberry Flavour Gummy Candy 106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</si>
  <si>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Cola Soft &amp; Chewy Cola Flavour Gummy Candy 106 g – تشوبا تشوبس Cola Soft &amp; Chewy Cola Flavour Gummy Candy 106 غرام</t>
  </si>
  <si>
    <t>استمتع بـ Chupa Chups Cola Soft &amp; Chewy Cola Flavour Gummy Candy 106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</si>
  <si>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Gecko Sour Fruit Flavour Gummy Candy 106 g – تشوبا تشوبس Gecko Sour Fruit Flavour Gummy Candy 106 غرام</t>
  </si>
  <si>
    <t>استمتع بـ Chupa Chups Gecko Sour Fruit Flavour Gummy Candy 106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</si>
  <si>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Crawlers Sour Fruit Flavour Gummy Candy 90 g – تشوبا تشوبس Crawlers Sour Fruit Flavour Gummy Candy 90 غرام</t>
  </si>
  <si>
    <t>استمتع بـ Chupa Chups Crawlers Sour Fruit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</si>
  <si>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Panda Bears Fruit Flavour Gummy Candy 90 g – تشوبا تشوبس Panda Bears Fruit Flavour Gummy Candy 90 غرام</t>
  </si>
  <si>
    <t>استمتع بـ Chupa Chups Panda Bears Fruit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</si>
  <si>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Cola Soft &amp; Chewy Cola Flavour Gummy Candy 90 g – تشوبا تشوبس Cola Soft &amp; Chewy Cola Flavour Gummy Candy 90 غرام</t>
  </si>
  <si>
    <t>استمتع بـ Chupa Chups Cola Soft &amp; Chewy Cola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</si>
  <si>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Gecko Sour Fruit Flavour Gummy Candy 90 g – تشوبا تشوبس Gecko Sour Fruit Flavour Gummy Candy 90 غرام</t>
  </si>
  <si>
    <t>استمتع بـ Chupa Chups Gecko Sour Fruit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</si>
  <si>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Pinkis Soft &amp; Chewy Strawberry Flavour Gummy Candy 90 g – تشوبا تشوبس Pinkis Soft &amp; Chewy فراولة Flavour Gummy Candy 90 غرام</t>
  </si>
  <si>
    <t>استمتع بـ Chupa Chups Pinkis Soft &amp; Chewy Strawberry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</si>
  <si>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Sour Assorted Flavour Lollipops 120 g – تشوبا تشوبس Sour متنوع Flavour Lollipops 120 غرام</t>
  </si>
  <si>
    <t>أضف لحظة حلوة إلى يومك مع Chupa Chups Sour Assorted Flavour Lollipops 120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t>
  </si>
  <si>
    <t>Chupa Chups Cola Gummy Candy 45g – تشوبا تشوبس Cola Gummy Candy 45 غرام</t>
  </si>
  <si>
    <t>استمتع بـ Chupa Chups Cola Gummy Candy 45g،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</si>
  <si>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Chupa Chups Bites Sour Fruit Flavour Gummy Candy 85g – تشوبا تشوبس Bites Sour Fruit Flavour Gummy Candy 85 غرام</t>
  </si>
  <si>
    <t>استمتع بـ Chupa Chups Bites Sour Fruit Flavour Gummy Candy 85g،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t>
  </si>
  <si>
    <t>Mentos Pure Fresh Chewing Gum Fresh Mint – منتوس Pure Fresh Chewing Gum Fresh نعناع</t>
  </si>
  <si>
    <t>Mentos Pure Fresh Chewing Gum Wintergreen 32 Pieces – منتوس Pure Fresh Chewing Gum Wintergreen 32 Pieces</t>
  </si>
  <si>
    <t>Mentos Pure Fresh Chewing Gum Strawberry 32 Pieces – منتوس Pure Fresh Chewing Gum فراولة 32 Pieces</t>
  </si>
  <si>
    <t>Mentos Pure Fresh Chewing Gum Watermelon 32 Pieces – منتوس Pure Fresh Chewing Gum Watermelon 32 Pieces</t>
  </si>
  <si>
    <t>اشرب منتوس،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t>
  </si>
  <si>
    <t>Mentos Pure Fresh Chewing Gum Fresh Mint 32 Pieces – منتوس Pure Fresh Chewing Gum Fresh نعناع 32 Pieces</t>
  </si>
  <si>
    <t>Mentos 3D Sugarfree Chewing Gum Watermelon 5 Pieces – منتوس 3D Sugarfree Chewing Gum Watermelon 5 Pieces</t>
  </si>
  <si>
    <t>Mentos 3D Sugarfree Chewing Gum Fresh Mint 5 Pieces – منتوس 3D Sugarfree Chewing Gum Fresh نعناع 5 Pieces</t>
  </si>
  <si>
    <t>Mentos Incredible Chew Cola Flavour Chews 140 g – منتوس Incredible Chew Cola Flavour Chews 140 غرام</t>
  </si>
  <si>
    <t>Mentos Mint Chewy Candy Rol 37.5 g – منتوس نعناع Chewy Candy Rol 37.5 غرام</t>
  </si>
  <si>
    <t>Mentos Fruit Chewy Candy Roll 37.5 g – منتوس Fruit Chewy Candy Roll 37.5 غرام</t>
  </si>
  <si>
    <t>Mentos Rainbow Chewy Candy Roll 37.5 g – منتوس Rainbow Chewy Candy Roll 37.5 غرام</t>
  </si>
  <si>
    <t>Mentos Strawberry Chewy Candy Roll 37.5 g – منتوس فراولة Chewy Candy Roll 37.5 غرام</t>
  </si>
  <si>
    <t>Mentos Pure Fresh Sugarfree Chewing Gum Strawberry 9 Pieces 15 g – منتوس Pure Fresh Sugarfree Chewing Gum فراولة 9 Pieces 15 غرام</t>
  </si>
  <si>
    <t>Mentos Pure Fresh Sugarfree Chewing Gum Spearmint 9 Pieces 15 g – منتوس Pure Fresh Sugarfree Chewing Gum Spearmint 9 Pieces 15 غرام</t>
  </si>
  <si>
    <t>Mentos Pure Fresh Sugarfree Chewing Gum Bubble Fresh 9 Pieces 15 g – منتوس Pure Fresh Sugarfree Chewing Gum Bubble Fresh 9 Pieces 15 غرام</t>
  </si>
  <si>
    <t>Mentos Pure Fresh Sugarfree Chewing Gum Fresh Mint 9 Pieces 15 g – منتوس Pure Fresh Sugarfree Chewing Gum Fresh نعناع 9 Pieces 15 غرام</t>
  </si>
  <si>
    <t>Mentos Pure Fresh Sugarfree Chewing Gum Strawberry 50 Pieces 87.5 g – منتوس Pure Fresh Sugarfree Chewing Gum فراولة 50 Pieces 87.5 غرام</t>
  </si>
  <si>
    <t>Mentos Pure Fresh Sugarfree Chewing Gum Bubble Fresh 50 Pieces 87.5 g – منتوس Pure Fresh Sugarfree Chewing Gum Bubble Fresh 50 Pieces 87.5 غرام</t>
  </si>
  <si>
    <t>Mentos Pure Fresh Sugarfree Chewing Gum Spearmint 50 Pieces 87.5 g – منتوس Pure Fresh Sugarfree Chewing Gum Spearmint 50 Pieces 87.5 غرام</t>
  </si>
  <si>
    <t>Mentos Pure Fresh Sugarfree Chewing Gum Watermelon 50 Pieces 87.5 g – منتوس Pure Fresh Sugarfree Chewing Gum Watermelon 50 Pieces 87.5 غرام</t>
  </si>
  <si>
    <t>Qbake Zaatar Cream Cheese Sandwich Roll 110g – Qbake Zaatar كريم جبنة ساندويتش Roll 110 غرام</t>
  </si>
  <si>
    <t>اكتشف Qbake Zaatar Cream Cheese Sandwich Roll 110g،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</si>
  <si>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Biscuit Cream Butter Croissant 80g – بسكويت كريم زبدة Croissant 80 غرام</t>
  </si>
  <si>
    <t>اكتشف Biscuit Cream Butter Croissant 80g،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</si>
  <si>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Apple Puff 70g – Qbake تفاح Puff 70 غرام</t>
  </si>
  <si>
    <t>اكتشف Qbake Apple Puff 70g،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</si>
  <si>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Sweet Puff 70g – Qbake Sweet Puff 70 غرام</t>
  </si>
  <si>
    <t>اكتشف Qbake Sweet Puff 70g،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</si>
  <si>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Vanilla Cupcake 15pcs – Qbake فانيليا Cupcake 15pcs</t>
  </si>
  <si>
    <t>اكتشف Qbake Vanilla Cupcake 15pcs،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</si>
  <si>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Mini Vanilla Muffins Original 195g – Qbake ميني فانيليا Muffins أصلي 195 غرام</t>
  </si>
  <si>
    <t>اكتشف Qbake Mini Vanilla Muffins Original 195g،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</si>
  <si>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Mini Chocolate Muffins 195g – Qbake ميني شوكولاتة Muffins 195 غرام</t>
  </si>
  <si>
    <t>دلّل حواسك مع Qbake Mini Chocolate Muffins 195g،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</si>
  <si>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Qbake Brown Bread 620g – Qbake Brown خبز 620 غرام</t>
  </si>
  <si>
    <t>اكتشف Qbake Brown Bread 620g،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</si>
  <si>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White Bread 620g – Qbake أبيض خبز 620 غرام</t>
  </si>
  <si>
    <t>اكتشف Qbake White Bread 620g،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</si>
  <si>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White Bread Small 320g – Qbake أبيض خبز Small 320 غرام</t>
  </si>
  <si>
    <t>اكتشف Qbake White Bread Small 320g،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</si>
  <si>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Jumpo Roll 55 g – Jumpo Roll 55 غرام</t>
  </si>
  <si>
    <t>اكتشف Jumpo Roll 55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</si>
  <si>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Chocolate Brownie (50 g) – Lusine شوكولاتة Brownie (50 غرام)</t>
  </si>
  <si>
    <t>دلّل حواسك مع Lusine Chocolate Brownie (50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</si>
  <si>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Lusine Triple Chocolate Muffin (60 g) – Lusine Triple شوكولاتة Muffin (60 غرام)</t>
  </si>
  <si>
    <t>دلّل حواسك مع Lusine Triple Chocolate Muffin (60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</si>
  <si>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Snaz Swizz Roll (20 g) – Snaz Swizz Roll (20 غرام)</t>
  </si>
  <si>
    <t>اكتشف Snaz Swizz Roll (20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</si>
  <si>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Snaz Swizz Roll with Strawberry (20 g) – Snaz Swizz Roll with فراولة (20 غرام)</t>
  </si>
  <si>
    <t>اكتشف Snaz Swizz Roll with Strawberry (20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</si>
  <si>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Samona (360 g) – Qbake Samona (360 غرام)</t>
  </si>
  <si>
    <t>اكتشف Qbake Samona (360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</si>
  <si>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Burger Bun (420 g) – Qbake Burger Bun (420 غرام)</t>
  </si>
  <si>
    <t>اكتشف Qbake Burger Bun (420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</si>
  <si>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Soft Bun (420 g) – Qbake Soft Bun (420 غرام)</t>
  </si>
  <si>
    <t>اكتشف Qbake Soft Bun (420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</si>
  <si>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Hot Dog Roll – Soft &amp; Fluffy (500 g) – Qbake حار Dog Roll – Soft &amp; Fluffy (500 غرام)</t>
  </si>
  <si>
    <t>اكتشف Qbake Hot Dog Roll – Soft &amp; Fluffy (500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</si>
  <si>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London Oven Fresh – London Bakery (210 g) – London Oven Fresh – London Bakery (210 غرام)</t>
  </si>
  <si>
    <t>اكتشف London Oven Fresh – London Bakery (210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</si>
  <si>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Butter Bread 300g – Qbake زبدة خبز 300 غرام</t>
  </si>
  <si>
    <t>اكتشف Qbake Butter Bread 300g،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</si>
  <si>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multi Grain Bread 325g – Qbake multi Grain خبز 325 غرام</t>
  </si>
  <si>
    <t>اكتشف Qbake multi Grain Bread 325g،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</si>
  <si>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Milk Bread Medium 620gm – Qbake حليب خبز Medium 620gm</t>
  </si>
  <si>
    <t>اكتشف Qbake Milk Bread Medium 620gm،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</si>
  <si>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Qbake Milk Bread 350Gm – Qbake حليب خبز 350Gm</t>
  </si>
  <si>
    <t>اكتشف Qbake Milk Bread 350Gm،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</si>
  <si>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Zaatar Croissant – لوسين كرواسان زعتر</t>
  </si>
  <si>
    <t>اكتشف Lusine Zaatar Croissant،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</si>
  <si>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Flaky Butter Puff – Strawberry (80 g) – Lusine Flaky زبدة Puff – فراولة (80 غرام)</t>
  </si>
  <si>
    <t>اكتشف Lusine Flaky Butter Puff – Strawberry (80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</si>
  <si>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Cheese Puff (70 g) – Lusine جبنة Puff (70 غرام)</t>
  </si>
  <si>
    <t>اكتشف Lusine Cheese Puff (70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</si>
  <si>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Flaky Butter Puff – Feta (80 g) – Lusine Flaky زبدة Puff – Feta (80 غرام)</t>
  </si>
  <si>
    <t>اكتشف Lusine Flaky Butter Puff – Feta (80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</si>
  <si>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Chocolate Puff (70 g) – Lusine شوكولاتة Puff (70 غرام)</t>
  </si>
  <si>
    <t>دلّل حواسك مع Lusine Chocolate Puff (70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</si>
  <si>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Lusine Apple Puff (70 g) – Lusine تفاح Puff (70 غرام)</t>
  </si>
  <si>
    <t>اكتشف Lusine Apple Puff (70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</si>
  <si>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Chocolate Cupcake (60 g) – Lusine شوكولاتة Cupcake (60 غرام)</t>
  </si>
  <si>
    <t>دلّل حواسك مع Lusine Chocolate Cupcake (60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</si>
  <si>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Lusine Vanilla Cupcake (60 g) – Lusine فانيليا Cupcake (60 غرام)</t>
  </si>
  <si>
    <t>اكتشف Lusine Vanilla Cupcake (60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</si>
  <si>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Strawberry Cupcake (60 g) – Lusine فراولة Cupcake (60 غرام)</t>
  </si>
  <si>
    <t>اكتشف Lusine Strawberry Cupcake (60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</si>
  <si>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Butter Croissant (85 g) – Lusine زبدة Croissant (85 غرام)</t>
  </si>
  <si>
    <t>اكتشف Lusine Butter Croissant (85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</si>
  <si>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Strawberry Cupcake (30 g) – Lusine فراولة Cupcake (30 غرام)</t>
  </si>
  <si>
    <t>اكتشف Lusine Strawberry Cupcake (30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</si>
  <si>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Chocolate Cupcake (30 g) – Lusine شوكولاتة Cupcake (30 غرام)</t>
  </si>
  <si>
    <t>دلّل حواسك مع Lusine Chocolate Cupcake (30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</si>
  <si>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Lusine Pizza Puff (90 g) – Lusine Pizza Puff (90 غرام)</t>
  </si>
  <si>
    <t>اكتشف Lusine Pizza Puff (90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</si>
  <si>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Cheese Croissant (60 g) – Lusine جبنة Croissant (60 غرام)</t>
  </si>
  <si>
    <t>اكتشف Lusine Cheese Croissant (60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</si>
  <si>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Biscuit Cream Butter Croissant (83 g) – Lusine بسكويت كريم زبدة Croissant (83 غرام)</t>
  </si>
  <si>
    <t>اكتشف Lusine Biscuit Cream Butter Croissant (83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</si>
  <si>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Lusine Chocolate Sandwich 105 g – Lusine شوكولاتة ساندويتش 105 غرام</t>
  </si>
  <si>
    <t>دلّل حواسك مع Lusine Chocolate Sandwich 105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t>
  </si>
  <si>
    <t>Al Rifai Turkish Coffee with Cardamom 250 gm – Al Rifai Turkish قهوة with Cardamom 250 gm</t>
  </si>
  <si>
    <t>Coffee &amp; Coffee Drinks – القهوة ومشروبات القهوة</t>
  </si>
  <si>
    <t>اكتشف Al Rifai Turkish Coffee with Cardamom 250 gm،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</si>
  <si>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Al Rifai French Coffee Hazelnut Flavour 250 ml – Al Rifai French قهوة بندق Flavour 250 مل</t>
  </si>
  <si>
    <t>اختر Al Rifai French Coffee Hazelnut Flavour 250 ml،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t>
  </si>
  <si>
    <t>Al Rifai French Coffee 250 gm – Al Rifai French قهوة 250 gm</t>
  </si>
  <si>
    <t>اكتشف Al Rifai French Coffee 250 gm،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</si>
  <si>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Mr. Brown Vanilla Iced Coffee 240 ml – Mr. Brown فانيليا Iced قهوة 240 مل</t>
  </si>
  <si>
    <t>اكتشف Mr. Brown Vanilla Iced Coffee 240 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</si>
  <si>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Mr. Brown Caramel Latte Iced Coffee 240 ml – Mr. Brown كراميل Latte Iced قهوة 240 مل</t>
  </si>
  <si>
    <t>اكتشف Mr. Brown Caramel Latte Iced Coffee 240 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</si>
  <si>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Mr. Brown Cappuccino Iced Coffee 240 ml – Mr. Brown Cappuccino Iced قهوة 240 مل</t>
  </si>
  <si>
    <t>اكتشف Mr. Brown Cappuccino Iced Coffee 240 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</si>
  <si>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Mr. Brown Iced Coffee 240 ml – Mr. Brown Iced قهوة 240 مل</t>
  </si>
  <si>
    <t>اكتشف Mr. Brown Iced Coffee 240 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t>
  </si>
  <si>
    <t>KDD Caramel Macchiato Coffee with Milk 250 ml – كي دي دي كراميل Macchiato قهوة with حليب 250 مل</t>
  </si>
  <si>
    <t>KDD Caffè Latte Coffee with Milk 250 ml – كي دي دي Caffè Latte قهوة with حليب 250 مل</t>
  </si>
  <si>
    <t>KDD Iced Mocha Coffee with Chocolate Milk 250 ml – كي دي دي Iced Mocha قهوة with شوكولاتة حليب 250 مل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</si>
</sst>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9">
    <font>
      <sz val="10.0"/>
      <color rgb="FF000000"/>
      <name val="Arial"/>
      <scheme val="minor"/>
    </font>
    <font>
      <b/>
      <color rgb="FFFFFFFF"/>
      <name val="Arial"/>
    </font>
    <font>
      <sz val="11.0"/>
      <color theme="1"/>
      <name val="Arial"/>
    </font>
    <font>
      <color theme="1"/>
      <name val="Arial"/>
    </font>
    <font>
      <sz val="12.0"/>
      <color theme="1"/>
      <name val="Calibri"/>
    </font>
    <font/>
    <font>
      <color theme="1"/>
      <name val="Arial"/>
      <scheme val="minor"/>
    </font>
    <font>
      <b/>
      <sz val="11.0"/>
      <color rgb="FFFFFFFF"/>
      <name val="Montserrat"/>
    </font>
    <font>
      <sz val="10.0"/>
      <color theme="1"/>
      <name val="Roboto"/>
    </font>
  </fonts>
  <fills count="10">
    <fill>
      <patternFill patternType="none"/>
    </fill>
    <fill>
      <patternFill patternType="lightGray"/>
    </fill>
    <fill>
      <patternFill patternType="solid">
        <fgColor rgb="FF000000"/>
        <bgColor rgb="FF000000"/>
      </patternFill>
    </fill>
    <fill>
      <patternFill patternType="solid">
        <fgColor rgb="FF188038"/>
        <bgColor rgb="FF188038"/>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57BB8A"/>
        <bgColor rgb="FF57BB8A"/>
      </patternFill>
    </fill>
    <fill>
      <patternFill patternType="solid">
        <fgColor rgb="FFFF0000"/>
        <bgColor rgb="FFFF0000"/>
      </patternFill>
    </fill>
    <fill>
      <patternFill patternType="solid">
        <fgColor rgb="FF435E91"/>
        <bgColor rgb="FF435E91"/>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164" xfId="0" applyAlignment="1" applyFont="1" applyNumberFormat="1">
      <alignment shrinkToFit="0" vertical="top" wrapText="1"/>
    </xf>
    <xf borderId="0" fillId="3" fontId="1" numFmtId="164" xfId="0" applyAlignment="1" applyFill="1" applyFont="1" applyNumberFormat="1">
      <alignment shrinkToFit="0" vertical="top" wrapText="1"/>
    </xf>
    <xf borderId="0" fillId="3" fontId="1" numFmtId="0" xfId="0" applyAlignment="1" applyFont="1">
      <alignment shrinkToFit="0" vertical="top" wrapText="1"/>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vertical="top"/>
    </xf>
    <xf borderId="0" fillId="0" fontId="3" numFmtId="0" xfId="0" applyAlignment="1" applyFont="1">
      <alignment vertical="bottom"/>
    </xf>
    <xf borderId="0" fillId="4" fontId="2" numFmtId="0" xfId="0" applyAlignment="1" applyFill="1" applyFont="1">
      <alignment vertical="bottom"/>
    </xf>
    <xf borderId="0" fillId="4" fontId="3" numFmtId="0" xfId="0" applyAlignment="1" applyFont="1">
      <alignment vertical="bottom"/>
    </xf>
    <xf borderId="0" fillId="4" fontId="3" numFmtId="0" xfId="0" applyAlignment="1" applyFont="1">
      <alignment horizontal="right" vertical="bottom"/>
    </xf>
    <xf borderId="0" fillId="4" fontId="3" numFmtId="0" xfId="0" applyAlignment="1" applyFont="1">
      <alignment horizontal="right" vertical="top"/>
    </xf>
    <xf borderId="0" fillId="4" fontId="3" numFmtId="0" xfId="0" applyAlignment="1" applyFont="1">
      <alignment vertical="bottom"/>
    </xf>
    <xf borderId="0" fillId="4" fontId="3" numFmtId="0" xfId="0" applyAlignment="1" applyFont="1">
      <alignment shrinkToFit="0" vertical="top" wrapText="1"/>
    </xf>
    <xf borderId="0" fillId="4" fontId="3" numFmtId="0" xfId="0" applyAlignment="1" applyFont="1">
      <alignment vertical="top"/>
    </xf>
    <xf borderId="0" fillId="0" fontId="2" numFmtId="0" xfId="0" applyAlignment="1" applyFont="1">
      <alignment vertical="bottom"/>
    </xf>
    <xf borderId="0" fillId="5" fontId="2" numFmtId="0" xfId="0" applyAlignment="1" applyFill="1" applyFont="1">
      <alignment vertical="bottom"/>
    </xf>
    <xf borderId="0" fillId="0" fontId="3" numFmtId="164" xfId="0" applyAlignment="1" applyFont="1" applyNumberFormat="1">
      <alignment horizontal="right" vertical="bottom"/>
    </xf>
    <xf borderId="0" fillId="0" fontId="3" numFmtId="164" xfId="0" applyAlignment="1" applyFont="1" applyNumberFormat="1">
      <alignment horizontal="right" vertical="top"/>
    </xf>
    <xf borderId="0" fillId="6" fontId="2" numFmtId="0" xfId="0" applyAlignment="1" applyFill="1" applyFont="1">
      <alignment vertical="bottom"/>
    </xf>
    <xf borderId="0" fillId="7" fontId="3" numFmtId="164" xfId="0" applyAlignment="1" applyFill="1" applyFont="1" applyNumberFormat="1">
      <alignment horizontal="right" vertical="bottom"/>
    </xf>
    <xf borderId="0" fillId="4" fontId="3" numFmtId="164" xfId="0" applyAlignment="1" applyFont="1" applyNumberFormat="1">
      <alignment horizontal="right" vertical="bottom"/>
    </xf>
    <xf borderId="0" fillId="8" fontId="2" numFmtId="0" xfId="0" applyAlignment="1" applyFill="1" applyFont="1">
      <alignment vertical="bottom"/>
    </xf>
    <xf borderId="0" fillId="0" fontId="4" numFmtId="0" xfId="0" applyAlignment="1" applyFont="1">
      <alignment vertical="bottom"/>
    </xf>
    <xf borderId="0" fillId="6" fontId="2" numFmtId="0" xfId="0" applyAlignment="1" applyFont="1">
      <alignment vertical="bottom"/>
    </xf>
    <xf borderId="0" fillId="0" fontId="3" numFmtId="0" xfId="0" applyAlignment="1" applyFont="1">
      <alignment horizontal="right" vertical="bottom"/>
    </xf>
    <xf borderId="0" fillId="0" fontId="3" numFmtId="164" xfId="0" applyAlignment="1" applyFont="1" applyNumberFormat="1">
      <alignment vertical="bottom"/>
    </xf>
    <xf borderId="0" fillId="6" fontId="4" numFmtId="0" xfId="0" applyAlignment="1" applyFont="1">
      <alignment vertical="bottom"/>
    </xf>
    <xf borderId="0" fillId="6" fontId="3" numFmtId="164" xfId="0" applyAlignment="1" applyFont="1" applyNumberFormat="1">
      <alignment horizontal="right" vertical="top"/>
    </xf>
    <xf borderId="0" fillId="6" fontId="3" numFmtId="0" xfId="0" applyAlignment="1" applyFont="1">
      <alignment vertical="bottom"/>
    </xf>
    <xf borderId="0" fillId="6" fontId="3" numFmtId="0" xfId="0" applyAlignment="1" applyFont="1">
      <alignment vertical="top"/>
    </xf>
    <xf borderId="0" fillId="6" fontId="3" numFmtId="0" xfId="0" applyAlignment="1" applyFont="1">
      <alignment shrinkToFit="0" vertical="top" wrapText="1"/>
    </xf>
    <xf borderId="0" fillId="0" fontId="3" numFmtId="164" xfId="0" applyAlignment="1" applyFont="1" applyNumberFormat="1">
      <alignment vertical="top"/>
    </xf>
    <xf borderId="0" fillId="8" fontId="4" numFmtId="0" xfId="0" applyAlignment="1" applyFont="1">
      <alignment vertical="bottom"/>
    </xf>
    <xf borderId="0" fillId="8" fontId="3" numFmtId="164" xfId="0" applyAlignment="1" applyFont="1" applyNumberFormat="1">
      <alignment horizontal="right" vertical="top"/>
    </xf>
    <xf borderId="0" fillId="8" fontId="3" numFmtId="0" xfId="0" applyAlignment="1" applyFont="1">
      <alignment vertical="bottom"/>
    </xf>
    <xf borderId="0" fillId="8" fontId="3" numFmtId="0" xfId="0" applyAlignment="1" applyFont="1">
      <alignment vertical="top"/>
    </xf>
    <xf borderId="0" fillId="8" fontId="3" numFmtId="0" xfId="0" applyAlignment="1" applyFont="1">
      <alignment shrinkToFit="0" vertical="top" wrapText="1"/>
    </xf>
    <xf borderId="0" fillId="8" fontId="2" numFmtId="0" xfId="0" applyAlignment="1" applyFont="1">
      <alignment vertical="bottom"/>
    </xf>
    <xf borderId="0" fillId="8" fontId="3" numFmtId="164" xfId="0" applyAlignment="1" applyFont="1" applyNumberFormat="1">
      <alignment vertical="top"/>
    </xf>
    <xf borderId="1" fillId="4" fontId="3" numFmtId="0" xfId="0" applyAlignment="1" applyBorder="1" applyFont="1">
      <alignment vertical="top"/>
    </xf>
    <xf borderId="2" fillId="0" fontId="5" numFmtId="0" xfId="0" applyBorder="1" applyFont="1"/>
    <xf borderId="3" fillId="0" fontId="5" numFmtId="0" xfId="0" applyBorder="1" applyFont="1"/>
    <xf borderId="0" fillId="5" fontId="2" numFmtId="0" xfId="0" applyAlignment="1" applyFont="1">
      <alignment vertical="bottom"/>
    </xf>
    <xf borderId="0" fillId="5" fontId="4" numFmtId="0" xfId="0" applyAlignment="1" applyFont="1">
      <alignment vertical="bottom"/>
    </xf>
    <xf borderId="0" fillId="5" fontId="3" numFmtId="164" xfId="0" applyAlignment="1" applyFont="1" applyNumberFormat="1">
      <alignment horizontal="right" vertical="top"/>
    </xf>
    <xf borderId="0" fillId="5" fontId="3" numFmtId="0" xfId="0" applyAlignment="1" applyFont="1">
      <alignment vertical="bottom"/>
    </xf>
    <xf borderId="0" fillId="5" fontId="3" numFmtId="0" xfId="0" applyAlignment="1" applyFont="1">
      <alignment vertical="top"/>
    </xf>
    <xf borderId="0" fillId="0" fontId="6" numFmtId="0" xfId="0" applyAlignment="1" applyFont="1">
      <alignment readingOrder="0"/>
    </xf>
    <xf borderId="0" fillId="9" fontId="7" numFmtId="0" xfId="0" applyAlignment="1" applyFill="1" applyFont="1">
      <alignment horizontal="center" shrinkToFit="0" vertical="top" wrapText="1"/>
    </xf>
    <xf borderId="0" fillId="9" fontId="7" numFmtId="164" xfId="0" applyAlignment="1" applyFont="1" applyNumberFormat="1">
      <alignment horizontal="center" shrinkToFit="0" vertical="top" wrapText="1"/>
    </xf>
    <xf borderId="0" fillId="9" fontId="7" numFmtId="0" xfId="0" applyAlignment="1" applyFont="1">
      <alignment horizontal="center"/>
    </xf>
    <xf borderId="0" fillId="0" fontId="8" numFmtId="0" xfId="0" applyFont="1"/>
    <xf borderId="0" fillId="0" fontId="8" numFmtId="0" xfId="0" applyFont="1"/>
    <xf borderId="0" fillId="0" fontId="8" numFmtId="164" xfId="0" applyFont="1" applyNumberFormat="1"/>
  </cellXfs>
  <cellStyles count="1">
    <cellStyle xfId="0" name="Normal" builtinId="0"/>
  </cellStyles>
  <dxfs count="3">
    <dxf>
      <font/>
      <fill>
        <patternFill patternType="none"/>
      </fill>
      <border/>
    </dxf>
    <dxf>
      <font/>
      <fill>
        <patternFill patternType="solid">
          <fgColor rgb="FFF8F8FF"/>
          <bgColor rgb="FFF8F8FF"/>
        </patternFill>
      </fill>
      <border/>
    </dxf>
    <dxf>
      <font/>
      <fill>
        <patternFill patternType="solid">
          <fgColor rgb="FFFFFFFF"/>
          <bgColor rgb="FFFFFFFF"/>
        </patternFill>
      </fill>
      <border/>
    </dxf>
  </dxfs>
  <tableStyles count="2">
    <tableStyle count="2" pivot="0" name="English Products-style">
      <tableStyleElement dxfId="1" type="firstRowStripe"/>
      <tableStyleElement dxfId="2" type="secondRowStripe"/>
    </tableStyle>
    <tableStyle count="2" pivot="0" name="Arabic Product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N1013"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English Products-style" showColumnStripes="0" showFirstColumn="1" showLastColumn="1" showRowStripes="1"/>
</table>
</file>

<file path=xl/tables/table2.xml><?xml version="1.0" encoding="utf-8"?>
<table xmlns="http://schemas.openxmlformats.org/spreadsheetml/2006/main" headerRowCount="0" ref="A2:N1013"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Arabic Produ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40.88"/>
  </cols>
  <sheetData>
    <row r="1">
      <c r="A1" s="1" t="s">
        <v>0</v>
      </c>
      <c r="B1" s="1" t="s">
        <v>1</v>
      </c>
      <c r="C1" s="2" t="s">
        <v>2</v>
      </c>
      <c r="D1" s="3" t="s">
        <v>3</v>
      </c>
      <c r="E1" s="4" t="s">
        <v>4</v>
      </c>
      <c r="F1" s="4" t="s">
        <v>5</v>
      </c>
      <c r="G1" s="4" t="s">
        <v>6</v>
      </c>
      <c r="H1" s="4" t="s">
        <v>7</v>
      </c>
      <c r="I1" s="4" t="s">
        <v>8</v>
      </c>
      <c r="J1" s="4" t="s">
        <v>9</v>
      </c>
      <c r="K1" s="4" t="s">
        <v>10</v>
      </c>
      <c r="L1" s="4" t="s">
        <v>11</v>
      </c>
      <c r="M1" s="4" t="s">
        <v>12</v>
      </c>
      <c r="N1" s="4" t="s">
        <v>12</v>
      </c>
    </row>
    <row r="2">
      <c r="A2" s="5" t="s">
        <v>13</v>
      </c>
      <c r="B2" s="6" t="s">
        <v>14</v>
      </c>
      <c r="C2" s="7">
        <v>7.5</v>
      </c>
      <c r="D2" s="8" t="s">
        <v>15</v>
      </c>
      <c r="E2" s="6"/>
      <c r="F2" s="6"/>
      <c r="G2" s="6"/>
      <c r="H2" s="6"/>
      <c r="I2" s="6"/>
      <c r="J2" s="9" t="s">
        <v>16</v>
      </c>
      <c r="K2" s="6" t="str">
        <f>IMAGE("https://cdn.store.link/products/ayiraminimart50505/qb3bg2-mountain%20dew%202.25%20l.png?versionId=_h55HFaLTDGEW0i5O0qGFO49KBQkdfzS")</f>
        <v/>
      </c>
      <c r="L2" s="6"/>
      <c r="M2" s="10"/>
      <c r="N2" s="10"/>
    </row>
    <row r="3">
      <c r="A3" s="5" t="s">
        <v>17</v>
      </c>
      <c r="B3" s="6" t="s">
        <v>14</v>
      </c>
      <c r="C3" s="7">
        <v>4.5</v>
      </c>
      <c r="D3" s="8" t="s">
        <v>18</v>
      </c>
      <c r="E3" s="6"/>
      <c r="F3" s="6"/>
      <c r="G3" s="6"/>
      <c r="H3" s="6"/>
      <c r="I3" s="6"/>
      <c r="J3" s="9" t="s">
        <v>16</v>
      </c>
      <c r="K3" s="6" t="str">
        <f>IMAGE("https://cdn.store.link/products/ayiraminimart50505/ri64et-pepsi%201.25l.png?versionId=IwOw0VrxH9YWI05.XOKJTX_1pr40qp9A")</f>
        <v/>
      </c>
      <c r="L3" s="6"/>
      <c r="M3" s="10"/>
      <c r="N3" s="10"/>
    </row>
    <row r="4">
      <c r="A4" s="5" t="s">
        <v>19</v>
      </c>
      <c r="B4" s="6" t="s">
        <v>14</v>
      </c>
      <c r="C4" s="7">
        <v>4.5</v>
      </c>
      <c r="D4" s="8" t="s">
        <v>15</v>
      </c>
      <c r="E4" s="6"/>
      <c r="F4" s="6"/>
      <c r="G4" s="6"/>
      <c r="H4" s="6"/>
      <c r="I4" s="6"/>
      <c r="J4" s="9" t="s">
        <v>16</v>
      </c>
      <c r="K4" s="6" t="str">
        <f>IMAGE("https://cdn.store.link/products/ayiraminimart50505/ywzsx7-mountain%20dew%201.25l.png?versionId=Bdv4AX2lHkgNWMqGNm0YVOnecfYpV1wq")</f>
        <v/>
      </c>
      <c r="L4" s="6"/>
      <c r="M4" s="10"/>
      <c r="N4" s="10"/>
    </row>
    <row r="5">
      <c r="A5" s="5" t="s">
        <v>20</v>
      </c>
      <c r="B5" s="6" t="s">
        <v>14</v>
      </c>
      <c r="C5" s="7">
        <v>2.5</v>
      </c>
      <c r="D5" s="8" t="s">
        <v>15</v>
      </c>
      <c r="E5" s="6"/>
      <c r="F5" s="6"/>
      <c r="G5" s="6"/>
      <c r="H5" s="6"/>
      <c r="I5" s="6"/>
      <c r="J5" s="9" t="s">
        <v>16</v>
      </c>
      <c r="K5" s="6" t="str">
        <f>IMAGE("https://cdn.store.link/products/ayiraminimart50505/vk-4xp-mountain%20dew%20330%20ml.png?versionId=Nt5eIDm5bsvwUKxb81ZaEKTDV5HXVHxY")</f>
        <v/>
      </c>
      <c r="L5" s="6"/>
      <c r="M5" s="10"/>
      <c r="N5" s="10"/>
    </row>
    <row r="6">
      <c r="A6" s="5" t="s">
        <v>21</v>
      </c>
      <c r="B6" s="6" t="s">
        <v>14</v>
      </c>
      <c r="C6" s="7">
        <v>2.5</v>
      </c>
      <c r="D6" s="8" t="s">
        <v>22</v>
      </c>
      <c r="E6" s="6"/>
      <c r="F6" s="6"/>
      <c r="G6" s="6"/>
      <c r="H6" s="6"/>
      <c r="I6" s="6"/>
      <c r="J6" s="9" t="s">
        <v>16</v>
      </c>
      <c r="K6" s="6" t="str">
        <f>IMAGE("https://cdn.store.link/products/ayiraminimart50505/qm36zv-shani%20fruit%20flavoured%20drink%20330%20ml.png?versionId=CNYiBdOUAINvEJ3IvXttsLNC39e9MwGw")</f>
        <v/>
      </c>
      <c r="L6" s="6"/>
      <c r="M6" s="10"/>
      <c r="N6" s="10"/>
    </row>
    <row r="7">
      <c r="A7" s="5" t="s">
        <v>23</v>
      </c>
      <c r="B7" s="6" t="s">
        <v>14</v>
      </c>
      <c r="C7" s="7">
        <v>2.5</v>
      </c>
      <c r="D7" s="8" t="s">
        <v>24</v>
      </c>
      <c r="E7" s="6"/>
      <c r="F7" s="6"/>
      <c r="G7" s="6"/>
      <c r="H7" s="6"/>
      <c r="I7" s="6"/>
      <c r="J7" s="9" t="s">
        <v>16</v>
      </c>
      <c r="K7" s="6" t="str">
        <f>IMAGE("https://cdn.store.link/products/ayiraminimart50505/rxr64e-refreshing%20lemon%20?versionId=vtzR9.iq85Qd_epQe4Hk2ExFcS0HkE7s")</f>
        <v/>
      </c>
      <c r="L7" s="6"/>
      <c r="M7" s="10"/>
      <c r="N7" s="10"/>
    </row>
    <row r="8">
      <c r="A8" s="5" t="s">
        <v>25</v>
      </c>
      <c r="B8" s="6" t="s">
        <v>14</v>
      </c>
      <c r="C8" s="7">
        <v>4.5</v>
      </c>
      <c r="D8" s="8" t="s">
        <v>26</v>
      </c>
      <c r="E8" s="6"/>
      <c r="F8" s="6"/>
      <c r="G8" s="6"/>
      <c r="H8" s="6"/>
      <c r="I8" s="6"/>
      <c r="J8" s="9" t="s">
        <v>16</v>
      </c>
      <c r="K8" s="6" t="str">
        <f>IMAGE("https://cdn.store.link/products/ayiraminimart50505/qxl8-5-mirinda%20orange%20bottle%201.25%20litres.png?versionId=IsndLwQrdZWw_0j9L32rEUStZzHgNcgy")</f>
        <v/>
      </c>
      <c r="L8" s="6"/>
      <c r="M8" s="10"/>
      <c r="N8" s="10"/>
    </row>
    <row r="9">
      <c r="A9" s="5" t="s">
        <v>27</v>
      </c>
      <c r="B9" s="11" t="s">
        <v>28</v>
      </c>
      <c r="C9" s="7">
        <v>10.0</v>
      </c>
      <c r="D9" s="8" t="s">
        <v>29</v>
      </c>
      <c r="E9" s="6"/>
      <c r="F9" s="6"/>
      <c r="G9" s="6"/>
      <c r="H9" s="6"/>
      <c r="I9" s="6"/>
      <c r="J9" s="9" t="s">
        <v>16</v>
      </c>
      <c r="K9" s="6" t="str">
        <f>IMAGE("https://cdn.store.link/products/ayiraminimart50505/jk50yg-red%20bull%20sugar%20free%20250ml.png?versionId=rO5I2j3ZWbAp2ajiWintHWyBg7Iv79jE")</f>
        <v/>
      </c>
      <c r="L9" s="6"/>
      <c r="M9" s="10"/>
      <c r="N9" s="10"/>
    </row>
    <row r="10">
      <c r="A10" s="5" t="s">
        <v>30</v>
      </c>
      <c r="B10" s="11" t="s">
        <v>28</v>
      </c>
      <c r="C10" s="7">
        <v>10.0</v>
      </c>
      <c r="D10" s="8" t="s">
        <v>29</v>
      </c>
      <c r="E10" s="6"/>
      <c r="F10" s="6"/>
      <c r="G10" s="6"/>
      <c r="H10" s="6"/>
      <c r="I10" s="6"/>
      <c r="J10" s="9" t="s">
        <v>16</v>
      </c>
      <c r="K10" s="6" t="str">
        <f>IMAGE("https://cdn.store.link/products/ayiraminimart50505/9r0v4c-red%20bull%20the%20sea%20blue%20edition%20%28cherry%20?versionId=sdDq3pJeZkcWXRjY6BGQhpxc2E1cTYDo")</f>
        <v/>
      </c>
      <c r="L10" s="6"/>
      <c r="M10" s="10"/>
      <c r="N10" s="10"/>
    </row>
    <row r="11">
      <c r="A11" s="5" t="s">
        <v>31</v>
      </c>
      <c r="B11" s="11" t="s">
        <v>28</v>
      </c>
      <c r="C11" s="7">
        <v>10.0</v>
      </c>
      <c r="D11" s="8" t="s">
        <v>29</v>
      </c>
      <c r="E11" s="6"/>
      <c r="F11" s="6"/>
      <c r="G11" s="6"/>
      <c r="H11" s="6"/>
      <c r="I11" s="6"/>
      <c r="J11" s="9" t="s">
        <v>16</v>
      </c>
      <c r="K11" s="6" t="str">
        <f>IMAGE("https://cdn.store.link/products/ayiraminimart50505/b8x8pu-red%20bull%20the%20white%20edition%20%28coconut%20?versionId=vt6oRz6KnteH8MLOa8HCjcsP9awhQY8a")</f>
        <v/>
      </c>
      <c r="L11" s="6"/>
      <c r="M11" s="10"/>
      <c r="N11" s="10"/>
    </row>
    <row r="12">
      <c r="A12" s="5" t="s">
        <v>32</v>
      </c>
      <c r="B12" s="11" t="s">
        <v>28</v>
      </c>
      <c r="C12" s="7">
        <v>10.0</v>
      </c>
      <c r="D12" s="8" t="s">
        <v>29</v>
      </c>
      <c r="E12" s="6"/>
      <c r="F12" s="6"/>
      <c r="G12" s="6"/>
      <c r="H12" s="6"/>
      <c r="I12" s="6"/>
      <c r="J12" s="9" t="s">
        <v>16</v>
      </c>
      <c r="K12" s="6" t="str">
        <f>IMAGE("https://cdn.store.link/products/ayiraminimart50505/c1tpch-red%20bull%20energy%20drink%20250%20ml.png?versionId=zjXM60JG3xmh0dZulGi1m5pjnnQ2SHok")</f>
        <v/>
      </c>
      <c r="L12" s="6"/>
      <c r="M12" s="10"/>
      <c r="N12" s="10"/>
    </row>
    <row r="13">
      <c r="A13" s="5" t="s">
        <v>33</v>
      </c>
      <c r="B13" s="6" t="s">
        <v>14</v>
      </c>
      <c r="C13" s="7">
        <v>2.5</v>
      </c>
      <c r="D13" s="8" t="s">
        <v>34</v>
      </c>
      <c r="E13" s="6"/>
      <c r="F13" s="6"/>
      <c r="G13" s="6"/>
      <c r="H13" s="6"/>
      <c r="I13" s="6"/>
      <c r="J13" s="9" t="s">
        <v>16</v>
      </c>
      <c r="K13" s="6" t="str">
        <f>IMAGE("https://cdn.store.link/products/ayiraminimart50505/iftisg-coca-cola%20sleek%20can%20330ml.png?versionId=tSPewvXz2qClB2r4WCg6gsrfe7A7zQ.E")</f>
        <v/>
      </c>
      <c r="L13" s="6"/>
      <c r="M13" s="10"/>
      <c r="N13" s="10"/>
    </row>
    <row r="14">
      <c r="A14" s="5" t="s">
        <v>35</v>
      </c>
      <c r="B14" s="6" t="s">
        <v>14</v>
      </c>
      <c r="C14" s="7">
        <v>2.0</v>
      </c>
      <c r="D14" s="8" t="s">
        <v>24</v>
      </c>
      <c r="E14" s="6"/>
      <c r="F14" s="6"/>
      <c r="G14" s="6"/>
      <c r="H14" s="6"/>
      <c r="I14" s="6"/>
      <c r="J14" s="9" t="s">
        <v>16</v>
      </c>
      <c r="K14" s="6" t="str">
        <f>IMAGE("https://cdn.store.link/products/ayiraminimart50505/p9o6hb-7up%20150ml.png?versionId=K32vu1YG3vHXk2ycHDw4ySVVX0HCXRMl")</f>
        <v/>
      </c>
      <c r="L14" s="6"/>
      <c r="M14" s="10"/>
      <c r="N14" s="10"/>
    </row>
    <row r="15">
      <c r="A15" s="5" t="s">
        <v>36</v>
      </c>
      <c r="B15" s="6" t="s">
        <v>14</v>
      </c>
      <c r="C15" s="7">
        <v>2.5</v>
      </c>
      <c r="D15" s="8" t="s">
        <v>26</v>
      </c>
      <c r="E15" s="6"/>
      <c r="F15" s="6"/>
      <c r="G15" s="6"/>
      <c r="H15" s="6"/>
      <c r="I15" s="6"/>
      <c r="J15" s="9" t="s">
        <v>16</v>
      </c>
      <c r="K15" s="6" t="str">
        <f>IMAGE("https://cdn.store.link/products/ayiraminimart50505/eo98-i-mirinda%20citrus%20delicious%20?versionId=WxfWSpWiW4vkG7M.OfZzUbvNWCAaI0sb")</f>
        <v/>
      </c>
      <c r="L15" s="6"/>
      <c r="M15" s="10"/>
      <c r="N15" s="10"/>
    </row>
    <row r="16">
      <c r="A16" s="5" t="s">
        <v>37</v>
      </c>
      <c r="B16" s="6" t="s">
        <v>14</v>
      </c>
      <c r="C16" s="7">
        <v>2.5</v>
      </c>
      <c r="D16" s="8" t="s">
        <v>26</v>
      </c>
      <c r="E16" s="6"/>
      <c r="F16" s="6"/>
      <c r="G16" s="6"/>
      <c r="H16" s="6"/>
      <c r="I16" s="6"/>
      <c r="J16" s="9" t="s">
        <v>16</v>
      </c>
      <c r="K16" s="6" t="str">
        <f>IMAGE("https://cdn.store.link/products/ayiraminimart50505/knkvf7-mirinda%20green%20apple%20%E2%80%93%20delicious%20?versionId=WOKH4VzKx7gorw7Pd10DSDxZW_42hTmU")</f>
        <v/>
      </c>
      <c r="L16" s="6"/>
      <c r="M16" s="10"/>
      <c r="N16" s="10"/>
    </row>
    <row r="17">
      <c r="A17" s="5" t="s">
        <v>38</v>
      </c>
      <c r="B17" s="6" t="s">
        <v>14</v>
      </c>
      <c r="C17" s="7">
        <v>3.5</v>
      </c>
      <c r="D17" s="8" t="s">
        <v>39</v>
      </c>
      <c r="E17" s="6"/>
      <c r="F17" s="6"/>
      <c r="G17" s="6"/>
      <c r="H17" s="6"/>
      <c r="I17" s="6"/>
      <c r="J17" s="9" t="s">
        <v>40</v>
      </c>
      <c r="K17" s="6" t="str">
        <f>IMAGE("https://cdn.store.link/products/ayiraminimart50505/eg3h15-double%20up%20fresh%20breeze%20mojito%20350ml.png?versionId=t2KQp.FF_XlkBAAdWIGeJgGg9aegyoWU")</f>
        <v/>
      </c>
      <c r="L17" s="6"/>
      <c r="M17" s="10"/>
      <c r="N17" s="10"/>
    </row>
    <row r="18">
      <c r="A18" s="5" t="s">
        <v>41</v>
      </c>
      <c r="B18" s="6" t="s">
        <v>42</v>
      </c>
      <c r="C18" s="7">
        <v>3.5</v>
      </c>
      <c r="D18" s="8" t="s">
        <v>39</v>
      </c>
      <c r="E18" s="6"/>
      <c r="F18" s="6"/>
      <c r="G18" s="6"/>
      <c r="H18" s="6"/>
      <c r="I18" s="6"/>
      <c r="J18" s="9" t="s">
        <v>40</v>
      </c>
      <c r="K18" s="6" t="str">
        <f>IMAGE("https://cdn.store.link/products/ayiraminimart50505/zyt7ts-double%20up%20fresh%20breeze%20red%20apple%20350%20ml.png?versionId=fpHEijojcFQhvyo65gSzJj9Wibj4UvPh")</f>
        <v/>
      </c>
      <c r="L18" s="6"/>
      <c r="M18" s="10"/>
      <c r="N18" s="10"/>
    </row>
    <row r="19">
      <c r="A19" s="5" t="s">
        <v>43</v>
      </c>
      <c r="B19" s="11" t="s">
        <v>44</v>
      </c>
      <c r="C19" s="7">
        <v>8.0</v>
      </c>
      <c r="D19" s="8" t="s">
        <v>45</v>
      </c>
      <c r="E19" s="6"/>
      <c r="F19" s="6"/>
      <c r="G19" s="6"/>
      <c r="H19" s="6"/>
      <c r="I19" s="6"/>
      <c r="J19" s="9" t="s">
        <v>16</v>
      </c>
      <c r="K19" s="6" t="str">
        <f>IMAGE("https://cdn.store.link/products/ayiraminimart50505/ln1vwn-rayyan%20natural%20water%20330ml%20%C3%97.png?versionId=b8X0bGBPFJKPKCfvzwwPcSgrlphEUJZw")</f>
        <v/>
      </c>
      <c r="L19" s="6"/>
      <c r="M19" s="10"/>
      <c r="N19" s="10"/>
    </row>
    <row r="20">
      <c r="A20" s="5" t="s">
        <v>46</v>
      </c>
      <c r="B20" s="11" t="s">
        <v>44</v>
      </c>
      <c r="C20" s="7">
        <v>7.0</v>
      </c>
      <c r="D20" s="8" t="s">
        <v>45</v>
      </c>
      <c r="E20" s="6"/>
      <c r="F20" s="6"/>
      <c r="G20" s="6"/>
      <c r="H20" s="6"/>
      <c r="I20" s="6"/>
      <c r="J20" s="9" t="s">
        <v>16</v>
      </c>
      <c r="K20" s="6" t="str">
        <f>IMAGE("https://cdn.store.link/products/ayiraminimart50505/quwxhi-rayyan%20natural%20water%201.5l%20x%206.png?versionId=_zwzhTvzoK8RCWwXto3AV5BI9lJfRdwC")</f>
        <v/>
      </c>
      <c r="L20" s="6"/>
      <c r="M20" s="10"/>
      <c r="N20" s="10"/>
    </row>
    <row r="21">
      <c r="A21" s="5" t="s">
        <v>47</v>
      </c>
      <c r="B21" s="11" t="s">
        <v>44</v>
      </c>
      <c r="C21" s="7">
        <v>6.0</v>
      </c>
      <c r="D21" s="8" t="s">
        <v>48</v>
      </c>
      <c r="E21" s="6"/>
      <c r="F21" s="6"/>
      <c r="G21" s="6"/>
      <c r="H21" s="6"/>
      <c r="I21" s="6"/>
      <c r="J21" s="9" t="s">
        <v>16</v>
      </c>
      <c r="K21" s="6" t="str">
        <f>IMAGE("https://cdn.store.link/products/ayiraminimart50505/5zi9qe-qatar%20oasis%20natural%20water%201.5l%20x%206.png?versionId=OiM87o5wA.aLUizcFUKInz9gA_2TO6fR")</f>
        <v/>
      </c>
      <c r="L21" s="6"/>
      <c r="M21" s="10"/>
      <c r="N21" s="10"/>
    </row>
    <row r="22">
      <c r="A22" s="5" t="s">
        <v>49</v>
      </c>
      <c r="B22" s="11" t="s">
        <v>44</v>
      </c>
      <c r="C22" s="7">
        <v>12.0</v>
      </c>
      <c r="D22" s="8" t="s">
        <v>50</v>
      </c>
      <c r="E22" s="6"/>
      <c r="F22" s="6"/>
      <c r="G22" s="6"/>
      <c r="H22" s="6"/>
      <c r="I22" s="6"/>
      <c r="J22" s="9" t="s">
        <v>51</v>
      </c>
      <c r="K22" s="6" t="str">
        <f>IMAGE("https://cdn.store.link/products/ayiraminimart50505/d2y0fi-amwaj%20mineral%20water%20330ml%20x%20300.png?versionId=.uzgGg.LYAKPaUsf21m8xN565W_Rkk2M")</f>
        <v/>
      </c>
      <c r="L22" s="6"/>
      <c r="M22" s="10"/>
      <c r="N22" s="10"/>
    </row>
    <row r="23">
      <c r="A23" s="12" t="s">
        <v>52</v>
      </c>
      <c r="B23" s="13" t="s">
        <v>44</v>
      </c>
      <c r="C23" s="14">
        <v>12.0</v>
      </c>
      <c r="D23" s="15" t="s">
        <v>53</v>
      </c>
      <c r="E23" s="16"/>
      <c r="F23" s="16"/>
      <c r="G23" s="16"/>
      <c r="H23" s="16"/>
      <c r="I23" s="16"/>
      <c r="J23" s="17" t="s">
        <v>16</v>
      </c>
      <c r="K23" s="16" t="str">
        <f>IMAGE("https://cdn.store.link/products/ayiraminimart50505/38l454-amajwaj.png?versionId=iQWNF9p8gKuJBXlJf2hcI_q4zHeUtv5E")</f>
        <v/>
      </c>
      <c r="L23" s="16"/>
      <c r="M23" s="18"/>
      <c r="N23" s="10"/>
    </row>
    <row r="24">
      <c r="A24" s="5" t="s">
        <v>54</v>
      </c>
      <c r="B24" s="11" t="s">
        <v>44</v>
      </c>
      <c r="C24" s="7">
        <v>15.0</v>
      </c>
      <c r="D24" s="8" t="s">
        <v>45</v>
      </c>
      <c r="E24" s="6"/>
      <c r="F24" s="6"/>
      <c r="G24" s="6"/>
      <c r="H24" s="6"/>
      <c r="I24" s="6"/>
      <c r="J24" s="9" t="s">
        <v>16</v>
      </c>
      <c r="K24" s="6" t="str">
        <f>IMAGE("https://cdn.store.link/products/ayiraminimart50505/70c2d6-rayyan%20mineral%20water%20330ml%20x%2030.png?versionId=kvZ2sXItQcz9sVcWjsOZsh4bJSucDbtZ")</f>
        <v/>
      </c>
      <c r="L24" s="6"/>
      <c r="M24" s="10"/>
      <c r="N24" s="10"/>
    </row>
    <row r="25">
      <c r="A25" s="5" t="s">
        <v>55</v>
      </c>
      <c r="B25" s="11" t="s">
        <v>44</v>
      </c>
      <c r="C25" s="7">
        <v>14.0</v>
      </c>
      <c r="D25" s="8" t="s">
        <v>45</v>
      </c>
      <c r="E25" s="6"/>
      <c r="F25" s="6"/>
      <c r="G25" s="6"/>
      <c r="H25" s="6"/>
      <c r="I25" s="6"/>
      <c r="J25" s="9" t="s">
        <v>16</v>
      </c>
      <c r="K25" s="6" t="str">
        <f>IMAGE("https://cdn.store.link/products/ayiraminimart50505/rven3m-rayyan%20mineral%20water%20200ml%20x%2030.png?versionId=pP_QgVTi1tpySwkJ9Sz5q0atEm6Q5_bp")</f>
        <v/>
      </c>
      <c r="L25" s="6"/>
      <c r="M25" s="10"/>
      <c r="N25" s="10"/>
    </row>
    <row r="26">
      <c r="A26" s="5" t="s">
        <v>56</v>
      </c>
      <c r="B26" s="11" t="s">
        <v>44</v>
      </c>
      <c r="C26" s="7">
        <v>8.0</v>
      </c>
      <c r="D26" s="8" t="s">
        <v>45</v>
      </c>
      <c r="E26" s="6"/>
      <c r="F26" s="6"/>
      <c r="G26" s="6"/>
      <c r="H26" s="6"/>
      <c r="I26" s="6"/>
      <c r="J26" s="9" t="s">
        <v>16</v>
      </c>
      <c r="K26" s="6" t="str">
        <f>IMAGE("https://cdn.store.link/products/ayiraminimart50505/22hm6w-rayyan%20natural%20water%20330ml%20x%2012.png?versionId=7nJomvh4Gi4UP2aPfKQOwbqlROlD9y3J")</f>
        <v/>
      </c>
      <c r="L26" s="6"/>
      <c r="M26" s="10"/>
      <c r="N26" s="10"/>
    </row>
    <row r="27">
      <c r="A27" s="5" t="s">
        <v>57</v>
      </c>
      <c r="B27" s="11" t="s">
        <v>44</v>
      </c>
      <c r="C27" s="7">
        <v>9.0</v>
      </c>
      <c r="D27" s="8" t="s">
        <v>45</v>
      </c>
      <c r="E27" s="6"/>
      <c r="F27" s="6"/>
      <c r="G27" s="6"/>
      <c r="H27" s="6"/>
      <c r="I27" s="6"/>
      <c r="J27" s="9" t="s">
        <v>16</v>
      </c>
      <c r="K27" s="6" t="str">
        <f>IMAGE("https://cdn.store.link/products/ayiraminimart50505/mrs9sz-rayyan%20alkaline%20mineral%20water%201.5l%20x%206.png?versionId=vXqueSmDcIkOC4aDly2g1tBReH4lkwwZ")</f>
        <v/>
      </c>
      <c r="L27" s="6"/>
      <c r="M27" s="10"/>
      <c r="N27" s="10"/>
    </row>
    <row r="28">
      <c r="A28" s="19" t="s">
        <v>58</v>
      </c>
      <c r="B28" s="11" t="s">
        <v>44</v>
      </c>
      <c r="C28" s="7">
        <v>9.0</v>
      </c>
      <c r="D28" s="10"/>
      <c r="E28" s="6"/>
      <c r="F28" s="6"/>
      <c r="G28" s="6"/>
      <c r="H28" s="6"/>
      <c r="I28" s="6"/>
      <c r="J28" s="9" t="s">
        <v>16</v>
      </c>
      <c r="K28" s="6" t="str">
        <f>IMAGE("https://cdn.store.link/products/ayiraminimart50505/5fltvp-arwa%20water.png?versionId=mytNle2wMMYsXMYxlMzly7FWNxAZ9ADn")</f>
        <v/>
      </c>
      <c r="L28" s="6"/>
      <c r="M28" s="10"/>
      <c r="N28" s="10"/>
    </row>
    <row r="29">
      <c r="A29" s="5" t="s">
        <v>59</v>
      </c>
      <c r="B29" s="11" t="s">
        <v>60</v>
      </c>
      <c r="C29" s="7">
        <v>2.0</v>
      </c>
      <c r="D29" s="8" t="s">
        <v>61</v>
      </c>
      <c r="E29" s="6"/>
      <c r="F29" s="6"/>
      <c r="G29" s="6"/>
      <c r="H29" s="6"/>
      <c r="I29" s="6"/>
      <c r="J29" s="9" t="s">
        <v>16</v>
      </c>
      <c r="K29" s="6" t="str">
        <f>IMAGE("https://cdn.store.link/products/ayiraminimart50505/dkyvk5-pran%20basil%20seed%20lychee%20250%20ml.png?versionId=v0ofL6YjCnmyaqsiz7BxtUP_txXEv404")</f>
        <v/>
      </c>
      <c r="L29" s="6"/>
      <c r="M29" s="10"/>
      <c r="N29" s="10"/>
    </row>
    <row r="30">
      <c r="A30" s="5" t="s">
        <v>62</v>
      </c>
      <c r="B30" s="11" t="s">
        <v>60</v>
      </c>
      <c r="C30" s="7">
        <v>2.0</v>
      </c>
      <c r="D30" s="8" t="s">
        <v>63</v>
      </c>
      <c r="E30" s="6"/>
      <c r="F30" s="6"/>
      <c r="G30" s="6"/>
      <c r="H30" s="6"/>
      <c r="I30" s="6"/>
      <c r="J30" s="9" t="s">
        <v>16</v>
      </c>
      <c r="K30" s="6" t="str">
        <f>IMAGE("https://cdn.store.link/products/ayiraminimart50505/qy5utg-kdd%20cocktail%20fruit%20drink%20180%20ml.png?versionId=8d_GsxfztSS2pDGO.s2_dL938YDVRFzI")</f>
        <v/>
      </c>
      <c r="L30" s="6"/>
      <c r="M30" s="10"/>
      <c r="N30" s="10"/>
    </row>
    <row r="31">
      <c r="A31" s="5" t="s">
        <v>64</v>
      </c>
      <c r="B31" s="11" t="s">
        <v>60</v>
      </c>
      <c r="C31" s="7">
        <v>2.5</v>
      </c>
      <c r="D31" s="8" t="s">
        <v>63</v>
      </c>
      <c r="E31" s="6"/>
      <c r="F31" s="6"/>
      <c r="G31" s="6"/>
      <c r="H31" s="6"/>
      <c r="I31" s="6"/>
      <c r="J31" s="9" t="s">
        <v>16</v>
      </c>
      <c r="K31" s="6" t="str">
        <f>IMAGE("https://cdn.store.link/products/ayiraminimart50505/mc010h-kdd%20cherry%20drink%20250%20ml.png?versionId=vE.YCuKGdBhfkrJHSuLqYZNwMDp8W8rz")</f>
        <v/>
      </c>
      <c r="L31" s="6"/>
      <c r="M31" s="10"/>
      <c r="N31" s="10"/>
    </row>
    <row r="32">
      <c r="A32" s="5" t="s">
        <v>65</v>
      </c>
      <c r="B32" s="11" t="s">
        <v>60</v>
      </c>
      <c r="C32" s="7">
        <v>2.5</v>
      </c>
      <c r="D32" s="8" t="s">
        <v>66</v>
      </c>
      <c r="E32" s="6"/>
      <c r="F32" s="6"/>
      <c r="G32" s="6"/>
      <c r="H32" s="6"/>
      <c r="I32" s="6"/>
      <c r="J32" s="9" t="s">
        <v>16</v>
      </c>
      <c r="K32" s="6" t="str">
        <f>IMAGE("https://cdn.store.link/products/ayiraminimart50505/ulwg6b-kdd%20guava%20nectar%20250%20ml.png?versionId=S77h7Y91F8nclznUQwE.p9ZoXCGmuDmF")</f>
        <v/>
      </c>
      <c r="L32" s="6"/>
      <c r="M32" s="10"/>
      <c r="N32" s="10"/>
    </row>
    <row r="33">
      <c r="A33" s="5" t="s">
        <v>67</v>
      </c>
      <c r="B33" s="11" t="s">
        <v>60</v>
      </c>
      <c r="C33" s="7">
        <v>2.5</v>
      </c>
      <c r="D33" s="8" t="s">
        <v>66</v>
      </c>
      <c r="E33" s="6"/>
      <c r="F33" s="6"/>
      <c r="G33" s="6"/>
      <c r="H33" s="6"/>
      <c r="I33" s="6"/>
      <c r="J33" s="9" t="s">
        <v>16</v>
      </c>
      <c r="K33" s="6" t="str">
        <f>IMAGE("https://cdn.store.link/products/ayiraminimart50505/s96wfq-kdd%20mango%20nectar%20250%20ml.png?versionId=0w.PKY58A11MAJci1pF6fX._DEBbbHUb")</f>
        <v/>
      </c>
      <c r="L33" s="6"/>
      <c r="M33" s="10"/>
      <c r="N33" s="10"/>
    </row>
    <row r="34">
      <c r="A34" s="5" t="s">
        <v>68</v>
      </c>
      <c r="B34" s="11" t="s">
        <v>60</v>
      </c>
      <c r="C34" s="7">
        <v>2.5</v>
      </c>
      <c r="D34" s="8" t="s">
        <v>66</v>
      </c>
      <c r="E34" s="6"/>
      <c r="F34" s="6"/>
      <c r="G34" s="6"/>
      <c r="H34" s="6"/>
      <c r="I34" s="6"/>
      <c r="J34" s="9" t="s">
        <v>16</v>
      </c>
      <c r="K34" s="6" t="str">
        <f>IMAGE("https://cdn.store.link/products/ayiraminimart50505/gapcdl-kdd%2520100%25%2520pineapple%2520juice%2520250%2520ml.png?versionId=To8kDi8TYbikYEOd9FkrNzPaLXlLneI9")</f>
        <v/>
      </c>
      <c r="L34" s="6"/>
      <c r="M34" s="10"/>
      <c r="N34" s="10"/>
    </row>
    <row r="35">
      <c r="A35" s="5" t="s">
        <v>69</v>
      </c>
      <c r="B35" s="11" t="s">
        <v>60</v>
      </c>
      <c r="C35" s="7">
        <v>2.5</v>
      </c>
      <c r="D35" s="8" t="s">
        <v>66</v>
      </c>
      <c r="E35" s="6"/>
      <c r="F35" s="6"/>
      <c r="G35" s="6"/>
      <c r="H35" s="6"/>
      <c r="I35" s="6"/>
      <c r="J35" s="9" t="s">
        <v>16</v>
      </c>
      <c r="K35" s="6" t="str">
        <f t="shared" ref="K35:K36" si="1">IMAGE("https://cdn.store.link/products/ayiraminimart50505/loocib-kdd%2520100%25%2520apple%2520juice%2520250%2520ml.png?versionId=Wum2AQQKg4PWeN.J_ZpBxdX7BdPcEKsi")</f>
        <v/>
      </c>
      <c r="L35" s="6"/>
      <c r="M35" s="10"/>
      <c r="N35" s="10"/>
    </row>
    <row r="36">
      <c r="A36" s="5" t="s">
        <v>70</v>
      </c>
      <c r="B36" s="11" t="s">
        <v>60</v>
      </c>
      <c r="C36" s="7">
        <v>2.5</v>
      </c>
      <c r="D36" s="8" t="s">
        <v>66</v>
      </c>
      <c r="E36" s="6"/>
      <c r="F36" s="6"/>
      <c r="G36" s="6"/>
      <c r="H36" s="6"/>
      <c r="I36" s="6"/>
      <c r="J36" s="9" t="s">
        <v>16</v>
      </c>
      <c r="K36" s="6" t="str">
        <f t="shared" si="1"/>
        <v/>
      </c>
      <c r="L36" s="6"/>
      <c r="M36" s="10"/>
      <c r="N36" s="10"/>
    </row>
    <row r="37">
      <c r="A37" s="20" t="s">
        <v>71</v>
      </c>
      <c r="B37" s="11" t="s">
        <v>60</v>
      </c>
      <c r="C37" s="7">
        <v>2.5</v>
      </c>
      <c r="D37" s="8" t="s">
        <v>66</v>
      </c>
      <c r="E37" s="6"/>
      <c r="F37" s="6"/>
      <c r="G37" s="6"/>
      <c r="H37" s="6"/>
      <c r="I37" s="6"/>
      <c r="J37" s="9" t="s">
        <v>16</v>
      </c>
      <c r="K37" s="6" t="str">
        <f>IMAGE("https://cdn.store.link/products/ayiraminimart50505/thds7c-kdd%2520100%25%2520orange%2520juice%2520250%2520ml.png?versionId=.SvI0ueWIvsEq6ygSLoC1iOsH3kPSqcd")</f>
        <v/>
      </c>
      <c r="L37" s="6"/>
      <c r="M37" s="10"/>
      <c r="N37" s="10"/>
    </row>
    <row r="38">
      <c r="A38" s="5" t="s">
        <v>72</v>
      </c>
      <c r="B38" s="11" t="s">
        <v>60</v>
      </c>
      <c r="C38" s="7">
        <v>2.0</v>
      </c>
      <c r="D38" s="8" t="s">
        <v>63</v>
      </c>
      <c r="E38" s="6"/>
      <c r="F38" s="6"/>
      <c r="G38" s="6"/>
      <c r="H38" s="6"/>
      <c r="I38" s="6"/>
      <c r="J38" s="9" t="s">
        <v>16</v>
      </c>
      <c r="K38" s="6" t="str">
        <f>IMAGE("https://cdn.store.link/products/ayiraminimart50505/2qcepq-kdd%20peach%20nectar%20250%20ml.png?versionId=_hxsR.rSrdBi4VVXkrM3FxG9X9ceC60h")</f>
        <v/>
      </c>
      <c r="L38" s="6"/>
      <c r="M38" s="10"/>
      <c r="N38" s="10"/>
    </row>
    <row r="39">
      <c r="A39" s="5" t="s">
        <v>73</v>
      </c>
      <c r="B39" s="11" t="s">
        <v>60</v>
      </c>
      <c r="C39" s="7">
        <v>2.0</v>
      </c>
      <c r="D39" s="8" t="s">
        <v>66</v>
      </c>
      <c r="E39" s="6"/>
      <c r="F39" s="6"/>
      <c r="G39" s="6"/>
      <c r="H39" s="6"/>
      <c r="I39" s="6"/>
      <c r="J39" s="9" t="s">
        <v>16</v>
      </c>
      <c r="K39" s="6" t="str">
        <f>IMAGE("https://cdn.store.link/products/ayiraminimart50505/qy5utg-kdd%20cocktail%20fruit%20drink%20180%20ml.png?versionId=8d_GsxfztSS2pDGO.s2_dL938YDVRFzI")</f>
        <v/>
      </c>
      <c r="L39" s="6"/>
      <c r="M39" s="10"/>
      <c r="N39" s="10"/>
    </row>
    <row r="40">
      <c r="A40" s="5" t="s">
        <v>74</v>
      </c>
      <c r="B40" s="11" t="s">
        <v>60</v>
      </c>
      <c r="C40" s="7">
        <v>2.0</v>
      </c>
      <c r="D40" s="8" t="s">
        <v>66</v>
      </c>
      <c r="E40" s="6"/>
      <c r="F40" s="6"/>
      <c r="G40" s="6"/>
      <c r="H40" s="6"/>
      <c r="I40" s="6"/>
      <c r="J40" s="9" t="s">
        <v>16</v>
      </c>
      <c r="K40" s="6" t="str">
        <f>IMAGE("https://cdn.store.link/products/ayiraminimart50505/e1gce8-kdd%20guava%20nectar%20180%20ml.png?versionId=RAVFQKHBrUfRsM8E0SJvM0ckFUhTp.wO")</f>
        <v/>
      </c>
      <c r="L40" s="6"/>
      <c r="M40" s="10"/>
      <c r="N40" s="10"/>
    </row>
    <row r="41">
      <c r="A41" s="5" t="s">
        <v>75</v>
      </c>
      <c r="B41" s="11" t="s">
        <v>60</v>
      </c>
      <c r="C41" s="7">
        <v>2.0</v>
      </c>
      <c r="D41" s="8" t="s">
        <v>66</v>
      </c>
      <c r="E41" s="6"/>
      <c r="F41" s="6"/>
      <c r="G41" s="6"/>
      <c r="H41" s="6"/>
      <c r="I41" s="6"/>
      <c r="J41" s="9" t="s">
        <v>16</v>
      </c>
      <c r="K41" s="6" t="str">
        <f>IMAGE("https://cdn.store.link/products/ayiraminimart50505/fx5sqg-kdd%2520100%25%2520apple%2520juice%2520180%2520ml.png?versionId=uurNj_jxEsn1lBlp.ZS_ZF6f5DZ9KrRD")</f>
        <v/>
      </c>
      <c r="L41" s="6"/>
      <c r="M41" s="10"/>
      <c r="N41" s="10"/>
    </row>
    <row r="42">
      <c r="A42" s="19" t="s">
        <v>76</v>
      </c>
      <c r="B42" s="11" t="s">
        <v>60</v>
      </c>
      <c r="C42" s="7">
        <v>2.0</v>
      </c>
      <c r="D42" s="8" t="s">
        <v>77</v>
      </c>
      <c r="E42" s="6"/>
      <c r="F42" s="6"/>
      <c r="G42" s="6"/>
      <c r="H42" s="6"/>
      <c r="I42" s="6"/>
      <c r="J42" s="9" t="s">
        <v>16</v>
      </c>
      <c r="K42" s="6" t="str">
        <f>IMAGE("https://cdn.store.link/products/ayiraminimart50505/ve39u8-kdd%20chocolate%20milk%20enriched%20with%20vitamins%20a%20?versionId=Tk4GlJtlCjNAvhvqEuBzdTl68Hsr3FXT")</f>
        <v/>
      </c>
      <c r="L42" s="6"/>
      <c r="M42" s="10"/>
      <c r="N42" s="10"/>
    </row>
    <row r="43">
      <c r="A43" s="5" t="s">
        <v>78</v>
      </c>
      <c r="B43" s="11" t="s">
        <v>60</v>
      </c>
      <c r="C43" s="7">
        <v>2.0</v>
      </c>
      <c r="D43" s="8" t="s">
        <v>66</v>
      </c>
      <c r="E43" s="6"/>
      <c r="F43" s="6"/>
      <c r="G43" s="6"/>
      <c r="H43" s="6"/>
      <c r="I43" s="6"/>
      <c r="J43" s="9" t="s">
        <v>16</v>
      </c>
      <c r="K43" s="6" t="str">
        <f>IMAGE("https://cdn.store.link/products/ayiraminimart50505/1giw4a-kdd%20apple%20juice%20125%20ml.png?versionId=Q39q9C5Hbd6RuVba_rseXMqUlSWvXWaA")</f>
        <v/>
      </c>
      <c r="L43" s="6"/>
      <c r="M43" s="10"/>
      <c r="N43" s="10"/>
    </row>
    <row r="44">
      <c r="A44" s="5" t="s">
        <v>79</v>
      </c>
      <c r="B44" s="11" t="s">
        <v>60</v>
      </c>
      <c r="C44" s="7">
        <v>1.25</v>
      </c>
      <c r="D44" s="8" t="s">
        <v>66</v>
      </c>
      <c r="E44" s="6"/>
      <c r="F44" s="6"/>
      <c r="G44" s="6"/>
      <c r="H44" s="6"/>
      <c r="I44" s="6"/>
      <c r="J44" s="9" t="s">
        <v>16</v>
      </c>
      <c r="K44" s="6" t="str">
        <f>IMAGE("https://cdn.store.link/products/ayiraminimart50505/s96wfq-kdd%20mango%20nectar%20250%20ml.png?versionId=0w.PKY58A11MAJci1pF6fX._DEBbbHUb")</f>
        <v/>
      </c>
      <c r="L44" s="6"/>
      <c r="M44" s="10"/>
      <c r="N44" s="10"/>
    </row>
    <row r="45">
      <c r="A45" s="5" t="s">
        <v>80</v>
      </c>
      <c r="B45" s="11" t="s">
        <v>60</v>
      </c>
      <c r="C45" s="7">
        <v>1.25</v>
      </c>
      <c r="D45" s="8" t="s">
        <v>63</v>
      </c>
      <c r="E45" s="6"/>
      <c r="F45" s="6"/>
      <c r="G45" s="6"/>
      <c r="H45" s="6"/>
      <c r="I45" s="6"/>
      <c r="J45" s="9" t="s">
        <v>16</v>
      </c>
      <c r="K45" s="6" t="str">
        <f>IMAGE("https://cdn.store.link/products/ayiraminimart50505/gwyokz-kdd%20cocktail%20fruit%20drink%20125%20ml.png?versionId=jbnU1XXIxf98wexzv_eUmveDjcx8MsQX")</f>
        <v/>
      </c>
      <c r="L45" s="6"/>
      <c r="M45" s="10"/>
      <c r="N45" s="10"/>
    </row>
    <row r="46">
      <c r="A46" s="5" t="s">
        <v>81</v>
      </c>
      <c r="B46" s="11" t="s">
        <v>60</v>
      </c>
      <c r="C46" s="7">
        <v>1.25</v>
      </c>
      <c r="D46" s="8" t="s">
        <v>66</v>
      </c>
      <c r="E46" s="6"/>
      <c r="F46" s="6"/>
      <c r="G46" s="6"/>
      <c r="H46" s="6"/>
      <c r="I46" s="6"/>
      <c r="J46" s="9" t="s">
        <v>16</v>
      </c>
      <c r="K46" s="6" t="str">
        <f>IMAGE("https://cdn.store.link/products/ayiraminimart50505/ct1bmo-kdd%20mango%20nectar%20125%20ml.png?versionId=x5V2YnrY6IIGdRZerROlPFyP.Rwvvwfz")</f>
        <v/>
      </c>
      <c r="L46" s="6"/>
      <c r="M46" s="10"/>
      <c r="N46" s="10"/>
    </row>
    <row r="47">
      <c r="A47" s="19" t="s">
        <v>82</v>
      </c>
      <c r="B47" s="6" t="s">
        <v>14</v>
      </c>
      <c r="C47" s="7">
        <v>1.5</v>
      </c>
      <c r="D47" s="8" t="s">
        <v>39</v>
      </c>
      <c r="E47" s="6"/>
      <c r="F47" s="6"/>
      <c r="G47" s="6"/>
      <c r="H47" s="6"/>
      <c r="I47" s="6"/>
      <c r="J47" s="9" t="s">
        <v>16</v>
      </c>
      <c r="K47" s="6" t="str">
        <f>IMAGE("https://cdn.store.link/products/ayiraminimart50505/ym06hx-double%20up%20cola%20200%20ml.png?versionId=0SLG68zJJ7bBUR31vYBWdrfdlG6n3f_M")</f>
        <v/>
      </c>
      <c r="L47" s="6"/>
      <c r="M47" s="10"/>
      <c r="N47" s="10"/>
    </row>
    <row r="48">
      <c r="A48" s="5" t="s">
        <v>83</v>
      </c>
      <c r="B48" s="6" t="s">
        <v>14</v>
      </c>
      <c r="C48" s="7">
        <v>1.5</v>
      </c>
      <c r="D48" s="8" t="s">
        <v>39</v>
      </c>
      <c r="E48" s="6"/>
      <c r="F48" s="6"/>
      <c r="G48" s="6"/>
      <c r="H48" s="6"/>
      <c r="I48" s="6"/>
      <c r="J48" s="9" t="s">
        <v>16</v>
      </c>
      <c r="K48" s="6" t="str">
        <f>IMAGE("https://cdn.store.link/products/ayiraminimart50505/95-zy2-double%20up%20lemon%20200%20ml.png?versionId=owRedwQF0V8mBdpFw1aRJJXJrF6HetQX")</f>
        <v/>
      </c>
      <c r="L48" s="6"/>
      <c r="M48" s="10"/>
      <c r="N48" s="10"/>
    </row>
    <row r="49">
      <c r="A49" s="19" t="s">
        <v>84</v>
      </c>
      <c r="B49" s="11" t="s">
        <v>60</v>
      </c>
      <c r="C49" s="7">
        <v>2.0</v>
      </c>
      <c r="D49" s="8" t="s">
        <v>85</v>
      </c>
      <c r="E49" s="6"/>
      <c r="F49" s="6"/>
      <c r="G49" s="6"/>
      <c r="H49" s="6"/>
      <c r="I49" s="6"/>
      <c r="J49" s="9" t="s">
        <v>51</v>
      </c>
      <c r="K49" s="6" t="str">
        <f>IMAGE("https://cdn.store.link/products/ayiraminimart50505/oiqxjp-guava%2520nectar%2520%28contains%252035%25%2520juice%29%2520250%2520ml.png?versionId=5nTEEmboWWdBo8t.mcr_sqJbkX.Fe_rn")</f>
        <v/>
      </c>
      <c r="L49" s="6"/>
      <c r="M49" s="10"/>
      <c r="N49" s="10"/>
    </row>
    <row r="50">
      <c r="A50" s="5" t="s">
        <v>86</v>
      </c>
      <c r="B50" s="11" t="s">
        <v>60</v>
      </c>
      <c r="C50" s="7">
        <v>2.0</v>
      </c>
      <c r="D50" s="8" t="s">
        <v>87</v>
      </c>
      <c r="E50" s="6"/>
      <c r="F50" s="6"/>
      <c r="G50" s="6"/>
      <c r="H50" s="6"/>
      <c r="I50" s="6"/>
      <c r="J50" s="9" t="s">
        <v>16</v>
      </c>
      <c r="K50" s="6"/>
      <c r="L50" s="6"/>
      <c r="M50" s="10"/>
      <c r="N50" s="10"/>
    </row>
    <row r="51">
      <c r="A51" s="5" t="s">
        <v>88</v>
      </c>
      <c r="B51" s="11" t="s">
        <v>60</v>
      </c>
      <c r="C51" s="7">
        <v>2.5</v>
      </c>
      <c r="D51" s="8" t="s">
        <v>89</v>
      </c>
      <c r="E51" s="6"/>
      <c r="F51" s="6"/>
      <c r="G51" s="6"/>
      <c r="H51" s="6"/>
      <c r="I51" s="6"/>
      <c r="J51" s="9" t="s">
        <v>16</v>
      </c>
      <c r="K51" s="6" t="str">
        <f>IMAGE("https://cdn.store.link/products/ayiraminimart50505/h7-lsl-kdd%20mango%20nectar%20250%20ml.png?versionId=2r7UlPxSXtyyCySNIOniYPZGGxiQFCpJ")</f>
        <v/>
      </c>
      <c r="L51" s="6"/>
      <c r="M51" s="10"/>
      <c r="N51" s="10"/>
    </row>
    <row r="52">
      <c r="A52" s="5" t="s">
        <v>90</v>
      </c>
      <c r="B52" s="11" t="s">
        <v>60</v>
      </c>
      <c r="C52" s="7">
        <v>2.0</v>
      </c>
      <c r="D52" s="8" t="s">
        <v>91</v>
      </c>
      <c r="E52" s="6"/>
      <c r="F52" s="6"/>
      <c r="G52" s="6"/>
      <c r="H52" s="6"/>
      <c r="I52" s="6"/>
      <c r="J52" s="9" t="s">
        <v>16</v>
      </c>
      <c r="K52" s="6" t="str">
        <f>IMAGE("https://cdn.store.link/products/ayiraminimart50505/a82o31-vimto%20blue%20raspberry%20fruit%20flavoured%20drink%20250%20ml.png?versionId=QDpPEUbv0B7q_10y8sROvHsZv9pE8DMY")</f>
        <v/>
      </c>
      <c r="L52" s="6"/>
      <c r="M52" s="10"/>
      <c r="N52" s="10"/>
    </row>
    <row r="53">
      <c r="A53" s="5" t="s">
        <v>92</v>
      </c>
      <c r="B53" s="11" t="s">
        <v>60</v>
      </c>
      <c r="C53" s="7">
        <v>2.0</v>
      </c>
      <c r="D53" s="8" t="s">
        <v>93</v>
      </c>
      <c r="E53" s="6"/>
      <c r="F53" s="6"/>
      <c r="G53" s="6"/>
      <c r="H53" s="6"/>
      <c r="I53" s="6"/>
      <c r="J53" s="9" t="s">
        <v>16</v>
      </c>
      <c r="K53" s="6" t="str">
        <f t="shared" ref="K53:K54" si="2">IMAGE("https://cdn.store.link/products/ayiraminimart50505/w695ix-vimto%20fruit%20flavoured%20drink%20250%20ml.png?versionId=kPFvrrP_Koa4NFGuLMMphx96DD5myNyl")</f>
        <v/>
      </c>
      <c r="L53" s="6"/>
      <c r="M53" s="10"/>
      <c r="N53" s="10"/>
    </row>
    <row r="54">
      <c r="A54" s="5" t="s">
        <v>94</v>
      </c>
      <c r="B54" s="11" t="s">
        <v>60</v>
      </c>
      <c r="C54" s="7">
        <v>2.0</v>
      </c>
      <c r="D54" s="8" t="s">
        <v>95</v>
      </c>
      <c r="E54" s="6"/>
      <c r="F54" s="6"/>
      <c r="G54" s="6"/>
      <c r="H54" s="6"/>
      <c r="I54" s="6"/>
      <c r="J54" s="9" t="s">
        <v>16</v>
      </c>
      <c r="K54" s="6" t="str">
        <f t="shared" si="2"/>
        <v/>
      </c>
      <c r="L54" s="6"/>
      <c r="M54" s="10"/>
      <c r="N54" s="10"/>
    </row>
    <row r="55">
      <c r="A55" s="5" t="s">
        <v>96</v>
      </c>
      <c r="B55" s="11" t="s">
        <v>60</v>
      </c>
      <c r="C55" s="7">
        <v>2.0</v>
      </c>
      <c r="D55" s="8" t="s">
        <v>97</v>
      </c>
      <c r="E55" s="6"/>
      <c r="F55" s="6"/>
      <c r="G55" s="6"/>
      <c r="H55" s="6"/>
      <c r="I55" s="6"/>
      <c r="J55" s="9" t="s">
        <v>51</v>
      </c>
      <c r="K55" s="6" t="str">
        <f>IMAGE("https://cdn.store.link/products/ayiraminimart50505/h8t-mn-best%20apple%20drink%20250ml%20%E2%80%93.png?versionId=9sVms3n6_25FlzlA8PnUfnbDZTNxpf9J")</f>
        <v/>
      </c>
      <c r="L55" s="6"/>
      <c r="M55" s="10"/>
      <c r="N55" s="10"/>
    </row>
    <row r="56">
      <c r="A56" s="5" t="s">
        <v>98</v>
      </c>
      <c r="B56" s="11" t="s">
        <v>60</v>
      </c>
      <c r="C56" s="7">
        <v>1.0</v>
      </c>
      <c r="D56" s="8" t="s">
        <v>99</v>
      </c>
      <c r="E56" s="6"/>
      <c r="F56" s="6"/>
      <c r="G56" s="6"/>
      <c r="H56" s="6"/>
      <c r="I56" s="6"/>
      <c r="J56" s="9" t="s">
        <v>16</v>
      </c>
      <c r="K56" s="6" t="str">
        <f>IMAGE("https://cdn.store.link/products/ayiraminimart50505/kykisu-pran%20frooto%20mango%20juice%20200ml%20%E2%80%93.png?versionId=y4JjOW2gpNqk7RES.OoLYVQCnphX7Q0k")</f>
        <v/>
      </c>
      <c r="L56" s="6"/>
      <c r="M56" s="10"/>
      <c r="N56" s="10"/>
    </row>
    <row r="57">
      <c r="A57" s="5" t="s">
        <v>100</v>
      </c>
      <c r="B57" s="11" t="s">
        <v>60</v>
      </c>
      <c r="C57" s="7">
        <v>2.5</v>
      </c>
      <c r="D57" s="8" t="s">
        <v>101</v>
      </c>
      <c r="E57" s="6"/>
      <c r="F57" s="6"/>
      <c r="G57" s="6"/>
      <c r="H57" s="6"/>
      <c r="I57" s="6"/>
      <c r="J57" s="9" t="s">
        <v>16</v>
      </c>
      <c r="K57" s="6" t="str">
        <f>IMAGE("https://cdn.store.link/products/ayiraminimart50505/-1gz0l-capri-sun%20mixed%20fruit%20200%20ml.png?versionId=pNBY6EXZonR2X5ALx5cah5aCOckftzvG")</f>
        <v/>
      </c>
      <c r="L57" s="6"/>
      <c r="M57" s="6"/>
      <c r="N57" s="10"/>
    </row>
    <row r="58">
      <c r="A58" s="5" t="s">
        <v>102</v>
      </c>
      <c r="B58" s="11" t="s">
        <v>60</v>
      </c>
      <c r="C58" s="7">
        <v>2.5</v>
      </c>
      <c r="D58" s="8" t="s">
        <v>103</v>
      </c>
      <c r="E58" s="6"/>
      <c r="F58" s="6"/>
      <c r="G58" s="6"/>
      <c r="H58" s="6"/>
      <c r="I58" s="6"/>
      <c r="J58" s="9" t="s">
        <v>16</v>
      </c>
      <c r="K58" s="6" t="str">
        <f>IMAGE("https://cdn.store.link/products/ayiraminimart50505/8dpgoa-capri-sun%20mango%20200%20ml.png?versionId=iFpLRg8rt8jLGka7XlkK_FuqlooPsVYZ")</f>
        <v/>
      </c>
      <c r="L58" s="6"/>
      <c r="M58" s="10"/>
      <c r="N58" s="10"/>
    </row>
    <row r="59">
      <c r="A59" s="5" t="s">
        <v>104</v>
      </c>
      <c r="B59" s="11" t="s">
        <v>60</v>
      </c>
      <c r="C59" s="7">
        <v>5.0</v>
      </c>
      <c r="D59" s="8" t="s">
        <v>105</v>
      </c>
      <c r="E59" s="6"/>
      <c r="F59" s="6"/>
      <c r="G59" s="6"/>
      <c r="H59" s="6"/>
      <c r="I59" s="6"/>
      <c r="J59" s="9" t="s">
        <v>16</v>
      </c>
      <c r="K59" s="6" t="str">
        <f>IMAGE("https://cdn.store.link/products/ayiraminimart50505/kan9km-vitamilk%20strawberry%20300%20ml.png?versionId=bXNXx6c5D1VlWsxbI6jvQ.8Uj0qbFgub")</f>
        <v/>
      </c>
      <c r="L59" s="6"/>
      <c r="M59" s="10"/>
      <c r="N59" s="10"/>
    </row>
    <row r="60">
      <c r="A60" s="5" t="s">
        <v>106</v>
      </c>
      <c r="B60" s="11" t="s">
        <v>60</v>
      </c>
      <c r="C60" s="7">
        <v>5.0</v>
      </c>
      <c r="D60" s="8" t="s">
        <v>107</v>
      </c>
      <c r="E60" s="6"/>
      <c r="F60" s="6"/>
      <c r="G60" s="6"/>
      <c r="H60" s="6"/>
      <c r="I60" s="6"/>
      <c r="J60" s="9" t="s">
        <v>16</v>
      </c>
      <c r="K60" s="6" t="str">
        <f>IMAGE("https://cdn.store.link/products/ayiraminimart50505/z654t0-vitamilk%20double%20choco%20shake%20300%20ml.png?versionId=7eWVsNj_nSr1KZm40afk1JAk30VwQt5d")</f>
        <v/>
      </c>
      <c r="L60" s="6"/>
      <c r="M60" s="10"/>
      <c r="N60" s="10"/>
    </row>
    <row r="61">
      <c r="A61" s="5" t="s">
        <v>108</v>
      </c>
      <c r="B61" s="11" t="s">
        <v>60</v>
      </c>
      <c r="C61" s="7">
        <v>5.0</v>
      </c>
      <c r="D61" s="8" t="s">
        <v>109</v>
      </c>
      <c r="E61" s="6"/>
      <c r="F61" s="6"/>
      <c r="G61" s="6"/>
      <c r="H61" s="6"/>
      <c r="I61" s="6"/>
      <c r="J61" s="9" t="s">
        <v>16</v>
      </c>
      <c r="K61" s="6" t="str">
        <f>IMAGE("https://cdn.store.link/products/ayiraminimart50505/238ig6-vitamilk%20energy%20300%20ml.png?versionId=_I1feuWPDk4Li4ERmSar95VYyU4gqouz")</f>
        <v/>
      </c>
      <c r="L61" s="6"/>
      <c r="M61" s="10"/>
      <c r="N61" s="10"/>
    </row>
    <row r="62">
      <c r="A62" s="5" t="s">
        <v>110</v>
      </c>
      <c r="B62" s="6" t="s">
        <v>14</v>
      </c>
      <c r="C62" s="7">
        <v>3.5</v>
      </c>
      <c r="D62" s="8" t="s">
        <v>39</v>
      </c>
      <c r="E62" s="6"/>
      <c r="F62" s="6"/>
      <c r="G62" s="6"/>
      <c r="H62" s="6"/>
      <c r="I62" s="6"/>
      <c r="J62" s="9" t="s">
        <v>16</v>
      </c>
      <c r="K62" s="6" t="str">
        <f>IMAGE("https://cdn.store.link/products/ayiraminimart50505/xyeceh-double%20up%20orange%201%20litre.png?versionId=r2C8.KRY5XwY_IuGOng9XQoy0oC39Ikb")</f>
        <v/>
      </c>
      <c r="L62" s="6"/>
      <c r="M62" s="10"/>
      <c r="N62" s="10"/>
    </row>
    <row r="63">
      <c r="A63" s="5" t="s">
        <v>111</v>
      </c>
      <c r="B63" s="6" t="s">
        <v>14</v>
      </c>
      <c r="C63" s="7">
        <v>1.5</v>
      </c>
      <c r="D63" s="8" t="s">
        <v>112</v>
      </c>
      <c r="E63" s="6"/>
      <c r="F63" s="6"/>
      <c r="G63" s="6"/>
      <c r="H63" s="6"/>
      <c r="I63" s="6"/>
      <c r="J63" s="9" t="s">
        <v>16</v>
      </c>
      <c r="K63" s="6" t="str">
        <f>IMAGE("https://cdn.store.link/products/ayiraminimart50505/96puqb-double%20up%20soda%20water%20500%20ml.png?versionId=bQYT2PuMrs1ZiUTw1enA_OF24k47Se4J")</f>
        <v/>
      </c>
      <c r="L63" s="6"/>
      <c r="M63" s="10"/>
      <c r="N63" s="10"/>
    </row>
    <row r="64">
      <c r="A64" s="5" t="s">
        <v>113</v>
      </c>
      <c r="B64" s="6" t="s">
        <v>14</v>
      </c>
      <c r="C64" s="7">
        <v>3.0</v>
      </c>
      <c r="D64" s="8" t="s">
        <v>114</v>
      </c>
      <c r="E64" s="6"/>
      <c r="F64" s="6"/>
      <c r="G64" s="6"/>
      <c r="H64" s="6"/>
      <c r="I64" s="6"/>
      <c r="J64" s="9" t="s">
        <v>16</v>
      </c>
      <c r="K64" s="6" t="str">
        <f>IMAGE("https://cdn.store.link/products/ayiraminimart50505/acf711-high%20speed%20drink%20250%20ml.png?versionId=nmsDBHExw15xGeRsLKzS_VYtFnqecmv_")</f>
        <v/>
      </c>
      <c r="L64" s="6"/>
      <c r="M64" s="10"/>
      <c r="N64" s="10"/>
    </row>
    <row r="65">
      <c r="A65" s="5" t="s">
        <v>115</v>
      </c>
      <c r="B65" s="6" t="s">
        <v>14</v>
      </c>
      <c r="C65" s="7">
        <v>1.5</v>
      </c>
      <c r="D65" s="8" t="s">
        <v>39</v>
      </c>
      <c r="E65" s="6"/>
      <c r="F65" s="6"/>
      <c r="G65" s="6"/>
      <c r="H65" s="6"/>
      <c r="I65" s="6"/>
      <c r="J65" s="9" t="s">
        <v>16</v>
      </c>
      <c r="K65" s="6" t="str">
        <f>IMAGE("https://cdn.store.link/products/ayiraminimart50505/9oqjsp-double%20up%20orange%20200%20ml.png?versionId=ubXu7Is0IWqBRUiD86g1jWMszzlZ9l72")</f>
        <v/>
      </c>
      <c r="L65" s="6"/>
      <c r="M65" s="10"/>
      <c r="N65" s="10"/>
    </row>
    <row r="66">
      <c r="A66" s="5" t="s">
        <v>116</v>
      </c>
      <c r="B66" s="6" t="s">
        <v>14</v>
      </c>
      <c r="C66" s="7">
        <v>1.5</v>
      </c>
      <c r="D66" s="8" t="s">
        <v>39</v>
      </c>
      <c r="E66" s="6"/>
      <c r="F66" s="6"/>
      <c r="G66" s="6"/>
      <c r="H66" s="6"/>
      <c r="I66" s="6"/>
      <c r="J66" s="9" t="s">
        <v>40</v>
      </c>
      <c r="K66" s="6" t="str">
        <f>IMAGE("https://cdn.store.link/products/ayiraminimart50505/oiq21g-double%20up%20red%20berries%20200%20ml.png?versionId=lL6LeNArjMJdwFF6hzcOFMbozVMrXJHE")</f>
        <v/>
      </c>
      <c r="L66" s="6"/>
      <c r="M66" s="10"/>
      <c r="N66" s="10"/>
    </row>
    <row r="67">
      <c r="A67" s="5" t="s">
        <v>117</v>
      </c>
      <c r="B67" s="11" t="s">
        <v>60</v>
      </c>
      <c r="C67" s="7">
        <v>1.0</v>
      </c>
      <c r="D67" s="8" t="s">
        <v>118</v>
      </c>
      <c r="E67" s="6"/>
      <c r="F67" s="6"/>
      <c r="G67" s="6"/>
      <c r="H67" s="6"/>
      <c r="I67" s="6"/>
      <c r="J67" s="9" t="s">
        <v>16</v>
      </c>
      <c r="K67" s="6" t="str">
        <f>IMAGE("https://cdn.store.link/products/ayiraminimart50505/ay997b-pran%20litchi%20drink%20250%20ml.png?versionId=96elvgGoC8xMCUNn1bO755YspBp4CbdF")</f>
        <v/>
      </c>
      <c r="L67" s="6"/>
      <c r="M67" s="10"/>
      <c r="N67" s="10"/>
    </row>
    <row r="68">
      <c r="A68" s="5" t="s">
        <v>119</v>
      </c>
      <c r="B68" s="11" t="s">
        <v>60</v>
      </c>
      <c r="C68" s="7">
        <v>2.5</v>
      </c>
      <c r="D68" s="8" t="s">
        <v>120</v>
      </c>
      <c r="E68" s="6"/>
      <c r="F68" s="6"/>
      <c r="G68" s="6"/>
      <c r="H68" s="6"/>
      <c r="I68" s="6"/>
      <c r="J68" s="9" t="s">
        <v>16</v>
      </c>
      <c r="K68" s="6" t="str">
        <f>IMAGE("https://cdn.store.link/products/ayiraminimart50505/x47tsw-shami%20strawberry%20drink%20200%20ml.png?versionId=CR_Yt7MXAGCeAV2yLRf.FVzdJB63hdkn")</f>
        <v/>
      </c>
      <c r="L68" s="6"/>
      <c r="M68" s="10"/>
      <c r="N68" s="10"/>
    </row>
    <row r="69">
      <c r="A69" s="5" t="s">
        <v>121</v>
      </c>
      <c r="B69" s="11" t="s">
        <v>60</v>
      </c>
      <c r="C69" s="21">
        <v>2.0</v>
      </c>
      <c r="D69" s="22" t="s">
        <v>122</v>
      </c>
      <c r="E69" s="6"/>
      <c r="F69" s="18"/>
      <c r="G69" s="18"/>
      <c r="H69" s="18"/>
      <c r="I69" s="18"/>
      <c r="J69" s="9" t="s">
        <v>16</v>
      </c>
      <c r="K69" s="18" t="str">
        <f>IMAGE("https://cdn.store.link/products/ayiraminimart50505/kilm9o-al%20rabie%20original%20orange%20drink%20200%20ml.png?versionId=o0Ilj9yIySG20HNUiDFYQ6dTyiHVeKVO")</f>
        <v/>
      </c>
      <c r="L69" s="18"/>
      <c r="M69" s="10"/>
      <c r="N69" s="10"/>
    </row>
    <row r="70">
      <c r="A70" s="5" t="s">
        <v>123</v>
      </c>
      <c r="B70" s="11" t="s">
        <v>60</v>
      </c>
      <c r="C70" s="21">
        <v>2.0</v>
      </c>
      <c r="D70" s="22" t="s">
        <v>124</v>
      </c>
      <c r="E70" s="6"/>
      <c r="F70" s="18"/>
      <c r="G70" s="18"/>
      <c r="H70" s="18"/>
      <c r="I70" s="18"/>
      <c r="J70" s="9" t="s">
        <v>16</v>
      </c>
      <c r="K70" s="18" t="str">
        <f>IMAGE("https://cdn.store.link/products/ayiraminimart50505/nzs-nd-al%20rabie%20original%20orange%20drink%20250%20ml.png?versionId=cFXc2Zrb71alg5a3yw8rYrIwmg_CS132")</f>
        <v/>
      </c>
      <c r="L70" s="18"/>
      <c r="M70" s="10"/>
      <c r="N70" s="10"/>
    </row>
    <row r="71">
      <c r="A71" s="19" t="s">
        <v>125</v>
      </c>
      <c r="B71" s="6" t="s">
        <v>14</v>
      </c>
      <c r="C71" s="21">
        <v>3.0</v>
      </c>
      <c r="D71" s="22" t="s">
        <v>126</v>
      </c>
      <c r="E71" s="6"/>
      <c r="F71" s="18"/>
      <c r="G71" s="18"/>
      <c r="H71" s="18"/>
      <c r="I71" s="18"/>
      <c r="J71" s="9" t="s">
        <v>16</v>
      </c>
      <c r="K71" s="18" t="str">
        <f>IMAGE("https://cdn.store.link/products/ayiraminimart50505/8blawi-royal%20tiger%20250%20ml.png?versionId=CdyTRRUf_y7cR4EQimafPhF56qj2g8m5")</f>
        <v/>
      </c>
      <c r="L71" s="18"/>
      <c r="M71" s="10"/>
      <c r="N71" s="10"/>
    </row>
    <row r="72">
      <c r="A72" s="19" t="s">
        <v>127</v>
      </c>
      <c r="B72" s="6" t="s">
        <v>14</v>
      </c>
      <c r="C72" s="21">
        <v>2.5</v>
      </c>
      <c r="D72" s="22" t="s">
        <v>128</v>
      </c>
      <c r="E72" s="6"/>
      <c r="F72" s="18"/>
      <c r="G72" s="18"/>
      <c r="H72" s="18"/>
      <c r="I72" s="18"/>
      <c r="J72" s="9" t="s">
        <v>16</v>
      </c>
      <c r="K72" s="18" t="str">
        <f>IMAGE("https://cdn.store.link/products/ayiraminimart50505/o52vlb-power%20x%20carbonated%20drink%20250%20ml.png?versionId=42owz_DnGwHKLO1oSboSGkHEthA7Ezvl")</f>
        <v/>
      </c>
      <c r="L72" s="18"/>
      <c r="M72" s="10"/>
      <c r="N72" s="10"/>
    </row>
    <row r="73">
      <c r="A73" s="19" t="s">
        <v>129</v>
      </c>
      <c r="B73" s="11" t="s">
        <v>60</v>
      </c>
      <c r="C73" s="21">
        <v>3.0</v>
      </c>
      <c r="D73" s="22" t="s">
        <v>130</v>
      </c>
      <c r="E73" s="6"/>
      <c r="F73" s="18"/>
      <c r="G73" s="18"/>
      <c r="H73" s="18"/>
      <c r="I73" s="18"/>
      <c r="J73" s="9" t="s">
        <v>16</v>
      </c>
      <c r="K73" s="18" t="str">
        <f>IMAGE("https://cdn.store.link/products/ayiraminimart50505/3zdtea-pran%20frooto%20mango%20juice%20500%20ml.png?versionId=s5wS4K235FrKVU6DpQ4bcqZMCMnUbVzp")</f>
        <v/>
      </c>
      <c r="L73" s="18"/>
      <c r="M73" s="10"/>
      <c r="N73" s="10"/>
    </row>
    <row r="74">
      <c r="A74" s="19" t="s">
        <v>131</v>
      </c>
      <c r="B74" s="6" t="s">
        <v>14</v>
      </c>
      <c r="C74" s="21">
        <v>3.5</v>
      </c>
      <c r="D74" s="22" t="s">
        <v>39</v>
      </c>
      <c r="E74" s="6"/>
      <c r="F74" s="18"/>
      <c r="G74" s="18"/>
      <c r="H74" s="18"/>
      <c r="I74" s="18"/>
      <c r="J74" s="9" t="s">
        <v>16</v>
      </c>
      <c r="K74" s="18" t="str">
        <f>IMAGE("https://cdn.store.link/products/ayiraminimart50505/cfwxpg-double%20up%20cola%201%20litre.png?versionId=Q.Wncj9Mg.DI3iUgwjN3WGWR2HGkmwfQ")</f>
        <v/>
      </c>
      <c r="L74" s="18"/>
      <c r="M74" s="10"/>
      <c r="N74" s="10"/>
    </row>
    <row r="75">
      <c r="A75" s="19" t="s">
        <v>132</v>
      </c>
      <c r="B75" s="11" t="s">
        <v>60</v>
      </c>
      <c r="C75" s="21">
        <v>8.0</v>
      </c>
      <c r="D75" s="22" t="s">
        <v>133</v>
      </c>
      <c r="E75" s="6"/>
      <c r="F75" s="18"/>
      <c r="G75" s="18"/>
      <c r="H75" s="18"/>
      <c r="I75" s="18"/>
      <c r="J75" s="9" t="s">
        <v>16</v>
      </c>
      <c r="K75" s="18" t="str">
        <f>IMAGE("https://cdn.store.link/products/ayiraminimart50505/izlmj0-fruitoo%20original%20taste%20berries%20mixed%20flavour%201%20litre.png?versionId=j2iJShddNhexv41nGv3YxY5X.wi8lKun")</f>
        <v/>
      </c>
      <c r="L75" s="18"/>
      <c r="M75" s="10"/>
      <c r="N75" s="10"/>
    </row>
    <row r="76">
      <c r="A76" s="19" t="s">
        <v>134</v>
      </c>
      <c r="B76" s="11" t="s">
        <v>28</v>
      </c>
      <c r="C76" s="21">
        <v>7.0</v>
      </c>
      <c r="D76" s="22" t="s">
        <v>135</v>
      </c>
      <c r="E76" s="6"/>
      <c r="F76" s="18"/>
      <c r="G76" s="18"/>
      <c r="H76" s="18"/>
      <c r="I76" s="18"/>
      <c r="J76" s="9" t="s">
        <v>16</v>
      </c>
      <c r="K76" s="18" t="str">
        <f>IMAGE("https://cdn.store.link/products/ayiraminimart50505/svy6ue-oshee%20___%20750%20ml.png?versionId=pvD_XAzumtuwR.0YZtwjkxWFdDKp8bG9")</f>
        <v/>
      </c>
      <c r="L76" s="18"/>
      <c r="M76" s="10"/>
      <c r="N76" s="10"/>
    </row>
    <row r="77">
      <c r="A77" s="19" t="s">
        <v>136</v>
      </c>
      <c r="B77" s="11" t="s">
        <v>60</v>
      </c>
      <c r="C77" s="21">
        <v>5.0</v>
      </c>
      <c r="D77" s="22" t="s">
        <v>137</v>
      </c>
      <c r="E77" s="6"/>
      <c r="F77" s="18"/>
      <c r="G77" s="18"/>
      <c r="H77" s="18"/>
      <c r="I77" s="18"/>
      <c r="J77" s="9" t="s">
        <v>16</v>
      </c>
      <c r="K77" s="18" t="str">
        <f>IMAGE("https://cdn.store.link/products/ayiraminimart50505/z5b1mb-pran%20frooto%20mango%20juice%201%20litre.png?versionId=.3lF7y_DuEW5OaoRYdC5DEu_Yu8kvVRp")</f>
        <v/>
      </c>
      <c r="L77" s="18"/>
      <c r="M77" s="10"/>
      <c r="N77" s="10"/>
    </row>
    <row r="78">
      <c r="A78" s="23" t="s">
        <v>138</v>
      </c>
      <c r="B78" s="11" t="s">
        <v>60</v>
      </c>
      <c r="C78" s="21">
        <v>6.0</v>
      </c>
      <c r="D78" s="22" t="s">
        <v>139</v>
      </c>
      <c r="E78" s="6"/>
      <c r="F78" s="18"/>
      <c r="G78" s="18"/>
      <c r="H78" s="18"/>
      <c r="I78" s="18"/>
      <c r="J78" s="9" t="s">
        <v>16</v>
      </c>
      <c r="K78" s="18" t="str">
        <f>IMAGE("https://cdn.store.link/products/ayiraminimart50505/3zs8xw-mizo%20orange%20?versionId=j6C5PeB3YfOq2X.wiTsE6v5vrumwEWZJ")</f>
        <v/>
      </c>
      <c r="L78" s="18"/>
      <c r="M78" s="10"/>
      <c r="N78" s="10"/>
    </row>
    <row r="79">
      <c r="A79" s="19" t="s">
        <v>140</v>
      </c>
      <c r="B79" s="6" t="s">
        <v>14</v>
      </c>
      <c r="C79" s="21">
        <v>2.5</v>
      </c>
      <c r="D79" s="22" t="s">
        <v>141</v>
      </c>
      <c r="E79" s="6"/>
      <c r="F79" s="18"/>
      <c r="G79" s="18"/>
      <c r="H79" s="18"/>
      <c r="I79" s="18"/>
      <c r="J79" s="9" t="s">
        <v>16</v>
      </c>
      <c r="K79" s="18" t="str">
        <f>IMAGE("https://cdn.store.link/products/ayiraminimart50505/az090g-extra%20fizz%207up%20zero%20sugar%20330%20ml.png?versionId=UZ1KOVdOQh65XOWUTKKOht7lKvdFM9Av")</f>
        <v/>
      </c>
      <c r="L79" s="18"/>
      <c r="M79" s="10"/>
      <c r="N79" s="10"/>
    </row>
    <row r="80">
      <c r="A80" s="5" t="s">
        <v>142</v>
      </c>
      <c r="B80" s="6" t="s">
        <v>14</v>
      </c>
      <c r="C80" s="21">
        <v>2.5</v>
      </c>
      <c r="D80" s="22" t="s">
        <v>18</v>
      </c>
      <c r="E80" s="6"/>
      <c r="F80" s="18"/>
      <c r="G80" s="18"/>
      <c r="H80" s="18"/>
      <c r="I80" s="18"/>
      <c r="J80" s="9" t="s">
        <v>16</v>
      </c>
      <c r="K80" s="18" t="str">
        <f>IMAGE("https://cdn.store.link/products/ayiraminimart50505/9uka1u-pepsi%20330%20ml.png?versionId=IYBDo6FFEzLcYNPTUnDhQkVvrFo0YMVA")</f>
        <v/>
      </c>
      <c r="L80" s="18"/>
      <c r="M80" s="10"/>
      <c r="N80" s="10"/>
    </row>
    <row r="81">
      <c r="A81" s="5" t="s">
        <v>143</v>
      </c>
      <c r="B81" s="6" t="s">
        <v>14</v>
      </c>
      <c r="C81" s="21">
        <v>2.5</v>
      </c>
      <c r="D81" s="22" t="s">
        <v>26</v>
      </c>
      <c r="E81" s="6"/>
      <c r="F81" s="18"/>
      <c r="G81" s="18"/>
      <c r="H81" s="18"/>
      <c r="I81" s="18"/>
      <c r="J81" s="9" t="s">
        <v>16</v>
      </c>
      <c r="K81" s="18" t="str">
        <f>IMAGE("https://cdn.store.link/products/ayiraminimart50505/6ypkn0-mirinda%20orange%20330%20ml.png?versionId=q_0xWSVHObubi3.0nfX1_o_bcG1OUWDM")</f>
        <v/>
      </c>
      <c r="L81" s="18"/>
      <c r="M81" s="10"/>
      <c r="N81" s="10"/>
    </row>
    <row r="82">
      <c r="A82" s="5" t="s">
        <v>144</v>
      </c>
      <c r="B82" s="6" t="s">
        <v>14</v>
      </c>
      <c r="C82" s="21">
        <v>2.5</v>
      </c>
      <c r="D82" s="22" t="s">
        <v>26</v>
      </c>
      <c r="E82" s="6"/>
      <c r="F82" s="18"/>
      <c r="G82" s="18"/>
      <c r="H82" s="18"/>
      <c r="I82" s="18"/>
      <c r="J82" s="9" t="s">
        <v>16</v>
      </c>
      <c r="K82" s="18" t="str">
        <f>IMAGE("https://cdn.store.link/products/ayiraminimart50505/lqg4tu-mirinda%20strawberry%20330%20ml.png?versionId=PIMea4OB3OkB1xddfgsxs8HaxV41pMn5")</f>
        <v/>
      </c>
      <c r="L82" s="18"/>
      <c r="M82" s="10"/>
      <c r="N82" s="10"/>
    </row>
    <row r="83">
      <c r="A83" s="5" t="s">
        <v>20</v>
      </c>
      <c r="B83" s="6" t="s">
        <v>14</v>
      </c>
      <c r="C83" s="21">
        <v>2.5</v>
      </c>
      <c r="D83" s="22" t="s">
        <v>15</v>
      </c>
      <c r="E83" s="6"/>
      <c r="F83" s="18"/>
      <c r="G83" s="18"/>
      <c r="H83" s="18"/>
      <c r="I83" s="18"/>
      <c r="J83" s="9" t="s">
        <v>16</v>
      </c>
      <c r="K83" s="18" t="str">
        <f>IMAGE("https://cdn.store.link/products/ayiraminimart50505/vk-4xp-mountain%20dew%20330%20ml.png?versionId=Nt5eIDm5bsvwUKxb81ZaEKTDV5HXVHxY")</f>
        <v/>
      </c>
      <c r="L83" s="18"/>
      <c r="M83" s="10"/>
      <c r="N83" s="10"/>
    </row>
    <row r="84">
      <c r="A84" s="19" t="s">
        <v>145</v>
      </c>
      <c r="B84" s="11" t="s">
        <v>44</v>
      </c>
      <c r="C84" s="21">
        <v>2.0</v>
      </c>
      <c r="D84" s="22" t="s">
        <v>146</v>
      </c>
      <c r="E84" s="6"/>
      <c r="F84" s="18"/>
      <c r="G84" s="18"/>
      <c r="H84" s="18"/>
      <c r="I84" s="18"/>
      <c r="J84" s="9" t="s">
        <v>16</v>
      </c>
      <c r="K84" s="18" t="str">
        <f>IMAGE("https://cdn.store.link/products/ayiraminimart50505/siu7jk-evervess%20club%20soda%20330%20ml.png?versionId=pPkyeG_u1LhWaUI09Ax1rbth673VLUoK")</f>
        <v/>
      </c>
      <c r="L84" s="18"/>
      <c r="M84" s="10"/>
      <c r="N84" s="10"/>
    </row>
    <row r="85">
      <c r="A85" s="5" t="s">
        <v>147</v>
      </c>
      <c r="B85" s="6" t="s">
        <v>14</v>
      </c>
      <c r="C85" s="21">
        <v>2.5</v>
      </c>
      <c r="D85" s="22" t="s">
        <v>18</v>
      </c>
      <c r="E85" s="6"/>
      <c r="F85" s="18"/>
      <c r="G85" s="18"/>
      <c r="H85" s="18"/>
      <c r="I85" s="18"/>
      <c r="J85" s="9" t="s">
        <v>16</v>
      </c>
      <c r="K85" s="18" t="str">
        <f>IMAGE("https://cdn.store.link/products/ayiraminimart50505/ly5hth-pepsi%20zero%20sugar%20330%20ml.png?versionId=hkG4QE_lLRcYrtvuaELsiTz2k7AvI8mB")</f>
        <v/>
      </c>
      <c r="L85" s="18"/>
      <c r="M85" s="10"/>
      <c r="N85" s="10"/>
    </row>
    <row r="86">
      <c r="A86" s="19" t="s">
        <v>148</v>
      </c>
      <c r="B86" s="6" t="s">
        <v>14</v>
      </c>
      <c r="C86" s="21">
        <v>2.5</v>
      </c>
      <c r="D86" s="22" t="s">
        <v>22</v>
      </c>
      <c r="E86" s="6"/>
      <c r="F86" s="18"/>
      <c r="G86" s="18"/>
      <c r="H86" s="18"/>
      <c r="I86" s="18"/>
      <c r="J86" s="9" t="s">
        <v>16</v>
      </c>
      <c r="K86" s="18" t="str">
        <f>IMAGE("https://cdn.store.link/products/ayiraminimart50505/p8uneh-shani%20fruit%20flavoured%20drink%20330%20ml.png?versionId=WnteNPReqx_oViPverq_U1xUJzUpIEz6")</f>
        <v/>
      </c>
      <c r="L86" s="18"/>
      <c r="M86" s="10"/>
      <c r="N86" s="10"/>
    </row>
    <row r="87">
      <c r="A87" s="5" t="s">
        <v>149</v>
      </c>
      <c r="B87" s="6" t="s">
        <v>14</v>
      </c>
      <c r="C87" s="21">
        <v>2.5</v>
      </c>
      <c r="D87" s="22" t="s">
        <v>15</v>
      </c>
      <c r="E87" s="6"/>
      <c r="F87" s="18"/>
      <c r="G87" s="18"/>
      <c r="H87" s="18"/>
      <c r="I87" s="18"/>
      <c r="J87" s="9" t="s">
        <v>16</v>
      </c>
      <c r="K87" s="18" t="str">
        <f>IMAGE("https://cdn.store.link/products/ayiraminimart50505/kdeqjf-mountain%20dew%20zero%20sugar%20330%20ml.png?versionId=B2h2_5In0Xa8Y7eP3XZ.gdmNSk_wWOLk")</f>
        <v/>
      </c>
      <c r="L87" s="18"/>
      <c r="M87" s="10"/>
      <c r="N87" s="10"/>
    </row>
    <row r="88">
      <c r="A88" s="19" t="s">
        <v>140</v>
      </c>
      <c r="B88" s="6" t="s">
        <v>14</v>
      </c>
      <c r="C88" s="21">
        <v>2.5</v>
      </c>
      <c r="D88" s="22" t="s">
        <v>141</v>
      </c>
      <c r="E88" s="6"/>
      <c r="F88" s="18"/>
      <c r="G88" s="18"/>
      <c r="H88" s="18"/>
      <c r="I88" s="18"/>
      <c r="J88" s="9" t="s">
        <v>16</v>
      </c>
      <c r="K88" s="18" t="str">
        <f>IMAGE("https://cdn.store.link/products/ayiraminimart50505/6gr5iy-extra%20fizz%207up%20zero%20sugar%20330%20ml.png?versionId=O5O9iBip8p6bkN5bzdkib61evSgIJ1Rl")</f>
        <v/>
      </c>
      <c r="L88" s="18"/>
      <c r="M88" s="10"/>
      <c r="N88" s="10"/>
    </row>
    <row r="89">
      <c r="A89" s="5" t="s">
        <v>142</v>
      </c>
      <c r="B89" s="6" t="s">
        <v>14</v>
      </c>
      <c r="C89" s="21">
        <v>2.0</v>
      </c>
      <c r="D89" s="22" t="s">
        <v>18</v>
      </c>
      <c r="E89" s="6"/>
      <c r="F89" s="18"/>
      <c r="G89" s="18"/>
      <c r="H89" s="18"/>
      <c r="I89" s="18"/>
      <c r="J89" s="9" t="s">
        <v>16</v>
      </c>
      <c r="K89" s="18"/>
      <c r="L89" s="18"/>
      <c r="M89" s="10"/>
      <c r="N89" s="10"/>
    </row>
    <row r="90">
      <c r="A90" s="19" t="s">
        <v>150</v>
      </c>
      <c r="B90" s="11" t="s">
        <v>44</v>
      </c>
      <c r="C90" s="21">
        <v>4.5</v>
      </c>
      <c r="D90" s="22" t="s">
        <v>45</v>
      </c>
      <c r="E90" s="6"/>
      <c r="F90" s="18"/>
      <c r="G90" s="18"/>
      <c r="H90" s="18"/>
      <c r="I90" s="18"/>
      <c r="J90" s="9" t="s">
        <v>16</v>
      </c>
      <c r="K90" s="18" t="str">
        <f>IMAGE("https://cdn.store.link/products/ayiraminimart50505/00-76b-rayyan%2040%20years%20together%20250%20ml.jpeg?versionId=Xxc7kGOnpjyH9_1pMcvSKMfohSFMfWxX")</f>
        <v/>
      </c>
      <c r="L90" s="18"/>
      <c r="M90" s="10"/>
      <c r="N90" s="10"/>
    </row>
    <row r="91">
      <c r="A91" s="19" t="s">
        <v>151</v>
      </c>
      <c r="B91" s="11" t="s">
        <v>44</v>
      </c>
      <c r="C91" s="21">
        <v>5.0</v>
      </c>
      <c r="D91" s="22" t="s">
        <v>152</v>
      </c>
      <c r="E91" s="6"/>
      <c r="F91" s="18"/>
      <c r="G91" s="18"/>
      <c r="H91" s="18"/>
      <c r="I91" s="18"/>
      <c r="J91" s="9" t="s">
        <v>16</v>
      </c>
      <c r="K91" s="18" t="str">
        <f>IMAGE("https://cdn.store.link/products/ayiraminimart50505/f-oco5-perrier%20200%20ml.jpeg?versionId=_vqro4SEJejhN3_yEvJNQu3cnwWT1yxT")</f>
        <v/>
      </c>
      <c r="L91" s="18"/>
      <c r="M91" s="10"/>
      <c r="N91" s="10"/>
    </row>
    <row r="92">
      <c r="A92" s="19" t="s">
        <v>153</v>
      </c>
      <c r="B92" s="6" t="s">
        <v>14</v>
      </c>
      <c r="C92" s="21">
        <v>3.0</v>
      </c>
      <c r="D92" s="22" t="s">
        <v>154</v>
      </c>
      <c r="E92" s="6"/>
      <c r="F92" s="18"/>
      <c r="G92" s="18"/>
      <c r="H92" s="18"/>
      <c r="I92" s="18"/>
      <c r="J92" s="9" t="s">
        <v>16</v>
      </c>
      <c r="K92" s="18" t="str">
        <f>IMAGE("https://cdn.store.link/products/ayiraminimart50505/vv450n-barbican%20strawberry%20flavour%20250%20ml.jpeg?versionId=_R4BL3xDUrLQV_JzqV61.Ir8EM0ysENd")</f>
        <v/>
      </c>
      <c r="L92" s="18"/>
      <c r="M92" s="10"/>
      <c r="N92" s="10"/>
    </row>
    <row r="93">
      <c r="A93" s="19" t="s">
        <v>155</v>
      </c>
      <c r="B93" s="6" t="s">
        <v>14</v>
      </c>
      <c r="C93" s="21">
        <v>4.5</v>
      </c>
      <c r="D93" s="22" t="s">
        <v>156</v>
      </c>
      <c r="E93" s="6"/>
      <c r="F93" s="18"/>
      <c r="G93" s="18"/>
      <c r="H93" s="18"/>
      <c r="I93" s="18"/>
      <c r="J93" s="9" t="s">
        <v>16</v>
      </c>
      <c r="K93" s="18" t="str">
        <f>IMAGE("https://cdn.store.link/products/ayiraminimart50505/7gm0li-barbican%20pomegranate%20flavour%20330%20ml.png?versionId=JpQUAMor_aE4b48dw4xnPVL9jkxyuFAd")</f>
        <v/>
      </c>
      <c r="L93" s="18"/>
      <c r="M93" s="10"/>
      <c r="N93" s="10"/>
    </row>
    <row r="94">
      <c r="A94" s="19" t="s">
        <v>157</v>
      </c>
      <c r="B94" s="6" t="s">
        <v>14</v>
      </c>
      <c r="C94" s="21">
        <v>3.0</v>
      </c>
      <c r="D94" s="22" t="s">
        <v>158</v>
      </c>
      <c r="E94" s="6"/>
      <c r="F94" s="18"/>
      <c r="G94" s="18"/>
      <c r="H94" s="18"/>
      <c r="I94" s="18"/>
      <c r="J94" s="9" t="s">
        <v>16</v>
      </c>
      <c r="K94" s="18" t="str">
        <f>IMAGE("https://cdn.store.link/products/ayiraminimart50505/6v67jn-barbican%20apple%20flavour%20250%20ml.jpeg?versionId=bqtEUpxJmVaWX_1isLPxxVbbKKLJ4L78")</f>
        <v/>
      </c>
      <c r="L94" s="18"/>
      <c r="M94" s="10"/>
      <c r="N94" s="10"/>
    </row>
    <row r="95">
      <c r="A95" s="19" t="s">
        <v>159</v>
      </c>
      <c r="B95" s="6" t="s">
        <v>14</v>
      </c>
      <c r="C95" s="21">
        <v>3.0</v>
      </c>
      <c r="D95" s="22" t="s">
        <v>160</v>
      </c>
      <c r="E95" s="6"/>
      <c r="F95" s="18"/>
      <c r="G95" s="18"/>
      <c r="H95" s="18"/>
      <c r="I95" s="18"/>
      <c r="J95" s="9" t="s">
        <v>16</v>
      </c>
      <c r="K95" s="18" t="str">
        <f>IMAGE("https://cdn.store.link/products/ayiraminimart50505/pfkcig-barbican%20classic%20malt%20250%20ml.jpeg?versionId=u1Av0L12WcNjrUco4W8.Mk7u.5iGmz4n")</f>
        <v/>
      </c>
      <c r="L95" s="18"/>
      <c r="M95" s="10"/>
      <c r="N95" s="10"/>
    </row>
    <row r="96">
      <c r="A96" s="19" t="s">
        <v>161</v>
      </c>
      <c r="B96" s="6" t="s">
        <v>14</v>
      </c>
      <c r="C96" s="21">
        <v>2.5</v>
      </c>
      <c r="D96" s="22" t="s">
        <v>162</v>
      </c>
      <c r="E96" s="6"/>
      <c r="F96" s="18"/>
      <c r="G96" s="18"/>
      <c r="H96" s="18"/>
      <c r="I96" s="18"/>
      <c r="J96" s="9" t="s">
        <v>16</v>
      </c>
      <c r="K96" s="18" t="str">
        <f>IMAGE("https://cdn.store.link/products/ayiraminimart50505/rebix2-double%20cola%20250%20ml.jpeg?versionId=tS1TX23ART3qndZaTXkZcFiTQfJF9sCD")</f>
        <v/>
      </c>
      <c r="L96" s="18"/>
      <c r="M96" s="10"/>
      <c r="N96" s="10"/>
    </row>
    <row r="97">
      <c r="A97" s="19" t="s">
        <v>163</v>
      </c>
      <c r="B97" s="6" t="s">
        <v>14</v>
      </c>
      <c r="C97" s="21">
        <v>5.0</v>
      </c>
      <c r="D97" s="22" t="s">
        <v>164</v>
      </c>
      <c r="E97" s="6"/>
      <c r="F97" s="18"/>
      <c r="G97" s="18"/>
      <c r="H97" s="18"/>
      <c r="I97" s="18"/>
      <c r="J97" s="9" t="s">
        <v>16</v>
      </c>
      <c r="K97" s="18" t="str">
        <f>IMAGE("https://cdn.store.link/products/ayiraminimart50505/dsvhve-flash%20carbonated%20soft%20drink%20250%20ml.png?versionId=OfPXNqFlkqAHa5Addbk6we0EH24BYl3J")</f>
        <v/>
      </c>
      <c r="L97" s="18"/>
      <c r="M97" s="10"/>
      <c r="N97" s="10"/>
    </row>
    <row r="98">
      <c r="A98" s="19" t="s">
        <v>165</v>
      </c>
      <c r="B98" s="6" t="s">
        <v>14</v>
      </c>
      <c r="C98" s="21">
        <v>5.0</v>
      </c>
      <c r="D98" s="22" t="s">
        <v>166</v>
      </c>
      <c r="E98" s="6"/>
      <c r="F98" s="18"/>
      <c r="G98" s="18"/>
      <c r="H98" s="18"/>
      <c r="I98" s="18"/>
      <c r="J98" s="9" t="s">
        <v>16</v>
      </c>
      <c r="K98" s="18" t="str">
        <f>IMAGE("https://cdn.store.link/products/ayiraminimart50505/-xyvwh-freez%20mix%20carbonated%20flavored%20drink%20blue%20hawaii%20tropical%20fruit%20275%20ml.png?versionId=cdWz.6OWnG9ZP1DyNLY53zYFEMLq9.UI")</f>
        <v/>
      </c>
      <c r="L98" s="18"/>
      <c r="M98" s="10"/>
      <c r="N98" s="10"/>
    </row>
    <row r="99">
      <c r="A99" s="19" t="s">
        <v>167</v>
      </c>
      <c r="B99" s="6" t="s">
        <v>14</v>
      </c>
      <c r="C99" s="21">
        <v>5.0</v>
      </c>
      <c r="D99" s="22" t="s">
        <v>168</v>
      </c>
      <c r="E99" s="6"/>
      <c r="F99" s="18"/>
      <c r="G99" s="18"/>
      <c r="H99" s="18"/>
      <c r="I99" s="18"/>
      <c r="J99" s="9" t="s">
        <v>16</v>
      </c>
      <c r="K99" s="18" t="str">
        <f>IMAGE("https://cdn.store.link/products/ayiraminimart50505/0tzmq7-freez%20mix%20carbonated%20flavored%20drink%20strawberry%20mix%20275%20ml.png?versionId=Oi597oHDLAtn8SFJo7vi72HAsbSlwkNF")</f>
        <v/>
      </c>
      <c r="L99" s="18"/>
      <c r="M99" s="10"/>
      <c r="N99" s="10"/>
    </row>
    <row r="100">
      <c r="A100" s="19" t="s">
        <v>169</v>
      </c>
      <c r="B100" s="6" t="s">
        <v>14</v>
      </c>
      <c r="C100" s="21">
        <v>5.0</v>
      </c>
      <c r="D100" s="22" t="s">
        <v>170</v>
      </c>
      <c r="E100" s="6"/>
      <c r="F100" s="18"/>
      <c r="G100" s="18"/>
      <c r="H100" s="18"/>
      <c r="I100" s="18"/>
      <c r="J100" s="9" t="s">
        <v>16</v>
      </c>
      <c r="K100" s="18" t="str">
        <f>IMAGE("https://cdn.store.link/products/ayiraminimart50505/fxznbu-freez%20mix%20lemon%20?versionId=8fcdFw6iqCCjEq0LD00kUsLuFRjPGtro")</f>
        <v/>
      </c>
      <c r="L100" s="18"/>
      <c r="M100" s="10"/>
      <c r="N100" s="10"/>
    </row>
    <row r="101">
      <c r="A101" s="19" t="s">
        <v>171</v>
      </c>
      <c r="B101" s="6" t="s">
        <v>14</v>
      </c>
      <c r="C101" s="21">
        <v>5.0</v>
      </c>
      <c r="D101" s="22" t="s">
        <v>172</v>
      </c>
      <c r="E101" s="6"/>
      <c r="F101" s="18"/>
      <c r="G101" s="18"/>
      <c r="H101" s="18"/>
      <c r="I101" s="18"/>
      <c r="J101" s="9" t="s">
        <v>16</v>
      </c>
      <c r="K101" s="18"/>
      <c r="L101" s="18"/>
      <c r="M101" s="10"/>
      <c r="N101" s="10"/>
    </row>
    <row r="102">
      <c r="A102" s="19" t="s">
        <v>173</v>
      </c>
      <c r="B102" s="6" t="s">
        <v>14</v>
      </c>
      <c r="C102" s="21">
        <v>5.0</v>
      </c>
      <c r="D102" s="22" t="s">
        <v>174</v>
      </c>
      <c r="E102" s="6"/>
      <c r="F102" s="18"/>
      <c r="G102" s="18"/>
      <c r="H102" s="18"/>
      <c r="I102" s="18"/>
      <c r="J102" s="9" t="s">
        <v>16</v>
      </c>
      <c r="K102" s="18" t="str">
        <f>IMAGE("https://cdn.store.link/products/ayiraminimart50505/i7qtnj-freez%20mix%20carbonated%20flavored%20drink%20pineapple%20?versionId=1ci9GQhygKDVfo7PYJThsirW73JmjIFO")</f>
        <v/>
      </c>
      <c r="L102" s="18"/>
      <c r="M102" s="10"/>
      <c r="N102" s="10"/>
    </row>
    <row r="103">
      <c r="A103" s="19" t="s">
        <v>175</v>
      </c>
      <c r="B103" s="6" t="s">
        <v>14</v>
      </c>
      <c r="C103" s="21">
        <v>5.0</v>
      </c>
      <c r="D103" s="22" t="s">
        <v>176</v>
      </c>
      <c r="E103" s="6"/>
      <c r="F103" s="18"/>
      <c r="G103" s="18"/>
      <c r="H103" s="18"/>
      <c r="I103" s="18"/>
      <c r="J103" s="9" t="s">
        <v>16</v>
      </c>
      <c r="K103" s="18" t="str">
        <f>IMAGE("https://cdn.store.link/products/ayiraminimart50505/x5uhaj-freez%20mix%20carbonated%20flavored%20drink%20pomegranate%20mix%20275%20ml.png?versionId=WkZibKDhFXYCckYsdYRcLuGqtEN6pijv")</f>
        <v/>
      </c>
      <c r="L103" s="18"/>
      <c r="M103" s="10"/>
      <c r="N103" s="10"/>
    </row>
    <row r="104">
      <c r="A104" s="19" t="s">
        <v>177</v>
      </c>
      <c r="B104" s="6" t="s">
        <v>14</v>
      </c>
      <c r="C104" s="21">
        <v>4.5</v>
      </c>
      <c r="D104" s="22" t="s">
        <v>178</v>
      </c>
      <c r="E104" s="6"/>
      <c r="F104" s="18"/>
      <c r="G104" s="18"/>
      <c r="H104" s="18"/>
      <c r="I104" s="18"/>
      <c r="J104" s="9" t="s">
        <v>16</v>
      </c>
      <c r="K104" s="18" t="str">
        <f>IMAGE("https://cdn.store.link/products/ayiraminimart50505/848rbs-barbican%20english%20flavour%20330%20ml.png?versionId=8CvfyC8hL_Ltcr65Wo5bbIOZGm9Aszr_")</f>
        <v/>
      </c>
      <c r="L104" s="18"/>
      <c r="M104" s="10"/>
      <c r="N104" s="10"/>
    </row>
    <row r="105">
      <c r="A105" s="19" t="s">
        <v>179</v>
      </c>
      <c r="B105" s="6" t="s">
        <v>14</v>
      </c>
      <c r="C105" s="21">
        <v>4.5</v>
      </c>
      <c r="D105" s="22" t="s">
        <v>180</v>
      </c>
      <c r="E105" s="6"/>
      <c r="F105" s="18"/>
      <c r="G105" s="18"/>
      <c r="H105" s="18"/>
      <c r="I105" s="18"/>
      <c r="J105" s="9" t="s">
        <v>16</v>
      </c>
      <c r="K105" s="18" t="str">
        <f>IMAGE("https://cdn.store.link/products/ayiraminimart50505/0cxj24-barbican%20strawberry%20flavour%20330%20ml.png?versionId=EA5imhoGwpjV_bqI8_vyjPZ8CmuMenFu")</f>
        <v/>
      </c>
      <c r="L105" s="18"/>
      <c r="M105" s="10"/>
      <c r="N105" s="10"/>
    </row>
    <row r="106">
      <c r="A106" s="19" t="s">
        <v>181</v>
      </c>
      <c r="B106" s="6" t="s">
        <v>14</v>
      </c>
      <c r="C106" s="21">
        <v>4.5</v>
      </c>
      <c r="D106" s="22" t="s">
        <v>182</v>
      </c>
      <c r="E106" s="6"/>
      <c r="F106" s="18"/>
      <c r="G106" s="18"/>
      <c r="H106" s="18"/>
      <c r="I106" s="18"/>
      <c r="J106" s="9" t="s">
        <v>16</v>
      </c>
      <c r="K106" s="18" t="str">
        <f>IMAGE("https://cdn.store.link/products/ayiraminimart50505/x1cdh6-barbican%20pomegranate%20flavour%20330%20ml.png?versionId=jeB54JEkSY8Oz1leStH6XwjHs1QLWH3e")</f>
        <v/>
      </c>
      <c r="L106" s="18"/>
      <c r="M106" s="10"/>
      <c r="N106" s="10"/>
    </row>
    <row r="107">
      <c r="A107" s="19" t="s">
        <v>183</v>
      </c>
      <c r="B107" s="6" t="s">
        <v>14</v>
      </c>
      <c r="C107" s="21">
        <v>4.5</v>
      </c>
      <c r="D107" s="22" t="s">
        <v>184</v>
      </c>
      <c r="E107" s="6"/>
      <c r="F107" s="18"/>
      <c r="G107" s="18"/>
      <c r="H107" s="18"/>
      <c r="I107" s="18"/>
      <c r="J107" s="9" t="s">
        <v>16</v>
      </c>
      <c r="K107" s="18" t="str">
        <f>IMAGE("https://cdn.store.link/products/ayiraminimart50505/e60dlr-barbican%20apple%20flavour%20330%20ml.png?versionId=WZP0yBdlRIG7tlWrMuVgttQcMUL_Mxch")</f>
        <v/>
      </c>
      <c r="L107" s="18"/>
      <c r="M107" s="10"/>
      <c r="N107" s="10"/>
    </row>
    <row r="108">
      <c r="A108" s="19" t="s">
        <v>185</v>
      </c>
      <c r="B108" s="6" t="s">
        <v>14</v>
      </c>
      <c r="C108" s="21">
        <v>4.5</v>
      </c>
      <c r="D108" s="22" t="s">
        <v>186</v>
      </c>
      <c r="E108" s="6"/>
      <c r="F108" s="18"/>
      <c r="G108" s="18"/>
      <c r="H108" s="18"/>
      <c r="I108" s="18"/>
      <c r="J108" s="9" t="s">
        <v>16</v>
      </c>
      <c r="K108" s="18" t="str">
        <f>IMAGE("https://cdn.store.link/products/ayiraminimart50505/mj11xx-barbican%20peach%20flavour%20330%20ml.png?versionId=562fH9jrl38bjrehxMs85Vp2BkRWq2lJ")</f>
        <v/>
      </c>
      <c r="L108" s="18"/>
      <c r="M108" s="10"/>
      <c r="N108" s="10"/>
    </row>
    <row r="109">
      <c r="A109" s="19" t="s">
        <v>187</v>
      </c>
      <c r="B109" s="6" t="s">
        <v>14</v>
      </c>
      <c r="C109" s="21">
        <v>4.5</v>
      </c>
      <c r="D109" s="22" t="s">
        <v>188</v>
      </c>
      <c r="E109" s="6"/>
      <c r="F109" s="18"/>
      <c r="G109" s="18"/>
      <c r="H109" s="18"/>
      <c r="I109" s="18"/>
      <c r="J109" s="9" t="s">
        <v>16</v>
      </c>
      <c r="K109" s="18" t="str">
        <f>IMAGE("https://cdn.store.link/products/ayiraminimart50505/3ceuk5-barbican%20pineapple%20flavour%20330%20ml.png?versionId=_ixISlFSanDItXuDJIhR2nKos5mS9oMf")</f>
        <v/>
      </c>
      <c r="L109" s="18"/>
      <c r="M109" s="10"/>
      <c r="N109" s="10"/>
    </row>
    <row r="110">
      <c r="A110" s="19" t="s">
        <v>189</v>
      </c>
      <c r="B110" s="6" t="s">
        <v>14</v>
      </c>
      <c r="C110" s="21">
        <v>5.5</v>
      </c>
      <c r="D110" s="22" t="s">
        <v>190</v>
      </c>
      <c r="E110" s="6"/>
      <c r="F110" s="18"/>
      <c r="G110" s="18"/>
      <c r="H110" s="18"/>
      <c r="I110" s="18"/>
      <c r="J110" s="9" t="s">
        <v>16</v>
      </c>
      <c r="K110" s="18" t="str">
        <f>IMAGE("https://cdn.store.link/products/ayiraminimart50505/tj04gj-moussy%20peach%20flavour%20330%20ml.png?versionId=mVx3leHvGi48jqIPvWl7LtjTj.RZOWA7")</f>
        <v/>
      </c>
      <c r="L110" s="18"/>
      <c r="M110" s="10"/>
      <c r="N110" s="10"/>
    </row>
    <row r="111">
      <c r="A111" s="19" t="s">
        <v>191</v>
      </c>
      <c r="B111" s="6" t="s">
        <v>14</v>
      </c>
      <c r="C111" s="21">
        <v>5.5</v>
      </c>
      <c r="D111" s="22" t="s">
        <v>192</v>
      </c>
      <c r="E111" s="6"/>
      <c r="F111" s="18"/>
      <c r="G111" s="18"/>
      <c r="H111" s="18"/>
      <c r="I111" s="18"/>
      <c r="J111" s="9" t="s">
        <v>16</v>
      </c>
      <c r="K111" s="18" t="str">
        <f>IMAGE("https://cdn.store.link/products/ayiraminimart50505/gx6lt4-moussy%20raspberry%20flavour%20330%20ml.png?versionId=XS9Fd4hiJH64_a_BC6dbc3McSUcY2z.s")</f>
        <v/>
      </c>
      <c r="L111" s="18"/>
      <c r="M111" s="10"/>
      <c r="N111" s="10"/>
    </row>
    <row r="112">
      <c r="A112" s="19" t="s">
        <v>193</v>
      </c>
      <c r="B112" s="6" t="s">
        <v>14</v>
      </c>
      <c r="C112" s="21">
        <v>5.5</v>
      </c>
      <c r="D112" s="22" t="s">
        <v>194</v>
      </c>
      <c r="E112" s="6"/>
      <c r="F112" s="18"/>
      <c r="G112" s="18"/>
      <c r="H112" s="18"/>
      <c r="I112" s="18"/>
      <c r="J112" s="9" t="s">
        <v>16</v>
      </c>
      <c r="K112" s="6" t="str">
        <f>IMAGE("https://cdn.store.link/products/ayiraminimart50505/y85vns-moussy%20strawberry%20flavour%20330%20ml.png?versionId=Q1u54pU1GG9uoz3NtuoZGquaH2Dgci5u")</f>
        <v/>
      </c>
      <c r="L112" s="6"/>
      <c r="M112" s="10"/>
      <c r="N112" s="10"/>
    </row>
    <row r="113">
      <c r="A113" s="19" t="s">
        <v>195</v>
      </c>
      <c r="B113" s="6" t="s">
        <v>14</v>
      </c>
      <c r="C113" s="21">
        <v>5.5</v>
      </c>
      <c r="D113" s="22" t="s">
        <v>196</v>
      </c>
      <c r="E113" s="6"/>
      <c r="F113" s="18"/>
      <c r="G113" s="18"/>
      <c r="H113" s="18"/>
      <c r="I113" s="18"/>
      <c r="J113" s="9" t="s">
        <v>16</v>
      </c>
      <c r="K113" s="18" t="str">
        <f>IMAGE("https://cdn.store.link/products/ayiraminimart50505/zthw4u-moussy%20apple%20flavour%20330%20ml.png?versionId=diggpUM3cT9B9W740FDZFALm5mxU3gFL")</f>
        <v/>
      </c>
      <c r="L113" s="18"/>
      <c r="M113" s="10"/>
      <c r="N113" s="10"/>
    </row>
    <row r="114">
      <c r="A114" s="19" t="s">
        <v>197</v>
      </c>
      <c r="B114" s="6" t="s">
        <v>14</v>
      </c>
      <c r="C114" s="21">
        <v>5.5</v>
      </c>
      <c r="D114" s="22" t="s">
        <v>198</v>
      </c>
      <c r="E114" s="6"/>
      <c r="F114" s="18"/>
      <c r="G114" s="18"/>
      <c r="H114" s="18"/>
      <c r="I114" s="18"/>
      <c r="J114" s="9" t="s">
        <v>16</v>
      </c>
      <c r="K114" s="18" t="str">
        <f>IMAGE("https://cdn.store.link/products/ayiraminimart50505/2i24aj-moussy%20lemon%20mint%20flavour%20330%20ml.png?versionId=9bRD6k0c0DXwliokDjwXAfAFh7ij8R9j")</f>
        <v/>
      </c>
      <c r="L114" s="18"/>
      <c r="M114" s="10"/>
      <c r="N114" s="10"/>
    </row>
    <row r="115">
      <c r="A115" s="19" t="s">
        <v>199</v>
      </c>
      <c r="B115" s="6" t="s">
        <v>14</v>
      </c>
      <c r="C115" s="21">
        <v>5.5</v>
      </c>
      <c r="D115" s="22" t="s">
        <v>200</v>
      </c>
      <c r="E115" s="6"/>
      <c r="F115" s="18"/>
      <c r="G115" s="18"/>
      <c r="H115" s="18"/>
      <c r="I115" s="18"/>
      <c r="J115" s="9" t="s">
        <v>16</v>
      </c>
      <c r="K115" s="18" t="str">
        <f>IMAGE("https://cdn.store.link/products/ayiraminimart50505/85rngd-moussy%20classic%20flavour%20330%20ml.png?versionId=QPIkx8CiE7KXsMOFKsEhwJbaN04aaESH")</f>
        <v/>
      </c>
      <c r="L115" s="18"/>
      <c r="M115" s="10"/>
      <c r="N115" s="10"/>
    </row>
    <row r="116">
      <c r="A116" s="19" t="s">
        <v>201</v>
      </c>
      <c r="B116" s="6" t="s">
        <v>14</v>
      </c>
      <c r="C116" s="21">
        <v>5.5</v>
      </c>
      <c r="D116" s="22" t="s">
        <v>202</v>
      </c>
      <c r="E116" s="6"/>
      <c r="F116" s="18"/>
      <c r="G116" s="18"/>
      <c r="H116" s="18"/>
      <c r="I116" s="18"/>
      <c r="J116" s="9" t="s">
        <v>16</v>
      </c>
      <c r="K116" s="6" t="str">
        <f>IMAGE("https://cdn.store.link/products/ayiraminimart50505/az2i-l-moussy%20ice%20berry%20flavour%20330%20ml.png?versionId=k2p_2LZXfra4r6NfReQTFYYQcnYrRhw0")</f>
        <v/>
      </c>
      <c r="L116" s="6"/>
      <c r="M116" s="10"/>
      <c r="N116" s="10"/>
    </row>
    <row r="117">
      <c r="A117" s="19" t="s">
        <v>203</v>
      </c>
      <c r="B117" s="6" t="s">
        <v>14</v>
      </c>
      <c r="C117" s="21">
        <v>2.5</v>
      </c>
      <c r="D117" s="22" t="s">
        <v>204</v>
      </c>
      <c r="E117" s="6"/>
      <c r="F117" s="18"/>
      <c r="G117" s="18"/>
      <c r="H117" s="18"/>
      <c r="I117" s="18"/>
      <c r="J117" s="9" t="s">
        <v>16</v>
      </c>
      <c r="K117" s="18" t="str">
        <f>IMAGE("https://cdn.store.link/products/ayiraminimart50505/yltaol-kinza%20citrus%20250%20ml.png?versionId=Tq12Dq629vhfi_Nu0pNRpKbEOwre1usA")</f>
        <v/>
      </c>
      <c r="L117" s="18"/>
      <c r="M117" s="10"/>
      <c r="N117" s="10"/>
    </row>
    <row r="118">
      <c r="A118" s="19" t="s">
        <v>205</v>
      </c>
      <c r="B118" s="6" t="s">
        <v>14</v>
      </c>
      <c r="C118" s="21">
        <v>2.5</v>
      </c>
      <c r="D118" s="22" t="s">
        <v>206</v>
      </c>
      <c r="E118" s="6"/>
      <c r="F118" s="18"/>
      <c r="G118" s="18"/>
      <c r="H118" s="18"/>
      <c r="I118" s="18"/>
      <c r="J118" s="9" t="s">
        <v>16</v>
      </c>
      <c r="K118" s="18" t="str">
        <f>IMAGE("https://cdn.store.link/products/ayiraminimart50505/7du3pw-kinza%20pomegranate%20250%20ml.png?versionId=7jas_2MzvAIxfhEVclmIS7zj18Gi9K5R")</f>
        <v/>
      </c>
      <c r="L118" s="18"/>
      <c r="M118" s="10"/>
      <c r="N118" s="10"/>
    </row>
    <row r="119">
      <c r="A119" s="19" t="s">
        <v>207</v>
      </c>
      <c r="B119" s="6" t="s">
        <v>14</v>
      </c>
      <c r="C119" s="21">
        <v>2.5</v>
      </c>
      <c r="D119" s="22" t="s">
        <v>208</v>
      </c>
      <c r="E119" s="6"/>
      <c r="F119" s="18"/>
      <c r="G119" s="18"/>
      <c r="H119" s="18"/>
      <c r="I119" s="18"/>
      <c r="J119" s="9" t="s">
        <v>16</v>
      </c>
      <c r="K119" s="18" t="str">
        <f>IMAGE("https://cdn.store.link/products/ayiraminimart50505/9-2emw-kinza%20orange%20250%20ml.png?versionId=nZZh3G6dHwsxYoWHq5EClYkL3BfXu_Fw")</f>
        <v/>
      </c>
      <c r="L119" s="18"/>
      <c r="M119" s="10"/>
      <c r="N119" s="10"/>
    </row>
    <row r="120">
      <c r="A120" s="19" t="s">
        <v>209</v>
      </c>
      <c r="B120" s="6" t="s">
        <v>14</v>
      </c>
      <c r="C120" s="21">
        <v>2.5</v>
      </c>
      <c r="D120" s="22" t="s">
        <v>210</v>
      </c>
      <c r="E120" s="6"/>
      <c r="F120" s="18"/>
      <c r="G120" s="18"/>
      <c r="H120" s="18"/>
      <c r="I120" s="18"/>
      <c r="J120" s="9" t="s">
        <v>16</v>
      </c>
      <c r="K120" s="18" t="str">
        <f>IMAGE("https://cdn.store.link/products/ayiraminimart50505/ju9pu8-kinza%20cola%20250%20ml.png?versionId=xaITQgRkobC34EWwI.D.ERZ00Vm0_4HH")</f>
        <v/>
      </c>
      <c r="L120" s="18"/>
      <c r="M120" s="10"/>
      <c r="N120" s="10"/>
    </row>
    <row r="121">
      <c r="A121" s="19" t="s">
        <v>211</v>
      </c>
      <c r="B121" s="6" t="s">
        <v>14</v>
      </c>
      <c r="C121" s="21">
        <v>2.5</v>
      </c>
      <c r="D121" s="22" t="s">
        <v>212</v>
      </c>
      <c r="E121" s="6"/>
      <c r="F121" s="18"/>
      <c r="G121" s="18"/>
      <c r="H121" s="18"/>
      <c r="I121" s="18"/>
      <c r="J121" s="9" t="s">
        <v>16</v>
      </c>
      <c r="K121" s="18" t="str">
        <f>IMAGE("https://cdn.store.link/products/ayiraminimart50505/4l7gx8-kinza%20lemon%20250%20ml.png?versionId=ZcS1Ow5cS5d1FZKIc287yAAq4OEk.cPM")</f>
        <v/>
      </c>
      <c r="L121" s="18"/>
      <c r="M121" s="10"/>
      <c r="N121" s="10"/>
    </row>
    <row r="122">
      <c r="A122" s="19" t="s">
        <v>213</v>
      </c>
      <c r="B122" s="6" t="s">
        <v>14</v>
      </c>
      <c r="C122" s="21">
        <v>2.5</v>
      </c>
      <c r="D122" s="22" t="s">
        <v>214</v>
      </c>
      <c r="E122" s="6"/>
      <c r="F122" s="18"/>
      <c r="G122" s="18"/>
      <c r="H122" s="18"/>
      <c r="I122" s="18"/>
      <c r="J122" s="9" t="s">
        <v>16</v>
      </c>
      <c r="K122" s="18" t="str">
        <f>IMAGE("https://cdn.store.link/products/ayiraminimart50505/oyf2mm-kinza%20blackcurrant%20250%20ml.png?versionId=0GW2Mq1VcM1AAFxLLgZN4QiXcyNZLEiC")</f>
        <v/>
      </c>
      <c r="L122" s="18"/>
      <c r="M122" s="10"/>
      <c r="N122" s="10"/>
    </row>
    <row r="123">
      <c r="A123" s="19" t="s">
        <v>215</v>
      </c>
      <c r="B123" s="6" t="s">
        <v>14</v>
      </c>
      <c r="C123" s="21">
        <v>2.5</v>
      </c>
      <c r="D123" s="22" t="s">
        <v>216</v>
      </c>
      <c r="E123" s="6"/>
      <c r="F123" s="18"/>
      <c r="G123" s="18"/>
      <c r="H123" s="18"/>
      <c r="I123" s="18"/>
      <c r="J123" s="9" t="s">
        <v>16</v>
      </c>
      <c r="K123" s="18" t="str">
        <f>IMAGE("https://cdn.store.link/products/ayiraminimart50505/jw36ln-kinza%20diet%20cola%20250%20ml.png?versionId=dqTAIjy.HppvtjfNLXgnYxIc62atnBhR")</f>
        <v/>
      </c>
      <c r="L123" s="18"/>
      <c r="M123" s="10"/>
      <c r="N123" s="10"/>
    </row>
    <row r="124">
      <c r="A124" s="19" t="s">
        <v>217</v>
      </c>
      <c r="B124" s="6" t="s">
        <v>14</v>
      </c>
      <c r="C124" s="21">
        <v>2.5</v>
      </c>
      <c r="D124" s="22" t="s">
        <v>218</v>
      </c>
      <c r="E124" s="6"/>
      <c r="F124" s="18"/>
      <c r="G124" s="18"/>
      <c r="H124" s="18"/>
      <c r="I124" s="18"/>
      <c r="J124" s="9" t="s">
        <v>16</v>
      </c>
      <c r="K124" s="18" t="str">
        <f>IMAGE("https://cdn.store.link/products/ayiraminimart50505/-drmcx-kinza%20lemon%20zero%20sugar%20250%20ml.png?versionId=QgUUL4DwWhUvzZj2E2BXyWGBc6pGSRf6")</f>
        <v/>
      </c>
      <c r="L124" s="18"/>
      <c r="M124" s="10"/>
      <c r="N124" s="10"/>
    </row>
    <row r="125">
      <c r="A125" s="19" t="s">
        <v>219</v>
      </c>
      <c r="B125" s="6" t="s">
        <v>14</v>
      </c>
      <c r="C125" s="21">
        <v>2.5</v>
      </c>
      <c r="D125" s="22" t="s">
        <v>220</v>
      </c>
      <c r="E125" s="6"/>
      <c r="F125" s="18"/>
      <c r="G125" s="18"/>
      <c r="H125" s="18"/>
      <c r="I125" s="18"/>
      <c r="J125" s="9" t="s">
        <v>16</v>
      </c>
      <c r="K125" s="18" t="str">
        <f>IMAGE("https://cdn.store.link/products/ayiraminimart50505/9qorhi-fizzy%20vimto%20blue%20raspberry%20250%20ml.png?versionId=7n5igKiUEjqK7NH.igv2Yu9aGCTk18_C")</f>
        <v/>
      </c>
      <c r="L125" s="18"/>
      <c r="M125" s="10"/>
      <c r="N125" s="10"/>
    </row>
    <row r="126">
      <c r="A126" s="19" t="s">
        <v>221</v>
      </c>
      <c r="B126" s="6" t="s">
        <v>14</v>
      </c>
      <c r="C126" s="21">
        <v>5.5</v>
      </c>
      <c r="D126" s="22" t="s">
        <v>222</v>
      </c>
      <c r="E126" s="6"/>
      <c r="F126" s="18"/>
      <c r="G126" s="18"/>
      <c r="H126" s="18"/>
      <c r="I126" s="18"/>
      <c r="J126" s="9" t="s">
        <v>16</v>
      </c>
      <c r="K126" s="18" t="str">
        <f>IMAGE("https://cdn.store.link/products/ayiraminimart50505/79cj9a-nescaf%C3%A9%20spanish%20latte%20225%20ml.jpeg?versionId=FXati32GT7ODXbDimEhtf1RODg6TPsGj")</f>
        <v/>
      </c>
      <c r="L126" s="18"/>
      <c r="M126" s="10"/>
      <c r="N126" s="10"/>
    </row>
    <row r="127">
      <c r="A127" s="19" t="s">
        <v>223</v>
      </c>
      <c r="B127" s="6" t="s">
        <v>14</v>
      </c>
      <c r="C127" s="21">
        <v>5.5</v>
      </c>
      <c r="D127" s="22" t="s">
        <v>224</v>
      </c>
      <c r="E127" s="6"/>
      <c r="F127" s="18"/>
      <c r="G127" s="18"/>
      <c r="H127" s="18"/>
      <c r="I127" s="18"/>
      <c r="J127" s="9" t="s">
        <v>16</v>
      </c>
      <c r="K127" s="18" t="str">
        <f>IMAGE("https://cdn.store.link/products/ayiraminimart50505/tdlh4h-nescaf%C3%A9%20mocha%20225%20ml.jpeg?versionId=HUtZ8Lz6.fByiP4Yg3.uqYdLON8hFen5")</f>
        <v/>
      </c>
      <c r="L127" s="18"/>
      <c r="M127" s="10"/>
      <c r="N127" s="10"/>
    </row>
    <row r="128">
      <c r="A128" s="19" t="s">
        <v>225</v>
      </c>
      <c r="B128" s="6" t="s">
        <v>14</v>
      </c>
      <c r="C128" s="21">
        <v>6.0</v>
      </c>
      <c r="D128" s="22" t="s">
        <v>226</v>
      </c>
      <c r="E128" s="6"/>
      <c r="F128" s="18"/>
      <c r="G128" s="18"/>
      <c r="H128" s="18"/>
      <c r="I128" s="18"/>
      <c r="J128" s="9" t="s">
        <v>16</v>
      </c>
      <c r="K128" s="18" t="str">
        <f>IMAGE("https://cdn.store.link/products/ayiraminimart50505/pojyj6-walkers%20vitamin%20150%20ml.jpeg?versionId=rnRlSQC04HGhBUttT3v_2ofp79TjJbwB")</f>
        <v/>
      </c>
      <c r="L128" s="18"/>
      <c r="M128" s="10"/>
      <c r="N128" s="10"/>
    </row>
    <row r="129">
      <c r="A129" s="19" t="s">
        <v>227</v>
      </c>
      <c r="B129" s="6" t="s">
        <v>14</v>
      </c>
      <c r="C129" s="21">
        <v>6.0</v>
      </c>
      <c r="D129" s="22" t="s">
        <v>228</v>
      </c>
      <c r="E129" s="6"/>
      <c r="F129" s="18"/>
      <c r="G129" s="18"/>
      <c r="H129" s="18"/>
      <c r="I129" s="18"/>
      <c r="J129" s="9" t="s">
        <v>16</v>
      </c>
      <c r="K129" s="18" t="str">
        <f>IMAGE("https://cdn.store.link/products/ayiraminimart50505/zctnkl-oronamin%20c%20drink%20120%20ml.jpeg?versionId=KlgNtA.VNrofpxLEyV_qYaES5umdK7ba")</f>
        <v/>
      </c>
      <c r="L129" s="18"/>
      <c r="M129" s="10"/>
      <c r="N129" s="10"/>
    </row>
    <row r="130">
      <c r="A130" s="19" t="s">
        <v>229</v>
      </c>
      <c r="B130" s="6" t="s">
        <v>14</v>
      </c>
      <c r="C130" s="21">
        <v>3.5</v>
      </c>
      <c r="D130" s="22" t="s">
        <v>230</v>
      </c>
      <c r="E130" s="6"/>
      <c r="F130" s="18"/>
      <c r="G130" s="18"/>
      <c r="H130" s="18"/>
      <c r="I130" s="18"/>
      <c r="J130" s="9" t="s">
        <v>16</v>
      </c>
      <c r="K130" s="18" t="str">
        <f>IMAGE("https://cdn.store.link/products/ayiraminimart50505/w870nx-rita%20passion%20240%20ml.jpeg?versionId=Ga56Di_h4Rk6zASI5xeQ_wFUAHM3nCcG")</f>
        <v/>
      </c>
      <c r="L130" s="18"/>
      <c r="M130" s="10"/>
      <c r="N130" s="10"/>
    </row>
    <row r="131">
      <c r="A131" s="19" t="s">
        <v>231</v>
      </c>
      <c r="B131" s="6" t="s">
        <v>14</v>
      </c>
      <c r="C131" s="21">
        <v>3.5</v>
      </c>
      <c r="D131" s="22" t="s">
        <v>232</v>
      </c>
      <c r="E131" s="6"/>
      <c r="F131" s="18"/>
      <c r="G131" s="18"/>
      <c r="H131" s="18"/>
      <c r="I131" s="18"/>
      <c r="J131" s="9" t="s">
        <v>16</v>
      </c>
      <c r="K131" s="18" t="str">
        <f>IMAGE("https://cdn.store.link/products/ayiraminimart50505/qawxx--rita%20mojito%20240%20ml.jpeg?versionId=VfIL5HwRbc4pW7bZo5K1Jv0DMOM1HTM5")</f>
        <v/>
      </c>
      <c r="L131" s="18"/>
      <c r="M131" s="10"/>
      <c r="N131" s="10"/>
    </row>
    <row r="132">
      <c r="A132" s="19" t="s">
        <v>233</v>
      </c>
      <c r="B132" s="6" t="s">
        <v>14</v>
      </c>
      <c r="C132" s="21">
        <v>3.5</v>
      </c>
      <c r="D132" s="22" t="s">
        <v>234</v>
      </c>
      <c r="E132" s="6"/>
      <c r="F132" s="18"/>
      <c r="G132" s="18"/>
      <c r="H132" s="18"/>
      <c r="I132" s="18"/>
      <c r="J132" s="9" t="s">
        <v>16</v>
      </c>
      <c r="K132" s="18" t="str">
        <f>IMAGE("https://cdn.store.link/products/ayiraminimart50505/naydss-rita%2520red%2520zero%25%2520sugar%2520240%2520ml.jpeg?versionId=cOYxBGf7J.Gz4wLRbt_kdH4VMN.aQwV8")</f>
        <v/>
      </c>
      <c r="L132" s="18"/>
      <c r="M132" s="10"/>
      <c r="N132" s="10"/>
    </row>
    <row r="133">
      <c r="A133" s="19" t="s">
        <v>235</v>
      </c>
      <c r="B133" s="6" t="s">
        <v>14</v>
      </c>
      <c r="C133" s="21">
        <v>3.5</v>
      </c>
      <c r="D133" s="22" t="s">
        <v>236</v>
      </c>
      <c r="E133" s="6"/>
      <c r="F133" s="18"/>
      <c r="G133" s="18"/>
      <c r="H133" s="18"/>
      <c r="I133" s="18"/>
      <c r="J133" s="9" t="s">
        <v>16</v>
      </c>
      <c r="K133" s="18" t="str">
        <f>IMAGE("https://cdn.store.link/products/ayiraminimart50505/6vwow3-rita%20blue%20240%20ml.jpeg?versionId=UmecOR.4tYzb63HoTahKJepzVgzsb89m")</f>
        <v/>
      </c>
      <c r="L133" s="18"/>
      <c r="M133" s="10"/>
      <c r="N133" s="10"/>
    </row>
    <row r="134">
      <c r="A134" s="19" t="s">
        <v>237</v>
      </c>
      <c r="B134" s="6" t="s">
        <v>14</v>
      </c>
      <c r="C134" s="21">
        <v>3.5</v>
      </c>
      <c r="D134" s="22" t="s">
        <v>238</v>
      </c>
      <c r="E134" s="6"/>
      <c r="F134" s="18"/>
      <c r="G134" s="18"/>
      <c r="H134" s="18"/>
      <c r="I134" s="18"/>
      <c r="J134" s="9" t="s">
        <v>16</v>
      </c>
      <c r="K134" s="18" t="str">
        <f>IMAGE("https://cdn.store.link/products/ayiraminimart50505/op31a6-rita%20red%20240%20ml.jpeg?versionId=7Of42lzFBl_D1yUoj0bZ0Lc38kVxbwa8")</f>
        <v/>
      </c>
      <c r="L134" s="18"/>
      <c r="M134" s="10"/>
      <c r="N134" s="10"/>
    </row>
    <row r="135">
      <c r="A135" s="19" t="s">
        <v>239</v>
      </c>
      <c r="B135" s="6" t="s">
        <v>14</v>
      </c>
      <c r="C135" s="21">
        <v>3.5</v>
      </c>
      <c r="D135" s="22" t="s">
        <v>240</v>
      </c>
      <c r="E135" s="6"/>
      <c r="F135" s="18"/>
      <c r="G135" s="18"/>
      <c r="H135" s="18"/>
      <c r="I135" s="18"/>
      <c r="J135" s="9" t="s">
        <v>16</v>
      </c>
      <c r="K135" s="18" t="str">
        <f>IMAGE("https://cdn.store.link/products/ayiraminimart50505/r0yl3x-rita%20berry%20240%20ml.jpeg?versionId=h56E2gbR9JNxowU1cxfm8QFBwmxux7YO")</f>
        <v/>
      </c>
      <c r="L135" s="18"/>
      <c r="M135" s="10"/>
      <c r="N135" s="10"/>
    </row>
    <row r="136">
      <c r="A136" s="19" t="s">
        <v>241</v>
      </c>
      <c r="B136" s="6" t="s">
        <v>14</v>
      </c>
      <c r="C136" s="21">
        <v>3.5</v>
      </c>
      <c r="D136" s="22" t="s">
        <v>242</v>
      </c>
      <c r="E136" s="6"/>
      <c r="F136" s="18"/>
      <c r="G136" s="18"/>
      <c r="H136" s="18"/>
      <c r="I136" s="18"/>
      <c r="J136" s="9" t="s">
        <v>16</v>
      </c>
      <c r="K136" s="18" t="str">
        <f>IMAGE("https://cdn.store.link/products/ayiraminimart50505/yisyru-rita%20pink%20240%20ml.jpeg?versionId=y.XuhKaFv5hD1BMymHNENTuz2_n3Y9JH")</f>
        <v/>
      </c>
      <c r="L136" s="18"/>
      <c r="M136" s="10"/>
      <c r="N136" s="10"/>
    </row>
    <row r="137">
      <c r="A137" s="19" t="s">
        <v>243</v>
      </c>
      <c r="B137" s="6" t="s">
        <v>14</v>
      </c>
      <c r="C137" s="21">
        <v>3.5</v>
      </c>
      <c r="D137" s="22" t="s">
        <v>244</v>
      </c>
      <c r="E137" s="6"/>
      <c r="F137" s="18"/>
      <c r="G137" s="18"/>
      <c r="H137" s="18"/>
      <c r="I137" s="18"/>
      <c r="J137" s="9" t="s">
        <v>16</v>
      </c>
      <c r="K137" s="18" t="str">
        <f>IMAGE("https://cdn.store.link/products/ayiraminimart50505/270sju-rita%20mixed%20berries%20sparkling%20drink%20240%20ml.jpeg?versionId=oomCTvMeDSE1IPxFVIjHFmIf1kDXEUGx")</f>
        <v/>
      </c>
      <c r="L137" s="18"/>
      <c r="M137" s="10"/>
      <c r="N137" s="10"/>
    </row>
    <row r="138">
      <c r="A138" s="19" t="s">
        <v>245</v>
      </c>
      <c r="B138" s="11" t="s">
        <v>28</v>
      </c>
      <c r="C138" s="21">
        <v>5.0</v>
      </c>
      <c r="D138" s="22" t="s">
        <v>246</v>
      </c>
      <c r="E138" s="6"/>
      <c r="F138" s="18"/>
      <c r="G138" s="18"/>
      <c r="H138" s="18"/>
      <c r="I138" s="18"/>
      <c r="J138" s="9" t="s">
        <v>16</v>
      </c>
      <c r="K138" s="18" t="str">
        <f>IMAGE("https://cdn.store.link/products/ayiraminimart50505/s4b3sw-power%20boss%20energy%20drink%20250%20ml.jpeg?versionId=yB4hPpR2aqrLUa_27WG53sjTqaHRYpL6")</f>
        <v/>
      </c>
      <c r="L138" s="18"/>
      <c r="M138" s="10"/>
      <c r="N138" s="10"/>
    </row>
    <row r="139">
      <c r="A139" s="19" t="s">
        <v>247</v>
      </c>
      <c r="B139" s="11" t="s">
        <v>28</v>
      </c>
      <c r="C139" s="21">
        <v>5.0</v>
      </c>
      <c r="D139" s="22" t="s">
        <v>248</v>
      </c>
      <c r="E139" s="6"/>
      <c r="F139" s="18"/>
      <c r="G139" s="18"/>
      <c r="H139" s="18"/>
      <c r="I139" s="18"/>
      <c r="J139" s="9" t="s">
        <v>16</v>
      </c>
      <c r="K139" s="18" t="str">
        <f>IMAGE("https://cdn.store.link/products/ayiraminimart50505/8macvh-power%20red%20energy%20drink%20250%20ml.jpeg?versionId=wOZBLkCUSytNYxeToFYwoVvANC.YPSad")</f>
        <v/>
      </c>
      <c r="L139" s="18"/>
      <c r="M139" s="10"/>
      <c r="N139" s="10"/>
    </row>
    <row r="140">
      <c r="A140" s="19" t="s">
        <v>249</v>
      </c>
      <c r="B140" s="11" t="s">
        <v>250</v>
      </c>
      <c r="C140" s="21">
        <v>6.0</v>
      </c>
      <c r="D140" s="22" t="s">
        <v>251</v>
      </c>
      <c r="E140" s="6"/>
      <c r="F140" s="18"/>
      <c r="G140" s="18"/>
      <c r="H140" s="18"/>
      <c r="I140" s="18"/>
      <c r="J140" s="9" t="s">
        <v>16</v>
      </c>
      <c r="K140" s="18" t="str">
        <f>IMAGE("https://cdn.store.link/products/ayiraminimart50505/-s-elc-boom%20boom%20energy%20drink%20serve%20chilled%20250%20ml.jpeg?versionId=b20iBdYSOxC0RyhAqMHKDYmAnac8BiKS")</f>
        <v/>
      </c>
      <c r="L140" s="18"/>
      <c r="M140" s="10"/>
      <c r="N140" s="10"/>
    </row>
    <row r="141">
      <c r="A141" s="19" t="s">
        <v>252</v>
      </c>
      <c r="B141" s="11" t="s">
        <v>250</v>
      </c>
      <c r="C141" s="21">
        <v>7.5</v>
      </c>
      <c r="D141" s="22" t="s">
        <v>253</v>
      </c>
      <c r="E141" s="6"/>
      <c r="F141" s="18"/>
      <c r="G141" s="18"/>
      <c r="H141" s="18"/>
      <c r="I141" s="18"/>
      <c r="J141" s="9" t="s">
        <v>16</v>
      </c>
      <c r="K141" s="18" t="str">
        <f>IMAGE("https://cdn.store.link/products/ayiraminimart50505/p3fplb-code%20red%20250%20ml.jpeg?versionId=AZs4JzhEivM3KFqjC.OXrYvnofVQGksZ")</f>
        <v/>
      </c>
      <c r="L141" s="18"/>
      <c r="M141" s="10"/>
      <c r="N141" s="10"/>
    </row>
    <row r="142">
      <c r="A142" s="19" t="s">
        <v>254</v>
      </c>
      <c r="B142" s="11" t="s">
        <v>250</v>
      </c>
      <c r="C142" s="21">
        <v>3.0</v>
      </c>
      <c r="D142" s="22" t="s">
        <v>255</v>
      </c>
      <c r="E142" s="6"/>
      <c r="F142" s="18"/>
      <c r="G142" s="18"/>
      <c r="H142" s="18"/>
      <c r="I142" s="18"/>
      <c r="J142" s="9" t="s">
        <v>16</v>
      </c>
      <c r="K142" s="18" t="str">
        <f>IMAGE("https://cdn.store.link/products/ayiraminimart50505/qri5tq-high%20speed%20drink%20250%20ml.png?versionId=wzwssc7OrcZy1TbkXbwVu5pTU62Zzq9G")</f>
        <v/>
      </c>
      <c r="L142" s="18"/>
      <c r="M142" s="10"/>
      <c r="N142" s="10"/>
    </row>
    <row r="143">
      <c r="A143" s="19" t="s">
        <v>256</v>
      </c>
      <c r="B143" s="6" t="s">
        <v>14</v>
      </c>
      <c r="C143" s="21">
        <v>4.0</v>
      </c>
      <c r="D143" s="22" t="s">
        <v>257</v>
      </c>
      <c r="E143" s="6"/>
      <c r="F143" s="18"/>
      <c r="G143" s="18"/>
      <c r="H143" s="18"/>
      <c r="I143" s="18"/>
      <c r="J143" s="9" t="s">
        <v>16</v>
      </c>
      <c r="K143" s="18" t="str">
        <f>IMAGE("https://cdn.store.link/products/ayiraminimart50505/aqxdxh-rita%20red%20sparkling%20drink%20275ml.png?versionId=NsKbWwgGiP0JAvMb1cAHF_fzAzz7sQtP")</f>
        <v/>
      </c>
      <c r="L143" s="18"/>
      <c r="M143" s="10"/>
      <c r="N143" s="10"/>
    </row>
    <row r="144">
      <c r="A144" s="5" t="s">
        <v>258</v>
      </c>
      <c r="B144" s="6" t="s">
        <v>14</v>
      </c>
      <c r="C144" s="21">
        <v>4.0</v>
      </c>
      <c r="D144" s="22" t="s">
        <v>259</v>
      </c>
      <c r="E144" s="6"/>
      <c r="F144" s="18"/>
      <c r="G144" s="18"/>
      <c r="H144" s="18"/>
      <c r="I144" s="18"/>
      <c r="J144" s="9" t="s">
        <v>16</v>
      </c>
      <c r="K144" s="18" t="str">
        <f>IMAGE("https://cdn.store.link/products/ayiraminimart50505/002jy5-rita%20lemon%20?versionId=EEY8jy.KsB7GwMKznKRaSLY_HZQ_OwpM")</f>
        <v/>
      </c>
      <c r="L144" s="18"/>
      <c r="M144" s="10"/>
      <c r="N144" s="10"/>
    </row>
    <row r="145">
      <c r="A145" s="19" t="s">
        <v>260</v>
      </c>
      <c r="B145" s="6" t="s">
        <v>14</v>
      </c>
      <c r="C145" s="21">
        <v>4.0</v>
      </c>
      <c r="D145" s="22" t="s">
        <v>261</v>
      </c>
      <c r="E145" s="6"/>
      <c r="F145" s="18"/>
      <c r="G145" s="18"/>
      <c r="H145" s="18"/>
      <c r="I145" s="18"/>
      <c r="J145" s="9" t="s">
        <v>16</v>
      </c>
      <c r="K145" s="18" t="str">
        <f>IMAGE("https://cdn.store.link/products/ayiraminimart50505/h-ukck-rita%20blue%20sparkling%20drink%20275%20ml.png?versionId=SxEB9TB8_vC549hEkcURP5_6B6z8ObFP")</f>
        <v/>
      </c>
      <c r="L145" s="18"/>
      <c r="M145" s="10"/>
      <c r="N145" s="10"/>
    </row>
    <row r="146">
      <c r="A146" s="5" t="s">
        <v>262</v>
      </c>
      <c r="B146" s="11" t="s">
        <v>250</v>
      </c>
      <c r="C146" s="24">
        <v>7.0</v>
      </c>
      <c r="D146" s="22" t="s">
        <v>263</v>
      </c>
      <c r="E146" s="6"/>
      <c r="F146" s="18"/>
      <c r="G146" s="18"/>
      <c r="H146" s="18"/>
      <c r="I146" s="18"/>
      <c r="J146" s="9" t="s">
        <v>16</v>
      </c>
      <c r="K146" s="18" t="str">
        <f>IMAGE("https://cdn.store.link/products/ayiraminimart50505/gck06w-monster%20energy%20250%20ml.png?versionId=UekHklqCK95fO6qH8zyADPQqE7Q6KDI1")</f>
        <v/>
      </c>
      <c r="L146" s="18"/>
      <c r="M146" s="10"/>
      <c r="N146" s="10"/>
    </row>
    <row r="147">
      <c r="A147" s="5" t="s">
        <v>264</v>
      </c>
      <c r="B147" s="11" t="s">
        <v>250</v>
      </c>
      <c r="C147" s="25">
        <v>10.0</v>
      </c>
      <c r="D147" s="22" t="s">
        <v>29</v>
      </c>
      <c r="E147" s="6"/>
      <c r="F147" s="18"/>
      <c r="G147" s="18"/>
      <c r="H147" s="18"/>
      <c r="I147" s="18"/>
      <c r="J147" s="9" t="s">
        <v>40</v>
      </c>
      <c r="K147" s="18" t="str">
        <f>IMAGE("https://cdn.store.link/products/ayiraminimart50505/j2pjta-red%20bull%20the%20apricot%20edition%20%28apricot%20?versionId=JZGADAkW9q02BMdz4TYEK2N3br2V9Zmz")</f>
        <v/>
      </c>
      <c r="L147" s="18"/>
      <c r="M147" s="10"/>
      <c r="N147" s="10"/>
    </row>
    <row r="148">
      <c r="A148" s="19" t="s">
        <v>265</v>
      </c>
      <c r="B148" s="11" t="s">
        <v>250</v>
      </c>
      <c r="C148" s="24">
        <v>7.0</v>
      </c>
      <c r="D148" s="22" t="s">
        <v>266</v>
      </c>
      <c r="E148" s="6"/>
      <c r="F148" s="18"/>
      <c r="G148" s="18"/>
      <c r="H148" s="18"/>
      <c r="I148" s="18"/>
      <c r="J148" s="9" t="s">
        <v>16</v>
      </c>
      <c r="K148" s="18" t="str">
        <f>IMAGE("https://cdn.store.link/products/ayiraminimart50505/g0nrl2-shaheem%20energy%20drink%20250ml.png?versionId=YAuZjVqgU_22xdNw8tpRj0opHK0jgKQa")</f>
        <v/>
      </c>
      <c r="L148" s="18"/>
      <c r="M148" s="10"/>
      <c r="N148" s="10"/>
    </row>
    <row r="149">
      <c r="A149" s="19" t="s">
        <v>267</v>
      </c>
      <c r="B149" s="11" t="s">
        <v>60</v>
      </c>
      <c r="C149" s="21">
        <v>2.5</v>
      </c>
      <c r="D149" s="22" t="s">
        <v>268</v>
      </c>
      <c r="E149" s="6"/>
      <c r="F149" s="18"/>
      <c r="G149" s="18"/>
      <c r="H149" s="18"/>
      <c r="I149" s="18"/>
      <c r="J149" s="9" t="s">
        <v>16</v>
      </c>
      <c r="K149" s="18" t="str">
        <f>IMAGE("https://cdn.store.link/products/ayiraminimart50505/maxhjg-pran%20mango%20fruit%20drink%20250%20ml.png?versionId=Cx9X3Yw3NfJKrjWnPbKFSCPvQCGNo__z")</f>
        <v/>
      </c>
      <c r="L149" s="18"/>
      <c r="M149" s="10"/>
      <c r="N149" s="10"/>
    </row>
    <row r="150">
      <c r="A150" s="19" t="s">
        <v>269</v>
      </c>
      <c r="B150" s="11" t="s">
        <v>60</v>
      </c>
      <c r="C150" s="21">
        <v>2.0</v>
      </c>
      <c r="D150" s="22" t="s">
        <v>270</v>
      </c>
      <c r="E150" s="6"/>
      <c r="F150" s="18"/>
      <c r="G150" s="18"/>
      <c r="H150" s="18"/>
      <c r="I150" s="18"/>
      <c r="J150" s="9" t="s">
        <v>16</v>
      </c>
      <c r="K150" s="18" t="str">
        <f>IMAGE("https://cdn.store.link/products/ayiraminimart50505/nden0f-rani%20float%20orange%20%E2%80%93%20240ml.png?versionId=K5f7vblTy1QgfOQ.Gr03oha5CXwKudy3")</f>
        <v/>
      </c>
      <c r="L150" s="18"/>
      <c r="M150" s="10"/>
      <c r="N150" s="10"/>
    </row>
    <row r="151">
      <c r="A151" s="19" t="s">
        <v>271</v>
      </c>
      <c r="B151" s="11" t="s">
        <v>60</v>
      </c>
      <c r="C151" s="21">
        <v>2.0</v>
      </c>
      <c r="D151" s="22" t="s">
        <v>272</v>
      </c>
      <c r="E151" s="6"/>
      <c r="F151" s="18"/>
      <c r="G151" s="18"/>
      <c r="H151" s="18"/>
      <c r="I151" s="18"/>
      <c r="J151" s="9" t="s">
        <v>16</v>
      </c>
      <c r="K151" s="18" t="str">
        <f>IMAGE("https://cdn.store.link/products/ayiraminimart50505/cuo70y-rani%20float%20peach.png?versionId=.uo7mBlyDS_sYprVsdnZezOcfYGtAI2Q")</f>
        <v/>
      </c>
      <c r="L151" s="18"/>
      <c r="M151" s="10"/>
      <c r="N151" s="10"/>
    </row>
    <row r="152">
      <c r="A152" s="19" t="s">
        <v>273</v>
      </c>
      <c r="B152" s="11" t="s">
        <v>60</v>
      </c>
      <c r="C152" s="21">
        <v>2.0</v>
      </c>
      <c r="D152" s="22" t="s">
        <v>274</v>
      </c>
      <c r="E152" s="6"/>
      <c r="F152" s="18"/>
      <c r="G152" s="18"/>
      <c r="H152" s="18"/>
      <c r="I152" s="18"/>
      <c r="J152" s="9" t="s">
        <v>16</v>
      </c>
      <c r="K152" s="18" t="str">
        <f>IMAGE("https://cdn.store.link/products/ayiraminimart50505/4z1ci4-rani%20float%20pineapple%20%E2%80%93%20240ml.png?versionId=btO.dAwIkQyng2LH8g9oMRTvm33WEtaA")</f>
        <v/>
      </c>
      <c r="L152" s="18"/>
      <c r="M152" s="10"/>
      <c r="N152" s="10"/>
    </row>
    <row r="153">
      <c r="A153" s="19" t="s">
        <v>275</v>
      </c>
      <c r="B153" s="11" t="s">
        <v>60</v>
      </c>
      <c r="C153" s="21">
        <v>2.0</v>
      </c>
      <c r="D153" s="22" t="s">
        <v>276</v>
      </c>
      <c r="E153" s="6"/>
      <c r="F153" s="18"/>
      <c r="G153" s="18"/>
      <c r="H153" s="18"/>
      <c r="I153" s="18"/>
      <c r="J153" s="9" t="s">
        <v>16</v>
      </c>
      <c r="K153" s="18" t="str">
        <f>IMAGE("https://cdn.store.link/products/ayiraminimart50505/1dot43-saba%20strawberry%20?versionId=fxfkdD6VScw0Z977B9kxojdc1NVYO2MW")</f>
        <v/>
      </c>
      <c r="L153" s="18"/>
      <c r="M153" s="10"/>
      <c r="N153" s="10"/>
    </row>
    <row r="154">
      <c r="A154" s="5" t="s">
        <v>277</v>
      </c>
      <c r="B154" s="11" t="s">
        <v>60</v>
      </c>
      <c r="C154" s="21">
        <v>2.0</v>
      </c>
      <c r="D154" s="22" t="s">
        <v>278</v>
      </c>
      <c r="E154" s="6"/>
      <c r="F154" s="18"/>
      <c r="G154" s="18"/>
      <c r="H154" s="18"/>
      <c r="I154" s="18"/>
      <c r="J154" s="9" t="s">
        <v>16</v>
      </c>
      <c r="K154" s="18" t="str">
        <f>IMAGE("https://cdn.store.link/products/ayiraminimart50505/imc0fo-almarai%20mango%20200%20ml.png?versionId=2oGymZU3EibFebVUiaQKeb3.BJX3myqo")</f>
        <v/>
      </c>
      <c r="L154" s="18"/>
      <c r="M154" s="10"/>
      <c r="N154" s="10"/>
    </row>
    <row r="155">
      <c r="A155" s="5" t="s">
        <v>279</v>
      </c>
      <c r="B155" s="11" t="s">
        <v>60</v>
      </c>
      <c r="C155" s="21">
        <v>2.0</v>
      </c>
      <c r="D155" s="22" t="s">
        <v>278</v>
      </c>
      <c r="E155" s="6"/>
      <c r="F155" s="18"/>
      <c r="G155" s="18"/>
      <c r="H155" s="18"/>
      <c r="I155" s="18"/>
      <c r="J155" s="9" t="s">
        <v>16</v>
      </c>
      <c r="K155" s="18" t="str">
        <f>IMAGE("https://cdn.store.link/products/ayiraminimart50505/1e4ns9-almarai%20mixed%20orange%20200%20ml.png?versionId=20nHhhXD7Nu6dbDV0Ejpwq1jxBE88_vH")</f>
        <v/>
      </c>
      <c r="L155" s="18"/>
      <c r="M155" s="10"/>
      <c r="N155" s="10"/>
    </row>
    <row r="156">
      <c r="A156" s="5" t="s">
        <v>280</v>
      </c>
      <c r="B156" s="11" t="s">
        <v>60</v>
      </c>
      <c r="C156" s="21">
        <v>2.0</v>
      </c>
      <c r="D156" s="22" t="s">
        <v>278</v>
      </c>
      <c r="E156" s="6"/>
      <c r="F156" s="18"/>
      <c r="G156" s="18"/>
      <c r="H156" s="18"/>
      <c r="I156" s="18"/>
      <c r="J156" s="9" t="s">
        <v>16</v>
      </c>
      <c r="K156" s="18" t="str">
        <f>IMAGE("https://cdn.store.link/products/ayiraminimart50505/o2l4jm-almarai%20lemon%20?versionId=vpC63YkzbJpsjw2aiwdVw5xiEDOxNU8M")</f>
        <v/>
      </c>
      <c r="L156" s="18"/>
      <c r="M156" s="10"/>
      <c r="N156" s="10"/>
    </row>
    <row r="157">
      <c r="A157" s="19" t="s">
        <v>281</v>
      </c>
      <c r="B157" s="11" t="s">
        <v>60</v>
      </c>
      <c r="C157" s="21">
        <v>2.0</v>
      </c>
      <c r="D157" s="22" t="s">
        <v>278</v>
      </c>
      <c r="E157" s="6"/>
      <c r="F157" s="18"/>
      <c r="G157" s="18"/>
      <c r="H157" s="18"/>
      <c r="I157" s="18"/>
      <c r="J157" s="9" t="s">
        <v>16</v>
      </c>
      <c r="K157" s="18" t="str">
        <f>IMAGE("https://cdn.store.link/products/ayiraminimart50505/xdzqlr-almarai%20mixed%20berry%20200%20ml.png?versionId=NKhE2Ls1ecQfyufQRZ2PIZXz5y4qx.WE")</f>
        <v/>
      </c>
      <c r="L157" s="18"/>
      <c r="M157" s="10"/>
      <c r="N157" s="10"/>
    </row>
    <row r="158">
      <c r="A158" s="5" t="s">
        <v>282</v>
      </c>
      <c r="B158" s="11" t="s">
        <v>60</v>
      </c>
      <c r="C158" s="21">
        <v>2.0</v>
      </c>
      <c r="D158" s="22" t="s">
        <v>278</v>
      </c>
      <c r="E158" s="6"/>
      <c r="F158" s="18"/>
      <c r="G158" s="18"/>
      <c r="H158" s="18"/>
      <c r="I158" s="18"/>
      <c r="J158" s="9" t="s">
        <v>16</v>
      </c>
      <c r="K158" s="18" t="str">
        <f>IMAGE("https://cdn.store.link/products/ayiraminimart50505/5tlu5v-almarai%20mixed%20apple%20200%20ml.png?versionId=wND3O9nPTU8boFYkBF4RLmigfzyiB14R")</f>
        <v/>
      </c>
      <c r="L158" s="18"/>
      <c r="M158" s="10"/>
      <c r="N158" s="10"/>
    </row>
    <row r="159">
      <c r="A159" s="19" t="s">
        <v>283</v>
      </c>
      <c r="B159" s="11" t="s">
        <v>60</v>
      </c>
      <c r="C159" s="21">
        <v>2.0</v>
      </c>
      <c r="D159" s="22" t="s">
        <v>278</v>
      </c>
      <c r="E159" s="6"/>
      <c r="F159" s="18"/>
      <c r="G159" s="18"/>
      <c r="H159" s="18"/>
      <c r="I159" s="18"/>
      <c r="J159" s="9" t="s">
        <v>16</v>
      </c>
      <c r="K159" s="18" t="str">
        <f>IMAGE("https://cdn.store.link/products/ayiraminimart50505/00b7ew-almarai%20mixed%20fruit%20200%20ml.png?versionId=1CpL.ltSBAN3A4f9dsWjMwFBuMb8PdKi")</f>
        <v/>
      </c>
      <c r="L159" s="18"/>
      <c r="M159" s="10"/>
      <c r="N159" s="10"/>
    </row>
    <row r="160">
      <c r="A160" s="19" t="s">
        <v>284</v>
      </c>
      <c r="B160" s="11" t="s">
        <v>250</v>
      </c>
      <c r="C160" s="21">
        <v>3.5</v>
      </c>
      <c r="D160" s="22" t="s">
        <v>285</v>
      </c>
      <c r="E160" s="6"/>
      <c r="F160" s="18"/>
      <c r="G160" s="18"/>
      <c r="H160" s="18"/>
      <c r="I160" s="18"/>
      <c r="J160" s="9" t="s">
        <v>16</v>
      </c>
      <c r="K160" s="18" t="str">
        <f>IMAGE("https://cdn.store.link/products/ayiraminimart50505/na1jpy-ion%20supply%20drink%20pocari%20sweat%20300%20ml.png?versionId=z_bAdxwzkGmYIlBRrB3EJgJBF6uK.3Yo")</f>
        <v/>
      </c>
      <c r="L160" s="18"/>
      <c r="M160" s="10"/>
      <c r="N160" s="10"/>
    </row>
    <row r="161">
      <c r="A161" s="19" t="s">
        <v>286</v>
      </c>
      <c r="B161" s="6" t="s">
        <v>14</v>
      </c>
      <c r="C161" s="21">
        <v>2.5</v>
      </c>
      <c r="D161" s="22" t="s">
        <v>287</v>
      </c>
      <c r="E161" s="6"/>
      <c r="F161" s="18"/>
      <c r="G161" s="18"/>
      <c r="H161" s="18"/>
      <c r="I161" s="18"/>
      <c r="J161" s="9" t="s">
        <v>16</v>
      </c>
      <c r="K161" s="18" t="str">
        <f>IMAGE("https://cdn.store.link/products/ayiraminimart50505/cgnsk6-naba%20coconut%20water%20with%20pulp%20330%20ml.png?versionId=PpA84Ceqe9bs2lxsJIwUUJ5FHTgwY1lW")</f>
        <v/>
      </c>
      <c r="L161" s="18"/>
      <c r="M161" s="10"/>
      <c r="N161" s="10"/>
    </row>
    <row r="162">
      <c r="A162" s="19" t="s">
        <v>288</v>
      </c>
      <c r="B162" s="6" t="s">
        <v>14</v>
      </c>
      <c r="C162" s="21">
        <v>5.0</v>
      </c>
      <c r="D162" s="22" t="s">
        <v>289</v>
      </c>
      <c r="E162" s="6"/>
      <c r="F162" s="18"/>
      <c r="G162" s="18"/>
      <c r="H162" s="18"/>
      <c r="I162" s="18"/>
      <c r="J162" s="9" t="s">
        <v>16</v>
      </c>
      <c r="K162" s="18" t="str">
        <f>IMAGE("https://cdn.store.link/products/ayiraminimart50505/zq8l4--non-alcoholic%20malt%20beverage%20effs%20original%20330%20ml.png?versionId=tv1iuqGTVfrQP.J4.nfF8hbjCT7v7IC0")</f>
        <v/>
      </c>
      <c r="L162" s="18"/>
      <c r="M162" s="10"/>
      <c r="N162" s="10"/>
    </row>
    <row r="163">
      <c r="A163" s="19" t="s">
        <v>290</v>
      </c>
      <c r="B163" s="6" t="s">
        <v>14</v>
      </c>
      <c r="C163" s="21">
        <v>3.0</v>
      </c>
      <c r="D163" s="22" t="s">
        <v>291</v>
      </c>
      <c r="E163" s="6"/>
      <c r="F163" s="18"/>
      <c r="G163" s="18"/>
      <c r="H163" s="18"/>
      <c r="I163" s="18"/>
      <c r="J163" s="9" t="s">
        <v>16</v>
      </c>
      <c r="K163" s="18" t="str">
        <f>IMAGE("https://cdn.store.link/products/ayiraminimart50505/1h5zno-sprite%20lemon%20lime%20flavoured%20350%20ml.png?versionId=GIZbsipH83kegr6kKFrY22PewMogjG9S")</f>
        <v/>
      </c>
      <c r="L163" s="18"/>
      <c r="M163" s="10"/>
      <c r="N163" s="10"/>
    </row>
    <row r="164">
      <c r="A164" s="19" t="s">
        <v>292</v>
      </c>
      <c r="B164" s="6" t="s">
        <v>14</v>
      </c>
      <c r="C164" s="21">
        <v>3.0</v>
      </c>
      <c r="D164" s="22" t="s">
        <v>34</v>
      </c>
      <c r="E164" s="6"/>
      <c r="F164" s="18"/>
      <c r="G164" s="18"/>
      <c r="H164" s="18"/>
      <c r="I164" s="18"/>
      <c r="J164" s="9" t="s">
        <v>16</v>
      </c>
      <c r="K164" s="18" t="str">
        <f>IMAGE("https://cdn.store.link/products/ayiraminimart50505/jftxxt-coca-cola%20original%20taste%20350%20ml.png?versionId=cZTTTwZGkwCXXgjSPbvpdBk7OBAHgrqg")</f>
        <v/>
      </c>
      <c r="L164" s="18"/>
      <c r="M164" s="10"/>
      <c r="N164" s="10"/>
    </row>
    <row r="165">
      <c r="A165" s="5" t="s">
        <v>293</v>
      </c>
      <c r="B165" s="6" t="s">
        <v>14</v>
      </c>
      <c r="C165" s="21">
        <v>3.0</v>
      </c>
      <c r="D165" s="22" t="s">
        <v>34</v>
      </c>
      <c r="E165" s="6"/>
      <c r="F165" s="18"/>
      <c r="G165" s="18"/>
      <c r="H165" s="18"/>
      <c r="I165" s="18"/>
      <c r="J165" s="9" t="s">
        <v>16</v>
      </c>
      <c r="K165" s="18" t="str">
        <f>IMAGE("https://cdn.store.link/products/ayiraminimart50505/jeho6e-coca-cola%20zero%20sugar%20350%20ml.png?versionId=v3Wr49v.qeR8xMazuiSMRASfZB_glKiZ")</f>
        <v/>
      </c>
      <c r="L165" s="18"/>
      <c r="M165" s="10"/>
      <c r="N165" s="10"/>
    </row>
    <row r="166">
      <c r="A166" s="19" t="s">
        <v>294</v>
      </c>
      <c r="B166" s="6" t="s">
        <v>14</v>
      </c>
      <c r="C166" s="21">
        <v>3.0</v>
      </c>
      <c r="D166" s="22" t="s">
        <v>295</v>
      </c>
      <c r="E166" s="6"/>
      <c r="F166" s="18"/>
      <c r="G166" s="18"/>
      <c r="H166" s="18"/>
      <c r="I166" s="18"/>
      <c r="J166" s="9" t="s">
        <v>16</v>
      </c>
      <c r="K166" s="18" t="str">
        <f>IMAGE("https://cdn.store.link/products/ayiraminimart50505/cm0ad0-sprite%20lemon%20?versionId=S8PF6NXi3s4ZazN5O_dxqCJeVHwicn5N")</f>
        <v/>
      </c>
      <c r="L166" s="18"/>
      <c r="M166" s="10"/>
      <c r="N166" s="10"/>
    </row>
    <row r="167">
      <c r="A167" s="19" t="s">
        <v>296</v>
      </c>
      <c r="B167" s="6" t="s">
        <v>14</v>
      </c>
      <c r="C167" s="21">
        <v>2.5</v>
      </c>
      <c r="D167" s="22" t="s">
        <v>297</v>
      </c>
      <c r="E167" s="6"/>
      <c r="F167" s="18"/>
      <c r="G167" s="18"/>
      <c r="H167" s="18"/>
      <c r="I167" s="18"/>
      <c r="J167" s="9" t="s">
        <v>16</v>
      </c>
      <c r="K167" s="18" t="str">
        <f>IMAGE("https://cdn.store.link/products/ayiraminimart50505/-izfj4-fanta%20citrus%20330%20ml.png?versionId=Tu99JJn6l1OsrRsa5mDULdcRwjvUdG6V")</f>
        <v/>
      </c>
      <c r="L167" s="18"/>
      <c r="M167" s="10"/>
      <c r="N167" s="10"/>
    </row>
    <row r="168">
      <c r="A168" s="5" t="s">
        <v>298</v>
      </c>
      <c r="B168" s="6" t="s">
        <v>14</v>
      </c>
      <c r="C168" s="21">
        <v>2.5</v>
      </c>
      <c r="D168" s="22" t="s">
        <v>297</v>
      </c>
      <c r="E168" s="6"/>
      <c r="F168" s="18"/>
      <c r="G168" s="18"/>
      <c r="H168" s="18"/>
      <c r="I168" s="18"/>
      <c r="J168" s="9" t="s">
        <v>16</v>
      </c>
      <c r="K168" s="18" t="str">
        <f>IMAGE("https://cdn.store.link/products/ayiraminimart50505/qgxkbx-fanta%20orange%20330%20ml.png?versionId=e_2Ne5c7cOz8.15iCwbd1Z_x5X0DWh53")</f>
        <v/>
      </c>
      <c r="L168" s="18"/>
      <c r="M168" s="10"/>
      <c r="N168" s="10"/>
    </row>
    <row r="169">
      <c r="A169" s="5" t="s">
        <v>299</v>
      </c>
      <c r="B169" s="6" t="s">
        <v>14</v>
      </c>
      <c r="C169" s="21">
        <v>2.5</v>
      </c>
      <c r="D169" s="22" t="s">
        <v>297</v>
      </c>
      <c r="E169" s="6"/>
      <c r="F169" s="18"/>
      <c r="G169" s="18"/>
      <c r="H169" s="18"/>
      <c r="I169" s="18"/>
      <c r="J169" s="9" t="s">
        <v>16</v>
      </c>
      <c r="K169" s="18" t="str">
        <f>IMAGE("https://cdn.store.link/products/ayiraminimart50505/brm78s-fanta%20strawberry%20330%20ml.png?versionId=UsK3mI1qRukhBMdFAB5LGb1v1BGDUI_u")</f>
        <v/>
      </c>
      <c r="L169" s="18"/>
      <c r="M169" s="10"/>
      <c r="N169" s="10"/>
    </row>
    <row r="170">
      <c r="A170" s="19" t="s">
        <v>300</v>
      </c>
      <c r="B170" s="6" t="s">
        <v>14</v>
      </c>
      <c r="C170" s="21">
        <v>2.5</v>
      </c>
      <c r="D170" s="22" t="s">
        <v>301</v>
      </c>
      <c r="E170" s="6"/>
      <c r="F170" s="18"/>
      <c r="G170" s="18"/>
      <c r="H170" s="18"/>
      <c r="I170" s="18"/>
      <c r="J170" s="9" t="s">
        <v>16</v>
      </c>
      <c r="K170" s="18" t="str">
        <f>IMAGE("https://cdn.store.link/products/ayiraminimart50505/qbs5yl-thums%20up%20330%20ml.png?versionId=PpnmXz38RVVINEywy7PNrXS6x0.YsVai")</f>
        <v/>
      </c>
      <c r="L170" s="18"/>
      <c r="M170" s="10"/>
      <c r="N170" s="10"/>
    </row>
    <row r="171">
      <c r="A171" s="19" t="s">
        <v>302</v>
      </c>
      <c r="B171" s="6" t="s">
        <v>14</v>
      </c>
      <c r="C171" s="21">
        <v>2.5</v>
      </c>
      <c r="D171" s="22" t="s">
        <v>291</v>
      </c>
      <c r="E171" s="6"/>
      <c r="F171" s="18"/>
      <c r="G171" s="18"/>
      <c r="H171" s="18"/>
      <c r="I171" s="18"/>
      <c r="J171" s="9" t="s">
        <v>16</v>
      </c>
      <c r="K171" s="18" t="str">
        <f>IMAGE("https://cdn.store.link/products/ayiraminimart50505/edy3z9-sprite%20zero%20calories%20330%20ml.png?versionId=9kgSYwBsqShpCHD3vKuW.toAZioV3shS")</f>
        <v/>
      </c>
      <c r="L171" s="18"/>
      <c r="M171" s="10"/>
      <c r="N171" s="10"/>
    </row>
    <row r="172">
      <c r="A172" s="5" t="s">
        <v>303</v>
      </c>
      <c r="B172" s="6" t="s">
        <v>14</v>
      </c>
      <c r="C172" s="21">
        <v>2.5</v>
      </c>
      <c r="D172" s="22" t="s">
        <v>34</v>
      </c>
      <c r="E172" s="6"/>
      <c r="F172" s="18"/>
      <c r="G172" s="18"/>
      <c r="H172" s="18"/>
      <c r="I172" s="18"/>
      <c r="J172" s="9" t="s">
        <v>16</v>
      </c>
      <c r="K172" s="18" t="str">
        <f>IMAGE("https://cdn.store.link/products/ayiraminimart50505/zk85fr-coca-cola%20light%20330%20ml.png?versionId=5Px9oJXu8v6ehc4DPbK5RvJwpuJyVz95")</f>
        <v/>
      </c>
      <c r="L172" s="18"/>
      <c r="M172" s="10"/>
      <c r="N172" s="10"/>
    </row>
    <row r="173">
      <c r="A173" s="19" t="s">
        <v>304</v>
      </c>
      <c r="B173" s="6" t="s">
        <v>14</v>
      </c>
      <c r="C173" s="21">
        <v>3.5</v>
      </c>
      <c r="D173" s="22" t="s">
        <v>305</v>
      </c>
      <c r="E173" s="6"/>
      <c r="F173" s="18"/>
      <c r="G173" s="18"/>
      <c r="H173" s="18"/>
      <c r="I173" s="18"/>
      <c r="J173" s="9" t="s">
        <v>16</v>
      </c>
      <c r="K173" s="18" t="str">
        <f>IMAGE("https://cdn.store.link/products/ayiraminimart50505/lar27d-schweppes%20tonic%20water%20250%20ml.png?versionId=zJBLgZ8AVciltWbu_H8Y4YvL440GCSqk")</f>
        <v/>
      </c>
      <c r="L173" s="18"/>
      <c r="M173" s="10"/>
      <c r="N173" s="10"/>
    </row>
    <row r="174">
      <c r="A174" s="19" t="s">
        <v>306</v>
      </c>
      <c r="B174" s="6" t="s">
        <v>14</v>
      </c>
      <c r="C174" s="21">
        <v>3.5</v>
      </c>
      <c r="D174" s="22" t="s">
        <v>307</v>
      </c>
      <c r="E174" s="6"/>
      <c r="F174" s="18"/>
      <c r="G174" s="18"/>
      <c r="H174" s="18"/>
      <c r="I174" s="18"/>
      <c r="J174" s="9" t="s">
        <v>16</v>
      </c>
      <c r="K174" s="18" t="str">
        <f>IMAGE("https://cdn.store.link/products/ayiraminimart50505/2dx08o-schweppes%20ginger%20ale%20250%20ml.png?versionId=jlH7lpPnnk5Yt_.8SbMopm5EKq0zakbT")</f>
        <v/>
      </c>
      <c r="L174" s="18"/>
      <c r="M174" s="10"/>
      <c r="N174" s="10"/>
    </row>
    <row r="175">
      <c r="A175" s="19" t="s">
        <v>308</v>
      </c>
      <c r="B175" s="6" t="s">
        <v>14</v>
      </c>
      <c r="C175" s="21">
        <v>2.5</v>
      </c>
      <c r="D175" s="22" t="s">
        <v>34</v>
      </c>
      <c r="E175" s="6"/>
      <c r="F175" s="18"/>
      <c r="G175" s="18"/>
      <c r="H175" s="18"/>
      <c r="I175" s="18"/>
      <c r="J175" s="9" t="s">
        <v>16</v>
      </c>
      <c r="K175" s="18" t="str">
        <f>IMAGE("https://cdn.store.link/products/ayiraminimart50505/dd4vql-coca-cola%20original%20taste%20330%20ml.png?versionId=wo6R7RPju8zGZvoYdi07AgfOEHXvpab8")</f>
        <v/>
      </c>
      <c r="L175" s="18"/>
      <c r="M175" s="10"/>
      <c r="N175" s="10"/>
    </row>
    <row r="176">
      <c r="A176" s="19" t="s">
        <v>309</v>
      </c>
      <c r="B176" s="6" t="s">
        <v>14</v>
      </c>
      <c r="C176" s="21">
        <v>3.0</v>
      </c>
      <c r="D176" s="22" t="s">
        <v>34</v>
      </c>
      <c r="E176" s="6"/>
      <c r="F176" s="18"/>
      <c r="G176" s="18"/>
      <c r="H176" s="18"/>
      <c r="I176" s="18"/>
      <c r="J176" s="9" t="s">
        <v>16</v>
      </c>
      <c r="K176" s="18" t="str">
        <f>IMAGE("https://cdn.store.link/products/ayiraminimart50505/azd45q-coca-cola%20original%20taste%20250%20ml.png?versionId=_HVWHFUN0PO4FZo2MyB8ureOFqLc2K3K")</f>
        <v/>
      </c>
      <c r="L176" s="18"/>
      <c r="M176" s="10"/>
      <c r="N176" s="10"/>
    </row>
    <row r="177">
      <c r="A177" s="19" t="s">
        <v>310</v>
      </c>
      <c r="B177" s="6" t="s">
        <v>14</v>
      </c>
      <c r="C177" s="21">
        <v>7.5</v>
      </c>
      <c r="D177" s="22" t="s">
        <v>34</v>
      </c>
      <c r="E177" s="6"/>
      <c r="F177" s="18"/>
      <c r="G177" s="18"/>
      <c r="H177" s="18"/>
      <c r="I177" s="18"/>
      <c r="J177" s="9" t="s">
        <v>16</v>
      </c>
      <c r="K177" s="18" t="str">
        <f>IMAGE("https://cdn.store.link/products/ayiraminimart50505/02xkj9-coca-cola%20original%20taste%202.25%20l.png?versionId=x1beI5Ra9H1Wh.Nqt1lyy7yGdFcQvFeu")</f>
        <v/>
      </c>
      <c r="L177" s="18"/>
      <c r="M177" s="10"/>
      <c r="N177" s="10"/>
    </row>
    <row r="178">
      <c r="A178" s="19" t="s">
        <v>311</v>
      </c>
      <c r="B178" s="6" t="s">
        <v>14</v>
      </c>
      <c r="C178" s="21">
        <v>7.5</v>
      </c>
      <c r="D178" s="22" t="s">
        <v>291</v>
      </c>
      <c r="E178" s="6"/>
      <c r="F178" s="18"/>
      <c r="G178" s="18"/>
      <c r="H178" s="18"/>
      <c r="I178" s="18"/>
      <c r="J178" s="9" t="s">
        <v>16</v>
      </c>
      <c r="K178" s="18" t="str">
        <f>IMAGE("https://cdn.store.link/products/ayiraminimart50505/cd2xzl-sprite%20lemon%20lime%20flavoured%202.25%20l.png?versionId=piZL8MEZgposbkfwCQq59GFHBmEYbauD")</f>
        <v/>
      </c>
      <c r="L178" s="18"/>
      <c r="M178" s="10"/>
      <c r="N178" s="10"/>
    </row>
    <row r="179">
      <c r="A179" s="19" t="s">
        <v>312</v>
      </c>
      <c r="B179" s="6" t="s">
        <v>14</v>
      </c>
      <c r="C179" s="21">
        <v>2.5</v>
      </c>
      <c r="D179" s="22" t="s">
        <v>313</v>
      </c>
      <c r="E179" s="6"/>
      <c r="F179" s="18"/>
      <c r="G179" s="18"/>
      <c r="H179" s="18"/>
      <c r="I179" s="18"/>
      <c r="J179" s="9" t="s">
        <v>16</v>
      </c>
      <c r="K179" s="18" t="str">
        <f>IMAGE("https://cdn.store.link/products/ayiraminimart50505/cozwl3-lipton%20peach%20ice%20tea%20320%20ml.png?versionId=Eq7uD.agKYD9R7fDN6x3Z_nALBcdXFFt")</f>
        <v/>
      </c>
      <c r="L179" s="18"/>
      <c r="M179" s="10"/>
      <c r="N179" s="10"/>
    </row>
    <row r="180">
      <c r="A180" s="5" t="s">
        <v>314</v>
      </c>
      <c r="B180" s="6" t="s">
        <v>14</v>
      </c>
      <c r="C180" s="21">
        <v>2.5</v>
      </c>
      <c r="D180" s="22" t="s">
        <v>313</v>
      </c>
      <c r="E180" s="6"/>
      <c r="F180" s="18"/>
      <c r="G180" s="18"/>
      <c r="H180" s="18"/>
      <c r="I180" s="18"/>
      <c r="J180" s="9" t="s">
        <v>16</v>
      </c>
      <c r="K180" s="18" t="str">
        <f>IMAGE("https://cdn.store.link/products/ayiraminimart50505/c0kw5u-lipton%20zero%20sugar%20peach%20ice%20tea%20320%20ml.png?versionId=yUAIXppwBMdErXT3J5XRDR23jUaty6ca")</f>
        <v/>
      </c>
      <c r="L180" s="18"/>
      <c r="M180" s="10"/>
      <c r="N180" s="10"/>
    </row>
    <row r="181">
      <c r="A181" s="5" t="s">
        <v>315</v>
      </c>
      <c r="B181" s="6" t="s">
        <v>14</v>
      </c>
      <c r="C181" s="21">
        <v>2.0</v>
      </c>
      <c r="D181" s="22" t="s">
        <v>24</v>
      </c>
      <c r="E181" s="6"/>
      <c r="F181" s="18"/>
      <c r="G181" s="18"/>
      <c r="H181" s="18"/>
      <c r="I181" s="18"/>
      <c r="J181" s="9" t="s">
        <v>16</v>
      </c>
      <c r="K181" s="18" t="str">
        <f>IMAGE("https://cdn.store.link/products/ayiraminimart50505/0rdhnt-7up%20refreshing%20lemon%20150%20ml.png?versionId=58E2dNpGnxhm3drSgZJvRxVap2hhLc8S")</f>
        <v/>
      </c>
      <c r="L181" s="18"/>
      <c r="M181" s="10"/>
      <c r="N181" s="10"/>
    </row>
    <row r="182">
      <c r="A182" s="19" t="s">
        <v>316</v>
      </c>
      <c r="B182" s="6" t="s">
        <v>14</v>
      </c>
      <c r="C182" s="21">
        <v>2.0</v>
      </c>
      <c r="D182" s="22" t="s">
        <v>18</v>
      </c>
      <c r="E182" s="6"/>
      <c r="F182" s="18"/>
      <c r="G182" s="18"/>
      <c r="H182" s="18"/>
      <c r="I182" s="18"/>
      <c r="J182" s="9" t="s">
        <v>16</v>
      </c>
      <c r="K182" s="18" t="str">
        <f>IMAGE("https://cdn.store.link/products/ayiraminimart50505/r3eup5-pepsi%20great%20taste%20less%20sugar%20150%20ml.png?versionId=h4kn9cuqQlpU8UiRJekju9LdTAyAuS9h")</f>
        <v/>
      </c>
      <c r="L182" s="18"/>
      <c r="M182" s="10"/>
      <c r="N182" s="10"/>
    </row>
    <row r="183">
      <c r="A183" s="5" t="s">
        <v>317</v>
      </c>
      <c r="B183" s="6" t="s">
        <v>14</v>
      </c>
      <c r="C183" s="21">
        <v>2.0</v>
      </c>
      <c r="D183" s="22" t="s">
        <v>26</v>
      </c>
      <c r="E183" s="6"/>
      <c r="F183" s="18"/>
      <c r="G183" s="18"/>
      <c r="H183" s="18"/>
      <c r="I183" s="18"/>
      <c r="J183" s="9" t="s">
        <v>16</v>
      </c>
      <c r="K183" s="18" t="str">
        <f>IMAGE("https://cdn.store.link/products/ayiraminimart50505/vbbe03-mirinda%20orange%20150%20ml.png?versionId=UMf_uzh5tdqR2pG6DyvvL4FdVLvtIhDp")</f>
        <v/>
      </c>
      <c r="L183" s="18"/>
      <c r="M183" s="10"/>
      <c r="N183" s="10"/>
    </row>
    <row r="184">
      <c r="A184" s="5" t="s">
        <v>318</v>
      </c>
      <c r="B184" s="6" t="s">
        <v>14</v>
      </c>
      <c r="C184" s="21">
        <v>2.0</v>
      </c>
      <c r="D184" s="22" t="s">
        <v>15</v>
      </c>
      <c r="E184" s="6"/>
      <c r="F184" s="18"/>
      <c r="G184" s="18"/>
      <c r="H184" s="18"/>
      <c r="I184" s="18"/>
      <c r="J184" s="9" t="s">
        <v>16</v>
      </c>
      <c r="K184" s="18" t="str">
        <f>IMAGE("https://cdn.store.link/products/ayiraminimart50505/qutg3v-mountain%20dew%20150%20ml.png?versionId=VcQaTJnY2ZrCLxAgy.TPd1vWz5iPHaUP")</f>
        <v/>
      </c>
      <c r="L184" s="18"/>
      <c r="M184" s="10"/>
      <c r="N184" s="10"/>
    </row>
    <row r="185">
      <c r="A185" s="26" t="s">
        <v>319</v>
      </c>
      <c r="B185" s="6" t="s">
        <v>14</v>
      </c>
      <c r="C185" s="21">
        <v>2.5</v>
      </c>
      <c r="D185" s="22" t="s">
        <v>320</v>
      </c>
      <c r="E185" s="6"/>
      <c r="F185" s="18"/>
      <c r="G185" s="18"/>
      <c r="H185" s="18"/>
      <c r="I185" s="18"/>
      <c r="J185" s="9" t="s">
        <v>16</v>
      </c>
      <c r="K185" s="18" t="str">
        <f>IMAGE("https://cdn.store.link/products/ayiraminimart50505/7ipcau-spring%20water%20250%20ml.png?versionId=7Qmzwql7HcAhLG5q3.FpdWRjdVqrDaDs")</f>
        <v/>
      </c>
      <c r="L185" s="18" t="str">
        <f>IMAGE("wrong name ")</f>
        <v/>
      </c>
      <c r="M185" s="10"/>
      <c r="N185" s="10"/>
    </row>
    <row r="186">
      <c r="A186" s="19" t="s">
        <v>321</v>
      </c>
      <c r="B186" s="6" t="s">
        <v>14</v>
      </c>
      <c r="C186" s="21">
        <v>2.0</v>
      </c>
      <c r="D186" s="22" t="s">
        <v>322</v>
      </c>
      <c r="E186" s="6"/>
      <c r="F186" s="18"/>
      <c r="G186" s="18"/>
      <c r="H186" s="18"/>
      <c r="I186" s="18"/>
      <c r="J186" s="9" t="s">
        <v>16</v>
      </c>
      <c r="K186" s="18" t="str">
        <f>IMAGE("https://cdn.store.link/products/ayiraminimart50505/qmhmjd-canada%20dry%20club%20soda%20330%20ml.png?versionId=mYQ25wYhEJvZLYwoT8iy6z56GYDW5jZI")</f>
        <v/>
      </c>
      <c r="L186" s="18"/>
      <c r="M186" s="10"/>
      <c r="N186" s="10"/>
    </row>
    <row r="187">
      <c r="A187" s="5" t="s">
        <v>25</v>
      </c>
      <c r="B187" s="6" t="s">
        <v>14</v>
      </c>
      <c r="C187" s="21">
        <v>4.5</v>
      </c>
      <c r="D187" s="22" t="s">
        <v>26</v>
      </c>
      <c r="E187" s="6"/>
      <c r="F187" s="18"/>
      <c r="G187" s="18"/>
      <c r="H187" s="18"/>
      <c r="I187" s="18"/>
      <c r="J187" s="9" t="s">
        <v>16</v>
      </c>
      <c r="K187" s="18" t="str">
        <f>IMAGE("https://cdn.store.link/products/ayiraminimart50505/e-xjc7-mirinda%20orange%201.25%20l.png?versionId=uUOcpgna2F7kRiAGA_E3wPz61NwpMvMG")</f>
        <v/>
      </c>
      <c r="L187" s="18"/>
      <c r="M187" s="10"/>
      <c r="N187" s="10"/>
    </row>
    <row r="188">
      <c r="A188" s="19" t="s">
        <v>323</v>
      </c>
      <c r="B188" s="6" t="s">
        <v>14</v>
      </c>
      <c r="C188" s="21">
        <v>4.5</v>
      </c>
      <c r="D188" s="22" t="s">
        <v>24</v>
      </c>
      <c r="E188" s="6"/>
      <c r="F188" s="18"/>
      <c r="G188" s="18"/>
      <c r="H188" s="18"/>
      <c r="I188" s="18"/>
      <c r="J188" s="9" t="s">
        <v>16</v>
      </c>
      <c r="K188" s="18" t="str">
        <f>IMAGE("https://cdn.store.link/products/ayiraminimart50505/bpzpka-7up%20lemon%20?versionId=1TZEFPrkG7q0YXGvDu.WGyiADUCvrh1P")</f>
        <v/>
      </c>
      <c r="L188" s="18"/>
      <c r="M188" s="10"/>
      <c r="N188" s="10"/>
    </row>
    <row r="189">
      <c r="A189" s="19" t="s">
        <v>324</v>
      </c>
      <c r="B189" s="6" t="s">
        <v>14</v>
      </c>
      <c r="C189" s="21">
        <v>4.5</v>
      </c>
      <c r="D189" s="22" t="s">
        <v>34</v>
      </c>
      <c r="E189" s="6"/>
      <c r="F189" s="18"/>
      <c r="G189" s="18"/>
      <c r="H189" s="18"/>
      <c r="I189" s="18"/>
      <c r="J189" s="9" t="s">
        <v>16</v>
      </c>
      <c r="K189" s="18" t="str">
        <f>IMAGE("https://cdn.store.link/products/ayiraminimart50505/mnax52-coca-cola%20zero%20calories%201.25%20l.png?versionId=vF7vF7uH6TMhvslyO8vRW6Ajvud8RWE3")</f>
        <v/>
      </c>
      <c r="L189" s="18"/>
      <c r="M189" s="10"/>
      <c r="N189" s="10"/>
    </row>
    <row r="190">
      <c r="A190" s="5" t="s">
        <v>325</v>
      </c>
      <c r="B190" s="6" t="s">
        <v>14</v>
      </c>
      <c r="C190" s="21">
        <v>7.5</v>
      </c>
      <c r="D190" s="22" t="s">
        <v>18</v>
      </c>
      <c r="E190" s="6"/>
      <c r="F190" s="18"/>
      <c r="G190" s="18"/>
      <c r="H190" s="18"/>
      <c r="I190" s="18"/>
      <c r="J190" s="9" t="s">
        <v>16</v>
      </c>
      <c r="K190" s="18" t="str">
        <f>IMAGE("https://cdn.store.link/products/ayiraminimart50505/8wp8td-pepsi%202.25%20l.png?versionId=s5dJiL_Wo_A5LMz7Hmt3FEamO3k.ug5y")</f>
        <v/>
      </c>
      <c r="L190" s="18"/>
      <c r="M190" s="10"/>
      <c r="N190" s="10"/>
    </row>
    <row r="191">
      <c r="A191" s="19" t="s">
        <v>326</v>
      </c>
      <c r="B191" s="6" t="s">
        <v>14</v>
      </c>
      <c r="C191" s="21">
        <v>7.5</v>
      </c>
      <c r="D191" s="22" t="s">
        <v>24</v>
      </c>
      <c r="E191" s="6"/>
      <c r="F191" s="18"/>
      <c r="G191" s="18"/>
      <c r="H191" s="18"/>
      <c r="I191" s="18"/>
      <c r="J191" s="9" t="s">
        <v>16</v>
      </c>
      <c r="K191" s="18" t="str">
        <f>IMAGE("https://cdn.store.link/products/ayiraminimart50505/ngsnkd-7up%20lemon%20?versionId=a9osi_meynPzCK7Gqcrweir9P0YW.N8K")</f>
        <v/>
      </c>
      <c r="L191" s="18"/>
      <c r="M191" s="10"/>
      <c r="N191" s="10"/>
    </row>
    <row r="192">
      <c r="A192" s="5" t="s">
        <v>327</v>
      </c>
      <c r="B192" s="6" t="s">
        <v>14</v>
      </c>
      <c r="C192" s="21">
        <v>7.5</v>
      </c>
      <c r="D192" s="22" t="s">
        <v>26</v>
      </c>
      <c r="E192" s="6"/>
      <c r="F192" s="18"/>
      <c r="G192" s="18"/>
      <c r="H192" s="18"/>
      <c r="I192" s="18"/>
      <c r="J192" s="9" t="s">
        <v>16</v>
      </c>
      <c r="K192" s="18" t="str">
        <f>IMAGE("https://cdn.store.link/products/ayiraminimart50505/ms8uhu-mirinda%20orange%202.25%20l.png?versionId=cg1UI3TZ083VBdDzvm4Ki4C3az3VSL9q")</f>
        <v/>
      </c>
      <c r="L192" s="18"/>
      <c r="M192" s="10"/>
      <c r="N192" s="10"/>
    </row>
    <row r="193">
      <c r="A193" s="5" t="s">
        <v>13</v>
      </c>
      <c r="B193" s="6" t="s">
        <v>14</v>
      </c>
      <c r="C193" s="21">
        <v>7.5</v>
      </c>
      <c r="D193" s="22" t="s">
        <v>15</v>
      </c>
      <c r="E193" s="6"/>
      <c r="F193" s="18"/>
      <c r="G193" s="18"/>
      <c r="H193" s="18"/>
      <c r="I193" s="18"/>
      <c r="J193" s="9" t="s">
        <v>16</v>
      </c>
      <c r="K193" s="18" t="str">
        <f>IMAGE("https://cdn.store.link/products/ayiraminimart50505/wy90q3-mountain%20dew%202.25%20l.png?versionId=cfIMLRGJVC2Z9x0LS7LDfYQ818gsoAbK")</f>
        <v/>
      </c>
      <c r="L193" s="18"/>
      <c r="M193" s="10"/>
      <c r="N193" s="10"/>
    </row>
    <row r="194">
      <c r="A194" s="19" t="s">
        <v>328</v>
      </c>
      <c r="B194" s="11" t="s">
        <v>250</v>
      </c>
      <c r="C194" s="21">
        <v>10.0</v>
      </c>
      <c r="D194" s="22" t="s">
        <v>29</v>
      </c>
      <c r="E194" s="6"/>
      <c r="F194" s="18"/>
      <c r="G194" s="18"/>
      <c r="H194" s="18"/>
      <c r="I194" s="18"/>
      <c r="J194" s="9" t="s">
        <v>16</v>
      </c>
      <c r="K194" s="18" t="str">
        <f>IMAGE("https://cdn.store.link/products/ayiraminimart50505/sgxil4-red%20bull%20the%20blue%20edition%20%28blueberry%29%20250%20ml.png?versionId=agLdSZjYSgm0OvWNpO8MSrVwR7DSl4yU")</f>
        <v/>
      </c>
      <c r="L194" s="18"/>
      <c r="M194" s="10"/>
      <c r="N194" s="10"/>
    </row>
    <row r="195">
      <c r="A195" s="19" t="s">
        <v>329</v>
      </c>
      <c r="B195" s="11" t="s">
        <v>250</v>
      </c>
      <c r="C195" s="21">
        <v>10.0</v>
      </c>
      <c r="D195" s="22" t="s">
        <v>29</v>
      </c>
      <c r="E195" s="6"/>
      <c r="F195" s="18"/>
      <c r="G195" s="18"/>
      <c r="H195" s="18"/>
      <c r="I195" s="18"/>
      <c r="J195" s="9" t="s">
        <v>16</v>
      </c>
      <c r="K195" s="18" t="str">
        <f>IMAGE("https://cdn.store.link/products/ayiraminimart50505/7bxxw5-red%20bull%20the%20red%20edition%20%28watermelon%29%20250%20ml.png?versionId=JrkPgo7WjoK0ysSN3TnNN.w.oC97pqxn")</f>
        <v/>
      </c>
      <c r="L195" s="18"/>
      <c r="M195" s="10"/>
      <c r="N195" s="10"/>
    </row>
    <row r="196">
      <c r="A196" s="19" t="s">
        <v>330</v>
      </c>
      <c r="B196" s="11" t="s">
        <v>250</v>
      </c>
      <c r="C196" s="21">
        <v>10.0</v>
      </c>
      <c r="D196" s="22" t="s">
        <v>29</v>
      </c>
      <c r="E196" s="6"/>
      <c r="F196" s="18"/>
      <c r="G196" s="18"/>
      <c r="H196" s="18"/>
      <c r="I196" s="18"/>
      <c r="J196" s="9" t="s">
        <v>16</v>
      </c>
      <c r="K196" s="18"/>
      <c r="L196" s="18"/>
      <c r="M196" s="10"/>
      <c r="N196" s="10"/>
    </row>
    <row r="197">
      <c r="A197" s="19" t="s">
        <v>331</v>
      </c>
      <c r="B197" s="11" t="s">
        <v>250</v>
      </c>
      <c r="C197" s="21">
        <v>10.0</v>
      </c>
      <c r="D197" s="22" t="s">
        <v>29</v>
      </c>
      <c r="E197" s="6"/>
      <c r="F197" s="18"/>
      <c r="G197" s="18"/>
      <c r="H197" s="18"/>
      <c r="I197" s="18"/>
      <c r="J197" s="9" t="s">
        <v>16</v>
      </c>
      <c r="K197" s="18"/>
      <c r="L197" s="18"/>
      <c r="M197" s="10"/>
      <c r="N197" s="10"/>
    </row>
    <row r="198">
      <c r="A198" s="5" t="s">
        <v>332</v>
      </c>
      <c r="B198" s="11" t="s">
        <v>250</v>
      </c>
      <c r="C198" s="21">
        <v>10.0</v>
      </c>
      <c r="D198" s="22" t="s">
        <v>29</v>
      </c>
      <c r="E198" s="6"/>
      <c r="F198" s="18"/>
      <c r="G198" s="18"/>
      <c r="H198" s="18"/>
      <c r="I198" s="18"/>
      <c r="J198" s="9" t="s">
        <v>16</v>
      </c>
      <c r="K198" s="18"/>
      <c r="L198" s="18"/>
      <c r="M198" s="10"/>
      <c r="N198" s="10"/>
    </row>
    <row r="199">
      <c r="A199" s="19" t="s">
        <v>333</v>
      </c>
      <c r="B199" s="11" t="s">
        <v>250</v>
      </c>
      <c r="C199" s="21">
        <v>10.0</v>
      </c>
      <c r="D199" s="22" t="s">
        <v>29</v>
      </c>
      <c r="E199" s="6"/>
      <c r="F199" s="18"/>
      <c r="G199" s="18"/>
      <c r="H199" s="18"/>
      <c r="I199" s="18"/>
      <c r="J199" s="9" t="s">
        <v>16</v>
      </c>
      <c r="K199" s="18"/>
      <c r="L199" s="18"/>
      <c r="M199" s="10"/>
      <c r="N199" s="10"/>
    </row>
    <row r="200">
      <c r="A200" s="19" t="s">
        <v>334</v>
      </c>
      <c r="B200" s="11" t="s">
        <v>250</v>
      </c>
      <c r="C200" s="21">
        <v>10.0</v>
      </c>
      <c r="D200" s="22" t="s">
        <v>29</v>
      </c>
      <c r="E200" s="6"/>
      <c r="F200" s="18"/>
      <c r="G200" s="18"/>
      <c r="H200" s="18"/>
      <c r="I200" s="18"/>
      <c r="J200" s="9" t="s">
        <v>16</v>
      </c>
      <c r="K200" s="18"/>
      <c r="L200" s="18"/>
      <c r="M200" s="10"/>
      <c r="N200" s="10"/>
    </row>
    <row r="201">
      <c r="A201" s="19" t="s">
        <v>335</v>
      </c>
      <c r="B201" s="11" t="s">
        <v>60</v>
      </c>
      <c r="C201" s="21">
        <v>2.5</v>
      </c>
      <c r="D201" s="22" t="s">
        <v>336</v>
      </c>
      <c r="E201" s="6"/>
      <c r="F201" s="18"/>
      <c r="G201" s="18"/>
      <c r="H201" s="18"/>
      <c r="I201" s="18"/>
      <c r="J201" s="9" t="s">
        <v>16</v>
      </c>
      <c r="K201" s="18"/>
      <c r="L201" s="18"/>
      <c r="M201" s="10"/>
      <c r="N201" s="10"/>
    </row>
    <row r="202">
      <c r="A202" s="5" t="s">
        <v>337</v>
      </c>
      <c r="B202" s="11" t="s">
        <v>60</v>
      </c>
      <c r="C202" s="21">
        <v>2.5</v>
      </c>
      <c r="D202" s="22" t="s">
        <v>338</v>
      </c>
      <c r="E202" s="6"/>
      <c r="F202" s="18"/>
      <c r="G202" s="18"/>
      <c r="H202" s="18"/>
      <c r="I202" s="18"/>
      <c r="J202" s="9" t="s">
        <v>16</v>
      </c>
      <c r="K202" s="18"/>
      <c r="L202" s="18"/>
      <c r="M202" s="10"/>
      <c r="N202" s="10"/>
    </row>
    <row r="203">
      <c r="A203" s="5" t="s">
        <v>339</v>
      </c>
      <c r="B203" s="11" t="s">
        <v>60</v>
      </c>
      <c r="C203" s="21">
        <v>12.0</v>
      </c>
      <c r="D203" s="22" t="s">
        <v>340</v>
      </c>
      <c r="E203" s="6"/>
      <c r="F203" s="18"/>
      <c r="G203" s="18"/>
      <c r="H203" s="18"/>
      <c r="I203" s="18"/>
      <c r="J203" s="9" t="s">
        <v>16</v>
      </c>
      <c r="K203" s="18"/>
      <c r="L203" s="18"/>
      <c r="M203" s="10"/>
      <c r="N203" s="10"/>
    </row>
    <row r="204">
      <c r="A204" s="5" t="s">
        <v>341</v>
      </c>
      <c r="B204" s="11" t="s">
        <v>60</v>
      </c>
      <c r="C204" s="21">
        <v>12.0</v>
      </c>
      <c r="D204" s="22" t="s">
        <v>342</v>
      </c>
      <c r="E204" s="6"/>
      <c r="F204" s="18"/>
      <c r="G204" s="18"/>
      <c r="H204" s="18"/>
      <c r="I204" s="18"/>
      <c r="J204" s="9" t="s">
        <v>16</v>
      </c>
      <c r="K204" s="18"/>
      <c r="L204" s="18"/>
      <c r="M204" s="10"/>
      <c r="N204" s="10"/>
    </row>
    <row r="205">
      <c r="A205" s="5" t="s">
        <v>343</v>
      </c>
      <c r="B205" s="11" t="s">
        <v>60</v>
      </c>
      <c r="C205" s="21">
        <v>12.0</v>
      </c>
      <c r="D205" s="22" t="s">
        <v>344</v>
      </c>
      <c r="E205" s="6"/>
      <c r="F205" s="18"/>
      <c r="G205" s="18"/>
      <c r="H205" s="18"/>
      <c r="I205" s="18"/>
      <c r="J205" s="9" t="s">
        <v>16</v>
      </c>
      <c r="K205" s="18"/>
      <c r="L205" s="18"/>
      <c r="M205" s="10"/>
      <c r="N205" s="10"/>
    </row>
    <row r="206">
      <c r="A206" s="5" t="s">
        <v>345</v>
      </c>
      <c r="B206" s="11" t="s">
        <v>60</v>
      </c>
      <c r="C206" s="21">
        <v>12.0</v>
      </c>
      <c r="D206" s="22" t="s">
        <v>278</v>
      </c>
      <c r="E206" s="6"/>
      <c r="F206" s="18"/>
      <c r="G206" s="18"/>
      <c r="H206" s="18"/>
      <c r="I206" s="18"/>
      <c r="J206" s="9" t="s">
        <v>16</v>
      </c>
      <c r="K206" s="18"/>
      <c r="L206" s="18"/>
      <c r="M206" s="10"/>
      <c r="N206" s="10"/>
    </row>
    <row r="207">
      <c r="A207" s="19" t="s">
        <v>346</v>
      </c>
      <c r="B207" s="11" t="s">
        <v>60</v>
      </c>
      <c r="C207" s="21">
        <v>12.0</v>
      </c>
      <c r="D207" s="22" t="s">
        <v>278</v>
      </c>
      <c r="E207" s="6"/>
      <c r="F207" s="18"/>
      <c r="G207" s="18"/>
      <c r="H207" s="18"/>
      <c r="I207" s="18"/>
      <c r="J207" s="9" t="s">
        <v>16</v>
      </c>
      <c r="K207" s="18"/>
      <c r="L207" s="18"/>
      <c r="M207" s="10"/>
      <c r="N207" s="10"/>
    </row>
    <row r="208">
      <c r="A208" s="19" t="s">
        <v>347</v>
      </c>
      <c r="B208" s="11" t="s">
        <v>60</v>
      </c>
      <c r="C208" s="21">
        <v>12.0</v>
      </c>
      <c r="D208" s="22" t="s">
        <v>278</v>
      </c>
      <c r="E208" s="6"/>
      <c r="F208" s="18"/>
      <c r="G208" s="18"/>
      <c r="H208" s="18"/>
      <c r="I208" s="18"/>
      <c r="J208" s="9" t="s">
        <v>16</v>
      </c>
      <c r="K208" s="18"/>
      <c r="L208" s="18"/>
      <c r="M208" s="10"/>
      <c r="N208" s="10"/>
    </row>
    <row r="209">
      <c r="A209" s="19" t="s">
        <v>348</v>
      </c>
      <c r="B209" s="27" t="s">
        <v>60</v>
      </c>
      <c r="C209" s="21">
        <v>2.5</v>
      </c>
      <c r="D209" s="22" t="s">
        <v>349</v>
      </c>
      <c r="E209" s="6"/>
      <c r="F209" s="18"/>
      <c r="G209" s="18"/>
      <c r="H209" s="18"/>
      <c r="I209" s="18"/>
      <c r="J209" s="9" t="s">
        <v>16</v>
      </c>
      <c r="K209" s="18"/>
      <c r="L209" s="18"/>
      <c r="M209" s="10"/>
      <c r="N209" s="10"/>
    </row>
    <row r="210">
      <c r="A210" s="19" t="s">
        <v>350</v>
      </c>
      <c r="B210" s="11" t="s">
        <v>250</v>
      </c>
      <c r="C210" s="21">
        <v>0.0</v>
      </c>
      <c r="D210" s="22" t="s">
        <v>351</v>
      </c>
      <c r="E210" s="6"/>
      <c r="F210" s="18"/>
      <c r="G210" s="18"/>
      <c r="H210" s="18"/>
      <c r="I210" s="18"/>
      <c r="J210" s="9" t="s">
        <v>40</v>
      </c>
      <c r="K210" s="18"/>
      <c r="L210" s="18"/>
      <c r="M210" s="10"/>
      <c r="N210" s="10"/>
    </row>
    <row r="211">
      <c r="A211" s="19" t="s">
        <v>352</v>
      </c>
      <c r="B211" s="11" t="s">
        <v>250</v>
      </c>
      <c r="C211" s="21">
        <v>0.0</v>
      </c>
      <c r="D211" s="22" t="s">
        <v>353</v>
      </c>
      <c r="E211" s="6"/>
      <c r="F211" s="18"/>
      <c r="G211" s="18"/>
      <c r="H211" s="18"/>
      <c r="I211" s="18"/>
      <c r="J211" s="9" t="s">
        <v>40</v>
      </c>
      <c r="K211" s="18"/>
      <c r="L211" s="18"/>
      <c r="M211" s="10"/>
      <c r="N211" s="10"/>
    </row>
    <row r="212">
      <c r="A212" s="5" t="s">
        <v>354</v>
      </c>
      <c r="B212" s="6" t="s">
        <v>14</v>
      </c>
      <c r="C212" s="21">
        <v>12.0</v>
      </c>
      <c r="D212" s="22" t="s">
        <v>355</v>
      </c>
      <c r="E212" s="6"/>
      <c r="F212" s="18"/>
      <c r="G212" s="18"/>
      <c r="H212" s="18"/>
      <c r="I212" s="18"/>
      <c r="J212" s="9" t="s">
        <v>16</v>
      </c>
      <c r="K212" s="18"/>
      <c r="L212" s="18"/>
      <c r="M212" s="10"/>
      <c r="N212" s="10"/>
    </row>
    <row r="213">
      <c r="A213" s="19" t="s">
        <v>356</v>
      </c>
      <c r="B213" s="27" t="s">
        <v>60</v>
      </c>
      <c r="C213" s="21">
        <v>2.0</v>
      </c>
      <c r="D213" s="22" t="s">
        <v>357</v>
      </c>
      <c r="E213" s="6"/>
      <c r="F213" s="18"/>
      <c r="G213" s="18"/>
      <c r="H213" s="18"/>
      <c r="I213" s="18"/>
      <c r="J213" s="9" t="s">
        <v>16</v>
      </c>
      <c r="K213" s="18"/>
      <c r="L213" s="18"/>
      <c r="M213" s="10"/>
      <c r="N213" s="10"/>
    </row>
    <row r="214">
      <c r="A214" s="19" t="s">
        <v>358</v>
      </c>
      <c r="B214" s="6" t="s">
        <v>14</v>
      </c>
      <c r="C214" s="21">
        <v>2.0</v>
      </c>
      <c r="D214" s="22" t="s">
        <v>359</v>
      </c>
      <c r="E214" s="6"/>
      <c r="F214" s="18"/>
      <c r="G214" s="18"/>
      <c r="H214" s="18"/>
      <c r="I214" s="18"/>
      <c r="J214" s="9" t="s">
        <v>16</v>
      </c>
      <c r="K214" s="18"/>
      <c r="L214" s="18"/>
      <c r="M214" s="10"/>
      <c r="N214" s="10"/>
    </row>
    <row r="215">
      <c r="A215" s="19" t="s">
        <v>360</v>
      </c>
      <c r="B215" s="27" t="s">
        <v>60</v>
      </c>
      <c r="C215" s="21">
        <v>2.0</v>
      </c>
      <c r="D215" s="22" t="s">
        <v>361</v>
      </c>
      <c r="E215" s="6"/>
      <c r="F215" s="18"/>
      <c r="G215" s="18"/>
      <c r="H215" s="18"/>
      <c r="I215" s="18"/>
      <c r="J215" s="9" t="s">
        <v>16</v>
      </c>
      <c r="K215" s="18"/>
      <c r="L215" s="18"/>
      <c r="M215" s="10"/>
      <c r="N215" s="10"/>
    </row>
    <row r="216">
      <c r="A216" s="19" t="s">
        <v>362</v>
      </c>
      <c r="B216" s="27" t="s">
        <v>60</v>
      </c>
      <c r="C216" s="21">
        <v>2.0</v>
      </c>
      <c r="D216" s="22" t="s">
        <v>363</v>
      </c>
      <c r="E216" s="6"/>
      <c r="F216" s="18"/>
      <c r="G216" s="18"/>
      <c r="H216" s="18"/>
      <c r="I216" s="18"/>
      <c r="J216" s="9" t="s">
        <v>16</v>
      </c>
      <c r="K216" s="18"/>
      <c r="L216" s="18"/>
      <c r="M216" s="10"/>
      <c r="N216" s="10"/>
    </row>
    <row r="217">
      <c r="A217" s="19" t="s">
        <v>364</v>
      </c>
      <c r="B217" s="27" t="s">
        <v>60</v>
      </c>
      <c r="C217" s="21">
        <v>2.0</v>
      </c>
      <c r="D217" s="22" t="s">
        <v>365</v>
      </c>
      <c r="E217" s="6"/>
      <c r="F217" s="18"/>
      <c r="G217" s="18"/>
      <c r="H217" s="18"/>
      <c r="I217" s="18"/>
      <c r="J217" s="9" t="s">
        <v>16</v>
      </c>
      <c r="K217" s="18"/>
      <c r="L217" s="18"/>
      <c r="M217" s="10"/>
      <c r="N217" s="10"/>
    </row>
    <row r="218">
      <c r="A218" s="19" t="s">
        <v>366</v>
      </c>
      <c r="B218" s="27" t="s">
        <v>60</v>
      </c>
      <c r="C218" s="21">
        <v>2.0</v>
      </c>
      <c r="D218" s="22" t="s">
        <v>367</v>
      </c>
      <c r="E218" s="6"/>
      <c r="F218" s="18"/>
      <c r="G218" s="18"/>
      <c r="H218" s="18"/>
      <c r="I218" s="18"/>
      <c r="J218" s="9" t="s">
        <v>16</v>
      </c>
      <c r="K218" s="18"/>
      <c r="L218" s="18"/>
      <c r="M218" s="10"/>
      <c r="N218" s="10"/>
    </row>
    <row r="219">
      <c r="A219" s="19" t="s">
        <v>368</v>
      </c>
      <c r="B219" s="27" t="s">
        <v>60</v>
      </c>
      <c r="C219" s="21">
        <v>2.0</v>
      </c>
      <c r="D219" s="22" t="s">
        <v>369</v>
      </c>
      <c r="E219" s="6"/>
      <c r="F219" s="18"/>
      <c r="G219" s="18"/>
      <c r="H219" s="18"/>
      <c r="I219" s="18"/>
      <c r="J219" s="9" t="s">
        <v>16</v>
      </c>
      <c r="K219" s="18"/>
      <c r="L219" s="18"/>
      <c r="M219" s="10"/>
      <c r="N219" s="10"/>
    </row>
    <row r="220">
      <c r="A220" s="19" t="s">
        <v>370</v>
      </c>
      <c r="B220" s="27" t="s">
        <v>60</v>
      </c>
      <c r="C220" s="21">
        <v>5.5</v>
      </c>
      <c r="D220" s="22" t="s">
        <v>371</v>
      </c>
      <c r="E220" s="6"/>
      <c r="F220" s="18"/>
      <c r="G220" s="18"/>
      <c r="H220" s="18"/>
      <c r="I220" s="18"/>
      <c r="J220" s="9" t="s">
        <v>16</v>
      </c>
      <c r="K220" s="18"/>
      <c r="L220" s="18"/>
      <c r="M220" s="10"/>
      <c r="N220" s="10"/>
    </row>
    <row r="221">
      <c r="A221" s="19" t="s">
        <v>372</v>
      </c>
      <c r="B221" s="27" t="s">
        <v>60</v>
      </c>
      <c r="C221" s="21">
        <v>5.5</v>
      </c>
      <c r="D221" s="22" t="s">
        <v>373</v>
      </c>
      <c r="E221" s="6"/>
      <c r="F221" s="18"/>
      <c r="G221" s="18"/>
      <c r="H221" s="18"/>
      <c r="I221" s="18"/>
      <c r="J221" s="9" t="s">
        <v>16</v>
      </c>
      <c r="K221" s="18"/>
      <c r="L221" s="18"/>
      <c r="M221" s="10"/>
      <c r="N221" s="10"/>
    </row>
    <row r="222">
      <c r="A222" s="19" t="s">
        <v>374</v>
      </c>
      <c r="B222" s="27" t="s">
        <v>60</v>
      </c>
      <c r="C222" s="21">
        <v>5.5</v>
      </c>
      <c r="D222" s="22" t="s">
        <v>375</v>
      </c>
      <c r="E222" s="6"/>
      <c r="F222" s="18"/>
      <c r="G222" s="18"/>
      <c r="H222" s="18"/>
      <c r="I222" s="18"/>
      <c r="J222" s="9" t="s">
        <v>16</v>
      </c>
      <c r="K222" s="18"/>
      <c r="L222" s="18"/>
      <c r="M222" s="10"/>
      <c r="N222" s="10"/>
    </row>
    <row r="223">
      <c r="A223" s="19" t="s">
        <v>376</v>
      </c>
      <c r="B223" s="27" t="s">
        <v>60</v>
      </c>
      <c r="C223" s="21">
        <v>5.5</v>
      </c>
      <c r="D223" s="22" t="s">
        <v>377</v>
      </c>
      <c r="E223" s="6"/>
      <c r="F223" s="18"/>
      <c r="G223" s="18"/>
      <c r="H223" s="18"/>
      <c r="I223" s="18"/>
      <c r="J223" s="9" t="s">
        <v>16</v>
      </c>
      <c r="K223" s="18"/>
      <c r="L223" s="18"/>
      <c r="M223" s="10"/>
      <c r="N223" s="10"/>
    </row>
    <row r="224">
      <c r="A224" s="19" t="s">
        <v>378</v>
      </c>
      <c r="B224" s="27" t="s">
        <v>60</v>
      </c>
      <c r="C224" s="21">
        <v>5.5</v>
      </c>
      <c r="D224" s="22" t="s">
        <v>379</v>
      </c>
      <c r="E224" s="6"/>
      <c r="F224" s="18"/>
      <c r="G224" s="18"/>
      <c r="H224" s="18"/>
      <c r="I224" s="18"/>
      <c r="J224" s="9" t="s">
        <v>16</v>
      </c>
      <c r="K224" s="18"/>
      <c r="L224" s="18"/>
      <c r="M224" s="10"/>
      <c r="N224" s="10"/>
    </row>
    <row r="225">
      <c r="A225" s="19" t="s">
        <v>380</v>
      </c>
      <c r="B225" s="27" t="s">
        <v>60</v>
      </c>
      <c r="C225" s="21">
        <v>5.5</v>
      </c>
      <c r="D225" s="22" t="s">
        <v>381</v>
      </c>
      <c r="E225" s="6"/>
      <c r="F225" s="18"/>
      <c r="G225" s="18"/>
      <c r="H225" s="18"/>
      <c r="I225" s="18"/>
      <c r="J225" s="9" t="s">
        <v>16</v>
      </c>
      <c r="K225" s="18"/>
      <c r="L225" s="18"/>
      <c r="M225" s="10"/>
      <c r="N225" s="10"/>
    </row>
    <row r="226">
      <c r="A226" s="19" t="s">
        <v>382</v>
      </c>
      <c r="B226" s="27" t="s">
        <v>60</v>
      </c>
      <c r="C226" s="21">
        <v>5.5</v>
      </c>
      <c r="D226" s="22" t="s">
        <v>383</v>
      </c>
      <c r="E226" s="6"/>
      <c r="F226" s="18"/>
      <c r="G226" s="18"/>
      <c r="H226" s="18"/>
      <c r="I226" s="18"/>
      <c r="J226" s="9" t="s">
        <v>16</v>
      </c>
      <c r="K226" s="18"/>
      <c r="L226" s="18"/>
      <c r="M226" s="10"/>
      <c r="N226" s="10"/>
    </row>
    <row r="227">
      <c r="A227" s="19" t="s">
        <v>384</v>
      </c>
      <c r="B227" s="27" t="s">
        <v>60</v>
      </c>
      <c r="C227" s="21">
        <v>5.5</v>
      </c>
      <c r="D227" s="22" t="s">
        <v>385</v>
      </c>
      <c r="E227" s="6"/>
      <c r="F227" s="18"/>
      <c r="G227" s="18"/>
      <c r="H227" s="18"/>
      <c r="I227" s="18"/>
      <c r="J227" s="9" t="s">
        <v>16</v>
      </c>
      <c r="K227" s="18"/>
      <c r="L227" s="18"/>
      <c r="M227" s="10"/>
      <c r="N227" s="10"/>
    </row>
    <row r="228">
      <c r="A228" s="28" t="s">
        <v>386</v>
      </c>
      <c r="B228" s="29" t="s">
        <v>387</v>
      </c>
      <c r="C228" s="21">
        <v>4.5</v>
      </c>
      <c r="D228" s="22" t="s">
        <v>388</v>
      </c>
      <c r="E228" s="6"/>
      <c r="F228" s="18"/>
      <c r="G228" s="18"/>
      <c r="H228" s="18"/>
      <c r="I228" s="18"/>
      <c r="J228" s="9" t="s">
        <v>16</v>
      </c>
      <c r="K228" s="18" t="str">
        <f>IMAGE("https://cdn.store.link/products/ayiraminimart50505/sa0nhp-snickers%20ice%20cream%20stick%2073.5g.jpg?versionId=Fa9.qQbixem5UM7ayQ6gdvY1NRyc_Ub7")</f>
        <v/>
      </c>
      <c r="L228" s="18"/>
      <c r="M228" s="10"/>
      <c r="N228" s="10"/>
    </row>
    <row r="229">
      <c r="A229" s="5" t="s">
        <v>389</v>
      </c>
      <c r="B229" s="29" t="s">
        <v>387</v>
      </c>
      <c r="C229" s="21">
        <v>4.5</v>
      </c>
      <c r="D229" s="22" t="s">
        <v>388</v>
      </c>
      <c r="E229" s="6"/>
      <c r="F229" s="18"/>
      <c r="G229" s="18"/>
      <c r="H229" s="18"/>
      <c r="I229" s="18"/>
      <c r="J229" s="9" t="s">
        <v>16</v>
      </c>
      <c r="K229" s="18" t="str">
        <f>IMAGE("https://cdn.store.link/products/ayiraminimart50505/etmchf-snickers%20white%20ice%20cream%20bar%2041g.jpg?versionId=4H6YRK.07cPAF2xYkVH.769YjFprV.dt")</f>
        <v/>
      </c>
      <c r="L229" s="18"/>
      <c r="M229" s="10"/>
      <c r="N229" s="10"/>
    </row>
    <row r="230">
      <c r="A230" s="5" t="s">
        <v>390</v>
      </c>
      <c r="B230" s="29" t="s">
        <v>387</v>
      </c>
      <c r="C230" s="21">
        <v>3.5</v>
      </c>
      <c r="D230" s="22" t="s">
        <v>391</v>
      </c>
      <c r="E230" s="6"/>
      <c r="F230" s="18"/>
      <c r="G230" s="18"/>
      <c r="H230" s="18"/>
      <c r="I230" s="18"/>
      <c r="J230" s="9" t="s">
        <v>16</v>
      </c>
      <c r="K230" s="18" t="str">
        <f>IMAGE("https://cdn.store.link/products/ayiraminimart50505/23z21v-dandy%20ice%20cream%20sandwich%20100ml.png?versionId=.2256.edB.Z3LiJreSwR90l13x8uSIj.")</f>
        <v/>
      </c>
      <c r="L230" s="18"/>
      <c r="M230" s="10"/>
      <c r="N230" s="10"/>
    </row>
    <row r="231">
      <c r="A231" s="5" t="s">
        <v>392</v>
      </c>
      <c r="B231" s="29" t="s">
        <v>387</v>
      </c>
      <c r="C231" s="21">
        <v>3.5</v>
      </c>
      <c r="D231" s="22" t="s">
        <v>391</v>
      </c>
      <c r="E231" s="6"/>
      <c r="F231" s="18"/>
      <c r="G231" s="18"/>
      <c r="H231" s="18"/>
      <c r="I231" s="18"/>
      <c r="J231" s="9" t="s">
        <v>16</v>
      </c>
      <c r="K231" s="18"/>
      <c r="L231" s="18"/>
      <c r="M231" s="10"/>
      <c r="N231" s="10"/>
    </row>
    <row r="232">
      <c r="A232" s="5" t="s">
        <v>393</v>
      </c>
      <c r="B232" s="29" t="s">
        <v>387</v>
      </c>
      <c r="C232" s="21">
        <v>3.5</v>
      </c>
      <c r="D232" s="22" t="s">
        <v>391</v>
      </c>
      <c r="E232" s="6"/>
      <c r="F232" s="18"/>
      <c r="G232" s="18"/>
      <c r="H232" s="18"/>
      <c r="I232" s="18"/>
      <c r="J232" s="9" t="s">
        <v>16</v>
      </c>
      <c r="K232" s="18" t="str">
        <f>IMAGE("https://cdn.store.link/products/ayiraminimart50505/2t1hqh-dandy%20almond%20delight%20100ml.jpg?versionId=DfeJ0SmrY6elrugRlNX.J4aa4mBcp55i")</f>
        <v/>
      </c>
      <c r="L232" s="18"/>
      <c r="M232" s="10"/>
      <c r="N232" s="10"/>
    </row>
    <row r="233">
      <c r="A233" s="5" t="s">
        <v>394</v>
      </c>
      <c r="B233" s="29" t="s">
        <v>387</v>
      </c>
      <c r="C233" s="21">
        <v>2.5</v>
      </c>
      <c r="D233" s="22" t="s">
        <v>391</v>
      </c>
      <c r="E233" s="6"/>
      <c r="F233" s="18"/>
      <c r="G233" s="18"/>
      <c r="H233" s="18"/>
      <c r="I233" s="18"/>
      <c r="J233" s="9" t="s">
        <v>16</v>
      </c>
      <c r="K233" s="18" t="str">
        <f>IMAGE("https://cdn.store.link/products/ayiraminimart50505/e6jjle-dandy%20ice%20cream%20sandwich%20100ml.png?versionId=U.vruOqTx9nzZcls7Is5eNSFuqttvEYf")</f>
        <v/>
      </c>
      <c r="L233" s="18"/>
      <c r="M233" s="10"/>
      <c r="N233" s="10"/>
    </row>
    <row r="234">
      <c r="A234" s="19" t="s">
        <v>395</v>
      </c>
      <c r="B234" s="29" t="s">
        <v>387</v>
      </c>
      <c r="C234" s="21">
        <v>7.0</v>
      </c>
      <c r="D234" s="22" t="s">
        <v>396</v>
      </c>
      <c r="E234" s="6"/>
      <c r="F234" s="18"/>
      <c r="G234" s="18"/>
      <c r="H234" s="18"/>
      <c r="I234" s="18"/>
      <c r="J234" s="9" t="s">
        <v>16</v>
      </c>
      <c r="K234" s="18" t="str">
        <f>IMAGE("https://cdn.store.link/products/ayiraminimart50505/mjnae--galaxy%20ice%20cream%20cone%20110ml.jpg?versionId=buBrY.Q4kV2Yt0g_2OI.IK1sQYC8cKIq")</f>
        <v/>
      </c>
      <c r="L234" s="18"/>
      <c r="M234" s="10"/>
      <c r="N234" s="10"/>
    </row>
    <row r="235">
      <c r="A235" s="19" t="s">
        <v>397</v>
      </c>
      <c r="B235" s="29" t="s">
        <v>387</v>
      </c>
      <c r="C235" s="21">
        <v>6.0</v>
      </c>
      <c r="D235" s="22" t="s">
        <v>398</v>
      </c>
      <c r="E235" s="6"/>
      <c r="F235" s="18"/>
      <c r="G235" s="18"/>
      <c r="H235" s="18"/>
      <c r="I235" s="18"/>
      <c r="J235" s="9" t="s">
        <v>16</v>
      </c>
      <c r="K235" s="18" t="str">
        <f>IMAGE("https://cdn.store.link/products/ayiraminimart50505/fx2841-galaxy%20ice%20cream%20heart%2054.6g.jpg?versionId=.xSD2Yj1hWefb4ykGXqr.owuLTzvoJOo")</f>
        <v/>
      </c>
      <c r="L235" s="18"/>
      <c r="M235" s="10"/>
      <c r="N235" s="10"/>
    </row>
    <row r="236">
      <c r="A236" s="5" t="s">
        <v>399</v>
      </c>
      <c r="B236" s="29" t="s">
        <v>387</v>
      </c>
      <c r="C236" s="21">
        <v>2.5</v>
      </c>
      <c r="D236" s="22" t="s">
        <v>400</v>
      </c>
      <c r="E236" s="6"/>
      <c r="F236" s="18"/>
      <c r="G236" s="18"/>
      <c r="H236" s="18"/>
      <c r="I236" s="18"/>
      <c r="J236" s="9" t="s">
        <v>16</v>
      </c>
      <c r="K236" s="18" t="str">
        <f>IMAGE("https://cdn.store.link/products/ayiraminimart50505/q8-9kd-kdd%20chocolate%20ice%20cream%20silver%20cones%20100c.jpg?versionId=DSnC3KkLk7WdCD7Buum.DlObcG.YIIci")</f>
        <v/>
      </c>
      <c r="L236" s="18"/>
      <c r="M236" s="10"/>
      <c r="N236" s="10"/>
    </row>
    <row r="237">
      <c r="A237" s="5" t="s">
        <v>401</v>
      </c>
      <c r="B237" s="29" t="s">
        <v>387</v>
      </c>
      <c r="C237" s="21">
        <v>1.0</v>
      </c>
      <c r="D237" s="22" t="s">
        <v>400</v>
      </c>
      <c r="E237" s="6"/>
      <c r="F237" s="18"/>
      <c r="G237" s="18"/>
      <c r="H237" s="18"/>
      <c r="I237" s="18"/>
      <c r="J237" s="9" t="s">
        <v>16</v>
      </c>
      <c r="K237" s="18" t="str">
        <f>IMAGE("https://cdn.store.link/products/ayiraminimart50505/x7h0cg-kdd%20orange%20ice%20cream%20lollies%2062.5.jpg?versionId=pCTz.lqrx.NzMCjtjmny3WLAQrTWuedj")</f>
        <v/>
      </c>
      <c r="L237" s="18"/>
      <c r="M237" s="10"/>
      <c r="N237" s="10"/>
    </row>
    <row r="238">
      <c r="A238" s="19" t="s">
        <v>402</v>
      </c>
      <c r="B238" s="29" t="s">
        <v>387</v>
      </c>
      <c r="C238" s="21">
        <v>2.5</v>
      </c>
      <c r="D238" s="22" t="s">
        <v>400</v>
      </c>
      <c r="E238" s="6"/>
      <c r="F238" s="18"/>
      <c r="G238" s="18"/>
      <c r="H238" s="18"/>
      <c r="I238" s="18"/>
      <c r="J238" s="9" t="s">
        <v>16</v>
      </c>
      <c r="K238" s="18" t="str">
        <f>IMAGE("https://cdn.store.link/products/ayiraminimart50505/md229q-kdd%20vanilla%20ice%20cream%20gold%20cone%20100cc.jpg?versionId=aIkNcznzEdwqNFr8xTsLzzON7s57dli0")</f>
        <v/>
      </c>
      <c r="L238" s="18"/>
      <c r="M238" s="10"/>
      <c r="N238" s="10"/>
    </row>
    <row r="239">
      <c r="A239" s="19" t="s">
        <v>403</v>
      </c>
      <c r="B239" s="29" t="s">
        <v>387</v>
      </c>
      <c r="C239" s="7">
        <v>1.5</v>
      </c>
      <c r="D239" s="22" t="s">
        <v>404</v>
      </c>
      <c r="E239" s="6"/>
      <c r="F239" s="18"/>
      <c r="G239" s="18"/>
      <c r="H239" s="18"/>
      <c r="I239" s="18"/>
      <c r="J239" s="9" t="s">
        <v>16</v>
      </c>
      <c r="K239" s="18" t="str">
        <f>IMAGE("https://cdn.store.link/products/ayiraminimart50505/k1cer2-igloo%20chocobar%20chocolate%20stick%2055ml.jpg?versionId=k1T5iBliWzp5Pl3NPMXFZWXYAZVTzPzs")</f>
        <v/>
      </c>
      <c r="L239" s="18"/>
      <c r="M239" s="10"/>
      <c r="N239" s="10"/>
    </row>
    <row r="240">
      <c r="A240" s="19" t="s">
        <v>405</v>
      </c>
      <c r="B240" s="29" t="s">
        <v>387</v>
      </c>
      <c r="C240" s="7">
        <v>12.0</v>
      </c>
      <c r="D240" s="22" t="s">
        <v>391</v>
      </c>
      <c r="E240" s="6"/>
      <c r="F240" s="18"/>
      <c r="G240" s="18"/>
      <c r="H240" s="18"/>
      <c r="I240" s="18"/>
      <c r="J240" s="9" t="s">
        <v>16</v>
      </c>
      <c r="K240" s="18" t="str">
        <f>IMAGE("https://cdn.store.link/products/ayiraminimart50505/ksdmq8-dandy%20bonbon%20238ml.jpg?versionId=6sAnrZORbLPCyt_6L8YeOt1MXouwapBp")</f>
        <v/>
      </c>
      <c r="L240" s="18"/>
      <c r="M240" s="10"/>
      <c r="N240" s="10"/>
    </row>
    <row r="241">
      <c r="A241" s="19" t="s">
        <v>406</v>
      </c>
      <c r="B241" s="29" t="s">
        <v>387</v>
      </c>
      <c r="C241" s="7">
        <v>2.5</v>
      </c>
      <c r="D241" s="22" t="s">
        <v>407</v>
      </c>
      <c r="E241" s="6"/>
      <c r="F241" s="18"/>
      <c r="G241" s="18"/>
      <c r="H241" s="18"/>
      <c r="I241" s="18"/>
      <c r="J241" s="9" t="s">
        <v>16</v>
      </c>
      <c r="K241" s="18" t="str">
        <f>IMAGE("https://cdn.store.link/products/ayiraminimart50505/6valsc-kulfi%20stick%20ice%20cream%20%28saudi%29.png?versionId=CFFW1EITnnhZAgHZjambgJcPSsg2pdpo")</f>
        <v/>
      </c>
      <c r="L241" s="18"/>
      <c r="M241" s="10"/>
      <c r="N241" s="10"/>
    </row>
    <row r="242">
      <c r="A242" s="19" t="s">
        <v>408</v>
      </c>
      <c r="B242" s="29" t="s">
        <v>387</v>
      </c>
      <c r="C242" s="21">
        <v>2.5</v>
      </c>
      <c r="D242" s="22" t="s">
        <v>409</v>
      </c>
      <c r="E242" s="6"/>
      <c r="F242" s="18"/>
      <c r="G242" s="18"/>
      <c r="H242" s="18"/>
      <c r="I242" s="18"/>
      <c r="J242" s="9" t="s">
        <v>16</v>
      </c>
      <c r="K242" s="18" t="str">
        <f>IMAGE("https://cdn.store.link/products/ayiraminimart50505/rbqgvs-vanilla%20sandwich%20semi%20ice%20milk.png?versionId=cWIWbjvX94xvnDlRkVPzyKZut_eL8SU5")</f>
        <v/>
      </c>
      <c r="L242" s="18"/>
      <c r="M242" s="10"/>
      <c r="N242" s="10"/>
    </row>
    <row r="243">
      <c r="A243" s="19" t="s">
        <v>410</v>
      </c>
      <c r="B243" s="29" t="s">
        <v>387</v>
      </c>
      <c r="C243" s="21">
        <v>2.5</v>
      </c>
      <c r="D243" s="22" t="s">
        <v>411</v>
      </c>
      <c r="E243" s="6"/>
      <c r="F243" s="18"/>
      <c r="G243" s="18"/>
      <c r="H243" s="18"/>
      <c r="I243" s="18"/>
      <c r="J243" s="9" t="s">
        <v>16</v>
      </c>
      <c r="K243" s="18" t="str">
        <f>IMAGE("https://cdn.store.link/products/ayiraminimart50505/etacx--sandwich%20coffee%20%28saudi%29.png?versionId=ks4vqEsqa98YQzPD8ldibDEPjsnxNiEh")</f>
        <v/>
      </c>
      <c r="L243" s="18"/>
      <c r="M243" s="10"/>
      <c r="N243" s="10"/>
    </row>
    <row r="244">
      <c r="A244" s="19" t="s">
        <v>412</v>
      </c>
      <c r="B244" s="29" t="s">
        <v>387</v>
      </c>
      <c r="C244" s="21">
        <v>2.5</v>
      </c>
      <c r="D244" s="22" t="s">
        <v>413</v>
      </c>
      <c r="E244" s="6"/>
      <c r="F244" s="18"/>
      <c r="G244" s="18"/>
      <c r="H244" s="18"/>
      <c r="I244" s="18"/>
      <c r="J244" s="9" t="s">
        <v>16</v>
      </c>
      <c r="K244" s="18" t="str">
        <f>IMAGE("https://cdn.store.link/products/ayiraminimart50505/kul2qd-strawberry%20sandwich%20semi%20ice%20milk%20%28saudia%29.png?versionId=UZSUNbrmcXmhoOtFhDn3mlo86dTxAs6e")</f>
        <v/>
      </c>
      <c r="L244" s="18"/>
      <c r="M244" s="10"/>
      <c r="N244" s="10"/>
    </row>
    <row r="245">
      <c r="A245" s="19" t="s">
        <v>414</v>
      </c>
      <c r="B245" s="29" t="s">
        <v>387</v>
      </c>
      <c r="C245" s="21">
        <v>1.75</v>
      </c>
      <c r="D245" s="22" t="s">
        <v>413</v>
      </c>
      <c r="E245" s="6"/>
      <c r="F245" s="18"/>
      <c r="G245" s="18"/>
      <c r="H245" s="18"/>
      <c r="I245" s="18"/>
      <c r="J245" s="9" t="s">
        <v>16</v>
      </c>
      <c r="K245" s="18" t="str">
        <f>IMAGE("https://cdn.store.link/products/ayiraminimart50505/sox76h-vanilla%20semi%20ice%20milk%20covered%20with%20chocolate%20coating%20%28saudia%29.png?versionId=uMPJ3MKkqWA8sAfGVS1QC4C6soq0AUqo")</f>
        <v/>
      </c>
      <c r="L245" s="18"/>
      <c r="M245" s="10"/>
      <c r="N245" s="10"/>
    </row>
    <row r="246">
      <c r="A246" s="19" t="s">
        <v>415</v>
      </c>
      <c r="B246" s="29" t="s">
        <v>387</v>
      </c>
      <c r="C246" s="21">
        <v>1.5</v>
      </c>
      <c r="D246" s="22" t="s">
        <v>416</v>
      </c>
      <c r="E246" s="6"/>
      <c r="F246" s="18"/>
      <c r="G246" s="18"/>
      <c r="H246" s="18"/>
      <c r="I246" s="18"/>
      <c r="J246" s="9" t="s">
        <v>16</v>
      </c>
      <c r="K246" s="18" t="str">
        <f>IMAGE("https://cdn.store.link/products/ayiraminimart50505/2k1b1q-saudi%20mango%20stick.png?versionId=aDapMyRQTemO8eentC1bBwRup4r0C5Fh")</f>
        <v/>
      </c>
      <c r="L246" s="18"/>
      <c r="M246" s="10"/>
      <c r="N246" s="10"/>
    </row>
    <row r="247">
      <c r="A247" s="19" t="s">
        <v>417</v>
      </c>
      <c r="B247" s="29" t="s">
        <v>387</v>
      </c>
      <c r="C247" s="21">
        <v>1.5</v>
      </c>
      <c r="D247" s="22" t="s">
        <v>418</v>
      </c>
      <c r="E247" s="6"/>
      <c r="F247" s="18"/>
      <c r="G247" s="18"/>
      <c r="H247" s="18"/>
      <c r="I247" s="18"/>
      <c r="J247" s="9" t="s">
        <v>16</v>
      </c>
      <c r="K247" s="18" t="str">
        <f>IMAGE("https://cdn.store.link/products/ayiraminimart50505/fm7u45-saudi%20lemon%20mint%20sticks.png?versionId=gb67lAt242SuoAAXV_njNVKw7no_Rzca")</f>
        <v/>
      </c>
      <c r="L247" s="18"/>
      <c r="M247" s="10"/>
      <c r="N247" s="10"/>
    </row>
    <row r="248">
      <c r="A248" s="19" t="s">
        <v>419</v>
      </c>
      <c r="B248" s="29" t="s">
        <v>387</v>
      </c>
      <c r="C248" s="21">
        <v>2.5</v>
      </c>
      <c r="D248" s="22" t="s">
        <v>420</v>
      </c>
      <c r="E248" s="6"/>
      <c r="F248" s="18"/>
      <c r="G248" s="18"/>
      <c r="H248" s="18"/>
      <c r="I248" s="18"/>
      <c r="J248" s="9" t="s">
        <v>16</v>
      </c>
      <c r="K248" s="18" t="str">
        <f>IMAGE("https://cdn.store.link/products/ayiraminimart50505/oy3bpt-chocolate%20sandwich%20semi%20ice%20milk.png?versionId=jHPOWQQO2niITAXmR3HaQmIwifkvbJiC")</f>
        <v/>
      </c>
      <c r="L248" s="18"/>
      <c r="M248" s="10"/>
      <c r="N248" s="10"/>
    </row>
    <row r="249">
      <c r="A249" s="5" t="s">
        <v>421</v>
      </c>
      <c r="B249" s="29" t="s">
        <v>387</v>
      </c>
      <c r="C249" s="21">
        <v>2.0</v>
      </c>
      <c r="D249" s="22" t="s">
        <v>422</v>
      </c>
      <c r="E249" s="6"/>
      <c r="F249" s="18"/>
      <c r="G249" s="18"/>
      <c r="H249" s="18"/>
      <c r="I249" s="18"/>
      <c r="J249" s="9" t="s">
        <v>16</v>
      </c>
      <c r="K249" s="18" t="str">
        <f>IMAGE("https://cdn.store.link/products/ayiraminimart50505/vsmxs5-cola%20pushup%20%28saudia%29.png?versionId=FLmcLU3jvE2YAXuyEGSCErQqBQll.UMp")</f>
        <v/>
      </c>
      <c r="L249" s="18"/>
      <c r="M249" s="10"/>
      <c r="N249" s="10"/>
    </row>
    <row r="250">
      <c r="A250" s="19" t="s">
        <v>423</v>
      </c>
      <c r="B250" s="29" t="s">
        <v>387</v>
      </c>
      <c r="C250" s="21">
        <v>2.0</v>
      </c>
      <c r="D250" s="22" t="s">
        <v>413</v>
      </c>
      <c r="E250" s="6"/>
      <c r="F250" s="18"/>
      <c r="G250" s="18"/>
      <c r="H250" s="18"/>
      <c r="I250" s="18"/>
      <c r="J250" s="9" t="s">
        <v>16</v>
      </c>
      <c r="K250" s="18" t="str">
        <f>IMAGE("https://cdn.store.link/products/ayiraminimart50505/wupdft-orange%20push%20up%20%28saudia%29.png?versionId=IwhqIFOKLEH7N3bC4xMK9Vt3FjDvAw8y")</f>
        <v/>
      </c>
      <c r="L250" s="18"/>
      <c r="M250" s="10"/>
      <c r="N250" s="10"/>
    </row>
    <row r="251">
      <c r="A251" s="5" t="s">
        <v>424</v>
      </c>
      <c r="B251" s="29" t="s">
        <v>387</v>
      </c>
      <c r="C251" s="21">
        <v>2.0</v>
      </c>
      <c r="D251" s="22" t="s">
        <v>425</v>
      </c>
      <c r="E251" s="6"/>
      <c r="F251" s="18"/>
      <c r="G251" s="18"/>
      <c r="H251" s="18"/>
      <c r="I251" s="18"/>
      <c r="J251" s="9" t="s">
        <v>16</v>
      </c>
      <c r="K251" s="18" t="str">
        <f>IMAGE("https://cdn.store.link/products/ayiraminimart50505/eu3kez-bamboo%20strawberry%20push%20up.png?versionId=PqfRM1oeq6fQBZY1RDrQpzV3Tuxr_reI")</f>
        <v/>
      </c>
      <c r="L251" s="18"/>
      <c r="M251" s="10"/>
      <c r="N251" s="10"/>
    </row>
    <row r="252">
      <c r="A252" s="19" t="s">
        <v>426</v>
      </c>
      <c r="B252" s="29" t="s">
        <v>387</v>
      </c>
      <c r="C252" s="21">
        <v>1.5</v>
      </c>
      <c r="D252" s="22" t="s">
        <v>427</v>
      </c>
      <c r="E252" s="6"/>
      <c r="F252" s="18"/>
      <c r="G252" s="18"/>
      <c r="H252" s="18"/>
      <c r="I252" s="18"/>
      <c r="J252" s="9" t="s">
        <v>16</v>
      </c>
      <c r="K252" s="18" t="str">
        <f>IMAGE("https://cdn.store.link/products/ayiraminimart50505/33omi5-chocolate%20semi%20ice%20milk%20with%20cone%20biscuits.png?versionId=bfP4lPg6GKazXY4hhoxJD6eJi4fzDyVp")</f>
        <v/>
      </c>
      <c r="L252" s="18"/>
      <c r="M252" s="10"/>
      <c r="N252" s="10"/>
    </row>
    <row r="253">
      <c r="A253" s="19" t="s">
        <v>428</v>
      </c>
      <c r="B253" s="29" t="s">
        <v>387</v>
      </c>
      <c r="C253" s="21">
        <v>3.0</v>
      </c>
      <c r="D253" s="22" t="s">
        <v>429</v>
      </c>
      <c r="E253" s="6"/>
      <c r="F253" s="18"/>
      <c r="G253" s="18"/>
      <c r="H253" s="18"/>
      <c r="I253" s="18"/>
      <c r="J253" s="9" t="s">
        <v>16</v>
      </c>
      <c r="K253" s="18" t="str">
        <f>IMAGE("https://cdn.store.link/products/ayiraminimart50505/a30pjp-semi%20ice%20milk%20with%20cotton%20candy.png?versionId=MOaCNOThGu.KQ_cMbcss_LAh.qRlVLtH")</f>
        <v/>
      </c>
      <c r="L253" s="18"/>
      <c r="M253" s="10"/>
      <c r="N253" s="10"/>
    </row>
    <row r="254">
      <c r="A254" s="19" t="s">
        <v>430</v>
      </c>
      <c r="B254" s="29" t="s">
        <v>387</v>
      </c>
      <c r="C254" s="21">
        <v>1.5</v>
      </c>
      <c r="D254" s="22" t="s">
        <v>431</v>
      </c>
      <c r="E254" s="6"/>
      <c r="F254" s="18"/>
      <c r="G254" s="18"/>
      <c r="H254" s="18"/>
      <c r="I254" s="18"/>
      <c r="J254" s="9" t="s">
        <v>16</v>
      </c>
      <c r="K254" s="18" t="str">
        <f>IMAGE("https://cdn.store.link/products/ayiraminimart50505/9ldnv--chocolate%20semi%20ice%20milk%20covered%20with%20chocolate%20coating.png?versionId=wr6FEIKgeMeO3BwgMdHorGFuLWu2NjxI")</f>
        <v/>
      </c>
      <c r="L254" s="18"/>
      <c r="M254" s="10"/>
      <c r="N254" s="10"/>
    </row>
    <row r="255">
      <c r="A255" s="19" t="s">
        <v>432</v>
      </c>
      <c r="B255" s="29" t="s">
        <v>387</v>
      </c>
      <c r="C255" s="21">
        <v>10.0</v>
      </c>
      <c r="D255" s="22" t="s">
        <v>433</v>
      </c>
      <c r="E255" s="6"/>
      <c r="F255" s="18"/>
      <c r="G255" s="18"/>
      <c r="H255" s="18"/>
      <c r="I255" s="18"/>
      <c r="J255" s="9" t="s">
        <v>16</v>
      </c>
      <c r="K255" s="18" t="str">
        <f>IMAGE("https://cdn.store.link/products/ayiraminimart50505/kydq3k-oreo%20stick%20with%20oreo%20cookie%20pieces%2064%20g.png?versionId=beBrCOe.MlVPCv65uaUEvUt4XFiBrZTu")</f>
        <v/>
      </c>
      <c r="L255" s="18"/>
      <c r="M255" s="10"/>
      <c r="N255" s="10"/>
    </row>
    <row r="256">
      <c r="A256" s="19" t="s">
        <v>434</v>
      </c>
      <c r="B256" s="29" t="s">
        <v>387</v>
      </c>
      <c r="C256" s="21">
        <v>7.5</v>
      </c>
      <c r="D256" s="22" t="s">
        <v>433</v>
      </c>
      <c r="E256" s="6"/>
      <c r="F256" s="18"/>
      <c r="G256" s="18"/>
      <c r="H256" s="18"/>
      <c r="I256" s="18"/>
      <c r="J256" s="9" t="s">
        <v>16</v>
      </c>
      <c r="K256" s="18" t="str">
        <f>IMAGE("https://cdn.store.link/products/ayiraminimart50505/g7sr6b-oreo%20cone%20with%20oreo%20cookie%20pieces%20110%20ml.png?versionId=ueRQPiSUzkTdxJ5igUTTWnJKNKwWixdq")</f>
        <v/>
      </c>
      <c r="L256" s="18"/>
      <c r="M256" s="10"/>
      <c r="N256" s="10"/>
    </row>
    <row r="257">
      <c r="A257" s="19" t="s">
        <v>435</v>
      </c>
      <c r="B257" s="29" t="s">
        <v>387</v>
      </c>
      <c r="C257" s="21">
        <v>10.0</v>
      </c>
      <c r="D257" s="22" t="s">
        <v>433</v>
      </c>
      <c r="E257" s="6"/>
      <c r="F257" s="18"/>
      <c r="G257" s="18"/>
      <c r="H257" s="18"/>
      <c r="I257" s="18"/>
      <c r="J257" s="9" t="s">
        <v>16</v>
      </c>
      <c r="K257" s="18" t="str">
        <f>IMAGE("https://cdn.store.link/products/ayiraminimart50505/jug5it-oreo%20sandwich%20with%20oreo%20cookie%20pieces%20135%20ml.png?versionId=.jQHm2ykEsh4KN5ayHuo86tOkJUTgMde")</f>
        <v/>
      </c>
      <c r="L257" s="18"/>
      <c r="M257" s="10"/>
      <c r="N257" s="10"/>
    </row>
    <row r="258">
      <c r="A258" s="19" t="s">
        <v>436</v>
      </c>
      <c r="B258" s="29" t="s">
        <v>387</v>
      </c>
      <c r="C258" s="21">
        <v>9.5</v>
      </c>
      <c r="D258" s="22" t="s">
        <v>437</v>
      </c>
      <c r="E258" s="6"/>
      <c r="F258" s="18"/>
      <c r="G258" s="18"/>
      <c r="H258" s="18"/>
      <c r="I258" s="18"/>
      <c r="J258" s="9" t="s">
        <v>16</v>
      </c>
      <c r="K258" s="18" t="str">
        <f>IMAGE("https://cdn.store.link/products/ayiraminimart50505/85e7s3-ice%20cream%20kunafa.png?versionId=EPt_zw1FMogTOKsj2nLzHJvcinVjFe6j")</f>
        <v/>
      </c>
      <c r="L258" s="18"/>
      <c r="M258" s="10"/>
      <c r="N258" s="10"/>
    </row>
    <row r="259">
      <c r="A259" s="19" t="s">
        <v>438</v>
      </c>
      <c r="B259" s="29" t="s">
        <v>387</v>
      </c>
      <c r="C259" s="21">
        <v>20.0</v>
      </c>
      <c r="D259" s="22" t="s">
        <v>439</v>
      </c>
      <c r="E259" s="6"/>
      <c r="F259" s="18"/>
      <c r="G259" s="18"/>
      <c r="H259" s="18"/>
      <c r="I259" s="18"/>
      <c r="J259" s="9" t="s">
        <v>16</v>
      </c>
      <c r="K259" s="18" t="str">
        <f>IMAGE("https://cdn.store.link/products/ayiraminimart50505/epro6r-mango%20propotious.png?versionId=taXG_PM5XNHcjvOYnQf3QaoXKYgXOqYf")</f>
        <v/>
      </c>
      <c r="L259" s="18"/>
      <c r="M259" s="10"/>
      <c r="N259" s="10"/>
    </row>
    <row r="260">
      <c r="A260" s="19" t="s">
        <v>440</v>
      </c>
      <c r="B260" s="29" t="s">
        <v>387</v>
      </c>
      <c r="C260" s="21">
        <v>5.0</v>
      </c>
      <c r="D260" s="22" t="s">
        <v>441</v>
      </c>
      <c r="E260" s="6"/>
      <c r="F260" s="18"/>
      <c r="G260" s="18"/>
      <c r="H260" s="18"/>
      <c r="I260" s="18"/>
      <c r="J260" s="9" t="s">
        <v>16</v>
      </c>
      <c r="K260" s="18" t="str">
        <f>IMAGE("https://cdn.store.link/products/ayiraminimart50505/-yryou-dairy%20vanilla%20ice%20cream%20decorated%20with%20chocolate.png?versionId=4s4LILeGTgAhtFaF7s72PJfdym3kdqhn")</f>
        <v/>
      </c>
      <c r="L260" s="18"/>
      <c r="M260" s="10"/>
      <c r="N260" s="10"/>
    </row>
    <row r="261">
      <c r="A261" s="19" t="s">
        <v>442</v>
      </c>
      <c r="B261" s="29" t="s">
        <v>387</v>
      </c>
      <c r="C261" s="21">
        <v>5.0</v>
      </c>
      <c r="D261" s="22" t="s">
        <v>443</v>
      </c>
      <c r="E261" s="6"/>
      <c r="F261" s="18"/>
      <c r="G261" s="18"/>
      <c r="H261" s="18"/>
      <c r="I261" s="18"/>
      <c r="J261" s="9" t="s">
        <v>16</v>
      </c>
      <c r="K261" s="18" t="str">
        <f>IMAGE("https://cdn.store.link/products/ayiraminimart50505/e06muw-cappuccino%20vanilla%20ice%20cream.png?versionId=oIxokgkkDBAvuvCR3Fp2m5AsEALHHc_e")</f>
        <v/>
      </c>
      <c r="L261" s="18"/>
      <c r="M261" s="10"/>
      <c r="N261" s="10"/>
    </row>
    <row r="262">
      <c r="A262" s="19" t="s">
        <v>444</v>
      </c>
      <c r="B262" s="29" t="s">
        <v>387</v>
      </c>
      <c r="C262" s="21">
        <v>5.0</v>
      </c>
      <c r="D262" s="22" t="s">
        <v>445</v>
      </c>
      <c r="E262" s="6"/>
      <c r="F262" s="18"/>
      <c r="G262" s="18"/>
      <c r="H262" s="18"/>
      <c r="I262" s="18"/>
      <c r="J262" s="9" t="s">
        <v>16</v>
      </c>
      <c r="K262" s="18" t="str">
        <f>IMAGE("https://cdn.store.link/products/ayiraminimart50505/m5uj7m-dairy%20saffron%20ice%20cream.png?versionId=g4xBSszVsPWpGDzIju6d2vqU6LtynyLg")</f>
        <v/>
      </c>
      <c r="L262" s="18"/>
      <c r="M262" s="10"/>
      <c r="N262" s="10"/>
    </row>
    <row r="263">
      <c r="A263" s="5" t="s">
        <v>446</v>
      </c>
      <c r="B263" s="29" t="s">
        <v>387</v>
      </c>
      <c r="C263" s="21">
        <v>5.0</v>
      </c>
      <c r="D263" s="22" t="s">
        <v>447</v>
      </c>
      <c r="E263" s="6"/>
      <c r="F263" s="18"/>
      <c r="G263" s="18"/>
      <c r="H263" s="18"/>
      <c r="I263" s="18"/>
      <c r="J263" s="9" t="s">
        <v>16</v>
      </c>
      <c r="K263" s="18" t="str">
        <f>IMAGE("https://cdn.store.link/products/ayiraminimart50505/npqajm-strawberry%20?versionId=FUps0E8GlS7pOG5XhEmRMkJjz5VAbI2f")</f>
        <v/>
      </c>
      <c r="L263" s="18"/>
      <c r="M263" s="10"/>
      <c r="N263" s="10"/>
    </row>
    <row r="264">
      <c r="A264" s="19" t="s">
        <v>448</v>
      </c>
      <c r="B264" s="29" t="s">
        <v>387</v>
      </c>
      <c r="C264" s="21">
        <v>2.5</v>
      </c>
      <c r="D264" s="22" t="s">
        <v>449</v>
      </c>
      <c r="E264" s="6"/>
      <c r="F264" s="18"/>
      <c r="G264" s="18"/>
      <c r="H264" s="18"/>
      <c r="I264" s="18"/>
      <c r="J264" s="9" t="s">
        <v>16</v>
      </c>
      <c r="K264" s="18" t="str">
        <f>IMAGE("https://cdn.store.link/products/ayiraminimart50505/y9z5ou-duet%20raspberry%20?versionId=69ekJDlcdlRzX0TfA0QChIrp8hN9EUWm")</f>
        <v/>
      </c>
      <c r="L264" s="18"/>
      <c r="M264" s="10"/>
      <c r="N264" s="10"/>
    </row>
    <row r="265">
      <c r="A265" s="5" t="s">
        <v>450</v>
      </c>
      <c r="B265" s="29" t="s">
        <v>387</v>
      </c>
      <c r="C265" s="21">
        <v>2.5</v>
      </c>
      <c r="D265" s="22" t="s">
        <v>451</v>
      </c>
      <c r="E265" s="6"/>
      <c r="F265" s="18"/>
      <c r="G265" s="18"/>
      <c r="H265" s="18"/>
      <c r="I265" s="18"/>
      <c r="J265" s="9" t="s">
        <v>16</v>
      </c>
      <c r="K265" s="18" t="str">
        <f>IMAGE("https://cdn.store.link/products/ayiraminimart50505/4hbhsk-duet%20mango%20?versionId=YbqRuaSYnm6QlCRG_XMCt_t7jvVqfM1.")</f>
        <v/>
      </c>
      <c r="L265" s="18"/>
      <c r="M265" s="10"/>
      <c r="N265" s="10"/>
    </row>
    <row r="266">
      <c r="A266" s="19" t="s">
        <v>452</v>
      </c>
      <c r="B266" s="29" t="s">
        <v>387</v>
      </c>
      <c r="C266" s="21">
        <v>3.5</v>
      </c>
      <c r="D266" s="22" t="s">
        <v>453</v>
      </c>
      <c r="E266" s="6"/>
      <c r="F266" s="18"/>
      <c r="G266" s="18"/>
      <c r="H266" s="18"/>
      <c r="I266" s="18"/>
      <c r="J266" s="9" t="s">
        <v>16</v>
      </c>
      <c r="K266" s="18" t="str">
        <f>IMAGE("https://cdn.store.link/products/ayiraminimart50505/uuxca9-balou%20balou%20vanilla%2069%20gm.png?versionId=3nSNtZSxcXbqT5O5dNor.3oK0Yuh.woz")</f>
        <v/>
      </c>
      <c r="L266" s="18"/>
      <c r="M266" s="10"/>
      <c r="N266" s="10"/>
    </row>
    <row r="267">
      <c r="A267" s="19" t="s">
        <v>454</v>
      </c>
      <c r="B267" s="29" t="s">
        <v>387</v>
      </c>
      <c r="C267" s="21">
        <v>3.5</v>
      </c>
      <c r="D267" s="22" t="s">
        <v>455</v>
      </c>
      <c r="E267" s="6"/>
      <c r="F267" s="18"/>
      <c r="G267" s="18"/>
      <c r="H267" s="18"/>
      <c r="I267" s="18"/>
      <c r="J267" s="9" t="s">
        <v>16</v>
      </c>
      <c r="K267" s="18" t="str">
        <f>IMAGE("https://cdn.store.link/products/ayiraminimart50505/ksr42x-cookies%20?versionId=CfruYVPWwTSIZsCKi9ZgSZR6fyGFCnXb")</f>
        <v/>
      </c>
      <c r="L267" s="18"/>
      <c r="M267" s="10"/>
      <c r="N267" s="10"/>
    </row>
    <row r="268">
      <c r="A268" s="19" t="s">
        <v>456</v>
      </c>
      <c r="B268" s="29" t="s">
        <v>387</v>
      </c>
      <c r="C268" s="21">
        <v>5.5</v>
      </c>
      <c r="D268" s="22" t="s">
        <v>457</v>
      </c>
      <c r="E268" s="6"/>
      <c r="F268" s="18"/>
      <c r="G268" s="18"/>
      <c r="H268" s="18"/>
      <c r="I268" s="18"/>
      <c r="J268" s="9" t="s">
        <v>16</v>
      </c>
      <c r="K268" s="18" t="str">
        <f>IMAGE("https://cdn.store.link/products/ayiraminimart50505/pndlgk-iceland%20luna%20panna%20cotta%20aromatic%20with%20chocolate%20topping.png?versionId=3A0WkzcnoF8YYtAOgY.waapyyzWG2stE")</f>
        <v/>
      </c>
      <c r="L268" s="18"/>
      <c r="M268" s="10"/>
      <c r="N268" s="10"/>
    </row>
    <row r="269">
      <c r="A269" s="19" t="s">
        <v>458</v>
      </c>
      <c r="B269" s="29" t="s">
        <v>387</v>
      </c>
      <c r="C269" s="21">
        <v>4.5</v>
      </c>
      <c r="D269" s="22" t="s">
        <v>459</v>
      </c>
      <c r="E269" s="6"/>
      <c r="F269" s="18"/>
      <c r="G269" s="18"/>
      <c r="H269" s="18"/>
      <c r="I269" s="18"/>
      <c r="J269" s="9" t="s">
        <v>16</v>
      </c>
      <c r="K269" s="18" t="str">
        <f>IMAGE("https://cdn.store.link/products/ayiraminimart50505/l9dti6-iceland%20luna%20hazelnut%20chocolate%20and%20panna%20cotta.png?versionId=xjgW4A3Ncvm6fg16QvKRjtd4wlRfqBXk")</f>
        <v/>
      </c>
      <c r="L269" s="18"/>
      <c r="M269" s="10"/>
      <c r="N269" s="10"/>
    </row>
    <row r="270">
      <c r="A270" s="19" t="s">
        <v>460</v>
      </c>
      <c r="B270" s="29" t="s">
        <v>387</v>
      </c>
      <c r="C270" s="21">
        <v>4.5</v>
      </c>
      <c r="D270" s="22" t="s">
        <v>461</v>
      </c>
      <c r="E270" s="6"/>
      <c r="F270" s="18"/>
      <c r="G270" s="18"/>
      <c r="H270" s="18"/>
      <c r="I270" s="18"/>
      <c r="J270" s="9" t="s">
        <v>16</v>
      </c>
      <c r="K270" s="18" t="str">
        <f>IMAGE("https://cdn.store.link/products/ayiraminimart50505/sn0l0s-plombir%2520vanilla%252015%25.png?versionId=AbPrhJP7_ncMBnYvd5cvkfE3Xb8b664n")</f>
        <v/>
      </c>
      <c r="L270" s="18"/>
      <c r="M270" s="10"/>
      <c r="N270" s="10"/>
    </row>
    <row r="271">
      <c r="A271" s="19" t="s">
        <v>462</v>
      </c>
      <c r="B271" s="29" t="s">
        <v>387</v>
      </c>
      <c r="C271" s="21">
        <v>3.5</v>
      </c>
      <c r="D271" s="22" t="s">
        <v>463</v>
      </c>
      <c r="E271" s="6"/>
      <c r="F271" s="18"/>
      <c r="G271" s="18"/>
      <c r="H271" s="18"/>
      <c r="I271" s="18"/>
      <c r="J271" s="9" t="s">
        <v>16</v>
      </c>
      <c r="K271" s="18" t="str">
        <f>IMAGE("https://cdn.store.link/products/ayiraminimart50505/ts8u5k-penguin%20vanilla%20ice%20cream.png?versionId=sJfr63.7Jm28Sz7879Nezbz8JaFvoa7H")</f>
        <v/>
      </c>
      <c r="L271" s="18"/>
      <c r="M271" s="10"/>
      <c r="N271" s="10"/>
    </row>
    <row r="272">
      <c r="A272" s="19" t="s">
        <v>464</v>
      </c>
      <c r="B272" s="29" t="s">
        <v>387</v>
      </c>
      <c r="C272" s="21">
        <v>3.5</v>
      </c>
      <c r="D272" s="22" t="s">
        <v>465</v>
      </c>
      <c r="E272" s="6"/>
      <c r="F272" s="18"/>
      <c r="G272" s="18"/>
      <c r="H272" s="18"/>
      <c r="I272" s="18"/>
      <c r="J272" s="9" t="s">
        <v>16</v>
      </c>
      <c r="K272" s="18" t="str">
        <f>IMAGE("https://cdn.store.link/products/ayiraminimart50505/qtefox-iceland%20vanilla%20ice%20cream.png?versionId=cZkfEL1Aq_eiYrW7EGQ0DORVZyxN.1Xi")</f>
        <v/>
      </c>
      <c r="L272" s="18"/>
      <c r="M272" s="10"/>
      <c r="N272" s="10"/>
    </row>
    <row r="273">
      <c r="A273" s="19" t="s">
        <v>466</v>
      </c>
      <c r="B273" s="29" t="s">
        <v>387</v>
      </c>
      <c r="C273" s="21">
        <v>3.5</v>
      </c>
      <c r="D273" s="22" t="s">
        <v>467</v>
      </c>
      <c r="E273" s="6"/>
      <c r="F273" s="18"/>
      <c r="G273" s="18"/>
      <c r="H273" s="18"/>
      <c r="I273" s="18"/>
      <c r="J273" s="9" t="s">
        <v>40</v>
      </c>
      <c r="K273" s="18" t="str">
        <f>IMAGE("https://cdn.store.link/products/ayiraminimart50505/5gi0vi-ronetto%20vanilla%20ice%20cream.png?versionId=5d_Y_798XqE2cIpytmo1qTXdm_5o2qH1")</f>
        <v/>
      </c>
      <c r="L273" s="18"/>
      <c r="M273" s="10"/>
      <c r="N273" s="10"/>
    </row>
    <row r="274">
      <c r="A274" s="19" t="s">
        <v>468</v>
      </c>
      <c r="B274" s="29" t="s">
        <v>387</v>
      </c>
      <c r="C274" s="30"/>
      <c r="D274" s="22" t="s">
        <v>469</v>
      </c>
      <c r="E274" s="6"/>
      <c r="F274" s="18"/>
      <c r="G274" s="18"/>
      <c r="H274" s="18"/>
      <c r="I274" s="18"/>
      <c r="J274" s="9" t="s">
        <v>40</v>
      </c>
      <c r="K274" s="18" t="str">
        <f>IMAGE("https://cdn.store.link/products/ayiraminimart50505/usm9gg-delisimo%20hazelnut%20plombir%20500%20g.png?versionId=G8DBBdiHvkAlylMovxRD3FlQmsG9n8Tf")</f>
        <v/>
      </c>
      <c r="L274" s="18"/>
      <c r="M274" s="10"/>
      <c r="N274" s="10"/>
    </row>
    <row r="275">
      <c r="A275" s="19" t="s">
        <v>470</v>
      </c>
      <c r="B275" s="29" t="s">
        <v>387</v>
      </c>
      <c r="C275" s="21">
        <v>3.5</v>
      </c>
      <c r="D275" s="22" t="s">
        <v>471</v>
      </c>
      <c r="E275" s="6"/>
      <c r="F275" s="18"/>
      <c r="G275" s="18"/>
      <c r="H275" s="18"/>
      <c r="I275" s="18"/>
      <c r="J275" s="9" t="s">
        <v>40</v>
      </c>
      <c r="K275" s="18"/>
      <c r="L275" s="18"/>
      <c r="M275" s="10"/>
      <c r="N275" s="10"/>
    </row>
    <row r="276">
      <c r="A276" s="19" t="s">
        <v>472</v>
      </c>
      <c r="B276" s="29" t="s">
        <v>387</v>
      </c>
      <c r="C276" s="30"/>
      <c r="D276" s="22" t="s">
        <v>473</v>
      </c>
      <c r="E276" s="6"/>
      <c r="F276" s="18"/>
      <c r="G276" s="18"/>
      <c r="H276" s="18"/>
      <c r="I276" s="18"/>
      <c r="J276" s="9" t="s">
        <v>40</v>
      </c>
      <c r="K276" s="18" t="str">
        <f>IMAGE("https://cdn.store.link/products/ayiraminimart50505/qmbf12-apple%20fruity%20ice.png?versionId=znHY6ZP5AQyBShIvZTpD2dxDqj6B76w_")</f>
        <v/>
      </c>
      <c r="L276" s="18"/>
      <c r="M276" s="10"/>
      <c r="N276" s="10"/>
    </row>
    <row r="277">
      <c r="A277" s="19" t="s">
        <v>474</v>
      </c>
      <c r="B277" s="29" t="s">
        <v>387</v>
      </c>
      <c r="C277" s="22">
        <v>10.0</v>
      </c>
      <c r="D277" s="22" t="s">
        <v>433</v>
      </c>
      <c r="E277" s="6"/>
      <c r="F277" s="18"/>
      <c r="G277" s="18"/>
      <c r="H277" s="18"/>
      <c r="I277" s="18"/>
      <c r="J277" s="9" t="s">
        <v>16</v>
      </c>
      <c r="K277" s="18" t="str">
        <f>IMAGE("https://cdn.store.link/products/ayiraminimart50505/3v86sm-oreo%20sandwich%20with%20cookie%20pieces%2080%20g.png?versionId=02t.RgFk2vwhpF5rwqHXjId1ZynzJNYu")</f>
        <v/>
      </c>
      <c r="L277" s="18"/>
      <c r="M277" s="10"/>
      <c r="N277" s="10"/>
    </row>
    <row r="278">
      <c r="A278" s="19" t="s">
        <v>475</v>
      </c>
      <c r="B278" s="29" t="s">
        <v>387</v>
      </c>
      <c r="C278" s="21">
        <v>10.0</v>
      </c>
      <c r="D278" s="22" t="s">
        <v>476</v>
      </c>
      <c r="E278" s="6"/>
      <c r="F278" s="18"/>
      <c r="G278" s="18"/>
      <c r="H278" s="18"/>
      <c r="I278" s="18"/>
      <c r="J278" s="9" t="s">
        <v>40</v>
      </c>
      <c r="K278" s="18" t="str">
        <f>IMAGE("https://cdn.store.link/products/ayiraminimart50505/1og1rz-contetteria%20raffaello%2047%20g.png?versionId=0bot4WM8rFp4C9V4_o5Fj677wL.3FPSs")</f>
        <v/>
      </c>
      <c r="L278" s="18"/>
      <c r="M278" s="10"/>
      <c r="N278" s="10"/>
    </row>
    <row r="279">
      <c r="A279" s="19" t="s">
        <v>432</v>
      </c>
      <c r="B279" s="29" t="s">
        <v>387</v>
      </c>
      <c r="C279" s="21">
        <v>10.0</v>
      </c>
      <c r="D279" s="22" t="s">
        <v>433</v>
      </c>
      <c r="E279" s="6"/>
      <c r="F279" s="18"/>
      <c r="G279" s="18"/>
      <c r="H279" s="18"/>
      <c r="I279" s="18"/>
      <c r="J279" s="9" t="s">
        <v>16</v>
      </c>
      <c r="K279" s="18" t="str">
        <f>IMAGE("https://cdn.store.link/products/ayiraminimart50505/kydq3k-oreo%20stick%20with%20oreo%20cookie%20pieces%2064%20g.png?versionId=beBrCOe.MlVPCv65uaUEvUt4XFiBrZTu")</f>
        <v/>
      </c>
      <c r="L279" s="18"/>
      <c r="M279" s="10"/>
      <c r="N279" s="10"/>
    </row>
    <row r="280">
      <c r="A280" s="5" t="s">
        <v>477</v>
      </c>
      <c r="B280" s="29" t="s">
        <v>387</v>
      </c>
      <c r="C280" s="21">
        <v>8.5</v>
      </c>
      <c r="D280" s="22" t="s">
        <v>478</v>
      </c>
      <c r="E280" s="6"/>
      <c r="F280" s="18"/>
      <c r="G280" s="18"/>
      <c r="H280" s="18"/>
      <c r="I280" s="18"/>
      <c r="J280" s="9" t="s">
        <v>16</v>
      </c>
      <c r="K280" s="18" t="str">
        <f>IMAGE("https://cdn.store.link/products/ayiraminimart50505/cgxnm6-kitkat%20vanilla%20chocolate%20ice%20cream%20cone.png?versionId=iLpRXMJuR8ZHbi2CacgXgV9ZLqoUIy6a")</f>
        <v/>
      </c>
      <c r="L280" s="18"/>
      <c r="M280" s="10"/>
      <c r="N280" s="10"/>
    </row>
    <row r="281">
      <c r="A281" s="5" t="s">
        <v>479</v>
      </c>
      <c r="B281" s="29" t="s">
        <v>387</v>
      </c>
      <c r="C281" s="21">
        <v>10.0</v>
      </c>
      <c r="D281" s="22" t="s">
        <v>480</v>
      </c>
      <c r="E281" s="6"/>
      <c r="F281" s="18"/>
      <c r="G281" s="18"/>
      <c r="H281" s="18"/>
      <c r="I281" s="18"/>
      <c r="J281" s="9" t="s">
        <v>16</v>
      </c>
      <c r="K281" s="18" t="str">
        <f>IMAGE("https://cdn.store.link/products/ayiraminimart50505/j2ae49-cadbury%20dairy%20milk%2090%20ml.png?versionId=rUqNG4mlt7wCezWhvc8StO1KZLZsz3tF")</f>
        <v/>
      </c>
      <c r="L281" s="18"/>
      <c r="M281" s="10"/>
      <c r="N281" s="10"/>
    </row>
    <row r="282">
      <c r="A282" s="5" t="s">
        <v>481</v>
      </c>
      <c r="B282" s="29" t="s">
        <v>387</v>
      </c>
      <c r="C282" s="21">
        <v>10.0</v>
      </c>
      <c r="D282" s="22" t="s">
        <v>482</v>
      </c>
      <c r="E282" s="6"/>
      <c r="F282" s="18"/>
      <c r="G282" s="18"/>
      <c r="H282" s="18"/>
      <c r="I282" s="18"/>
      <c r="J282" s="9" t="s">
        <v>40</v>
      </c>
      <c r="K282" s="18" t="str">
        <f>IMAGE("https://cdn.store.link/products/ayiraminimart50505/tgia9q-ferrero%20rocher%20classic%20icecream%2050%20g.png?versionId=oXSs.ZaiLnfLbInMSIrX.hv_YORvmEXd")</f>
        <v/>
      </c>
      <c r="L282" s="18"/>
      <c r="M282" s="10"/>
      <c r="N282" s="10"/>
    </row>
    <row r="283">
      <c r="A283" s="5" t="s">
        <v>483</v>
      </c>
      <c r="B283" s="29" t="s">
        <v>387</v>
      </c>
      <c r="C283" s="21">
        <v>9.5</v>
      </c>
      <c r="D283" s="22" t="s">
        <v>484</v>
      </c>
      <c r="E283" s="6"/>
      <c r="F283" s="18"/>
      <c r="G283" s="18"/>
      <c r="H283" s="18"/>
      <c r="I283" s="18"/>
      <c r="J283" s="9" t="s">
        <v>16</v>
      </c>
      <c r="K283" s="18"/>
      <c r="L283" s="18"/>
      <c r="M283" s="10"/>
      <c r="N283" s="10"/>
    </row>
    <row r="284">
      <c r="A284" s="19" t="s">
        <v>485</v>
      </c>
      <c r="B284" s="29" t="s">
        <v>387</v>
      </c>
      <c r="C284" s="21">
        <v>10.0</v>
      </c>
      <c r="D284" s="22" t="s">
        <v>486</v>
      </c>
      <c r="E284" s="6"/>
      <c r="F284" s="18"/>
      <c r="G284" s="18"/>
      <c r="H284" s="18"/>
      <c r="I284" s="18"/>
      <c r="J284" s="9" t="s">
        <v>16</v>
      </c>
      <c r="K284" s="6" t="str">
        <f>IMAGE("https://cdn.store.link/products/ayiraminimart50505/capnsl-br%20baskin-robbins%20cotton%20candy%20120%20ml.png?versionId=C_8gjLg.kH7Jw3_NxfDbO.Z3DUxVifPF")</f>
        <v/>
      </c>
      <c r="L284" s="6"/>
      <c r="M284" s="10"/>
      <c r="N284" s="10"/>
    </row>
    <row r="285">
      <c r="A285" s="19" t="s">
        <v>487</v>
      </c>
      <c r="B285" s="29" t="s">
        <v>387</v>
      </c>
      <c r="C285" s="21">
        <v>10.0</v>
      </c>
      <c r="D285" s="22" t="s">
        <v>488</v>
      </c>
      <c r="E285" s="6"/>
      <c r="F285" s="18"/>
      <c r="G285" s="18"/>
      <c r="H285" s="18"/>
      <c r="I285" s="18"/>
      <c r="J285" s="9" t="s">
        <v>40</v>
      </c>
      <c r="K285" s="18" t="str">
        <f>IMAGE("https://cdn.store.link/products/ayiraminimart50505/z219cq-kinder%20bueno%2062%20g.png?versionId=YRjCQiw_iIv4fFp2AfOvwHYEjxyU0ZqJ")</f>
        <v/>
      </c>
      <c r="L285" s="18"/>
      <c r="M285" s="10"/>
      <c r="N285" s="10"/>
    </row>
    <row r="286">
      <c r="A286" s="19" t="s">
        <v>489</v>
      </c>
      <c r="B286" s="29" t="s">
        <v>387</v>
      </c>
      <c r="C286" s="21">
        <v>10.0</v>
      </c>
      <c r="D286" s="22" t="s">
        <v>490</v>
      </c>
      <c r="E286" s="6"/>
      <c r="F286" s="18"/>
      <c r="G286" s="18"/>
      <c r="H286" s="18"/>
      <c r="I286" s="18"/>
      <c r="J286" s="9" t="s">
        <v>16</v>
      </c>
      <c r="K286" s="18" t="str">
        <f>IMAGE("https://cdn.store.link/products/ayiraminimart50505/7eyyii-br%20baskin-robbins%20pralines%20%E2%80%98n%20cream%20120%20ml.png?versionId=UqkVaPdmylIOSkYg09jZdrbgGhKvCmSc")</f>
        <v/>
      </c>
      <c r="L286" s="18"/>
      <c r="M286" s="10"/>
      <c r="N286" s="10"/>
    </row>
    <row r="287">
      <c r="A287" s="19" t="s">
        <v>491</v>
      </c>
      <c r="B287" s="29" t="s">
        <v>387</v>
      </c>
      <c r="C287" s="21">
        <v>3.0</v>
      </c>
      <c r="D287" s="22" t="s">
        <v>492</v>
      </c>
      <c r="E287" s="6"/>
      <c r="F287" s="18"/>
      <c r="G287" s="18"/>
      <c r="H287" s="18"/>
      <c r="I287" s="18"/>
      <c r="J287" s="9" t="s">
        <v>16</v>
      </c>
      <c r="K287" s="18" t="str">
        <f>IMAGE("https://cdn.store.link/products/ayiraminimart50505/lmrpv7-igloo%20kulfi%20alphonso%20mango%2065%20ml.png?versionId=EV61KsIBgVnB48adzggp2DrtGV6oaOeK")</f>
        <v/>
      </c>
      <c r="L287" s="18"/>
      <c r="M287" s="10"/>
      <c r="N287" s="10"/>
    </row>
    <row r="288">
      <c r="A288" s="19" t="s">
        <v>493</v>
      </c>
      <c r="B288" s="29" t="s">
        <v>387</v>
      </c>
      <c r="C288" s="21">
        <v>3.0</v>
      </c>
      <c r="D288" s="22" t="s">
        <v>494</v>
      </c>
      <c r="E288" s="6"/>
      <c r="F288" s="18"/>
      <c r="G288" s="18"/>
      <c r="H288" s="18"/>
      <c r="I288" s="18"/>
      <c r="J288" s="9" t="s">
        <v>16</v>
      </c>
      <c r="K288" s="18" t="str">
        <f>IMAGE("https://cdn.store.link/products/ayiraminimart50505/vjtoca-igloo%20kulfi%20creamy%20pista%2065%20ml.png?versionId=vPzDahQTEc14WxDRzEtKAvW9rYUEZznG")</f>
        <v/>
      </c>
      <c r="L288" s="18"/>
      <c r="M288" s="10"/>
      <c r="N288" s="10"/>
    </row>
    <row r="289">
      <c r="A289" s="19" t="s">
        <v>495</v>
      </c>
      <c r="B289" s="29" t="s">
        <v>387</v>
      </c>
      <c r="C289" s="21">
        <v>3.5</v>
      </c>
      <c r="D289" s="22" t="s">
        <v>496</v>
      </c>
      <c r="E289" s="6"/>
      <c r="F289" s="18"/>
      <c r="G289" s="18"/>
      <c r="H289" s="18"/>
      <c r="I289" s="18"/>
      <c r="J289" s="9" t="s">
        <v>16</v>
      </c>
      <c r="K289" s="18" t="str">
        <f>IMAGE("https://cdn.store.link/products/ayiraminimart50505/ov2gax-igloo%20traditional%20malai%20kulfi%20pistachio%20?versionId=qTt.UPGQ9hhO3_zPpHd1otzIL6pmwupt")</f>
        <v/>
      </c>
      <c r="L289" s="18"/>
      <c r="M289" s="10"/>
      <c r="N289" s="10"/>
    </row>
    <row r="290">
      <c r="A290" s="19" t="s">
        <v>497</v>
      </c>
      <c r="B290" s="29" t="s">
        <v>387</v>
      </c>
      <c r="C290" s="21">
        <v>3.0</v>
      </c>
      <c r="D290" s="22" t="s">
        <v>498</v>
      </c>
      <c r="E290" s="6"/>
      <c r="F290" s="18"/>
      <c r="G290" s="18"/>
      <c r="H290" s="18"/>
      <c r="I290" s="18"/>
      <c r="J290" s="9" t="s">
        <v>16</v>
      </c>
      <c r="K290" s="18" t="str">
        <f>IMAGE("https://cdn.store.link/products/ayiraminimart50505/o48dxz-igloo%20kulfi%20royal%20kesari%2065%20ml.png?versionId=ZiYB4Lsuh2UaN0CgZe1UmtX1EHbcZZMA")</f>
        <v/>
      </c>
      <c r="L290" s="18"/>
      <c r="M290" s="10"/>
      <c r="N290" s="10"/>
    </row>
    <row r="291">
      <c r="A291" s="19" t="s">
        <v>499</v>
      </c>
      <c r="B291" s="29" t="s">
        <v>387</v>
      </c>
      <c r="C291" s="21">
        <v>3.5</v>
      </c>
      <c r="D291" s="22" t="s">
        <v>500</v>
      </c>
      <c r="E291" s="6"/>
      <c r="F291" s="18"/>
      <c r="G291" s="18"/>
      <c r="H291" s="18"/>
      <c r="I291" s="18"/>
      <c r="J291" s="9" t="s">
        <v>16</v>
      </c>
      <c r="K291" s="18" t="str">
        <f>IMAGE("https://cdn.store.link/products/ayiraminimart50505/tvo26v-igloo%20push%20up%20semi-milk.png?versionId=qEtiP1O4uaL8trINljKZr_ZO58_5elA7")</f>
        <v/>
      </c>
      <c r="L291" s="18"/>
      <c r="M291" s="10"/>
      <c r="N291" s="10"/>
    </row>
    <row r="292">
      <c r="A292" s="19" t="s">
        <v>501</v>
      </c>
      <c r="B292" s="29" t="s">
        <v>387</v>
      </c>
      <c r="C292" s="21">
        <v>4.5</v>
      </c>
      <c r="D292" s="22" t="s">
        <v>502</v>
      </c>
      <c r="E292" s="6"/>
      <c r="F292" s="18"/>
      <c r="G292" s="18"/>
      <c r="H292" s="18"/>
      <c r="I292" s="18"/>
      <c r="J292" s="9" t="s">
        <v>16</v>
      </c>
      <c r="K292" s="18" t="str">
        <f>IMAGE("https://cdn.store.link/products/ayiraminimart50505/uq8jl8-dairy%20sarin%2090%20g.png?versionId=j76kLj4kcMScSfezgtL.yLS62RDrFg_w")</f>
        <v/>
      </c>
      <c r="L292" s="18"/>
      <c r="M292" s="10"/>
      <c r="N292" s="10"/>
    </row>
    <row r="293">
      <c r="A293" s="19" t="s">
        <v>503</v>
      </c>
      <c r="B293" s="29" t="s">
        <v>387</v>
      </c>
      <c r="C293" s="21">
        <v>2.0</v>
      </c>
      <c r="D293" s="22" t="s">
        <v>504</v>
      </c>
      <c r="E293" s="6"/>
      <c r="F293" s="18"/>
      <c r="G293" s="18"/>
      <c r="H293" s="18"/>
      <c r="I293" s="18"/>
      <c r="J293" s="9" t="s">
        <v>16</v>
      </c>
      <c r="K293" s="18" t="str">
        <f>IMAGE("https://cdn.store.link/products/ayiraminimart50505/uq4h5o-igloo%20big%203%20in%201%2058%20g.png?versionId=zaN1vDyE_D6ikgH4reftXe20IxYWcHrs")</f>
        <v/>
      </c>
      <c r="L293" s="18"/>
      <c r="M293" s="10"/>
      <c r="N293" s="10"/>
    </row>
    <row r="294">
      <c r="A294" s="19" t="s">
        <v>505</v>
      </c>
      <c r="B294" s="29" t="s">
        <v>387</v>
      </c>
      <c r="C294" s="21">
        <v>2.5</v>
      </c>
      <c r="D294" s="22" t="s">
        <v>506</v>
      </c>
      <c r="E294" s="6"/>
      <c r="F294" s="18"/>
      <c r="G294" s="18"/>
      <c r="H294" s="18"/>
      <c r="I294" s="18"/>
      <c r="J294" s="9" t="s">
        <v>16</v>
      </c>
      <c r="K294" s="18" t="str">
        <f>IMAGE("https://cdn.store.link/products/ayiraminimart50505/ymiyd6-igloo%20hyperloop%2068%20g.png?versionId=TJg2m9Chw0V_MBTrPLZhuv2i58syd2Dk")</f>
        <v/>
      </c>
      <c r="L294" s="18"/>
      <c r="M294" s="10"/>
      <c r="N294" s="10"/>
    </row>
    <row r="295">
      <c r="A295" s="19" t="s">
        <v>507</v>
      </c>
      <c r="B295" s="29" t="s">
        <v>387</v>
      </c>
      <c r="C295" s="21">
        <v>2.5</v>
      </c>
      <c r="D295" s="22" t="s">
        <v>508</v>
      </c>
      <c r="E295" s="6"/>
      <c r="F295" s="18"/>
      <c r="G295" s="18"/>
      <c r="H295" s="18"/>
      <c r="I295" s="18"/>
      <c r="J295" s="9" t="s">
        <v>16</v>
      </c>
      <c r="K295" s="18" t="str">
        <f>IMAGE("https://cdn.store.link/products/ayiraminimart50505/f8i-po-igloo%20vanilla%20sandwich%20evens%2055%20g.png?versionId=X018LDdjLaTmrbLzKDAub5JjuarKHAYU")</f>
        <v/>
      </c>
      <c r="L295" s="18"/>
      <c r="M295" s="10"/>
      <c r="N295" s="10"/>
    </row>
    <row r="296">
      <c r="A296" s="19" t="s">
        <v>509</v>
      </c>
      <c r="B296" s="29" t="s">
        <v>387</v>
      </c>
      <c r="C296" s="21">
        <v>1.5</v>
      </c>
      <c r="D296" s="22" t="s">
        <v>510</v>
      </c>
      <c r="E296" s="6"/>
      <c r="F296" s="18"/>
      <c r="G296" s="18"/>
      <c r="H296" s="18"/>
      <c r="I296" s="18"/>
      <c r="J296" s="9" t="s">
        <v>16</v>
      </c>
      <c r="K296" s="18" t="str">
        <f>IMAGE("https://cdn.store.link/products/ayiraminimart50505/k-yusf-ice%20pop%20blue%20raspberry%2054%20g.png?versionId=aH1tpXoy1mHEnjNpKW7BiSoy99nbc3HV")</f>
        <v/>
      </c>
      <c r="L296" s="18"/>
      <c r="M296" s="10"/>
      <c r="N296" s="10"/>
    </row>
    <row r="297">
      <c r="A297" s="19" t="s">
        <v>511</v>
      </c>
      <c r="B297" s="29" t="s">
        <v>387</v>
      </c>
      <c r="C297" s="21">
        <v>1.5</v>
      </c>
      <c r="D297" s="22" t="s">
        <v>512</v>
      </c>
      <c r="E297" s="6"/>
      <c r="F297" s="18"/>
      <c r="G297" s="18"/>
      <c r="H297" s="18"/>
      <c r="I297" s="18"/>
      <c r="J297" s="9" t="s">
        <v>16</v>
      </c>
      <c r="K297" s="18" t="str">
        <f>IMAGE("https://cdn.store.link/products/ayiraminimart50505/cz8lhz-semi-ice%20milk%20vanilla%2044%20g.png?versionId=lUldIkbxdzbHygfa0OYlCO6rLg6pyxSI")</f>
        <v/>
      </c>
      <c r="L297" s="18"/>
      <c r="M297" s="10"/>
      <c r="N297" s="10"/>
    </row>
    <row r="298">
      <c r="A298" s="19" t="s">
        <v>513</v>
      </c>
      <c r="B298" s="29" t="s">
        <v>387</v>
      </c>
      <c r="C298" s="21">
        <v>3.5</v>
      </c>
      <c r="D298" s="22" t="s">
        <v>514</v>
      </c>
      <c r="E298" s="6"/>
      <c r="F298" s="18"/>
      <c r="G298" s="18"/>
      <c r="H298" s="18"/>
      <c r="I298" s="18"/>
      <c r="J298" s="9" t="s">
        <v>16</v>
      </c>
      <c r="K298" s="18" t="str">
        <f>IMAGE("https://cdn.store.link/products/ayiraminimart50505/p49464-dairy%20fruity%20spiral%205%20g.png?versionId=63DyHF1Tg6dU6vopLJVrtkX8BQ1Rkbm9")</f>
        <v/>
      </c>
      <c r="L298" s="18"/>
      <c r="M298" s="10"/>
      <c r="N298" s="10"/>
    </row>
    <row r="299">
      <c r="A299" s="19" t="s">
        <v>515</v>
      </c>
      <c r="B299" s="29" t="s">
        <v>387</v>
      </c>
      <c r="C299" s="21">
        <v>1.5</v>
      </c>
      <c r="D299" s="22" t="s">
        <v>391</v>
      </c>
      <c r="E299" s="6"/>
      <c r="F299" s="18"/>
      <c r="G299" s="18"/>
      <c r="H299" s="18"/>
      <c r="I299" s="18"/>
      <c r="J299" s="9" t="s">
        <v>16</v>
      </c>
      <c r="K299" s="18" t="str">
        <f>IMAGE("https://cdn.store.link/products/ayiraminimart50505/7q37ll-dandy%20swirly%2080%20ml.png?versionId=sNm7j3bXOMInhPXMhEppOdss34VYyvYd")</f>
        <v/>
      </c>
      <c r="L299" s="18"/>
      <c r="M299" s="10"/>
      <c r="N299" s="10"/>
    </row>
    <row r="300">
      <c r="A300" s="5" t="s">
        <v>516</v>
      </c>
      <c r="B300" s="29" t="s">
        <v>387</v>
      </c>
      <c r="C300" s="21">
        <v>3.5</v>
      </c>
      <c r="D300" s="22" t="s">
        <v>391</v>
      </c>
      <c r="E300" s="6"/>
      <c r="F300" s="18"/>
      <c r="G300" s="18"/>
      <c r="H300" s="18"/>
      <c r="I300" s="18"/>
      <c r="J300" s="9" t="s">
        <v>16</v>
      </c>
      <c r="K300" s="18" t="str">
        <f>IMAGE("https://cdn.store.link/products/ayiraminimart50505/famj6j-dandy%20peanut%20delight%20100ml.jpg?versionId=bp4EvohQc40px2AgJK76DK_Fpmr9ZAtN")</f>
        <v/>
      </c>
      <c r="L300" s="18"/>
      <c r="M300" s="10"/>
      <c r="N300" s="10"/>
    </row>
    <row r="301">
      <c r="A301" s="5" t="s">
        <v>517</v>
      </c>
      <c r="B301" s="29" t="s">
        <v>387</v>
      </c>
      <c r="C301" s="21">
        <v>3.0</v>
      </c>
      <c r="D301" s="22" t="s">
        <v>391</v>
      </c>
      <c r="E301" s="6"/>
      <c r="F301" s="18"/>
      <c r="G301" s="18"/>
      <c r="H301" s="18"/>
      <c r="I301" s="18"/>
      <c r="J301" s="9" t="s">
        <v>16</v>
      </c>
      <c r="K301" s="18" t="str">
        <f>IMAGE("https://cdn.store.link/products/ayiraminimart50505/iebj5c-dandy%20choco%20dandy%20choco%20nuts%20ice%20cream%2085ml%20%E2%80%93%20%D8%AF%D8%A7%D9%86%D8%AF%D9%8A%20choco%20%D9%85%D9%83%D8%B3%D8%B1%D8%A7%D8%AA%20%D8%A2%D9%8A%D8%B3%20%D9%83%D8%B1%D9%8A%D9%85"&amp;"%2085%20%D9%85%D9%84dandy%20choco%20nuts%20ice%20cream%2085ml%20%E2%80%93%20%D8%AF%D8%A7%D9%86%D8%AF%D9%8A%20choco%20%D9%85%D9%83%D8%B3%D8%B1%D8%A7%D8%AA%20%D8%A2%D9%8A%D8%B3%20%D9%83%D8%B1%D9%8A%D9%85%2085%20%D9%85%D9%84nuts%20ice%20cream%2085ml%20%E2%80"&amp;"%93%20%D8%AF%D8%A7%D9%86%D8%AF%D9%8A%20choco%20%D9%85%D9%83%D8%B3%D8%B1%D8%A7%D8%AA%20%D8%A2%D9%8A%D8%B3%20%D9%83%D8%B1%D9%8A%D9%85%2085%20%D9%85%D9%84.jpg?versionId=P0kL6lB3N5UsJi_nO3SI_SpXbjFPsX94")</f>
        <v/>
      </c>
      <c r="L301" s="18"/>
      <c r="M301" s="10"/>
      <c r="N301" s="10"/>
    </row>
    <row r="302">
      <c r="A302" s="5" t="s">
        <v>518</v>
      </c>
      <c r="B302" s="29" t="s">
        <v>387</v>
      </c>
      <c r="C302" s="21">
        <v>3.5</v>
      </c>
      <c r="D302" s="22" t="s">
        <v>391</v>
      </c>
      <c r="E302" s="6"/>
      <c r="F302" s="18"/>
      <c r="G302" s="18"/>
      <c r="H302" s="18"/>
      <c r="I302" s="18"/>
      <c r="J302" s="9" t="s">
        <v>16</v>
      </c>
      <c r="K302" s="18" t="str">
        <f>IMAGE("https://cdn.store.link/products/ayiraminimart50505/2t1hqh-dandy%20almond%20delight%20100ml.jpg?versionId=DfeJ0SmrY6elrugRlNX.J4aa4mBcp55i")</f>
        <v/>
      </c>
      <c r="L302" s="18"/>
      <c r="M302" s="10"/>
      <c r="N302" s="10"/>
    </row>
    <row r="303">
      <c r="A303" s="5" t="s">
        <v>519</v>
      </c>
      <c r="B303" s="29" t="s">
        <v>387</v>
      </c>
      <c r="C303" s="21">
        <v>3.5</v>
      </c>
      <c r="D303" s="22" t="s">
        <v>391</v>
      </c>
      <c r="E303" s="6"/>
      <c r="F303" s="18"/>
      <c r="G303" s="18"/>
      <c r="H303" s="18"/>
      <c r="I303" s="18"/>
      <c r="J303" s="9" t="s">
        <v>16</v>
      </c>
      <c r="K303" s="18" t="str">
        <f>IMAGE("https://cdn.store.link/products/ayiraminimart50505/hj1jce-dandy%2050-50%20100ml.jpg?versionId=xWfVZhslpQz0iHrK7lai7HxeyxuN3t8D")</f>
        <v/>
      </c>
      <c r="L303" s="18"/>
      <c r="M303" s="10"/>
      <c r="N303" s="10"/>
    </row>
    <row r="304">
      <c r="A304" s="5" t="s">
        <v>520</v>
      </c>
      <c r="B304" s="29" t="s">
        <v>387</v>
      </c>
      <c r="C304" s="21">
        <v>2.0</v>
      </c>
      <c r="D304" s="22" t="s">
        <v>391</v>
      </c>
      <c r="E304" s="6"/>
      <c r="F304" s="18"/>
      <c r="G304" s="18"/>
      <c r="H304" s="18"/>
      <c r="I304" s="18"/>
      <c r="J304" s="9" t="s">
        <v>16</v>
      </c>
      <c r="K304" s="18" t="str">
        <f>IMAGE("https://cdn.store.link/products/ayiraminimart50505/6ppgxm-dandy%20choco%20bar%20ice%20cream%2060ml%20%E2%80%93%20%D8%AF%D8%A7%D9%86%D8%AF%D9%8A%20choco%20%D9%82%D8%B7%D8%B9%D8%A9%20%D8%A2%D9%8A%D8%B3%20%D9%83%D8%B1%D9%8A%D9%85%2060%20%D9%85%D9%84.jpg?vers"&amp;"ionId=9rMMi4vz.VCQFaalrUlBzDEEXTBO3qJ1")</f>
        <v/>
      </c>
      <c r="L304" s="18"/>
      <c r="M304" s="10"/>
      <c r="N304" s="10"/>
    </row>
    <row r="305">
      <c r="A305" s="19" t="s">
        <v>521</v>
      </c>
      <c r="B305" s="29" t="s">
        <v>387</v>
      </c>
      <c r="C305" s="21">
        <v>1.5</v>
      </c>
      <c r="D305" s="22" t="s">
        <v>391</v>
      </c>
      <c r="E305" s="6"/>
      <c r="F305" s="18"/>
      <c r="G305" s="18"/>
      <c r="H305" s="18"/>
      <c r="I305" s="18"/>
      <c r="J305" s="9" t="s">
        <v>16</v>
      </c>
      <c r="K305" s="18" t="str">
        <f>IMAGE("https://cdn.store.link/products/ayiraminimart50505/y0z8gj-dandy%20stack%20up%20ice%20cream%2080ml%20%E2%80%93%20%D8%AF%D8%A7%D9%86%D8%AF%D9%8A%20stack%20up%20%D8%A2%D9%8A%D8%B3%20%D9%83%D8%B1%D9%8A%D9%85%2080%20%D9%85%D9%84.jpg?versionId=3L94QFzcj0dqjaglS"&amp;"CqomywgI8e0BNSv")</f>
        <v/>
      </c>
      <c r="L305" s="18"/>
      <c r="M305" s="10"/>
      <c r="N305" s="10"/>
    </row>
    <row r="306">
      <c r="A306" s="19" t="s">
        <v>522</v>
      </c>
      <c r="B306" s="29" t="s">
        <v>387</v>
      </c>
      <c r="C306" s="21">
        <v>5.0</v>
      </c>
      <c r="D306" s="22" t="s">
        <v>523</v>
      </c>
      <c r="E306" s="6"/>
      <c r="F306" s="18"/>
      <c r="G306" s="18"/>
      <c r="H306" s="18"/>
      <c r="I306" s="18"/>
      <c r="J306" s="9" t="s">
        <v>16</v>
      </c>
      <c r="K306" s="18" t="str">
        <f>IMAGE("https://cdn.store.link/products/ayiraminimart50505/y9mz3z-daity%20sarin%20ice%20cream%2090ml%20%E2%80%93%20daity%20sarin%20%D8%A2%D9%8A%D8%B3%20%D9%83%D8%B1%D9%8A%D9%85%2090%20%D9%85%D9%84.png?versionId=PxUcqLMdITB2LQ30_..TgprNtMIEjV.u")</f>
        <v/>
      </c>
      <c r="L306" s="18"/>
      <c r="M306" s="10"/>
      <c r="N306" s="10"/>
    </row>
    <row r="307">
      <c r="A307" s="19" t="s">
        <v>524</v>
      </c>
      <c r="B307" s="29" t="s">
        <v>387</v>
      </c>
      <c r="C307" s="21">
        <v>5.0</v>
      </c>
      <c r="D307" s="22" t="s">
        <v>525</v>
      </c>
      <c r="E307" s="6"/>
      <c r="F307" s="18"/>
      <c r="G307" s="18"/>
      <c r="H307" s="18"/>
      <c r="I307" s="18"/>
      <c r="J307" s="9" t="s">
        <v>16</v>
      </c>
      <c r="K307" s="18" t="str">
        <f>IMAGE("https://cdn.store.link/products/ayiraminimart50505/y8uo3--daity%20amiral%2080%20gm.png?versionId=RVyit8.ttT6ZakYuRkFNM2QNLBoP602m")</f>
        <v/>
      </c>
      <c r="L307" s="18"/>
      <c r="M307" s="10"/>
      <c r="N307" s="10"/>
    </row>
    <row r="308">
      <c r="A308" s="5" t="s">
        <v>526</v>
      </c>
      <c r="B308" s="29" t="s">
        <v>387</v>
      </c>
      <c r="C308" s="21">
        <v>2.5</v>
      </c>
      <c r="D308" s="22" t="s">
        <v>391</v>
      </c>
      <c r="E308" s="6"/>
      <c r="F308" s="18"/>
      <c r="G308" s="18"/>
      <c r="H308" s="18"/>
      <c r="I308" s="18"/>
      <c r="J308" s="9" t="s">
        <v>16</v>
      </c>
      <c r="K308" s="18" t="str">
        <f>IMAGE("https://cdn.store.link/products/ayiraminimart50505/e6jjle-dandy%20ice%20cream%20sandwich%20100ml.png?versionId=U.vruOqTx9nzZcls7Is5eNSFuqttvEYf")</f>
        <v/>
      </c>
      <c r="L308" s="18"/>
      <c r="M308" s="10"/>
      <c r="N308" s="10"/>
    </row>
    <row r="309">
      <c r="A309" s="19" t="s">
        <v>527</v>
      </c>
      <c r="B309" s="29" t="s">
        <v>387</v>
      </c>
      <c r="C309" s="21">
        <v>1.5</v>
      </c>
      <c r="D309" s="22" t="s">
        <v>391</v>
      </c>
      <c r="E309" s="6"/>
      <c r="F309" s="18"/>
      <c r="G309" s="18"/>
      <c r="H309" s="18"/>
      <c r="I309" s="18"/>
      <c r="J309" s="9" t="s">
        <v>16</v>
      </c>
      <c r="K309" s="18" t="str">
        <f>IMAGE("https://cdn.store.link/products/ayiraminimart50505/3h36mz-dandy%20trio%2080%20ml.png?versionId=UYZvGOLFWQBYHRQOExu2AYjjmrSQc.4s")</f>
        <v/>
      </c>
      <c r="L309" s="18"/>
      <c r="M309" s="10"/>
      <c r="N309" s="10"/>
    </row>
    <row r="310">
      <c r="A310" s="5" t="s">
        <v>528</v>
      </c>
      <c r="B310" s="29" t="s">
        <v>387</v>
      </c>
      <c r="C310" s="22">
        <v>1.0</v>
      </c>
      <c r="D310" s="22" t="s">
        <v>400</v>
      </c>
      <c r="E310" s="6"/>
      <c r="F310" s="18"/>
      <c r="G310" s="18"/>
      <c r="H310" s="18"/>
      <c r="I310" s="18"/>
      <c r="J310" s="9" t="s">
        <v>16</v>
      </c>
      <c r="K310" s="18" t="str">
        <f>IMAGE("https://cdn.store.link/products/ayiraminimart50505/bbr2qb-kdd%20vanilla%20ice%20cream%20biscuit%20sandwich%2077%20ml.png?versionId=AJ4v5yLNlbxFIRiGTHH864bb1y2R0Ure")</f>
        <v/>
      </c>
      <c r="L310" s="18"/>
      <c r="M310" s="10"/>
      <c r="N310" s="10"/>
    </row>
    <row r="311">
      <c r="A311" s="5" t="s">
        <v>529</v>
      </c>
      <c r="B311" s="29" t="s">
        <v>387</v>
      </c>
      <c r="C311" s="22">
        <v>3.5</v>
      </c>
      <c r="D311" s="22" t="s">
        <v>400</v>
      </c>
      <c r="E311" s="6"/>
      <c r="F311" s="18"/>
      <c r="G311" s="18"/>
      <c r="H311" s="18"/>
      <c r="I311" s="18"/>
      <c r="J311" s="9" t="s">
        <v>16</v>
      </c>
      <c r="K311" s="18" t="str">
        <f>IMAGE("https://cdn.store.link/products/ayiraminimart50505/ugee-b-kdd%20lulu%20ice%20cream%20%E2%80%93%20chocolate%20?versionId=BCU6pMZ13995Wt1zNUy7DJfe0ceE99RD")</f>
        <v/>
      </c>
      <c r="L311" s="18"/>
      <c r="M311" s="10"/>
      <c r="N311" s="10"/>
    </row>
    <row r="312">
      <c r="A312" s="5" t="s">
        <v>530</v>
      </c>
      <c r="B312" s="29" t="s">
        <v>387</v>
      </c>
      <c r="C312" s="22">
        <v>1.0</v>
      </c>
      <c r="D312" s="22" t="s">
        <v>531</v>
      </c>
      <c r="E312" s="6"/>
      <c r="F312" s="18"/>
      <c r="G312" s="18"/>
      <c r="H312" s="18"/>
      <c r="I312" s="18"/>
      <c r="J312" s="9" t="s">
        <v>16</v>
      </c>
      <c r="K312" s="18" t="str">
        <f>IMAGE("https://cdn.store.link/products/ayiraminimart50505/dtw3eg-kdd%20orange%20lolly%20water%20ice%2062.5%20gm.png?versionId=.IenoFo.n9AvBPcv8_Z2Q.4K7PaRkouj")</f>
        <v/>
      </c>
      <c r="L312" s="18"/>
      <c r="M312" s="10"/>
      <c r="N312" s="10"/>
    </row>
    <row r="313">
      <c r="A313" s="5" t="s">
        <v>532</v>
      </c>
      <c r="B313" s="29" t="s">
        <v>387</v>
      </c>
      <c r="C313" s="21">
        <v>3.0</v>
      </c>
      <c r="D313" s="22" t="s">
        <v>400</v>
      </c>
      <c r="E313" s="6"/>
      <c r="F313" s="18"/>
      <c r="G313" s="18"/>
      <c r="H313" s="18"/>
      <c r="I313" s="18"/>
      <c r="J313" s="9" t="s">
        <v>16</v>
      </c>
      <c r="K313" s="18" t="str">
        <f>IMAGE("https://cdn.store.link/products/ayiraminimart50505/bcpv12-kdd%20vanilla%20almond%20ice%20cream%2095%20gm.jpg?versionId=UfZ3QmDg_4A1kn92qDbG7H74oPQcV6Rx")</f>
        <v/>
      </c>
      <c r="L313" s="18"/>
      <c r="M313" s="10"/>
      <c r="N313" s="10"/>
    </row>
    <row r="314">
      <c r="A314" s="5" t="s">
        <v>533</v>
      </c>
      <c r="B314" s="29" t="s">
        <v>387</v>
      </c>
      <c r="C314" s="21">
        <v>1.5</v>
      </c>
      <c r="D314" s="22" t="s">
        <v>400</v>
      </c>
      <c r="E314" s="6"/>
      <c r="F314" s="18"/>
      <c r="G314" s="18"/>
      <c r="H314" s="18"/>
      <c r="I314" s="18"/>
      <c r="J314" s="9" t="s">
        <v>16</v>
      </c>
      <c r="K314" s="18" t="str">
        <f>IMAGE("https://cdn.store.link/products/ayiraminimart50505/0r9p1m-kdd%20choco%20rico%20ice%20cream%2062.5%20gm.jpg?versionId=GWaI8UB7vCnQHFk8UO9RZxKeLKp5aZMv")</f>
        <v/>
      </c>
      <c r="L314" s="18"/>
      <c r="M314" s="10"/>
      <c r="N314" s="10"/>
    </row>
    <row r="315">
      <c r="A315" s="5" t="s">
        <v>534</v>
      </c>
      <c r="B315" s="29" t="s">
        <v>387</v>
      </c>
      <c r="C315" s="21">
        <v>1.5</v>
      </c>
      <c r="D315" s="22" t="s">
        <v>400</v>
      </c>
      <c r="E315" s="6"/>
      <c r="F315" s="18"/>
      <c r="G315" s="18"/>
      <c r="H315" s="18"/>
      <c r="I315" s="18"/>
      <c r="J315" s="9" t="s">
        <v>16</v>
      </c>
      <c r="K315" s="18" t="str">
        <f>IMAGE("https://cdn.store.link/products/ayiraminimart50505/ri4j0u-kdd%20strawberry%20ice%20cream%20100%20gm.jpg?versionId=sRnoMsjnrjxuXWvQenBf5xhHdp9Pe9vU")</f>
        <v/>
      </c>
      <c r="L315" s="18"/>
      <c r="M315" s="10"/>
      <c r="N315" s="10"/>
    </row>
    <row r="316">
      <c r="A316" s="19" t="s">
        <v>535</v>
      </c>
      <c r="B316" s="29" t="s">
        <v>387</v>
      </c>
      <c r="C316" s="21">
        <v>1.5</v>
      </c>
      <c r="D316" s="22" t="s">
        <v>400</v>
      </c>
      <c r="E316" s="6"/>
      <c r="F316" s="18"/>
      <c r="G316" s="18"/>
      <c r="H316" s="18"/>
      <c r="I316" s="18"/>
      <c r="J316" s="9" t="s">
        <v>16</v>
      </c>
      <c r="K316" s="18"/>
      <c r="L316" s="18"/>
      <c r="M316" s="10"/>
      <c r="N316" s="10"/>
    </row>
    <row r="317">
      <c r="A317" s="5" t="s">
        <v>536</v>
      </c>
      <c r="B317" s="29" t="s">
        <v>387</v>
      </c>
      <c r="C317" s="21">
        <v>1.5</v>
      </c>
      <c r="D317" s="22" t="s">
        <v>400</v>
      </c>
      <c r="E317" s="6"/>
      <c r="F317" s="18"/>
      <c r="G317" s="18"/>
      <c r="H317" s="18"/>
      <c r="I317" s="18"/>
      <c r="J317" s="9" t="s">
        <v>40</v>
      </c>
      <c r="K317" s="18" t="str">
        <f>IMAGE("https://cdn.store.link/products/ayiraminimart50505/fxudy1-kdd%20chocolate%20ice%20cream%20100%20gm.jpg?versionId=0L4Wg5ShrBrAK67_4erqKul3Q4eeL09i")</f>
        <v/>
      </c>
      <c r="L317" s="18"/>
      <c r="M317" s="10"/>
      <c r="N317" s="10"/>
    </row>
    <row r="318">
      <c r="A318" s="5" t="s">
        <v>529</v>
      </c>
      <c r="B318" s="29" t="s">
        <v>387</v>
      </c>
      <c r="C318" s="21">
        <v>3.5</v>
      </c>
      <c r="D318" s="22" t="s">
        <v>400</v>
      </c>
      <c r="E318" s="6"/>
      <c r="F318" s="18"/>
      <c r="G318" s="18"/>
      <c r="H318" s="18"/>
      <c r="I318" s="18"/>
      <c r="J318" s="9" t="s">
        <v>16</v>
      </c>
      <c r="K318" s="18" t="str">
        <f>IMAGE("https://cdn.store.link/products/ayiraminimart50505/ugee-b-kdd%20lulu%20ice%20cream%20%E2%80%93%20chocolate%20?versionId=BCU6pMZ13995Wt1zNUy7DJfe0ceE99RD")</f>
        <v/>
      </c>
      <c r="L318" s="18"/>
      <c r="M318" s="10"/>
      <c r="N318" s="10"/>
    </row>
    <row r="319">
      <c r="A319" s="5" t="s">
        <v>530</v>
      </c>
      <c r="B319" s="29" t="s">
        <v>387</v>
      </c>
      <c r="C319" s="21">
        <v>1.0</v>
      </c>
      <c r="D319" s="22" t="s">
        <v>531</v>
      </c>
      <c r="E319" s="6"/>
      <c r="F319" s="18"/>
      <c r="G319" s="18"/>
      <c r="H319" s="18"/>
      <c r="I319" s="18"/>
      <c r="J319" s="9" t="s">
        <v>16</v>
      </c>
      <c r="K319" s="18" t="str">
        <f>IMAGE("https://cdn.store.link/products/ayiraminimart50505/dtw3eg-kdd%20orange%20lolly%20water%20ice%2062.5%20gm.png?versionId=.IenoFo.n9AvBPcv8_Z2Q.4K7PaRkouj")</f>
        <v/>
      </c>
      <c r="L319" s="18"/>
      <c r="M319" s="10"/>
      <c r="N319" s="10"/>
    </row>
    <row r="320">
      <c r="A320" s="5" t="s">
        <v>532</v>
      </c>
      <c r="B320" s="29" t="s">
        <v>387</v>
      </c>
      <c r="C320" s="30"/>
      <c r="D320" s="22" t="s">
        <v>400</v>
      </c>
      <c r="E320" s="6"/>
      <c r="F320" s="18"/>
      <c r="G320" s="18"/>
      <c r="H320" s="18"/>
      <c r="I320" s="18"/>
      <c r="J320" s="9" t="s">
        <v>40</v>
      </c>
      <c r="K320" s="18" t="str">
        <f>IMAGE("https://cdn.store.link/products/ayiraminimart50505/bcpv12-kdd%20vanilla%20almond%20ice%20cream%2095%20gm.jpg?versionId=UfZ3QmDg_4A1kn92qDbG7H74oPQcV6Rx")</f>
        <v/>
      </c>
      <c r="L320" s="18"/>
      <c r="M320" s="10"/>
      <c r="N320" s="10"/>
    </row>
    <row r="321">
      <c r="A321" s="5" t="s">
        <v>533</v>
      </c>
      <c r="B321" s="29" t="s">
        <v>387</v>
      </c>
      <c r="C321" s="30"/>
      <c r="D321" s="22" t="s">
        <v>400</v>
      </c>
      <c r="E321" s="6"/>
      <c r="F321" s="18"/>
      <c r="G321" s="18"/>
      <c r="H321" s="18"/>
      <c r="I321" s="18"/>
      <c r="J321" s="9" t="s">
        <v>40</v>
      </c>
      <c r="K321" s="18" t="str">
        <f>IMAGE("https://cdn.store.link/products/ayiraminimart50505/0r9p1m-kdd%20choco%20rico%20ice%20cream%2062.5%20gm.jpg?versionId=GWaI8UB7vCnQHFk8UO9RZxKeLKp5aZMv")</f>
        <v/>
      </c>
      <c r="L321" s="18"/>
      <c r="M321" s="10"/>
      <c r="N321" s="10"/>
    </row>
    <row r="322">
      <c r="A322" s="5" t="s">
        <v>534</v>
      </c>
      <c r="B322" s="29" t="s">
        <v>387</v>
      </c>
      <c r="C322" s="30"/>
      <c r="D322" s="22" t="s">
        <v>400</v>
      </c>
      <c r="E322" s="6"/>
      <c r="F322" s="18"/>
      <c r="G322" s="18"/>
      <c r="H322" s="18"/>
      <c r="I322" s="18"/>
      <c r="J322" s="9" t="s">
        <v>40</v>
      </c>
      <c r="K322" s="18" t="str">
        <f>IMAGE("https://cdn.store.link/products/ayiraminimart50505/ri4j0u-kdd%20strawberry%20ice%20cream%20100%20gm.jpg?versionId=sRnoMsjnrjxuXWvQenBf5xhHdp9Pe9vU")</f>
        <v/>
      </c>
      <c r="L322" s="18"/>
      <c r="M322" s="10"/>
      <c r="N322" s="10"/>
    </row>
    <row r="323">
      <c r="A323" s="19" t="s">
        <v>535</v>
      </c>
      <c r="B323" s="29" t="s">
        <v>387</v>
      </c>
      <c r="C323" s="30"/>
      <c r="D323" s="22" t="s">
        <v>400</v>
      </c>
      <c r="E323" s="6"/>
      <c r="F323" s="18"/>
      <c r="G323" s="18"/>
      <c r="H323" s="18"/>
      <c r="I323" s="18"/>
      <c r="J323" s="9" t="s">
        <v>16</v>
      </c>
      <c r="K323" s="18"/>
      <c r="L323" s="18"/>
      <c r="M323" s="10"/>
      <c r="N323" s="10"/>
    </row>
    <row r="324">
      <c r="A324" s="5" t="s">
        <v>536</v>
      </c>
      <c r="B324" s="29" t="s">
        <v>387</v>
      </c>
      <c r="C324" s="21">
        <v>3.5</v>
      </c>
      <c r="D324" s="22" t="s">
        <v>400</v>
      </c>
      <c r="E324" s="6"/>
      <c r="F324" s="18"/>
      <c r="G324" s="18"/>
      <c r="H324" s="18"/>
      <c r="I324" s="18"/>
      <c r="J324" s="9" t="s">
        <v>16</v>
      </c>
      <c r="K324" s="18" t="str">
        <f>IMAGE("https://cdn.store.link/products/ayiraminimart50505/q8-9kd-kdd%20chocolate%20ice%20cream%20silver%20cones%20100c.jpg?versionId=DSnC3KkLk7WdCD7Buum.DlObcG.YIIci")</f>
        <v/>
      </c>
      <c r="L324" s="18"/>
      <c r="M324" s="10"/>
      <c r="N324" s="10"/>
    </row>
    <row r="325">
      <c r="A325" s="5" t="s">
        <v>537</v>
      </c>
      <c r="B325" s="29" t="s">
        <v>387</v>
      </c>
      <c r="C325" s="21">
        <v>6.0</v>
      </c>
      <c r="D325" s="22" t="s">
        <v>538</v>
      </c>
      <c r="E325" s="6"/>
      <c r="F325" s="18"/>
      <c r="G325" s="18"/>
      <c r="H325" s="18"/>
      <c r="I325" s="18"/>
      <c r="J325" s="9" t="s">
        <v>16</v>
      </c>
      <c r="K325" s="18" t="str">
        <f>IMAGE("https://cdn.store.link/products/ayiraminimart50505/53kkpe-galaxy%20hazelnut%20?versionId=Sjukv1z6iYi9jAkMXl2p2wlG6gJYPMz5")</f>
        <v/>
      </c>
      <c r="L325" s="18"/>
      <c r="M325" s="10"/>
      <c r="N325" s="10"/>
    </row>
    <row r="326">
      <c r="A326" s="19" t="s">
        <v>539</v>
      </c>
      <c r="B326" s="29" t="s">
        <v>387</v>
      </c>
      <c r="C326" s="21">
        <v>6.0</v>
      </c>
      <c r="D326" s="22" t="s">
        <v>540</v>
      </c>
      <c r="E326" s="6"/>
      <c r="F326" s="18"/>
      <c r="G326" s="18"/>
      <c r="H326" s="18"/>
      <c r="I326" s="18"/>
      <c r="J326" s="9" t="s">
        <v>16</v>
      </c>
      <c r="K326" s="18" t="str">
        <f>IMAGE("https://cdn.store.link/products/ayiraminimart50505/pw8vxg-glace%20vanilla%20ice%20cream%20%E2%80%93%2059%20gm.png?versionId=FzgbhzLsvvnHMkr4ErNH4It4g7Go_Uln")</f>
        <v/>
      </c>
      <c r="L326" s="18"/>
      <c r="M326" s="10"/>
      <c r="N326" s="10"/>
    </row>
    <row r="327">
      <c r="A327" s="19" t="s">
        <v>541</v>
      </c>
      <c r="B327" s="29" t="s">
        <v>387</v>
      </c>
      <c r="C327" s="21">
        <v>7.0</v>
      </c>
      <c r="D327" s="22" t="s">
        <v>542</v>
      </c>
      <c r="E327" s="6"/>
      <c r="F327" s="18"/>
      <c r="G327" s="18"/>
      <c r="H327" s="18"/>
      <c r="I327" s="18"/>
      <c r="J327" s="9" t="s">
        <v>16</v>
      </c>
      <c r="K327" s="18" t="str">
        <f>IMAGE("https://cdn.store.link/products/ayiraminimart50505/10i1n1-stickers%20ice%20cream%20%E2%80%93%2070%20gm.png?versionId=d8mDDLT5FihlVDRQT5MBT1mp4JXnKknq")</f>
        <v/>
      </c>
      <c r="L327" s="18"/>
      <c r="M327" s="10"/>
      <c r="N327" s="10"/>
    </row>
    <row r="328">
      <c r="A328" s="5" t="s">
        <v>543</v>
      </c>
      <c r="B328" s="29" t="s">
        <v>387</v>
      </c>
      <c r="C328" s="21">
        <v>7.0</v>
      </c>
      <c r="D328" s="22" t="s">
        <v>544</v>
      </c>
      <c r="E328" s="6"/>
      <c r="F328" s="18"/>
      <c r="G328" s="18"/>
      <c r="H328" s="18"/>
      <c r="I328" s="18"/>
      <c r="J328" s="9" t="s">
        <v>16</v>
      </c>
      <c r="K328" s="18" t="str">
        <f>IMAGE("https://cdn.store.link/products/ayiraminimart50505/dkdel--galaxy%20almond%20ice%20cream%20%E2%80%93%2058%20gm.png?versionId=BA5xmMYDcrPCmAaVhhK10pjFCZjYGBwU")</f>
        <v/>
      </c>
      <c r="L328" s="18"/>
      <c r="M328" s="10"/>
      <c r="N328" s="10"/>
    </row>
    <row r="329">
      <c r="A329" s="19" t="s">
        <v>545</v>
      </c>
      <c r="B329" s="29" t="s">
        <v>387</v>
      </c>
      <c r="C329" s="21">
        <v>8.0</v>
      </c>
      <c r="D329" s="22" t="s">
        <v>546</v>
      </c>
      <c r="E329" s="6"/>
      <c r="F329" s="18"/>
      <c r="G329" s="18"/>
      <c r="H329" s="18"/>
      <c r="I329" s="18"/>
      <c r="J329" s="9" t="s">
        <v>16</v>
      </c>
      <c r="K329" s="18" t="str">
        <f>IMAGE("https://cdn.store.link/products/ayiraminimart50505/stwemh-stickers%20ice%20cream%20%E2%80%93%2073.5%20gm.png?versionId=9dJBlvli33F43pR05JTGjzeXO.1MulqR")</f>
        <v/>
      </c>
      <c r="L329" s="18"/>
      <c r="M329" s="10"/>
      <c r="N329" s="10"/>
    </row>
    <row r="330">
      <c r="A330" s="5" t="s">
        <v>547</v>
      </c>
      <c r="B330" s="29" t="s">
        <v>387</v>
      </c>
      <c r="C330" s="21">
        <v>4.5</v>
      </c>
      <c r="D330" s="22" t="s">
        <v>548</v>
      </c>
      <c r="E330" s="6"/>
      <c r="F330" s="18"/>
      <c r="G330" s="18"/>
      <c r="H330" s="18"/>
      <c r="I330" s="18"/>
      <c r="J330" s="9" t="s">
        <v>16</v>
      </c>
      <c r="K330" s="18" t="str">
        <f>IMAGE("https://cdn.store.link/products/ayiraminimart50505/z4h568-mars%20ice%20cream%20%E2%80%93%2051%20gm.png?versionId=YYnSlFpjRvkznTz_VLriWcbvw1aaFMbe")</f>
        <v/>
      </c>
      <c r="L330" s="18"/>
      <c r="M330" s="10"/>
      <c r="N330" s="10"/>
    </row>
    <row r="331">
      <c r="A331" s="19" t="s">
        <v>549</v>
      </c>
      <c r="B331" s="29" t="s">
        <v>387</v>
      </c>
      <c r="C331" s="21">
        <v>4.5</v>
      </c>
      <c r="D331" s="22" t="s">
        <v>550</v>
      </c>
      <c r="E331" s="6"/>
      <c r="F331" s="18"/>
      <c r="G331" s="18"/>
      <c r="H331" s="18"/>
      <c r="I331" s="18"/>
      <c r="J331" s="9" t="s">
        <v>16</v>
      </c>
      <c r="K331" s="18" t="str">
        <f>IMAGE("https://cdn.store.link/products/ayiraminimart50505/h0nun6-stickers%20peanut%20butter%20creamy%20ice%20cream%20%E2%80%93%2036.5%20gm.png?versionId=rNmgwqNkkjZypKzzbcCc.vSMb646uEj8")</f>
        <v/>
      </c>
      <c r="L331" s="18"/>
      <c r="M331" s="10"/>
      <c r="N331" s="10"/>
    </row>
    <row r="332">
      <c r="A332" s="5" t="s">
        <v>551</v>
      </c>
      <c r="B332" s="29" t="s">
        <v>387</v>
      </c>
      <c r="C332" s="21">
        <v>4.5</v>
      </c>
      <c r="D332" s="22" t="s">
        <v>552</v>
      </c>
      <c r="E332" s="6"/>
      <c r="F332" s="18"/>
      <c r="G332" s="18"/>
      <c r="H332" s="18"/>
      <c r="I332" s="18"/>
      <c r="J332" s="9" t="s">
        <v>16</v>
      </c>
      <c r="K332" s="18" t="str">
        <f>IMAGE("https://cdn.store.link/products/ayiraminimart50505/0lw4ea-twix%20ice%20cream%20%E2%80%93%2040%20gm.png?versionId=aBc3AZbOwcDPwvFNiPUxc2bv9hFZQSNT")</f>
        <v/>
      </c>
      <c r="L332" s="18"/>
      <c r="M332" s="10"/>
      <c r="N332" s="10"/>
    </row>
    <row r="333">
      <c r="A333" s="5" t="s">
        <v>553</v>
      </c>
      <c r="B333" s="29" t="s">
        <v>387</v>
      </c>
      <c r="C333" s="21">
        <v>4.5</v>
      </c>
      <c r="D333" s="22" t="s">
        <v>554</v>
      </c>
      <c r="E333" s="6"/>
      <c r="F333" s="18"/>
      <c r="G333" s="18"/>
      <c r="H333" s="18"/>
      <c r="I333" s="18"/>
      <c r="J333" s="9" t="s">
        <v>16</v>
      </c>
      <c r="K333" s="18" t="str">
        <f>IMAGE("https://cdn.store.link/products/ayiraminimart50505/qws9ww-bounty%20ice%20cream%20%E2%80%93%2050%20gm.png?versionId=KpTNZCPEjiThXTOlAmKIxJYEM25MB9lQ")</f>
        <v/>
      </c>
      <c r="L333" s="18"/>
      <c r="M333" s="10"/>
      <c r="N333" s="10"/>
    </row>
    <row r="334">
      <c r="A334" s="5" t="s">
        <v>555</v>
      </c>
      <c r="B334" s="29" t="s">
        <v>387</v>
      </c>
      <c r="C334" s="21">
        <v>4.5</v>
      </c>
      <c r="D334" s="22" t="s">
        <v>556</v>
      </c>
      <c r="E334" s="6"/>
      <c r="F334" s="18"/>
      <c r="G334" s="18"/>
      <c r="H334" s="18"/>
      <c r="I334" s="18"/>
      <c r="J334" s="9" t="s">
        <v>16</v>
      </c>
      <c r="K334" s="18" t="str">
        <f>IMAGE("https://cdn.store.link/products/ayiraminimart50505/y95j9d-galaxy%20vanilla%20ice%20cream%20%E2%80%93%2050%20gm.png?versionId=QNDXCQ_fdvPkKlKiL2SobYkHj9ju7NNi")</f>
        <v/>
      </c>
      <c r="L334" s="18"/>
      <c r="M334" s="10"/>
      <c r="N334" s="10"/>
    </row>
    <row r="335">
      <c r="A335" s="5" t="s">
        <v>557</v>
      </c>
      <c r="B335" s="29" t="s">
        <v>387</v>
      </c>
      <c r="C335" s="21">
        <v>7.5</v>
      </c>
      <c r="D335" s="22" t="s">
        <v>558</v>
      </c>
      <c r="E335" s="6"/>
      <c r="F335" s="18"/>
      <c r="G335" s="18"/>
      <c r="H335" s="18"/>
      <c r="I335" s="18"/>
      <c r="J335" s="9" t="s">
        <v>40</v>
      </c>
      <c r="K335" s="18" t="str">
        <f>IMAGE("https://cdn.store.link/products/ayiraminimart50505/84vjn0-reese%E2%80%99s%20peanut%20butter%20%E2%80%93%20100%20ml.png?versionId=HYtbTIi95ezok66vc_1fzTvsmCYJOSib")</f>
        <v/>
      </c>
      <c r="L335" s="18"/>
      <c r="M335" s="10"/>
      <c r="N335" s="10"/>
    </row>
    <row r="336">
      <c r="A336" s="5" t="s">
        <v>559</v>
      </c>
      <c r="B336" s="29" t="s">
        <v>387</v>
      </c>
      <c r="C336" s="21">
        <v>7.5</v>
      </c>
      <c r="D336" s="22" t="s">
        <v>560</v>
      </c>
      <c r="E336" s="6"/>
      <c r="F336" s="18"/>
      <c r="G336" s="18"/>
      <c r="H336" s="18"/>
      <c r="I336" s="18"/>
      <c r="J336" s="9" t="s">
        <v>16</v>
      </c>
      <c r="K336" s="18" t="str">
        <f>IMAGE("https://cdn.store.link/products/ayiraminimart50505/2x0jef-reese%E2%80%99s%20peanut%20butter%20sandwich%20ice%20cream%20%E2%80%93%2063%20gm.png?versionId=D5MgLnGR8QHqgUr7PlalSSf9fRbW5ovX")</f>
        <v/>
      </c>
      <c r="L336" s="18"/>
      <c r="M336" s="10"/>
      <c r="N336" s="10"/>
    </row>
    <row r="337">
      <c r="A337" s="5" t="s">
        <v>561</v>
      </c>
      <c r="B337" s="29" t="s">
        <v>387</v>
      </c>
      <c r="C337" s="21">
        <v>9.5</v>
      </c>
      <c r="D337" s="22" t="s">
        <v>562</v>
      </c>
      <c r="E337" s="6"/>
      <c r="F337" s="18"/>
      <c r="G337" s="18"/>
      <c r="H337" s="18"/>
      <c r="I337" s="18"/>
      <c r="J337" s="9" t="s">
        <v>40</v>
      </c>
      <c r="K337" s="18" t="str">
        <f>IMAGE("https://cdn.store.link/products/ayiraminimart50505/9xxf90-reese%E2%80%99s%20peanut%20butter%20chocolate%20ice%20cream%20%E2%80%93%2061%20ml.png?versionId=1HyXRBiekHDpf8uSILlDoervbiX9XCAu")</f>
        <v/>
      </c>
      <c r="L337" s="18"/>
      <c r="M337" s="10"/>
      <c r="N337" s="10"/>
    </row>
    <row r="338">
      <c r="A338" s="5" t="s">
        <v>563</v>
      </c>
      <c r="B338" s="29" t="s">
        <v>387</v>
      </c>
      <c r="C338" s="21">
        <v>9.5</v>
      </c>
      <c r="D338" s="22" t="s">
        <v>564</v>
      </c>
      <c r="E338" s="6"/>
      <c r="F338" s="18"/>
      <c r="G338" s="18"/>
      <c r="H338" s="18"/>
      <c r="I338" s="18"/>
      <c r="J338" s="9" t="s">
        <v>40</v>
      </c>
      <c r="K338" s="18" t="str">
        <f>IMAGE("https://cdn.store.link/products/ayiraminimart50505/rnf1dj-hershey%E2%80%99s%20cookie%20?versionId=1efud9SZZfyv1XwX8qZyTKJWoK2cP9i_")</f>
        <v/>
      </c>
      <c r="L338" s="18"/>
      <c r="M338" s="10"/>
      <c r="N338" s="10"/>
    </row>
    <row r="339">
      <c r="A339" s="19" t="s">
        <v>565</v>
      </c>
      <c r="B339" s="29" t="s">
        <v>387</v>
      </c>
      <c r="C339" s="21">
        <v>9.5</v>
      </c>
      <c r="D339" s="22" t="s">
        <v>566</v>
      </c>
      <c r="E339" s="6"/>
      <c r="F339" s="18"/>
      <c r="G339" s="18"/>
      <c r="H339" s="18"/>
      <c r="I339" s="18"/>
      <c r="J339" s="9" t="s">
        <v>40</v>
      </c>
      <c r="K339" s="18" t="str">
        <f>IMAGE("https://cdn.store.link/products/ayiraminimart50505/s-hbss-hershey%E2%80%99s%20cookies%20?versionId=Tbla69jz2oh08kj7b0SYO3B1R_3IZ5PU")</f>
        <v/>
      </c>
      <c r="L339" s="18"/>
      <c r="M339" s="10"/>
      <c r="N339" s="10"/>
    </row>
    <row r="340">
      <c r="A340" s="19" t="s">
        <v>567</v>
      </c>
      <c r="B340" s="29" t="s">
        <v>387</v>
      </c>
      <c r="C340" s="21">
        <v>4.5</v>
      </c>
      <c r="D340" s="22" t="s">
        <v>568</v>
      </c>
      <c r="E340" s="6"/>
      <c r="F340" s="18"/>
      <c r="G340" s="18"/>
      <c r="H340" s="18"/>
      <c r="I340" s="18"/>
      <c r="J340" s="9" t="s">
        <v>16</v>
      </c>
      <c r="K340" s="18" t="str">
        <f>IMAGE("https://cdn.store.link/products/ayiraminimart50505/o5dpuu-maharaj%20kulfi%20semi%20ice%20milk%20%E2%80%93%2080%20gm.png?versionId=DUrJVmT_Se_HewSlfWqDZaDYirF4CDES")</f>
        <v/>
      </c>
      <c r="L340" s="18"/>
      <c r="M340" s="10"/>
      <c r="N340" s="10"/>
    </row>
    <row r="341">
      <c r="A341" s="19" t="s">
        <v>569</v>
      </c>
      <c r="B341" s="29" t="s">
        <v>387</v>
      </c>
      <c r="C341" s="21">
        <v>4.0</v>
      </c>
      <c r="D341" s="22" t="s">
        <v>570</v>
      </c>
      <c r="E341" s="6"/>
      <c r="F341" s="18"/>
      <c r="G341" s="18"/>
      <c r="H341" s="18"/>
      <c r="I341" s="18"/>
      <c r="J341" s="9" t="s">
        <v>16</v>
      </c>
      <c r="K341" s="18" t="str">
        <f>IMAGE("https://cdn.store.link/products/ayiraminimart50505/7aqid3-muncho%20almond%20semi%20ice%20milk%20%E2%80%93%20120%20ml.png?versionId=uuRDTlS0_9w8Du0ChNxAqkMrRyVmQlhR")</f>
        <v/>
      </c>
      <c r="L341" s="18"/>
      <c r="M341" s="10"/>
      <c r="N341" s="10"/>
    </row>
    <row r="342">
      <c r="A342" s="5" t="s">
        <v>571</v>
      </c>
      <c r="B342" s="29" t="s">
        <v>387</v>
      </c>
      <c r="C342" s="21">
        <v>2.0</v>
      </c>
      <c r="D342" s="22" t="s">
        <v>572</v>
      </c>
      <c r="E342" s="6"/>
      <c r="F342" s="18"/>
      <c r="G342" s="18"/>
      <c r="H342" s="18"/>
      <c r="I342" s="18"/>
      <c r="J342" s="9" t="s">
        <v>16</v>
      </c>
      <c r="K342" s="18" t="str">
        <f>IMAGE("https://cdn.store.link/products/ayiraminimart50505/ez6lxd-twistee%20strawberry%20?versionId=O_rBTShzmP0v3bs08RpPD65zsu.bKi_y")</f>
        <v/>
      </c>
      <c r="L342" s="18"/>
      <c r="M342" s="10"/>
      <c r="N342" s="10"/>
    </row>
    <row r="343">
      <c r="A343" s="19" t="s">
        <v>573</v>
      </c>
      <c r="B343" s="29" t="s">
        <v>387</v>
      </c>
      <c r="C343" s="21">
        <v>2.0</v>
      </c>
      <c r="D343" s="22" t="s">
        <v>574</v>
      </c>
      <c r="E343" s="6"/>
      <c r="F343" s="18"/>
      <c r="G343" s="18"/>
      <c r="H343" s="18"/>
      <c r="I343" s="18"/>
      <c r="J343" s="9" t="s">
        <v>16</v>
      </c>
      <c r="K343" s="18" t="str">
        <f>IMAGE("https://cdn.store.link/products/ayiraminimart50505/kyiihy-xtreme%20pop%20%E2%80%93%2060%20ml.png?versionId=98FOSBKLMpaeKk8MbiE6PBq.Qjo1Gk50")</f>
        <v/>
      </c>
      <c r="L343" s="18"/>
      <c r="M343" s="10"/>
      <c r="N343" s="10"/>
    </row>
    <row r="344">
      <c r="A344" s="19" t="s">
        <v>575</v>
      </c>
      <c r="B344" s="29" t="s">
        <v>387</v>
      </c>
      <c r="C344" s="22">
        <v>2.0</v>
      </c>
      <c r="D344" s="22" t="s">
        <v>576</v>
      </c>
      <c r="E344" s="6"/>
      <c r="F344" s="18"/>
      <c r="G344" s="18"/>
      <c r="H344" s="18"/>
      <c r="I344" s="18"/>
      <c r="J344" s="9" t="s">
        <v>16</v>
      </c>
      <c r="K344" s="18" t="str">
        <f>IMAGE("https://cdn.store.link/products/ayiraminimart50505/fip5fh-melon%20water%20ice%20%E2%80%93%2070%20gm.png?versionId=8CkC_D9TL7D0STpHnHocl.pS9ROIZN_M")</f>
        <v/>
      </c>
      <c r="L344" s="18"/>
      <c r="M344" s="10"/>
      <c r="N344" s="10"/>
    </row>
    <row r="345">
      <c r="A345" s="19" t="s">
        <v>577</v>
      </c>
      <c r="B345" s="29" t="s">
        <v>387</v>
      </c>
      <c r="C345" s="22">
        <v>3.0</v>
      </c>
      <c r="D345" s="22" t="s">
        <v>578</v>
      </c>
      <c r="E345" s="6"/>
      <c r="F345" s="18"/>
      <c r="G345" s="18"/>
      <c r="H345" s="18"/>
      <c r="I345" s="18"/>
      <c r="J345" s="9" t="s">
        <v>16</v>
      </c>
      <c r="K345" s="18" t="str">
        <f>IMAGE("https://cdn.store.link/products/ayiraminimart50505/kx-j5o-big%204%20in%201%20ice%20cream%20%E2%80%93%2064%20gm.png?versionId=eoKFDdcpK0ciqUQvf5OQ2mZRPF_5VX4s")</f>
        <v/>
      </c>
      <c r="L345" s="18"/>
      <c r="M345" s="10"/>
      <c r="N345" s="10"/>
    </row>
    <row r="346">
      <c r="A346" s="19" t="s">
        <v>579</v>
      </c>
      <c r="B346" s="29" t="s">
        <v>387</v>
      </c>
      <c r="C346" s="22">
        <v>4.0</v>
      </c>
      <c r="D346" s="22" t="s">
        <v>580</v>
      </c>
      <c r="E346" s="6"/>
      <c r="F346" s="18"/>
      <c r="G346" s="18"/>
      <c r="H346" s="18"/>
      <c r="I346" s="18"/>
      <c r="J346" s="9" t="s">
        <v>16</v>
      </c>
      <c r="K346" s="18" t="str">
        <f>IMAGE("https://cdn.store.link/products/ayiraminimart50505/awscuh-xtreme%20butterscotch%20ice%20cream%20%E2%80%93%20110%20ml.png?versionId=PC8.nYU2_i2KEgmBESu9hbyR9Yki0nRn")</f>
        <v/>
      </c>
      <c r="L346" s="18"/>
      <c r="M346" s="10"/>
      <c r="N346" s="10"/>
    </row>
    <row r="347">
      <c r="A347" s="19" t="s">
        <v>581</v>
      </c>
      <c r="B347" s="29" t="s">
        <v>387</v>
      </c>
      <c r="C347" s="22">
        <v>2.0</v>
      </c>
      <c r="D347" s="22" t="s">
        <v>582</v>
      </c>
      <c r="E347" s="6"/>
      <c r="F347" s="18"/>
      <c r="G347" s="18"/>
      <c r="H347" s="18"/>
      <c r="I347" s="18"/>
      <c r="J347" s="9" t="s">
        <v>16</v>
      </c>
      <c r="K347" s="18" t="str">
        <f>IMAGE("https://cdn.store.link/products/ayiraminimart50505/sh0dsb-anquria%20melon%20ice%20cream%20%E2%80%93%2070%20ml.png?versionId=SswDkac2moXX46YCuFQF5pfTrnrfNKrC")</f>
        <v/>
      </c>
      <c r="L347" s="18"/>
      <c r="M347" s="10"/>
      <c r="N347" s="10"/>
    </row>
    <row r="348">
      <c r="A348" s="19" t="s">
        <v>583</v>
      </c>
      <c r="B348" s="29" t="s">
        <v>387</v>
      </c>
      <c r="C348" s="22">
        <v>2.0</v>
      </c>
      <c r="D348" s="22" t="s">
        <v>584</v>
      </c>
      <c r="E348" s="6"/>
      <c r="F348" s="18"/>
      <c r="G348" s="18"/>
      <c r="H348" s="18"/>
      <c r="I348" s="18"/>
      <c r="J348" s="9" t="s">
        <v>16</v>
      </c>
      <c r="K348" s="18" t="str">
        <f>IMAGE("https://cdn.store.link/products/ayiraminimart50505/q2ry-d-anquria%20watermelon%20ice%20cream%20%E2%80%93%2070%20ml.png?versionId=kpgcPle8sJ9IwaYQs8lw7aJpFYO1D5rd")</f>
        <v/>
      </c>
      <c r="L348" s="18"/>
      <c r="M348" s="10"/>
      <c r="N348" s="10"/>
    </row>
    <row r="349">
      <c r="A349" s="19" t="s">
        <v>585</v>
      </c>
      <c r="B349" s="29" t="s">
        <v>387</v>
      </c>
      <c r="C349" s="22">
        <v>3.0</v>
      </c>
      <c r="D349" s="22" t="s">
        <v>586</v>
      </c>
      <c r="E349" s="6"/>
      <c r="F349" s="18"/>
      <c r="G349" s="18"/>
      <c r="H349" s="18"/>
      <c r="I349" s="18"/>
      <c r="J349" s="9" t="s">
        <v>16</v>
      </c>
      <c r="K349" s="18" t="str">
        <f>IMAGE("https://cdn.store.link/products/ayiraminimart50505/ls1yqu-spiner%20ice%20cream%20%E2%80%93%20170%20ml.png?versionId=fLvpmiBqZI4Q0ZRDmrMfjpNL5o3ItYgh")</f>
        <v/>
      </c>
      <c r="L349" s="18"/>
      <c r="M349" s="10"/>
      <c r="N349" s="10"/>
    </row>
    <row r="350">
      <c r="A350" s="19" t="s">
        <v>587</v>
      </c>
      <c r="B350" s="29" t="s">
        <v>387</v>
      </c>
      <c r="C350" s="22">
        <v>3.5</v>
      </c>
      <c r="D350" s="22" t="s">
        <v>588</v>
      </c>
      <c r="E350" s="6"/>
      <c r="F350" s="18"/>
      <c r="G350" s="18"/>
      <c r="H350" s="18"/>
      <c r="I350" s="18"/>
      <c r="J350" s="9" t="s">
        <v>16</v>
      </c>
      <c r="K350" s="18" t="str">
        <f>IMAGE("https://cdn.store.link/products/ayiraminimart50505/nx7ho--donut%20strawberry%20ice%20cream%20%E2%80%93%2085%20ml.png?versionId=4TK8eNCwQLkUCKyP1VCO_Pf4A59xCJRG")</f>
        <v/>
      </c>
      <c r="L350" s="18"/>
      <c r="M350" s="10"/>
      <c r="N350" s="10"/>
    </row>
    <row r="351">
      <c r="A351" s="19" t="s">
        <v>589</v>
      </c>
      <c r="B351" s="29" t="s">
        <v>387</v>
      </c>
      <c r="C351" s="22">
        <v>2.0</v>
      </c>
      <c r="D351" s="22" t="s">
        <v>590</v>
      </c>
      <c r="E351" s="6"/>
      <c r="F351" s="18"/>
      <c r="G351" s="18"/>
      <c r="H351" s="18"/>
      <c r="I351" s="18"/>
      <c r="J351" s="9" t="s">
        <v>16</v>
      </c>
      <c r="K351" s="18" t="str">
        <f>IMAGE("https://cdn.store.link/products/ayiraminimart50505/vk5ipi-feloudeh%20lemon%20water%20ice%20%E2%80%93%2070%20ml.png?versionId=4l0PowwMpWXErwSCTKgi63Wy6vd8OY5F")</f>
        <v/>
      </c>
      <c r="L351" s="18"/>
      <c r="M351" s="10"/>
      <c r="N351" s="10"/>
    </row>
    <row r="352">
      <c r="A352" s="5" t="s">
        <v>591</v>
      </c>
      <c r="B352" s="29" t="s">
        <v>387</v>
      </c>
      <c r="C352" s="22">
        <v>4.0</v>
      </c>
      <c r="D352" s="22" t="s">
        <v>592</v>
      </c>
      <c r="E352" s="6"/>
      <c r="F352" s="18"/>
      <c r="G352" s="18"/>
      <c r="H352" s="18"/>
      <c r="I352" s="18"/>
      <c r="J352" s="9" t="s">
        <v>16</v>
      </c>
      <c r="K352" s="18" t="str">
        <f>IMAGE("https://cdn.store.link/products/ayiraminimart50505/u5p-gg-vanilla%20?versionId=wGky.Dso5N4t3bND8DWPJAX.lJZDkWEV")</f>
        <v/>
      </c>
      <c r="L352" s="18"/>
      <c r="M352" s="10"/>
      <c r="N352" s="10"/>
    </row>
    <row r="353">
      <c r="A353" s="19" t="s">
        <v>593</v>
      </c>
      <c r="B353" s="29" t="s">
        <v>387</v>
      </c>
      <c r="C353" s="22">
        <v>3.5</v>
      </c>
      <c r="D353" s="22" t="s">
        <v>594</v>
      </c>
      <c r="E353" s="6"/>
      <c r="F353" s="18"/>
      <c r="G353" s="18"/>
      <c r="H353" s="18"/>
      <c r="I353" s="18"/>
      <c r="J353" s="9" t="s">
        <v>16</v>
      </c>
      <c r="K353" s="18" t="str">
        <f>IMAGE("https://cdn.store.link/products/ayiraminimart50505/vx02e2-ice%20queen%20bom%20bom%20ice%20cream%20%E2%80%93%2080%20ml.png?versionId=V8LdR2FNnzLYF6sr7HpkngmLPTqXIiMc")</f>
        <v/>
      </c>
      <c r="L353" s="18"/>
      <c r="M353" s="10"/>
      <c r="N353" s="10"/>
    </row>
    <row r="354">
      <c r="A354" s="19" t="s">
        <v>595</v>
      </c>
      <c r="B354" s="29" t="s">
        <v>387</v>
      </c>
      <c r="C354" s="22">
        <v>2.0</v>
      </c>
      <c r="D354" s="22" t="s">
        <v>596</v>
      </c>
      <c r="E354" s="6"/>
      <c r="F354" s="18"/>
      <c r="G354" s="18"/>
      <c r="H354" s="18"/>
      <c r="I354" s="18"/>
      <c r="J354" s="9" t="s">
        <v>16</v>
      </c>
      <c r="K354" s="18" t="str">
        <f>IMAGE("https://cdn.store.link/products/ayiraminimart50505/vuw85d-ice%20queen%20bubble%20gum%20ice%20cream%20%E2%80%93%2080%20ml.png?versionId=17rEB58O8WIIrV7_7ZPqsycdQvEvLX2M")</f>
        <v/>
      </c>
      <c r="L354" s="18"/>
      <c r="M354" s="10"/>
      <c r="N354" s="10"/>
    </row>
    <row r="355">
      <c r="A355" s="19" t="s">
        <v>597</v>
      </c>
      <c r="B355" s="29" t="s">
        <v>387</v>
      </c>
      <c r="C355" s="22">
        <v>2.0</v>
      </c>
      <c r="D355" s="22" t="s">
        <v>598</v>
      </c>
      <c r="E355" s="6"/>
      <c r="F355" s="18"/>
      <c r="G355" s="18"/>
      <c r="H355" s="18"/>
      <c r="I355" s="18"/>
      <c r="J355" s="9" t="s">
        <v>16</v>
      </c>
      <c r="K355" s="18" t="str">
        <f>IMAGE("https://cdn.store.link/products/ayiraminimart50505/ivstav-ice%20queen%20koro%20ice%20cream%20%E2%80%93%2070%20ml.png?versionId=gvl1eZfm4NlDcePLVTSVBYblMMJxBDtS")</f>
        <v/>
      </c>
      <c r="L355" s="18"/>
      <c r="M355" s="10"/>
      <c r="N355" s="10"/>
    </row>
    <row r="356">
      <c r="A356" s="19" t="s">
        <v>599</v>
      </c>
      <c r="B356" s="29" t="s">
        <v>387</v>
      </c>
      <c r="C356" s="22">
        <v>5.0</v>
      </c>
      <c r="D356" s="22" t="s">
        <v>600</v>
      </c>
      <c r="E356" s="6"/>
      <c r="F356" s="18"/>
      <c r="G356" s="18"/>
      <c r="H356" s="18"/>
      <c r="I356" s="18"/>
      <c r="J356" s="9" t="s">
        <v>16</v>
      </c>
      <c r="K356" s="18" t="str">
        <f>IMAGE("https://cdn.store.link/products/ayiraminimart50505/c1xsig-daity%20amiral%20with%20milk%20ice%20cream%20%E2%80%93%2080%20ml.png?versionId=jxv15_fl5JWhOhEcwyO2U94ixjzI7QAN")</f>
        <v/>
      </c>
      <c r="L356" s="18"/>
      <c r="M356" s="10"/>
      <c r="N356" s="10"/>
    </row>
    <row r="357">
      <c r="A357" s="5" t="s">
        <v>601</v>
      </c>
      <c r="B357" s="29" t="s">
        <v>387</v>
      </c>
      <c r="C357" s="22">
        <v>1.5</v>
      </c>
      <c r="D357" s="22" t="s">
        <v>400</v>
      </c>
      <c r="E357" s="6"/>
      <c r="F357" s="18"/>
      <c r="G357" s="18"/>
      <c r="H357" s="18"/>
      <c r="I357" s="18"/>
      <c r="J357" s="9" t="s">
        <v>16</v>
      </c>
      <c r="K357" s="18" t="str">
        <f>IMAGE("https://cdn.store.link/products/ayiraminimart50505/ulgwpq-kdd%20vanilla%20ice%20cream%20100%20gm.png?versionId=dL1c__lFV02Rm8vxzqBzmXogkaFBVToq")</f>
        <v/>
      </c>
      <c r="L357" s="18"/>
      <c r="M357" s="10"/>
      <c r="N357" s="10"/>
    </row>
    <row r="358">
      <c r="A358" s="19" t="s">
        <v>602</v>
      </c>
      <c r="B358" s="29" t="s">
        <v>387</v>
      </c>
      <c r="C358" s="22">
        <v>13.5</v>
      </c>
      <c r="D358" s="22" t="s">
        <v>603</v>
      </c>
      <c r="E358" s="6"/>
      <c r="F358" s="18"/>
      <c r="G358" s="18"/>
      <c r="H358" s="18"/>
      <c r="I358" s="18"/>
      <c r="J358" s="9" t="s">
        <v>16</v>
      </c>
      <c r="K358" s="18" t="str">
        <f>IMAGE("https://cdn.store.link/products/ayiraminimart50505/jndxrb-baskin%20robbins%20almond%20%E2%80%99n%20caramel%20ice%20cream%20bar%2090ml.png?versionId=xXidu27sKDV7RMnAhQ1F4Y5jpkvPq4d1")</f>
        <v/>
      </c>
      <c r="L358" s="18"/>
      <c r="M358" s="10"/>
      <c r="N358" s="10"/>
    </row>
    <row r="359">
      <c r="A359" s="19" t="s">
        <v>604</v>
      </c>
      <c r="B359" s="29" t="s">
        <v>387</v>
      </c>
      <c r="C359" s="22">
        <v>6.0</v>
      </c>
      <c r="D359" s="22" t="s">
        <v>605</v>
      </c>
      <c r="E359" s="6"/>
      <c r="F359" s="18"/>
      <c r="G359" s="18"/>
      <c r="H359" s="18"/>
      <c r="I359" s="18"/>
      <c r="J359" s="9" t="s">
        <v>16</v>
      </c>
      <c r="K359" s="18" t="str">
        <f>IMAGE("https://cdn.store.link/products/ayiraminimart50505/5-uppx-barakat%20juice%20pop%20beetroot%20berry%2050ml.png?versionId=8qbVgGlCvigAlTTobKXBi0JkbhKXviAT")</f>
        <v/>
      </c>
      <c r="L359" s="18"/>
      <c r="M359" s="10"/>
      <c r="N359" s="10"/>
    </row>
    <row r="360">
      <c r="A360" s="19" t="s">
        <v>606</v>
      </c>
      <c r="B360" s="29" t="s">
        <v>387</v>
      </c>
      <c r="C360" s="22">
        <v>6.0</v>
      </c>
      <c r="D360" s="22" t="s">
        <v>607</v>
      </c>
      <c r="E360" s="6"/>
      <c r="F360" s="18"/>
      <c r="G360" s="18"/>
      <c r="H360" s="18"/>
      <c r="I360" s="18"/>
      <c r="J360" s="9" t="s">
        <v>16</v>
      </c>
      <c r="K360" s="18" t="str">
        <f>IMAGE("https://cdn.store.link/products/ayiraminimart50505/55u-mc-barakat%20juice%20pop%20strawberry%20banana%2050ml.png?versionId=J_WBTc2b6BdFo2zIfPhvs7n0zfVLiSxw")</f>
        <v/>
      </c>
      <c r="L360" s="18"/>
      <c r="M360" s="10"/>
      <c r="N360" s="10"/>
    </row>
    <row r="361">
      <c r="A361" s="19" t="s">
        <v>608</v>
      </c>
      <c r="B361" s="29" t="s">
        <v>387</v>
      </c>
      <c r="C361" s="22">
        <v>6.0</v>
      </c>
      <c r="D361" s="22" t="s">
        <v>609</v>
      </c>
      <c r="E361" s="6"/>
      <c r="F361" s="18"/>
      <c r="G361" s="18"/>
      <c r="H361" s="18"/>
      <c r="I361" s="18"/>
      <c r="J361" s="9" t="s">
        <v>16</v>
      </c>
      <c r="K361" s="18" t="str">
        <f>IMAGE("https://cdn.store.link/products/ayiraminimart50505/ygzqon-barakat%20juice%20pop%20orange%2050ml.png?versionId=ZXt_CwaQJMS7INGS_yArJQ2JgFKI1qA2")</f>
        <v/>
      </c>
      <c r="L361" s="18"/>
      <c r="M361" s="10"/>
      <c r="N361" s="10"/>
    </row>
    <row r="362">
      <c r="A362" s="23" t="s">
        <v>610</v>
      </c>
      <c r="B362" s="29" t="s">
        <v>387</v>
      </c>
      <c r="C362" s="22">
        <v>6.0</v>
      </c>
      <c r="D362" s="22" t="s">
        <v>611</v>
      </c>
      <c r="E362" s="6"/>
      <c r="F362" s="18"/>
      <c r="G362" s="18"/>
      <c r="H362" s="18"/>
      <c r="I362" s="18"/>
      <c r="J362" s="9" t="s">
        <v>16</v>
      </c>
      <c r="K362" s="18" t="str">
        <f>IMAGE("https://cdn.store.link/products/ayiraminimart50505/lbv4bs-barakat%20juice%20pop%20mango%20passion%2050ml.png?versionId=j4ykOkQctGBtAoLq_Ita5xXXMRfVn3Ai")</f>
        <v/>
      </c>
      <c r="L362" s="18"/>
      <c r="M362" s="10"/>
      <c r="N362" s="10"/>
    </row>
    <row r="363">
      <c r="A363" s="5" t="s">
        <v>612</v>
      </c>
      <c r="B363" s="27" t="s">
        <v>613</v>
      </c>
      <c r="C363" s="22">
        <v>3.0</v>
      </c>
      <c r="D363" s="22" t="s">
        <v>614</v>
      </c>
      <c r="E363" s="6"/>
      <c r="F363" s="18"/>
      <c r="G363" s="18"/>
      <c r="H363" s="18"/>
      <c r="I363" s="18"/>
      <c r="J363" s="9" t="s">
        <v>16</v>
      </c>
      <c r="K363" s="18" t="str">
        <f>IMAGE("https://cdn.store.link/products/ayiraminimart50505/e9sy3k-snickers%20chocolate%20bar%2040g.jpg?versionId=XVY4Ndl74Z.tGFBctZv4ypR5LWsrkP54")</f>
        <v/>
      </c>
      <c r="L363" s="18"/>
      <c r="M363" s="10"/>
      <c r="N363" s="10"/>
    </row>
    <row r="364">
      <c r="A364" s="19" t="s">
        <v>615</v>
      </c>
      <c r="B364" s="27" t="s">
        <v>613</v>
      </c>
      <c r="C364" s="22">
        <v>55.0</v>
      </c>
      <c r="D364" s="22" t="s">
        <v>616</v>
      </c>
      <c r="E364" s="6"/>
      <c r="F364" s="18"/>
      <c r="G364" s="18"/>
      <c r="H364" s="18"/>
      <c r="I364" s="18"/>
      <c r="J364" s="9" t="s">
        <v>16</v>
      </c>
      <c r="K364" s="18" t="str">
        <f>IMAGE("https://cdn.store.link/products/ayiraminimart50505/alem2y-mixed%20minis%20400%20g%20x%202%20%40sp.jpg?versionId=Prjn7B6k2XaxqEn0vmSjkr7t1jylq9Rr")</f>
        <v/>
      </c>
      <c r="L364" s="18"/>
      <c r="M364" s="10"/>
      <c r="N364" s="10"/>
    </row>
    <row r="365">
      <c r="A365" s="5" t="s">
        <v>617</v>
      </c>
      <c r="B365" s="27" t="s">
        <v>613</v>
      </c>
      <c r="C365" s="22">
        <v>4.0</v>
      </c>
      <c r="D365" s="22" t="s">
        <v>614</v>
      </c>
      <c r="E365" s="6"/>
      <c r="F365" s="18"/>
      <c r="G365" s="18"/>
      <c r="H365" s="18"/>
      <c r="I365" s="18"/>
      <c r="J365" s="9" t="s">
        <v>40</v>
      </c>
      <c r="K365" s="6" t="str">
        <f>IMAGE("https://cdn.store.link/products/ayiraminimart50505/cbbk7v-snickers%20chocolate%20bar%2045g.jpg?versionId=7xlxgLfTg9KD5XfV7fjaX_FwiH7qLEGW")</f>
        <v/>
      </c>
      <c r="L365" s="6"/>
      <c r="M365" s="10"/>
      <c r="N365" s="10"/>
    </row>
    <row r="366">
      <c r="A366" s="19" t="s">
        <v>618</v>
      </c>
      <c r="B366" s="27" t="s">
        <v>613</v>
      </c>
      <c r="C366" s="22">
        <v>3.5</v>
      </c>
      <c r="D366" s="22" t="s">
        <v>614</v>
      </c>
      <c r="E366" s="6"/>
      <c r="F366" s="18"/>
      <c r="G366" s="18"/>
      <c r="H366" s="18"/>
      <c r="I366" s="18"/>
      <c r="J366" s="9" t="s">
        <v>16</v>
      </c>
      <c r="K366" s="18" t="str">
        <f>IMAGE("https://cdn.store.link/products/ayiraminimart50505/9hpvv9-snickers%20xtreme%20extra%20nuts%20?versionId=njmHYnq5ImbRFQhi5vb4VxkGBlc5QtJF")</f>
        <v/>
      </c>
      <c r="L366" s="18"/>
      <c r="M366" s="10"/>
      <c r="N366" s="10"/>
    </row>
    <row r="367">
      <c r="A367" s="5" t="s">
        <v>619</v>
      </c>
      <c r="B367" s="27" t="s">
        <v>613</v>
      </c>
      <c r="C367" s="22">
        <v>3.5</v>
      </c>
      <c r="D367" s="22" t="s">
        <v>614</v>
      </c>
      <c r="E367" s="6"/>
      <c r="F367" s="18"/>
      <c r="G367" s="18"/>
      <c r="H367" s="18"/>
      <c r="I367" s="18"/>
      <c r="J367" s="9" t="s">
        <v>16</v>
      </c>
      <c r="K367" s="18" t="str">
        <f>IMAGE("https://cdn.store.link/products/ayiraminimart50505/ze-184-snickers%20creamy%20peanut%20butter%2036.5g.jpg?versionId=zYbby5Gt07fole_V0hdYU5n5hTmzUJmz")</f>
        <v/>
      </c>
      <c r="L367" s="18"/>
      <c r="M367" s="10"/>
      <c r="N367" s="10"/>
    </row>
    <row r="368">
      <c r="A368" s="5" t="s">
        <v>620</v>
      </c>
      <c r="B368" s="27" t="s">
        <v>613</v>
      </c>
      <c r="C368" s="22">
        <v>4.0</v>
      </c>
      <c r="D368" s="22" t="s">
        <v>621</v>
      </c>
      <c r="E368" s="6"/>
      <c r="F368" s="18"/>
      <c r="G368" s="18"/>
      <c r="H368" s="18"/>
      <c r="I368" s="18"/>
      <c r="J368" s="9" t="s">
        <v>16</v>
      </c>
      <c r="K368" s="18" t="str">
        <f>IMAGE("https://cdn.store.link/products/ayiraminimart50505/sy1hiu-mars%20chocolate%20bar%2051g.jpg?versionId=OAPM_H.ly.lWeodaQmdqu3RaYm5Rrwdw")</f>
        <v/>
      </c>
      <c r="L368" s="18"/>
      <c r="M368" s="10"/>
      <c r="N368" s="10"/>
    </row>
    <row r="369">
      <c r="A369" s="19" t="s">
        <v>622</v>
      </c>
      <c r="B369" s="11" t="s">
        <v>623</v>
      </c>
      <c r="C369" s="22">
        <v>7.0</v>
      </c>
      <c r="D369" s="22" t="s">
        <v>624</v>
      </c>
      <c r="E369" s="6"/>
      <c r="F369" s="18"/>
      <c r="G369" s="18"/>
      <c r="H369" s="18"/>
      <c r="I369" s="18"/>
      <c r="J369" s="9" t="s">
        <v>16</v>
      </c>
      <c r="K369" s="18" t="str">
        <f>IMAGE("https://cdn.store.link/products/ayiraminimart50505/ofomi9-nice%20chips%20with%20tomato%20ketchup%20pack%20167g.jpg?versionId=niV3ugPIyksZVyuFF7PkeHnqrD76.2.0")</f>
        <v/>
      </c>
      <c r="L369" s="18"/>
      <c r="M369" s="10"/>
      <c r="N369" s="10"/>
    </row>
    <row r="370">
      <c r="A370" s="19" t="s">
        <v>625</v>
      </c>
      <c r="B370" s="11" t="s">
        <v>623</v>
      </c>
      <c r="C370" s="22">
        <v>7.0</v>
      </c>
      <c r="D370" s="22" t="s">
        <v>626</v>
      </c>
      <c r="E370" s="6"/>
      <c r="F370" s="18"/>
      <c r="G370" s="18"/>
      <c r="H370" s="18"/>
      <c r="I370" s="18"/>
      <c r="J370" s="9" t="s">
        <v>16</v>
      </c>
      <c r="K370" s="18" t="str">
        <f>IMAGE("https://cdn.store.link/products/ayiraminimart50505/rf41oc-nice%20chips%20with%20lighty%20salt%20pack%20167g.jpg?versionId=rseD6Wak2LhfflKDQe6nJ8qYSNvhFBYU")</f>
        <v/>
      </c>
      <c r="L370" s="18"/>
      <c r="M370" s="10"/>
      <c r="N370" s="10"/>
    </row>
    <row r="371">
      <c r="A371" s="19" t="s">
        <v>627</v>
      </c>
      <c r="B371" s="11" t="s">
        <v>623</v>
      </c>
      <c r="C371" s="22">
        <v>18.0</v>
      </c>
      <c r="D371" s="22" t="s">
        <v>628</v>
      </c>
      <c r="E371" s="6"/>
      <c r="F371" s="18"/>
      <c r="G371" s="18"/>
      <c r="H371" s="18"/>
      <c r="I371" s="18"/>
      <c r="J371" s="9" t="s">
        <v>16</v>
      </c>
      <c r="K371" s="18" t="str">
        <f>IMAGE("https://cdn.store.link/products/ayiraminimart50505/6rpa0v-kitco%20nice%20chips%20chilly%2016gx20.jpg?versionId=SQPH1zj82lT7n0dbnX8tMC6FjujUS8cT")</f>
        <v/>
      </c>
      <c r="L371" s="18"/>
      <c r="M371" s="10"/>
      <c r="N371" s="10"/>
    </row>
    <row r="372">
      <c r="A372" s="19" t="s">
        <v>629</v>
      </c>
      <c r="B372" s="11" t="s">
        <v>623</v>
      </c>
      <c r="C372" s="22">
        <v>4.0</v>
      </c>
      <c r="D372" s="22" t="s">
        <v>628</v>
      </c>
      <c r="E372" s="6"/>
      <c r="F372" s="18"/>
      <c r="G372" s="18"/>
      <c r="H372" s="18"/>
      <c r="I372" s="18"/>
      <c r="J372" s="9" t="s">
        <v>16</v>
      </c>
      <c r="K372" s="18" t="str">
        <f>IMAGE("https://cdn.store.link/products/ayiraminimart50505/dcn9qa-kitco%20nice%20paprica%2080g.jpg?versionId=ES1rwM5J4fHn03wUZWZgD1tMjqA0_ROG")</f>
        <v/>
      </c>
      <c r="L372" s="18"/>
      <c r="M372" s="10"/>
      <c r="N372" s="10"/>
    </row>
    <row r="373">
      <c r="A373" s="5" t="s">
        <v>630</v>
      </c>
      <c r="B373" s="27" t="s">
        <v>623</v>
      </c>
      <c r="C373" s="22">
        <v>4.0</v>
      </c>
      <c r="D373" s="22" t="s">
        <v>628</v>
      </c>
      <c r="E373" s="6"/>
      <c r="F373" s="18"/>
      <c r="G373" s="18"/>
      <c r="H373" s="18"/>
      <c r="I373" s="18"/>
      <c r="J373" s="9" t="s">
        <v>16</v>
      </c>
      <c r="K373" s="18" t="str">
        <f>IMAGE("https://cdn.store.link/products/ayiraminimart50505/hexzqa-kitco%20nice%20hot?versionId=kewNCgxegWMP8_R7uNIxMIvYoU5acwze")</f>
        <v/>
      </c>
      <c r="L373" s="18"/>
      <c r="M373" s="10"/>
      <c r="N373" s="10"/>
    </row>
    <row r="374">
      <c r="A374" s="19" t="s">
        <v>631</v>
      </c>
      <c r="B374" s="27" t="s">
        <v>623</v>
      </c>
      <c r="C374" s="22">
        <v>4.0</v>
      </c>
      <c r="D374" s="22" t="s">
        <v>628</v>
      </c>
      <c r="E374" s="6"/>
      <c r="F374" s="18"/>
      <c r="G374" s="18"/>
      <c r="H374" s="18"/>
      <c r="I374" s="18"/>
      <c r="J374" s="9" t="s">
        <v>16</v>
      </c>
      <c r="K374" s="18" t="str">
        <f>IMAGE("https://cdn.store.link/products/ayiraminimart50505/zoa6ju-kitco%20nice%20french%20cheese%2080g.jpg?versionId=Y1iRx6wenm2z7tpqAhBy78aGE.U7VC3I")</f>
        <v/>
      </c>
      <c r="L374" s="18"/>
      <c r="M374" s="10"/>
      <c r="N374" s="10"/>
    </row>
    <row r="375">
      <c r="A375" s="19" t="s">
        <v>632</v>
      </c>
      <c r="B375" s="27" t="s">
        <v>623</v>
      </c>
      <c r="C375" s="22">
        <v>18.0</v>
      </c>
      <c r="D375" s="22" t="s">
        <v>628</v>
      </c>
      <c r="E375" s="6"/>
      <c r="F375" s="18"/>
      <c r="G375" s="18"/>
      <c r="H375" s="18"/>
      <c r="I375" s="18"/>
      <c r="J375" s="9" t="s">
        <v>16</v>
      </c>
      <c r="K375" s="18" t="str">
        <f>IMAGE("https://cdn.store.link/products/ayiraminimart50505/qs8vbz-kitco%20nice%20chips%20with%20french%20cheese%20pack%2020pcsx16g.jpg?versionId=0AM8fwd1sqBvFJ6f_x771LsNeGmHfyhP")</f>
        <v/>
      </c>
      <c r="L375" s="18"/>
      <c r="M375" s="10"/>
      <c r="N375" s="10"/>
    </row>
    <row r="376">
      <c r="A376" s="19" t="s">
        <v>633</v>
      </c>
      <c r="B376" s="27" t="s">
        <v>623</v>
      </c>
      <c r="C376" s="22">
        <v>18.0</v>
      </c>
      <c r="D376" s="22" t="s">
        <v>628</v>
      </c>
      <c r="E376" s="6"/>
      <c r="F376" s="18"/>
      <c r="G376" s="18"/>
      <c r="H376" s="18"/>
      <c r="I376" s="18"/>
      <c r="J376" s="9" t="s">
        <v>16</v>
      </c>
      <c r="K376" s="18" t="str">
        <f>IMAGE("https://cdn.store.link/products/ayiraminimart50505/6sx9qh-kitco%20nice%20chips%20with%20chicken%20pack%2020pcsx16g.jpg?versionId=aX.jNlICjYxNz5wQdVYVlUv_WCv4P1FE")</f>
        <v/>
      </c>
      <c r="L376" s="18"/>
      <c r="M376" s="10"/>
      <c r="N376" s="10"/>
    </row>
    <row r="377">
      <c r="A377" s="19" t="s">
        <v>634</v>
      </c>
      <c r="B377" s="27" t="s">
        <v>623</v>
      </c>
      <c r="C377" s="22">
        <v>18.0</v>
      </c>
      <c r="D377" s="22" t="s">
        <v>628</v>
      </c>
      <c r="E377" s="6"/>
      <c r="F377" s="18"/>
      <c r="G377" s="18"/>
      <c r="H377" s="18"/>
      <c r="I377" s="18"/>
      <c r="J377" s="9" t="s">
        <v>16</v>
      </c>
      <c r="K377" s="18" t="str">
        <f>IMAGE("https://cdn.store.link/products/ayiraminimart50505/1y6ff5-nice%20chips%20with%20salt%20?versionId=pTuMEGKNo1sEtOOmVHpsWDNkhtCXiN0D")</f>
        <v/>
      </c>
      <c r="L377" s="18"/>
      <c r="M377" s="10"/>
      <c r="N377" s="10"/>
    </row>
    <row r="378">
      <c r="A378" s="19" t="s">
        <v>635</v>
      </c>
      <c r="B378" s="27" t="s">
        <v>623</v>
      </c>
      <c r="C378" s="22">
        <v>18.0</v>
      </c>
      <c r="D378" s="22" t="s">
        <v>628</v>
      </c>
      <c r="E378" s="6"/>
      <c r="F378" s="18"/>
      <c r="G378" s="18"/>
      <c r="H378" s="18"/>
      <c r="I378" s="18"/>
      <c r="J378" s="9" t="s">
        <v>16</v>
      </c>
      <c r="K378" s="18" t="str">
        <f>IMAGE("https://cdn.store.link/products/ayiraminimart50505/cmffz2-kitco%20nice%20chips%20with%20tomato%20ketchup%20pack%2020pcsx16g.jpg?versionId=fRm99o0e_Q9yQLG5QxeaGYKhJ1eC_CJQ")</f>
        <v/>
      </c>
      <c r="L378" s="18"/>
      <c r="M378" s="10"/>
      <c r="N378" s="10"/>
    </row>
    <row r="379">
      <c r="A379" s="19" t="s">
        <v>636</v>
      </c>
      <c r="B379" s="27" t="s">
        <v>623</v>
      </c>
      <c r="C379" s="22">
        <v>1.0</v>
      </c>
      <c r="D379" s="22" t="s">
        <v>628</v>
      </c>
      <c r="E379" s="6"/>
      <c r="F379" s="18"/>
      <c r="G379" s="18"/>
      <c r="H379" s="18"/>
      <c r="I379" s="18"/>
      <c r="J379" s="9" t="s">
        <v>16</v>
      </c>
      <c r="K379" s="18" t="str">
        <f>IMAGE("https://cdn.store.link/products/ayiraminimart50505/k6hb1m-kitco%20nice%20chicken%2016g.jpg?versionId=BZs341KtZJl7vQAlvJME3mQWAAF03RpV")</f>
        <v/>
      </c>
      <c r="L379" s="18"/>
      <c r="M379" s="10"/>
      <c r="N379" s="10"/>
    </row>
    <row r="380">
      <c r="A380" s="5" t="s">
        <v>637</v>
      </c>
      <c r="B380" s="27" t="s">
        <v>623</v>
      </c>
      <c r="C380" s="22">
        <v>1.0</v>
      </c>
      <c r="D380" s="22" t="s">
        <v>628</v>
      </c>
      <c r="E380" s="6"/>
      <c r="F380" s="18"/>
      <c r="G380" s="18"/>
      <c r="H380" s="18"/>
      <c r="I380" s="18"/>
      <c r="J380" s="9" t="s">
        <v>16</v>
      </c>
      <c r="K380" s="18" t="str">
        <f>IMAGE("https://cdn.store.link/products/ayiraminimart50505/mli44g-kitco%20nice%20hot?versionId=EopIC8GeBjmU5iHfQxBOhSOc5OH4Xu0r")</f>
        <v/>
      </c>
      <c r="L380" s="18"/>
      <c r="M380" s="10"/>
      <c r="N380" s="10"/>
    </row>
    <row r="381">
      <c r="A381" s="19" t="s">
        <v>638</v>
      </c>
      <c r="B381" s="27" t="s">
        <v>623</v>
      </c>
      <c r="C381" s="22">
        <v>1.0</v>
      </c>
      <c r="D381" s="22" t="s">
        <v>628</v>
      </c>
      <c r="E381" s="6"/>
      <c r="F381" s="18"/>
      <c r="G381" s="18"/>
      <c r="H381" s="18"/>
      <c r="I381" s="18"/>
      <c r="J381" s="9" t="s">
        <v>16</v>
      </c>
      <c r="K381" s="18" t="str">
        <f>IMAGE("https://cdn.store.link/products/ayiraminimart50505/ishmo6-kitco%20nice%20french%20cheese%2016g.jpg?versionId=uCauE8sXRlBw_fATtbeCJliWQNflmcd2")</f>
        <v/>
      </c>
      <c r="L381" s="18"/>
      <c r="M381" s="10"/>
      <c r="N381" s="10"/>
    </row>
    <row r="382">
      <c r="A382" s="19" t="s">
        <v>639</v>
      </c>
      <c r="B382" s="27" t="s">
        <v>623</v>
      </c>
      <c r="C382" s="22">
        <v>4.0</v>
      </c>
      <c r="D382" s="22" t="s">
        <v>628</v>
      </c>
      <c r="E382" s="6"/>
      <c r="F382" s="18"/>
      <c r="G382" s="18"/>
      <c r="H382" s="18"/>
      <c r="I382" s="18"/>
      <c r="J382" s="9" t="s">
        <v>16</v>
      </c>
      <c r="K382" s="18" t="str">
        <f>IMAGE("https://cdn.store.link/products/ayiraminimart50505/ssln6t-kitco%20nice%20salt%20?versionId=7ErkK10dDdcuUM4kVFFVKcrtjaLPvjFd")</f>
        <v/>
      </c>
      <c r="L382" s="18"/>
      <c r="M382" s="10"/>
      <c r="N382" s="10"/>
    </row>
    <row r="383">
      <c r="A383" s="19" t="s">
        <v>640</v>
      </c>
      <c r="B383" s="27" t="s">
        <v>623</v>
      </c>
      <c r="C383" s="22">
        <v>1.0</v>
      </c>
      <c r="D383" s="22" t="s">
        <v>628</v>
      </c>
      <c r="E383" s="6"/>
      <c r="F383" s="18"/>
      <c r="G383" s="18"/>
      <c r="H383" s="18"/>
      <c r="I383" s="18"/>
      <c r="J383" s="9" t="s">
        <v>16</v>
      </c>
      <c r="K383" s="18" t="str">
        <f>IMAGE("https://cdn.store.link/products/ayiraminimart50505/o0n67b-kitco%20nice%20tomato%20ketchup%2016g.jpg?versionId=X4EcPU9e47gYxieQRa9od14cHm0EaMus")</f>
        <v/>
      </c>
      <c r="L383" s="18"/>
      <c r="M383" s="10"/>
      <c r="N383" s="10"/>
    </row>
    <row r="384">
      <c r="A384" s="19" t="s">
        <v>641</v>
      </c>
      <c r="B384" s="27" t="s">
        <v>623</v>
      </c>
      <c r="C384" s="22">
        <v>4.0</v>
      </c>
      <c r="D384" s="22" t="s">
        <v>628</v>
      </c>
      <c r="E384" s="6"/>
      <c r="F384" s="18"/>
      <c r="G384" s="18"/>
      <c r="H384" s="18"/>
      <c r="I384" s="18"/>
      <c r="J384" s="9" t="s">
        <v>16</v>
      </c>
      <c r="K384" s="18" t="str">
        <f>IMAGE("https://cdn.store.link/products/ayiraminimart50505/r4cdsm-kitco%20nice%20chips%20lightly%20salted%2080g.jpg?versionId=si6GJOpWgM.e._Y_8WdOlgpkW7Awk9Ed")</f>
        <v/>
      </c>
      <c r="L384" s="18"/>
      <c r="M384" s="10"/>
      <c r="N384" s="10"/>
    </row>
    <row r="385">
      <c r="A385" s="19" t="s">
        <v>642</v>
      </c>
      <c r="B385" s="27" t="s">
        <v>623</v>
      </c>
      <c r="C385" s="22">
        <v>1.0</v>
      </c>
      <c r="D385" s="22" t="s">
        <v>643</v>
      </c>
      <c r="E385" s="6"/>
      <c r="F385" s="18"/>
      <c r="G385" s="18"/>
      <c r="H385" s="18"/>
      <c r="I385" s="18"/>
      <c r="J385" s="9" t="s">
        <v>16</v>
      </c>
      <c r="K385" s="18" t="str">
        <f>IMAGE("https://cdn.store.link/products/ayiraminimart50505/sw0j1c-oman%20chips%20chilli%20flavor%2015g.jpg?versionId=u2qLhAaWxQuk9XxbcWpZCtxXaIwFsJp4")</f>
        <v/>
      </c>
      <c r="L385" s="18"/>
      <c r="M385" s="10"/>
      <c r="N385" s="10"/>
    </row>
    <row r="386">
      <c r="A386" s="19" t="s">
        <v>644</v>
      </c>
      <c r="B386" s="27" t="s">
        <v>623</v>
      </c>
      <c r="C386" s="22">
        <v>4.0</v>
      </c>
      <c r="D386" s="22" t="s">
        <v>645</v>
      </c>
      <c r="E386" s="6"/>
      <c r="F386" s="18"/>
      <c r="G386" s="18"/>
      <c r="H386" s="18"/>
      <c r="I386" s="18"/>
      <c r="J386" s="9" t="s">
        <v>16</v>
      </c>
      <c r="K386" s="18" t="str">
        <f>IMAGE("https://cdn.store.link/products/ayiraminimart50505/igj7dz-al%20mudhish%20ripple%20chilly%2075g.jpg?versionId=AYtDZa5dJNJh.DVMkfKSmYW_kmx3mA1B")</f>
        <v/>
      </c>
      <c r="L386" s="18"/>
      <c r="M386" s="10"/>
      <c r="N386" s="10"/>
    </row>
    <row r="387">
      <c r="A387" s="19" t="s">
        <v>646</v>
      </c>
      <c r="B387" s="27" t="s">
        <v>623</v>
      </c>
      <c r="C387" s="22">
        <v>1.0</v>
      </c>
      <c r="D387" s="22" t="s">
        <v>647</v>
      </c>
      <c r="E387" s="6"/>
      <c r="F387" s="18"/>
      <c r="G387" s="18"/>
      <c r="H387" s="18"/>
      <c r="I387" s="18"/>
      <c r="J387" s="9" t="s">
        <v>40</v>
      </c>
      <c r="K387" s="18" t="str">
        <f>IMAGE("https://cdn.store.link/products/ayiraminimart50505/9dvu9q-albadia%20corn%20cones%20cheese%2016g.jpg?versionId=jdfT6XivjW9CinwtebHbZ1jcSwTvdNAh")</f>
        <v/>
      </c>
      <c r="L387" s="18"/>
      <c r="M387" s="10"/>
      <c r="N387" s="10"/>
    </row>
    <row r="388">
      <c r="A388" s="19" t="s">
        <v>648</v>
      </c>
      <c r="B388" s="27" t="s">
        <v>623</v>
      </c>
      <c r="C388" s="22">
        <v>1.0</v>
      </c>
      <c r="D388" s="22" t="s">
        <v>649</v>
      </c>
      <c r="E388" s="6"/>
      <c r="F388" s="18"/>
      <c r="G388" s="18"/>
      <c r="H388" s="18"/>
      <c r="I388" s="18"/>
      <c r="J388" s="9" t="s">
        <v>16</v>
      </c>
      <c r="K388" s="18" t="str">
        <f>IMAGE("https://cdn.store.link/products/ayiraminimart50505/o8el-s-al%20mudhish%20ripples%20cheese%2075g.jpg?versionId=R9BITLHpQxht3IpCYYKN.SadORKJ3G0h")</f>
        <v/>
      </c>
      <c r="L388" s="18"/>
      <c r="M388" s="10"/>
      <c r="N388" s="10"/>
    </row>
    <row r="389">
      <c r="A389" s="19" t="s">
        <v>650</v>
      </c>
      <c r="B389" s="27" t="s">
        <v>623</v>
      </c>
      <c r="C389" s="22">
        <v>1.0</v>
      </c>
      <c r="D389" s="22" t="s">
        <v>651</v>
      </c>
      <c r="E389" s="6"/>
      <c r="F389" s="18"/>
      <c r="G389" s="18"/>
      <c r="H389" s="18"/>
      <c r="I389" s="18"/>
      <c r="J389" s="9" t="s">
        <v>16</v>
      </c>
      <c r="K389" s="18" t="str">
        <f>IMAGE("https://cdn.store.link/products/ayiraminimart50505/mu1waw-al%20mudhish%20potato%20ripples%20crnch%20chilli15g.jpg?versionId=YYtAob3YcfK4ExEe.7uJNucjqsgEYO9q")</f>
        <v/>
      </c>
      <c r="L389" s="18"/>
      <c r="M389" s="10"/>
      <c r="N389" s="10"/>
    </row>
    <row r="390">
      <c r="A390" s="19" t="s">
        <v>652</v>
      </c>
      <c r="B390" s="27" t="s">
        <v>623</v>
      </c>
      <c r="C390" s="22">
        <v>1.0</v>
      </c>
      <c r="D390" s="22" t="s">
        <v>653</v>
      </c>
      <c r="E390" s="6"/>
      <c r="F390" s="18"/>
      <c r="G390" s="18"/>
      <c r="H390" s="18"/>
      <c r="I390" s="18"/>
      <c r="J390" s="9" t="s">
        <v>16</v>
      </c>
      <c r="K390" s="18" t="str">
        <f>IMAGE("https://cdn.store.link/products/ayiraminimart50505/6f92jj-al%20mudhish%20potato%20chips%20salted%2015g.jpg?versionId=GQogaYSMKraTD00kR7AV4K03fZUT4ymN")</f>
        <v/>
      </c>
      <c r="L390" s="18"/>
      <c r="M390" s="10"/>
      <c r="N390" s="10"/>
    </row>
    <row r="391">
      <c r="A391" s="19" t="s">
        <v>654</v>
      </c>
      <c r="B391" s="27" t="s">
        <v>623</v>
      </c>
      <c r="C391" s="22">
        <v>1.0</v>
      </c>
      <c r="D391" s="22" t="s">
        <v>655</v>
      </c>
      <c r="E391" s="6"/>
      <c r="F391" s="18"/>
      <c r="G391" s="18"/>
      <c r="H391" s="18"/>
      <c r="I391" s="18"/>
      <c r="J391" s="9" t="s">
        <v>16</v>
      </c>
      <c r="K391" s="18" t="str">
        <f>IMAGE("https://cdn.store.link/products/ayiraminimart50505/ybdny9-al%20mudhish%20rings%20salsa%20crnchy%20potato15g.jpg?versionId=h8vP3.kzDAvNbaHAXA0SKRKPHqfYtndS")</f>
        <v/>
      </c>
      <c r="L391" s="18"/>
      <c r="M391" s="10"/>
      <c r="N391" s="10"/>
    </row>
    <row r="392">
      <c r="A392" s="19" t="s">
        <v>656</v>
      </c>
      <c r="B392" s="27" t="s">
        <v>623</v>
      </c>
      <c r="C392" s="22">
        <v>1.0</v>
      </c>
      <c r="D392" s="22" t="s">
        <v>657</v>
      </c>
      <c r="E392" s="6"/>
      <c r="F392" s="18"/>
      <c r="G392" s="18"/>
      <c r="H392" s="18"/>
      <c r="I392" s="18"/>
      <c r="J392" s="9" t="s">
        <v>16</v>
      </c>
      <c r="K392" s="18" t="str">
        <f>IMAGE("https://cdn.store.link/products/ayiraminimart50505/ni81g9-al%20mudhish%20potato%20chips%20salt?versionId=2OKZ52_yP_.ZZztjOkpsF3XbF6BS0mTZ")</f>
        <v/>
      </c>
      <c r="L392" s="18"/>
      <c r="M392" s="10"/>
      <c r="N392" s="10"/>
    </row>
    <row r="393">
      <c r="A393" s="19" t="s">
        <v>658</v>
      </c>
      <c r="B393" s="27" t="s">
        <v>623</v>
      </c>
      <c r="C393" s="22">
        <v>1.0</v>
      </c>
      <c r="D393" s="22" t="s">
        <v>659</v>
      </c>
      <c r="E393" s="6"/>
      <c r="F393" s="18"/>
      <c r="G393" s="18"/>
      <c r="H393" s="18"/>
      <c r="I393" s="18"/>
      <c r="J393" s="9" t="s">
        <v>16</v>
      </c>
      <c r="K393" s="18" t="str">
        <f>IMAGE("https://cdn.store.link/products/ayiraminimart50505/6f92jj-al%20mudhish%20potato%20chips%20salted%2015g.jpg?versionId=GQogaYSMKraTD00kR7AV4K03fZUT4ymN")</f>
        <v/>
      </c>
      <c r="L393" s="18"/>
      <c r="M393" s="10"/>
      <c r="N393" s="10"/>
    </row>
    <row r="394">
      <c r="A394" s="19" t="s">
        <v>660</v>
      </c>
      <c r="B394" s="27" t="s">
        <v>623</v>
      </c>
      <c r="C394" s="22">
        <v>4.0</v>
      </c>
      <c r="D394" s="22" t="s">
        <v>661</v>
      </c>
      <c r="E394" s="6"/>
      <c r="F394" s="18"/>
      <c r="G394" s="18"/>
      <c r="H394" s="18"/>
      <c r="I394" s="18"/>
      <c r="J394" s="9" t="s">
        <v>16</v>
      </c>
      <c r="K394" s="18" t="str">
        <f>IMAGE("https://cdn.store.link/products/ayiraminimart50505/ni81g9-al%20mudhish%20potato%20chips%20salt?versionId=2OKZ52_yP_.ZZztjOkpsF3XbF6BS0mTZ")</f>
        <v/>
      </c>
      <c r="L394" s="18"/>
      <c r="M394" s="10"/>
      <c r="N394" s="10"/>
    </row>
    <row r="395">
      <c r="A395" s="19" t="s">
        <v>662</v>
      </c>
      <c r="B395" s="27" t="s">
        <v>623</v>
      </c>
      <c r="C395" s="22">
        <v>4.0</v>
      </c>
      <c r="D395" s="22" t="s">
        <v>663</v>
      </c>
      <c r="E395" s="6"/>
      <c r="F395" s="18"/>
      <c r="G395" s="18"/>
      <c r="H395" s="18"/>
      <c r="I395" s="18"/>
      <c r="J395" s="9" t="s">
        <v>16</v>
      </c>
      <c r="K395" s="18" t="str">
        <f>IMAGE("https://cdn.store.link/products/ayiraminimart50505/o8el-s-al%20mudhish%20ripples%20cheese%2075g.jpg?versionId=R9BITLHpQxht3IpCYYKN.SadORKJ3G0h")</f>
        <v/>
      </c>
      <c r="L395" s="18"/>
      <c r="M395" s="10"/>
      <c r="N395" s="10"/>
    </row>
    <row r="396">
      <c r="A396" s="5" t="s">
        <v>664</v>
      </c>
      <c r="B396" s="27" t="s">
        <v>613</v>
      </c>
      <c r="C396" s="22">
        <v>3.5</v>
      </c>
      <c r="D396" s="22" t="s">
        <v>665</v>
      </c>
      <c r="E396" s="6"/>
      <c r="F396" s="18"/>
      <c r="G396" s="18"/>
      <c r="H396" s="18"/>
      <c r="I396" s="18"/>
      <c r="J396" s="9" t="s">
        <v>16</v>
      </c>
      <c r="K396" s="18" t="str">
        <f>IMAGE("https://cdn.store.link/products/ayiraminimart50505/cls0ys-cadbury%20dairy%20milk%20bubbly%20milk%20chocolate%2028g.png?versionId=EJOW.d8CeiwLpyn4JLEldLS5degfd3pW")</f>
        <v/>
      </c>
      <c r="L396" s="18"/>
      <c r="M396" s="10"/>
      <c r="N396" s="10"/>
    </row>
    <row r="397">
      <c r="A397" s="5" t="s">
        <v>666</v>
      </c>
      <c r="B397" s="27" t="s">
        <v>613</v>
      </c>
      <c r="C397" s="22">
        <v>3.5</v>
      </c>
      <c r="D397" s="22" t="s">
        <v>665</v>
      </c>
      <c r="E397" s="6"/>
      <c r="F397" s="18"/>
      <c r="G397" s="18"/>
      <c r="H397" s="18"/>
      <c r="I397" s="18"/>
      <c r="J397" s="9" t="s">
        <v>16</v>
      </c>
      <c r="K397" s="18" t="str">
        <f>IMAGE("https://cdn.store.link/products/ayiraminimart50505/fji1io-cadbury%20dairy%20milk%20hazelnut%20chocolate%20bar%2032g.png?versionId=K4arlGJ3nAtW.S6O7QN3_pAw.jAWmVPs")</f>
        <v/>
      </c>
      <c r="L397" s="18"/>
      <c r="M397" s="10"/>
      <c r="N397" s="10"/>
    </row>
    <row r="398">
      <c r="A398" s="19" t="s">
        <v>667</v>
      </c>
      <c r="B398" s="27" t="s">
        <v>613</v>
      </c>
      <c r="C398" s="22">
        <v>3.5</v>
      </c>
      <c r="D398" s="22" t="s">
        <v>665</v>
      </c>
      <c r="E398" s="6"/>
      <c r="F398" s="18"/>
      <c r="G398" s="18"/>
      <c r="H398" s="18"/>
      <c r="I398" s="18"/>
      <c r="J398" s="9" t="s">
        <v>16</v>
      </c>
      <c r="K398" s="18" t="str">
        <f>IMAGE("https://cdn.store.link/products/ayiraminimart50505/pnr-nm-cadbury%20dairy%20milk%20fruit%20?versionId=SzaALAQ4Gb3D.pSo9Hm2Coinn1su0jAK")</f>
        <v/>
      </c>
      <c r="L398" s="18"/>
      <c r="M398" s="10"/>
      <c r="N398" s="10"/>
    </row>
    <row r="399">
      <c r="A399" s="19" t="s">
        <v>668</v>
      </c>
      <c r="B399" s="27" t="s">
        <v>613</v>
      </c>
      <c r="C399" s="22">
        <v>1.5</v>
      </c>
      <c r="D399" s="22" t="s">
        <v>665</v>
      </c>
      <c r="E399" s="6"/>
      <c r="F399" s="18"/>
      <c r="G399" s="18"/>
      <c r="H399" s="18"/>
      <c r="I399" s="18"/>
      <c r="J399" s="9" t="s">
        <v>16</v>
      </c>
      <c r="K399" s="18" t="str">
        <f>IMAGE("https://cdn.store.link/products/ayiraminimart50505/kbclyh-cadbury%20time%20out%20crunch%20wafer%2028%20gm.png?versionId=TXOAkPUHwMXifJvhBXp3VOdJoevjAQhj")</f>
        <v/>
      </c>
      <c r="L399" s="18"/>
      <c r="M399" s="10"/>
      <c r="N399" s="10"/>
    </row>
    <row r="400">
      <c r="A400" s="19" t="s">
        <v>669</v>
      </c>
      <c r="B400" s="27" t="s">
        <v>613</v>
      </c>
      <c r="C400" s="22">
        <v>3.5</v>
      </c>
      <c r="D400" s="22" t="s">
        <v>665</v>
      </c>
      <c r="E400" s="6"/>
      <c r="F400" s="18"/>
      <c r="G400" s="18"/>
      <c r="H400" s="18"/>
      <c r="I400" s="18"/>
      <c r="J400" s="9" t="s">
        <v>16</v>
      </c>
      <c r="K400" s="18" t="str">
        <f>IMAGE("https://cdn.store.link/products/ayiraminimart50505/b0i4qa-cadbury%20flake%20minis%20chocolate%2028g.png?versionId=E8SjtegQw7s5ZsZcuQFg7UH5Cc8yt6cO")</f>
        <v/>
      </c>
      <c r="L400" s="18"/>
      <c r="M400" s="10"/>
      <c r="N400" s="10"/>
    </row>
    <row r="401">
      <c r="A401" s="19" t="s">
        <v>670</v>
      </c>
      <c r="B401" s="27" t="s">
        <v>613</v>
      </c>
      <c r="C401" s="22">
        <v>3.0</v>
      </c>
      <c r="D401" s="22" t="s">
        <v>671</v>
      </c>
      <c r="E401" s="6"/>
      <c r="F401" s="18"/>
      <c r="G401" s="18"/>
      <c r="H401" s="18"/>
      <c r="I401" s="18"/>
      <c r="J401" s="9" t="s">
        <v>16</v>
      </c>
      <c r="K401" s="18" t="str">
        <f>IMAGE("https://cdn.store.link/products/ayiraminimart50505/5spe-s-konak%20hoop%20dubai%20wafer%20balls%20pistachio%20kunafa%2027g.png?versionId=DCU75X72zAOdoskLidTEQ.tTx9F2ff8k")</f>
        <v/>
      </c>
      <c r="L401" s="18"/>
      <c r="M401" s="10"/>
      <c r="N401" s="10"/>
    </row>
    <row r="402">
      <c r="A402" s="19" t="s">
        <v>672</v>
      </c>
      <c r="B402" s="27" t="s">
        <v>613</v>
      </c>
      <c r="C402" s="22">
        <v>3.0</v>
      </c>
      <c r="D402" s="22" t="s">
        <v>673</v>
      </c>
      <c r="E402" s="6"/>
      <c r="F402" s="18"/>
      <c r="G402" s="18"/>
      <c r="H402" s="18"/>
      <c r="I402" s="18"/>
      <c r="J402" s="9" t="s">
        <v>16</v>
      </c>
      <c r="K402" s="18" t="str">
        <f>IMAGE("https://cdn.store.link/products/ayiraminimart50505/toyol1-nestl%C3%A9%20lion%20bar%2050g.png?versionId=3QqQ_cDYwTLyOKEb7VgWlFy_BFNz0ASw")</f>
        <v/>
      </c>
      <c r="L402" s="18"/>
      <c r="M402" s="10"/>
      <c r="N402" s="10"/>
    </row>
    <row r="403">
      <c r="A403" s="19" t="s">
        <v>674</v>
      </c>
      <c r="B403" s="27" t="s">
        <v>613</v>
      </c>
      <c r="C403" s="22">
        <v>2.5</v>
      </c>
      <c r="D403" s="22" t="s">
        <v>675</v>
      </c>
      <c r="E403" s="6"/>
      <c r="F403" s="18"/>
      <c r="G403" s="18"/>
      <c r="H403" s="18"/>
      <c r="I403" s="18"/>
      <c r="J403" s="9" t="s">
        <v>16</v>
      </c>
      <c r="K403" s="18" t="str">
        <f>IMAGE("https://cdn.store.link/products/ayiraminimart50505/rxvj1a-nutella%20b-ready.png?versionId=xa_0h2KzwUdK9qg5y0wIhkrvTjbUM06M")</f>
        <v/>
      </c>
      <c r="L403" s="18"/>
      <c r="M403" s="10"/>
      <c r="N403" s="10"/>
    </row>
    <row r="404">
      <c r="A404" s="19" t="s">
        <v>676</v>
      </c>
      <c r="B404" s="27" t="s">
        <v>613</v>
      </c>
      <c r="C404" s="22">
        <v>1.75</v>
      </c>
      <c r="D404" s="22" t="s">
        <v>677</v>
      </c>
      <c r="E404" s="6"/>
      <c r="F404" s="18"/>
      <c r="G404" s="18"/>
      <c r="H404" s="18"/>
      <c r="I404" s="18"/>
      <c r="J404" s="9" t="s">
        <v>16</v>
      </c>
      <c r="K404" s="18" t="str">
        <f>IMAGE("https://cdn.store.link/products/ayiraminimart50505/ytvzlj-tofi%20luk%2033g.png?versionId=BRSxmHsJMfOTOCGvip_UEqHIG_5LVJd7")</f>
        <v/>
      </c>
      <c r="L404" s="18"/>
      <c r="M404" s="10"/>
      <c r="N404" s="10"/>
    </row>
    <row r="405">
      <c r="A405" s="5" t="s">
        <v>678</v>
      </c>
      <c r="B405" s="27" t="s">
        <v>613</v>
      </c>
      <c r="C405" s="22">
        <v>6.5</v>
      </c>
      <c r="D405" s="22" t="s">
        <v>679</v>
      </c>
      <c r="E405" s="6"/>
      <c r="F405" s="18"/>
      <c r="G405" s="18"/>
      <c r="H405" s="18"/>
      <c r="I405" s="18"/>
      <c r="J405" s="9" t="s">
        <v>16</v>
      </c>
      <c r="K405" s="18" t="str">
        <f>IMAGE("https://cdn.store.link/products/ayiraminimart50505/jy0bg7-raffaello%2030g.png?versionId=nlWBjRanrQIALSTkDAhEVkpRSamCTwIg")</f>
        <v/>
      </c>
      <c r="L405" s="18"/>
      <c r="M405" s="10"/>
      <c r="N405" s="10"/>
    </row>
    <row r="406">
      <c r="A406" s="19" t="s">
        <v>680</v>
      </c>
      <c r="B406" s="27" t="s">
        <v>681</v>
      </c>
      <c r="C406" s="22">
        <v>38.0</v>
      </c>
      <c r="D406" s="22" t="s">
        <v>682</v>
      </c>
      <c r="E406" s="6"/>
      <c r="F406" s="18"/>
      <c r="G406" s="18"/>
      <c r="H406" s="18"/>
      <c r="I406" s="18"/>
      <c r="J406" s="9" t="s">
        <v>16</v>
      </c>
      <c r="K406" s="18" t="str">
        <f>IMAGE("https://cdn.store.link/products/ayiraminimart50505/icu452-halabi%20unsalted%20mix%20400%20gm%20%28tin%29.png?versionId=n3qBuIDw9YluanA62RAEuvwVWS03f_hx")</f>
        <v/>
      </c>
      <c r="L406" s="18"/>
      <c r="M406" s="10"/>
      <c r="N406" s="10"/>
    </row>
    <row r="407">
      <c r="A407" s="19" t="s">
        <v>683</v>
      </c>
      <c r="B407" s="27" t="s">
        <v>681</v>
      </c>
      <c r="C407" s="22">
        <v>26.0</v>
      </c>
      <c r="D407" s="22" t="s">
        <v>684</v>
      </c>
      <c r="E407" s="6"/>
      <c r="F407" s="18"/>
      <c r="G407" s="18"/>
      <c r="H407" s="18"/>
      <c r="I407" s="18"/>
      <c r="J407" s="9" t="s">
        <v>16</v>
      </c>
      <c r="K407" s="18" t="str">
        <f>IMAGE("https://cdn.store.link/products/ayiraminimart50505/5gewve-halabi%20super%20extra%20mix%20400%20gm%20%28tin%29.png?versionId=0kQ883IxGROKbLQhHXZ0hPL6sowGOcN7")</f>
        <v/>
      </c>
      <c r="L407" s="18"/>
      <c r="M407" s="10"/>
      <c r="N407" s="10"/>
    </row>
    <row r="408">
      <c r="A408" s="19" t="s">
        <v>685</v>
      </c>
      <c r="B408" s="27" t="s">
        <v>681</v>
      </c>
      <c r="C408" s="22">
        <v>40.0</v>
      </c>
      <c r="D408" s="22" t="s">
        <v>686</v>
      </c>
      <c r="E408" s="6"/>
      <c r="F408" s="18"/>
      <c r="G408" s="18"/>
      <c r="H408" s="18"/>
      <c r="I408" s="18"/>
      <c r="J408" s="9" t="s">
        <v>16</v>
      </c>
      <c r="K408" s="18" t="str">
        <f>IMAGE("https://cdn.store.link/products/ayiraminimart50505/xtvmhg-halabi%20kernels%20mix%20400%20gm%20%28tin%29.png?versionId=57oFcosmjJOco34cYYDQZlx1.7qr3YXh")</f>
        <v/>
      </c>
      <c r="L408" s="18"/>
      <c r="M408" s="10"/>
      <c r="N408" s="10"/>
    </row>
    <row r="409">
      <c r="A409" s="19" t="s">
        <v>687</v>
      </c>
      <c r="B409" s="27" t="s">
        <v>681</v>
      </c>
      <c r="C409" s="22">
        <v>44.0</v>
      </c>
      <c r="D409" s="22" t="s">
        <v>688</v>
      </c>
      <c r="E409" s="6"/>
      <c r="F409" s="18"/>
      <c r="G409" s="18"/>
      <c r="H409" s="18"/>
      <c r="I409" s="18"/>
      <c r="J409" s="9" t="s">
        <v>16</v>
      </c>
      <c r="K409" s="18" t="str">
        <f>IMAGE("https://cdn.store.link/products/ayiraminimart50505/i534cg-halabi%20kernels%20mix%20300%20gm.png?versionId=lbs_japITVA.ACk.4rkp_SF95WAkBI2Q")</f>
        <v/>
      </c>
      <c r="L409" s="18"/>
      <c r="M409" s="10"/>
      <c r="N409" s="10"/>
    </row>
    <row r="410">
      <c r="A410" s="19" t="s">
        <v>689</v>
      </c>
      <c r="B410" s="27" t="s">
        <v>681</v>
      </c>
      <c r="C410" s="22">
        <v>12.5</v>
      </c>
      <c r="D410" s="22" t="s">
        <v>690</v>
      </c>
      <c r="E410" s="6"/>
      <c r="F410" s="18"/>
      <c r="G410" s="18"/>
      <c r="H410" s="18"/>
      <c r="I410" s="18"/>
      <c r="J410" s="9" t="s">
        <v>16</v>
      </c>
      <c r="K410" s="18" t="str">
        <f>IMAGE("https://cdn.store.link/products/ayiraminimart50505/1g5e6c-halabi%20mexican%20nuts%20175%20gm.png?versionId=yryw.zddbzKrCT1hdyFqwI6zaH1y33Yd")</f>
        <v/>
      </c>
      <c r="L410" s="18"/>
      <c r="M410" s="10"/>
      <c r="N410" s="10"/>
    </row>
    <row r="411">
      <c r="A411" s="19" t="s">
        <v>691</v>
      </c>
      <c r="B411" s="27" t="s">
        <v>681</v>
      </c>
      <c r="C411" s="22">
        <v>13.5</v>
      </c>
      <c r="D411" s="22" t="s">
        <v>692</v>
      </c>
      <c r="E411" s="6"/>
      <c r="F411" s="18"/>
      <c r="G411" s="18"/>
      <c r="H411" s="18"/>
      <c r="I411" s="18"/>
      <c r="J411" s="9" t="s">
        <v>16</v>
      </c>
      <c r="K411" s="18" t="str">
        <f>IMAGE("https://cdn.store.link/products/ayiraminimart50505/bn2h22-halabi%20classic%20mix%20300%20gm.png?versionId=SE2aI7mO4YWe6Qhnjq8J1yrXNneXztOP")</f>
        <v/>
      </c>
      <c r="L411" s="18"/>
      <c r="M411" s="10"/>
      <c r="N411" s="10"/>
    </row>
    <row r="412">
      <c r="A412" s="19" t="s">
        <v>693</v>
      </c>
      <c r="B412" s="27" t="s">
        <v>681</v>
      </c>
      <c r="C412" s="22">
        <v>12.5</v>
      </c>
      <c r="D412" s="22" t="s">
        <v>694</v>
      </c>
      <c r="E412" s="6"/>
      <c r="F412" s="18"/>
      <c r="G412" s="18"/>
      <c r="H412" s="18"/>
      <c r="I412" s="18"/>
      <c r="J412" s="9" t="s">
        <v>16</v>
      </c>
      <c r="K412" s="18" t="str">
        <f>IMAGE("https://cdn.store.link/products/ayiraminimart50505/pi7oj6-halabi%20thai%20mix%20175%20gm.png?versionId=ZAuFKvUl.jsUiFQuIkjio.93FCfUCN8N")</f>
        <v/>
      </c>
      <c r="L412" s="18"/>
      <c r="M412" s="10"/>
      <c r="N412" s="10"/>
    </row>
    <row r="413">
      <c r="A413" s="19" t="s">
        <v>695</v>
      </c>
      <c r="B413" s="27" t="s">
        <v>681</v>
      </c>
      <c r="C413" s="22">
        <v>22.0</v>
      </c>
      <c r="D413" s="22" t="s">
        <v>684</v>
      </c>
      <c r="E413" s="6"/>
      <c r="F413" s="18"/>
      <c r="G413" s="18"/>
      <c r="H413" s="18"/>
      <c r="I413" s="18"/>
      <c r="J413" s="9" t="s">
        <v>16</v>
      </c>
      <c r="K413" s="18" t="str">
        <f>IMAGE("https://cdn.store.link/products/ayiraminimart50505/iw01l5-halabi%20super%20extra%20mix%20300%20gm.png?versionId=xpTavKDf_Vk3KmDIQExdsOEvyTPnKajR")</f>
        <v/>
      </c>
      <c r="L413" s="18"/>
      <c r="M413" s="10"/>
      <c r="N413" s="10"/>
    </row>
    <row r="414">
      <c r="A414" s="19" t="s">
        <v>696</v>
      </c>
      <c r="B414" s="27" t="s">
        <v>681</v>
      </c>
      <c r="C414" s="22">
        <v>19.0</v>
      </c>
      <c r="D414" s="22" t="s">
        <v>697</v>
      </c>
      <c r="E414" s="6"/>
      <c r="F414" s="18"/>
      <c r="G414" s="18"/>
      <c r="H414" s="18"/>
      <c r="I414" s="18"/>
      <c r="J414" s="9" t="s">
        <v>16</v>
      </c>
      <c r="K414" s="18" t="str">
        <f>IMAGE("https://cdn.store.link/products/ayiraminimart50505/t3h-c3-halabi%20pumpkin%20seeds%20250%20gm.png?versionId=MxbAZrAtA.s8yYDINvutsM5D2NZwgvrI")</f>
        <v/>
      </c>
      <c r="L414" s="18"/>
      <c r="M414" s="10"/>
      <c r="N414" s="10"/>
    </row>
    <row r="415">
      <c r="A415" s="19" t="s">
        <v>698</v>
      </c>
      <c r="B415" s="27" t="s">
        <v>681</v>
      </c>
      <c r="C415" s="22">
        <v>8.5</v>
      </c>
      <c r="D415" s="22" t="s">
        <v>699</v>
      </c>
      <c r="E415" s="6"/>
      <c r="F415" s="18"/>
      <c r="G415" s="18"/>
      <c r="H415" s="18"/>
      <c r="I415" s="18"/>
      <c r="J415" s="9" t="s">
        <v>16</v>
      </c>
      <c r="K415" s="18" t="str">
        <f>IMAGE("https://cdn.store.link/products/ayiraminimart50505/4p3p8v-halabi%20sunflower%20seeds%20250gm.png?versionId=8fiFZEZ_6ZGZIwXtxmnIdxPqfXNYT_3O")</f>
        <v/>
      </c>
      <c r="L415" s="18"/>
      <c r="M415" s="10"/>
      <c r="N415" s="10"/>
    </row>
    <row r="416">
      <c r="A416" s="19" t="s">
        <v>700</v>
      </c>
      <c r="B416" s="27" t="s">
        <v>681</v>
      </c>
      <c r="C416" s="22">
        <v>38.0</v>
      </c>
      <c r="D416" s="22" t="s">
        <v>701</v>
      </c>
      <c r="E416" s="6"/>
      <c r="F416" s="18"/>
      <c r="G416" s="18"/>
      <c r="H416" s="18"/>
      <c r="I416" s="18"/>
      <c r="J416" s="9" t="s">
        <v>16</v>
      </c>
      <c r="K416" s="18" t="str">
        <f>IMAGE("https://cdn.store.link/products/ayiraminimart50505/u4lw0w-halabi%20cashews%20250%20gm.png?versionId=1jQZ_MWu4YAgkG52_E1udqdziYu2iVaq")</f>
        <v/>
      </c>
      <c r="L416" s="18"/>
      <c r="M416" s="10"/>
      <c r="N416" s="10"/>
    </row>
    <row r="417">
      <c r="A417" s="19" t="s">
        <v>702</v>
      </c>
      <c r="B417" s="27" t="s">
        <v>681</v>
      </c>
      <c r="C417" s="22">
        <v>12.5</v>
      </c>
      <c r="D417" s="22" t="s">
        <v>703</v>
      </c>
      <c r="E417" s="6"/>
      <c r="F417" s="18"/>
      <c r="G417" s="18"/>
      <c r="H417" s="18"/>
      <c r="I417" s="18"/>
      <c r="J417" s="9" t="s">
        <v>16</v>
      </c>
      <c r="K417" s="18" t="str">
        <f>IMAGE("https://cdn.store.link/products/ayiraminimart50505/9hiwbq-halabi%20peanuts%20250%20gm.png?versionId=PxjQL7T2d8YAjxt0RgWJdpptVPv5PICv")</f>
        <v/>
      </c>
      <c r="L417" s="18"/>
      <c r="M417" s="10"/>
      <c r="N417" s="10"/>
    </row>
    <row r="418">
      <c r="A418" s="19" t="s">
        <v>704</v>
      </c>
      <c r="B418" s="27" t="s">
        <v>681</v>
      </c>
      <c r="C418" s="22">
        <v>13.5</v>
      </c>
      <c r="D418" s="22" t="s">
        <v>705</v>
      </c>
      <c r="E418" s="6"/>
      <c r="F418" s="18"/>
      <c r="G418" s="18"/>
      <c r="H418" s="18"/>
      <c r="I418" s="18"/>
      <c r="J418" s="9" t="s">
        <v>16</v>
      </c>
      <c r="K418" s="18" t="str">
        <f>IMAGE("https://cdn.store.link/products/ayiraminimart50505/lr5rxu-halabi%20cashews%2090gm.png?versionId=K.IuxAzBENzDHb2svGRR6rPSohJQEM_e")</f>
        <v/>
      </c>
      <c r="L418" s="18"/>
      <c r="M418" s="10"/>
      <c r="N418" s="10"/>
    </row>
    <row r="419">
      <c r="A419" s="19" t="s">
        <v>706</v>
      </c>
      <c r="B419" s="27" t="s">
        <v>681</v>
      </c>
      <c r="C419" s="22">
        <v>12.0</v>
      </c>
      <c r="D419" s="22" t="s">
        <v>707</v>
      </c>
      <c r="E419" s="6"/>
      <c r="F419" s="18"/>
      <c r="G419" s="18"/>
      <c r="H419" s="18"/>
      <c r="I419" s="18"/>
      <c r="J419" s="9" t="s">
        <v>16</v>
      </c>
      <c r="K419" s="18" t="str">
        <f>IMAGE("https://cdn.store.link/products/ayiraminimart50505/6tdqkm-halabi%20salted%20almonds%2090%20gm.png?versionId=WlAT8efEHk5fW51cPtS5nJd1dx9Wqf1q")</f>
        <v/>
      </c>
      <c r="L419" s="18"/>
      <c r="M419" s="10"/>
      <c r="N419" s="10"/>
    </row>
    <row r="420">
      <c r="A420" s="19" t="s">
        <v>708</v>
      </c>
      <c r="B420" s="27" t="s">
        <v>681</v>
      </c>
      <c r="C420" s="22">
        <v>12.5</v>
      </c>
      <c r="D420" s="22" t="s">
        <v>709</v>
      </c>
      <c r="E420" s="6"/>
      <c r="F420" s="18"/>
      <c r="G420" s="18"/>
      <c r="H420" s="18"/>
      <c r="I420" s="18"/>
      <c r="J420" s="9" t="s">
        <v>16</v>
      </c>
      <c r="K420" s="18" t="str">
        <f>IMAGE("https://cdn.store.link/products/ayiraminimart50505/mjqvek-halabi%20coated%20peanuts%20kri%20kri%20250%20gm.png?versionId=7_aw9OaOAXxumFFQGi2F1oakAB86HwNx")</f>
        <v/>
      </c>
      <c r="L420" s="18"/>
      <c r="M420" s="10"/>
      <c r="N420" s="10"/>
    </row>
    <row r="421">
      <c r="A421" s="19" t="s">
        <v>710</v>
      </c>
      <c r="B421" s="27" t="s">
        <v>681</v>
      </c>
      <c r="C421" s="22">
        <v>44.0</v>
      </c>
      <c r="D421" s="22" t="s">
        <v>711</v>
      </c>
      <c r="E421" s="6"/>
      <c r="F421" s="18"/>
      <c r="G421" s="18"/>
      <c r="H421" s="18"/>
      <c r="I421" s="18"/>
      <c r="J421" s="9" t="s">
        <v>16</v>
      </c>
      <c r="K421" s="18" t="str">
        <f>IMAGE("https://cdn.store.link/products/ayiraminimart50505/3wom4j-halabi%20pistachios%20250%20gm.png?versionId=cDgeoCTlN5e0xfD55.A.Vg9.fciNH_Et")</f>
        <v/>
      </c>
      <c r="L421" s="18"/>
      <c r="M421" s="10"/>
      <c r="N421" s="10"/>
    </row>
    <row r="422">
      <c r="A422" s="19" t="s">
        <v>712</v>
      </c>
      <c r="B422" s="27" t="s">
        <v>623</v>
      </c>
      <c r="C422" s="22">
        <v>12.0</v>
      </c>
      <c r="D422" s="22" t="s">
        <v>713</v>
      </c>
      <c r="E422" s="6"/>
      <c r="F422" s="18"/>
      <c r="G422" s="18"/>
      <c r="H422" s="18"/>
      <c r="I422" s="18"/>
      <c r="J422" s="9" t="s">
        <v>16</v>
      </c>
      <c r="K422" s="18" t="str">
        <f>IMAGE("https://cdn.store.link/products/ayiraminimart50505/nd032n-dorito%20nacho%20cheese%20175%20g.png?versionId=aK0JpnbM4f2KOaLVLTqNR.aUcs8ZRSaV")</f>
        <v/>
      </c>
      <c r="L422" s="18"/>
      <c r="M422" s="10"/>
      <c r="N422" s="10"/>
    </row>
    <row r="423">
      <c r="A423" s="19" t="s">
        <v>714</v>
      </c>
      <c r="B423" s="27" t="s">
        <v>623</v>
      </c>
      <c r="C423" s="22">
        <v>12.0</v>
      </c>
      <c r="D423" s="22" t="s">
        <v>713</v>
      </c>
      <c r="E423" s="6"/>
      <c r="F423" s="18"/>
      <c r="G423" s="18"/>
      <c r="H423" s="18"/>
      <c r="I423" s="18"/>
      <c r="J423" s="9" t="s">
        <v>16</v>
      </c>
      <c r="K423" s="18" t="str">
        <f>IMAGE("https://cdn.store.link/products/ayiraminimart50505/1i8sp4-doritos%20sweet%20chili%20pepper%20175%20g.png?versionId=dDIj6GpzRPax2vjBkLbTQ2MdyHuG15QG")</f>
        <v/>
      </c>
      <c r="L423" s="18"/>
      <c r="M423" s="10"/>
      <c r="N423" s="10"/>
    </row>
    <row r="424">
      <c r="A424" s="19" t="s">
        <v>715</v>
      </c>
      <c r="B424" s="27" t="s">
        <v>623</v>
      </c>
      <c r="C424" s="22">
        <v>18.0</v>
      </c>
      <c r="D424" s="22" t="s">
        <v>716</v>
      </c>
      <c r="E424" s="6"/>
      <c r="F424" s="18"/>
      <c r="G424" s="18"/>
      <c r="H424" s="18"/>
      <c r="I424" s="18"/>
      <c r="J424" s="9" t="s">
        <v>16</v>
      </c>
      <c r="K424" s="18" t="str">
        <f>IMAGE("https://cdn.store.link/products/ayiraminimart50505/cz156h-cheetos%20crunchy%20cheese%20190%20g.png?versionId=YROnEwxdQ_up37olaiap6rTtxj5l5LNY")</f>
        <v/>
      </c>
      <c r="L424" s="18"/>
      <c r="M424" s="10"/>
      <c r="N424" s="10"/>
    </row>
    <row r="425">
      <c r="A425" s="19" t="s">
        <v>717</v>
      </c>
      <c r="B425" s="27" t="s">
        <v>623</v>
      </c>
      <c r="C425" s="22">
        <v>6.5</v>
      </c>
      <c r="D425" s="22" t="s">
        <v>718</v>
      </c>
      <c r="E425" s="6"/>
      <c r="F425" s="18"/>
      <c r="G425" s="18"/>
      <c r="H425" s="18"/>
      <c r="I425" s="18"/>
      <c r="J425" s="9" t="s">
        <v>16</v>
      </c>
      <c r="K425" s="18" t="str">
        <f>IMAGE("https://cdn.store.link/products/ayiraminimart50505/ws82qy-balaji%20wafers%20crunchem%20chaat%20chaska%20135%20g.png?versionId=642y.S_gMJnVxv2P9Sw28h9zk4NH2813")</f>
        <v/>
      </c>
      <c r="L425" s="18"/>
      <c r="M425" s="10"/>
      <c r="N425" s="10"/>
    </row>
    <row r="426">
      <c r="A426" s="19" t="s">
        <v>719</v>
      </c>
      <c r="B426" s="27" t="s">
        <v>623</v>
      </c>
      <c r="C426" s="22">
        <v>18.0</v>
      </c>
      <c r="D426" s="22" t="s">
        <v>716</v>
      </c>
      <c r="E426" s="6"/>
      <c r="F426" s="18"/>
      <c r="G426" s="18"/>
      <c r="H426" s="18"/>
      <c r="I426" s="18"/>
      <c r="J426" s="9" t="s">
        <v>16</v>
      </c>
      <c r="K426" s="18" t="str">
        <f>IMAGE("https://cdn.store.link/products/ayiraminimart50505/vnzwjw-cheetos%20flamin%27%20hot%20crunchy%20export%20226.8%20g.png?versionId=Upf6FUeOr_gjsv2xIoniwNXOoaz.cEtu")</f>
        <v/>
      </c>
      <c r="L426" s="18"/>
      <c r="M426" s="10"/>
      <c r="N426" s="10"/>
    </row>
    <row r="427">
      <c r="A427" s="19" t="s">
        <v>720</v>
      </c>
      <c r="B427" s="27" t="s">
        <v>623</v>
      </c>
      <c r="C427" s="22">
        <v>12.0</v>
      </c>
      <c r="D427" s="22" t="s">
        <v>713</v>
      </c>
      <c r="E427" s="6"/>
      <c r="F427" s="18"/>
      <c r="G427" s="18"/>
      <c r="H427" s="18"/>
      <c r="I427" s="18"/>
      <c r="J427" s="9" t="s">
        <v>40</v>
      </c>
      <c r="K427" s="18" t="str">
        <f>IMAGE("https://cdn.store.link/products/ayiraminimart50505/mg-s6u-doritos%20sweet%20chili%20pepper%20105%20g.png?versionId=MVMGblm_pAcA6K5ADhAbEyc6dqXte2oS")</f>
        <v/>
      </c>
      <c r="L427" s="18"/>
      <c r="M427" s="10"/>
      <c r="N427" s="10"/>
    </row>
    <row r="428">
      <c r="A428" s="19" t="s">
        <v>721</v>
      </c>
      <c r="B428" s="27" t="s">
        <v>623</v>
      </c>
      <c r="C428" s="22">
        <v>10.0</v>
      </c>
      <c r="D428" s="22" t="s">
        <v>722</v>
      </c>
      <c r="E428" s="6"/>
      <c r="F428" s="18"/>
      <c r="G428" s="18"/>
      <c r="H428" s="18"/>
      <c r="I428" s="18"/>
      <c r="J428" s="9" t="s">
        <v>16</v>
      </c>
      <c r="K428" s="18" t="str">
        <f>IMAGE("https://cdn.store.link/products/ayiraminimart50505/go48zg-lays%20tomato%20ketchup%20155%20g.png?versionId=kYAT2aeEzz07yGz6EnqSFj8vrWHDqVUp")</f>
        <v/>
      </c>
      <c r="L428" s="18"/>
      <c r="M428" s="10"/>
      <c r="N428" s="10"/>
    </row>
    <row r="429">
      <c r="A429" s="5" t="s">
        <v>723</v>
      </c>
      <c r="B429" s="27" t="s">
        <v>623</v>
      </c>
      <c r="C429" s="22">
        <v>10.0</v>
      </c>
      <c r="D429" s="22" t="s">
        <v>722</v>
      </c>
      <c r="E429" s="6"/>
      <c r="F429" s="18"/>
      <c r="G429" s="18"/>
      <c r="H429" s="18"/>
      <c r="I429" s="18"/>
      <c r="J429" s="9" t="s">
        <v>16</v>
      </c>
      <c r="K429" s="18" t="str">
        <f>IMAGE("https://cdn.store.link/products/ayiraminimart50505/njg9b5-lays%20salted%20155%20g.png?versionId=1DaCRdCChfrNNL9VI6i238b5SLCAxyFJ")</f>
        <v/>
      </c>
      <c r="L429" s="18"/>
      <c r="M429" s="10"/>
      <c r="N429" s="10"/>
    </row>
    <row r="430">
      <c r="A430" s="19" t="s">
        <v>724</v>
      </c>
      <c r="B430" s="27" t="s">
        <v>623</v>
      </c>
      <c r="C430" s="22">
        <v>6.5</v>
      </c>
      <c r="D430" s="22" t="s">
        <v>725</v>
      </c>
      <c r="E430" s="6"/>
      <c r="F430" s="18"/>
      <c r="G430" s="18"/>
      <c r="H430" s="18"/>
      <c r="I430" s="18"/>
      <c r="J430" s="9" t="s">
        <v>16</v>
      </c>
      <c r="K430" s="18" t="str">
        <f>IMAGE("https://cdn.store.link/products/ayiraminimart50505/dk3efe-balaji%20crunchem%20simply%20salted%20155%20g.png?versionId=YVuPbQ0qq7cvWbgaKNI2hEFbGq9vBa4H")</f>
        <v/>
      </c>
      <c r="L430" s="18"/>
      <c r="M430" s="10"/>
      <c r="N430" s="10"/>
    </row>
    <row r="431">
      <c r="A431" s="19" t="s">
        <v>726</v>
      </c>
      <c r="B431" s="27" t="s">
        <v>623</v>
      </c>
      <c r="C431" s="22">
        <v>4.0</v>
      </c>
      <c r="D431" s="22" t="s">
        <v>716</v>
      </c>
      <c r="E431" s="6"/>
      <c r="F431" s="18"/>
      <c r="G431" s="18"/>
      <c r="H431" s="18"/>
      <c r="I431" s="18"/>
      <c r="J431" s="9" t="s">
        <v>16</v>
      </c>
      <c r="K431" s="18" t="str">
        <f>IMAGE("https://cdn.store.link/products/ayiraminimart50505/qngtgb-cheetos%20flamin%27%20hot%2040%20g.png?versionId=KFrM0JwllWssAuxwKnsjRvvrP2qCgnne")</f>
        <v/>
      </c>
      <c r="L431" s="18"/>
      <c r="M431" s="10"/>
      <c r="N431" s="10"/>
    </row>
    <row r="432">
      <c r="A432" s="19" t="s">
        <v>727</v>
      </c>
      <c r="B432" s="27" t="s">
        <v>623</v>
      </c>
      <c r="C432" s="22">
        <v>4.0</v>
      </c>
      <c r="D432" s="22" t="s">
        <v>713</v>
      </c>
      <c r="E432" s="6"/>
      <c r="F432" s="18"/>
      <c r="G432" s="18"/>
      <c r="H432" s="18"/>
      <c r="I432" s="18"/>
      <c r="J432" s="9" t="s">
        <v>16</v>
      </c>
      <c r="K432" s="18" t="str">
        <f>IMAGE("https://cdn.store.link/products/ayiraminimart50505/r252gl-doritos%20flamin%27%20hot%2050%20g.png?versionId=x66DorwY.16pdP4reHoUpMFbfGuJkr23")</f>
        <v/>
      </c>
      <c r="L432" s="18"/>
      <c r="M432" s="10"/>
      <c r="N432" s="10"/>
    </row>
    <row r="433">
      <c r="A433" s="19" t="s">
        <v>728</v>
      </c>
      <c r="B433" s="27" t="s">
        <v>623</v>
      </c>
      <c r="C433" s="22">
        <v>8.0</v>
      </c>
      <c r="D433" s="22" t="s">
        <v>716</v>
      </c>
      <c r="E433" s="6"/>
      <c r="F433" s="18"/>
      <c r="G433" s="18"/>
      <c r="H433" s="18"/>
      <c r="I433" s="18"/>
      <c r="J433" s="9" t="s">
        <v>16</v>
      </c>
      <c r="K433" s="18" t="str">
        <f>IMAGE("https://cdn.store.link/products/ayiraminimart50505/sqglwn-cheetos%20crunchy%20flamin%27%20hot%20110%20g.png?versionId=lCyJCK_Hg3undnVTw2Ce6yGSd6mc.Cv7")</f>
        <v/>
      </c>
      <c r="L433" s="18"/>
      <c r="M433" s="10"/>
      <c r="N433" s="10"/>
    </row>
    <row r="434">
      <c r="A434" s="19" t="s">
        <v>729</v>
      </c>
      <c r="B434" s="27" t="s">
        <v>623</v>
      </c>
      <c r="C434" s="22">
        <v>4.0</v>
      </c>
      <c r="D434" s="22" t="s">
        <v>713</v>
      </c>
      <c r="E434" s="6"/>
      <c r="F434" s="18"/>
      <c r="G434" s="18"/>
      <c r="H434" s="18"/>
      <c r="I434" s="18"/>
      <c r="J434" s="9" t="s">
        <v>16</v>
      </c>
      <c r="K434" s="18" t="str">
        <f>IMAGE("https://cdn.store.link/products/ayiraminimart50505/xj3fi2-doritos%20dinamita%20flamin%27%20hot%2040%20g.png?versionId=ePJ_i6BZxxsRG7zKZZX6d.1wL.cpP7MB")</f>
        <v/>
      </c>
      <c r="L434" s="18"/>
      <c r="M434" s="10"/>
      <c r="N434" s="10"/>
    </row>
    <row r="435">
      <c r="A435" s="5" t="s">
        <v>730</v>
      </c>
      <c r="B435" s="27" t="s">
        <v>623</v>
      </c>
      <c r="C435" s="22">
        <v>4.0</v>
      </c>
      <c r="D435" s="22" t="s">
        <v>722</v>
      </c>
      <c r="E435" s="6"/>
      <c r="F435" s="18"/>
      <c r="G435" s="18"/>
      <c r="H435" s="18"/>
      <c r="I435" s="18"/>
      <c r="J435" s="9" t="s">
        <v>16</v>
      </c>
      <c r="K435" s="18" t="str">
        <f>IMAGE("https://cdn.store.link/products/ayiraminimart50505/iole7i-lays%20salt%2048%20g.png?versionId=ld2tREiOR5HdynvaGFKYL8M6KmQTQXjZ")</f>
        <v/>
      </c>
      <c r="L435" s="18"/>
      <c r="M435" s="10"/>
      <c r="N435" s="10"/>
    </row>
    <row r="436">
      <c r="A436" s="19" t="s">
        <v>731</v>
      </c>
      <c r="B436" s="27" t="s">
        <v>623</v>
      </c>
      <c r="C436" s="22">
        <v>4.0</v>
      </c>
      <c r="D436" s="22" t="s">
        <v>713</v>
      </c>
      <c r="E436" s="6"/>
      <c r="F436" s="18"/>
      <c r="G436" s="18"/>
      <c r="H436" s="18"/>
      <c r="I436" s="18"/>
      <c r="J436" s="9" t="s">
        <v>16</v>
      </c>
      <c r="K436" s="18" t="str">
        <f>IMAGE("https://cdn.store.link/products/ayiraminimart50505/1vc883-doritos%20sweet%20chili%20pepper%2048%20g.png?versionId=SyX_HJg3hjsj5VxTvQ9Jig_Kh2gMquhA")</f>
        <v/>
      </c>
      <c r="L436" s="18"/>
      <c r="M436" s="10"/>
      <c r="N436" s="10"/>
    </row>
    <row r="437">
      <c r="A437" s="19" t="s">
        <v>732</v>
      </c>
      <c r="B437" s="27" t="s">
        <v>623</v>
      </c>
      <c r="C437" s="22">
        <v>4.0</v>
      </c>
      <c r="D437" s="22" t="s">
        <v>722</v>
      </c>
      <c r="E437" s="6"/>
      <c r="F437" s="18"/>
      <c r="G437" s="18"/>
      <c r="H437" s="18"/>
      <c r="I437" s="18"/>
      <c r="J437" s="9" t="s">
        <v>16</v>
      </c>
      <c r="K437" s="18" t="str">
        <f>IMAGE("https://cdn.store.link/products/ayiraminimart50505/gt8s76-lays%20french%20cheese%2048%20g.png?versionId=jD67QqzBeJ3PLdIlqOPtW5tmFR6bzSej")</f>
        <v/>
      </c>
      <c r="L437" s="18"/>
      <c r="M437" s="10"/>
      <c r="N437" s="10"/>
    </row>
    <row r="438">
      <c r="A438" s="19" t="s">
        <v>733</v>
      </c>
      <c r="B438" s="27" t="s">
        <v>623</v>
      </c>
      <c r="C438" s="22">
        <v>4.0</v>
      </c>
      <c r="D438" s="22" t="s">
        <v>722</v>
      </c>
      <c r="E438" s="6"/>
      <c r="F438" s="18"/>
      <c r="G438" s="18"/>
      <c r="H438" s="18"/>
      <c r="I438" s="18"/>
      <c r="J438" s="9" t="s">
        <v>16</v>
      </c>
      <c r="K438" s="18" t="str">
        <f>IMAGE("https://cdn.store.link/products/ayiraminimart50505/enb799-lays%20chili%2048%20g.png?versionId=KS88k4gHm_71dDBAtft_8D.WYKLUmn5X")</f>
        <v/>
      </c>
      <c r="L438" s="18"/>
      <c r="M438" s="10"/>
      <c r="N438" s="10"/>
    </row>
    <row r="439">
      <c r="A439" s="19" t="s">
        <v>734</v>
      </c>
      <c r="B439" s="27" t="s">
        <v>623</v>
      </c>
      <c r="C439" s="22">
        <v>3.5</v>
      </c>
      <c r="D439" s="22" t="s">
        <v>716</v>
      </c>
      <c r="E439" s="6"/>
      <c r="F439" s="18"/>
      <c r="G439" s="18"/>
      <c r="H439" s="18"/>
      <c r="I439" s="18"/>
      <c r="J439" s="9" t="s">
        <v>16</v>
      </c>
      <c r="K439" s="18" t="str">
        <f>IMAGE("https://cdn.store.link/products/ayiraminimart50505/m2tlut-cheetos%20flamin%27%20hot%20crunchy%20export%2035.4%20g.png?versionId=jJefFRCAigTQdD.os.8oU31_pJsBbwgK")</f>
        <v/>
      </c>
      <c r="L439" s="18"/>
      <c r="M439" s="10"/>
      <c r="N439" s="10"/>
    </row>
    <row r="440">
      <c r="A440" s="19" t="s">
        <v>735</v>
      </c>
      <c r="B440" s="27" t="s">
        <v>623</v>
      </c>
      <c r="C440" s="22">
        <v>2.5</v>
      </c>
      <c r="D440" s="22" t="s">
        <v>736</v>
      </c>
      <c r="E440" s="6"/>
      <c r="F440" s="18"/>
      <c r="G440" s="18"/>
      <c r="H440" s="18"/>
      <c r="I440" s="18"/>
      <c r="J440" s="9" t="s">
        <v>16</v>
      </c>
      <c r="K440" s="18" t="str">
        <f>IMAGE("https://cdn.store.link/products/ayiraminimart50505/cuodyn-mexita%20hot%20chili%20?versionId=FDmGvOG7_eIOl2AqTC1RbKjJnfSAcmnr")</f>
        <v/>
      </c>
      <c r="L440" s="18"/>
      <c r="M440" s="10"/>
      <c r="N440" s="10"/>
    </row>
    <row r="441">
      <c r="A441" s="19" t="s">
        <v>737</v>
      </c>
      <c r="B441" s="27" t="s">
        <v>623</v>
      </c>
      <c r="C441" s="22">
        <v>2.5</v>
      </c>
      <c r="D441" s="22" t="s">
        <v>738</v>
      </c>
      <c r="E441" s="6"/>
      <c r="F441" s="18"/>
      <c r="G441" s="18"/>
      <c r="H441" s="18"/>
      <c r="I441" s="18"/>
      <c r="J441" s="9" t="s">
        <v>16</v>
      </c>
      <c r="K441" s="18" t="str">
        <f>IMAGE("https://cdn.store.link/products/ayiraminimart50505/0-2bvv-mexita%20nacho%20cheese%20tortilla%20chips%2023%20g.png?versionId=Qm9GIGnpDDpXXM0548E0De1P50QNo9Nz")</f>
        <v/>
      </c>
      <c r="L441" s="18"/>
      <c r="M441" s="10"/>
      <c r="N441" s="10"/>
    </row>
    <row r="442">
      <c r="A442" s="19" t="s">
        <v>739</v>
      </c>
      <c r="B442" s="27" t="s">
        <v>623</v>
      </c>
      <c r="C442" s="22">
        <v>2.5</v>
      </c>
      <c r="D442" s="22" t="s">
        <v>740</v>
      </c>
      <c r="E442" s="6"/>
      <c r="F442" s="18"/>
      <c r="G442" s="18"/>
      <c r="H442" s="18"/>
      <c r="I442" s="18"/>
      <c r="J442" s="9" t="s">
        <v>16</v>
      </c>
      <c r="K442" s="18" t="str">
        <f>IMAGE("https://cdn.store.link/products/ayiraminimart50505/mjb5no-mexita%20sweet%20chili%20pepper%20tortilla%20chips%2023%20g.png?versionId=sup9eYWvLuCZKSLGDCOx3yAbHHVPnGkq")</f>
        <v/>
      </c>
      <c r="L442" s="18"/>
      <c r="M442" s="10"/>
      <c r="N442" s="10"/>
    </row>
    <row r="443">
      <c r="A443" s="19" t="s">
        <v>728</v>
      </c>
      <c r="B443" s="27" t="s">
        <v>623</v>
      </c>
      <c r="C443" s="22">
        <v>8.0</v>
      </c>
      <c r="D443" s="22" t="s">
        <v>716</v>
      </c>
      <c r="E443" s="6"/>
      <c r="F443" s="18"/>
      <c r="G443" s="18"/>
      <c r="H443" s="18"/>
      <c r="I443" s="18"/>
      <c r="J443" s="9" t="s">
        <v>16</v>
      </c>
      <c r="K443" s="18" t="str">
        <f>IMAGE("https://cdn.store.link/products/ayiraminimart50505/sqglwn-cheetos%20crunchy%20flamin%27%20hot%20110%20g.png?versionId=lCyJCK_Hg3undnVTw2Ce6yGSd6mc.Cv7")</f>
        <v/>
      </c>
      <c r="L443" s="18"/>
      <c r="M443" s="10"/>
      <c r="N443" s="10"/>
    </row>
    <row r="444">
      <c r="A444" s="19" t="s">
        <v>741</v>
      </c>
      <c r="B444" s="27" t="s">
        <v>623</v>
      </c>
      <c r="C444" s="22">
        <v>3.5</v>
      </c>
      <c r="D444" s="22" t="s">
        <v>742</v>
      </c>
      <c r="E444" s="6"/>
      <c r="F444" s="18"/>
      <c r="G444" s="18"/>
      <c r="H444" s="18"/>
      <c r="I444" s="18"/>
      <c r="J444" s="9" t="s">
        <v>16</v>
      </c>
      <c r="K444" s="18" t="str">
        <f>IMAGE("https://cdn.store.link/products/ayiraminimart50505/kouw6k-karkish%20salt.png?versionId=tDmAxTzGv9vlcM.ob_xReIeBdph6TrHD")</f>
        <v/>
      </c>
      <c r="L444" s="18"/>
      <c r="M444" s="10"/>
      <c r="N444" s="10"/>
    </row>
    <row r="445">
      <c r="A445" s="19" t="s">
        <v>743</v>
      </c>
      <c r="B445" s="27" t="s">
        <v>623</v>
      </c>
      <c r="C445" s="22">
        <v>3.5</v>
      </c>
      <c r="D445" s="22" t="s">
        <v>744</v>
      </c>
      <c r="E445" s="6"/>
      <c r="F445" s="18"/>
      <c r="G445" s="18"/>
      <c r="H445" s="18"/>
      <c r="I445" s="18"/>
      <c r="J445" s="9" t="s">
        <v>16</v>
      </c>
      <c r="K445" s="18" t="str">
        <f>IMAGE("https://cdn.store.link/products/ayiraminimart50505/2d9pje-karkish%20salt%20?versionId=p7DxufAORG.LkRXkLqHIQva3mdmu4CMD")</f>
        <v/>
      </c>
      <c r="L445" s="18"/>
      <c r="M445" s="10"/>
      <c r="N445" s="10"/>
    </row>
    <row r="446">
      <c r="A446" s="19" t="s">
        <v>745</v>
      </c>
      <c r="B446" s="27" t="s">
        <v>623</v>
      </c>
      <c r="C446" s="22">
        <v>2.0</v>
      </c>
      <c r="D446" s="22" t="s">
        <v>713</v>
      </c>
      <c r="E446" s="6"/>
      <c r="F446" s="18"/>
      <c r="G446" s="18"/>
      <c r="H446" s="18"/>
      <c r="I446" s="18"/>
      <c r="J446" s="9" t="s">
        <v>16</v>
      </c>
      <c r="K446" s="18" t="str">
        <f>IMAGE("https://cdn.store.link/products/ayiraminimart50505/uqu4ll-doritos%20nacho%20cheese.png?versionId=iiuA2Zo65TXa_4df4Xy9d3SsOBoFz03p")</f>
        <v/>
      </c>
      <c r="L446" s="18"/>
      <c r="M446" s="10"/>
      <c r="N446" s="10"/>
    </row>
    <row r="447">
      <c r="A447" s="19" t="s">
        <v>746</v>
      </c>
      <c r="B447" s="27" t="s">
        <v>623</v>
      </c>
      <c r="C447" s="22">
        <v>2.0</v>
      </c>
      <c r="D447" s="22" t="s">
        <v>713</v>
      </c>
      <c r="E447" s="6"/>
      <c r="F447" s="18"/>
      <c r="G447" s="18"/>
      <c r="H447" s="18"/>
      <c r="I447" s="18"/>
      <c r="J447" s="9" t="s">
        <v>16</v>
      </c>
      <c r="K447" s="18" t="str">
        <f>IMAGE("https://cdn.store.link/products/ayiraminimart50505/mmebvi-doritos%20sweet%20chili%20pepper.png?versionId=LmAUncB7Kywmbm9xQXvw2GmjnsXKgxxM")</f>
        <v/>
      </c>
      <c r="L447" s="18"/>
      <c r="M447" s="10"/>
      <c r="N447" s="10"/>
    </row>
    <row r="448">
      <c r="A448" s="19" t="s">
        <v>747</v>
      </c>
      <c r="B448" s="27" t="s">
        <v>623</v>
      </c>
      <c r="C448" s="22">
        <v>2.5</v>
      </c>
      <c r="D448" s="22" t="s">
        <v>748</v>
      </c>
      <c r="E448" s="6"/>
      <c r="F448" s="18"/>
      <c r="G448" s="18"/>
      <c r="H448" s="18"/>
      <c r="I448" s="18"/>
      <c r="J448" s="9" t="s">
        <v>16</v>
      </c>
      <c r="K448" s="18" t="str">
        <f>IMAGE("https://cdn.store.link/products/ayiraminimart50505/sehyrf-fonzies%20original%20cheese%20flavoured%20corn%20snacks%2024%20g.png?versionId=mLb80BNAmRbdX1c39KOOavoNEdhTnheT")</f>
        <v/>
      </c>
      <c r="L448" s="18"/>
      <c r="M448" s="10"/>
      <c r="N448" s="10"/>
    </row>
    <row r="449">
      <c r="A449" s="19" t="s">
        <v>749</v>
      </c>
      <c r="B449" s="27" t="s">
        <v>623</v>
      </c>
      <c r="C449" s="22">
        <v>4.0</v>
      </c>
      <c r="D449" s="22" t="s">
        <v>750</v>
      </c>
      <c r="E449" s="6"/>
      <c r="F449" s="18"/>
      <c r="G449" s="18"/>
      <c r="H449" s="18"/>
      <c r="I449" s="18"/>
      <c r="J449" s="9" t="s">
        <v>16</v>
      </c>
      <c r="K449" s="18" t="str">
        <f>IMAGE("https://cdn.store.link/products/ayiraminimart50505/uwlqy4-forno%20authentic%20cheese%2040%20g.png?versionId=LRWbMG5qkYHrGynvnaoGjObnmVZ9IA7a")</f>
        <v/>
      </c>
      <c r="L449" s="18"/>
      <c r="M449" s="10"/>
      <c r="N449" s="10"/>
    </row>
    <row r="450">
      <c r="A450" s="19" t="s">
        <v>751</v>
      </c>
      <c r="B450" s="27" t="s">
        <v>623</v>
      </c>
      <c r="C450" s="22">
        <v>1.5</v>
      </c>
      <c r="D450" s="22" t="s">
        <v>722</v>
      </c>
      <c r="E450" s="6"/>
      <c r="F450" s="18"/>
      <c r="G450" s="18"/>
      <c r="H450" s="18"/>
      <c r="I450" s="18"/>
      <c r="J450" s="9" t="s">
        <v>16</v>
      </c>
      <c r="K450" s="18" t="str">
        <f>IMAGE("https://cdn.store.link/products/ayiraminimart50505/kzs84z-lays%20french%20cheese%2012%20g.png?versionId=Z_gZYIhxCrJN73eUoSeIDz5VzcuYWcHD")</f>
        <v/>
      </c>
      <c r="L450" s="18"/>
      <c r="M450" s="10"/>
      <c r="N450" s="10"/>
    </row>
    <row r="451">
      <c r="A451" s="5" t="s">
        <v>752</v>
      </c>
      <c r="B451" s="27" t="s">
        <v>623</v>
      </c>
      <c r="C451" s="22">
        <v>1.5</v>
      </c>
      <c r="D451" s="22" t="s">
        <v>722</v>
      </c>
      <c r="E451" s="6"/>
      <c r="F451" s="18"/>
      <c r="G451" s="18"/>
      <c r="H451" s="18"/>
      <c r="I451" s="18"/>
      <c r="J451" s="9" t="s">
        <v>16</v>
      </c>
      <c r="K451" s="18" t="str">
        <f>IMAGE("https://cdn.store.link/products/ayiraminimart50505/4tm3d1-lays%20salt%2012%20g.png?versionId=JMmSegxZUGYOtq5VzWf.sxgwqTPKWRQT")</f>
        <v/>
      </c>
      <c r="L451" s="18"/>
      <c r="M451" s="10"/>
      <c r="N451" s="10"/>
    </row>
    <row r="452">
      <c r="A452" s="19" t="s">
        <v>753</v>
      </c>
      <c r="B452" s="27" t="s">
        <v>623</v>
      </c>
      <c r="C452" s="22">
        <v>1.5</v>
      </c>
      <c r="D452" s="22" t="s">
        <v>722</v>
      </c>
      <c r="E452" s="6"/>
      <c r="F452" s="18"/>
      <c r="G452" s="18"/>
      <c r="H452" s="18"/>
      <c r="I452" s="18"/>
      <c r="J452" s="9" t="s">
        <v>16</v>
      </c>
      <c r="K452" s="18" t="str">
        <f>IMAGE("https://cdn.store.link/products/ayiraminimart50505/b20epp-lays%20tomato%20ketchup%2021%20g.png?versionId=5i0iHvgUjzdcOTu2W3AA_b9Rp6b5D4ay")</f>
        <v/>
      </c>
      <c r="L452" s="18"/>
      <c r="M452" s="10"/>
      <c r="N452" s="10"/>
    </row>
    <row r="453">
      <c r="A453" s="19" t="s">
        <v>754</v>
      </c>
      <c r="B453" s="27" t="s">
        <v>623</v>
      </c>
      <c r="C453" s="22">
        <v>1.0</v>
      </c>
      <c r="D453" s="22" t="s">
        <v>755</v>
      </c>
      <c r="E453" s="6"/>
      <c r="F453" s="18"/>
      <c r="G453" s="18"/>
      <c r="H453" s="18"/>
      <c r="I453" s="18"/>
      <c r="J453" s="9" t="s">
        <v>16</v>
      </c>
      <c r="K453" s="18" t="str">
        <f>IMAGE("https://cdn.store.link/products/ayiraminimart50505/5txg1m-molto%20chips%20cheese%20flavour%2016%20g.png?versionId=mTVbSu6lBfjHCdFuCmSwL_XD4bkdYf5t")</f>
        <v/>
      </c>
      <c r="L453" s="18"/>
      <c r="M453" s="10"/>
      <c r="N453" s="10"/>
    </row>
    <row r="454">
      <c r="A454" s="19" t="s">
        <v>756</v>
      </c>
      <c r="B454" s="27" t="s">
        <v>623</v>
      </c>
      <c r="C454" s="22">
        <v>19.0</v>
      </c>
      <c r="D454" s="22" t="s">
        <v>722</v>
      </c>
      <c r="E454" s="6"/>
      <c r="F454" s="18"/>
      <c r="G454" s="18"/>
      <c r="H454" s="18"/>
      <c r="I454" s="18"/>
      <c r="J454" s="9" t="s">
        <v>40</v>
      </c>
      <c r="K454" s="18" t="str">
        <f>IMAGE("https://cdn.store.link/products/ayiraminimart50505/gqaoou-lays%20barbecue%20flavored%20184.2%20g.png?versionId=L5FDg26xuIhpK0VZqHWWp.TFrCZKiJHT")</f>
        <v/>
      </c>
      <c r="L454" s="18"/>
      <c r="M454" s="10"/>
      <c r="N454" s="10"/>
    </row>
    <row r="455">
      <c r="A455" s="19" t="s">
        <v>757</v>
      </c>
      <c r="B455" s="27" t="s">
        <v>623</v>
      </c>
      <c r="C455" s="22">
        <v>19.0</v>
      </c>
      <c r="D455" s="22" t="s">
        <v>722</v>
      </c>
      <c r="E455" s="6"/>
      <c r="F455" s="18"/>
      <c r="G455" s="18"/>
      <c r="H455" s="18"/>
      <c r="I455" s="18"/>
      <c r="J455" s="9" t="s">
        <v>40</v>
      </c>
      <c r="K455" s="18" t="str">
        <f>IMAGE("https://cdn.store.link/products/ayiraminimart50505/xol1bk-lays%20honey%20barbecue%20flavored%20184.2%20g.png?versionId=3sKS9xRLclP4c7Ws7Dy3NHj4XLxyi13j")</f>
        <v/>
      </c>
      <c r="L455" s="18"/>
      <c r="M455" s="10"/>
      <c r="N455" s="10"/>
    </row>
    <row r="456">
      <c r="A456" s="19" t="s">
        <v>758</v>
      </c>
      <c r="B456" s="27" t="s">
        <v>623</v>
      </c>
      <c r="C456" s="22">
        <v>19.0</v>
      </c>
      <c r="D456" s="22" t="s">
        <v>716</v>
      </c>
      <c r="E456" s="6"/>
      <c r="F456" s="18"/>
      <c r="G456" s="18"/>
      <c r="H456" s="18"/>
      <c r="I456" s="18"/>
      <c r="J456" s="9" t="s">
        <v>40</v>
      </c>
      <c r="K456" s="18" t="str">
        <f>IMAGE("https://cdn.store.link/products/ayiraminimart50505/2do7tu-cheetos%20cheddar%20jalape%C3%B1o%20crunchy%20226.6%20g.png?versionId=6rUaQVlxlbXuy3N9fnZdRQ73GnkZqAI.")</f>
        <v/>
      </c>
      <c r="L456" s="18"/>
      <c r="M456" s="10"/>
      <c r="N456" s="10"/>
    </row>
    <row r="457">
      <c r="A457" s="5" t="s">
        <v>759</v>
      </c>
      <c r="B457" s="27" t="s">
        <v>623</v>
      </c>
      <c r="C457" s="22">
        <v>19.0</v>
      </c>
      <c r="D457" s="22" t="s">
        <v>722</v>
      </c>
      <c r="E457" s="6"/>
      <c r="F457" s="18"/>
      <c r="G457" s="18"/>
      <c r="H457" s="18"/>
      <c r="I457" s="18"/>
      <c r="J457" s="9" t="s">
        <v>16</v>
      </c>
      <c r="K457" s="18" t="str">
        <f>IMAGE("https://cdn.store.link/products/ayiraminimart50505/u4mrr6-lays%20classic%20184.2%20g.png?versionId=_0pXoOVCNPu0iwatZQeCiH4woem0YvO_")</f>
        <v/>
      </c>
      <c r="L457" s="18"/>
      <c r="M457" s="10"/>
      <c r="N457" s="10" t="str">
        <f>IMAGE("https://cdn.store.link/products/ayiraminimart50505/u4mrr6-lays%20classic%20184.2%20g.png?versionId=_0pXoOVCNPu0iwatZQeCiH4woem0YvO_")</f>
        <v/>
      </c>
    </row>
    <row r="458">
      <c r="A458" s="19" t="s">
        <v>760</v>
      </c>
      <c r="B458" s="27" t="s">
        <v>623</v>
      </c>
      <c r="C458" s="22">
        <v>19.0</v>
      </c>
      <c r="D458" s="22" t="s">
        <v>722</v>
      </c>
      <c r="E458" s="6"/>
      <c r="F458" s="18"/>
      <c r="G458" s="18"/>
      <c r="H458" s="18"/>
      <c r="I458" s="18"/>
      <c r="J458" s="9" t="s">
        <v>16</v>
      </c>
      <c r="K458" s="18" t="str">
        <f>IMAGE("https://cdn.store.link/products/ayiraminimart50505/0kn98p-lays%20sour%20cream%20?versionId=fBa56RembicgZGoGU6O5g.mmzKfC1Fbu")</f>
        <v/>
      </c>
      <c r="L458" s="18"/>
      <c r="M458" s="10"/>
      <c r="N458" s="10"/>
    </row>
    <row r="459">
      <c r="A459" s="19" t="s">
        <v>761</v>
      </c>
      <c r="B459" s="27" t="s">
        <v>623</v>
      </c>
      <c r="C459" s="22">
        <v>19.0</v>
      </c>
      <c r="D459" s="22" t="s">
        <v>722</v>
      </c>
      <c r="E459" s="6"/>
      <c r="F459" s="18"/>
      <c r="G459" s="18"/>
      <c r="H459" s="18"/>
      <c r="I459" s="18"/>
      <c r="J459" s="9" t="s">
        <v>16</v>
      </c>
      <c r="K459" s="18" t="str">
        <f>IMAGE("https://cdn.store.link/products/ayiraminimart50505/8pahdt-lays%20salt%20?versionId=srYJVWNvponqODli5_zkK9Yl_KilsnI5")</f>
        <v/>
      </c>
      <c r="L459" s="18"/>
      <c r="M459" s="10"/>
      <c r="N459" s="10"/>
    </row>
    <row r="460">
      <c r="A460" s="19" t="s">
        <v>762</v>
      </c>
      <c r="B460" s="27" t="s">
        <v>623</v>
      </c>
      <c r="C460" s="22">
        <v>19.0</v>
      </c>
      <c r="D460" s="22" t="s">
        <v>722</v>
      </c>
      <c r="E460" s="6"/>
      <c r="F460" s="18"/>
      <c r="G460" s="18"/>
      <c r="H460" s="18"/>
      <c r="I460" s="18"/>
      <c r="J460" s="9" t="s">
        <v>16</v>
      </c>
      <c r="K460" s="18" t="str">
        <f>IMAGE("https://cdn.store.link/products/ayiraminimart50505/pfu3j1-lays%20cheddar%20?versionId=FKXfxt0YYL.FHxeVpjvtTYNyifug95Mi")</f>
        <v/>
      </c>
      <c r="L460" s="18"/>
      <c r="M460" s="10"/>
      <c r="N460" s="10"/>
    </row>
    <row r="461">
      <c r="A461" s="19" t="s">
        <v>763</v>
      </c>
      <c r="B461" s="27" t="s">
        <v>623</v>
      </c>
      <c r="C461" s="22">
        <v>9.0</v>
      </c>
      <c r="D461" s="22" t="s">
        <v>716</v>
      </c>
      <c r="E461" s="6"/>
      <c r="F461" s="18"/>
      <c r="G461" s="18"/>
      <c r="H461" s="18"/>
      <c r="I461" s="18"/>
      <c r="J461" s="9" t="s">
        <v>16</v>
      </c>
      <c r="K461" s="18" t="str">
        <f>IMAGE("https://cdn.store.link/products/ayiraminimart50505/mv0lqn-cheetos%20crunchy%2099.2%20g.png?versionId=1SdICkjk56DKCIhG_XNUmV2GzEsqYzDf")</f>
        <v/>
      </c>
      <c r="L461" s="18"/>
      <c r="M461" s="10"/>
      <c r="N461" s="10"/>
    </row>
    <row r="462">
      <c r="A462" s="19" t="s">
        <v>764</v>
      </c>
      <c r="B462" s="27" t="s">
        <v>623</v>
      </c>
      <c r="C462" s="22">
        <v>9.0</v>
      </c>
      <c r="D462" s="22" t="s">
        <v>716</v>
      </c>
      <c r="E462" s="6"/>
      <c r="F462" s="18"/>
      <c r="G462" s="18"/>
      <c r="H462" s="18"/>
      <c r="I462" s="18"/>
      <c r="J462" s="9" t="s">
        <v>16</v>
      </c>
      <c r="K462" s="18" t="str">
        <f>IMAGE("https://cdn.store.link/products/ayiraminimart50505/sqglwn-cheetos%20crunchy%20flamin%27%20hot%20110%20g.png?versionId=lCyJCK_Hg3undnVTw2Ce6yGSd6mc.Cv7")</f>
        <v/>
      </c>
      <c r="L462" s="18"/>
      <c r="M462" s="10"/>
      <c r="N462" s="10"/>
    </row>
    <row r="463">
      <c r="A463" s="19" t="s">
        <v>765</v>
      </c>
      <c r="B463" s="27" t="s">
        <v>623</v>
      </c>
      <c r="C463" s="22">
        <v>9.0</v>
      </c>
      <c r="D463" s="22" t="s">
        <v>716</v>
      </c>
      <c r="E463" s="6"/>
      <c r="F463" s="18"/>
      <c r="G463" s="18"/>
      <c r="H463" s="18"/>
      <c r="I463" s="18"/>
      <c r="J463" s="9" t="s">
        <v>16</v>
      </c>
      <c r="K463" s="18" t="str">
        <f>IMAGE("https://cdn.store.link/products/ayiraminimart50505/qngtgb-cheetos%20flamin%27%20hot%2040%20g.png?versionId=KFrM0JwllWssAuxwKnsjRvvrP2qCgnne")</f>
        <v/>
      </c>
      <c r="L463" s="18"/>
      <c r="M463" s="10"/>
      <c r="N463" s="10"/>
    </row>
    <row r="464">
      <c r="A464" s="19" t="s">
        <v>766</v>
      </c>
      <c r="B464" s="27" t="s">
        <v>623</v>
      </c>
      <c r="C464" s="22">
        <v>2.5</v>
      </c>
      <c r="D464" s="22" t="s">
        <v>767</v>
      </c>
      <c r="E464" s="6"/>
      <c r="F464" s="18"/>
      <c r="G464" s="18"/>
      <c r="H464" s="18"/>
      <c r="I464" s="18"/>
      <c r="J464" s="9" t="s">
        <v>16</v>
      </c>
      <c r="K464" s="18" t="str">
        <f>IMAGE("https://cdn.store.link/products/ayiraminimart50505/5rflax-albadia%20potato%20chips%20chilli%2016%20gm.png?versionId=Gt6SJharhc5gM3LmWvMmkgn1EUFOi.M6")</f>
        <v/>
      </c>
      <c r="L464" s="18"/>
      <c r="M464" s="10"/>
      <c r="N464" s="10"/>
    </row>
    <row r="465">
      <c r="A465" s="19" t="s">
        <v>768</v>
      </c>
      <c r="B465" s="27" t="s">
        <v>623</v>
      </c>
      <c r="C465" s="22">
        <v>4.0</v>
      </c>
      <c r="D465" s="22" t="s">
        <v>769</v>
      </c>
      <c r="E465" s="6"/>
      <c r="F465" s="18"/>
      <c r="G465" s="18"/>
      <c r="H465" s="18"/>
      <c r="I465" s="18"/>
      <c r="J465" s="9" t="s">
        <v>16</v>
      </c>
      <c r="K465" s="18" t="str">
        <f>IMAGE("https://cdn.store.link/products/ayiraminimart50505/p38zvj-al%20mudhish%20potato%20chips%20ready%20salted%2015%20gm.png?versionId=5KBtrFCyz6ezInFe0zqhTw4KVfpFYqCT")</f>
        <v/>
      </c>
      <c r="L465" s="18"/>
      <c r="M465" s="10"/>
      <c r="N465" s="10"/>
    </row>
    <row r="466">
      <c r="A466" s="19" t="s">
        <v>770</v>
      </c>
      <c r="B466" s="27" t="s">
        <v>623</v>
      </c>
      <c r="C466" s="22">
        <v>4.0</v>
      </c>
      <c r="D466" s="22" t="s">
        <v>771</v>
      </c>
      <c r="E466" s="6"/>
      <c r="F466" s="18"/>
      <c r="G466" s="18"/>
      <c r="H466" s="18"/>
      <c r="I466" s="18"/>
      <c r="J466" s="9" t="s">
        <v>16</v>
      </c>
      <c r="K466" s="18" t="str">
        <f>IMAGE("https://cdn.store.link/products/ayiraminimart50505/6f92jj-al%20mudhish%20potato%20chips%20salted%2015g.jpg?versionId=GQogaYSMKraTD00kR7AV4K03fZUT4ymN")</f>
        <v/>
      </c>
      <c r="L466" s="18"/>
      <c r="M466" s="10"/>
      <c r="N466" s="10"/>
    </row>
    <row r="467">
      <c r="A467" s="19" t="s">
        <v>772</v>
      </c>
      <c r="B467" s="27" t="s">
        <v>623</v>
      </c>
      <c r="C467" s="22">
        <v>13.0</v>
      </c>
      <c r="D467" s="22" t="s">
        <v>773</v>
      </c>
      <c r="E467" s="6"/>
      <c r="F467" s="18"/>
      <c r="G467" s="18"/>
      <c r="H467" s="18"/>
      <c r="I467" s="18"/>
      <c r="J467" s="9" t="s">
        <v>16</v>
      </c>
      <c r="K467" s="18" t="str">
        <f>IMAGE("https://cdn.store.link/products/ayiraminimart50505/n9mt42-bliss%20hummus%20chips%20original%20135%20g.png?versionId=kojcixLYOcGgt_dcwf3ZC_gVTZfyB_.H")</f>
        <v/>
      </c>
      <c r="L467" s="18"/>
      <c r="M467" s="10"/>
      <c r="N467" s="10"/>
    </row>
    <row r="468">
      <c r="A468" s="19" t="s">
        <v>774</v>
      </c>
      <c r="B468" s="27" t="s">
        <v>623</v>
      </c>
      <c r="C468" s="22">
        <v>13.0</v>
      </c>
      <c r="D468" s="22" t="s">
        <v>775</v>
      </c>
      <c r="E468" s="6"/>
      <c r="F468" s="18"/>
      <c r="G468" s="18"/>
      <c r="H468" s="18"/>
      <c r="I468" s="18"/>
      <c r="J468" s="9" t="s">
        <v>16</v>
      </c>
      <c r="K468" s="18" t="str">
        <f>IMAGE("https://cdn.store.link/products/ayiraminimart50505/mhjkws-bliss%20veggie%20straws%20original%20135%20g.png?versionId=W8HgigRHTCfKZITKgpAzEoDeoYLhVKRO")</f>
        <v/>
      </c>
      <c r="L468" s="18"/>
      <c r="M468" s="10"/>
      <c r="N468" s="10"/>
    </row>
    <row r="469">
      <c r="A469" s="19" t="s">
        <v>776</v>
      </c>
      <c r="B469" s="27" t="s">
        <v>623</v>
      </c>
      <c r="C469" s="22">
        <v>13.0</v>
      </c>
      <c r="D469" s="22" t="s">
        <v>777</v>
      </c>
      <c r="E469" s="6"/>
      <c r="F469" s="18"/>
      <c r="G469" s="18"/>
      <c r="H469" s="18"/>
      <c r="I469" s="18"/>
      <c r="J469" s="9" t="s">
        <v>16</v>
      </c>
      <c r="K469" s="18" t="str">
        <f>IMAGE("https://cdn.store.link/products/ayiraminimart50505/l62oka-bliss%20veggie%20chips%20original%20135%20g.png?versionId=50V5kb_kJeuKMyyhVQf.93oH1B6i6G89")</f>
        <v/>
      </c>
      <c r="L469" s="18"/>
      <c r="M469" s="10"/>
      <c r="N469" s="10"/>
    </row>
    <row r="470">
      <c r="A470" s="19" t="s">
        <v>778</v>
      </c>
      <c r="B470" s="27" t="s">
        <v>623</v>
      </c>
      <c r="C470" s="22">
        <v>9.0</v>
      </c>
      <c r="D470" s="22" t="s">
        <v>713</v>
      </c>
      <c r="E470" s="6"/>
      <c r="F470" s="18"/>
      <c r="G470" s="18"/>
      <c r="H470" s="18"/>
      <c r="I470" s="18"/>
      <c r="J470" s="9" t="s">
        <v>16</v>
      </c>
      <c r="K470" s="18" t="str">
        <f>IMAGE("https://cdn.store.link/products/ayiraminimart50505/9fc1y7-doritos%20spicy%20sweet%20chili%20flavored%2092.1%20g.png?versionId=fqr_n_uGHm9UyyK7XH_PtSk0TZdhswoH")</f>
        <v/>
      </c>
      <c r="L470" s="18"/>
      <c r="M470" s="10"/>
      <c r="N470" s="10"/>
    </row>
    <row r="471">
      <c r="A471" s="19" t="s">
        <v>779</v>
      </c>
      <c r="B471" s="27" t="s">
        <v>623</v>
      </c>
      <c r="C471" s="22">
        <v>3.5</v>
      </c>
      <c r="D471" s="22" t="s">
        <v>716</v>
      </c>
      <c r="E471" s="6"/>
      <c r="F471" s="18"/>
      <c r="G471" s="18"/>
      <c r="H471" s="18"/>
      <c r="I471" s="18"/>
      <c r="J471" s="9" t="s">
        <v>16</v>
      </c>
      <c r="K471" s="18" t="str">
        <f>IMAGE("https://cdn.store.link/products/ayiraminimart50505/8ua65e-cheetos%20crunchy%2035.4%20g.png?versionId=2Fr5fQmdoLGBepgHOXYLtVeviLETKKir")</f>
        <v/>
      </c>
      <c r="L471" s="18"/>
      <c r="M471" s="10"/>
      <c r="N471" s="10"/>
    </row>
    <row r="472">
      <c r="A472" s="19" t="s">
        <v>780</v>
      </c>
      <c r="B472" s="27" t="s">
        <v>623</v>
      </c>
      <c r="C472" s="22">
        <v>2.0</v>
      </c>
      <c r="D472" s="22" t="s">
        <v>716</v>
      </c>
      <c r="E472" s="6"/>
      <c r="F472" s="18"/>
      <c r="G472" s="18"/>
      <c r="H472" s="18"/>
      <c r="I472" s="18"/>
      <c r="J472" s="9" t="s">
        <v>16</v>
      </c>
      <c r="K472" s="18" t="str">
        <f>IMAGE("https://cdn.store.link/products/ayiraminimart50505/0pwuxc-cheetos%20flamin%27%20hot%20crunchy%2025%20g.png?versionId=Rrp.Q_qv2s2sMUsIQVUT.hfQm5gYOB2T")</f>
        <v/>
      </c>
      <c r="L472" s="18"/>
      <c r="M472" s="10"/>
      <c r="N472" s="10"/>
    </row>
    <row r="473">
      <c r="A473" s="19" t="s">
        <v>781</v>
      </c>
      <c r="B473" s="27" t="s">
        <v>623</v>
      </c>
      <c r="C473" s="22">
        <v>4.0</v>
      </c>
      <c r="D473" s="22" t="s">
        <v>716</v>
      </c>
      <c r="E473" s="6"/>
      <c r="F473" s="18"/>
      <c r="G473" s="18"/>
      <c r="H473" s="18"/>
      <c r="I473" s="18"/>
      <c r="J473" s="9" t="s">
        <v>16</v>
      </c>
      <c r="K473" s="18" t="str">
        <f>IMAGE("https://cdn.store.link/products/ayiraminimart50505/md019n-cheetos%20flamin%27%20hot%20crunchy%20lime%2050%20g.png?versionId=j0GWZ8sf.nU8c0OWfkoIIq48ucUPEece")</f>
        <v/>
      </c>
      <c r="L473" s="18"/>
      <c r="M473" s="10"/>
      <c r="N473" s="10"/>
    </row>
    <row r="474">
      <c r="A474" s="19" t="s">
        <v>782</v>
      </c>
      <c r="B474" s="27" t="s">
        <v>623</v>
      </c>
      <c r="C474" s="22">
        <v>2.5</v>
      </c>
      <c r="D474" s="22" t="s">
        <v>783</v>
      </c>
      <c r="E474" s="6"/>
      <c r="F474" s="18"/>
      <c r="G474" s="18"/>
      <c r="H474" s="18"/>
      <c r="I474" s="18"/>
      <c r="J474" s="9" t="s">
        <v>16</v>
      </c>
      <c r="K474" s="18" t="str">
        <f>IMAGE("https://cdn.store.link/products/ayiraminimart50505/9h0arm-fonnzies%20chickenator%20flavoured%20corn%20snacks%2024%20g.jpg?versionId=sWQgsEZs1Aq8vr2qCsFp0ZxypV5pqm7o")</f>
        <v/>
      </c>
      <c r="L474" s="18"/>
      <c r="M474" s="10"/>
      <c r="N474" s="10"/>
    </row>
    <row r="475">
      <c r="A475" s="19" t="s">
        <v>784</v>
      </c>
      <c r="B475" s="27" t="s">
        <v>623</v>
      </c>
      <c r="C475" s="22">
        <v>2.5</v>
      </c>
      <c r="D475" s="22" t="s">
        <v>785</v>
      </c>
      <c r="E475" s="6"/>
      <c r="F475" s="18"/>
      <c r="G475" s="18"/>
      <c r="H475" s="18"/>
      <c r="I475" s="18"/>
      <c r="J475" s="9" t="s">
        <v>16</v>
      </c>
      <c r="K475" s="18" t="str">
        <f>IMAGE("https://cdn.store.link/products/ayiraminimart50505/0s9zj5-fonnzies%20bbq%20curry%20best%20flavoured%20corn%20snacks%2024%20g.jpg?versionId=Gwk4B_dqdhVlrmdWgc7wvWWUUw0aKQlo")</f>
        <v/>
      </c>
      <c r="L475" s="18"/>
      <c r="M475" s="10"/>
      <c r="N475" s="10"/>
    </row>
    <row r="476">
      <c r="A476" s="19" t="s">
        <v>786</v>
      </c>
      <c r="B476" s="27" t="s">
        <v>623</v>
      </c>
      <c r="C476" s="22">
        <v>1.0</v>
      </c>
      <c r="D476" s="22" t="s">
        <v>787</v>
      </c>
      <c r="E476" s="6"/>
      <c r="F476" s="18"/>
      <c r="G476" s="18"/>
      <c r="H476" s="18"/>
      <c r="I476" s="18"/>
      <c r="J476" s="9" t="s">
        <v>16</v>
      </c>
      <c r="K476" s="18" t="str">
        <f>IMAGE("https://cdn.store.link/products/ayiraminimart50505/aytxf1-rubiyan%20salt%20?versionId=Nfd5aExOilR6YDEaGDkY4F9qoafocJQf")</f>
        <v/>
      </c>
      <c r="L476" s="18"/>
      <c r="M476" s="10"/>
      <c r="N476" s="10"/>
    </row>
    <row r="477">
      <c r="A477" s="19" t="s">
        <v>747</v>
      </c>
      <c r="B477" s="27" t="s">
        <v>623</v>
      </c>
      <c r="C477" s="22">
        <v>2.5</v>
      </c>
      <c r="D477" s="22" t="s">
        <v>748</v>
      </c>
      <c r="E477" s="6"/>
      <c r="F477" s="18"/>
      <c r="G477" s="18"/>
      <c r="H477" s="18"/>
      <c r="I477" s="18"/>
      <c r="J477" s="9" t="s">
        <v>16</v>
      </c>
      <c r="K477" s="18" t="str">
        <f>IMAGE("https://cdn.store.link/products/ayiraminimart50505/6v-zkk-fonzies%20original%20cheese%20flavoured%20corn%20snacks%2024%20gm.png?versionId=RXasq8jHMcVC1yxCPJp5UJGyKxoE_ZJu")</f>
        <v/>
      </c>
      <c r="L477" s="18"/>
      <c r="M477" s="10"/>
      <c r="N477" s="10"/>
    </row>
    <row r="478">
      <c r="A478" s="19" t="s">
        <v>788</v>
      </c>
      <c r="B478" s="27" t="s">
        <v>623</v>
      </c>
      <c r="C478" s="22">
        <v>1.0</v>
      </c>
      <c r="D478" s="22" t="s">
        <v>789</v>
      </c>
      <c r="E478" s="6"/>
      <c r="F478" s="18"/>
      <c r="G478" s="18"/>
      <c r="H478" s="18"/>
      <c r="I478" s="18"/>
      <c r="J478" s="9" t="s">
        <v>16</v>
      </c>
      <c r="K478" s="18" t="str">
        <f>IMAGE("https://cdn.store.link/products/ayiraminimart50505/6f92jj-al%20mudhish%20potato%20chips%20salted%2015g.jpg?versionId=GQogaYSMKraTD00kR7AV4K03fZUT4ymN")</f>
        <v/>
      </c>
      <c r="L478" s="18"/>
      <c r="M478" s="10"/>
      <c r="N478" s="10"/>
    </row>
    <row r="479">
      <c r="A479" s="19" t="s">
        <v>790</v>
      </c>
      <c r="B479" s="27" t="s">
        <v>623</v>
      </c>
      <c r="C479" s="22">
        <v>1.0</v>
      </c>
      <c r="D479" s="22" t="s">
        <v>791</v>
      </c>
      <c r="E479" s="6"/>
      <c r="F479" s="18"/>
      <c r="G479" s="18"/>
      <c r="H479" s="18"/>
      <c r="I479" s="18"/>
      <c r="J479" s="9" t="s">
        <v>16</v>
      </c>
      <c r="K479" s="18" t="str">
        <f>IMAGE("https://cdn.store.link/products/ayiraminimart50505/fkl4yt-al%20mudhish%20potato%20chips%20ripples%20crunch%20sour%20cream%20?versionId=ZSC_x09GXuUJ8NW8BAhkWUiMSdyvyfti")</f>
        <v/>
      </c>
      <c r="L479" s="18"/>
      <c r="M479" s="10"/>
      <c r="N479" s="10"/>
    </row>
    <row r="480">
      <c r="A480" s="19" t="s">
        <v>792</v>
      </c>
      <c r="B480" s="27" t="s">
        <v>623</v>
      </c>
      <c r="C480" s="22">
        <v>1.0</v>
      </c>
      <c r="D480" s="22" t="s">
        <v>793</v>
      </c>
      <c r="E480" s="6"/>
      <c r="F480" s="18"/>
      <c r="G480" s="18"/>
      <c r="H480" s="18"/>
      <c r="I480" s="18"/>
      <c r="J480" s="9" t="s">
        <v>16</v>
      </c>
      <c r="K480" s="18" t="str">
        <f>IMAGE("https://cdn.store.link/products/ayiraminimart50505/b0dt6z-dr%20puffs%20hot%20cheese%2018%20gm.png?versionId=sVcuCzpPfs0NTLK6AMmcTubxoxqyU1ds")</f>
        <v/>
      </c>
      <c r="L480" s="18"/>
      <c r="M480" s="10"/>
      <c r="N480" s="10"/>
    </row>
    <row r="481">
      <c r="A481" s="19" t="s">
        <v>794</v>
      </c>
      <c r="B481" s="27" t="s">
        <v>623</v>
      </c>
      <c r="C481" s="22">
        <v>2.5</v>
      </c>
      <c r="D481" s="22" t="s">
        <v>795</v>
      </c>
      <c r="E481" s="6"/>
      <c r="F481" s="18"/>
      <c r="G481" s="18"/>
      <c r="H481" s="18"/>
      <c r="I481" s="18"/>
      <c r="J481" s="9" t="s">
        <v>16</v>
      </c>
      <c r="K481" s="18" t="str">
        <f>IMAGE("https://cdn.store.link/products/ayiraminimart50505/4-gk6b-karkish%20salt%20?versionId=WzcgJo9arhyQi4beoHH1YBAOhp6xbQsJ")</f>
        <v/>
      </c>
      <c r="L481" s="18"/>
      <c r="M481" s="10"/>
      <c r="N481" s="10"/>
    </row>
    <row r="482">
      <c r="A482" s="19" t="s">
        <v>796</v>
      </c>
      <c r="B482" s="27" t="s">
        <v>623</v>
      </c>
      <c r="C482" s="22">
        <v>2.0</v>
      </c>
      <c r="D482" s="22" t="s">
        <v>797</v>
      </c>
      <c r="E482" s="6"/>
      <c r="F482" s="18"/>
      <c r="G482" s="18"/>
      <c r="H482" s="18"/>
      <c r="I482" s="18"/>
      <c r="J482" s="9" t="s">
        <v>16</v>
      </c>
      <c r="K482" s="18" t="str">
        <f>IMAGE("https://cdn.store.link/products/ayiraminimart50505/xduba5-dragos%20flamin%E2%80%99%20lime%20flavour%2025%20gm.png?versionId=WnsdXcAdCqpmvILM3l4o5rCJt0iTuNRw")</f>
        <v/>
      </c>
      <c r="L482" s="18"/>
      <c r="M482" s="10"/>
      <c r="N482" s="10"/>
    </row>
    <row r="483">
      <c r="A483" s="19" t="s">
        <v>798</v>
      </c>
      <c r="B483" s="27" t="s">
        <v>623</v>
      </c>
      <c r="C483" s="22">
        <v>2.0</v>
      </c>
      <c r="D483" s="22" t="s">
        <v>799</v>
      </c>
      <c r="E483" s="6"/>
      <c r="F483" s="18"/>
      <c r="G483" s="18"/>
      <c r="H483" s="18"/>
      <c r="I483" s="18"/>
      <c r="J483" s="9" t="s">
        <v>16</v>
      </c>
      <c r="K483" s="18" t="str">
        <f>IMAGE("https://cdn.store.link/products/ayiraminimart50505/c-2jr0-dragos%20cheddar%20cheese%20flavour%2025%20gm.png?versionId=q0e1VE._lLfFJ9smO_TmiooPoshBarJ3")</f>
        <v/>
      </c>
      <c r="L483" s="18"/>
      <c r="M483" s="10"/>
      <c r="N483" s="10"/>
    </row>
    <row r="484">
      <c r="A484" s="19" t="s">
        <v>800</v>
      </c>
      <c r="B484" s="27" t="s">
        <v>623</v>
      </c>
      <c r="C484" s="22">
        <v>1.0</v>
      </c>
      <c r="D484" s="22" t="s">
        <v>801</v>
      </c>
      <c r="E484" s="6"/>
      <c r="F484" s="18"/>
      <c r="G484" s="18"/>
      <c r="H484" s="18"/>
      <c r="I484" s="18"/>
      <c r="J484" s="9" t="s">
        <v>16</v>
      </c>
      <c r="K484" s="18" t="str">
        <f>IMAGE("https://cdn.store.link/products/ayiraminimart50505/i89y8o-al%20batal%20popcorn%20chilli%20flavour%2014%20gm.png?versionId=SuVx_V4FQR5H4PSgnHUM0x.sfr_uF4JP")</f>
        <v/>
      </c>
      <c r="L484" s="18"/>
      <c r="M484" s="10"/>
      <c r="N484" s="10"/>
    </row>
    <row r="485">
      <c r="A485" s="19" t="s">
        <v>802</v>
      </c>
      <c r="B485" s="27" t="s">
        <v>623</v>
      </c>
      <c r="C485" s="22">
        <v>2.5</v>
      </c>
      <c r="D485" s="22" t="s">
        <v>803</v>
      </c>
      <c r="E485" s="6"/>
      <c r="F485" s="18"/>
      <c r="G485" s="18"/>
      <c r="H485" s="18"/>
      <c r="I485" s="18"/>
      <c r="J485" s="9" t="s">
        <v>16</v>
      </c>
      <c r="K485" s="18" t="str">
        <f>IMAGE("https://cdn.store.link/products/ayiraminimart50505/3ih90t-balaji%20wafers%20chataka%20pataka%20chilli%20flavour%2065%20gm.png?versionId=jddh4P3oc.M1tF2RD50Zj9sQWLTecD.W")</f>
        <v/>
      </c>
      <c r="L485" s="18"/>
      <c r="M485" s="10"/>
      <c r="N485" s="10"/>
    </row>
    <row r="486">
      <c r="A486" s="19" t="s">
        <v>804</v>
      </c>
      <c r="B486" s="27" t="s">
        <v>623</v>
      </c>
      <c r="C486" s="22">
        <v>2.5</v>
      </c>
      <c r="D486" s="22" t="s">
        <v>805</v>
      </c>
      <c r="E486" s="6"/>
      <c r="F486" s="18"/>
      <c r="G486" s="18"/>
      <c r="H486" s="18"/>
      <c r="I486" s="18"/>
      <c r="J486" s="9" t="s">
        <v>16</v>
      </c>
      <c r="K486" s="18" t="str">
        <f>IMAGE("https://cdn.store.link/products/ayiraminimart50505/rwreu6-balaji%20wafers%20chataka%20pataka%20tomato%20flavour%2065%20gm.png?versionId=KlKVAL.A.EHkLfK_NKmI1ZQAxjK6q1oz")</f>
        <v/>
      </c>
      <c r="L486" s="18"/>
      <c r="M486" s="10"/>
      <c r="N486" s="10"/>
    </row>
    <row r="487">
      <c r="A487" s="19" t="s">
        <v>806</v>
      </c>
      <c r="B487" s="27" t="s">
        <v>623</v>
      </c>
      <c r="C487" s="22">
        <v>8.0</v>
      </c>
      <c r="D487" s="22" t="s">
        <v>807</v>
      </c>
      <c r="E487" s="6"/>
      <c r="F487" s="18"/>
      <c r="G487" s="18"/>
      <c r="H487" s="18"/>
      <c r="I487" s="18"/>
      <c r="J487" s="9" t="s">
        <v>16</v>
      </c>
      <c r="K487" s="18" t="str">
        <f>IMAGE("https://cdn.store.link/products/ayiraminimart50505/wxnwt9-lay%E2%80%99s%20maxx%20mexican%20chilli%20105%20gm.png?versionId=3dhZo7gTbiS25ECrIQ3gO6ZK2Zvpo.Lf")</f>
        <v/>
      </c>
      <c r="L487" s="18"/>
      <c r="M487" s="10"/>
      <c r="N487" s="10"/>
    </row>
    <row r="488">
      <c r="A488" s="19" t="s">
        <v>808</v>
      </c>
      <c r="B488" s="27" t="s">
        <v>623</v>
      </c>
      <c r="C488" s="22">
        <v>10.0</v>
      </c>
      <c r="D488" s="22" t="s">
        <v>809</v>
      </c>
      <c r="E488" s="6"/>
      <c r="F488" s="18"/>
      <c r="G488" s="18"/>
      <c r="H488" s="18"/>
      <c r="I488" s="18"/>
      <c r="J488" s="9" t="s">
        <v>16</v>
      </c>
      <c r="K488" s="18" t="str">
        <f>IMAGE("https://cdn.store.link/products/ayiraminimart50505/a9j-h6-lay%E2%80%99s%20maxx%20chicago%20hot%20wings%20160%20gm.png?versionId=tXb2VkvfzsTl5Nriv6Yk2IpC_Hcs_oqN")</f>
        <v/>
      </c>
      <c r="L488" s="18"/>
      <c r="M488" s="10"/>
      <c r="N488" s="10"/>
    </row>
    <row r="489">
      <c r="A489" s="19" t="s">
        <v>810</v>
      </c>
      <c r="B489" s="27" t="s">
        <v>623</v>
      </c>
      <c r="C489" s="22">
        <v>4.0</v>
      </c>
      <c r="D489" s="22" t="s">
        <v>811</v>
      </c>
      <c r="E489" s="6"/>
      <c r="F489" s="18"/>
      <c r="G489" s="18"/>
      <c r="H489" s="18"/>
      <c r="I489" s="18"/>
      <c r="J489" s="9" t="s">
        <v>16</v>
      </c>
      <c r="K489" s="18" t="str">
        <f>IMAGE("https://cdn.store.link/products/ayiraminimart50505/l7joze-lay%E2%80%99s%20flamin%E2%80%99%20hot%2048%20gm.png?versionId=QYVtWZMBqkh_IAgfvVVcadiUfuqhwfOM")</f>
        <v/>
      </c>
      <c r="L489" s="18"/>
      <c r="M489" s="10"/>
      <c r="N489" s="10"/>
    </row>
    <row r="490">
      <c r="A490" s="19" t="s">
        <v>812</v>
      </c>
      <c r="B490" s="27" t="s">
        <v>623</v>
      </c>
      <c r="C490" s="22">
        <v>2.5</v>
      </c>
      <c r="D490" s="22" t="s">
        <v>813</v>
      </c>
      <c r="E490" s="6"/>
      <c r="F490" s="18"/>
      <c r="G490" s="18"/>
      <c r="H490" s="18"/>
      <c r="I490" s="18"/>
      <c r="J490" s="9" t="s">
        <v>16</v>
      </c>
      <c r="K490" s="18" t="str">
        <f>IMAGE("https://cdn.store.link/products/ayiraminimart50505/23g4aa-balaji%20chataka%20pataka%20spicy%20rice%20?versionId=WSGgy_0Q9r27_6fNqmQD3gqD2hymkoTB")</f>
        <v/>
      </c>
      <c r="L490" s="18"/>
      <c r="M490" s="10"/>
      <c r="N490" s="10"/>
    </row>
    <row r="491">
      <c r="A491" s="19" t="s">
        <v>814</v>
      </c>
      <c r="B491" s="27" t="s">
        <v>623</v>
      </c>
      <c r="C491" s="22">
        <v>1.0</v>
      </c>
      <c r="D491" s="22" t="s">
        <v>815</v>
      </c>
      <c r="E491" s="6"/>
      <c r="F491" s="18"/>
      <c r="G491" s="18"/>
      <c r="H491" s="18"/>
      <c r="I491" s="18"/>
      <c r="J491" s="9" t="s">
        <v>16</v>
      </c>
      <c r="K491" s="6" t="str">
        <f>IMAGE("https://cdn.store.link/products/ayiraminimart50505/w89ixq-molto%20chips%20chilli%20?versionId=jD6G8s7ckwVaTzhBleC5wN7wT.0v.Pka")</f>
        <v/>
      </c>
      <c r="L491" s="6"/>
      <c r="M491" s="10"/>
      <c r="N491" s="10"/>
    </row>
    <row r="492">
      <c r="A492" s="19" t="s">
        <v>754</v>
      </c>
      <c r="B492" s="27" t="s">
        <v>623</v>
      </c>
      <c r="C492" s="22">
        <v>1.0</v>
      </c>
      <c r="D492" s="22" t="s">
        <v>755</v>
      </c>
      <c r="E492" s="6"/>
      <c r="F492" s="18"/>
      <c r="G492" s="18"/>
      <c r="H492" s="18"/>
      <c r="I492" s="18"/>
      <c r="J492" s="9" t="s">
        <v>16</v>
      </c>
      <c r="K492" s="18" t="str">
        <f>IMAGE("https://cdn.store.link/products/ayiraminimart50505/5txg1m-molto%20chips%20cheese%20flavour%2016%20g.png?versionId=mTVbSu6lBfjHCdFuCmSwL_XD4bkdYf5t")</f>
        <v/>
      </c>
      <c r="L492" s="18"/>
      <c r="M492" s="10"/>
      <c r="N492" s="10"/>
    </row>
    <row r="493">
      <c r="A493" s="19" t="s">
        <v>816</v>
      </c>
      <c r="B493" s="27" t="s">
        <v>623</v>
      </c>
      <c r="C493" s="22">
        <v>1.0</v>
      </c>
      <c r="D493" s="22" t="s">
        <v>817</v>
      </c>
      <c r="E493" s="6"/>
      <c r="F493" s="18"/>
      <c r="G493" s="18"/>
      <c r="H493" s="18"/>
      <c r="I493" s="18"/>
      <c r="J493" s="9" t="s">
        <v>16</v>
      </c>
      <c r="K493" s="18" t="str">
        <f>IMAGE("https://cdn.store.link/products/ayiraminimart50505/lkr9qt-molto%20chips%20ketchup%20flavour%2016%20gm.png?versionId=ndlit15U.u6_cOpzZ6rnYV7XSsOzHM7s")</f>
        <v/>
      </c>
      <c r="L493" s="18"/>
      <c r="M493" s="10"/>
      <c r="N493" s="10"/>
    </row>
    <row r="494">
      <c r="A494" s="19" t="s">
        <v>818</v>
      </c>
      <c r="B494" s="27" t="s">
        <v>623</v>
      </c>
      <c r="C494" s="22">
        <v>1.0</v>
      </c>
      <c r="D494" s="22" t="s">
        <v>819</v>
      </c>
      <c r="E494" s="6"/>
      <c r="F494" s="18"/>
      <c r="G494" s="18"/>
      <c r="H494" s="18"/>
      <c r="I494" s="18"/>
      <c r="J494" s="9" t="s">
        <v>16</v>
      </c>
      <c r="K494" s="18" t="str">
        <f>IMAGE("https://cdn.store.link/products/ayiraminimart50505/eoxabu-raja%20potato%20crunchies%2012%20gm.png?versionId=5iKrVjYHj9Vd8o5Wxukh59By2ho0l7Lf")</f>
        <v/>
      </c>
      <c r="L494" s="18"/>
      <c r="M494" s="10"/>
      <c r="N494" s="10"/>
    </row>
    <row r="495">
      <c r="A495" s="19" t="s">
        <v>820</v>
      </c>
      <c r="B495" s="27" t="s">
        <v>623</v>
      </c>
      <c r="C495" s="22">
        <v>1.0</v>
      </c>
      <c r="D495" s="22" t="s">
        <v>821</v>
      </c>
      <c r="E495" s="6"/>
      <c r="F495" s="18"/>
      <c r="G495" s="18"/>
      <c r="H495" s="18"/>
      <c r="I495" s="18"/>
      <c r="J495" s="9" t="s">
        <v>16</v>
      </c>
      <c r="K495" s="18" t="str">
        <f>IMAGE("https://cdn.store.link/products/ayiraminimart50505/rr7kgr-rubiyan%20cheesy%20flavour%2018%20gm.png?versionId=Pyi3O2w6pJKKDPitsJb165V4k8n7zv76")</f>
        <v/>
      </c>
      <c r="L495" s="18"/>
      <c r="M495" s="10"/>
      <c r="N495" s="10"/>
    </row>
    <row r="496">
      <c r="A496" s="19" t="s">
        <v>822</v>
      </c>
      <c r="B496" s="27" t="s">
        <v>623</v>
      </c>
      <c r="C496" s="22">
        <v>1.0</v>
      </c>
      <c r="D496" s="22" t="s">
        <v>823</v>
      </c>
      <c r="E496" s="6"/>
      <c r="F496" s="18"/>
      <c r="G496" s="18"/>
      <c r="H496" s="18"/>
      <c r="I496" s="18"/>
      <c r="J496" s="9" t="s">
        <v>16</v>
      </c>
      <c r="K496" s="18" t="str">
        <f>IMAGE("https://cdn.store.link/products/ayiraminimart50505/2hpbd6-rubiyan%20chips%20spicy%20cheese%20flavour%2020%20gm.png?versionId=PRsCWKtQWygOylmeoJOgM_rrXR7pcJjn")</f>
        <v/>
      </c>
      <c r="L496" s="18"/>
      <c r="M496" s="10"/>
      <c r="N496" s="10"/>
    </row>
    <row r="497">
      <c r="A497" s="19" t="s">
        <v>824</v>
      </c>
      <c r="B497" s="27" t="s">
        <v>623</v>
      </c>
      <c r="C497" s="22">
        <v>1.0</v>
      </c>
      <c r="D497" s="22" t="s">
        <v>825</v>
      </c>
      <c r="E497" s="6"/>
      <c r="F497" s="18"/>
      <c r="G497" s="18"/>
      <c r="H497" s="18"/>
      <c r="I497" s="18"/>
      <c r="J497" s="9" t="s">
        <v>16</v>
      </c>
      <c r="K497" s="18" t="str">
        <f>IMAGE("https://cdn.store.link/products/ayiraminimart50505/-uqegj-rubiyan%20corn%20stick%20spicy%20cheese%20flavour%2018%20gm.png?versionId=mUEVVVuwqk5TbN0PWd0eg1gj9Usmt7Up")</f>
        <v/>
      </c>
      <c r="L497" s="18"/>
      <c r="M497" s="10"/>
      <c r="N497" s="10"/>
    </row>
    <row r="498">
      <c r="A498" s="19" t="s">
        <v>826</v>
      </c>
      <c r="B498" s="27" t="s">
        <v>623</v>
      </c>
      <c r="C498" s="22">
        <v>1.0</v>
      </c>
      <c r="D498" s="22" t="s">
        <v>827</v>
      </c>
      <c r="E498" s="6"/>
      <c r="F498" s="18"/>
      <c r="G498" s="18"/>
      <c r="H498" s="18"/>
      <c r="I498" s="18"/>
      <c r="J498" s="9" t="s">
        <v>16</v>
      </c>
      <c r="K498" s="18" t="str">
        <f>IMAGE("https://cdn.store.link/products/ayiraminimart50505/fkl4yt-al%20mudhish%20potato%20chips%20ripples%20crunch%20sour%20cream%20?versionId=ZSC_x09GXuUJ8NW8BAhkWUiMSdyvyfti")</f>
        <v/>
      </c>
      <c r="L498" s="18"/>
      <c r="M498" s="10"/>
      <c r="N498" s="10"/>
    </row>
    <row r="499">
      <c r="A499" s="19" t="s">
        <v>828</v>
      </c>
      <c r="B499" s="27" t="s">
        <v>623</v>
      </c>
      <c r="C499" s="22">
        <v>1.0</v>
      </c>
      <c r="D499" s="22" t="s">
        <v>829</v>
      </c>
      <c r="E499" s="6"/>
      <c r="F499" s="18"/>
      <c r="G499" s="18"/>
      <c r="H499" s="18"/>
      <c r="I499" s="18"/>
      <c r="J499" s="9" t="s">
        <v>16</v>
      </c>
      <c r="K499" s="18" t="str">
        <f>IMAGE("https://cdn.store.link/products/ayiraminimart50505/7rxu99-raja%20potatoes%20crunchies%20ketchup%2012.png?versionId=BEVzLPgKKpy3DOITJXrP0UfBfsuQqd5H")</f>
        <v/>
      </c>
      <c r="L499" s="18"/>
      <c r="M499" s="10"/>
      <c r="N499" s="10"/>
    </row>
    <row r="500">
      <c r="A500" s="19" t="s">
        <v>830</v>
      </c>
      <c r="B500" s="29" t="s">
        <v>831</v>
      </c>
      <c r="C500" s="22">
        <v>16.0</v>
      </c>
      <c r="D500" s="22" t="s">
        <v>832</v>
      </c>
      <c r="E500" s="6"/>
      <c r="F500" s="18"/>
      <c r="G500" s="18"/>
      <c r="H500" s="18"/>
      <c r="I500" s="18"/>
      <c r="J500" s="9" t="s">
        <v>16</v>
      </c>
      <c r="K500" s="18" t="str">
        <f>IMAGE("https://cdn.store.link/products/ayiraminimart50505/wa-th0-extra%20refreshers%20strawberry%20citrus%20flavour%2030%20piece%20sugar%20free.png?versionId=RwyXnzZgf9rhdGrLknvpkLPwB_Ds64te")</f>
        <v/>
      </c>
      <c r="L500" s="18"/>
      <c r="M500" s="10"/>
      <c r="N500" s="10"/>
    </row>
    <row r="501">
      <c r="A501" s="19" t="s">
        <v>833</v>
      </c>
      <c r="B501" s="29" t="s">
        <v>831</v>
      </c>
      <c r="C501" s="22">
        <v>15.0</v>
      </c>
      <c r="D501" s="22" t="s">
        <v>834</v>
      </c>
      <c r="E501" s="6"/>
      <c r="F501" s="18"/>
      <c r="G501" s="18"/>
      <c r="H501" s="18"/>
      <c r="I501" s="18"/>
      <c r="J501" s="9" t="s">
        <v>16</v>
      </c>
      <c r="K501" s="18" t="str">
        <f>IMAGE("https://cdn.store.link/products/ayiraminimart50505/4t-pr9-extra%20peppermint%20flavour%20sugar%20free%2060%20pcs.png?versionId=Msv.DM_gJgf8F_rpiwg7nOkyHa4nEE37")</f>
        <v/>
      </c>
      <c r="L501" s="18"/>
      <c r="M501" s="10"/>
      <c r="N501" s="10"/>
    </row>
    <row r="502">
      <c r="A502" s="19" t="s">
        <v>835</v>
      </c>
      <c r="B502" s="29" t="s">
        <v>831</v>
      </c>
      <c r="C502" s="22">
        <v>16.0</v>
      </c>
      <c r="D502" s="22" t="s">
        <v>832</v>
      </c>
      <c r="E502" s="6"/>
      <c r="F502" s="18"/>
      <c r="G502" s="18"/>
      <c r="H502" s="18"/>
      <c r="I502" s="18"/>
      <c r="J502" s="9" t="s">
        <v>16</v>
      </c>
      <c r="K502" s="18" t="str">
        <f>IMAGE("https://cdn.store.link/products/ayiraminimart50505/tqq6lm-extra%20refreshers%20tropical%20flavour%20sugar%20free%2030%20pcs.png?versionId=tJs7bVQwIJuej3xHtk.21ztxb8ue0Prk")</f>
        <v/>
      </c>
      <c r="L502" s="18"/>
      <c r="M502" s="10"/>
      <c r="N502" s="10"/>
    </row>
    <row r="503">
      <c r="A503" s="5" t="s">
        <v>836</v>
      </c>
      <c r="B503" s="29" t="s">
        <v>831</v>
      </c>
      <c r="C503" s="22">
        <v>15.0</v>
      </c>
      <c r="D503" s="22" t="s">
        <v>834</v>
      </c>
      <c r="E503" s="6"/>
      <c r="F503" s="18"/>
      <c r="G503" s="18"/>
      <c r="H503" s="18"/>
      <c r="I503" s="18"/>
      <c r="J503" s="9" t="s">
        <v>16</v>
      </c>
      <c r="K503" s="18" t="str">
        <f>IMAGE("https://cdn.store.link/products/ayiraminimart50505/3imal8-extra%20spearmint%20flavour%2060%20pcs.png?versionId=ph8vGhenl_1F6UBZQF7ZA4FtHT5WAzWQ")</f>
        <v/>
      </c>
      <c r="L503" s="18"/>
      <c r="M503" s="10"/>
      <c r="N503" s="10"/>
    </row>
    <row r="504">
      <c r="A504" s="5" t="s">
        <v>837</v>
      </c>
      <c r="B504" s="29" t="s">
        <v>831</v>
      </c>
      <c r="C504" s="22">
        <v>12.0</v>
      </c>
      <c r="D504" s="22" t="s">
        <v>838</v>
      </c>
      <c r="E504" s="6"/>
      <c r="F504" s="18"/>
      <c r="G504" s="18"/>
      <c r="H504" s="18"/>
      <c r="I504" s="18"/>
      <c r="J504" s="9" t="s">
        <v>16</v>
      </c>
      <c r="K504" s="18" t="str">
        <f>IMAGE("https://cdn.store.link/products/ayiraminimart50505/e7s8fp-airwaves%2046%20pcs.png?versionId=o8wCeLMJTZ.G1PIddKt_Ztm6ZLOehbkJ")</f>
        <v/>
      </c>
      <c r="L504" s="18"/>
      <c r="M504" s="10"/>
      <c r="N504" s="10"/>
    </row>
    <row r="505">
      <c r="A505" s="5" t="s">
        <v>839</v>
      </c>
      <c r="B505" s="29" t="s">
        <v>831</v>
      </c>
      <c r="C505" s="22">
        <v>15.0</v>
      </c>
      <c r="D505" s="22" t="s">
        <v>834</v>
      </c>
      <c r="E505" s="6"/>
      <c r="F505" s="18"/>
      <c r="G505" s="18"/>
      <c r="H505" s="18"/>
      <c r="I505" s="18"/>
      <c r="J505" s="9" t="s">
        <v>16</v>
      </c>
      <c r="K505" s="18" t="str">
        <f>IMAGE("https://cdn.store.link/products/ayiraminimart50505/mqv1zm-extra%20bubblemint%20flavour%2060%20pcs.png?versionId=LVRmyhawH4G8hhUD8PxxAIvXAjHwPEyu")</f>
        <v/>
      </c>
      <c r="L505" s="18"/>
      <c r="M505" s="10"/>
      <c r="N505" s="10"/>
    </row>
    <row r="506">
      <c r="A506" s="5" t="s">
        <v>840</v>
      </c>
      <c r="B506" s="29" t="s">
        <v>831</v>
      </c>
      <c r="C506" s="22">
        <v>15.0</v>
      </c>
      <c r="D506" s="22" t="s">
        <v>841</v>
      </c>
      <c r="E506" s="6"/>
      <c r="F506" s="18"/>
      <c r="G506" s="18"/>
      <c r="H506" s="18"/>
      <c r="I506" s="18"/>
      <c r="J506" s="9" t="s">
        <v>16</v>
      </c>
      <c r="K506" s="18" t="str">
        <f>IMAGE("https://cdn.store.link/products/ayiraminimart50505/iqwlfh-extra%20watermelon%20flavour%2060%20pcs.png?versionId=ACBWy87xhrXcK79z9tVIcMYb6K.zQEI5")</f>
        <v/>
      </c>
      <c r="L506" s="18"/>
      <c r="M506" s="10"/>
      <c r="N506" s="10"/>
    </row>
    <row r="507">
      <c r="A507" s="19" t="s">
        <v>842</v>
      </c>
      <c r="B507" s="29" t="s">
        <v>831</v>
      </c>
      <c r="C507" s="22">
        <v>15.0</v>
      </c>
      <c r="D507" s="22" t="s">
        <v>834</v>
      </c>
      <c r="E507" s="6"/>
      <c r="F507" s="18"/>
      <c r="G507" s="18"/>
      <c r="H507" s="18"/>
      <c r="I507" s="18"/>
      <c r="J507" s="9" t="s">
        <v>16</v>
      </c>
      <c r="K507" s="18" t="str">
        <f>IMAGE("https://cdn.store.link/products/ayiraminimart50505/drmtna-extra%20refreshers%20bubblemint%20flavour%20sugar%20free%2030%20pcs.png?versionId=1maVhrNZWvwPCobuHmSGbXRggU28YK65")</f>
        <v/>
      </c>
      <c r="L507" s="18"/>
      <c r="M507" s="10"/>
      <c r="N507" s="10"/>
    </row>
    <row r="508">
      <c r="A508" s="5" t="s">
        <v>843</v>
      </c>
      <c r="B508" s="29" t="s">
        <v>831</v>
      </c>
      <c r="C508" s="22">
        <v>15.0</v>
      </c>
      <c r="D508" s="22" t="s">
        <v>832</v>
      </c>
      <c r="E508" s="6"/>
      <c r="F508" s="18"/>
      <c r="G508" s="18"/>
      <c r="H508" s="18"/>
      <c r="I508" s="18"/>
      <c r="J508" s="9" t="s">
        <v>16</v>
      </c>
      <c r="K508" s="18" t="str">
        <f>IMAGE("https://cdn.store.link/products/ayiraminimart50505/vjsg2g-extra%20blueberry%20flavour%2060%20pcs.png?versionId=qeWrIMFYkhVHFDmXPb5WnEy76TISwQj6")</f>
        <v/>
      </c>
      <c r="L508" s="18"/>
      <c r="M508" s="10"/>
      <c r="N508" s="10"/>
    </row>
    <row r="509">
      <c r="A509" s="19" t="s">
        <v>844</v>
      </c>
      <c r="B509" s="29" t="s">
        <v>831</v>
      </c>
      <c r="C509" s="22">
        <v>16.0</v>
      </c>
      <c r="D509" s="22" t="s">
        <v>841</v>
      </c>
      <c r="E509" s="6"/>
      <c r="F509" s="18"/>
      <c r="G509" s="18"/>
      <c r="H509" s="18"/>
      <c r="I509" s="18"/>
      <c r="J509" s="9" t="s">
        <v>16</v>
      </c>
      <c r="K509" s="18" t="str">
        <f>IMAGE("https://cdn.store.link/products/ayiraminimart50505/1xueni-extra%20refreshers%20watermelon%20raspberry%20flavour%20sugar%20free%2030%20pcs.png?versionId=90hOEkqxlZ1yvCTkujajXO.U5RxjFLkH")</f>
        <v/>
      </c>
      <c r="L509" s="18"/>
      <c r="M509" s="10"/>
      <c r="N509" s="10"/>
    </row>
    <row r="510">
      <c r="A510" s="19" t="s">
        <v>845</v>
      </c>
      <c r="B510" s="29" t="s">
        <v>831</v>
      </c>
      <c r="C510" s="22">
        <v>15.0</v>
      </c>
      <c r="D510" s="22" t="s">
        <v>832</v>
      </c>
      <c r="E510" s="6"/>
      <c r="F510" s="18"/>
      <c r="G510" s="18"/>
      <c r="H510" s="18"/>
      <c r="I510" s="18"/>
      <c r="J510" s="9" t="s">
        <v>16</v>
      </c>
      <c r="K510" s="18" t="str">
        <f>IMAGE("https://cdn.store.link/products/ayiraminimart50505/5cg3ak-extra%20strawberry%20flavour%2060%20pcs.png?versionId=dxVBvIhDXRgx91r65pj2okL7Xf_wtF2N")</f>
        <v/>
      </c>
      <c r="L510" s="18"/>
      <c r="M510" s="10"/>
      <c r="N510" s="10"/>
    </row>
    <row r="511">
      <c r="A511" s="19" t="s">
        <v>846</v>
      </c>
      <c r="B511" s="29" t="s">
        <v>831</v>
      </c>
      <c r="C511" s="22">
        <v>16.0</v>
      </c>
      <c r="D511" s="22" t="s">
        <v>834</v>
      </c>
      <c r="E511" s="6"/>
      <c r="F511" s="18"/>
      <c r="G511" s="18"/>
      <c r="H511" s="18"/>
      <c r="I511" s="18"/>
      <c r="J511" s="9" t="s">
        <v>16</v>
      </c>
      <c r="K511" s="18" t="str">
        <f>IMAGE("https://cdn.store.link/products/ayiraminimart50505/n9s51j-extra%20refreshers%20spearmint%20flavour%20sugar%20free%2030%20pcs.png?versionId=aRu5wG442Etw9nQk_m_MVZcypPed_3Gx")</f>
        <v/>
      </c>
      <c r="L511" s="18"/>
      <c r="M511" s="10"/>
      <c r="N511" s="10"/>
    </row>
    <row r="512">
      <c r="A512" s="5" t="s">
        <v>847</v>
      </c>
      <c r="B512" s="29" t="s">
        <v>831</v>
      </c>
      <c r="C512" s="22">
        <v>12.5</v>
      </c>
      <c r="D512" s="22" t="s">
        <v>832</v>
      </c>
      <c r="E512" s="6"/>
      <c r="F512" s="18"/>
      <c r="G512" s="18"/>
      <c r="H512" s="18"/>
      <c r="I512" s="18"/>
      <c r="J512" s="9" t="s">
        <v>16</v>
      </c>
      <c r="K512" s="18" t="str">
        <f>IMAGE("https://cdn.store.link/products/ayiraminimart50505/91jguh-extra%20mega%20spearmint%2023%20cubes.png?versionId=KUS4Dg.g7rVD7KX4Zk.lbfm6etuJhFa5")</f>
        <v/>
      </c>
      <c r="L512" s="18"/>
      <c r="M512" s="10"/>
      <c r="N512" s="10"/>
    </row>
    <row r="513">
      <c r="A513" s="5" t="s">
        <v>848</v>
      </c>
      <c r="B513" s="29" t="s">
        <v>831</v>
      </c>
      <c r="C513" s="22">
        <v>12.0</v>
      </c>
      <c r="D513" s="22" t="s">
        <v>849</v>
      </c>
      <c r="E513" s="6"/>
      <c r="F513" s="18"/>
      <c r="G513" s="18"/>
      <c r="H513" s="18"/>
      <c r="I513" s="18"/>
      <c r="J513" s="9" t="s">
        <v>16</v>
      </c>
      <c r="K513" s="18" t="str">
        <f>IMAGE("https://cdn.store.link/products/ayiraminimart50505/zpy949-airwaves%2040%20pcs.png?versionId=44wOrPBBx.hreDZnJ7AsakDzPnosF7iN")</f>
        <v/>
      </c>
      <c r="L513" s="18"/>
      <c r="M513" s="10"/>
      <c r="N513" s="10"/>
    </row>
    <row r="514">
      <c r="A514" s="5" t="s">
        <v>850</v>
      </c>
      <c r="B514" s="29" t="s">
        <v>831</v>
      </c>
      <c r="C514" s="22">
        <v>12.5</v>
      </c>
      <c r="D514" s="22" t="s">
        <v>832</v>
      </c>
      <c r="E514" s="6"/>
      <c r="F514" s="18"/>
      <c r="G514" s="18"/>
      <c r="H514" s="18"/>
      <c r="I514" s="18"/>
      <c r="J514" s="9" t="s">
        <v>16</v>
      </c>
      <c r="K514" s="18" t="str">
        <f>IMAGE("https://cdn.store.link/products/ayiraminimart50505/ipzi97-extra%20mega%20peppermint%2023%20cubes.png?versionId=xuf_bKX.Yp.UMsBjIoIRsug8Thj2T7H5")</f>
        <v/>
      </c>
      <c r="L514" s="18"/>
      <c r="M514" s="10"/>
      <c r="N514" s="10"/>
    </row>
    <row r="515">
      <c r="A515" s="19" t="s">
        <v>851</v>
      </c>
      <c r="B515" s="29" t="s">
        <v>831</v>
      </c>
      <c r="C515" s="22">
        <v>2.5</v>
      </c>
      <c r="D515" s="22" t="s">
        <v>832</v>
      </c>
      <c r="E515" s="6"/>
      <c r="F515" s="18"/>
      <c r="G515" s="18"/>
      <c r="H515" s="18"/>
      <c r="I515" s="18"/>
      <c r="J515" s="9" t="s">
        <v>16</v>
      </c>
      <c r="K515" s="18" t="str">
        <f>IMAGE("https://cdn.store.link/products/ayiraminimart50505/1tf3k6-extra%20bubblemint%20flavour%2014%20gm.png?versionId=HsnyeSmgNAKWNlhGd.z_QfLjafO1_AhR")</f>
        <v/>
      </c>
      <c r="L515" s="18"/>
      <c r="M515" s="10"/>
      <c r="N515" s="10"/>
    </row>
    <row r="516">
      <c r="A516" s="19" t="s">
        <v>852</v>
      </c>
      <c r="B516" s="29" t="s">
        <v>831</v>
      </c>
      <c r="C516" s="22">
        <v>2.5</v>
      </c>
      <c r="D516" s="22" t="s">
        <v>832</v>
      </c>
      <c r="E516" s="6"/>
      <c r="F516" s="18"/>
      <c r="G516" s="18"/>
      <c r="H516" s="18"/>
      <c r="I516" s="18"/>
      <c r="J516" s="9" t="s">
        <v>16</v>
      </c>
      <c r="K516" s="18" t="str">
        <f>IMAGE("https://cdn.store.link/products/ayiraminimart50505/irxcop-extra%20peppermint%20flavour%2014%20gm.png?versionId=ehGkp1W5jArl5juvUc3WNneK2GI3hiBd")</f>
        <v/>
      </c>
      <c r="L516" s="18"/>
      <c r="M516" s="10"/>
      <c r="N516" s="10"/>
    </row>
    <row r="517">
      <c r="A517" s="19" t="s">
        <v>853</v>
      </c>
      <c r="B517" s="29" t="s">
        <v>831</v>
      </c>
      <c r="C517" s="22">
        <v>2.5</v>
      </c>
      <c r="D517" s="22" t="s">
        <v>832</v>
      </c>
      <c r="E517" s="6"/>
      <c r="F517" s="18"/>
      <c r="G517" s="18"/>
      <c r="H517" s="18"/>
      <c r="I517" s="18"/>
      <c r="J517" s="9" t="s">
        <v>16</v>
      </c>
      <c r="K517" s="18" t="str">
        <f>IMAGE("https://cdn.store.link/products/ayiraminimart50505/e8ugm3-extra%20spearmint%20flavour%2014%20gm.png?versionId=4RV.CEEeRXHPZff0dYOLpI3OZgVt_AMP")</f>
        <v/>
      </c>
      <c r="L517" s="18"/>
      <c r="M517" s="10"/>
      <c r="N517" s="10"/>
    </row>
    <row r="518">
      <c r="A518" s="19" t="s">
        <v>854</v>
      </c>
      <c r="B518" s="29" t="s">
        <v>831</v>
      </c>
      <c r="C518" s="22">
        <v>2.5</v>
      </c>
      <c r="D518" s="22" t="s">
        <v>855</v>
      </c>
      <c r="E518" s="6"/>
      <c r="F518" s="18"/>
      <c r="G518" s="18"/>
      <c r="H518" s="18"/>
      <c r="I518" s="18"/>
      <c r="J518" s="9" t="s">
        <v>16</v>
      </c>
      <c r="K518" s="18" t="str">
        <f>IMAGE("https://cdn.store.link/products/ayiraminimart50505/kbfllb-airwaves%2014%20gm.png?versionId=KAuSBrcexbfDEfl9XgaBsgt2n73E64Er")</f>
        <v/>
      </c>
      <c r="L518" s="18"/>
      <c r="M518" s="10"/>
      <c r="N518" s="10"/>
    </row>
    <row r="519">
      <c r="A519" s="19" t="s">
        <v>856</v>
      </c>
      <c r="B519" s="29" t="s">
        <v>831</v>
      </c>
      <c r="C519" s="22">
        <v>2.5</v>
      </c>
      <c r="D519" s="22" t="s">
        <v>832</v>
      </c>
      <c r="E519" s="6"/>
      <c r="F519" s="18"/>
      <c r="G519" s="18"/>
      <c r="H519" s="18"/>
      <c r="I519" s="18"/>
      <c r="J519" s="9" t="s">
        <v>16</v>
      </c>
      <c r="K519" s="18" t="str">
        <f>IMAGE("https://cdn.store.link/products/ayiraminimart50505/qkq293-extra%20strawberry%20flavour%2014%20gm.png?versionId=qU1LWbbvWFv2Wjo.MJ_vYnC4i2ELv1.e")</f>
        <v/>
      </c>
      <c r="L519" s="18"/>
      <c r="M519" s="10"/>
      <c r="N519" s="10"/>
    </row>
    <row r="520">
      <c r="A520" s="19" t="s">
        <v>857</v>
      </c>
      <c r="B520" s="29" t="s">
        <v>831</v>
      </c>
      <c r="C520" s="22">
        <v>2.5</v>
      </c>
      <c r="D520" s="22" t="s">
        <v>841</v>
      </c>
      <c r="E520" s="6"/>
      <c r="F520" s="18"/>
      <c r="G520" s="18"/>
      <c r="H520" s="18"/>
      <c r="I520" s="18"/>
      <c r="J520" s="9" t="s">
        <v>16</v>
      </c>
      <c r="K520" s="18" t="str">
        <f>IMAGE("https://cdn.store.link/products/ayiraminimart50505/iu1ixq-extra%20watermelon%20flavour%2014%20gm.png?versionId=WZ1wiPdeMXYSZ8e.E0MPbYzxYxl5JANG")</f>
        <v/>
      </c>
      <c r="L520" s="18"/>
      <c r="M520" s="10"/>
      <c r="N520" s="10"/>
    </row>
    <row r="521">
      <c r="A521" s="5" t="s">
        <v>858</v>
      </c>
      <c r="B521" s="29" t="s">
        <v>831</v>
      </c>
      <c r="C521" s="22">
        <v>2.5</v>
      </c>
      <c r="D521" s="22" t="s">
        <v>859</v>
      </c>
      <c r="E521" s="6"/>
      <c r="F521" s="18"/>
      <c r="G521" s="18"/>
      <c r="H521" s="18"/>
      <c r="I521" s="18"/>
      <c r="J521" s="9" t="s">
        <v>16</v>
      </c>
      <c r="K521" s="18" t="str">
        <f>IMAGE("https://cdn.store.link/products/ayiraminimart50505/7hhlu9-wrigley%E2%80%99s%20doublemint%20chewing%20gum%205%20sticks.png?versionId=O2kBsV6wzmwfRXYmT0O2leVnIJD75xXC")</f>
        <v/>
      </c>
      <c r="L521" s="18"/>
      <c r="M521" s="10"/>
      <c r="N521" s="10"/>
    </row>
    <row r="522">
      <c r="A522" s="19" t="s">
        <v>714</v>
      </c>
      <c r="B522" s="27" t="s">
        <v>623</v>
      </c>
      <c r="C522" s="22">
        <v>12.0</v>
      </c>
      <c r="D522" s="22" t="s">
        <v>713</v>
      </c>
      <c r="E522" s="6"/>
      <c r="F522" s="18"/>
      <c r="G522" s="18"/>
      <c r="H522" s="18"/>
      <c r="I522" s="18"/>
      <c r="J522" s="9" t="s">
        <v>16</v>
      </c>
      <c r="K522" s="18" t="str">
        <f>IMAGE("https://cdn.store.link/products/ayiraminimart50505/1i8sp4-doritos%20sweet%20chili%20pepper%20175%20g.png?versionId=dDIj6GpzRPax2vjBkLbTQ2MdyHuG15QG")</f>
        <v/>
      </c>
      <c r="L522" s="18"/>
      <c r="M522" s="10"/>
      <c r="N522" s="10"/>
    </row>
    <row r="523">
      <c r="A523" s="19" t="s">
        <v>715</v>
      </c>
      <c r="B523" s="27" t="s">
        <v>623</v>
      </c>
      <c r="C523" s="22">
        <v>18.0</v>
      </c>
      <c r="D523" s="22" t="s">
        <v>716</v>
      </c>
      <c r="E523" s="6"/>
      <c r="F523" s="18"/>
      <c r="G523" s="18"/>
      <c r="H523" s="18"/>
      <c r="I523" s="18"/>
      <c r="J523" s="9" t="s">
        <v>16</v>
      </c>
      <c r="K523" s="18" t="str">
        <f>IMAGE("https://cdn.store.link/products/ayiraminimart50505/cz156h-cheetos%20crunchy%20cheese%20190%20g.png?versionId=YROnEwxdQ_up37olaiap6rTtxj5l5LNY")</f>
        <v/>
      </c>
      <c r="L523" s="18"/>
      <c r="M523" s="10"/>
      <c r="N523" s="10"/>
    </row>
    <row r="524">
      <c r="A524" s="19" t="s">
        <v>860</v>
      </c>
      <c r="B524" s="27" t="s">
        <v>623</v>
      </c>
      <c r="C524" s="22">
        <v>10.0</v>
      </c>
      <c r="D524" s="22" t="s">
        <v>722</v>
      </c>
      <c r="E524" s="6"/>
      <c r="F524" s="18"/>
      <c r="G524" s="18"/>
      <c r="H524" s="18"/>
      <c r="I524" s="18"/>
      <c r="J524" s="9" t="s">
        <v>16</v>
      </c>
      <c r="K524" s="18" t="str">
        <f>IMAGE("https://cdn.store.link/products/ayiraminimart50505/qd-cl9-lays%20original%20taste%20155%20g.png?versionId=D2ZUHqX4LGbRd1m_7RAAgWXDQ1XvnGZy")</f>
        <v/>
      </c>
      <c r="L524" s="18"/>
      <c r="M524" s="10"/>
      <c r="N524" s="10"/>
    </row>
    <row r="525">
      <c r="A525" s="19" t="s">
        <v>717</v>
      </c>
      <c r="B525" s="27" t="s">
        <v>623</v>
      </c>
      <c r="C525" s="22">
        <v>6.5</v>
      </c>
      <c r="D525" s="22" t="s">
        <v>718</v>
      </c>
      <c r="E525" s="6"/>
      <c r="F525" s="18"/>
      <c r="G525" s="18"/>
      <c r="H525" s="18"/>
      <c r="I525" s="18"/>
      <c r="J525" s="9" t="s">
        <v>16</v>
      </c>
      <c r="K525" s="18" t="str">
        <f>IMAGE("https://cdn.store.link/products/ayiraminimart50505/ws82qy-balaji%20wafers%20crunchem%20chaat%20chaska%20135%20g.png?versionId=642y.S_gMJnVxv2P9Sw28h9zk4NH2813")</f>
        <v/>
      </c>
      <c r="L525" s="18"/>
      <c r="M525" s="10"/>
      <c r="N525" s="10"/>
    </row>
    <row r="526">
      <c r="A526" s="19" t="s">
        <v>719</v>
      </c>
      <c r="B526" s="27" t="s">
        <v>623</v>
      </c>
      <c r="C526" s="22">
        <v>18.0</v>
      </c>
      <c r="D526" s="22" t="s">
        <v>716</v>
      </c>
      <c r="E526" s="6"/>
      <c r="F526" s="18"/>
      <c r="G526" s="18"/>
      <c r="H526" s="18"/>
      <c r="I526" s="18"/>
      <c r="J526" s="9" t="s">
        <v>16</v>
      </c>
      <c r="K526" s="18" t="str">
        <f>IMAGE("https://cdn.store.link/products/ayiraminimart50505/vnzwjw-cheetos%20flamin%27%20hot%20crunchy%20export%20226.8%20g.png?versionId=Upf6FUeOr_gjsv2xIoniwNXOoaz.cEtu")</f>
        <v/>
      </c>
      <c r="L526" s="18"/>
      <c r="M526" s="10"/>
      <c r="N526" s="10"/>
    </row>
    <row r="527">
      <c r="A527" s="19" t="s">
        <v>720</v>
      </c>
      <c r="B527" s="27" t="s">
        <v>623</v>
      </c>
      <c r="C527" s="22">
        <v>8.0</v>
      </c>
      <c r="D527" s="22" t="s">
        <v>713</v>
      </c>
      <c r="E527" s="6"/>
      <c r="F527" s="18"/>
      <c r="G527" s="18"/>
      <c r="H527" s="18"/>
      <c r="I527" s="18"/>
      <c r="J527" s="9" t="s">
        <v>16</v>
      </c>
      <c r="K527" s="18" t="str">
        <f>IMAGE("https://cdn.store.link/products/ayiraminimart50505/mg-s6u-doritos%20sweet%20chili%20pepper%20105%20g.png?versionId=MVMGblm_pAcA6K5ADhAbEyc6dqXte2oS")</f>
        <v/>
      </c>
      <c r="L527" s="18"/>
      <c r="M527" s="10"/>
      <c r="N527" s="10"/>
    </row>
    <row r="528">
      <c r="A528" s="19" t="s">
        <v>721</v>
      </c>
      <c r="B528" s="27" t="s">
        <v>623</v>
      </c>
      <c r="C528" s="22">
        <v>10.0</v>
      </c>
      <c r="D528" s="22" t="s">
        <v>722</v>
      </c>
      <c r="E528" s="6"/>
      <c r="F528" s="18"/>
      <c r="G528" s="18"/>
      <c r="H528" s="18"/>
      <c r="I528" s="18"/>
      <c r="J528" s="9" t="s">
        <v>16</v>
      </c>
      <c r="K528" s="18" t="str">
        <f>IMAGE("https://cdn.store.link/products/ayiraminimart50505/go48zg-lays%20tomato%20ketchup%20155%20g.png?versionId=kYAT2aeEzz07yGz6EnqSFj8vrWHDqVUp")</f>
        <v/>
      </c>
      <c r="L528" s="18"/>
      <c r="M528" s="10"/>
      <c r="N528" s="10"/>
    </row>
    <row r="529">
      <c r="A529" s="5" t="s">
        <v>723</v>
      </c>
      <c r="B529" s="27" t="s">
        <v>623</v>
      </c>
      <c r="C529" s="22">
        <v>10.0</v>
      </c>
      <c r="D529" s="22" t="s">
        <v>722</v>
      </c>
      <c r="E529" s="6"/>
      <c r="F529" s="18"/>
      <c r="G529" s="18"/>
      <c r="H529" s="18"/>
      <c r="I529" s="18"/>
      <c r="J529" s="9" t="s">
        <v>16</v>
      </c>
      <c r="K529" s="18" t="str">
        <f>IMAGE("https://cdn.store.link/products/ayiraminimart50505/njg9b5-lays%20salted%20155%20g.png?versionId=1DaCRdCChfrNNL9VI6i238b5SLCAxyFJ")</f>
        <v/>
      </c>
      <c r="L529" s="18"/>
      <c r="M529" s="10"/>
      <c r="N529" s="10"/>
    </row>
    <row r="530">
      <c r="A530" s="19" t="s">
        <v>724</v>
      </c>
      <c r="B530" s="27" t="s">
        <v>623</v>
      </c>
      <c r="C530" s="22">
        <v>6.5</v>
      </c>
      <c r="D530" s="22" t="s">
        <v>725</v>
      </c>
      <c r="E530" s="6"/>
      <c r="F530" s="18"/>
      <c r="G530" s="18"/>
      <c r="H530" s="18"/>
      <c r="I530" s="18"/>
      <c r="J530" s="9" t="s">
        <v>16</v>
      </c>
      <c r="K530" s="18" t="str">
        <f>IMAGE("https://cdn.store.link/products/ayiraminimart50505/dk3efe-balaji%20crunchem%20simply%20salted%20155%20g.png?versionId=YVuPbQ0qq7cvWbgaKNI2hEFbGq9vBa4H")</f>
        <v/>
      </c>
      <c r="L530" s="18"/>
      <c r="M530" s="10"/>
      <c r="N530" s="10"/>
    </row>
    <row r="531">
      <c r="A531" s="19" t="s">
        <v>765</v>
      </c>
      <c r="B531" s="27" t="s">
        <v>623</v>
      </c>
      <c r="C531" s="22">
        <v>4.0</v>
      </c>
      <c r="D531" s="22" t="s">
        <v>716</v>
      </c>
      <c r="E531" s="6"/>
      <c r="F531" s="18"/>
      <c r="G531" s="18"/>
      <c r="H531" s="18"/>
      <c r="I531" s="18"/>
      <c r="J531" s="9" t="s">
        <v>16</v>
      </c>
      <c r="K531" s="18" t="str">
        <f>IMAGE("https://cdn.store.link/products/ayiraminimart50505/4ah0cs-cheetos%20flamin%27%20hot%2040%20g.png?versionId=paSvdxZFgkbgb9uJpriZ5WmTM_33cn6V")</f>
        <v/>
      </c>
      <c r="L531" s="18"/>
      <c r="M531" s="10"/>
      <c r="N531" s="10"/>
    </row>
    <row r="532">
      <c r="A532" s="19" t="s">
        <v>861</v>
      </c>
      <c r="B532" s="27" t="s">
        <v>623</v>
      </c>
      <c r="C532" s="22">
        <v>4.0</v>
      </c>
      <c r="D532" s="22" t="s">
        <v>862</v>
      </c>
      <c r="E532" s="6"/>
      <c r="F532" s="18"/>
      <c r="G532" s="18"/>
      <c r="H532" s="18"/>
      <c r="I532" s="18"/>
      <c r="J532" s="9" t="s">
        <v>16</v>
      </c>
      <c r="K532" s="18" t="str">
        <f>IMAGE("https://cdn.store.link/products/ayiraminimart50505/g8u7s3-al%20mudhish%20potato%20ripples%20crunch%20sour%20cream%20?versionId=0ubC.dhpB74t1I0qHoNm6dqkglz0fc12")</f>
        <v/>
      </c>
      <c r="L532" s="18"/>
      <c r="M532" s="10"/>
      <c r="N532" s="10"/>
    </row>
    <row r="533">
      <c r="A533" s="19" t="s">
        <v>766</v>
      </c>
      <c r="B533" s="27" t="s">
        <v>623</v>
      </c>
      <c r="C533" s="22">
        <v>4.0</v>
      </c>
      <c r="D533" s="22" t="s">
        <v>767</v>
      </c>
      <c r="E533" s="6"/>
      <c r="F533" s="18"/>
      <c r="G533" s="18"/>
      <c r="H533" s="18"/>
      <c r="I533" s="18"/>
      <c r="J533" s="9" t="s">
        <v>16</v>
      </c>
      <c r="K533" s="18" t="str">
        <f>IMAGE("https://cdn.store.link/products/ayiraminimart50505/l4irrk-crispy%20potato%20chips%20mexican%20chilli%2075%20g.png?versionId=qpS2Qla9K.rS.e2ykMSMmV14DNa2RuCQ")</f>
        <v/>
      </c>
      <c r="L533" s="18"/>
      <c r="M533" s="10"/>
      <c r="N533" s="10"/>
    </row>
    <row r="534">
      <c r="A534" s="19" t="s">
        <v>863</v>
      </c>
      <c r="B534" s="27" t="s">
        <v>623</v>
      </c>
      <c r="C534" s="22">
        <v>4.0</v>
      </c>
      <c r="D534" s="22" t="s">
        <v>864</v>
      </c>
      <c r="E534" s="6"/>
      <c r="F534" s="18"/>
      <c r="G534" s="18"/>
      <c r="H534" s="18"/>
      <c r="I534" s="18"/>
      <c r="J534" s="9" t="s">
        <v>16</v>
      </c>
      <c r="K534" s="18" t="str">
        <f>IMAGE("https://cdn.store.link/products/ayiraminimart50505/2q54bw-abc%20salt%20?versionId=UKd6HhJ8YK1BhF6OybmO_FSyLo67opa3")</f>
        <v/>
      </c>
      <c r="L534" s="18"/>
      <c r="M534" s="10"/>
      <c r="N534" s="10"/>
    </row>
    <row r="535">
      <c r="A535" s="19" t="s">
        <v>865</v>
      </c>
      <c r="B535" s="27" t="s">
        <v>623</v>
      </c>
      <c r="C535" s="22">
        <v>4.0</v>
      </c>
      <c r="D535" s="22" t="s">
        <v>866</v>
      </c>
      <c r="E535" s="6"/>
      <c r="F535" s="18"/>
      <c r="G535" s="18"/>
      <c r="H535" s="18"/>
      <c r="I535" s="18"/>
      <c r="J535" s="9" t="s">
        <v>16</v>
      </c>
      <c r="K535" s="18" t="str">
        <f>IMAGE("https://cdn.store.link/products/ayiraminimart50505/cdhpg5-al%20mudhish%20natural%20potato%20sticks%2075%20g.png?versionId=c5MtXOISLCbjly.1s0Oi0Iqomce.tMMM")</f>
        <v/>
      </c>
      <c r="L535" s="18"/>
      <c r="M535" s="10"/>
      <c r="N535" s="10"/>
    </row>
    <row r="536">
      <c r="A536" s="23" t="s">
        <v>867</v>
      </c>
      <c r="B536" s="31" t="s">
        <v>623</v>
      </c>
      <c r="C536" s="32">
        <v>2.5</v>
      </c>
      <c r="D536" s="32" t="s">
        <v>868</v>
      </c>
      <c r="E536" s="33"/>
      <c r="F536" s="34"/>
      <c r="G536" s="34"/>
      <c r="H536" s="34"/>
      <c r="I536" s="34"/>
      <c r="J536" s="35" t="s">
        <v>16</v>
      </c>
      <c r="K536" s="34" t="str">
        <f>IMAGE("https://cdn.store.link/products/ayiraminimart50505/mr58rg-chilli%20out%20fire%20fingers%20spicy%20masala%2060%20g.jpg?versionId=baEyEpXTW2PR7FzeqhingD1u5vxK5bAD")</f>
        <v/>
      </c>
      <c r="L536" s="18"/>
      <c r="M536" s="10"/>
      <c r="N536" s="10"/>
    </row>
    <row r="537">
      <c r="A537" s="23" t="s">
        <v>869</v>
      </c>
      <c r="B537" s="31" t="s">
        <v>623</v>
      </c>
      <c r="C537" s="32">
        <v>2.5</v>
      </c>
      <c r="D537" s="32" t="s">
        <v>870</v>
      </c>
      <c r="E537" s="33"/>
      <c r="F537" s="34"/>
      <c r="G537" s="34"/>
      <c r="H537" s="34"/>
      <c r="I537" s="34"/>
      <c r="J537" s="35" t="s">
        <v>16</v>
      </c>
      <c r="K537" s="34" t="str">
        <f>IMAGE("https://cdn.store.link/products/ayiraminimart50505/ch50j9-chilli%20out%20fire%20fingers%20spicy%20honey%2060%20gm.jpg?versionId=5R6IHLTrcwUrI1sdpriZeC.CloaPrxQ4")</f>
        <v/>
      </c>
      <c r="L537" s="18"/>
      <c r="M537" s="10"/>
      <c r="N537" s="10"/>
    </row>
    <row r="538">
      <c r="A538" s="23" t="s">
        <v>871</v>
      </c>
      <c r="B538" s="31" t="s">
        <v>623</v>
      </c>
      <c r="C538" s="32">
        <v>2.5</v>
      </c>
      <c r="D538" s="32" t="s">
        <v>872</v>
      </c>
      <c r="E538" s="33"/>
      <c r="F538" s="34"/>
      <c r="G538" s="34"/>
      <c r="H538" s="34"/>
      <c r="I538" s="34"/>
      <c r="J538" s="35" t="s">
        <v>16</v>
      </c>
      <c r="K538" s="34" t="str">
        <f>IMAGE("https://cdn.store.link/products/ayiraminimart50505/aoon65-chilli%20out%20fire%20fingers%20spicy%20lemon%2060%20gm.jpg?versionId=gPNGfYFFJkNw2AAh6km9OQ0mWV.xND7d")</f>
        <v/>
      </c>
      <c r="L538" s="18"/>
      <c r="M538" s="10"/>
      <c r="N538" s="10"/>
    </row>
    <row r="539">
      <c r="A539" s="19" t="s">
        <v>873</v>
      </c>
      <c r="B539" s="27" t="s">
        <v>623</v>
      </c>
      <c r="C539" s="22">
        <v>2.5</v>
      </c>
      <c r="D539" s="22" t="s">
        <v>874</v>
      </c>
      <c r="E539" s="6"/>
      <c r="F539" s="18"/>
      <c r="G539" s="18"/>
      <c r="H539" s="18"/>
      <c r="I539" s="18"/>
      <c r="J539" s="9" t="s">
        <v>16</v>
      </c>
      <c r="K539" s="18" t="str">
        <f>IMAGE("https://cdn.store.link/products/ayiraminimart50505/pr3qpo-mexita%20hot%20chilli%20?versionId=LyLtX11Sa0GAZAxvYj4MOMOFX.25H3g0")</f>
        <v/>
      </c>
      <c r="L539" s="18"/>
      <c r="M539" s="10"/>
      <c r="N539" s="10"/>
    </row>
    <row r="540">
      <c r="A540" s="19" t="s">
        <v>875</v>
      </c>
      <c r="B540" s="27" t="s">
        <v>623</v>
      </c>
      <c r="C540" s="22">
        <v>2.5</v>
      </c>
      <c r="D540" s="22" t="s">
        <v>876</v>
      </c>
      <c r="E540" s="6"/>
      <c r="F540" s="18"/>
      <c r="G540" s="18"/>
      <c r="H540" s="18"/>
      <c r="I540" s="18"/>
      <c r="J540" s="9" t="s">
        <v>16</v>
      </c>
      <c r="K540" s="18" t="str">
        <f>IMAGE("https://cdn.store.link/products/ayiraminimart50505/n-7mfg-mexita%20sweet%20chilli%20pepper%20tortilla%20chips%2040%20g.png?versionId=7p.dBl7fRt2abSRe157FMabxxSAlMEzF")</f>
        <v/>
      </c>
      <c r="L540" s="18"/>
      <c r="M540" s="10"/>
      <c r="N540" s="10"/>
    </row>
    <row r="541">
      <c r="A541" s="19" t="s">
        <v>877</v>
      </c>
      <c r="B541" s="27" t="s">
        <v>623</v>
      </c>
      <c r="C541" s="22">
        <v>1.0</v>
      </c>
      <c r="D541" s="22" t="s">
        <v>878</v>
      </c>
      <c r="E541" s="6"/>
      <c r="F541" s="18"/>
      <c r="G541" s="18"/>
      <c r="H541" s="18"/>
      <c r="I541" s="18"/>
      <c r="J541" s="9" t="s">
        <v>16</v>
      </c>
      <c r="K541" s="18" t="str">
        <f>IMAGE("https://cdn.store.link/products/ayiraminimart50505/esez40-mazoon%2020%20g.png?versionId=XHTkhNeaa1Weaqk2wdMb.mmVxQr.ZjIi")</f>
        <v/>
      </c>
      <c r="L541" s="18"/>
      <c r="M541" s="10"/>
      <c r="N541" s="10"/>
    </row>
    <row r="542">
      <c r="A542" s="19" t="s">
        <v>879</v>
      </c>
      <c r="B542" s="27" t="s">
        <v>623</v>
      </c>
      <c r="C542" s="22">
        <v>1.0</v>
      </c>
      <c r="D542" s="22" t="s">
        <v>880</v>
      </c>
      <c r="E542" s="6"/>
      <c r="F542" s="18"/>
      <c r="G542" s="18"/>
      <c r="H542" s="18"/>
      <c r="I542" s="18"/>
      <c r="J542" s="9" t="s">
        <v>16</v>
      </c>
      <c r="K542" s="18" t="str">
        <f>IMAGE("https://cdn.store.link/products/ayiraminimart50505/ni81g9-al%20mudhish%20potato%20chips%20salt?versionId=2OKZ52_yP_.ZZztjOkpsF3XbF6BS0mTZ")</f>
        <v/>
      </c>
      <c r="L542" s="18"/>
      <c r="M542" s="10"/>
      <c r="N542" s="10"/>
    </row>
    <row r="543">
      <c r="A543" s="19" t="s">
        <v>881</v>
      </c>
      <c r="B543" s="27" t="s">
        <v>623</v>
      </c>
      <c r="C543" s="22">
        <v>1.0</v>
      </c>
      <c r="D543" s="22" t="s">
        <v>882</v>
      </c>
      <c r="E543" s="6"/>
      <c r="F543" s="18"/>
      <c r="G543" s="18"/>
      <c r="H543" s="18"/>
      <c r="I543" s="18"/>
      <c r="J543" s="9" t="s">
        <v>16</v>
      </c>
      <c r="K543" s="18" t="str">
        <f>IMAGE("https://cdn.store.link/products/ayiraminimart50505/aqmdkf-al%20batal%20ketchup%20flavour%20110%20gm.png?versionId=YpP7YxjXUmluz_vAyvZriACn6papBNkv")</f>
        <v/>
      </c>
      <c r="L543" s="18"/>
      <c r="M543" s="10"/>
      <c r="N543" s="10"/>
    </row>
    <row r="544">
      <c r="A544" s="19" t="s">
        <v>883</v>
      </c>
      <c r="B544" s="27" t="s">
        <v>623</v>
      </c>
      <c r="C544" s="22">
        <v>1.0</v>
      </c>
      <c r="D544" s="22" t="s">
        <v>884</v>
      </c>
      <c r="E544" s="6"/>
      <c r="F544" s="18"/>
      <c r="G544" s="18"/>
      <c r="H544" s="18"/>
      <c r="I544" s="18"/>
      <c r="J544" s="9" t="s">
        <v>16</v>
      </c>
      <c r="K544" s="18" t="str">
        <f>IMAGE("https://cdn.store.link/products/ayiraminimart50505/l0adr3-al%20batal%20cheese%20flavour%20110%20gm.png?versionId=w4HIIvb_H4q9Ro6i0HUWz5HOWpgY7nnZ")</f>
        <v/>
      </c>
      <c r="L544" s="18"/>
      <c r="M544" s="10"/>
      <c r="N544" s="10"/>
    </row>
    <row r="545">
      <c r="A545" s="19" t="s">
        <v>885</v>
      </c>
      <c r="B545" s="27" t="s">
        <v>623</v>
      </c>
      <c r="C545" s="22">
        <v>1.0</v>
      </c>
      <c r="D545" s="22" t="s">
        <v>886</v>
      </c>
      <c r="E545" s="6"/>
      <c r="F545" s="18"/>
      <c r="G545" s="18"/>
      <c r="H545" s="18"/>
      <c r="I545" s="18"/>
      <c r="J545" s="9" t="s">
        <v>16</v>
      </c>
      <c r="K545" s="18" t="str">
        <f>IMAGE("https://cdn.store.link/products/ayiraminimart50505/ni81g9-al%20mudhish%20potato%20chips%20salt?versionId=2OKZ52_yP_.ZZztjOkpsF3XbF6BS0mTZ")</f>
        <v/>
      </c>
      <c r="L545" s="18"/>
      <c r="M545" s="10"/>
      <c r="N545" s="10"/>
    </row>
    <row r="546">
      <c r="A546" s="19" t="s">
        <v>717</v>
      </c>
      <c r="B546" s="27" t="s">
        <v>623</v>
      </c>
      <c r="C546" s="22">
        <v>6.5</v>
      </c>
      <c r="D546" s="22" t="s">
        <v>718</v>
      </c>
      <c r="E546" s="6"/>
      <c r="F546" s="18"/>
      <c r="G546" s="18"/>
      <c r="H546" s="18"/>
      <c r="I546" s="18"/>
      <c r="J546" s="9" t="s">
        <v>16</v>
      </c>
      <c r="K546" s="18" t="str">
        <f>IMAGE("https://cdn.store.link/products/ayiraminimart50505/ws82qy-balaji%20wafers%20crunchem%20chaat%20chaska%20135%20g.png?versionId=642y.S_gMJnVxv2P9Sw28h9zk4NH2813")</f>
        <v/>
      </c>
      <c r="L546" s="18"/>
      <c r="M546" s="10"/>
      <c r="N546" s="10"/>
    </row>
    <row r="547">
      <c r="A547" s="19" t="s">
        <v>887</v>
      </c>
      <c r="B547" s="27" t="s">
        <v>623</v>
      </c>
      <c r="C547" s="36"/>
      <c r="D547" s="22" t="s">
        <v>716</v>
      </c>
      <c r="E547" s="6"/>
      <c r="F547" s="18"/>
      <c r="G547" s="18"/>
      <c r="H547" s="18"/>
      <c r="I547" s="18"/>
      <c r="J547" s="9" t="s">
        <v>16</v>
      </c>
      <c r="K547" s="18" t="str">
        <f>IMAGE("https://cdn.store.link/products/ayiraminimart50505/0pwuxc-cheetos%20flamin%27%20hot%20crunchy%2025%20g.png?versionId=Rrp.Q_qv2s2sMUsIQVUT.hfQm5gYOB2T")</f>
        <v/>
      </c>
      <c r="L547" s="18"/>
      <c r="M547" s="10"/>
      <c r="N547" s="10"/>
    </row>
    <row r="548">
      <c r="A548" s="19" t="s">
        <v>888</v>
      </c>
      <c r="B548" s="27" t="s">
        <v>623</v>
      </c>
      <c r="C548" s="22">
        <v>9.0</v>
      </c>
      <c r="D548" s="22" t="s">
        <v>713</v>
      </c>
      <c r="E548" s="6"/>
      <c r="F548" s="18"/>
      <c r="G548" s="18"/>
      <c r="H548" s="18"/>
      <c r="I548" s="18"/>
      <c r="J548" s="9" t="s">
        <v>16</v>
      </c>
      <c r="K548" s="18" t="str">
        <f>IMAGE("https://cdn.store.link/products/ayiraminimart50505/9fc1y7-doritos%20spicy%20sweet%20chili%20flavored%2092.1%20g.png?versionId=fqr_n_uGHm9UyyK7XH_PtSk0TZdhswoH")</f>
        <v/>
      </c>
      <c r="L548" s="18"/>
      <c r="M548" s="10"/>
      <c r="N548" s="10"/>
    </row>
    <row r="549">
      <c r="A549" s="5" t="s">
        <v>889</v>
      </c>
      <c r="B549" s="27" t="s">
        <v>623</v>
      </c>
      <c r="C549" s="22">
        <v>1.0</v>
      </c>
      <c r="D549" s="22" t="s">
        <v>890</v>
      </c>
      <c r="E549" s="6"/>
      <c r="F549" s="18"/>
      <c r="G549" s="18"/>
      <c r="H549" s="18"/>
      <c r="I549" s="18"/>
      <c r="J549" s="9" t="s">
        <v>16</v>
      </c>
      <c r="K549" s="18" t="str">
        <f>IMAGE("https://cdn.store.link/products/ayiraminimart50505/-aix14-suroor%20natural%20potato%20chips%20ready%20salted%2014%20g.png?versionId=uEUMv993JbuCiz.2_Yn_yruz3vqfvB4S")</f>
        <v/>
      </c>
      <c r="L549" s="18"/>
      <c r="M549" s="10"/>
      <c r="N549" s="10"/>
    </row>
    <row r="550">
      <c r="A550" s="5" t="s">
        <v>891</v>
      </c>
      <c r="B550" s="27" t="s">
        <v>623</v>
      </c>
      <c r="C550" s="22">
        <v>1.0</v>
      </c>
      <c r="D550" s="22" t="s">
        <v>892</v>
      </c>
      <c r="E550" s="6"/>
      <c r="F550" s="18"/>
      <c r="G550" s="18"/>
      <c r="H550" s="18"/>
      <c r="I550" s="18"/>
      <c r="J550" s="9" t="s">
        <v>16</v>
      </c>
      <c r="K550" s="18" t="str">
        <f>IMAGE("https://cdn.store.link/products/ayiraminimart50505/lcumdg-suroor%20natural%20potato%20chips%20chilli%2014%20g.png?versionId=_tXZ02Sid5v1nlSFxGtPKKkIPc0qfkah")</f>
        <v/>
      </c>
      <c r="L550" s="18"/>
      <c r="M550" s="10"/>
      <c r="N550" s="10"/>
    </row>
    <row r="551">
      <c r="A551" s="5" t="s">
        <v>893</v>
      </c>
      <c r="B551" s="27" t="s">
        <v>623</v>
      </c>
      <c r="C551" s="22">
        <v>1.0</v>
      </c>
      <c r="D551" s="22" t="s">
        <v>894</v>
      </c>
      <c r="E551" s="6"/>
      <c r="F551" s="18"/>
      <c r="G551" s="18"/>
      <c r="H551" s="18"/>
      <c r="I551" s="18"/>
      <c r="J551" s="9" t="s">
        <v>16</v>
      </c>
      <c r="K551" s="18" t="str">
        <f>IMAGE("https://cdn.store.link/products/ayiraminimart50505/1wuwwg-al%20mudhish%20potato%20chips%20ripples%20crunch%20sour%20cream%20?versionId=fz0C2y7dwFRtHvAHePzvju1r6PfzNVpA")</f>
        <v/>
      </c>
      <c r="L551" s="18"/>
      <c r="M551" s="10"/>
      <c r="N551" s="10"/>
    </row>
    <row r="552">
      <c r="A552" s="5" t="s">
        <v>895</v>
      </c>
      <c r="B552" s="27" t="s">
        <v>623</v>
      </c>
      <c r="C552" s="22">
        <v>1.0</v>
      </c>
      <c r="D552" s="22" t="s">
        <v>896</v>
      </c>
      <c r="E552" s="6"/>
      <c r="F552" s="18"/>
      <c r="G552" s="18"/>
      <c r="H552" s="18"/>
      <c r="I552" s="18"/>
      <c r="J552" s="9" t="s">
        <v>16</v>
      </c>
      <c r="K552" s="18" t="str">
        <f>IMAGE("https://cdn.store.link/products/ayiraminimart50505/x08q1m-suroor%20natural%20potato%20chips%20tomato%20ketchup%2014%20g.png?versionId=rqN4My0r6myHoDs4SnuWGViBzBo4pkfO")</f>
        <v/>
      </c>
      <c r="L552" s="18"/>
      <c r="M552" s="10"/>
      <c r="N552" s="10"/>
    </row>
    <row r="553">
      <c r="A553" s="5" t="s">
        <v>897</v>
      </c>
      <c r="B553" s="27" t="s">
        <v>623</v>
      </c>
      <c r="C553" s="22">
        <v>1.0</v>
      </c>
      <c r="D553" s="22" t="s">
        <v>898</v>
      </c>
      <c r="E553" s="6"/>
      <c r="F553" s="18"/>
      <c r="G553" s="18"/>
      <c r="H553" s="18"/>
      <c r="I553" s="18"/>
      <c r="J553" s="9" t="s">
        <v>16</v>
      </c>
      <c r="K553" s="18" t="str">
        <f>IMAGE("https://cdn.store.link/products/ayiraminimart50505/1shvp9-suroor%20natural%20potato%20chips%20salt%20?versionId=4gE7JeTzXyavu5c3_icqZkES4X63V.tq")</f>
        <v/>
      </c>
      <c r="L553" s="18"/>
      <c r="M553" s="10"/>
      <c r="N553" s="10"/>
    </row>
    <row r="554">
      <c r="A554" s="19" t="s">
        <v>899</v>
      </c>
      <c r="B554" s="27" t="s">
        <v>623</v>
      </c>
      <c r="C554" s="22">
        <v>2.0</v>
      </c>
      <c r="D554" s="22" t="s">
        <v>900</v>
      </c>
      <c r="E554" s="6"/>
      <c r="F554" s="18"/>
      <c r="G554" s="18"/>
      <c r="H554" s="18"/>
      <c r="I554" s="18"/>
      <c r="J554" s="9" t="s">
        <v>16</v>
      </c>
      <c r="K554" s="18" t="str">
        <f>IMAGE("https://cdn.store.link/products/ayiraminimart50505/i34yd--sohar%20chips%2022%20g.png?versionId=eQsY3QnA5nJTpEyGH87SmKmxcUdO4q82")</f>
        <v/>
      </c>
      <c r="L554" s="18"/>
      <c r="M554" s="10"/>
      <c r="N554" s="10"/>
    </row>
    <row r="555">
      <c r="A555" s="19" t="s">
        <v>901</v>
      </c>
      <c r="B555" s="27" t="s">
        <v>623</v>
      </c>
      <c r="C555" s="22">
        <v>1.0</v>
      </c>
      <c r="D555" s="22" t="s">
        <v>902</v>
      </c>
      <c r="E555" s="6"/>
      <c r="F555" s="18"/>
      <c r="G555" s="18"/>
      <c r="H555" s="18"/>
      <c r="I555" s="18"/>
      <c r="J555" s="9" t="s">
        <v>16</v>
      </c>
      <c r="K555" s="18" t="str">
        <f>IMAGE("https://cdn.store.link/products/ayiraminimart50505/hrjjty-al%20mudish%20tortilla%20chips%20%E2%80%93%20pizza%20flavour%2020%20g.png?versionId=C7xZsDsmEFc.3OaoOHhqMux4EFoIeFDk")</f>
        <v/>
      </c>
      <c r="L555" s="18"/>
      <c r="M555" s="10"/>
      <c r="N555" s="10"/>
    </row>
    <row r="556">
      <c r="A556" s="19" t="s">
        <v>903</v>
      </c>
      <c r="B556" s="27" t="s">
        <v>623</v>
      </c>
      <c r="C556" s="22">
        <v>1.0</v>
      </c>
      <c r="D556" s="22" t="s">
        <v>904</v>
      </c>
      <c r="E556" s="6"/>
      <c r="F556" s="18"/>
      <c r="G556" s="18"/>
      <c r="H556" s="18"/>
      <c r="I556" s="18"/>
      <c r="J556" s="9" t="s">
        <v>16</v>
      </c>
      <c r="K556" s="18" t="str">
        <f>IMAGE("https://cdn.store.link/products/ayiraminimart50505/xz4o48-qatar%20pafki%2015%20g.png?versionId=bXIcxRrE6F8iB0cHONC3NSJRB8Uwf2Dq")</f>
        <v/>
      </c>
      <c r="L556" s="18"/>
      <c r="M556" s="10"/>
      <c r="N556" s="10"/>
    </row>
    <row r="557">
      <c r="A557" s="19" t="s">
        <v>905</v>
      </c>
      <c r="B557" s="27" t="s">
        <v>623</v>
      </c>
      <c r="C557" s="36"/>
      <c r="D557" s="22" t="s">
        <v>906</v>
      </c>
      <c r="E557" s="6"/>
      <c r="F557" s="18"/>
      <c r="G557" s="18"/>
      <c r="H557" s="18"/>
      <c r="I557" s="18"/>
      <c r="J557" s="9" t="s">
        <v>16</v>
      </c>
      <c r="K557" s="18" t="str">
        <f>IMAGE("https://cdn.store.link/products/ayiraminimart50505/u9u7qj-bliss%20veggie%20straws%20original%2027%20g.png?versionId=QhpQLU6Sft.LX1ySaO4bF3QZfqObStOb")</f>
        <v/>
      </c>
      <c r="L557" s="18"/>
      <c r="M557" s="10"/>
      <c r="N557" s="10"/>
    </row>
    <row r="558">
      <c r="A558" s="19" t="s">
        <v>907</v>
      </c>
      <c r="B558" s="27" t="s">
        <v>623</v>
      </c>
      <c r="C558" s="22">
        <v>1.0</v>
      </c>
      <c r="D558" s="22" t="s">
        <v>908</v>
      </c>
      <c r="E558" s="6"/>
      <c r="F558" s="18"/>
      <c r="G558" s="18"/>
      <c r="H558" s="18"/>
      <c r="I558" s="18"/>
      <c r="J558" s="9" t="s">
        <v>16</v>
      </c>
      <c r="K558" s="18" t="str">
        <f>IMAGE("https://cdn.store.link/products/ayiraminimart50505/mvugis-batatos%20smokey%20bbq%2015%20gm.png?versionId=bEW7CYPkbMgQ4jOcitJ7DP0LDqvzlxON")</f>
        <v/>
      </c>
      <c r="L558" s="18"/>
      <c r="M558" s="10"/>
      <c r="N558" s="10"/>
    </row>
    <row r="559">
      <c r="A559" s="19" t="s">
        <v>909</v>
      </c>
      <c r="B559" s="27" t="s">
        <v>623</v>
      </c>
      <c r="C559" s="22">
        <v>1.0</v>
      </c>
      <c r="D559" s="22" t="s">
        <v>910</v>
      </c>
      <c r="E559" s="6"/>
      <c r="F559" s="18"/>
      <c r="G559" s="18"/>
      <c r="H559" s="18"/>
      <c r="I559" s="18"/>
      <c r="J559" s="9" t="s">
        <v>16</v>
      </c>
      <c r="K559" s="18" t="str">
        <f>IMAGE("https://cdn.store.link/products/ayiraminimart50505/idp-ny-al%20mudhish%20potato%20rings%20%E2%80%93%20salsa%20flavour%2015%20g.png?versionId=r0kgiadU17qTwkPooaRO5dILby68TZWk")</f>
        <v/>
      </c>
      <c r="L559" s="18"/>
      <c r="M559" s="10"/>
      <c r="N559" s="10"/>
    </row>
    <row r="560">
      <c r="A560" s="19" t="s">
        <v>911</v>
      </c>
      <c r="B560" s="27" t="s">
        <v>623</v>
      </c>
      <c r="C560" s="22">
        <v>7.0</v>
      </c>
      <c r="D560" s="22" t="s">
        <v>912</v>
      </c>
      <c r="E560" s="6"/>
      <c r="F560" s="18"/>
      <c r="G560" s="18"/>
      <c r="H560" s="18"/>
      <c r="I560" s="18"/>
      <c r="J560" s="9" t="s">
        <v>16</v>
      </c>
      <c r="K560" s="18" t="str">
        <f>IMAGE("https://cdn.store.link/products/ayiraminimart50505/m-lb36-nice%20hot%20?versionId=nyDxKQ7yVKIwxJKP7VX8_4QqQ_4TmwKK")</f>
        <v/>
      </c>
      <c r="L560" s="18"/>
      <c r="M560" s="10"/>
      <c r="N560" s="10"/>
    </row>
    <row r="561">
      <c r="A561" s="19" t="s">
        <v>913</v>
      </c>
      <c r="B561" s="27" t="s">
        <v>623</v>
      </c>
      <c r="C561" s="22">
        <v>7.0</v>
      </c>
      <c r="D561" s="22" t="s">
        <v>914</v>
      </c>
      <c r="E561" s="6"/>
      <c r="F561" s="18"/>
      <c r="G561" s="18"/>
      <c r="H561" s="18"/>
      <c r="I561" s="18"/>
      <c r="J561" s="9" t="s">
        <v>16</v>
      </c>
      <c r="K561" s="18" t="str">
        <f>IMAGE("https://cdn.store.link/products/ayiraminimart50505/ll73wt-nice%20lightly%20salted%20natural%20potato%20chips%20167%20g.png?versionId=SXodkp2_3N.lYkfRVmRqP7bSjOctBzA6")</f>
        <v/>
      </c>
      <c r="L561" s="18"/>
      <c r="M561" s="10"/>
      <c r="N561" s="10"/>
    </row>
    <row r="562">
      <c r="A562" s="19" t="s">
        <v>915</v>
      </c>
      <c r="B562" s="27" t="s">
        <v>623</v>
      </c>
      <c r="C562" s="22">
        <v>7.0</v>
      </c>
      <c r="D562" s="22" t="s">
        <v>916</v>
      </c>
      <c r="E562" s="6"/>
      <c r="F562" s="18"/>
      <c r="G562" s="18"/>
      <c r="H562" s="18"/>
      <c r="I562" s="18"/>
      <c r="J562" s="9" t="s">
        <v>16</v>
      </c>
      <c r="K562" s="18" t="str">
        <f>IMAGE("https://cdn.store.link/products/ayiraminimart50505/-io-s0-nice%20paprika%20natural%20potato%20chips%20167%20g.png?versionId=y9_YDyl5rwUOTtII43YC5xeIfzfyzoJR")</f>
        <v/>
      </c>
      <c r="L562" s="18"/>
      <c r="M562" s="10"/>
      <c r="N562" s="10"/>
    </row>
    <row r="563">
      <c r="A563" s="19" t="s">
        <v>917</v>
      </c>
      <c r="B563" s="27" t="s">
        <v>623</v>
      </c>
      <c r="C563" s="22">
        <v>7.0</v>
      </c>
      <c r="D563" s="22" t="s">
        <v>918</v>
      </c>
      <c r="E563" s="6"/>
      <c r="F563" s="18"/>
      <c r="G563" s="18"/>
      <c r="H563" s="18"/>
      <c r="I563" s="18"/>
      <c r="J563" s="9" t="s">
        <v>16</v>
      </c>
      <c r="K563" s="18" t="str">
        <f>IMAGE("https://cdn.store.link/products/ayiraminimart50505/sfyqe6-nice%20salt%20?versionId=yq4e.KN56C26BhWh7RK8NV4hrn3x8Ai6")</f>
        <v/>
      </c>
      <c r="L563" s="18"/>
      <c r="M563" s="10"/>
      <c r="N563" s="10"/>
    </row>
    <row r="564">
      <c r="A564" s="19" t="s">
        <v>919</v>
      </c>
      <c r="B564" s="27" t="s">
        <v>623</v>
      </c>
      <c r="C564" s="22">
        <v>4.0</v>
      </c>
      <c r="D564" s="22" t="s">
        <v>920</v>
      </c>
      <c r="E564" s="6"/>
      <c r="F564" s="18"/>
      <c r="G564" s="18"/>
      <c r="H564" s="18"/>
      <c r="I564" s="18"/>
      <c r="J564" s="9" t="s">
        <v>16</v>
      </c>
      <c r="K564" s="18" t="str">
        <f>IMAGE("https://cdn.store.link/products/ayiraminimart50505/yydmn0-nice%20french%20cheese%20natural%20potato%20chips%2080%20g.png?versionId=2A8H0DKIMvg8wvcbGh3Oebs9kebbNk4k")</f>
        <v/>
      </c>
      <c r="L564" s="18"/>
      <c r="M564" s="10"/>
      <c r="N564" s="10"/>
    </row>
    <row r="565">
      <c r="A565" s="19" t="s">
        <v>921</v>
      </c>
      <c r="B565" s="27" t="s">
        <v>623</v>
      </c>
      <c r="C565" s="22">
        <v>4.0</v>
      </c>
      <c r="D565" s="22" t="s">
        <v>922</v>
      </c>
      <c r="E565" s="6"/>
      <c r="F565" s="18"/>
      <c r="G565" s="18"/>
      <c r="H565" s="18"/>
      <c r="I565" s="18"/>
      <c r="J565" s="9" t="s">
        <v>16</v>
      </c>
      <c r="K565" s="18" t="str">
        <f>IMAGE("https://cdn.store.link/products/ayiraminimart50505/7urxur-nice%20paprika%20natural%20potato%20chips%2080%20g.png?versionId=X3SeKLZO1o4N47UUzaSDF8Vld0pH1lYN")</f>
        <v/>
      </c>
      <c r="L565" s="18"/>
      <c r="M565" s="10"/>
      <c r="N565" s="10"/>
    </row>
    <row r="566">
      <c r="A566" s="19" t="s">
        <v>923</v>
      </c>
      <c r="B566" s="27" t="s">
        <v>623</v>
      </c>
      <c r="C566" s="22">
        <v>4.0</v>
      </c>
      <c r="D566" s="22" t="s">
        <v>924</v>
      </c>
      <c r="E566" s="6"/>
      <c r="F566" s="18"/>
      <c r="G566" s="18"/>
      <c r="H566" s="18"/>
      <c r="I566" s="18"/>
      <c r="J566" s="9" t="s">
        <v>16</v>
      </c>
      <c r="K566" s="18" t="str">
        <f>IMAGE("https://cdn.store.link/products/ayiraminimart50505/cp0il--nice%20tomato%20ketchup%20natural%20potato%20chips%2080%20g.png?versionId=jP4GLW3FjsDlheb7r0rSBsJd2wHxCzuU")</f>
        <v/>
      </c>
      <c r="L566" s="18"/>
      <c r="M566" s="10"/>
      <c r="N566" s="10"/>
    </row>
    <row r="567">
      <c r="A567" s="19" t="s">
        <v>925</v>
      </c>
      <c r="B567" s="27" t="s">
        <v>623</v>
      </c>
      <c r="C567" s="22">
        <v>4.0</v>
      </c>
      <c r="D567" s="22" t="s">
        <v>926</v>
      </c>
      <c r="E567" s="6"/>
      <c r="F567" s="18"/>
      <c r="G567" s="18"/>
      <c r="H567" s="18"/>
      <c r="I567" s="18"/>
      <c r="J567" s="9" t="s">
        <v>16</v>
      </c>
      <c r="K567" s="18" t="str">
        <f>IMAGE("https://cdn.store.link/products/ayiraminimart50505/apc45e-nice%20lightly%20salted%20natural%20potato%20chips%2080%20g.png?versionId=Tc9SzZJT3h_cfGZzjVhLixRwpSYTc9AJ")</f>
        <v/>
      </c>
      <c r="L567" s="18"/>
      <c r="M567" s="10"/>
      <c r="N567" s="10"/>
    </row>
    <row r="568">
      <c r="A568" s="19" t="s">
        <v>927</v>
      </c>
      <c r="B568" s="27" t="s">
        <v>623</v>
      </c>
      <c r="C568" s="22">
        <v>6.0</v>
      </c>
      <c r="D568" s="22" t="s">
        <v>928</v>
      </c>
      <c r="E568" s="6"/>
      <c r="F568" s="18"/>
      <c r="G568" s="18"/>
      <c r="H568" s="18"/>
      <c r="I568" s="18"/>
      <c r="J568" s="9" t="s">
        <v>16</v>
      </c>
      <c r="K568" s="18" t="str">
        <f>IMAGE("https://cdn.store.link/products/ayiraminimart50505/leehwl-chips%20oman%20chili%20flavour%20100%20g.png?versionId=hX6WVxdCe7WRDm99Q5f7cYn2bf0sE3Ql")</f>
        <v/>
      </c>
      <c r="L568" s="18"/>
      <c r="M568" s="10"/>
      <c r="N568" s="10"/>
    </row>
    <row r="569">
      <c r="A569" s="19" t="s">
        <v>929</v>
      </c>
      <c r="B569" s="27" t="s">
        <v>623</v>
      </c>
      <c r="C569" s="22">
        <v>5.0</v>
      </c>
      <c r="D569" s="22" t="s">
        <v>930</v>
      </c>
      <c r="E569" s="6"/>
      <c r="F569" s="18"/>
      <c r="G569" s="18"/>
      <c r="H569" s="18"/>
      <c r="I569" s="18"/>
      <c r="J569" s="9" t="s">
        <v>16</v>
      </c>
      <c r="K569" s="18" t="str">
        <f>IMAGE("https://cdn.store.link/products/ayiraminimart50505/1-8y0a-salad%20chips%2075%20g.png?versionId=L2Nqw0XQOXmzOvkgb_UZQEABcomwZ2Ol")</f>
        <v/>
      </c>
      <c r="L569" s="18"/>
      <c r="M569" s="10"/>
      <c r="N569" s="10"/>
    </row>
    <row r="570">
      <c r="A570" s="19" t="s">
        <v>931</v>
      </c>
      <c r="B570" s="27" t="s">
        <v>623</v>
      </c>
      <c r="C570" s="22">
        <v>3.5</v>
      </c>
      <c r="D570" s="22" t="s">
        <v>932</v>
      </c>
      <c r="E570" s="6"/>
      <c r="F570" s="18"/>
      <c r="G570" s="18"/>
      <c r="H570" s="18"/>
      <c r="I570" s="18"/>
      <c r="J570" s="9" t="s">
        <v>40</v>
      </c>
      <c r="K570" s="18" t="str">
        <f>IMAGE("https://cdn.store.link/products/ayiraminimart50505/h0fs43-molto%20chips%20cheese%20flavour%2070%20g.png?versionId=H8YKk_I8LuwB35f9_.srhPHwfzdIeJyR")</f>
        <v/>
      </c>
      <c r="L570" s="18"/>
      <c r="M570" s="10"/>
      <c r="N570" s="10"/>
    </row>
    <row r="571">
      <c r="A571" s="19" t="s">
        <v>933</v>
      </c>
      <c r="B571" s="27" t="s">
        <v>623</v>
      </c>
      <c r="C571" s="22">
        <v>3.5</v>
      </c>
      <c r="D571" s="22" t="s">
        <v>934</v>
      </c>
      <c r="E571" s="6"/>
      <c r="F571" s="18"/>
      <c r="G571" s="18"/>
      <c r="H571" s="18"/>
      <c r="I571" s="18"/>
      <c r="J571" s="9" t="s">
        <v>16</v>
      </c>
      <c r="K571" s="18" t="str">
        <f>IMAGE("https://cdn.store.link/products/ayiraminimart50505/r-22pi-molto%20chips%20barbecue%20flavour%2070%20g.png?versionId=Fz4IgeDFP6Pm47h0aYV_g0HXcEsnxYNA")</f>
        <v/>
      </c>
      <c r="L571" s="18"/>
      <c r="M571" s="10"/>
      <c r="N571" s="10"/>
    </row>
    <row r="572">
      <c r="A572" s="19" t="s">
        <v>935</v>
      </c>
      <c r="B572" s="27" t="s">
        <v>623</v>
      </c>
      <c r="C572" s="22">
        <v>3.5</v>
      </c>
      <c r="D572" s="22" t="s">
        <v>936</v>
      </c>
      <c r="E572" s="6"/>
      <c r="F572" s="18"/>
      <c r="G572" s="18"/>
      <c r="H572" s="18"/>
      <c r="I572" s="18"/>
      <c r="J572" s="9" t="s">
        <v>16</v>
      </c>
      <c r="K572" s="18" t="str">
        <f>IMAGE("https://cdn.store.link/products/ayiraminimart50505/mrbzsl-molto%20chips%20chilli%20?versionId=uydbP4AJ90QNJOP3yych3UFV7I12NLVa")</f>
        <v/>
      </c>
      <c r="L572" s="18"/>
      <c r="M572" s="10"/>
      <c r="N572" s="10"/>
    </row>
    <row r="573">
      <c r="A573" s="19" t="s">
        <v>937</v>
      </c>
      <c r="B573" s="27" t="s">
        <v>623</v>
      </c>
      <c r="C573" s="22">
        <v>3.5</v>
      </c>
      <c r="D573" s="22" t="s">
        <v>938</v>
      </c>
      <c r="E573" s="6"/>
      <c r="F573" s="18"/>
      <c r="G573" s="18"/>
      <c r="H573" s="18"/>
      <c r="I573" s="18"/>
      <c r="J573" s="9" t="s">
        <v>16</v>
      </c>
      <c r="K573" s="18" t="str">
        <f>IMAGE("https://cdn.store.link/products/ayiraminimart50505/t6f4i9-molto%20chips%20salt%20flavour%2070%20g.png?versionId=wTucKDn0c4VSpySqlHFvnL2PsPjCictP")</f>
        <v/>
      </c>
      <c r="L573" s="18"/>
      <c r="M573" s="10"/>
      <c r="N573" s="10"/>
    </row>
    <row r="574">
      <c r="A574" s="19" t="s">
        <v>939</v>
      </c>
      <c r="B574" s="27" t="s">
        <v>623</v>
      </c>
      <c r="C574" s="22">
        <v>3.5</v>
      </c>
      <c r="D574" s="22" t="s">
        <v>940</v>
      </c>
      <c r="E574" s="6"/>
      <c r="F574" s="18"/>
      <c r="G574" s="18"/>
      <c r="H574" s="18"/>
      <c r="I574" s="18"/>
      <c r="J574" s="9" t="s">
        <v>16</v>
      </c>
      <c r="K574" s="18" t="str">
        <f>IMAGE("https://cdn.store.link/products/ayiraminimart50505/52igea-molto%20chips%20ketchup%20flavour%2070%20g.png?versionId=ndylXcwi20kNCzFdZh2T._UUY3XJWF22")</f>
        <v/>
      </c>
      <c r="L574" s="18"/>
      <c r="M574" s="10"/>
      <c r="N574" s="10"/>
    </row>
    <row r="575">
      <c r="A575" s="19" t="s">
        <v>941</v>
      </c>
      <c r="B575" s="27" t="s">
        <v>623</v>
      </c>
      <c r="C575" s="22">
        <v>3.5</v>
      </c>
      <c r="D575" s="22" t="s">
        <v>942</v>
      </c>
      <c r="E575" s="6"/>
      <c r="F575" s="18"/>
      <c r="G575" s="18"/>
      <c r="H575" s="18"/>
      <c r="I575" s="18"/>
      <c r="J575" s="9" t="s">
        <v>40</v>
      </c>
      <c r="K575" s="18" t="str">
        <f>IMAGE("https://cdn.store.link/products/ayiraminimart50505/8-t6aj-karkish%20natural%20potato%20chips%20barbecue%20flavour%2040%20g.png?versionId=oaRpg4zO20S1Nz2_9Rl0VjzFRDeXZIaK")</f>
        <v/>
      </c>
      <c r="L575" s="18"/>
      <c r="M575" s="10"/>
      <c r="N575" s="10"/>
    </row>
    <row r="576">
      <c r="A576" s="19" t="s">
        <v>943</v>
      </c>
      <c r="B576" s="27" t="s">
        <v>623</v>
      </c>
      <c r="C576" s="22">
        <v>14.0</v>
      </c>
      <c r="D576" s="22" t="s">
        <v>944</v>
      </c>
      <c r="E576" s="6"/>
      <c r="F576" s="18"/>
      <c r="G576" s="18"/>
      <c r="H576" s="18"/>
      <c r="I576" s="18"/>
      <c r="J576" s="9" t="s">
        <v>40</v>
      </c>
      <c r="K576" s="18" t="str">
        <f>IMAGE("https://cdn.store.link/products/ayiraminimart50505/eyyic2-takis%20fuego%20hot%20chili%20pepper%20?versionId=TAbdl_d9jTFCtDMLqCI1WykKkFBJ3V7y")</f>
        <v/>
      </c>
      <c r="L576" s="18"/>
      <c r="M576" s="10"/>
      <c r="N576" s="10"/>
    </row>
    <row r="577">
      <c r="A577" s="19" t="s">
        <v>945</v>
      </c>
      <c r="B577" s="27" t="s">
        <v>623</v>
      </c>
      <c r="C577" s="22">
        <v>14.0</v>
      </c>
      <c r="D577" s="22" t="s">
        <v>946</v>
      </c>
      <c r="E577" s="6"/>
      <c r="F577" s="18"/>
      <c r="G577" s="18"/>
      <c r="H577" s="18"/>
      <c r="I577" s="18"/>
      <c r="J577" s="9" t="s">
        <v>40</v>
      </c>
      <c r="K577" s="18" t="str">
        <f>IMAGE("https://cdn.store.link/products/ayiraminimart50505/qzm42v-takis%20zombie%20habanero%20?versionId=3xa7b6XQ5JaXh6VG4eg8AtunMMIglmqU")</f>
        <v/>
      </c>
      <c r="L577" s="18"/>
      <c r="M577" s="10"/>
      <c r="N577" s="10"/>
    </row>
    <row r="578">
      <c r="A578" s="19" t="s">
        <v>947</v>
      </c>
      <c r="B578" s="27" t="s">
        <v>623</v>
      </c>
      <c r="C578" s="22">
        <v>23.0</v>
      </c>
      <c r="D578" s="22" t="s">
        <v>948</v>
      </c>
      <c r="E578" s="6"/>
      <c r="F578" s="18"/>
      <c r="G578" s="18"/>
      <c r="H578" s="18"/>
      <c r="I578" s="18"/>
      <c r="J578" s="9" t="s">
        <v>40</v>
      </c>
      <c r="K578" s="18" t="str">
        <f>IMAGE("https://cdn.store.link/products/ayiraminimart50505/n3sp30-takis%20blue%20heat%20hot%20chili%20pepper%20?versionId=evZTTn2NcwYo1cU1Z4dubZISOj15Ex1p")</f>
        <v/>
      </c>
      <c r="L578" s="18"/>
      <c r="M578" s="10"/>
      <c r="N578" s="10"/>
    </row>
    <row r="579">
      <c r="A579" s="19" t="s">
        <v>949</v>
      </c>
      <c r="B579" s="27" t="s">
        <v>623</v>
      </c>
      <c r="C579" s="22">
        <v>1.0</v>
      </c>
      <c r="D579" s="22" t="s">
        <v>950</v>
      </c>
      <c r="E579" s="6"/>
      <c r="F579" s="18"/>
      <c r="G579" s="18"/>
      <c r="H579" s="18"/>
      <c r="I579" s="18"/>
      <c r="J579" s="9" t="s">
        <v>16</v>
      </c>
      <c r="K579" s="18" t="str">
        <f>IMAGE("https://cdn.store.link/products/ayiraminimart50505/cvreay-abc%20ketchup%2012%20g.png?versionId=8iVzq3fx4uf8dztGHLkhAalg43TqeSCc")</f>
        <v/>
      </c>
      <c r="L579" s="18"/>
      <c r="M579" s="10"/>
      <c r="N579" s="10"/>
    </row>
    <row r="580">
      <c r="A580" s="19" t="s">
        <v>951</v>
      </c>
      <c r="B580" s="27" t="s">
        <v>623</v>
      </c>
      <c r="C580" s="22">
        <v>1.0</v>
      </c>
      <c r="D580" s="22" t="s">
        <v>952</v>
      </c>
      <c r="E580" s="6"/>
      <c r="F580" s="18"/>
      <c r="G580" s="18"/>
      <c r="H580" s="18"/>
      <c r="I580" s="18"/>
      <c r="J580" s="9" t="s">
        <v>16</v>
      </c>
      <c r="K580" s="18" t="str">
        <f>IMAGE("https://cdn.store.link/products/ayiraminimart50505/4cviqn-chips%20oman%20chili%20flavour%2015%20g.png?versionId=8dEsWik7JJELHJJzSpmZvRU2ALkIGoLT")</f>
        <v/>
      </c>
      <c r="L580" s="18"/>
      <c r="M580" s="10"/>
      <c r="N580" s="10"/>
    </row>
    <row r="581">
      <c r="A581" s="19" t="s">
        <v>953</v>
      </c>
      <c r="B581" s="27" t="s">
        <v>623</v>
      </c>
      <c r="C581" s="22">
        <v>1.0</v>
      </c>
      <c r="D581" s="22" t="s">
        <v>954</v>
      </c>
      <c r="E581" s="6"/>
      <c r="F581" s="18"/>
      <c r="G581" s="18"/>
      <c r="H581" s="18"/>
      <c r="I581" s="18"/>
      <c r="J581" s="9" t="s">
        <v>16</v>
      </c>
      <c r="K581" s="18" t="str">
        <f>IMAGE("https://cdn.store.link/products/ayiraminimart50505/13caj9-salad%20chips%2015%20g.png?versionId=WE3Dqy19Aju1G9Pt4Q9sMJOOG_5fBSt_")</f>
        <v/>
      </c>
      <c r="L581" s="18"/>
      <c r="M581" s="10"/>
      <c r="N581" s="10"/>
    </row>
    <row r="582">
      <c r="A582" s="19" t="s">
        <v>955</v>
      </c>
      <c r="B582" s="27" t="s">
        <v>623</v>
      </c>
      <c r="C582" s="22">
        <v>3.5</v>
      </c>
      <c r="D582" s="22" t="s">
        <v>956</v>
      </c>
      <c r="E582" s="6"/>
      <c r="F582" s="18"/>
      <c r="G582" s="18"/>
      <c r="H582" s="18"/>
      <c r="I582" s="18"/>
      <c r="J582" s="9" t="s">
        <v>40</v>
      </c>
      <c r="K582" s="18" t="str">
        <f>IMAGE("https://cdn.store.link/products/ayiraminimart50505/46czue-mini%20takis%20fuego%20hot%20chili%20pepper%20?versionId=_p_UiB8v7_hY8dH.ek14jtMKWHfsv3gk")</f>
        <v/>
      </c>
      <c r="L582" s="18"/>
      <c r="M582" s="10"/>
      <c r="N582" s="10"/>
    </row>
    <row r="583">
      <c r="A583" s="19" t="s">
        <v>957</v>
      </c>
      <c r="B583" s="27" t="s">
        <v>623</v>
      </c>
      <c r="C583" s="22">
        <v>5.0</v>
      </c>
      <c r="D583" s="22" t="s">
        <v>958</v>
      </c>
      <c r="E583" s="6"/>
      <c r="F583" s="18"/>
      <c r="G583" s="18"/>
      <c r="H583" s="18"/>
      <c r="I583" s="18"/>
      <c r="J583" s="9" t="s">
        <v>16</v>
      </c>
      <c r="K583" s="18" t="str">
        <f>IMAGE("https://cdn.store.link/products/ayiraminimart50505/qr27ui-raja%20potatos%20crunchies%20ketchup%2060%20g.png?versionId=rPWHaZcvIlb4tppLevOo_d_YkDSq2pN6")</f>
        <v/>
      </c>
      <c r="L583" s="18"/>
      <c r="M583" s="10"/>
      <c r="N583" s="10"/>
    </row>
    <row r="584">
      <c r="A584" s="19" t="s">
        <v>959</v>
      </c>
      <c r="B584" s="27" t="s">
        <v>623</v>
      </c>
      <c r="C584" s="22">
        <v>2.5</v>
      </c>
      <c r="D584" s="22" t="s">
        <v>960</v>
      </c>
      <c r="E584" s="6"/>
      <c r="F584" s="18"/>
      <c r="G584" s="18"/>
      <c r="H584" s="18"/>
      <c r="I584" s="18"/>
      <c r="J584" s="9" t="s">
        <v>16</v>
      </c>
      <c r="K584" s="18" t="str">
        <f>IMAGE("https://cdn.store.link/products/ayiraminimart50505/5ygzc2-chilli%20out%20fire%20fingers%20spicy%20shrimp%2060%20g.png?versionId=cq8hJemMp9aIquJZLcVLm_evtsvB4.8B")</f>
        <v/>
      </c>
      <c r="L584" s="18"/>
      <c r="M584" s="10"/>
      <c r="N584" s="10"/>
    </row>
    <row r="585">
      <c r="A585" s="19" t="s">
        <v>961</v>
      </c>
      <c r="B585" s="27" t="s">
        <v>623</v>
      </c>
      <c r="C585" s="22">
        <v>2.5</v>
      </c>
      <c r="D585" s="22" t="s">
        <v>962</v>
      </c>
      <c r="E585" s="6"/>
      <c r="F585" s="18"/>
      <c r="G585" s="18"/>
      <c r="H585" s="18"/>
      <c r="I585" s="18"/>
      <c r="J585" s="9" t="s">
        <v>16</v>
      </c>
      <c r="K585" s="18" t="str">
        <f>IMAGE("https://cdn.store.link/products/ayiraminimart50505/u3uipa-chilli%20out%20fire%20fingers%20spicy%20chicken%2060%20g.png?versionId=p2LsFYpMV0YZYr1mDtDUjMg6d0c0G3Ht")</f>
        <v/>
      </c>
      <c r="L585" s="18"/>
      <c r="M585" s="10"/>
      <c r="N585" s="10"/>
    </row>
    <row r="586">
      <c r="A586" s="19" t="s">
        <v>963</v>
      </c>
      <c r="B586" s="27" t="s">
        <v>623</v>
      </c>
      <c r="C586" s="22">
        <v>1.0</v>
      </c>
      <c r="D586" s="22" t="s">
        <v>964</v>
      </c>
      <c r="E586" s="6"/>
      <c r="F586" s="18"/>
      <c r="G586" s="18"/>
      <c r="H586" s="18"/>
      <c r="I586" s="18"/>
      <c r="J586" s="9" t="s">
        <v>16</v>
      </c>
      <c r="K586" s="18" t="str">
        <f>IMAGE("https://cdn.store.link/products/ayiraminimart50505/mkyyvf-abc%20cheese%2012%20g.png?versionId=rzZS.UpAgTzYtHmkzauEcD9JIhiJf6gT")</f>
        <v/>
      </c>
      <c r="L586" s="18"/>
      <c r="M586" s="10"/>
      <c r="N586" s="10"/>
    </row>
    <row r="587">
      <c r="A587" s="26" t="s">
        <v>965</v>
      </c>
      <c r="B587" s="37" t="s">
        <v>613</v>
      </c>
      <c r="C587" s="38">
        <v>2.5</v>
      </c>
      <c r="D587" s="38" t="s">
        <v>966</v>
      </c>
      <c r="E587" s="39"/>
      <c r="F587" s="40"/>
      <c r="G587" s="40"/>
      <c r="H587" s="40"/>
      <c r="I587" s="40"/>
      <c r="J587" s="41" t="s">
        <v>40</v>
      </c>
      <c r="K587" s="40" t="str">
        <f>IMAGE("https://cdn.store.link/products/ayiraminimart50505/qn2t6a-date%20?versionId=UDqkW59t4PK0eBid82XupK9gidJnt4d3")</f>
        <v/>
      </c>
      <c r="L587" s="40"/>
      <c r="M587" s="40"/>
      <c r="N587" s="40"/>
    </row>
    <row r="588">
      <c r="A588" s="19" t="s">
        <v>967</v>
      </c>
      <c r="B588" s="27" t="s">
        <v>613</v>
      </c>
      <c r="C588" s="22">
        <v>3.5</v>
      </c>
      <c r="D588" s="22" t="s">
        <v>675</v>
      </c>
      <c r="E588" s="6"/>
      <c r="F588" s="18"/>
      <c r="G588" s="18"/>
      <c r="H588" s="18"/>
      <c r="I588" s="18"/>
      <c r="J588" s="9" t="s">
        <v>16</v>
      </c>
      <c r="K588" s="18" t="str">
        <f>IMAGE("https://cdn.store.link/products/ayiraminimart50505/rb7c44-nutella%20biscuits%201.4%20gm.png?versionId=XfgtNuxt3qM9KeA4ux_mJUlq07m2juVV")</f>
        <v/>
      </c>
      <c r="L588" s="18"/>
      <c r="M588" s="10"/>
      <c r="N588" s="10"/>
    </row>
    <row r="589">
      <c r="A589" s="5" t="s">
        <v>968</v>
      </c>
      <c r="B589" s="27" t="s">
        <v>613</v>
      </c>
      <c r="C589" s="22">
        <v>1.5</v>
      </c>
      <c r="D589" s="22" t="s">
        <v>969</v>
      </c>
      <c r="E589" s="6"/>
      <c r="F589" s="18"/>
      <c r="G589" s="18"/>
      <c r="H589" s="18"/>
      <c r="I589" s="18"/>
      <c r="J589" s="9" t="s">
        <v>16</v>
      </c>
      <c r="K589" s="18" t="str">
        <f>IMAGE("https://cdn.store.link/products/ayiraminimart50505/1f17od-%C3%BClker%20rulokat%2024%20gm.png?versionId=QPISxu2xHvJWMDnwZAFYNaH060j9wlz6")</f>
        <v/>
      </c>
      <c r="L589" s="18"/>
      <c r="M589" s="10"/>
      <c r="N589" s="10"/>
    </row>
    <row r="590">
      <c r="A590" s="42" t="s">
        <v>970</v>
      </c>
      <c r="B590" s="37" t="s">
        <v>613</v>
      </c>
      <c r="C590" s="43"/>
      <c r="D590" s="38" t="s">
        <v>971</v>
      </c>
      <c r="E590" s="39"/>
      <c r="F590" s="40"/>
      <c r="G590" s="40"/>
      <c r="H590" s="40"/>
      <c r="I590" s="40"/>
      <c r="J590" s="41" t="s">
        <v>40</v>
      </c>
      <c r="K590" s="40" t="str">
        <f>IMAGE("https://cdn.store.link/products/ayiraminimart50505/cuvq8f-jordina%20tropi%2035%20gm.png?versionId=gMc5wT27A6g_GQw7oZLOGv2iSoV74Vf7")</f>
        <v/>
      </c>
      <c r="L590" s="40"/>
      <c r="M590" s="40"/>
      <c r="N590" s="40"/>
    </row>
    <row r="591">
      <c r="A591" s="5" t="s">
        <v>972</v>
      </c>
      <c r="B591" s="27" t="s">
        <v>613</v>
      </c>
      <c r="C591" s="22">
        <v>2.0</v>
      </c>
      <c r="D591" s="22" t="s">
        <v>973</v>
      </c>
      <c r="E591" s="6"/>
      <c r="F591" s="18"/>
      <c r="G591" s="18"/>
      <c r="H591" s="18"/>
      <c r="I591" s="18"/>
      <c r="J591" s="9" t="s">
        <v>16</v>
      </c>
      <c r="K591" s="18" t="str">
        <f>IMAGE("https://cdn.store.link/products/ayiraminimart50505/5s9jgz-%C3%BClker%20%C3%A7ikolatal%C4%B1%20gofret%2036%20gm.png?versionId=zwGd_RU.fSBR1tfs5.RauLDdJUNcJXDT")</f>
        <v/>
      </c>
      <c r="L591" s="18"/>
      <c r="M591" s="10"/>
      <c r="N591" s="10"/>
    </row>
    <row r="592">
      <c r="A592" s="19" t="s">
        <v>974</v>
      </c>
      <c r="B592" s="27" t="s">
        <v>613</v>
      </c>
      <c r="C592" s="22">
        <v>3.0</v>
      </c>
      <c r="D592" s="22" t="s">
        <v>975</v>
      </c>
      <c r="E592" s="6"/>
      <c r="F592" s="18"/>
      <c r="G592" s="18"/>
      <c r="H592" s="18"/>
      <c r="I592" s="18"/>
      <c r="J592" s="9" t="s">
        <v>16</v>
      </c>
      <c r="K592" s="18" t="str">
        <f>IMAGE("https://cdn.store.link/products/ayiraminimart50505/3nyo75-loacker%20classic%20cremkakao%2045%20gm.png?versionId=cedmKHbWnhZil4ww6BhRIPaFuyMLptS8")</f>
        <v/>
      </c>
      <c r="L592" s="18"/>
      <c r="M592" s="10"/>
      <c r="N592" s="10"/>
    </row>
    <row r="593">
      <c r="A593" s="19" t="s">
        <v>976</v>
      </c>
      <c r="B593" s="27" t="s">
        <v>613</v>
      </c>
      <c r="C593" s="22">
        <v>3.0</v>
      </c>
      <c r="D593" s="22" t="s">
        <v>977</v>
      </c>
      <c r="E593" s="6"/>
      <c r="F593" s="18"/>
      <c r="G593" s="18"/>
      <c r="H593" s="18"/>
      <c r="I593" s="18"/>
      <c r="J593" s="9" t="s">
        <v>16</v>
      </c>
      <c r="K593" s="18" t="str">
        <f>IMAGE("https://cdn.store.link/products/ayiraminimart50505/fl3nfm-loacker%20classic%20napolitaner%2045%20gm.png?versionId=j7YVVtzNqQpQwvW33rjf_o36eYu7zDhl")</f>
        <v/>
      </c>
      <c r="L593" s="18"/>
      <c r="M593" s="10"/>
      <c r="N593" s="10"/>
    </row>
    <row r="594">
      <c r="A594" s="19" t="s">
        <v>978</v>
      </c>
      <c r="B594" s="27" t="s">
        <v>613</v>
      </c>
      <c r="C594" s="22">
        <v>4.5</v>
      </c>
      <c r="D594" s="22" t="s">
        <v>979</v>
      </c>
      <c r="E594" s="6"/>
      <c r="F594" s="18"/>
      <c r="G594" s="18"/>
      <c r="H594" s="18"/>
      <c r="I594" s="18"/>
      <c r="J594" s="9" t="s">
        <v>16</v>
      </c>
      <c r="K594" s="18" t="str">
        <f>IMAGE("https://cdn.store.link/products/ayiraminimart50505/4u-dd0-maltesers%2037%20gm.png?versionId=dVryRjBbU9vibCh82vRfOU9EJ6nSF6sa")</f>
        <v/>
      </c>
      <c r="L594" s="18"/>
      <c r="M594" s="10"/>
      <c r="N594" s="10"/>
    </row>
    <row r="595">
      <c r="A595" s="19" t="s">
        <v>980</v>
      </c>
      <c r="B595" s="27" t="s">
        <v>613</v>
      </c>
      <c r="C595" s="22">
        <v>1.0</v>
      </c>
      <c r="D595" s="22" t="s">
        <v>981</v>
      </c>
      <c r="E595" s="6"/>
      <c r="F595" s="18"/>
      <c r="G595" s="18"/>
      <c r="H595" s="18"/>
      <c r="I595" s="18"/>
      <c r="J595" s="9" t="s">
        <v>16</v>
      </c>
      <c r="K595" s="18" t="str">
        <f>IMAGE("https://cdn.store.link/products/ayiraminimart50505/550jxf-astor%20mini%20stick%2020%20gm.png?versionId=yBAWLoF6V.m1ej69pwDqY8GOxr8e5iBW")</f>
        <v/>
      </c>
      <c r="L595" s="18"/>
      <c r="M595" s="10"/>
      <c r="N595" s="10"/>
    </row>
    <row r="596">
      <c r="A596" s="19" t="s">
        <v>982</v>
      </c>
      <c r="B596" s="27" t="s">
        <v>613</v>
      </c>
      <c r="C596" s="22">
        <v>4.0</v>
      </c>
      <c r="D596" s="22" t="s">
        <v>983</v>
      </c>
      <c r="E596" s="6"/>
      <c r="F596" s="18"/>
      <c r="G596" s="18"/>
      <c r="H596" s="18"/>
      <c r="I596" s="18"/>
      <c r="J596" s="9" t="s">
        <v>16</v>
      </c>
      <c r="K596" s="18" t="str">
        <f>IMAGE("https://cdn.store.link/products/ayiraminimart50505/nx9gtt-m?versionId=HcSiaWC851Q.Hgl9CbqEiIh8TDfHESWb")</f>
        <v/>
      </c>
      <c r="L596" s="18"/>
      <c r="M596" s="10"/>
      <c r="N596" s="10"/>
    </row>
    <row r="597">
      <c r="A597" s="19" t="s">
        <v>984</v>
      </c>
      <c r="B597" s="27" t="s">
        <v>613</v>
      </c>
      <c r="C597" s="22">
        <v>3.0</v>
      </c>
      <c r="D597" s="22" t="s">
        <v>985</v>
      </c>
      <c r="E597" s="6"/>
      <c r="F597" s="18"/>
      <c r="G597" s="18"/>
      <c r="H597" s="18"/>
      <c r="I597" s="18"/>
      <c r="J597" s="9" t="s">
        <v>16</v>
      </c>
      <c r="K597" s="18" t="str">
        <f>IMAGE("https://cdn.store.link/products/ayiraminimart50505/nmyu7y-nestl%C3%A9%20lion%2030%20gm.png?versionId=CfjlGodAibLbRKSmg1mQIqsCuM9tKV4p")</f>
        <v/>
      </c>
      <c r="L597" s="18"/>
      <c r="M597" s="10"/>
      <c r="N597" s="10"/>
    </row>
    <row r="598">
      <c r="A598" s="19" t="s">
        <v>986</v>
      </c>
      <c r="B598" s="27" t="s">
        <v>613</v>
      </c>
      <c r="C598" s="22">
        <v>4.0</v>
      </c>
      <c r="D598" s="22" t="s">
        <v>987</v>
      </c>
      <c r="E598" s="6"/>
      <c r="F598" s="18"/>
      <c r="G598" s="18"/>
      <c r="H598" s="18"/>
      <c r="I598" s="18"/>
      <c r="J598" s="9" t="s">
        <v>16</v>
      </c>
      <c r="K598" s="18" t="str">
        <f>IMAGE("https://cdn.store.link/products/ayiraminimart50505/hsjtbj-m?versionId=7dbIPKzAw9H_OZOmLTiy8gClQr0lGFeW")</f>
        <v/>
      </c>
      <c r="L598" s="18"/>
      <c r="M598" s="10"/>
      <c r="N598" s="10"/>
    </row>
    <row r="599">
      <c r="A599" s="19" t="s">
        <v>988</v>
      </c>
      <c r="B599" s="27" t="s">
        <v>613</v>
      </c>
      <c r="C599" s="22">
        <v>7.0</v>
      </c>
      <c r="D599" s="22" t="s">
        <v>989</v>
      </c>
      <c r="E599" s="6"/>
      <c r="F599" s="18"/>
      <c r="G599" s="18"/>
      <c r="H599" s="18"/>
      <c r="I599" s="18"/>
      <c r="J599" s="9" t="s">
        <v>16</v>
      </c>
      <c r="K599" s="18" t="str">
        <f>IMAGE("https://cdn.store.link/products/ayiraminimart50505/0fsrcc-go%20on%20protein%20cocoa%20chocolate%20vitamin%207%20%E2%80%93%2050%20gm.png?versionId=nrr8vvaq29JSzPHz4PBfnDbCqlKSlbp2")</f>
        <v/>
      </c>
      <c r="L599" s="18"/>
      <c r="M599" s="10"/>
      <c r="N599" s="10"/>
    </row>
    <row r="600">
      <c r="A600" s="19" t="s">
        <v>990</v>
      </c>
      <c r="B600" s="27" t="s">
        <v>613</v>
      </c>
      <c r="C600" s="22">
        <v>4.0</v>
      </c>
      <c r="D600" s="22" t="s">
        <v>991</v>
      </c>
      <c r="E600" s="6"/>
      <c r="F600" s="18"/>
      <c r="G600" s="18"/>
      <c r="H600" s="18"/>
      <c r="I600" s="18"/>
      <c r="J600" s="9" t="s">
        <v>16</v>
      </c>
      <c r="K600" s="18" t="str">
        <f>IMAGE("https://cdn.store.link/products/ayiraminimart50505/3gewip-go%20on%20vitamin%20l-carnitine%20magnesium%207%20vitamins%2050%20gm.png?versionId=xdoySFgrmHnJQi0Iip3duuhSoBGk6Wzw")</f>
        <v/>
      </c>
      <c r="L600" s="18"/>
      <c r="M600" s="10"/>
      <c r="N600" s="10"/>
    </row>
    <row r="601">
      <c r="A601" s="19" t="s">
        <v>992</v>
      </c>
      <c r="B601" s="27" t="s">
        <v>613</v>
      </c>
      <c r="C601" s="22">
        <v>4.5</v>
      </c>
      <c r="D601" s="22" t="s">
        <v>993</v>
      </c>
      <c r="E601" s="6"/>
      <c r="F601" s="18"/>
      <c r="G601" s="18"/>
      <c r="H601" s="18"/>
      <c r="I601" s="18"/>
      <c r="J601" s="9" t="s">
        <v>16</v>
      </c>
      <c r="K601" s="18" t="str">
        <f>IMAGE("https://cdn.store.link/products/ayiraminimart50505/0woocp-galaxy%20minstrels%20pleasure%20worth%20sharing%2042%20gm.png?versionId=vSvW.uer7xxf7fb40QbkwDuUEXtoHDEy")</f>
        <v/>
      </c>
      <c r="L601" s="18"/>
      <c r="M601" s="10"/>
      <c r="N601" s="10"/>
    </row>
    <row r="602">
      <c r="A602" s="5" t="s">
        <v>994</v>
      </c>
      <c r="B602" s="27" t="s">
        <v>613</v>
      </c>
      <c r="C602" s="22">
        <v>4.0</v>
      </c>
      <c r="D602" s="22" t="s">
        <v>995</v>
      </c>
      <c r="E602" s="6"/>
      <c r="F602" s="18"/>
      <c r="G602" s="18"/>
      <c r="H602" s="18"/>
      <c r="I602" s="18"/>
      <c r="J602" s="9" t="s">
        <v>16</v>
      </c>
      <c r="K602" s="18" t="str">
        <f>IMAGE("https://cdn.store.link/products/ayiraminimart50505/xktp06-nestl%C3%A9%20kitkat%2036.5%20gm.png?versionId=QXhgcggrn09WmIJHAwNd7qYrHHNiBCAS")</f>
        <v/>
      </c>
      <c r="L602" s="18"/>
      <c r="M602" s="10"/>
      <c r="N602" s="10"/>
    </row>
    <row r="603">
      <c r="A603" s="5" t="s">
        <v>996</v>
      </c>
      <c r="B603" s="27" t="s">
        <v>613</v>
      </c>
      <c r="C603" s="22">
        <v>2.0</v>
      </c>
      <c r="D603" s="22" t="s">
        <v>995</v>
      </c>
      <c r="E603" s="6"/>
      <c r="F603" s="18"/>
      <c r="G603" s="18"/>
      <c r="H603" s="18"/>
      <c r="I603" s="18"/>
      <c r="J603" s="9" t="s">
        <v>16</v>
      </c>
      <c r="K603" s="18" t="str">
        <f>IMAGE("https://cdn.store.link/products/ayiraminimart50505/bj4cx3-nestl%C3%A9%20kitkat%2018%20gm.png?versionId=peacf6K6yCrJ7mnIZSOdWkWPA1Gx4WUQ")</f>
        <v/>
      </c>
      <c r="L603" s="18"/>
      <c r="M603" s="10"/>
      <c r="N603" s="10"/>
    </row>
    <row r="604">
      <c r="A604" s="5" t="s">
        <v>997</v>
      </c>
      <c r="B604" s="27" t="s">
        <v>613</v>
      </c>
      <c r="C604" s="22">
        <v>3.5</v>
      </c>
      <c r="D604" s="22" t="s">
        <v>998</v>
      </c>
      <c r="E604" s="6"/>
      <c r="F604" s="18"/>
      <c r="G604" s="18"/>
      <c r="H604" s="18"/>
      <c r="I604" s="18"/>
      <c r="J604" s="9" t="s">
        <v>16</v>
      </c>
      <c r="K604" s="18" t="str">
        <f>IMAGE("https://cdn.store.link/products/ayiraminimart50505/nw1sdz-flake%2032%20gm.png?versionId=IIVr13PremgyThEdK_FVyUy5D2vK6Fdk")</f>
        <v/>
      </c>
      <c r="L604" s="18"/>
      <c r="M604" s="10"/>
      <c r="N604" s="10"/>
    </row>
    <row r="605">
      <c r="A605" s="5" t="s">
        <v>999</v>
      </c>
      <c r="B605" s="27" t="s">
        <v>613</v>
      </c>
      <c r="C605" s="22">
        <v>4.0</v>
      </c>
      <c r="D605" s="22" t="s">
        <v>1000</v>
      </c>
      <c r="E605" s="6"/>
      <c r="F605" s="18"/>
      <c r="G605" s="18"/>
      <c r="H605" s="18"/>
      <c r="I605" s="18"/>
      <c r="J605" s="9" t="s">
        <v>16</v>
      </c>
      <c r="K605" s="18" t="str">
        <f>IMAGE("https://cdn.store.link/products/ayiraminimart50505/oq0qie-m?versionId=o32HnCK51LdV6nCEABPbxrgoarTmETBe")</f>
        <v/>
      </c>
      <c r="L605" s="18"/>
      <c r="M605" s="10"/>
      <c r="N605" s="10"/>
    </row>
    <row r="606">
      <c r="A606" s="19" t="s">
        <v>1001</v>
      </c>
      <c r="B606" s="27" t="s">
        <v>613</v>
      </c>
      <c r="C606" s="22">
        <v>4.0</v>
      </c>
      <c r="D606" s="22" t="s">
        <v>995</v>
      </c>
      <c r="E606" s="6"/>
      <c r="F606" s="18"/>
      <c r="G606" s="18"/>
      <c r="H606" s="18"/>
      <c r="I606" s="18"/>
      <c r="J606" s="9" t="s">
        <v>16</v>
      </c>
      <c r="K606" s="18" t="str">
        <f>IMAGE("https://cdn.store.link/products/ayiraminimart50505/jedf0i-nestl%C3%A9%20kitkat%20crunchy%2040%20gm.png?versionId=27GZFvlWTomztlSYUiqcbJdTA97aquLa")</f>
        <v/>
      </c>
      <c r="L606" s="18"/>
      <c r="M606" s="10"/>
      <c r="N606" s="10"/>
    </row>
    <row r="607">
      <c r="A607" s="19" t="s">
        <v>1002</v>
      </c>
      <c r="B607" s="27" t="s">
        <v>613</v>
      </c>
      <c r="C607" s="22">
        <v>1.0</v>
      </c>
      <c r="D607" s="22" t="s">
        <v>1003</v>
      </c>
      <c r="E607" s="6"/>
      <c r="F607" s="18"/>
      <c r="G607" s="18"/>
      <c r="H607" s="18"/>
      <c r="I607" s="18"/>
      <c r="J607" s="9" t="s">
        <v>16</v>
      </c>
      <c r="K607" s="18" t="str">
        <f>IMAGE("https://cdn.store.link/products/ayiraminimart50505/dqoqgx-sando%20italian%20recipe%20chocolate%20wafer%2032%20gm.png?versionId=fE4M56qUFxm4zk2iA1MWxoP3nre.V5Pl")</f>
        <v/>
      </c>
      <c r="L607" s="18"/>
      <c r="M607" s="10"/>
      <c r="N607" s="10"/>
    </row>
    <row r="608">
      <c r="A608" s="19" t="s">
        <v>1004</v>
      </c>
      <c r="B608" s="27" t="s">
        <v>613</v>
      </c>
      <c r="C608" s="22">
        <v>6.5</v>
      </c>
      <c r="D608" s="22" t="s">
        <v>1005</v>
      </c>
      <c r="E608" s="6"/>
      <c r="F608" s="18"/>
      <c r="G608" s="18"/>
      <c r="H608" s="18"/>
      <c r="I608" s="18"/>
      <c r="J608" s="9" t="s">
        <v>16</v>
      </c>
      <c r="K608" s="18" t="str">
        <f>IMAGE("https://cdn.store.link/products/ayiraminimart50505/08xyep-ferrero%20rocher%2037.5%20gm.png?versionId=a9pWFvvgv7djXEkqYCUsw1WxBEKq6n.t")</f>
        <v/>
      </c>
      <c r="L608" s="18"/>
      <c r="M608" s="10"/>
      <c r="N608" s="10"/>
    </row>
    <row r="609">
      <c r="A609" s="19" t="s">
        <v>1006</v>
      </c>
      <c r="B609" s="27" t="s">
        <v>613</v>
      </c>
      <c r="C609" s="22">
        <v>5.0</v>
      </c>
      <c r="D609" s="22" t="s">
        <v>1007</v>
      </c>
      <c r="E609" s="6"/>
      <c r="F609" s="18"/>
      <c r="G609" s="18"/>
      <c r="H609" s="18"/>
      <c r="I609" s="18"/>
      <c r="J609" s="9" t="s">
        <v>16</v>
      </c>
      <c r="K609" s="18" t="str">
        <f>IMAGE("https://cdn.store.link/products/ayiraminimart50505/4myp8g-confetteria%20raffaello%2030%20gm.png?versionId=67piFntcLFkWWbBdPMhXXtQVjBz2zKe3")</f>
        <v/>
      </c>
      <c r="L609" s="18"/>
      <c r="M609" s="10"/>
      <c r="N609" s="10"/>
    </row>
    <row r="610">
      <c r="A610" s="5" t="s">
        <v>1008</v>
      </c>
      <c r="B610" s="29" t="s">
        <v>1009</v>
      </c>
      <c r="C610" s="22">
        <v>1.0</v>
      </c>
      <c r="D610" s="22" t="s">
        <v>1010</v>
      </c>
      <c r="E610" s="6"/>
      <c r="F610" s="18"/>
      <c r="G610" s="18"/>
      <c r="H610" s="18"/>
      <c r="I610" s="18"/>
      <c r="J610" s="9" t="s">
        <v>16</v>
      </c>
      <c r="K610" s="18" t="str">
        <f>IMAGE("https://cdn.store.link/products/ayiraminimart50505/dvr71d-x-treme%20sour%20candy%2018%20gm.png?versionId=yIs2wLkD6yzn1Yz25CLNmYmGU.B7P5Dd")</f>
        <v/>
      </c>
      <c r="L610" s="18"/>
      <c r="M610" s="10"/>
      <c r="N610" s="10"/>
    </row>
    <row r="611">
      <c r="A611" s="19" t="s">
        <v>1011</v>
      </c>
      <c r="B611" s="29" t="s">
        <v>1009</v>
      </c>
      <c r="C611" s="22">
        <v>1.5</v>
      </c>
      <c r="D611" s="22" t="s">
        <v>1012</v>
      </c>
      <c r="E611" s="6"/>
      <c r="F611" s="18"/>
      <c r="G611" s="18"/>
      <c r="H611" s="18"/>
      <c r="I611" s="18"/>
      <c r="J611" s="9" t="s">
        <v>16</v>
      </c>
      <c r="K611" s="18" t="str">
        <f>IMAGE("https://cdn.store.link/products/ayiraminimart50505/tv47yo-brain%20blasterz%20sour%20powder%20with%20lolly%20dipper%2010%20gm.png?versionId=z07Az.a.1Zzm.oA7U31gtA_4uvf7r2lG")</f>
        <v/>
      </c>
      <c r="L611" s="18"/>
      <c r="M611" s="10"/>
      <c r="N611" s="10"/>
    </row>
    <row r="612">
      <c r="A612" s="19" t="s">
        <v>1013</v>
      </c>
      <c r="B612" s="29" t="s">
        <v>1009</v>
      </c>
      <c r="C612" s="22">
        <v>1.5</v>
      </c>
      <c r="D612" s="22" t="s">
        <v>1014</v>
      </c>
      <c r="E612" s="6"/>
      <c r="F612" s="18"/>
      <c r="G612" s="18"/>
      <c r="H612" s="18"/>
      <c r="I612" s="18"/>
      <c r="J612" s="9" t="s">
        <v>16</v>
      </c>
      <c r="K612" s="18" t="str">
        <f>IMAGE("https://cdn.store.link/products/ayiraminimart50505/3dyjn1-hot%20dog%20with%20candy%20mustard%2015%20ml.png?versionId=OApN5EZBW_zJ9uh4kHSNp6wVXFFVevHY")</f>
        <v/>
      </c>
      <c r="L612" s="18"/>
      <c r="M612" s="10"/>
      <c r="N612" s="10"/>
    </row>
    <row r="613">
      <c r="A613" s="19" t="s">
        <v>1015</v>
      </c>
      <c r="B613" s="29" t="s">
        <v>1009</v>
      </c>
      <c r="C613" s="22">
        <v>1.0</v>
      </c>
      <c r="D613" s="22" t="s">
        <v>1016</v>
      </c>
      <c r="E613" s="6"/>
      <c r="F613" s="18"/>
      <c r="G613" s="18"/>
      <c r="H613" s="18"/>
      <c r="I613" s="18"/>
      <c r="J613" s="9" t="s">
        <v>16</v>
      </c>
      <c r="K613" s="18" t="str">
        <f>IMAGE("https://cdn.store.link/products/ayiraminimart50505/n3a49j-kiokpop%20candy%20orange%205g.png?versionId=yru4Erc98DZGF2CGxXNGi1xz5L9T25dX")</f>
        <v/>
      </c>
      <c r="L613" s="18"/>
      <c r="M613" s="10"/>
      <c r="N613" s="10"/>
    </row>
    <row r="614">
      <c r="A614" s="19" t="s">
        <v>1017</v>
      </c>
      <c r="B614" s="29" t="s">
        <v>831</v>
      </c>
      <c r="C614" s="22">
        <v>1.5</v>
      </c>
      <c r="D614" s="22" t="s">
        <v>1018</v>
      </c>
      <c r="E614" s="6"/>
      <c r="F614" s="18"/>
      <c r="G614" s="18"/>
      <c r="H614" s="18"/>
      <c r="I614" s="18"/>
      <c r="J614" s="9" t="s">
        <v>16</v>
      </c>
      <c r="K614" s="18" t="str">
        <f>IMAGE("https://cdn.store.link/products/ayiraminimart50505/ox0j74-chupa%20chups%20soft%20bubble%20gum%20babol%20tutti%20frutti%20flavour%2027%20gm.png?versionId=_aqMTvKhmTnxA_sau6Z0oSccAyus5wRK")</f>
        <v/>
      </c>
      <c r="L614" s="18"/>
      <c r="M614" s="10"/>
      <c r="N614" s="10"/>
    </row>
    <row r="615">
      <c r="A615" s="19" t="s">
        <v>1019</v>
      </c>
      <c r="B615" s="29" t="s">
        <v>831</v>
      </c>
      <c r="C615" s="22">
        <v>1.5</v>
      </c>
      <c r="D615" s="22" t="s">
        <v>1020</v>
      </c>
      <c r="E615" s="6"/>
      <c r="F615" s="18"/>
      <c r="G615" s="18"/>
      <c r="H615" s="18"/>
      <c r="I615" s="18"/>
      <c r="J615" s="9" t="s">
        <v>16</v>
      </c>
      <c r="K615" s="18" t="str">
        <f>IMAGE("https://cdn.store.link/products/ayiraminimart50505/ig07ft-chupa%20chups%20soft%20bubble%20gum%20babol%20strawberry%20flavour%2027%20gm.png?versionId=_QFxfpnDTDPYm5o.dEuB2jJEFG7uPrHw")</f>
        <v/>
      </c>
      <c r="L615" s="18"/>
      <c r="M615" s="10"/>
      <c r="N615" s="10"/>
    </row>
    <row r="616">
      <c r="A616" s="19" t="s">
        <v>1021</v>
      </c>
      <c r="B616" s="27" t="s">
        <v>613</v>
      </c>
      <c r="C616" s="22">
        <v>4.0</v>
      </c>
      <c r="D616" s="22" t="s">
        <v>1022</v>
      </c>
      <c r="E616" s="6"/>
      <c r="F616" s="18"/>
      <c r="G616" s="18"/>
      <c r="H616" s="18"/>
      <c r="I616" s="18"/>
      <c r="J616" s="9" t="s">
        <v>16</v>
      </c>
      <c r="K616" s="18" t="str">
        <f>IMAGE("https://cdn.store.link/products/ayiraminimart50505/r2skz4-galaxy%20crispy%2036%20gm.png?versionId=axGW7G4YUv.Azk2x7viVa3k5LhJ6Ily3")</f>
        <v/>
      </c>
      <c r="L616" s="18"/>
      <c r="M616" s="10"/>
      <c r="N616" s="10"/>
    </row>
    <row r="617">
      <c r="A617" s="19" t="s">
        <v>1023</v>
      </c>
      <c r="B617" s="27" t="s">
        <v>613</v>
      </c>
      <c r="C617" s="22">
        <v>5.0</v>
      </c>
      <c r="D617" s="22" t="s">
        <v>614</v>
      </c>
      <c r="E617" s="6"/>
      <c r="F617" s="18"/>
      <c r="G617" s="18"/>
      <c r="H617" s="18"/>
      <c r="I617" s="18"/>
      <c r="J617" s="9" t="s">
        <v>16</v>
      </c>
      <c r="K617" s="18" t="str">
        <f>IMAGE("https://cdn.store.link/products/ayiraminimart50505/swd1rg-snickers%2070%20gm.png?versionId=WQ1eqKg9m5KJGPn0lagqJUsDACwo0iks")</f>
        <v/>
      </c>
      <c r="L617" s="18"/>
      <c r="M617" s="10"/>
      <c r="N617" s="10"/>
    </row>
    <row r="618">
      <c r="A618" s="19" t="s">
        <v>1024</v>
      </c>
      <c r="B618" s="27" t="s">
        <v>613</v>
      </c>
      <c r="C618" s="22">
        <v>3.0</v>
      </c>
      <c r="D618" s="22" t="s">
        <v>614</v>
      </c>
      <c r="E618" s="6"/>
      <c r="F618" s="18"/>
      <c r="G618" s="18"/>
      <c r="H618" s="18"/>
      <c r="I618" s="18"/>
      <c r="J618" s="9" t="s">
        <v>51</v>
      </c>
      <c r="K618" s="18" t="str">
        <f>IMAGE("https://cdn.store.link/products/ayiraminimart50505/snsh4m-snickers%2045%20gm.png?versionId=14irboOTs3qjtWUPs14ruHQQAPVPImfT")</f>
        <v/>
      </c>
      <c r="L618" s="18"/>
      <c r="M618" s="10"/>
      <c r="N618" s="10"/>
    </row>
    <row r="619">
      <c r="A619" s="19" t="s">
        <v>1025</v>
      </c>
      <c r="B619" s="27" t="s">
        <v>613</v>
      </c>
      <c r="C619" s="22">
        <v>3.5</v>
      </c>
      <c r="D619" s="22" t="s">
        <v>614</v>
      </c>
      <c r="E619" s="6"/>
      <c r="F619" s="18"/>
      <c r="G619" s="18"/>
      <c r="H619" s="18"/>
      <c r="I619" s="18"/>
      <c r="J619" s="9" t="s">
        <v>16</v>
      </c>
      <c r="K619" s="18" t="str">
        <f>IMAGE("https://cdn.store.link/products/ayiraminimart50505/wzwm1d-snickers%20creamy%20peanut%20butter%2036.5%20gm.png?versionId=pR0nS4WJEwC2byAlXz3O.m1UHDehJptd")</f>
        <v/>
      </c>
      <c r="L619" s="18"/>
      <c r="M619" s="10"/>
      <c r="N619" s="10"/>
    </row>
    <row r="620">
      <c r="A620" s="19" t="s">
        <v>1026</v>
      </c>
      <c r="B620" s="27" t="s">
        <v>613</v>
      </c>
      <c r="C620" s="22">
        <v>4.0</v>
      </c>
      <c r="D620" s="22" t="s">
        <v>614</v>
      </c>
      <c r="E620" s="6"/>
      <c r="F620" s="18"/>
      <c r="G620" s="18"/>
      <c r="H620" s="18"/>
      <c r="I620" s="18"/>
      <c r="J620" s="9" t="s">
        <v>16</v>
      </c>
      <c r="K620" s="18" t="str">
        <f>IMAGE("https://cdn.store.link/products/ayiraminimart50505/8cnzh0-snickers%20dark%2042%20gm.png?versionId=X_2pZh8I_xyHU3S05qi0F7KZPNtzejl3")</f>
        <v/>
      </c>
      <c r="L620" s="18"/>
      <c r="M620" s="10"/>
      <c r="N620" s="10"/>
    </row>
    <row r="621">
      <c r="A621" s="19" t="s">
        <v>1027</v>
      </c>
      <c r="B621" s="27" t="s">
        <v>613</v>
      </c>
      <c r="C621" s="22">
        <v>3.5</v>
      </c>
      <c r="D621" s="22" t="s">
        <v>614</v>
      </c>
      <c r="E621" s="6"/>
      <c r="F621" s="18"/>
      <c r="G621" s="18"/>
      <c r="H621" s="18"/>
      <c r="I621" s="18"/>
      <c r="J621" s="9" t="s">
        <v>16</v>
      </c>
      <c r="K621" s="18" t="str">
        <f>IMAGE("https://cdn.store.link/products/ayiraminimart50505/79-t-3-snickers%20x-treme%2042%20gm.png?versionId=_w_fBqS9ZT3o9dvafVu5hI6HufLvXO0c")</f>
        <v/>
      </c>
      <c r="L621" s="18"/>
      <c r="M621" s="10"/>
      <c r="N621" s="10"/>
    </row>
    <row r="622">
      <c r="A622" s="5" t="s">
        <v>1028</v>
      </c>
      <c r="B622" s="27" t="s">
        <v>613</v>
      </c>
      <c r="C622" s="22">
        <v>1.0</v>
      </c>
      <c r="D622" s="22" t="s">
        <v>1029</v>
      </c>
      <c r="E622" s="6"/>
      <c r="F622" s="18"/>
      <c r="G622" s="18"/>
      <c r="H622" s="18"/>
      <c r="I622" s="18"/>
      <c r="J622" s="9" t="s">
        <v>16</v>
      </c>
      <c r="K622" s="18" t="str">
        <f>IMAGE("https://cdn.store.link/products/ayiraminimart50505/71sl7g-spark%2018%20gm.png?versionId=ZGYkm0PNbhy7OayhU13mz5JiCl6jVVxG")</f>
        <v/>
      </c>
      <c r="L622" s="18"/>
      <c r="M622" s="10"/>
      <c r="N622" s="10"/>
    </row>
    <row r="623">
      <c r="A623" s="19" t="s">
        <v>1030</v>
      </c>
      <c r="B623" s="27" t="s">
        <v>613</v>
      </c>
      <c r="C623" s="22">
        <v>4.0</v>
      </c>
      <c r="D623" s="22" t="s">
        <v>1031</v>
      </c>
      <c r="E623" s="6"/>
      <c r="F623" s="18"/>
      <c r="G623" s="18"/>
      <c r="H623" s="18"/>
      <c r="I623" s="18"/>
      <c r="J623" s="9" t="s">
        <v>16</v>
      </c>
      <c r="K623" s="18" t="str">
        <f>IMAGE("https://cdn.store.link/products/ayiraminimart50505/38h3ax-galaxy%20cookie%20crumble%2036%20gm.png?versionId=6OSCJQc73CB1W5bMfkA6k8FYYcUs776c")</f>
        <v/>
      </c>
      <c r="L623" s="18"/>
      <c r="M623" s="10"/>
      <c r="N623" s="10"/>
    </row>
    <row r="624">
      <c r="A624" s="19" t="s">
        <v>1032</v>
      </c>
      <c r="B624" s="27" t="s">
        <v>613</v>
      </c>
      <c r="C624" s="22">
        <v>4.0</v>
      </c>
      <c r="D624" s="22" t="s">
        <v>1033</v>
      </c>
      <c r="E624" s="6"/>
      <c r="F624" s="18"/>
      <c r="G624" s="18"/>
      <c r="H624" s="18"/>
      <c r="I624" s="18"/>
      <c r="J624" s="9" t="s">
        <v>16</v>
      </c>
      <c r="K624" s="18" t="str">
        <f>IMAGE("https://cdn.store.link/products/ayiraminimart50505/x5r0am-galaxy%20fruit%20?versionId=Cl7IXHxW0w86acnFByvWtCKjvkDFYkiJ")</f>
        <v/>
      </c>
      <c r="L624" s="18"/>
      <c r="M624" s="10"/>
      <c r="N624" s="10"/>
    </row>
    <row r="625">
      <c r="A625" s="19" t="s">
        <v>1034</v>
      </c>
      <c r="B625" s="27" t="s">
        <v>613</v>
      </c>
      <c r="C625" s="22">
        <v>4.0</v>
      </c>
      <c r="D625" s="22" t="s">
        <v>1035</v>
      </c>
      <c r="E625" s="6"/>
      <c r="F625" s="18"/>
      <c r="G625" s="18"/>
      <c r="H625" s="18"/>
      <c r="I625" s="18"/>
      <c r="J625" s="9" t="s">
        <v>16</v>
      </c>
      <c r="K625" s="18" t="str">
        <f>IMAGE("https://cdn.store.link/products/ayiraminimart50505/clkwhh-galaxy%20hazelnut%2036%20gm.png?versionId=8Vz5YTrK35a0dVd2Jo3Fs7OFA5Wr9MdS")</f>
        <v/>
      </c>
      <c r="L625" s="18"/>
      <c r="M625" s="10"/>
      <c r="N625" s="10"/>
    </row>
    <row r="626">
      <c r="A626" s="19" t="s">
        <v>1036</v>
      </c>
      <c r="B626" s="27" t="s">
        <v>613</v>
      </c>
      <c r="C626" s="22">
        <v>4.5</v>
      </c>
      <c r="D626" s="22" t="s">
        <v>1037</v>
      </c>
      <c r="E626" s="6"/>
      <c r="F626" s="18"/>
      <c r="G626" s="18"/>
      <c r="H626" s="18"/>
      <c r="I626" s="18"/>
      <c r="J626" s="9" t="s">
        <v>16</v>
      </c>
      <c r="K626" s="18" t="str">
        <f>IMAGE("https://cdn.store.link/products/ayiraminimart50505/ww5kj7-galaxy%20smooth%20dark%2040%20gm.png?versionId=OL9nz53NaLFHe.StJ1H5LoSnar3hrAzg")</f>
        <v/>
      </c>
      <c r="L626" s="18"/>
      <c r="M626" s="10"/>
      <c r="N626" s="10"/>
    </row>
    <row r="627">
      <c r="A627" s="19" t="s">
        <v>1038</v>
      </c>
      <c r="B627" s="27" t="s">
        <v>613</v>
      </c>
      <c r="C627" s="22">
        <v>4.5</v>
      </c>
      <c r="D627" s="22" t="s">
        <v>1039</v>
      </c>
      <c r="E627" s="6"/>
      <c r="F627" s="18"/>
      <c r="G627" s="18"/>
      <c r="H627" s="18"/>
      <c r="I627" s="18"/>
      <c r="J627" s="9" t="s">
        <v>16</v>
      </c>
      <c r="K627" s="18" t="str">
        <f>IMAGE("https://cdn.store.link/products/ayiraminimart50505/66-qmb-galaxy%20smooth%20white%2038%20gm.png?versionId=ZVhBdg6P4FDIQN8Lc.7rRkED0aerTK7v")</f>
        <v/>
      </c>
      <c r="L627" s="18"/>
      <c r="M627" s="10"/>
      <c r="N627" s="10"/>
    </row>
    <row r="628">
      <c r="A628" s="19" t="s">
        <v>1040</v>
      </c>
      <c r="B628" s="27" t="s">
        <v>613</v>
      </c>
      <c r="C628" s="22">
        <v>4.0</v>
      </c>
      <c r="D628" s="22" t="s">
        <v>1041</v>
      </c>
      <c r="E628" s="6"/>
      <c r="F628" s="18"/>
      <c r="G628" s="18"/>
      <c r="H628" s="18"/>
      <c r="I628" s="18"/>
      <c r="J628" s="9" t="s">
        <v>16</v>
      </c>
      <c r="K628" s="18" t="str">
        <f>IMAGE("https://cdn.store.link/products/ayiraminimart50505/9sg7lm-galaxy%20smooth%20milk%2036%20gm.png?versionId=JetXhd8Bqj3GjNzO4AJh8L.FT9pW7U4l")</f>
        <v/>
      </c>
      <c r="L628" s="18"/>
      <c r="M628" s="10"/>
      <c r="N628" s="10"/>
    </row>
    <row r="629">
      <c r="A629" s="5" t="s">
        <v>1042</v>
      </c>
      <c r="B629" s="27" t="s">
        <v>613</v>
      </c>
      <c r="C629" s="22">
        <v>3.5</v>
      </c>
      <c r="D629" s="22" t="s">
        <v>1043</v>
      </c>
      <c r="E629" s="6"/>
      <c r="F629" s="18"/>
      <c r="G629" s="18"/>
      <c r="H629" s="18"/>
      <c r="I629" s="18"/>
      <c r="J629" s="9" t="s">
        <v>16</v>
      </c>
      <c r="K629" s="18" t="str">
        <f>IMAGE("https://cdn.store.link/products/ayiraminimart50505/xplxmx-%C3%BClker%20laviva%20milky%20cream%20filling%2035%20gm.png?versionId=IA8tIig3.jRyBy3Qg1VOnUeV9cOf0agd")</f>
        <v/>
      </c>
      <c r="L629" s="18"/>
      <c r="M629" s="10"/>
      <c r="N629" s="10"/>
    </row>
    <row r="630">
      <c r="A630" s="19" t="s">
        <v>1044</v>
      </c>
      <c r="B630" s="27" t="s">
        <v>613</v>
      </c>
      <c r="C630" s="22">
        <v>4.0</v>
      </c>
      <c r="D630" s="22" t="s">
        <v>1045</v>
      </c>
      <c r="E630" s="6"/>
      <c r="F630" s="18"/>
      <c r="G630" s="18"/>
      <c r="H630" s="18"/>
      <c r="I630" s="18"/>
      <c r="J630" s="9" t="s">
        <v>16</v>
      </c>
      <c r="K630" s="18" t="str">
        <f>IMAGE("https://cdn.store.link/products/ayiraminimart50505/1o49xo-galaxy%20caramel%2040%20gm.png?versionId=PhT7a7RmsYjJ0Hu4OSHPYC9o53oo7o29")</f>
        <v/>
      </c>
      <c r="L630" s="18"/>
      <c r="M630" s="10"/>
      <c r="N630" s="10"/>
    </row>
    <row r="631">
      <c r="A631" s="19" t="s">
        <v>1046</v>
      </c>
      <c r="B631" s="27" t="s">
        <v>613</v>
      </c>
      <c r="C631" s="22">
        <v>4.0</v>
      </c>
      <c r="D631" s="22" t="s">
        <v>1047</v>
      </c>
      <c r="E631" s="6"/>
      <c r="F631" s="18"/>
      <c r="G631" s="18"/>
      <c r="H631" s="18"/>
      <c r="I631" s="18"/>
      <c r="J631" s="9" t="s">
        <v>16</v>
      </c>
      <c r="K631" s="18" t="str">
        <f>IMAGE("https://cdn.store.link/products/ayiraminimart50505/fcbg6n-godiva%20belgium%201926%20double%20chocolate%20bar%2035%20gm.png?versionId=Iza2DqiSIrcPweAUZ1aiNHY4Q_rbDMN1")</f>
        <v/>
      </c>
      <c r="L631" s="18"/>
      <c r="M631" s="10"/>
      <c r="N631" s="10"/>
    </row>
    <row r="632">
      <c r="A632" s="19" t="s">
        <v>1048</v>
      </c>
      <c r="B632" s="27" t="s">
        <v>613</v>
      </c>
      <c r="C632" s="22">
        <v>2.0</v>
      </c>
      <c r="D632" s="22" t="s">
        <v>614</v>
      </c>
      <c r="E632" s="6"/>
      <c r="F632" s="18"/>
      <c r="G632" s="18"/>
      <c r="H632" s="18"/>
      <c r="I632" s="18"/>
      <c r="J632" s="9" t="s">
        <v>16</v>
      </c>
      <c r="K632" s="18" t="str">
        <f>IMAGE("https://cdn.store.link/products/ayiraminimart50505/k74vca-snickers%20wafer%20rolls%2024%20gm.png?versionId=yRXbpUO4Yhz5.bbNAf00HuHHBrDn4Zy4")</f>
        <v/>
      </c>
      <c r="L632" s="18"/>
      <c r="M632" s="10"/>
      <c r="N632" s="10"/>
    </row>
    <row r="633">
      <c r="A633" s="19" t="s">
        <v>1049</v>
      </c>
      <c r="B633" s="29" t="s">
        <v>1009</v>
      </c>
      <c r="C633" s="22">
        <v>2.5</v>
      </c>
      <c r="D633" s="22" t="s">
        <v>1050</v>
      </c>
      <c r="E633" s="6"/>
      <c r="F633" s="18"/>
      <c r="G633" s="18"/>
      <c r="H633" s="18"/>
      <c r="I633" s="18"/>
      <c r="J633" s="9" t="s">
        <v>16</v>
      </c>
      <c r="K633" s="18" t="str">
        <f>IMAGE("https://cdn.store.link/products/ayiraminimart50505/l8-wrn-haribo%20mega-roulette%2045%20gm.png?versionId=9HXngVybmHqu.vWO5AAOCvwfdjz.nPbX")</f>
        <v/>
      </c>
      <c r="L633" s="18"/>
      <c r="M633" s="10"/>
      <c r="N633" s="10"/>
    </row>
    <row r="634">
      <c r="A634" s="19" t="s">
        <v>1051</v>
      </c>
      <c r="B634" s="27" t="s">
        <v>613</v>
      </c>
      <c r="C634" s="22">
        <v>1.5</v>
      </c>
      <c r="D634" s="22" t="s">
        <v>1052</v>
      </c>
      <c r="E634" s="6"/>
      <c r="F634" s="18"/>
      <c r="G634" s="18"/>
      <c r="H634" s="18"/>
      <c r="I634" s="18"/>
      <c r="J634" s="9" t="s">
        <v>16</v>
      </c>
      <c r="K634" s="18" t="str">
        <f>IMAGE("https://cdn.store.link/products/ayiraminimart50505/xtv1e2-%C3%BClker%20katkattat%20hazelnut%20cream%2028%20gm.png?versionId=OK1w_bni_jHonmRAj7cdPZ0bhn5tWDCZ")</f>
        <v/>
      </c>
      <c r="L634" s="18"/>
      <c r="M634" s="10"/>
      <c r="N634" s="10"/>
    </row>
    <row r="635">
      <c r="A635" s="5" t="s">
        <v>1053</v>
      </c>
      <c r="B635" s="27" t="s">
        <v>613</v>
      </c>
      <c r="C635" s="22">
        <v>1.0</v>
      </c>
      <c r="D635" s="22" t="s">
        <v>1054</v>
      </c>
      <c r="E635" s="6"/>
      <c r="F635" s="18"/>
      <c r="G635" s="18"/>
      <c r="H635" s="18"/>
      <c r="I635" s="18"/>
      <c r="J635" s="9" t="s">
        <v>16</v>
      </c>
      <c r="K635" s="18" t="str">
        <f>IMAGE("https://cdn.store.link/products/ayiraminimart50505/qikxe4-%C3%BClker%20hobby%2030%20gm.png?versionId=2eLHlb2R0zb9FIqpx66kvposzTuGnCea")</f>
        <v/>
      </c>
      <c r="L635" s="18"/>
      <c r="M635" s="10"/>
      <c r="N635" s="10"/>
    </row>
    <row r="636">
      <c r="A636" s="19" t="s">
        <v>1055</v>
      </c>
      <c r="B636" s="27" t="s">
        <v>613</v>
      </c>
      <c r="C636" s="22">
        <v>4.0</v>
      </c>
      <c r="D636" s="22" t="s">
        <v>1056</v>
      </c>
      <c r="E636" s="6"/>
      <c r="F636" s="18"/>
      <c r="G636" s="18"/>
      <c r="H636" s="18"/>
      <c r="I636" s="18"/>
      <c r="J636" s="9" t="s">
        <v>16</v>
      </c>
      <c r="K636" s="18" t="str">
        <f>IMAGE("https://cdn.store.link/products/ayiraminimart50505/yqxq-a-%C3%BClker%20laviva%20milky%20cream%20filling%2035%20gm.png?versionId=DoHeQlk1KLY3OEmz7k_2iOeL5PF2nU8_")</f>
        <v/>
      </c>
      <c r="L636" s="18"/>
      <c r="M636" s="10"/>
      <c r="N636" s="10"/>
    </row>
    <row r="637">
      <c r="A637" s="19" t="s">
        <v>1057</v>
      </c>
      <c r="B637" s="27" t="s">
        <v>613</v>
      </c>
      <c r="C637" s="22">
        <v>4.0</v>
      </c>
      <c r="D637" s="22" t="s">
        <v>1058</v>
      </c>
      <c r="E637" s="6"/>
      <c r="F637" s="18"/>
      <c r="G637" s="18"/>
      <c r="H637" s="18"/>
      <c r="I637" s="18"/>
      <c r="J637" s="9" t="s">
        <v>16</v>
      </c>
      <c r="K637" s="18" t="str">
        <f>IMAGE("https://cdn.store.link/products/ayiraminimart50505/shkabt-%C3%BClker%20%C3%A7ikolata%20hazelnut%2040%20gm.png?versionId=.JxkTxc8__X6Qg5tIrD35PKSqXTJqhJF")</f>
        <v/>
      </c>
      <c r="L637" s="18"/>
      <c r="M637" s="10"/>
      <c r="N637" s="10"/>
    </row>
    <row r="638">
      <c r="A638" s="19" t="s">
        <v>1059</v>
      </c>
      <c r="B638" s="27" t="s">
        <v>613</v>
      </c>
      <c r="C638" s="22">
        <v>4.5</v>
      </c>
      <c r="D638" s="22" t="s">
        <v>1060</v>
      </c>
      <c r="E638" s="6"/>
      <c r="F638" s="18"/>
      <c r="G638" s="18"/>
      <c r="H638" s="18"/>
      <c r="I638" s="18"/>
      <c r="J638" s="9" t="s">
        <v>16</v>
      </c>
      <c r="K638" s="18" t="str">
        <f>IMAGE("https://cdn.store.link/products/ayiraminimart50505/9krzm2-bounty%2050%20gm.png?versionId=2DkaJDnrT9qvvFDYt7YG8jrvyGXOZ7oq")</f>
        <v/>
      </c>
      <c r="L638" s="18"/>
      <c r="M638" s="10"/>
      <c r="N638" s="10"/>
    </row>
    <row r="639">
      <c r="A639" s="19" t="s">
        <v>1061</v>
      </c>
      <c r="B639" s="27" t="s">
        <v>1062</v>
      </c>
      <c r="C639" s="22">
        <v>2.0</v>
      </c>
      <c r="D639" s="22" t="s">
        <v>1063</v>
      </c>
      <c r="E639" s="6"/>
      <c r="F639" s="18"/>
      <c r="G639" s="18"/>
      <c r="H639" s="18"/>
      <c r="I639" s="18"/>
      <c r="J639" s="9" t="s">
        <v>16</v>
      </c>
      <c r="K639" s="18" t="str">
        <f>IMAGE("https://cdn.store.link/products/ayiraminimart50505/qvijjf-boundry%20wafer%20rolls.png?versionId=.u8QF34bMXL1GpIdnqlhmrlJqPbbar.v")</f>
        <v/>
      </c>
      <c r="L639" s="18"/>
      <c r="M639" s="10"/>
      <c r="N639" s="10"/>
    </row>
    <row r="640">
      <c r="A640" s="19" t="s">
        <v>1064</v>
      </c>
      <c r="B640" s="27" t="s">
        <v>613</v>
      </c>
      <c r="C640" s="22">
        <v>2.0</v>
      </c>
      <c r="D640" s="22" t="s">
        <v>1065</v>
      </c>
      <c r="E640" s="6"/>
      <c r="F640" s="18"/>
      <c r="G640" s="18"/>
      <c r="H640" s="18"/>
      <c r="I640" s="18"/>
      <c r="J640" s="9" t="s">
        <v>16</v>
      </c>
      <c r="K640" s="18" t="str">
        <f>IMAGE("https://cdn.store.link/products/ayiraminimart50505/vk6xfi-twix%20wafer%20rolls%2022.5%20gm.png?versionId=Rz51vgL2Z8WhdxWuizsYpzIllV2fBI04")</f>
        <v/>
      </c>
      <c r="L640" s="18"/>
      <c r="M640" s="10"/>
      <c r="N640" s="10"/>
    </row>
    <row r="641">
      <c r="A641" s="19" t="s">
        <v>1066</v>
      </c>
      <c r="B641" s="27" t="s">
        <v>613</v>
      </c>
      <c r="C641" s="22">
        <v>2.5</v>
      </c>
      <c r="D641" s="22" t="s">
        <v>1067</v>
      </c>
      <c r="E641" s="6"/>
      <c r="F641" s="18"/>
      <c r="G641" s="18"/>
      <c r="H641" s="18"/>
      <c r="I641" s="18"/>
      <c r="J641" s="9" t="s">
        <v>16</v>
      </c>
      <c r="K641" s="18" t="str">
        <f>IMAGE("https://cdn.store.link/products/ayiraminimart50505/p3wxe4-nestl%C3%A9%20tola%20crispy%20wafer%20covered%20with%20caramel%20and%20milk%20chocolate.png?versionId=SLFE5jSg290EKo27idVZR2YmkB7yOYwl")</f>
        <v/>
      </c>
      <c r="L641" s="18"/>
      <c r="M641" s="10"/>
      <c r="N641" s="10"/>
    </row>
    <row r="642">
      <c r="A642" s="5" t="s">
        <v>1068</v>
      </c>
      <c r="B642" s="27" t="s">
        <v>613</v>
      </c>
      <c r="C642" s="22">
        <v>3.0</v>
      </c>
      <c r="D642" s="22" t="s">
        <v>614</v>
      </c>
      <c r="E642" s="6"/>
      <c r="F642" s="18"/>
      <c r="G642" s="18"/>
      <c r="H642" s="18"/>
      <c r="I642" s="18"/>
      <c r="J642" s="9" t="s">
        <v>16</v>
      </c>
      <c r="K642" s="18" t="str">
        <f>IMAGE("https://cdn.store.link/products/ayiraminimart50505/e9sy3k-snickers%20chocolate%20bar%2040g.jpg?versionId=XVY4Ndl74Z.tGFBctZv4ypR5LWsrkP54")</f>
        <v/>
      </c>
      <c r="L642" s="18"/>
      <c r="M642" s="10"/>
      <c r="N642" s="10"/>
    </row>
    <row r="643">
      <c r="A643" s="19" t="s">
        <v>1069</v>
      </c>
      <c r="B643" s="27" t="s">
        <v>613</v>
      </c>
      <c r="C643" s="22">
        <v>3.5</v>
      </c>
      <c r="D643" s="22" t="s">
        <v>1070</v>
      </c>
      <c r="E643" s="6"/>
      <c r="F643" s="18"/>
      <c r="G643" s="18"/>
      <c r="H643" s="18"/>
      <c r="I643" s="18"/>
      <c r="J643" s="9" t="s">
        <v>16</v>
      </c>
      <c r="K643" s="18" t="str">
        <f>IMAGE("https://cdn.store.link/products/ayiraminimart50505/biml04-kinder%20bueno%20white%203.5%20gm.png?versionId=0evZr7jBNvdj.auw0mALuo.wt5nJwmkS")</f>
        <v/>
      </c>
      <c r="L643" s="18"/>
      <c r="M643" s="10"/>
      <c r="N643" s="10"/>
    </row>
    <row r="644">
      <c r="A644" s="19" t="s">
        <v>1071</v>
      </c>
      <c r="B644" s="27" t="s">
        <v>613</v>
      </c>
      <c r="C644" s="22">
        <v>3.5</v>
      </c>
      <c r="D644" s="22" t="s">
        <v>1070</v>
      </c>
      <c r="E644" s="6"/>
      <c r="F644" s="18"/>
      <c r="G644" s="18"/>
      <c r="H644" s="18"/>
      <c r="I644" s="18"/>
      <c r="J644" s="9" t="s">
        <v>16</v>
      </c>
      <c r="K644" s="18" t="str">
        <f>IMAGE("https://cdn.store.link/products/ayiraminimart50505/xr3q25-kinder%20cards%2025.6%20g.png?versionId=VNZni0Db0ohAgmiYBaJgqvJ.wiIg6M6k")</f>
        <v/>
      </c>
      <c r="L644" s="18"/>
      <c r="M644" s="10"/>
      <c r="N644" s="10"/>
    </row>
    <row r="645">
      <c r="A645" s="19" t="s">
        <v>1072</v>
      </c>
      <c r="B645" s="27" t="s">
        <v>613</v>
      </c>
      <c r="C645" s="22">
        <v>2.0</v>
      </c>
      <c r="D645" s="22" t="s">
        <v>1070</v>
      </c>
      <c r="E645" s="6"/>
      <c r="F645" s="18"/>
      <c r="G645" s="18"/>
      <c r="H645" s="18"/>
      <c r="I645" s="18"/>
      <c r="J645" s="9" t="s">
        <v>16</v>
      </c>
      <c r="K645" s="18" t="str">
        <f>IMAGE("https://cdn.store.link/products/ayiraminimart50505/4frngy-kinder%20maxi%2021%20g.png?versionId=1YI488CsfWP5PMdJ_T.g74aVoAadQxvi")</f>
        <v/>
      </c>
      <c r="L645" s="18"/>
      <c r="M645" s="10"/>
      <c r="N645" s="10"/>
    </row>
    <row r="646">
      <c r="A646" s="19" t="s">
        <v>1073</v>
      </c>
      <c r="B646" s="27" t="s">
        <v>613</v>
      </c>
      <c r="C646" s="22">
        <v>4.5</v>
      </c>
      <c r="D646" s="22" t="s">
        <v>1070</v>
      </c>
      <c r="E646" s="6"/>
      <c r="F646" s="18"/>
      <c r="G646" s="18"/>
      <c r="H646" s="18"/>
      <c r="I646" s="18"/>
      <c r="J646" s="9" t="s">
        <v>16</v>
      </c>
      <c r="K646" s="18" t="str">
        <f>IMAGE("https://cdn.store.link/products/ayiraminimart50505/i81-av-kinder%20chocolate%204%20bars%2050%20g.png?versionId=do115oJf8FGC3VViF7QSQheIRd1MaZLt")</f>
        <v/>
      </c>
      <c r="L646" s="18"/>
      <c r="M646" s="10"/>
      <c r="N646" s="10"/>
    </row>
    <row r="647">
      <c r="A647" s="19" t="s">
        <v>1074</v>
      </c>
      <c r="B647" s="27" t="s">
        <v>613</v>
      </c>
      <c r="C647" s="22">
        <v>1.5</v>
      </c>
      <c r="D647" s="22" t="s">
        <v>1065</v>
      </c>
      <c r="E647" s="6"/>
      <c r="F647" s="18"/>
      <c r="G647" s="18"/>
      <c r="H647" s="18"/>
      <c r="I647" s="18"/>
      <c r="J647" s="9" t="s">
        <v>16</v>
      </c>
      <c r="K647" s="18" t="str">
        <f>IMAGE("https://cdn.store.link/products/ayiraminimart50505/ll17jy-twix%20top%2021%20g.png?versionId=Dl.UHR.Mg9AYYx2ns0agXCEJ8HFj06sb")</f>
        <v/>
      </c>
      <c r="L647" s="18"/>
      <c r="M647" s="10"/>
      <c r="N647" s="10"/>
    </row>
    <row r="648">
      <c r="A648" s="29" t="s">
        <v>1075</v>
      </c>
      <c r="B648" s="27" t="s">
        <v>613</v>
      </c>
      <c r="C648" s="22">
        <v>4.0</v>
      </c>
      <c r="D648" s="22" t="s">
        <v>1065</v>
      </c>
      <c r="E648" s="6"/>
      <c r="F648" s="18"/>
      <c r="G648" s="18"/>
      <c r="H648" s="18"/>
      <c r="I648" s="18"/>
      <c r="J648" s="9" t="s">
        <v>16</v>
      </c>
      <c r="K648" s="18" t="str">
        <f>IMAGE("https://cdn.store.link/products/ayiraminimart50505/engscq-twix%20white%2023%20g.png?versionId=9rpKEfLOlddWjO5qbQJUDbGxjwjgyLAP")</f>
        <v/>
      </c>
      <c r="L648" s="18"/>
      <c r="M648" s="10"/>
      <c r="N648" s="10"/>
    </row>
    <row r="649">
      <c r="A649" s="29" t="s">
        <v>1076</v>
      </c>
      <c r="B649" s="27" t="s">
        <v>613</v>
      </c>
      <c r="C649" s="22">
        <v>4.5</v>
      </c>
      <c r="D649" s="22" t="s">
        <v>1077</v>
      </c>
      <c r="E649" s="6"/>
      <c r="F649" s="18"/>
      <c r="G649" s="18"/>
      <c r="H649" s="18"/>
      <c r="I649" s="18"/>
      <c r="J649" s="9" t="s">
        <v>16</v>
      </c>
      <c r="K649" s="18" t="str">
        <f>IMAGE("https://cdn.store.link/products/ayiraminimart50505/odep31-dubai%20chocolate%20pistachio%20with%20kunafa%2027%20g.png?versionId=zft.jloZOvEW8zcLHMu4ulKrobSTDmWD")</f>
        <v/>
      </c>
      <c r="L649" s="18"/>
      <c r="M649" s="10"/>
      <c r="N649" s="10"/>
    </row>
    <row r="650">
      <c r="A650" s="29" t="s">
        <v>1078</v>
      </c>
      <c r="B650" s="27" t="s">
        <v>613</v>
      </c>
      <c r="C650" s="22">
        <v>1.5</v>
      </c>
      <c r="D650" s="22" t="s">
        <v>1079</v>
      </c>
      <c r="E650" s="6"/>
      <c r="F650" s="18"/>
      <c r="G650" s="18"/>
      <c r="H650" s="18"/>
      <c r="I650" s="18"/>
      <c r="J650" s="9" t="s">
        <v>16</v>
      </c>
      <c r="K650" s="18" t="str">
        <f>IMAGE("https://cdn.store.link/products/ayiraminimart50505/0tr1no-milky%20bar%2012%20g.png?versionId=4WIZuY7o4fsnb2j0bYkSB_UrmWAMIA_T")</f>
        <v/>
      </c>
      <c r="L650" s="18"/>
      <c r="M650" s="10"/>
      <c r="N650" s="10"/>
    </row>
    <row r="651">
      <c r="A651" s="29" t="s">
        <v>1080</v>
      </c>
      <c r="B651" s="29" t="s">
        <v>1009</v>
      </c>
      <c r="C651" s="22">
        <v>1.0</v>
      </c>
      <c r="D651" s="22" t="s">
        <v>1081</v>
      </c>
      <c r="E651" s="6"/>
      <c r="F651" s="18"/>
      <c r="G651" s="18"/>
      <c r="H651" s="18"/>
      <c r="I651" s="18"/>
      <c r="J651" s="10"/>
      <c r="K651" s="18" t="str">
        <f>IMAGE("https://cdn.store.link/products/ayiraminimart50505/ouuzig-frit-c%20belts%20licorice%20belts%20strawberry%20flavour%2020%20g.png?versionId=7wiwebEyv9k3J8YEVeFhDDj.xFzV3o1V")</f>
        <v/>
      </c>
      <c r="L651" s="18"/>
      <c r="M651" s="10"/>
      <c r="N651" s="10"/>
    </row>
    <row r="652">
      <c r="A652" s="29" t="s">
        <v>1082</v>
      </c>
      <c r="B652" s="27" t="s">
        <v>623</v>
      </c>
      <c r="C652" s="22">
        <v>1.0</v>
      </c>
      <c r="D652" s="22" t="s">
        <v>1083</v>
      </c>
      <c r="E652" s="6"/>
      <c r="F652" s="18"/>
      <c r="G652" s="18"/>
      <c r="H652" s="18"/>
      <c r="I652" s="18"/>
      <c r="J652" s="10"/>
      <c r="K652" s="18" t="str">
        <f>IMAGE("https://cdn.store.link/products/ayiraminimart50505/mvugis-batatos%20smokey%20bbq%2015%20gm.png?versionId=bEW7CYPkbMgQ4jOcitJ7DP0LDqvzlxON")</f>
        <v/>
      </c>
      <c r="L652" s="18"/>
      <c r="M652" s="10"/>
      <c r="N652" s="10"/>
    </row>
    <row r="653">
      <c r="A653" s="29" t="s">
        <v>1084</v>
      </c>
      <c r="B653" s="27" t="s">
        <v>623</v>
      </c>
      <c r="C653" s="22">
        <v>1.0</v>
      </c>
      <c r="D653" s="22" t="s">
        <v>1085</v>
      </c>
      <c r="E653" s="6"/>
      <c r="F653" s="18"/>
      <c r="G653" s="18"/>
      <c r="H653" s="18"/>
      <c r="I653" s="18"/>
      <c r="J653" s="10"/>
      <c r="K653" s="18" t="str">
        <f>IMAGE("https://cdn.store.link/products/ayiraminimart50505/99rlzh-batatos%20classic%2015%20gm.png?versionId=KxXZ9FWCSAsMTd3ZcHFw0so9c6VCzFOL")</f>
        <v/>
      </c>
      <c r="L653" s="18"/>
      <c r="M653" s="10"/>
      <c r="N653" s="10"/>
    </row>
    <row r="654">
      <c r="A654" s="5" t="s">
        <v>1086</v>
      </c>
      <c r="B654" s="27" t="s">
        <v>623</v>
      </c>
      <c r="C654" s="22">
        <v>1.0</v>
      </c>
      <c r="D654" s="22" t="s">
        <v>1087</v>
      </c>
      <c r="E654" s="6"/>
      <c r="F654" s="18"/>
      <c r="G654" s="18"/>
      <c r="H654" s="18"/>
      <c r="I654" s="18"/>
      <c r="J654" s="10"/>
      <c r="K654" s="18" t="str">
        <f>IMAGE("https://cdn.store.link/products/ayiraminimart50505/hvogz7-batatos%20tangy%20ketchup%2015%20gm.png?versionId=cgNx7psork4JnbqPLeDV4alKXztE4bJj")</f>
        <v/>
      </c>
      <c r="L654" s="18"/>
      <c r="M654" s="10"/>
      <c r="N654" s="10"/>
    </row>
    <row r="655">
      <c r="A655" s="29" t="s">
        <v>1088</v>
      </c>
      <c r="B655" s="27" t="s">
        <v>623</v>
      </c>
      <c r="C655" s="22">
        <v>1.0</v>
      </c>
      <c r="D655" s="22" t="s">
        <v>1089</v>
      </c>
      <c r="E655" s="6"/>
      <c r="F655" s="18"/>
      <c r="G655" s="18"/>
      <c r="H655" s="18"/>
      <c r="I655" s="18"/>
      <c r="J655" s="10"/>
      <c r="K655" s="18" t="str">
        <f>IMAGE("https://cdn.store.link/products/ayiraminimart50505/kx-buq-batatos%20spicy%2015%20gm.png?versionId=c_km7wPIeybUzdK0bvU.XLBZ_2DzTYql")</f>
        <v/>
      </c>
      <c r="L655" s="18"/>
      <c r="M655" s="10"/>
      <c r="N655" s="10"/>
    </row>
    <row r="656">
      <c r="A656" s="29" t="s">
        <v>1090</v>
      </c>
      <c r="B656" s="27" t="s">
        <v>623</v>
      </c>
      <c r="C656" s="22">
        <v>1.0</v>
      </c>
      <c r="D656" s="22" t="s">
        <v>1091</v>
      </c>
      <c r="E656" s="6"/>
      <c r="F656" s="18"/>
      <c r="G656" s="18"/>
      <c r="H656" s="18"/>
      <c r="I656" s="18"/>
      <c r="J656" s="10"/>
      <c r="K656" s="18" t="str">
        <f>IMAGE("https://cdn.store.link/products/ayiraminimart50505/uuf017-batatos%20wisconsin%20cheddar%2015%20gm.png?versionId=XiOLm.OiwT.wj7UijfUXIRAfXJr0emwX")</f>
        <v/>
      </c>
      <c r="L656" s="18"/>
      <c r="M656" s="10"/>
      <c r="N656" s="10"/>
    </row>
    <row r="657">
      <c r="A657" s="29" t="s">
        <v>1092</v>
      </c>
      <c r="B657" s="27" t="s">
        <v>623</v>
      </c>
      <c r="C657" s="22">
        <v>1.0</v>
      </c>
      <c r="D657" s="22" t="s">
        <v>1093</v>
      </c>
      <c r="E657" s="6"/>
      <c r="F657" s="18"/>
      <c r="G657" s="18"/>
      <c r="H657" s="18"/>
      <c r="I657" s="18"/>
      <c r="J657" s="10"/>
      <c r="K657" s="18" t="str">
        <f>IMAGE("https://cdn.store.link/products/ayiraminimart50505/bph8sr-albadia%20potato%20chips%2016%20gm.png?versionId=KVHGf_7r4Gy8DtHFILbDFNdFMUhzT7H7")</f>
        <v/>
      </c>
      <c r="L657" s="18"/>
      <c r="M657" s="10"/>
      <c r="N657" s="10"/>
    </row>
    <row r="658">
      <c r="A658" s="29" t="s">
        <v>1094</v>
      </c>
      <c r="B658" s="27" t="s">
        <v>623</v>
      </c>
      <c r="C658" s="22">
        <v>1.0</v>
      </c>
      <c r="D658" s="22" t="s">
        <v>1095</v>
      </c>
      <c r="E658" s="6"/>
      <c r="F658" s="18"/>
      <c r="G658" s="18"/>
      <c r="H658" s="18"/>
      <c r="I658" s="18"/>
      <c r="J658" s="10"/>
      <c r="K658" s="18" t="str">
        <f>IMAGE("https://cdn.store.link/products/ayiraminimart50505/5rflax-albadia%20potato%20chips%20chilli%2016%20gm.png?versionId=Gt6SJharhc5gM3LmWvMmkgn1EUFOi.M6")</f>
        <v/>
      </c>
      <c r="L658" s="18"/>
      <c r="M658" s="10"/>
      <c r="N658" s="10"/>
    </row>
    <row r="659">
      <c r="A659" s="29" t="s">
        <v>1096</v>
      </c>
      <c r="B659" s="27" t="s">
        <v>623</v>
      </c>
      <c r="C659" s="22">
        <v>1.0</v>
      </c>
      <c r="D659" s="22" t="s">
        <v>1097</v>
      </c>
      <c r="E659" s="6"/>
      <c r="F659" s="18"/>
      <c r="G659" s="18"/>
      <c r="H659" s="18"/>
      <c r="I659" s="18"/>
      <c r="J659" s="10"/>
      <c r="K659" s="18" t="str">
        <f>IMAGE("https://cdn.store.link/products/ayiraminimart50505/gk7hs6-potato%20ripples%20crunch%20cheese%20flavour%2015%20gm.png?versionId=CJqBIiM0usiy7bQmxbCP4yS_15tQMPj7")</f>
        <v/>
      </c>
      <c r="L659" s="18"/>
      <c r="M659" s="10"/>
      <c r="N659" s="10"/>
    </row>
    <row r="660">
      <c r="A660" s="19" t="s">
        <v>1098</v>
      </c>
      <c r="B660" s="27" t="s">
        <v>623</v>
      </c>
      <c r="C660" s="22">
        <v>1.0</v>
      </c>
      <c r="D660" s="22" t="s">
        <v>1099</v>
      </c>
      <c r="E660" s="6"/>
      <c r="F660" s="18"/>
      <c r="G660" s="18"/>
      <c r="H660" s="18"/>
      <c r="I660" s="18"/>
      <c r="J660" s="10"/>
      <c r="K660" s="18" t="str">
        <f>IMAGE("https://cdn.store.link/products/ayiraminimart50505/p38zvj-al%20mudhish%20potato%20chips%20ready%20salted%2015%20gm.png?versionId=5KBtrFCyz6ezInFe0zqhTw4KVfpFYqCT")</f>
        <v/>
      </c>
      <c r="L660" s="18"/>
      <c r="M660" s="10"/>
      <c r="N660" s="10"/>
    </row>
    <row r="661">
      <c r="A661" s="19" t="s">
        <v>1100</v>
      </c>
      <c r="B661" s="27" t="s">
        <v>623</v>
      </c>
      <c r="C661" s="22">
        <v>9.0</v>
      </c>
      <c r="D661" s="22" t="s">
        <v>1101</v>
      </c>
      <c r="E661" s="6"/>
      <c r="F661" s="18"/>
      <c r="G661" s="18"/>
      <c r="H661" s="18"/>
      <c r="I661" s="18"/>
      <c r="J661" s="10"/>
      <c r="K661" s="18" t="str">
        <f>IMAGE("https://cdn.store.link/products/ayiraminimart50505/sks-yf-mexita%20sweet%20?versionId=z0F6JQnba2ki5ypEj5KhNtgixdaDpyZ5")</f>
        <v/>
      </c>
      <c r="L661" s="18"/>
      <c r="M661" s="10"/>
      <c r="N661" s="10"/>
    </row>
    <row r="662">
      <c r="A662" s="19" t="s">
        <v>1102</v>
      </c>
      <c r="B662" s="27" t="s">
        <v>623</v>
      </c>
      <c r="C662" s="22">
        <v>9.0</v>
      </c>
      <c r="D662" s="22" t="s">
        <v>1103</v>
      </c>
      <c r="E662" s="6"/>
      <c r="F662" s="18"/>
      <c r="G662" s="18"/>
      <c r="H662" s="18"/>
      <c r="I662" s="18"/>
      <c r="J662" s="10"/>
      <c r="K662" s="18" t="str">
        <f>IMAGE("https://cdn.store.link/products/ayiraminimart50505/t7naeb-mexita%20sweet%20chilli%20pepper%20tortilla%20chips%20180%20gm.png?versionId=vC6ATR_VGHTeGbjbmAOnj9N_ustQ8d0U")</f>
        <v/>
      </c>
      <c r="L662" s="18"/>
      <c r="M662" s="10"/>
      <c r="N662" s="10"/>
    </row>
    <row r="663">
      <c r="A663" s="19" t="s">
        <v>1104</v>
      </c>
      <c r="B663" s="27" t="s">
        <v>623</v>
      </c>
      <c r="C663" s="22">
        <v>9.0</v>
      </c>
      <c r="D663" s="22" t="s">
        <v>1105</v>
      </c>
      <c r="E663" s="6"/>
      <c r="F663" s="18"/>
      <c r="G663" s="18"/>
      <c r="H663" s="18"/>
      <c r="I663" s="18"/>
      <c r="J663" s="10"/>
      <c r="K663" s="18" t="str">
        <f>IMAGE("https://cdn.store.link/products/ayiraminimart50505/e86794-mexita%20nacho%20cheese%20tortilla%20chips%20180%20gm.png?versionId=GcDleh_7uxSfO3hJWfPQDrJamVxFJFtM")</f>
        <v/>
      </c>
      <c r="L663" s="18"/>
      <c r="M663" s="10"/>
      <c r="N663" s="10"/>
    </row>
    <row r="664">
      <c r="A664" s="19" t="s">
        <v>1106</v>
      </c>
      <c r="B664" s="27" t="s">
        <v>623</v>
      </c>
      <c r="C664" s="22">
        <v>9.0</v>
      </c>
      <c r="D664" s="22" t="s">
        <v>1107</v>
      </c>
      <c r="E664" s="6"/>
      <c r="F664" s="18"/>
      <c r="G664" s="18"/>
      <c r="H664" s="18"/>
      <c r="I664" s="18"/>
      <c r="J664" s="10"/>
      <c r="K664" s="18" t="str">
        <f>IMAGE("https://cdn.store.link/products/ayiraminimart50505/w4sndb-mexita%20hot%20chilli%20?versionId=tq4M7vevhnOFgsR6m4ExXVwNmoFWX6LO")</f>
        <v/>
      </c>
      <c r="L664" s="18"/>
      <c r="M664" s="10"/>
      <c r="N664" s="10"/>
    </row>
    <row r="665">
      <c r="A665" s="19" t="s">
        <v>1108</v>
      </c>
      <c r="B665" s="27" t="s">
        <v>623</v>
      </c>
      <c r="C665" s="22">
        <v>6.0</v>
      </c>
      <c r="D665" s="22" t="s">
        <v>1109</v>
      </c>
      <c r="E665" s="6"/>
      <c r="F665" s="18"/>
      <c r="G665" s="18"/>
      <c r="H665" s="18"/>
      <c r="I665" s="18"/>
      <c r="J665" s="10" t="s">
        <v>51</v>
      </c>
      <c r="K665" s="18" t="str">
        <f>IMAGE("https://cdn.store.link/products/ayiraminimart50505/oksvbf-karkish%20caramelized%20onion%2085%20gm.png?versionId=Jw43MGw6w8jmK3g86vlSOyZOWO6yIXpV")</f>
        <v/>
      </c>
      <c r="L665" s="18"/>
      <c r="M665" s="10"/>
      <c r="N665" s="10"/>
    </row>
    <row r="666">
      <c r="A666" s="19" t="s">
        <v>1110</v>
      </c>
      <c r="B666" s="27" t="s">
        <v>623</v>
      </c>
      <c r="C666" s="22">
        <v>6.0</v>
      </c>
      <c r="D666" s="22" t="s">
        <v>1111</v>
      </c>
      <c r="E666" s="6"/>
      <c r="F666" s="18"/>
      <c r="G666" s="18"/>
      <c r="H666" s="18"/>
      <c r="I666" s="18"/>
      <c r="J666" s="10" t="s">
        <v>51</v>
      </c>
      <c r="K666" s="18" t="str">
        <f>IMAGE("https://cdn.store.link/products/ayiraminimart50505/-0jvvk-karkish%20nacho%20cheese%2085%20gm.png?versionId=FkKtuauBB_yl5knPCDasZGIEathJSRxS")</f>
        <v/>
      </c>
      <c r="L666" s="18"/>
      <c r="M666" s="10"/>
      <c r="N666" s="10"/>
    </row>
    <row r="667">
      <c r="A667" s="19" t="s">
        <v>1112</v>
      </c>
      <c r="B667" s="27" t="s">
        <v>623</v>
      </c>
      <c r="C667" s="22">
        <v>3.5</v>
      </c>
      <c r="D667" s="22" t="s">
        <v>1113</v>
      </c>
      <c r="E667" s="6"/>
      <c r="F667" s="18"/>
      <c r="G667" s="18"/>
      <c r="H667" s="18"/>
      <c r="I667" s="18"/>
      <c r="J667" s="10" t="s">
        <v>51</v>
      </c>
      <c r="K667" s="18" t="str">
        <f>IMAGE("https://cdn.store.link/products/ayiraminimart50505/bykijt-karkish%20paprika%2040%20gm.png?versionId=5MpBrgagmowWSnJMa.i7hza68TsA1H8E")</f>
        <v/>
      </c>
      <c r="L667" s="18"/>
      <c r="M667" s="10"/>
      <c r="N667" s="10"/>
    </row>
    <row r="668">
      <c r="A668" s="19" t="s">
        <v>1114</v>
      </c>
      <c r="B668" s="27" t="s">
        <v>623</v>
      </c>
      <c r="C668" s="22">
        <v>3.5</v>
      </c>
      <c r="D668" s="22" t="s">
        <v>1115</v>
      </c>
      <c r="E668" s="6"/>
      <c r="F668" s="18"/>
      <c r="G668" s="18"/>
      <c r="H668" s="18"/>
      <c r="I668" s="18"/>
      <c r="J668" s="10" t="s">
        <v>51</v>
      </c>
      <c r="K668" s="18" t="str">
        <f>IMAGE("https://cdn.store.link/products/ayiraminimart50505/-2qwfk-karkish%20french%20cheese%2040%20gm.png?versionId=WIqgB4KowzNJGEJbd9Nmei5YwBo61QI7")</f>
        <v/>
      </c>
      <c r="L668" s="18"/>
      <c r="M668" s="10"/>
      <c r="N668" s="10"/>
    </row>
    <row r="669">
      <c r="A669" s="19" t="s">
        <v>1116</v>
      </c>
      <c r="B669" s="27" t="s">
        <v>623</v>
      </c>
      <c r="C669" s="22">
        <v>3.4</v>
      </c>
      <c r="D669" s="22" t="s">
        <v>1117</v>
      </c>
      <c r="E669" s="6"/>
      <c r="F669" s="18"/>
      <c r="G669" s="18"/>
      <c r="H669" s="18"/>
      <c r="I669" s="18"/>
      <c r="J669" s="6"/>
      <c r="K669" s="18" t="str">
        <f>IMAGE("https://cdn.store.link/products/ayiraminimart50505/964k76-karkish%20hot%20chilli%2040%20gm.png?versionId=ti5rE.ROFL4yFrImckx3dHOkzRL9Sges")</f>
        <v/>
      </c>
      <c r="L669" s="18"/>
      <c r="M669" s="10"/>
      <c r="N669" s="10"/>
    </row>
    <row r="670">
      <c r="A670" s="19" t="s">
        <v>1118</v>
      </c>
      <c r="B670" s="27" t="s">
        <v>623</v>
      </c>
      <c r="C670" s="22">
        <v>5.0</v>
      </c>
      <c r="D670" s="22" t="s">
        <v>1119</v>
      </c>
      <c r="E670" s="6"/>
      <c r="F670" s="18"/>
      <c r="G670" s="18"/>
      <c r="H670" s="18"/>
      <c r="I670" s="18"/>
      <c r="J670" s="10" t="s">
        <v>16</v>
      </c>
      <c r="K670" s="18" t="str">
        <f>IMAGE("https://cdn.store.link/products/ayiraminimart50505/9eoqrm-bugles%20chilli%20cheese%2065%20gm.png?versionId=AJhx.o_.68yAtxgNr9hQAvjlv4czHtN5")</f>
        <v/>
      </c>
      <c r="L670" s="18"/>
      <c r="M670" s="10"/>
      <c r="N670" s="10"/>
    </row>
    <row r="671">
      <c r="A671" s="19" t="s">
        <v>1120</v>
      </c>
      <c r="B671" s="27" t="s">
        <v>623</v>
      </c>
      <c r="C671" s="22">
        <v>5.0</v>
      </c>
      <c r="D671" s="22" t="s">
        <v>1121</v>
      </c>
      <c r="E671" s="6"/>
      <c r="F671" s="18"/>
      <c r="G671" s="18"/>
      <c r="H671" s="18"/>
      <c r="I671" s="18"/>
      <c r="J671" s="10"/>
      <c r="K671" s="18" t="str">
        <f>IMAGE("https://cdn.store.link/products/ayiraminimart50505/8ub5ou-al%20batal%20salt%20?versionId=P5yMwJO0b1UyRSsaz3Wjb.MF4T9O2CFH")</f>
        <v/>
      </c>
      <c r="L671" s="18"/>
      <c r="M671" s="10"/>
      <c r="N671" s="10"/>
    </row>
    <row r="672">
      <c r="A672" s="19" t="s">
        <v>1122</v>
      </c>
      <c r="B672" s="27" t="s">
        <v>623</v>
      </c>
      <c r="C672" s="22">
        <v>5.0</v>
      </c>
      <c r="D672" s="22" t="s">
        <v>1123</v>
      </c>
      <c r="E672" s="6"/>
      <c r="F672" s="18"/>
      <c r="G672" s="18"/>
      <c r="H672" s="18"/>
      <c r="I672" s="18"/>
      <c r="J672" s="10"/>
      <c r="K672" s="18" t="str">
        <f>IMAGE("https://cdn.store.link/products/ayiraminimart50505/mvca2v-bugles%20algerian%20sauce%20flavour%2065%20gm.png?versionId=L8jqozapLiW7kZgSUm2Qq3JWOVjXg4UK")</f>
        <v/>
      </c>
      <c r="L672" s="18"/>
      <c r="M672" s="10"/>
      <c r="N672" s="10"/>
    </row>
    <row r="673">
      <c r="A673" s="19" t="s">
        <v>1124</v>
      </c>
      <c r="B673" s="27" t="s">
        <v>623</v>
      </c>
      <c r="C673" s="22">
        <v>5.0</v>
      </c>
      <c r="D673" s="22" t="s">
        <v>1125</v>
      </c>
      <c r="E673" s="6"/>
      <c r="F673" s="18"/>
      <c r="G673" s="18"/>
      <c r="H673" s="18"/>
      <c r="I673" s="18"/>
      <c r="J673" s="10"/>
      <c r="K673" s="18" t="str">
        <f>IMAGE("https://cdn.store.link/products/ayiraminimart50505/l0adr3-al%20batal%20cheese%20flavour%20110%20gm.png?versionId=w4HIIvb_H4q9Ro6i0HUWz5HOWpgY7nnZ")</f>
        <v/>
      </c>
      <c r="L673" s="18"/>
      <c r="M673" s="10"/>
      <c r="N673" s="10"/>
    </row>
    <row r="674">
      <c r="A674" s="19" t="s">
        <v>1126</v>
      </c>
      <c r="B674" s="27" t="s">
        <v>623</v>
      </c>
      <c r="C674" s="22">
        <v>5.0</v>
      </c>
      <c r="D674" s="22" t="s">
        <v>1127</v>
      </c>
      <c r="E674" s="6"/>
      <c r="F674" s="18"/>
      <c r="G674" s="18"/>
      <c r="H674" s="18"/>
      <c r="I674" s="18"/>
      <c r="J674" s="10"/>
      <c r="K674" s="18" t="str">
        <f>IMAGE("https://cdn.store.link/products/ayiraminimart50505/aqmdkf-al%20batal%20ketchup%20flavour%20110%20gm.png?versionId=YpP7YxjXUmluz_vAyvZriACn6papBNkv")</f>
        <v/>
      </c>
      <c r="L674" s="18"/>
      <c r="M674" s="10"/>
      <c r="N674" s="10"/>
    </row>
    <row r="675">
      <c r="A675" s="19" t="s">
        <v>1128</v>
      </c>
      <c r="B675" s="27" t="s">
        <v>623</v>
      </c>
      <c r="C675" s="22">
        <v>8.0</v>
      </c>
      <c r="D675" s="22" t="s">
        <v>1129</v>
      </c>
      <c r="E675" s="6"/>
      <c r="F675" s="18"/>
      <c r="G675" s="18"/>
      <c r="H675" s="18"/>
      <c r="I675" s="18"/>
      <c r="J675" s="10"/>
      <c r="K675" s="18" t="str">
        <f>IMAGE("https://cdn.store.link/products/ayiraminimart50505/07wa-t-batatos%20spicy%20flavour%20167%20gm.png?versionId=WUplzXorn3IK1QrrCMCiLx8iHk1TgwNT")</f>
        <v/>
      </c>
      <c r="L675" s="18"/>
      <c r="M675" s="10"/>
      <c r="N675" s="10"/>
    </row>
    <row r="676">
      <c r="A676" s="19" t="s">
        <v>1130</v>
      </c>
      <c r="B676" s="27" t="s">
        <v>623</v>
      </c>
      <c r="C676" s="22">
        <v>8.0</v>
      </c>
      <c r="D676" s="22" t="s">
        <v>1131</v>
      </c>
      <c r="E676" s="6"/>
      <c r="F676" s="18"/>
      <c r="G676" s="18"/>
      <c r="H676" s="18"/>
      <c r="I676" s="18"/>
      <c r="J676" s="10"/>
      <c r="K676" s="18" t="str">
        <f>IMAGE("https://cdn.store.link/products/ayiraminimart50505/t9zcsp-batatos%20smoky%20bbq%20167%20gm.png?versionId=AjObtxwBHnSf_PXxn_IoKI611RshybUC")</f>
        <v/>
      </c>
      <c r="L676" s="18"/>
      <c r="M676" s="10"/>
      <c r="N676" s="10"/>
    </row>
    <row r="677">
      <c r="A677" s="19" t="s">
        <v>1132</v>
      </c>
      <c r="B677" s="27" t="s">
        <v>1133</v>
      </c>
      <c r="C677" s="22">
        <v>8.0</v>
      </c>
      <c r="D677" s="22" t="s">
        <v>1134</v>
      </c>
      <c r="E677" s="6"/>
      <c r="F677" s="18"/>
      <c r="G677" s="18"/>
      <c r="H677" s="18"/>
      <c r="I677" s="18"/>
      <c r="J677" s="10"/>
      <c r="K677" s="18" t="str">
        <f>IMAGE("https://cdn.store.link/products/ayiraminimart50505/761oit-batatos%20classic%20salted%20167%20gm.png?versionId=RY37tpxk5xH5ch79Cub_eOKGDOzor8A8")</f>
        <v/>
      </c>
      <c r="L677" s="18"/>
      <c r="M677" s="10"/>
      <c r="N677" s="10"/>
    </row>
    <row r="678">
      <c r="A678" s="19" t="s">
        <v>1135</v>
      </c>
      <c r="B678" s="27" t="s">
        <v>623</v>
      </c>
      <c r="C678" s="22">
        <v>8.0</v>
      </c>
      <c r="D678" s="22" t="s">
        <v>1136</v>
      </c>
      <c r="E678" s="6"/>
      <c r="F678" s="18"/>
      <c r="G678" s="18"/>
      <c r="H678" s="18"/>
      <c r="I678" s="18"/>
      <c r="J678" s="10"/>
      <c r="K678" s="18" t="str">
        <f>IMAGE("https://cdn.store.link/products/ayiraminimart50505/50p9us-batatos%20wisconsin%20cheddar%20167%20gm.png?versionId=Atb5QQywuUxUX6K0YPhIttNAsJnscVe_")</f>
        <v/>
      </c>
      <c r="L678" s="18"/>
      <c r="M678" s="10"/>
      <c r="N678" s="10"/>
    </row>
    <row r="679">
      <c r="A679" s="19" t="s">
        <v>1137</v>
      </c>
      <c r="B679" s="27" t="s">
        <v>623</v>
      </c>
      <c r="C679" s="22">
        <v>8.0</v>
      </c>
      <c r="D679" s="22" t="s">
        <v>1138</v>
      </c>
      <c r="E679" s="6"/>
      <c r="F679" s="18"/>
      <c r="G679" s="18"/>
      <c r="H679" s="18"/>
      <c r="I679" s="18"/>
      <c r="J679" s="10"/>
      <c r="K679" s="18" t="str">
        <f>IMAGE("https://cdn.store.link/products/ayiraminimart50505/9b38ey-batatos%20tangy%20ketchup%20167%20gm.png?versionId=yGTixnlZoYpMF5XCHV68oIcgXIv6J_kH")</f>
        <v/>
      </c>
      <c r="L679" s="18"/>
      <c r="M679" s="10"/>
      <c r="N679" s="10"/>
    </row>
    <row r="680">
      <c r="A680" s="19" t="s">
        <v>1139</v>
      </c>
      <c r="B680" s="27" t="s">
        <v>623</v>
      </c>
      <c r="C680" s="22">
        <v>8.0</v>
      </c>
      <c r="D680" s="22" t="s">
        <v>1140</v>
      </c>
      <c r="E680" s="6"/>
      <c r="F680" s="18"/>
      <c r="G680" s="18"/>
      <c r="H680" s="18"/>
      <c r="I680" s="18"/>
      <c r="J680" s="10"/>
      <c r="K680" s="18" t="str">
        <f>IMAGE("https://cdn.store.link/products/ayiraminimart50505/14jmkd-batatos%20salt%20167%20gm.png?versionId=mDi8AEFN321ZZeOufLtDR2agdmXJQOjD")</f>
        <v/>
      </c>
      <c r="L680" s="18"/>
      <c r="M680" s="10"/>
      <c r="N680" s="10"/>
    </row>
    <row r="681">
      <c r="A681" s="5" t="s">
        <v>1141</v>
      </c>
      <c r="B681" s="27" t="s">
        <v>613</v>
      </c>
      <c r="C681" s="22">
        <v>0.0</v>
      </c>
      <c r="D681" s="22" t="s">
        <v>1142</v>
      </c>
      <c r="E681" s="6"/>
      <c r="F681" s="18"/>
      <c r="G681" s="18"/>
      <c r="H681" s="18"/>
      <c r="I681" s="18"/>
      <c r="J681" s="10" t="s">
        <v>40</v>
      </c>
      <c r="K681" s="18" t="str">
        <f>IMAGE("https://cdn.store.link/products/ayiraminimart50505/pm-m6c-peanut%20butter%20bar%20granio%20milk%20chocolate%2040%20gm.png?versionId=c_kqBeTowUjh4wluFDyohvKRJr2MzON4")</f>
        <v/>
      </c>
      <c r="L681" s="18"/>
      <c r="M681" s="10"/>
      <c r="N681" s="10"/>
    </row>
    <row r="682">
      <c r="A682" s="19" t="s">
        <v>1143</v>
      </c>
      <c r="B682" s="27" t="s">
        <v>613</v>
      </c>
      <c r="C682" s="22">
        <v>3.5</v>
      </c>
      <c r="D682" s="22" t="s">
        <v>1144</v>
      </c>
      <c r="E682" s="6"/>
      <c r="F682" s="18"/>
      <c r="G682" s="18"/>
      <c r="H682" s="18"/>
      <c r="I682" s="18"/>
      <c r="J682" s="10"/>
      <c r="K682" s="18" t="str">
        <f>IMAGE("https://cdn.store.link/products/ayiraminimart50505/hmonu7-galaxy%20flutes%2045%20g.png?versionId=ZFPGTrtRNYxLOlocSnlmfgxqiIJRL7D3")</f>
        <v/>
      </c>
      <c r="L682" s="18"/>
      <c r="M682" s="10"/>
      <c r="N682" s="10"/>
    </row>
    <row r="683">
      <c r="A683" s="19" t="s">
        <v>1145</v>
      </c>
      <c r="B683" s="27" t="s">
        <v>613</v>
      </c>
      <c r="C683" s="22">
        <v>3.5</v>
      </c>
      <c r="D683" s="22" t="s">
        <v>1146</v>
      </c>
      <c r="E683" s="6"/>
      <c r="F683" s="18"/>
      <c r="G683" s="18"/>
      <c r="H683" s="18"/>
      <c r="I683" s="18"/>
      <c r="J683" s="10"/>
      <c r="K683" s="18" t="str">
        <f>IMAGE("https://cdn.store.link/products/ayiraminimart50505/x8pbog-galaxy%20ripple%2030%20g.png?versionId=TvQTGSRX2Ljqhvv9ZGOffZYKkmwDnwav")</f>
        <v/>
      </c>
      <c r="L683" s="18"/>
      <c r="M683" s="10"/>
      <c r="N683" s="10"/>
    </row>
    <row r="684">
      <c r="A684" s="19" t="s">
        <v>1147</v>
      </c>
      <c r="B684" s="27" t="s">
        <v>613</v>
      </c>
      <c r="C684" s="22">
        <v>3.5</v>
      </c>
      <c r="D684" s="22" t="s">
        <v>1148</v>
      </c>
      <c r="E684" s="6"/>
      <c r="F684" s="18"/>
      <c r="G684" s="18"/>
      <c r="H684" s="18"/>
      <c r="I684" s="18"/>
      <c r="J684" s="10"/>
      <c r="K684" s="18" t="str">
        <f>IMAGE("https://cdn.store.link/products/ayiraminimart50505/laz096-smarties%2038%20g.png?versionId=FNb3fp2YOD6z_aoI3YCy_JS5LGoPB.rz")</f>
        <v/>
      </c>
      <c r="L684" s="18"/>
      <c r="M684" s="10"/>
      <c r="N684" s="10"/>
    </row>
    <row r="685">
      <c r="A685" s="19" t="s">
        <v>1149</v>
      </c>
      <c r="B685" s="27" t="s">
        <v>613</v>
      </c>
      <c r="C685" s="22">
        <v>3.0</v>
      </c>
      <c r="D685" s="22" t="s">
        <v>1150</v>
      </c>
      <c r="E685" s="6"/>
      <c r="F685" s="18"/>
      <c r="G685" s="18"/>
      <c r="H685" s="18"/>
      <c r="I685" s="18"/>
      <c r="J685" s="10"/>
      <c r="K685" s="18" t="str">
        <f>IMAGE("https://cdn.store.link/products/ayiraminimart50505/xsnm9h-%C3%BClker%20cocoa%20cream%2040%20g.png?versionId=XFIhKVh9IE_1tinfZBnzhzpZ_M.aKu1T")</f>
        <v/>
      </c>
      <c r="L685" s="18"/>
      <c r="M685" s="10"/>
      <c r="N685" s="10"/>
    </row>
    <row r="686">
      <c r="A686" s="19" t="s">
        <v>1151</v>
      </c>
      <c r="B686" s="29" t="s">
        <v>1009</v>
      </c>
      <c r="C686" s="22">
        <v>2.5</v>
      </c>
      <c r="D686" s="22" t="s">
        <v>1152</v>
      </c>
      <c r="E686" s="6"/>
      <c r="F686" s="18"/>
      <c r="G686" s="18"/>
      <c r="H686" s="18"/>
      <c r="I686" s="18"/>
      <c r="J686" s="10"/>
      <c r="K686" s="18" t="str">
        <f>IMAGE("https://cdn.store.link/products/ayiraminimart50505/armv4t-chupa%20chups%20bites%20fruit%20flavour%2024.2%20g.png?versionId=4Ki0IuG_DsN5vJ_9M6.l7iM8uCrPkBsH")</f>
        <v/>
      </c>
      <c r="L686" s="18"/>
      <c r="M686" s="10"/>
      <c r="N686" s="10"/>
    </row>
    <row r="687">
      <c r="A687" s="19" t="s">
        <v>1153</v>
      </c>
      <c r="B687" s="29" t="s">
        <v>1009</v>
      </c>
      <c r="C687" s="22">
        <v>1.0</v>
      </c>
      <c r="D687" s="22" t="s">
        <v>1154</v>
      </c>
      <c r="E687" s="6"/>
      <c r="F687" s="18"/>
      <c r="G687" s="18"/>
      <c r="H687" s="18"/>
      <c r="I687" s="18"/>
      <c r="J687" s="10"/>
      <c r="K687" s="18" t="str">
        <f>IMAGE("https://cdn.store.link/products/ayiraminimart50505/bvx7fx-twin%20burger%2014%20gm.png?versionId=voo6VvhxO5wBGqlYmM9qZjDVDa3OTVlM")</f>
        <v/>
      </c>
      <c r="L687" s="18"/>
      <c r="M687" s="10"/>
      <c r="N687" s="10"/>
    </row>
    <row r="688">
      <c r="A688" s="19" t="s">
        <v>1155</v>
      </c>
      <c r="B688" s="29" t="s">
        <v>1009</v>
      </c>
      <c r="C688" s="22">
        <v>1.0</v>
      </c>
      <c r="D688" s="22" t="s">
        <v>1156</v>
      </c>
      <c r="E688" s="6"/>
      <c r="F688" s="18"/>
      <c r="G688" s="18"/>
      <c r="H688" s="18"/>
      <c r="I688" s="18"/>
      <c r="J688" s="10"/>
      <c r="K688" s="18" t="str">
        <f>IMAGE("https://cdn.store.link/products/ayiraminimart50505/42fbme-narshmallow%2013%20gm.png?versionId=sqdbLBKyTZXQOOiVG6_nRc6kdlWK4pu7")</f>
        <v/>
      </c>
      <c r="L688" s="18"/>
      <c r="M688" s="10"/>
      <c r="N688" s="10"/>
    </row>
    <row r="689">
      <c r="A689" s="19" t="s">
        <v>1157</v>
      </c>
      <c r="B689" s="29" t="s">
        <v>1009</v>
      </c>
      <c r="C689" s="22">
        <v>1.0</v>
      </c>
      <c r="D689" s="22" t="s">
        <v>1158</v>
      </c>
      <c r="E689" s="6"/>
      <c r="F689" s="18"/>
      <c r="G689" s="18"/>
      <c r="H689" s="18"/>
      <c r="I689" s="18"/>
      <c r="J689" s="10"/>
      <c r="K689" s="18" t="str">
        <f>IMAGE("https://cdn.store.link/products/ayiraminimart50505/5wqsgq-color%20bubble%20pencil%2012%20g.png?versionId=Ho2UethcU3HDGLXVw0dfqoyD7lgvuJWU")</f>
        <v/>
      </c>
      <c r="L689" s="18"/>
      <c r="M689" s="10"/>
      <c r="N689" s="10"/>
    </row>
    <row r="690">
      <c r="A690" s="19" t="s">
        <v>1159</v>
      </c>
      <c r="B690" s="29" t="s">
        <v>1009</v>
      </c>
      <c r="C690" s="22">
        <v>1.0</v>
      </c>
      <c r="D690" s="22" t="s">
        <v>1160</v>
      </c>
      <c r="E690" s="6"/>
      <c r="F690" s="18"/>
      <c r="G690" s="18"/>
      <c r="H690" s="18"/>
      <c r="I690" s="18"/>
      <c r="J690" s="10"/>
      <c r="K690" s="18" t="str">
        <f>IMAGE("https://cdn.store.link/products/ayiraminimart50505/ce-vfg-jelly%20cola%2020%20g.png?versionId=j_0MajgyJ24yGMX9k1lXoeQae5KBqBKF")</f>
        <v/>
      </c>
      <c r="L690" s="18"/>
      <c r="M690" s="10"/>
      <c r="N690" s="10"/>
    </row>
    <row r="691">
      <c r="A691" s="19" t="s">
        <v>1161</v>
      </c>
      <c r="B691" s="29" t="s">
        <v>1009</v>
      </c>
      <c r="C691" s="22">
        <v>1.5</v>
      </c>
      <c r="D691" s="22" t="s">
        <v>1162</v>
      </c>
      <c r="E691" s="6"/>
      <c r="F691" s="18"/>
      <c r="G691" s="18"/>
      <c r="H691" s="18"/>
      <c r="I691" s="18"/>
      <c r="J691" s="10"/>
      <c r="K691" s="18" t="str">
        <f>IMAGE("https://cdn.store.link/products/ayiraminimart50505/gx9x9x-brain%20blasterz%20sour%20candy%20%E2%80%93%20brain%20bitz%2045.png?versionId=o6eg9OJv6p9MnTEy53nT9g3SBXUHd4jo")</f>
        <v/>
      </c>
      <c r="L691" s="18"/>
      <c r="M691" s="10"/>
      <c r="N691" s="10"/>
    </row>
    <row r="692">
      <c r="A692" s="19" t="s">
        <v>1163</v>
      </c>
      <c r="B692" s="29" t="s">
        <v>1009</v>
      </c>
      <c r="C692" s="22">
        <v>1.0</v>
      </c>
      <c r="D692" s="22" t="s">
        <v>1164</v>
      </c>
      <c r="E692" s="6"/>
      <c r="F692" s="18"/>
      <c r="G692" s="18"/>
      <c r="H692" s="18"/>
      <c r="I692" s="18"/>
      <c r="J692" s="10"/>
      <c r="K692" s="18" t="str">
        <f>IMAGE("https://cdn.store.link/products/ayiraminimart50505/ooi6ai-ring%20candy%20strawberry%2010%20g.png?versionId=dZQGYOG2eAqRxYy6xUU5cc8PAvR0lB1F")</f>
        <v/>
      </c>
      <c r="L692" s="18"/>
      <c r="M692" s="10"/>
      <c r="N692" s="10"/>
    </row>
    <row r="693">
      <c r="A693" s="19" t="s">
        <v>1165</v>
      </c>
      <c r="B693" s="29" t="s">
        <v>1009</v>
      </c>
      <c r="C693" s="22">
        <v>1.0</v>
      </c>
      <c r="D693" s="22" t="s">
        <v>1166</v>
      </c>
      <c r="E693" s="6"/>
      <c r="F693" s="18"/>
      <c r="G693" s="18"/>
      <c r="H693" s="18"/>
      <c r="I693" s="18"/>
      <c r="J693" s="10"/>
      <c r="K693" s="18" t="str">
        <f>IMAGE("https://cdn.store.link/products/ayiraminimart50505/3duhe1-sour%20punk%20strawberry%2020%20g.png?versionId=Gvxtg8pMVQDY8aViVJRIyhVp1GeomMB7")</f>
        <v/>
      </c>
      <c r="L693" s="18"/>
      <c r="M693" s="10"/>
      <c r="N693" s="10"/>
    </row>
    <row r="694">
      <c r="A694" s="19" t="s">
        <v>1167</v>
      </c>
      <c r="B694" s="29" t="s">
        <v>1009</v>
      </c>
      <c r="C694" s="22">
        <v>2.0</v>
      </c>
      <c r="D694" s="22" t="s">
        <v>1168</v>
      </c>
      <c r="E694" s="6"/>
      <c r="F694" s="18"/>
      <c r="G694" s="18"/>
      <c r="H694" s="18"/>
      <c r="I694" s="18"/>
      <c r="J694" s="10"/>
      <c r="K694" s="18" t="str">
        <f>IMAGE("https://cdn.store.link/products/ayiraminimart50505/bnjuub-sour%20punk%2050%20g%20blueberry.png?versionId=DJszpJTu4M87NKJfTIyho.IlMV3rg.Ns")</f>
        <v/>
      </c>
      <c r="L694" s="18"/>
      <c r="M694" s="10"/>
      <c r="N694" s="10"/>
    </row>
    <row r="695">
      <c r="A695" s="19" t="s">
        <v>1169</v>
      </c>
      <c r="B695" s="29" t="s">
        <v>1009</v>
      </c>
      <c r="C695" s="22">
        <v>2.0</v>
      </c>
      <c r="D695" s="22" t="s">
        <v>1170</v>
      </c>
      <c r="E695" s="6"/>
      <c r="F695" s="18"/>
      <c r="G695" s="18"/>
      <c r="H695" s="18"/>
      <c r="I695" s="18"/>
      <c r="J695" s="10"/>
      <c r="K695" s="18" t="str">
        <f>IMAGE("https://cdn.store.link/products/ayiraminimart50505/k1afuz-sour%20punk%20cola%20flavour%2050%20g.png?versionId=0NLMVUa9XVJp2XA0Q4wPJDeqCz8yyo8i")</f>
        <v/>
      </c>
      <c r="L695" s="18"/>
      <c r="M695" s="10"/>
      <c r="N695" s="10"/>
    </row>
    <row r="696">
      <c r="A696" s="19" t="s">
        <v>1171</v>
      </c>
      <c r="B696" s="29" t="s">
        <v>1009</v>
      </c>
      <c r="C696" s="22">
        <v>2.0</v>
      </c>
      <c r="D696" s="22" t="s">
        <v>1172</v>
      </c>
      <c r="E696" s="6"/>
      <c r="F696" s="18"/>
      <c r="G696" s="18"/>
      <c r="H696" s="18"/>
      <c r="I696" s="18"/>
      <c r="J696" s="10"/>
      <c r="K696" s="18" t="str">
        <f>IMAGE("https://cdn.store.link/products/ayiraminimart50505/s3gelh-sour%20punk%20apple%20flavour%2040%20g.png?versionId=ih3d9EehPibsZeD_NqSUj2kK0yRXBGez")</f>
        <v/>
      </c>
      <c r="L696" s="18"/>
      <c r="M696" s="10"/>
      <c r="N696" s="10"/>
    </row>
    <row r="697">
      <c r="A697" s="19" t="s">
        <v>1173</v>
      </c>
      <c r="B697" s="29" t="s">
        <v>1009</v>
      </c>
      <c r="C697" s="22">
        <v>2.0</v>
      </c>
      <c r="D697" s="22" t="s">
        <v>1174</v>
      </c>
      <c r="E697" s="6"/>
      <c r="F697" s="18"/>
      <c r="G697" s="18"/>
      <c r="H697" s="18"/>
      <c r="I697" s="18"/>
      <c r="J697" s="10"/>
      <c r="K697" s="18" t="str">
        <f>IMAGE("https://cdn.store.link/products/ayiraminimart50505/mlw7cp-bebeto%20cobra%20x%20jelly%20gum%2030%20g.png?versionId=LpKq64gNGwqtPZxnpL47b.iPVHyEBpnQ")</f>
        <v/>
      </c>
      <c r="L697" s="18"/>
      <c r="M697" s="10"/>
      <c r="N697" s="10"/>
    </row>
    <row r="698">
      <c r="A698" s="19" t="s">
        <v>1175</v>
      </c>
      <c r="B698" s="29" t="s">
        <v>1009</v>
      </c>
      <c r="C698" s="22">
        <v>1.5</v>
      </c>
      <c r="D698" s="22" t="s">
        <v>1176</v>
      </c>
      <c r="E698" s="6"/>
      <c r="F698" s="18"/>
      <c r="G698" s="18"/>
      <c r="H698" s="18"/>
      <c r="I698" s="18"/>
      <c r="J698" s="10"/>
      <c r="K698" s="18" t="str">
        <f>IMAGE("https://cdn.store.link/products/ayiraminimart50505/y3lxbc-marshmallow%20flower%2015%20g.png?versionId=KNeS3AQA_BDGmsSVoqXuvxFbheyBFAqV")</f>
        <v/>
      </c>
      <c r="L698" s="18"/>
      <c r="M698" s="10"/>
      <c r="N698" s="10"/>
    </row>
    <row r="699">
      <c r="A699" s="19" t="s">
        <v>1177</v>
      </c>
      <c r="B699" s="29" t="s">
        <v>1009</v>
      </c>
      <c r="C699" s="22">
        <v>2.0</v>
      </c>
      <c r="D699" s="22" t="s">
        <v>1178</v>
      </c>
      <c r="E699" s="6"/>
      <c r="F699" s="18"/>
      <c r="G699" s="18"/>
      <c r="H699" s="18"/>
      <c r="I699" s="18"/>
      <c r="J699" s="10"/>
      <c r="K699" s="18" t="str">
        <f>IMAGE("https://cdn.store.link/products/ayiraminimart50505/zdndq3-scary%20eyes%20chewy%20candy%2039%20g.png?versionId=7gDrRS.5jkgn0WP.LW1VTFVEebmUI7Ci")</f>
        <v/>
      </c>
      <c r="L699" s="18"/>
      <c r="M699" s="10"/>
      <c r="N699" s="10"/>
    </row>
    <row r="700">
      <c r="A700" s="19" t="s">
        <v>1179</v>
      </c>
      <c r="B700" s="29" t="s">
        <v>1009</v>
      </c>
      <c r="C700" s="22">
        <v>1.0</v>
      </c>
      <c r="D700" s="22" t="s">
        <v>1180</v>
      </c>
      <c r="E700" s="6"/>
      <c r="F700" s="18"/>
      <c r="G700" s="18"/>
      <c r="H700" s="18"/>
      <c r="I700" s="18"/>
      <c r="J700" s="10"/>
      <c r="K700" s="18" t="str">
        <f>IMAGE("https://cdn.store.link/products/ayiraminimart50505/o9toc1-funkee%20dips%20blue%20raspberry%20sherbet%20with%20candy%20dipstick%2012%20g.png?versionId=uD1KohQdc.QigTYxP02xUKSc1cD_vBBg")</f>
        <v/>
      </c>
      <c r="L700" s="18"/>
      <c r="M700" s="10"/>
      <c r="N700" s="10"/>
    </row>
    <row r="701">
      <c r="A701" s="19" t="s">
        <v>1181</v>
      </c>
      <c r="B701" s="29" t="s">
        <v>1009</v>
      </c>
      <c r="C701" s="22">
        <v>1.0</v>
      </c>
      <c r="D701" s="22" t="s">
        <v>1182</v>
      </c>
      <c r="E701" s="6"/>
      <c r="F701" s="18"/>
      <c r="G701" s="18"/>
      <c r="H701" s="18"/>
      <c r="I701" s="18"/>
      <c r="J701" s="10"/>
      <c r="K701" s="18" t="str">
        <f>IMAGE("https://cdn.store.link/products/ayiraminimart50505/rm4dv4-jellopy%20rainbow%20licorice%2020%20g.png?versionId=n2PxOAbFeDHmywkuYZ_ZZ.i1nlK6zNr1")</f>
        <v/>
      </c>
      <c r="L701" s="18"/>
      <c r="M701" s="10"/>
      <c r="N701" s="10"/>
    </row>
    <row r="702">
      <c r="A702" s="19" t="s">
        <v>1183</v>
      </c>
      <c r="B702" s="29" t="s">
        <v>1009</v>
      </c>
      <c r="C702" s="22">
        <v>2.0</v>
      </c>
      <c r="D702" s="22" t="s">
        <v>1184</v>
      </c>
      <c r="E702" s="6"/>
      <c r="F702" s="18"/>
      <c r="G702" s="18"/>
      <c r="H702" s="18"/>
      <c r="I702" s="18"/>
      <c r="J702" s="10"/>
      <c r="K702" s="18" t="str">
        <f>IMAGE("https://cdn.store.link/products/ayiraminimart50505/ooh4zh-funny%20faces%20chewy%20candy%2039%20g.png?versionId=LMjThfiDG1H7dfbegdYBa6BbFmSZE3Rk")</f>
        <v/>
      </c>
      <c r="L702" s="18"/>
      <c r="M702" s="10"/>
      <c r="N702" s="10"/>
    </row>
    <row r="703">
      <c r="A703" s="19" t="s">
        <v>1185</v>
      </c>
      <c r="B703" s="29" t="s">
        <v>1009</v>
      </c>
      <c r="C703" s="22">
        <v>1.0</v>
      </c>
      <c r="D703" s="22" t="s">
        <v>1186</v>
      </c>
      <c r="E703" s="6"/>
      <c r="F703" s="18"/>
      <c r="G703" s="18"/>
      <c r="H703" s="18"/>
      <c r="I703" s="18"/>
      <c r="J703" s="10"/>
      <c r="K703" s="18" t="str">
        <f>IMAGE("https://cdn.store.link/products/ayiraminimart50505/b-g-om-yupi%20fruit%20cocktails%2014%20g.png?versionId=.KMap1ozju3oP_hPPtcufQhIvgXO60v6")</f>
        <v/>
      </c>
      <c r="L703" s="18"/>
      <c r="M703" s="10"/>
      <c r="N703" s="10"/>
    </row>
    <row r="704">
      <c r="A704" s="19" t="s">
        <v>1187</v>
      </c>
      <c r="B704" s="29" t="s">
        <v>1009</v>
      </c>
      <c r="C704" s="22">
        <v>2.5</v>
      </c>
      <c r="D704" s="22" t="s">
        <v>1188</v>
      </c>
      <c r="E704" s="6"/>
      <c r="F704" s="18"/>
      <c r="G704" s="18"/>
      <c r="H704" s="18"/>
      <c r="I704" s="18"/>
      <c r="J704" s="10"/>
      <c r="K704" s="18" t="str">
        <f>IMAGE("https://cdn.store.link/products/ayiraminimart50505/0xv2fi-bubbles%20squeeze%2040%20g.png?versionId=OvSPdIciQC9XMF.OkjCwu.CK8eElbvZz")</f>
        <v/>
      </c>
      <c r="L704" s="18"/>
      <c r="M704" s="10"/>
      <c r="N704" s="10"/>
    </row>
    <row r="705">
      <c r="A705" s="19" t="s">
        <v>1189</v>
      </c>
      <c r="B705" s="29" t="s">
        <v>1009</v>
      </c>
      <c r="C705" s="22">
        <v>1.0</v>
      </c>
      <c r="D705" s="22" t="s">
        <v>1190</v>
      </c>
      <c r="E705" s="6"/>
      <c r="F705" s="18"/>
      <c r="G705" s="18"/>
      <c r="H705" s="18"/>
      <c r="I705" s="18"/>
      <c r="J705" s="10"/>
      <c r="K705" s="18" t="str">
        <f>IMAGE("https://cdn.store.link/products/ayiraminimart50505/skp60p-fruit%20roll%20strawberry%20flavour%2012%20g.png?versionId=ubqcF4NewtjJpTLun41L5eih7su4NEZM")</f>
        <v/>
      </c>
      <c r="L705" s="18"/>
      <c r="M705" s="10"/>
      <c r="N705" s="10"/>
    </row>
    <row r="706">
      <c r="A706" s="19" t="s">
        <v>1191</v>
      </c>
      <c r="B706" s="29" t="s">
        <v>1009</v>
      </c>
      <c r="C706" s="22">
        <v>1.0</v>
      </c>
      <c r="D706" s="22" t="s">
        <v>1192</v>
      </c>
      <c r="E706" s="6"/>
      <c r="F706" s="18"/>
      <c r="G706" s="18"/>
      <c r="H706" s="18"/>
      <c r="I706" s="18"/>
      <c r="J706" s="10"/>
      <c r="K706" s="18" t="str">
        <f>IMAGE("https://cdn.store.link/products/ayiraminimart50505/pmoys2-sour%20stick%20apple%20flavour%2020%20g.png?versionId=8x4omlANJcG8lrtJ1ZW1_hkhHBVSDdM6")</f>
        <v/>
      </c>
      <c r="L706" s="18"/>
      <c r="M706" s="10"/>
      <c r="N706" s="10"/>
    </row>
    <row r="707">
      <c r="A707" s="19" t="s">
        <v>1193</v>
      </c>
      <c r="B707" s="29" t="s">
        <v>1009</v>
      </c>
      <c r="C707" s="22">
        <v>1.5</v>
      </c>
      <c r="D707" s="22" t="s">
        <v>1194</v>
      </c>
      <c r="E707" s="6"/>
      <c r="F707" s="18"/>
      <c r="G707" s="18"/>
      <c r="H707" s="18"/>
      <c r="I707" s="18"/>
      <c r="J707" s="10"/>
      <c r="K707" s="18" t="str">
        <f>IMAGE("https://cdn.store.link/products/ayiraminimart50505/pe-agt-mallow%20iam%20filled%20mallows%2020%20g.png?versionId=N0fcMFBPszz27L49lIFxroVYFb1ssTvI")</f>
        <v/>
      </c>
      <c r="L707" s="18"/>
      <c r="M707" s="10"/>
      <c r="N707" s="10"/>
    </row>
    <row r="708">
      <c r="A708" s="19" t="s">
        <v>1195</v>
      </c>
      <c r="B708" s="29" t="s">
        <v>1009</v>
      </c>
      <c r="C708" s="22">
        <v>3.5</v>
      </c>
      <c r="D708" s="22" t="s">
        <v>1196</v>
      </c>
      <c r="E708" s="6"/>
      <c r="F708" s="18"/>
      <c r="G708" s="18"/>
      <c r="H708" s="18"/>
      <c r="I708" s="18"/>
      <c r="J708" s="10"/>
      <c r="K708" s="18" t="str">
        <f>IMAGE("https://cdn.store.link/products/ayiraminimart50505/9r4hrl-brain%20blasters%2045%20g.png?versionId=3.SHye3vdmgICdHdZ9Ro4gt4nhQcnEYt")</f>
        <v/>
      </c>
      <c r="L708" s="18"/>
      <c r="M708" s="10"/>
      <c r="N708" s="10"/>
    </row>
    <row r="709">
      <c r="A709" s="19" t="s">
        <v>1197</v>
      </c>
      <c r="B709" s="29" t="s">
        <v>1009</v>
      </c>
      <c r="C709" s="22">
        <v>1.0</v>
      </c>
      <c r="D709" s="22" t="s">
        <v>1198</v>
      </c>
      <c r="E709" s="6"/>
      <c r="F709" s="18"/>
      <c r="G709" s="18"/>
      <c r="H709" s="18"/>
      <c r="I709" s="18"/>
      <c r="J709" s="10"/>
      <c r="K709" s="18" t="str">
        <f>IMAGE("https://cdn.store.link/products/ayiraminimart50505/i9fg7w-ring%20candy%20with%20grape%20flavour%2010%20g.png?versionId=ZiVF5JwwpEZzVFiPYLpIxSnhQuBHZUyB")</f>
        <v/>
      </c>
      <c r="L709" s="18"/>
      <c r="M709" s="10"/>
      <c r="N709" s="10"/>
    </row>
    <row r="710">
      <c r="A710" s="19" t="s">
        <v>1199</v>
      </c>
      <c r="B710" s="29" t="s">
        <v>1009</v>
      </c>
      <c r="C710" s="22">
        <v>1.0</v>
      </c>
      <c r="D710" s="22" t="s">
        <v>1200</v>
      </c>
      <c r="E710" s="6"/>
      <c r="F710" s="18"/>
      <c r="G710" s="18"/>
      <c r="H710" s="18"/>
      <c r="I710" s="18"/>
      <c r="J710" s="10"/>
      <c r="K710" s="18" t="str">
        <f>IMAGE("https://cdn.store.link/products/ayiraminimart50505/5fniik-tazzy%20mini%20licorice%20strawberry%2025%20g.png?versionId=uk3ZJWkGgSr3e8o4EQ2AKZ0zz2l5mk9d")</f>
        <v/>
      </c>
      <c r="L710" s="18"/>
      <c r="M710" s="10"/>
      <c r="N710" s="10"/>
    </row>
    <row r="711">
      <c r="A711" s="19" t="s">
        <v>1201</v>
      </c>
      <c r="B711" s="29" t="s">
        <v>1009</v>
      </c>
      <c r="C711" s="22">
        <v>1.0</v>
      </c>
      <c r="D711" s="22" t="s">
        <v>1202</v>
      </c>
      <c r="E711" s="6"/>
      <c r="F711" s="18"/>
      <c r="G711" s="18"/>
      <c r="H711" s="18"/>
      <c r="I711" s="18"/>
      <c r="J711" s="10"/>
      <c r="K711" s="18" t="str">
        <f>IMAGE("https://cdn.store.link/products/ayiraminimart50505/q55n94-frit-c%20extreme%20z%20apple%2020%20g.png?versionId=4p1Fe0wL2EnoY28TzZRRcjo36XQNLcKV")</f>
        <v/>
      </c>
      <c r="L711" s="18"/>
      <c r="M711" s="10"/>
      <c r="N711" s="10"/>
    </row>
    <row r="712">
      <c r="A712" s="19" t="s">
        <v>1203</v>
      </c>
      <c r="B712" s="29" t="s">
        <v>1009</v>
      </c>
      <c r="C712" s="22">
        <v>1.0</v>
      </c>
      <c r="D712" s="22" t="s">
        <v>1204</v>
      </c>
      <c r="E712" s="6"/>
      <c r="F712" s="18"/>
      <c r="G712" s="18"/>
      <c r="H712" s="18"/>
      <c r="I712" s="18"/>
      <c r="J712" s="10"/>
      <c r="K712" s="18" t="str">
        <f>IMAGE("https://cdn.store.link/products/ayiraminimart50505/-z0jyw-frit-c%20extreme.z%20cola%2020%20g.png?versionId=1n3I0CI6CW_BKzmP44s6XJSdCHAQ3Fc.")</f>
        <v/>
      </c>
      <c r="L712" s="18"/>
      <c r="M712" s="10"/>
      <c r="N712" s="10"/>
    </row>
    <row r="713">
      <c r="A713" s="19" t="s">
        <v>1205</v>
      </c>
      <c r="B713" s="29" t="s">
        <v>1009</v>
      </c>
      <c r="C713" s="22">
        <v>1.0</v>
      </c>
      <c r="D713" s="22" t="s">
        <v>1206</v>
      </c>
      <c r="E713" s="6"/>
      <c r="F713" s="18"/>
      <c r="G713" s="18"/>
      <c r="H713" s="18"/>
      <c r="I713" s="18"/>
      <c r="J713" s="10"/>
      <c r="K713" s="18" t="str">
        <f>IMAGE("https://cdn.store.link/products/ayiraminimart50505/nk44zq-frit-c%20extreme.z%20strawberry%2020%20g.png?versionId=Wk6t2eUPgXBhK9ka7TMpr.Bcj1.eWTTk")</f>
        <v/>
      </c>
      <c r="L713" s="18"/>
      <c r="M713" s="10"/>
      <c r="N713" s="10"/>
    </row>
    <row r="714">
      <c r="A714" s="19" t="s">
        <v>1207</v>
      </c>
      <c r="B714" s="29" t="s">
        <v>1009</v>
      </c>
      <c r="C714" s="22">
        <v>1.0</v>
      </c>
      <c r="D714" s="22" t="s">
        <v>1208</v>
      </c>
      <c r="E714" s="6"/>
      <c r="F714" s="18"/>
      <c r="G714" s="18"/>
      <c r="H714" s="18"/>
      <c r="I714" s="18"/>
      <c r="J714" s="10"/>
      <c r="K714" s="18" t="str">
        <f>IMAGE("https://cdn.store.link/products/ayiraminimart50505/9o9mo5-crazy%20brain%20pop%20blueberry%2016%20g.png?versionId=50f0smpBbiHE.nro1XSJO7KQjoTvvCzr")</f>
        <v/>
      </c>
      <c r="L714" s="18"/>
      <c r="M714" s="10"/>
      <c r="N714" s="10"/>
    </row>
    <row r="715">
      <c r="A715" s="19" t="s">
        <v>1209</v>
      </c>
      <c r="B715" s="29" t="s">
        <v>1009</v>
      </c>
      <c r="C715" s="22">
        <v>1.0</v>
      </c>
      <c r="D715" s="22" t="s">
        <v>1210</v>
      </c>
      <c r="E715" s="6"/>
      <c r="F715" s="18"/>
      <c r="G715" s="18"/>
      <c r="H715" s="18"/>
      <c r="I715" s="18"/>
      <c r="J715" s="10"/>
      <c r="K715" s="18" t="str">
        <f>IMAGE("https://cdn.store.link/products/ayiraminimart50505/6cu8nb-funkee%20dips%20strawberry%20sherbet%20with%20candy%20dipstick%2012%20g.png?versionId=G18jNHfB9PjGDI1P4LpzIbMA.ZjPOpI1")</f>
        <v/>
      </c>
      <c r="L715" s="18"/>
      <c r="M715" s="10"/>
      <c r="N715" s="10"/>
    </row>
    <row r="716">
      <c r="A716" s="19" t="s">
        <v>1211</v>
      </c>
      <c r="B716" s="29" t="s">
        <v>1009</v>
      </c>
      <c r="C716" s="22">
        <v>1.0</v>
      </c>
      <c r="D716" s="22" t="s">
        <v>1212</v>
      </c>
      <c r="E716" s="6"/>
      <c r="F716" s="18"/>
      <c r="G716" s="18"/>
      <c r="H716" s="18"/>
      <c r="I716" s="18"/>
      <c r="J716" s="10"/>
      <c r="K716" s="18" t="str">
        <f>IMAGE("https://cdn.store.link/products/ayiraminimart50505/u8rilp-funkee%20dips%20cherry%20sherbet%20with%20candy%20dipstick%2012%20g.png?versionId=DavgWufpu6sfilzRUhpY465r1qOL9EF_")</f>
        <v/>
      </c>
      <c r="L716" s="18"/>
      <c r="M716" s="10"/>
      <c r="N716" s="10"/>
    </row>
    <row r="717">
      <c r="A717" s="19" t="s">
        <v>1213</v>
      </c>
      <c r="B717" s="29" t="s">
        <v>1009</v>
      </c>
      <c r="C717" s="22">
        <v>2.5</v>
      </c>
      <c r="D717" s="22" t="s">
        <v>1214</v>
      </c>
      <c r="E717" s="6"/>
      <c r="F717" s="18"/>
      <c r="G717" s="18"/>
      <c r="H717" s="18"/>
      <c r="I717" s="18"/>
      <c r="J717" s="10"/>
      <c r="K717" s="18" t="str">
        <f>IMAGE("https://cdn.store.link/products/ayiraminimart50505/-x7y23-choki%20choki%20choco%20cashew%2027%20g.png?versionId=PQAZ4qBl4bz1RimFrZOO0bdtjmJc0mkO")</f>
        <v/>
      </c>
      <c r="L717" s="18"/>
      <c r="M717" s="10"/>
      <c r="N717" s="10"/>
    </row>
    <row r="718">
      <c r="A718" s="19" t="s">
        <v>1215</v>
      </c>
      <c r="B718" s="29" t="s">
        <v>1009</v>
      </c>
      <c r="C718" s="22">
        <v>1.0</v>
      </c>
      <c r="D718" s="22" t="s">
        <v>1216</v>
      </c>
      <c r="E718" s="6"/>
      <c r="F718" s="18"/>
      <c r="G718" s="18"/>
      <c r="H718" s="18"/>
      <c r="I718" s="18"/>
      <c r="J718" s="10"/>
      <c r="K718" s="18" t="str">
        <f>IMAGE("https://cdn.store.link/products/ayiraminimart50505/2kmy63-cc%20stick%20crazy%20birds%20mix%20fruit%2011%20g.png?versionId=NeTzsqYX11yvCK4xgIRqipXVxKDg6VRI")</f>
        <v/>
      </c>
      <c r="L718" s="18"/>
      <c r="M718" s="10"/>
      <c r="N718" s="10"/>
    </row>
    <row r="719">
      <c r="A719" s="19" t="s">
        <v>1217</v>
      </c>
      <c r="B719" s="29" t="s">
        <v>1009</v>
      </c>
      <c r="C719" s="22">
        <v>1.0</v>
      </c>
      <c r="D719" s="22" t="s">
        <v>1218</v>
      </c>
      <c r="E719" s="6"/>
      <c r="F719" s="18"/>
      <c r="G719" s="18"/>
      <c r="H719" s="18"/>
      <c r="I719" s="18"/>
      <c r="J719" s="10"/>
      <c r="K719" s="18" t="str">
        <f>IMAGE("https://cdn.store.link/products/ayiraminimart50505/3pm77g-tongue%20painter%20artificially%20flavoured%20bubble%20gum%2016%20g.png?versionId=i6teOODTP.KbOOHuGxwpwFbZcRuOtmPE")</f>
        <v/>
      </c>
      <c r="L719" s="18"/>
      <c r="M719" s="10"/>
      <c r="N719" s="10"/>
    </row>
    <row r="720">
      <c r="A720" s="19" t="s">
        <v>1219</v>
      </c>
      <c r="B720" s="29" t="s">
        <v>1009</v>
      </c>
      <c r="C720" s="22">
        <v>1.0</v>
      </c>
      <c r="D720" s="22" t="s">
        <v>1220</v>
      </c>
      <c r="E720" s="6"/>
      <c r="F720" s="18"/>
      <c r="G720" s="18"/>
      <c r="H720" s="18"/>
      <c r="I720" s="18"/>
      <c r="J720" s="10"/>
      <c r="K720" s="18" t="str">
        <f>IMAGE("https://cdn.store.link/products/ayiraminimart50505/jsyisk-super%20hyper%20acid%2017.5%20g.png?versionId=OWZ4b9TjPgzwBP3a4T_NsR0wf65VLxFe")</f>
        <v/>
      </c>
      <c r="L720" s="18"/>
      <c r="M720" s="10"/>
      <c r="N720" s="10"/>
    </row>
    <row r="721">
      <c r="A721" s="19" t="s">
        <v>1221</v>
      </c>
      <c r="B721" s="29" t="s">
        <v>1009</v>
      </c>
      <c r="C721" s="22">
        <v>1.0</v>
      </c>
      <c r="D721" s="22" t="s">
        <v>1222</v>
      </c>
      <c r="E721" s="6"/>
      <c r="F721" s="18"/>
      <c r="G721" s="18"/>
      <c r="H721" s="18"/>
      <c r="I721" s="18"/>
      <c r="J721" s="10"/>
      <c r="K721" s="18" t="str">
        <f>IMAGE("https://cdn.store.link/products/ayiraminimart50505/zgrzzz-super%20hyper%20acid%20apple%200.25%20g.png?versionId=XIP0sJHO4Wtj4w8cYTgZxNUiAfQC6KB6")</f>
        <v/>
      </c>
      <c r="L721" s="18"/>
      <c r="M721" s="10"/>
      <c r="N721" s="10"/>
    </row>
    <row r="722">
      <c r="A722" s="19" t="s">
        <v>1223</v>
      </c>
      <c r="B722" s="29" t="s">
        <v>1009</v>
      </c>
      <c r="C722" s="22">
        <v>1.0</v>
      </c>
      <c r="D722" s="22" t="s">
        <v>1224</v>
      </c>
      <c r="E722" s="6"/>
      <c r="F722" s="18"/>
      <c r="G722" s="18"/>
      <c r="H722" s="18"/>
      <c r="I722" s="18"/>
      <c r="J722" s="10"/>
      <c r="K722" s="18" t="str">
        <f>IMAGE("https://cdn.store.link/products/ayiraminimart50505/2ued-3-crazy%20rollz%20bubble%20gum%2012%20g.png?versionId=ZBy2O47A17o_1bOEZPLLYcguaop7xZyG")</f>
        <v/>
      </c>
      <c r="L722" s="18"/>
      <c r="M722" s="10"/>
      <c r="N722" s="10"/>
    </row>
    <row r="723">
      <c r="A723" s="19" t="s">
        <v>1225</v>
      </c>
      <c r="B723" s="27" t="s">
        <v>613</v>
      </c>
      <c r="C723" s="22">
        <v>1.5</v>
      </c>
      <c r="D723" s="22" t="s">
        <v>1226</v>
      </c>
      <c r="E723" s="6"/>
      <c r="F723" s="18"/>
      <c r="G723" s="18"/>
      <c r="H723" s="18"/>
      <c r="I723" s="18"/>
      <c r="J723" s="10"/>
      <c r="K723" s="18" t="str">
        <f>IMAGE("https://cdn.store.link/products/ayiraminimart50505/wga4lh-halley%20milk%20chocolate%2026%20g.png?versionId=60HKuJn7rrGUFfQeVVhek.4WrGkVbJyT")</f>
        <v/>
      </c>
      <c r="L723" s="18"/>
      <c r="M723" s="10"/>
      <c r="N723" s="10"/>
    </row>
    <row r="724">
      <c r="A724" s="19" t="s">
        <v>1227</v>
      </c>
      <c r="B724" s="29" t="s">
        <v>1009</v>
      </c>
      <c r="C724" s="22">
        <v>5.5</v>
      </c>
      <c r="D724" s="22" t="s">
        <v>1228</v>
      </c>
      <c r="E724" s="6"/>
      <c r="F724" s="18"/>
      <c r="G724" s="18"/>
      <c r="H724" s="18"/>
      <c r="I724" s="18"/>
      <c r="J724" s="10"/>
      <c r="K724" s="18" t="str">
        <f>IMAGE("https://cdn.store.link/products/ayiraminimart50505/7z1dqi-ice%20blaster%2048%20g.png?versionId=n80bHHmgztJj2lY4DOlS1AX_7aVOSt63")</f>
        <v/>
      </c>
      <c r="L724" s="18"/>
      <c r="M724" s="10"/>
      <c r="N724" s="10"/>
    </row>
    <row r="725">
      <c r="A725" s="19" t="s">
        <v>1229</v>
      </c>
      <c r="B725" s="27" t="s">
        <v>613</v>
      </c>
      <c r="C725" s="22">
        <v>1.0</v>
      </c>
      <c r="D725" s="22" t="s">
        <v>1230</v>
      </c>
      <c r="E725" s="6"/>
      <c r="F725" s="18"/>
      <c r="G725" s="18"/>
      <c r="H725" s="18"/>
      <c r="I725" s="18"/>
      <c r="J725" s="10"/>
      <c r="K725" s="18" t="str">
        <f>IMAGE("https://cdn.store.link/products/ayiraminimart50505/b0cx6a-hiss%20crispy%20wafer%20%E2%80%93%20crispy%20hiss.png?versionId=.fPEphPsop_SFDzmpaRUA9kMKRHw_O7k")</f>
        <v/>
      </c>
      <c r="L725" s="18"/>
      <c r="M725" s="10"/>
      <c r="N725" s="10"/>
    </row>
    <row r="726">
      <c r="A726" s="19" t="s">
        <v>1231</v>
      </c>
      <c r="B726" s="29" t="s">
        <v>1009</v>
      </c>
      <c r="C726" s="22">
        <v>1.0</v>
      </c>
      <c r="D726" s="22" t="s">
        <v>1232</v>
      </c>
      <c r="E726" s="6"/>
      <c r="F726" s="18"/>
      <c r="G726" s="18"/>
      <c r="H726" s="18"/>
      <c r="I726" s="18"/>
      <c r="J726" s="10"/>
      <c r="K726" s="18" t="str">
        <f>IMAGE("https://cdn.store.link/products/ayiraminimart50505/8tbl6k-zombie%20blueberry%206%20g.png?versionId=1Dol9LqI_30QAN_5PBPoZuusIMUmBSsA")</f>
        <v/>
      </c>
      <c r="L726" s="18"/>
      <c r="M726" s="10"/>
      <c r="N726" s="10"/>
    </row>
    <row r="727">
      <c r="A727" s="19" t="s">
        <v>1233</v>
      </c>
      <c r="B727" s="29" t="s">
        <v>1009</v>
      </c>
      <c r="C727" s="22">
        <v>2.0</v>
      </c>
      <c r="D727" s="22" t="s">
        <v>1234</v>
      </c>
      <c r="E727" s="6"/>
      <c r="F727" s="18"/>
      <c r="G727" s="18"/>
      <c r="H727" s="18"/>
      <c r="I727" s="18"/>
      <c r="J727" s="10"/>
      <c r="K727" s="18" t="str">
        <f>IMAGE("https://cdn.store.link/products/ayiraminimart50505/lv879r-gum%20powder%20explosively%20sour%20bubblegum%2035%20g.png?versionId=FWHDRZ8Wqsz6W3e9QrJ.JBGWMHxhKxY9")</f>
        <v/>
      </c>
      <c r="L727" s="18"/>
      <c r="M727" s="10"/>
      <c r="N727" s="10"/>
    </row>
    <row r="728">
      <c r="A728" s="19" t="s">
        <v>1235</v>
      </c>
      <c r="B728" s="29" t="s">
        <v>1009</v>
      </c>
      <c r="C728" s="22">
        <v>2.0</v>
      </c>
      <c r="D728" s="22" t="s">
        <v>1236</v>
      </c>
      <c r="E728" s="6"/>
      <c r="F728" s="18"/>
      <c r="G728" s="18"/>
      <c r="H728" s="18"/>
      <c r="I728" s="18"/>
      <c r="J728" s="10"/>
      <c r="K728" s="18" t="str">
        <f>IMAGE("https://cdn.store.link/products/ayiraminimart50505/mua6qq-chupa%20chups%20soft%20and%20chewy%2010%20g.png?versionId=DvWmp7ryAQD9bh.xS2V0t2x5DqQOLQuM")</f>
        <v/>
      </c>
      <c r="L728" s="18"/>
      <c r="M728" s="10"/>
      <c r="N728" s="10"/>
    </row>
    <row r="729">
      <c r="A729" s="19" t="s">
        <v>1237</v>
      </c>
      <c r="B729" s="29" t="s">
        <v>1009</v>
      </c>
      <c r="C729" s="22">
        <v>4.0</v>
      </c>
      <c r="D729" s="22" t="s">
        <v>1238</v>
      </c>
      <c r="E729" s="6"/>
      <c r="F729" s="18"/>
      <c r="G729" s="18"/>
      <c r="H729" s="18"/>
      <c r="I729" s="18"/>
      <c r="J729" s="10"/>
      <c r="K729" s="18" t="str">
        <f>IMAGE("https://cdn.store.link/products/ayiraminimart50505/inau2n-sour%20whacky%20squeeze%20candy%2070%20g.png?versionId=I8DW._iTsnEZX9tBQUxpZB01EPRu8Qsc")</f>
        <v/>
      </c>
      <c r="L729" s="18"/>
      <c r="M729" s="10"/>
      <c r="N729" s="10"/>
    </row>
    <row r="730">
      <c r="A730" s="19" t="s">
        <v>1239</v>
      </c>
      <c r="B730" s="29" t="s">
        <v>1009</v>
      </c>
      <c r="C730" s="22">
        <v>1.0</v>
      </c>
      <c r="D730" s="22" t="s">
        <v>1240</v>
      </c>
      <c r="E730" s="6"/>
      <c r="F730" s="18"/>
      <c r="G730" s="18"/>
      <c r="H730" s="18"/>
      <c r="I730" s="18"/>
      <c r="J730" s="10"/>
      <c r="K730" s="18" t="str">
        <f>IMAGE("https://cdn.store.link/products/ayiraminimart50505/ajndcn-tongue%20painter%2018%20g.png?versionId=sPnbCZ7fHElgkJipdrM0j6.N25XaWD7r")</f>
        <v/>
      </c>
      <c r="L730" s="18"/>
      <c r="M730" s="10"/>
      <c r="N730" s="10"/>
    </row>
    <row r="731">
      <c r="A731" s="19" t="s">
        <v>1241</v>
      </c>
      <c r="B731" s="29" t="s">
        <v>1009</v>
      </c>
      <c r="C731" s="22">
        <v>1.0</v>
      </c>
      <c r="D731" s="22" t="s">
        <v>1242</v>
      </c>
      <c r="E731" s="6"/>
      <c r="F731" s="18"/>
      <c r="G731" s="18"/>
      <c r="H731" s="18"/>
      <c r="I731" s="18"/>
      <c r="J731" s="10"/>
      <c r="K731" s="18" t="str">
        <f>IMAGE("https://cdn.store.link/products/ayiraminimart50505/kd1emo-brain%20bitz%20chew%20bar%20watermelon%2020%20g.png?versionId=qO4VdQtvyLEOLGHbWYFRmugjh4j5eTz7")</f>
        <v/>
      </c>
      <c r="L731" s="18"/>
      <c r="M731" s="10"/>
      <c r="N731" s="10"/>
    </row>
    <row r="732">
      <c r="A732" s="19" t="s">
        <v>1243</v>
      </c>
      <c r="B732" s="27" t="s">
        <v>613</v>
      </c>
      <c r="C732" s="22">
        <v>2.0</v>
      </c>
      <c r="D732" s="22" t="s">
        <v>1244</v>
      </c>
      <c r="E732" s="6"/>
      <c r="F732" s="18"/>
      <c r="G732" s="18"/>
      <c r="H732" s="18"/>
      <c r="I732" s="18"/>
      <c r="J732" s="10"/>
      <c r="K732" s="18" t="str">
        <f>IMAGE("https://cdn.store.link/products/ayiraminimart50505/q7pxa1-candy%20choco%20belight%2034%20g.png?versionId=YeSF2ug0fFK6vV6dR9TL95lGwDL42.7a")</f>
        <v/>
      </c>
      <c r="L732" s="18"/>
      <c r="M732" s="10"/>
      <c r="N732" s="10"/>
    </row>
    <row r="733">
      <c r="A733" s="5" t="s">
        <v>1245</v>
      </c>
      <c r="B733" s="27" t="s">
        <v>613</v>
      </c>
      <c r="C733" s="22">
        <v>8.0</v>
      </c>
      <c r="D733" s="22" t="s">
        <v>665</v>
      </c>
      <c r="E733" s="6"/>
      <c r="F733" s="18"/>
      <c r="G733" s="18"/>
      <c r="H733" s="18"/>
      <c r="I733" s="18"/>
      <c r="J733" s="10"/>
      <c r="K733" s="18" t="str">
        <f>IMAGE("https://cdn.store.link/products/ayiraminimart50505/-kjf98-cadbury%20dairy%20milk%20oreo%2095%20g.png?versionId=Sp_VxyXoYQmGXNtraQLQ.Y0XlE8UoIyD")</f>
        <v/>
      </c>
      <c r="L733" s="18"/>
      <c r="M733" s="10"/>
      <c r="N733" s="10"/>
    </row>
    <row r="734">
      <c r="A734" s="5" t="s">
        <v>1246</v>
      </c>
      <c r="B734" s="27" t="s">
        <v>613</v>
      </c>
      <c r="C734" s="22">
        <v>3.5</v>
      </c>
      <c r="D734" s="22" t="s">
        <v>1247</v>
      </c>
      <c r="E734" s="6"/>
      <c r="F734" s="18"/>
      <c r="G734" s="18"/>
      <c r="H734" s="18"/>
      <c r="I734" s="18"/>
      <c r="J734" s="10"/>
      <c r="K734" s="18" t="str">
        <f>IMAGE("https://cdn.store.link/products/ayiraminimart50505/g-wxuk-toblerone%2035%20g.png?versionId=vO4b.WRdg0XaKyKbNz7s2Cl4kNKo6U_p")</f>
        <v/>
      </c>
      <c r="L734" s="18"/>
      <c r="M734" s="10"/>
      <c r="N734" s="10"/>
    </row>
    <row r="735">
      <c r="A735" s="19" t="s">
        <v>1248</v>
      </c>
      <c r="B735" s="27" t="s">
        <v>613</v>
      </c>
      <c r="C735" s="22">
        <v>2.0</v>
      </c>
      <c r="D735" s="22" t="s">
        <v>1249</v>
      </c>
      <c r="E735" s="6"/>
      <c r="F735" s="18"/>
      <c r="G735" s="18"/>
      <c r="H735" s="18"/>
      <c r="I735" s="18"/>
      <c r="J735" s="10"/>
      <c r="K735" s="18" t="str">
        <f>IMAGE("https://cdn.store.link/products/ayiraminimart50505/-6hk8m-oreo%20cake%20choco%20coated%2024%20g.png?versionId=6WCdaqgU_pyYabU2rJkmiHMlziGCznVb")</f>
        <v/>
      </c>
      <c r="L735" s="18"/>
      <c r="M735" s="10"/>
      <c r="N735" s="10"/>
    </row>
    <row r="736">
      <c r="A736" s="19" t="s">
        <v>1250</v>
      </c>
      <c r="B736" s="27" t="s">
        <v>613</v>
      </c>
      <c r="C736" s="22">
        <v>18.0</v>
      </c>
      <c r="D736" s="22" t="s">
        <v>1251</v>
      </c>
      <c r="E736" s="6"/>
      <c r="F736" s="18"/>
      <c r="G736" s="18"/>
      <c r="H736" s="18"/>
      <c r="I736" s="18"/>
      <c r="J736" s="10"/>
      <c r="K736" s="18" t="str">
        <f>IMAGE("https://cdn.store.link/products/ayiraminimart50505/4693g3-pistachio%20kunafa%20chocolate%20100%20g.png?versionId=0yWFliLAoMtVTT.2FHAvXT0.nWTlDNu8")</f>
        <v/>
      </c>
      <c r="L736" s="18"/>
      <c r="M736" s="10"/>
      <c r="N736" s="10"/>
    </row>
    <row r="737">
      <c r="A737" s="19" t="s">
        <v>1252</v>
      </c>
      <c r="B737" s="27" t="s">
        <v>613</v>
      </c>
      <c r="C737" s="22">
        <v>13.5</v>
      </c>
      <c r="D737" s="22" t="s">
        <v>614</v>
      </c>
      <c r="E737" s="6"/>
      <c r="F737" s="18"/>
      <c r="G737" s="18"/>
      <c r="H737" s="18"/>
      <c r="I737" s="18"/>
      <c r="J737" s="10"/>
      <c r="K737" s="18" t="str">
        <f>IMAGE("https://cdn.store.link/products/ayiraminimart50505/2cz6gj-snickers%20miniatures%20%E2%80%93%20150%20g.png?versionId=FVUiYFY9MUdEK8pQGQkKB.BnczbGuBfF")</f>
        <v/>
      </c>
      <c r="L737" s="18"/>
      <c r="M737" s="10"/>
      <c r="N737" s="10"/>
    </row>
    <row r="738">
      <c r="A738" s="19" t="s">
        <v>1253</v>
      </c>
      <c r="B738" s="27" t="s">
        <v>613</v>
      </c>
      <c r="C738" s="22">
        <v>13.5</v>
      </c>
      <c r="D738" s="22" t="s">
        <v>1065</v>
      </c>
      <c r="E738" s="6"/>
      <c r="F738" s="18"/>
      <c r="G738" s="18"/>
      <c r="H738" s="18"/>
      <c r="I738" s="18"/>
      <c r="J738" s="10"/>
      <c r="K738" s="18" t="str">
        <f>IMAGE("https://cdn.store.link/products/ayiraminimart50505/t79riq-twix%20miniatures%20%E2%80%93%20150%20g.png?versionId=yPwa2g3Lxq5aEeB0iFhDb7Aq3bcZAXcd")</f>
        <v/>
      </c>
      <c r="L738" s="18"/>
      <c r="M738" s="10"/>
      <c r="N738" s="10"/>
    </row>
    <row r="739">
      <c r="A739" s="19" t="s">
        <v>1254</v>
      </c>
      <c r="B739" s="27" t="s">
        <v>613</v>
      </c>
      <c r="C739" s="22">
        <v>13.5</v>
      </c>
      <c r="D739" s="22" t="s">
        <v>1060</v>
      </c>
      <c r="E739" s="6"/>
      <c r="F739" s="18"/>
      <c r="G739" s="18"/>
      <c r="H739" s="18"/>
      <c r="I739" s="18"/>
      <c r="J739" s="10"/>
      <c r="K739" s="18" t="str">
        <f>IMAGE("https://cdn.store.link/products/ayiraminimart50505/nrt7px-bounty%20miniatures%20%E2%80%93%20150%20g.png?versionId=uu1F_HPoT_SGMhuc8k9szIcJFFBIWqMz")</f>
        <v/>
      </c>
      <c r="L739" s="18"/>
      <c r="M739" s="10"/>
      <c r="N739" s="10"/>
    </row>
    <row r="740">
      <c r="A740" s="19" t="s">
        <v>1255</v>
      </c>
      <c r="B740" s="29" t="s">
        <v>1009</v>
      </c>
      <c r="C740" s="22">
        <v>14.0</v>
      </c>
      <c r="D740" s="22" t="s">
        <v>1256</v>
      </c>
      <c r="E740" s="6"/>
      <c r="F740" s="18"/>
      <c r="G740" s="18"/>
      <c r="H740" s="18"/>
      <c r="I740" s="18"/>
      <c r="J740" s="10"/>
      <c r="K740" s="18" t="str">
        <f>IMAGE("https://cdn.store.link/products/ayiraminimart50505/x3vm65-erko%20mallow%20plus%20fat-free%20ice%20cream%20%E2%80%93%20100%20g.png?versionId=GuEHB6X5Lk0cBfqYnYGZgNE3O0tFInrL")</f>
        <v/>
      </c>
      <c r="L740" s="18"/>
      <c r="M740" s="10"/>
      <c r="N740" s="10"/>
    </row>
    <row r="741">
      <c r="A741" s="19" t="s">
        <v>1257</v>
      </c>
      <c r="B741" s="29" t="s">
        <v>1009</v>
      </c>
      <c r="C741" s="22">
        <v>6.0</v>
      </c>
      <c r="D741" s="22" t="s">
        <v>1258</v>
      </c>
      <c r="E741" s="6"/>
      <c r="F741" s="18"/>
      <c r="G741" s="18"/>
      <c r="H741" s="18"/>
      <c r="I741" s="18"/>
      <c r="J741" s="10"/>
      <c r="K741" s="18" t="str">
        <f>IMAGE("https://cdn.store.link/products/ayiraminimart50505/ptvs-4-ice%20cream%20jam%20filled%20mallow%20%E2%80%93%20100%20g.png?versionId=GjK28CuYRzTL2P13.iMILJKBkPt1ObEz")</f>
        <v/>
      </c>
      <c r="L741" s="18"/>
      <c r="M741" s="10"/>
      <c r="N741" s="10"/>
    </row>
    <row r="742">
      <c r="A742" s="19" t="s">
        <v>1259</v>
      </c>
      <c r="B742" s="29" t="s">
        <v>1009</v>
      </c>
      <c r="C742" s="22">
        <v>5.0</v>
      </c>
      <c r="D742" s="22" t="s">
        <v>1260</v>
      </c>
      <c r="E742" s="6"/>
      <c r="F742" s="18"/>
      <c r="G742" s="18"/>
      <c r="H742" s="18"/>
      <c r="I742" s="18"/>
      <c r="J742" s="10"/>
      <c r="K742" s="18" t="str">
        <f>IMAGE("https://cdn.store.link/products/ayiraminimart50505/t8zqbl-erko%20mallow%20world%20pink%20?versionId=07tw3_AtMfDcLAW6xwDJmvqaCsoft1Go")</f>
        <v/>
      </c>
      <c r="L742" s="18"/>
      <c r="M742" s="10"/>
      <c r="N742" s="10"/>
    </row>
    <row r="743">
      <c r="A743" s="19" t="s">
        <v>1261</v>
      </c>
      <c r="B743" s="29" t="s">
        <v>1009</v>
      </c>
      <c r="C743" s="22">
        <v>6.0</v>
      </c>
      <c r="D743" s="22" t="s">
        <v>1262</v>
      </c>
      <c r="E743" s="6"/>
      <c r="F743" s="18"/>
      <c r="G743" s="18"/>
      <c r="H743" s="18"/>
      <c r="I743" s="18"/>
      <c r="J743" s="10"/>
      <c r="K743" s="18" t="str">
        <f>IMAGE("https://cdn.store.link/products/ayiraminimart50505/i7nn6k-erko%20mallow%20world%20%E2%80%93%20120%20g.png?versionId=SMBSO6jJG5v2YuwPGCDAAGwKtjUkYQPv")</f>
        <v/>
      </c>
      <c r="L743" s="18"/>
      <c r="M743" s="10"/>
      <c r="N743" s="10"/>
    </row>
    <row r="744">
      <c r="A744" s="19" t="s">
        <v>1263</v>
      </c>
      <c r="B744" s="27" t="s">
        <v>613</v>
      </c>
      <c r="C744" s="22">
        <v>10.0</v>
      </c>
      <c r="D744" s="22" t="s">
        <v>1264</v>
      </c>
      <c r="E744" s="6"/>
      <c r="F744" s="18"/>
      <c r="G744" s="18"/>
      <c r="H744" s="18"/>
      <c r="I744" s="18"/>
      <c r="J744" s="10"/>
      <c r="K744" s="18" t="str">
        <f>IMAGE("https://cdn.store.link/products/ayiraminimart50505/yzx2fd-schogetten%20alpine%20milk%20chocolate%20%E2%80%93%20100%20g.png?versionId=GMWVBHGURiHq3NQSU4kEWH5lhEZxMW8s")</f>
        <v/>
      </c>
      <c r="L744" s="18"/>
      <c r="M744" s="10"/>
      <c r="N744" s="10"/>
    </row>
    <row r="745">
      <c r="A745" s="19" t="s">
        <v>1265</v>
      </c>
      <c r="B745" s="27" t="s">
        <v>613</v>
      </c>
      <c r="C745" s="22">
        <v>10.0</v>
      </c>
      <c r="D745" s="22" t="s">
        <v>1266</v>
      </c>
      <c r="E745" s="6"/>
      <c r="F745" s="18"/>
      <c r="G745" s="18"/>
      <c r="H745" s="18"/>
      <c r="I745" s="18"/>
      <c r="J745" s="10"/>
      <c r="K745" s="18" t="str">
        <f>IMAGE("https://cdn.store.link/products/ayiraminimart50505/2nn12e-schogetten%20dark%20chocolate%20%E2%80%93%20100%20g.png?versionId=osT4SUjryHluIjyF7gfgzt0FlrsCWSbY")</f>
        <v/>
      </c>
      <c r="L745" s="18"/>
      <c r="M745" s="10"/>
      <c r="N745" s="10"/>
    </row>
    <row r="746">
      <c r="A746" s="19" t="s">
        <v>1267</v>
      </c>
      <c r="B746" s="27" t="s">
        <v>613</v>
      </c>
      <c r="C746" s="22">
        <v>10.0</v>
      </c>
      <c r="D746" s="22" t="s">
        <v>1268</v>
      </c>
      <c r="E746" s="6"/>
      <c r="F746" s="18"/>
      <c r="G746" s="18"/>
      <c r="H746" s="18"/>
      <c r="I746" s="18"/>
      <c r="J746" s="10"/>
      <c r="K746" s="18" t="str">
        <f>IMAGE("https://cdn.store.link/products/ayiraminimart50505/bkqigz-schogetten%20alpine%20milk%20chocolate%20with%20hazelnuts%20%E2%80%93%20100%20g.png?versionId=AAzAYltD6yGWfb3F_FDovK.L0DcEnT0k")</f>
        <v/>
      </c>
      <c r="L746" s="18"/>
      <c r="M746" s="10"/>
      <c r="N746" s="10"/>
    </row>
    <row r="747">
      <c r="A747" s="19" t="s">
        <v>1269</v>
      </c>
      <c r="B747" s="27" t="s">
        <v>613</v>
      </c>
      <c r="C747" s="22">
        <v>10.0</v>
      </c>
      <c r="D747" s="22" t="s">
        <v>1270</v>
      </c>
      <c r="E747" s="6"/>
      <c r="F747" s="18"/>
      <c r="G747" s="18"/>
      <c r="H747" s="18"/>
      <c r="I747" s="18"/>
      <c r="J747" s="10"/>
      <c r="K747" s="18" t="str">
        <f>IMAGE("https://cdn.store.link/products/ayiraminimart50505/ztldyr-schogetten%20praline%20noisettes%20%E2%80%93%20100%20g.png?versionId=kt3HEW.p49mpwegJOGlJGL9uG3J7lNw3")</f>
        <v/>
      </c>
      <c r="L747" s="18"/>
      <c r="M747" s="10"/>
      <c r="N747" s="10"/>
    </row>
    <row r="748">
      <c r="A748" s="19" t="s">
        <v>1271</v>
      </c>
      <c r="B748" s="27" t="s">
        <v>613</v>
      </c>
      <c r="C748" s="22">
        <v>10.0</v>
      </c>
      <c r="D748" s="22" t="s">
        <v>1272</v>
      </c>
      <c r="E748" s="6"/>
      <c r="F748" s="18"/>
      <c r="G748" s="18"/>
      <c r="H748" s="18"/>
      <c r="I748" s="18"/>
      <c r="J748" s="10"/>
      <c r="K748" s="18" t="str">
        <f>IMAGE("https://cdn.store.link/products/ayiraminimart50505/mut745-schogetten%20white%20chocolate%20%E2%80%93%20100%20g.png?versionId=pZwXPAPZm1l0my9egO7WDo3YXe1GXDe5")</f>
        <v/>
      </c>
      <c r="L748" s="18"/>
      <c r="M748" s="10"/>
      <c r="N748" s="10"/>
    </row>
    <row r="749">
      <c r="A749" s="5" t="s">
        <v>1273</v>
      </c>
      <c r="B749" s="27" t="s">
        <v>613</v>
      </c>
      <c r="C749" s="22">
        <v>2.5</v>
      </c>
      <c r="D749" s="22" t="s">
        <v>1274</v>
      </c>
      <c r="E749" s="6"/>
      <c r="F749" s="30"/>
      <c r="G749" s="30"/>
      <c r="H749" s="30"/>
      <c r="I749" s="30"/>
      <c r="J749" s="30"/>
      <c r="K749" s="30" t="str">
        <f>IMAGE("https://cdn.store.link/products/ayiraminimart50505/z1ebvf-skittles%20taste%20the%20rainbow%20tropical%20%E2%80%93%2038%20g.png?versionId=NbK5FSUFd7VMaIusph3PHaYAGm5LR3sn")</f>
        <v/>
      </c>
      <c r="L749" s="30"/>
      <c r="M749" s="30"/>
      <c r="N749" s="6"/>
    </row>
    <row r="750">
      <c r="A750" s="19" t="s">
        <v>1275</v>
      </c>
      <c r="B750" s="27" t="s">
        <v>613</v>
      </c>
      <c r="C750" s="22">
        <v>2.5</v>
      </c>
      <c r="D750" s="22" t="s">
        <v>1274</v>
      </c>
      <c r="E750" s="6"/>
      <c r="F750" s="30"/>
      <c r="G750" s="30"/>
      <c r="H750" s="30"/>
      <c r="I750" s="30"/>
      <c r="J750" s="30"/>
      <c r="K750" s="30" t="str">
        <f>IMAGE("https://cdn.store.link/products/ayiraminimart50505/zvcavr-skittles%20taste%20the%20rainbow%20crazy%20sours%20%E2%80%93%2038%20g.png?versionId=3y8s1BtAp3hoIcJQcospqCSAm6vS5ypP")</f>
        <v/>
      </c>
      <c r="L750" s="30"/>
      <c r="M750" s="30"/>
      <c r="N750" s="30"/>
    </row>
    <row r="751">
      <c r="A751" s="19" t="s">
        <v>1276</v>
      </c>
      <c r="B751" s="27" t="s">
        <v>613</v>
      </c>
      <c r="C751" s="22">
        <v>2.5</v>
      </c>
      <c r="D751" s="22" t="s">
        <v>1277</v>
      </c>
      <c r="E751" s="6"/>
      <c r="F751" s="30"/>
      <c r="G751" s="30"/>
      <c r="H751" s="30"/>
      <c r="I751" s="30"/>
      <c r="J751" s="30"/>
      <c r="K751" s="30" t="str">
        <f>IMAGE("https://cdn.store.link/products/ayiraminimart50505/sbxxe2-skittles%20taste%20the%20rainbow%20smoothies%20%E2%80%93%2038%20g.png?versionId=9ePnq4T3_10TnLIHvLR2B7xcGPtBBDiH")</f>
        <v/>
      </c>
      <c r="L751" s="30"/>
      <c r="M751" s="30"/>
      <c r="N751" s="30"/>
    </row>
    <row r="752">
      <c r="A752" s="19" t="s">
        <v>1278</v>
      </c>
      <c r="B752" s="27" t="s">
        <v>613</v>
      </c>
      <c r="C752" s="22">
        <v>2.5</v>
      </c>
      <c r="D752" s="22" t="s">
        <v>1274</v>
      </c>
      <c r="E752" s="6"/>
      <c r="F752" s="30"/>
      <c r="G752" s="30"/>
      <c r="H752" s="30"/>
      <c r="I752" s="30"/>
      <c r="J752" s="30"/>
      <c r="K752" s="30" t="str">
        <f>IMAGE("https://cdn.store.link/products/ayiraminimart50505/z-azkl-skittles%20taste%20the%20rainbow%20fruits%20%E2%80%93%2038%20g.png?versionId=U1MDhRNOJ21mCJNIT9qahvJGIaI2MWI0")</f>
        <v/>
      </c>
      <c r="L752" s="30"/>
      <c r="M752" s="30"/>
      <c r="N752" s="30"/>
    </row>
    <row r="753">
      <c r="A753" s="19" t="s">
        <v>1279</v>
      </c>
      <c r="B753" s="27" t="s">
        <v>613</v>
      </c>
      <c r="C753" s="22">
        <v>5.0</v>
      </c>
      <c r="D753" s="22" t="s">
        <v>1000</v>
      </c>
      <c r="E753" s="6"/>
      <c r="F753" s="30"/>
      <c r="G753" s="30"/>
      <c r="H753" s="30"/>
      <c r="I753" s="30"/>
      <c r="J753" s="30"/>
      <c r="K753" s="30" t="str">
        <f>IMAGE("https://cdn.store.link/products/ayiraminimart50505/2mu7bd-m?versionId=9cDy7ZhnUXK0wuMEraPp97U35gYFr4ux")</f>
        <v/>
      </c>
      <c r="L753" s="30"/>
      <c r="M753" s="30"/>
      <c r="N753" s="30"/>
    </row>
    <row r="754">
      <c r="A754" s="19" t="s">
        <v>1280</v>
      </c>
      <c r="B754" s="27" t="s">
        <v>613</v>
      </c>
      <c r="C754" s="22">
        <v>6.5</v>
      </c>
      <c r="D754" s="22" t="s">
        <v>1281</v>
      </c>
      <c r="E754" s="6"/>
      <c r="F754" s="30"/>
      <c r="G754" s="30"/>
      <c r="H754" s="30"/>
      <c r="I754" s="30"/>
      <c r="J754" s="30"/>
      <c r="K754" s="30" t="str">
        <f>IMAGE("https://cdn.store.link/products/ayiraminimart50505/9pfzib-skittles%20gummies%20fruits%20%E2%80%93%2060%20g.png?versionId=LbQ.M4HM69ZhyeZp68WOAAp2ksBG_bAm")</f>
        <v/>
      </c>
      <c r="L754" s="30"/>
      <c r="M754" s="30"/>
      <c r="N754" s="30"/>
    </row>
    <row r="755">
      <c r="A755" s="19" t="s">
        <v>1282</v>
      </c>
      <c r="B755" s="27" t="s">
        <v>613</v>
      </c>
      <c r="C755" s="22">
        <v>2.5</v>
      </c>
      <c r="D755" s="22" t="s">
        <v>1283</v>
      </c>
      <c r="E755" s="6"/>
      <c r="F755" s="30"/>
      <c r="G755" s="30"/>
      <c r="H755" s="30"/>
      <c r="I755" s="30"/>
      <c r="J755" s="30"/>
      <c r="K755" s="30" t="str">
        <f>IMAGE("https://cdn.store.link/products/ayiraminimart50505/k02z7y-nani%20pistachio%20%E2%80%93%2040%20g.png?versionId=rr5oC5HrdsZAWcWPaRGAMHFENiUznSIb")</f>
        <v/>
      </c>
      <c r="L755" s="30"/>
      <c r="M755" s="30"/>
      <c r="N755" s="30"/>
    </row>
    <row r="756">
      <c r="A756" s="19" t="s">
        <v>1284</v>
      </c>
      <c r="B756" s="27" t="s">
        <v>613</v>
      </c>
      <c r="C756" s="22">
        <v>2.5</v>
      </c>
      <c r="D756" s="22" t="s">
        <v>1285</v>
      </c>
      <c r="E756" s="6"/>
      <c r="F756" s="30"/>
      <c r="G756" s="30"/>
      <c r="H756" s="30"/>
      <c r="I756" s="30"/>
      <c r="J756" s="30"/>
      <c r="K756" s="30" t="str">
        <f>IMAGE("https://cdn.store.link/products/ayiraminimart50505/m9d-go-nani%20chocolate%20with%20soft%20nougat%20?versionId=wvhyZL3kwaQmpqZcVtAsy3G9HAFZftl5")</f>
        <v/>
      </c>
      <c r="L756" s="30"/>
      <c r="M756" s="30"/>
      <c r="N756" s="30"/>
    </row>
    <row r="757">
      <c r="A757" s="19" t="s">
        <v>1286</v>
      </c>
      <c r="B757" s="27" t="s">
        <v>623</v>
      </c>
      <c r="C757" s="22">
        <v>1.0</v>
      </c>
      <c r="D757" s="22" t="s">
        <v>1287</v>
      </c>
      <c r="E757" s="6"/>
      <c r="F757" s="18"/>
      <c r="G757" s="18"/>
      <c r="H757" s="18"/>
      <c r="I757" s="18"/>
      <c r="J757" s="10"/>
      <c r="K757" s="18" t="str">
        <f>IMAGE("https://cdn.store.link/products/ayiraminimart50505/lzfh9h-ulker%20stick%20crackers%20%28salted%29%20%E2%80%93%2030%20g.png?versionId=TCmIWK2lCu68tIxXiC92_821znDa75sT")</f>
        <v/>
      </c>
      <c r="L757" s="18"/>
      <c r="M757" s="10"/>
      <c r="N757" s="10"/>
    </row>
    <row r="758">
      <c r="A758" s="5" t="s">
        <v>1288</v>
      </c>
      <c r="B758" s="27" t="s">
        <v>623</v>
      </c>
      <c r="C758" s="22">
        <v>4.0</v>
      </c>
      <c r="D758" s="22" t="s">
        <v>1289</v>
      </c>
      <c r="E758" s="6"/>
      <c r="F758" s="18"/>
      <c r="G758" s="18"/>
      <c r="H758" s="18"/>
      <c r="I758" s="18"/>
      <c r="J758" s="10"/>
      <c r="K758" s="18" t="str">
        <f>IMAGE("https://cdn.store.link/products/ayiraminimart50505/timxmh-pringles%20original.png?versionId=kORLbwj77Yjk.ZURlu7M_x_.2vT1Pl0v")</f>
        <v/>
      </c>
      <c r="L758" s="18"/>
      <c r="M758" s="10"/>
      <c r="N758" s="10"/>
    </row>
    <row r="759">
      <c r="A759" s="19" t="s">
        <v>1290</v>
      </c>
      <c r="B759" s="27" t="s">
        <v>623</v>
      </c>
      <c r="C759" s="22">
        <v>4.0</v>
      </c>
      <c r="D759" s="22" t="s">
        <v>1289</v>
      </c>
      <c r="E759" s="6"/>
      <c r="F759" s="18"/>
      <c r="G759" s="18"/>
      <c r="H759" s="18"/>
      <c r="I759" s="18"/>
      <c r="J759" s="10"/>
      <c r="K759" s="18" t="str">
        <f>IMAGE("https://cdn.store.link/products/ayiraminimart50505/4rgi6n-pringles%20barbeque%20%E2%80%93%2040%20g.png?versionId=g1TnTTJVz0bpA2ZKBQAskVLASo4PLbv7")</f>
        <v/>
      </c>
      <c r="L759" s="18"/>
      <c r="M759" s="10"/>
      <c r="N759" s="10"/>
    </row>
    <row r="760">
      <c r="A760" s="5" t="s">
        <v>1291</v>
      </c>
      <c r="B760" s="27" t="s">
        <v>623</v>
      </c>
      <c r="C760" s="22">
        <v>4.0</v>
      </c>
      <c r="D760" s="22" t="s">
        <v>1289</v>
      </c>
      <c r="E760" s="6"/>
      <c r="F760" s="18"/>
      <c r="G760" s="18"/>
      <c r="H760" s="18"/>
      <c r="I760" s="18"/>
      <c r="J760" s="10"/>
      <c r="K760" s="18" t="str">
        <f>IMAGE("https://cdn.store.link/products/ayiraminimart50505/fgo6vz-pringles%20hot%20?versionId=xVd5etrI6_t1uFnF5hskd3qds2nP5cjg")</f>
        <v/>
      </c>
      <c r="L760" s="18"/>
      <c r="M760" s="10"/>
      <c r="N760" s="10"/>
    </row>
    <row r="761">
      <c r="A761" s="5" t="s">
        <v>1292</v>
      </c>
      <c r="B761" s="27" t="s">
        <v>623</v>
      </c>
      <c r="C761" s="22">
        <v>4.0</v>
      </c>
      <c r="D761" s="22" t="s">
        <v>1289</v>
      </c>
      <c r="E761" s="6"/>
      <c r="F761" s="18"/>
      <c r="G761" s="18"/>
      <c r="H761" s="18"/>
      <c r="I761" s="18"/>
      <c r="J761" s="10"/>
      <c r="K761" s="18" t="str">
        <f>IMAGE("https://cdn.store.link/products/ayiraminimart50505/8bbxxd-pringles%20ketchup%20%E2%80%93%2040%20g.png?versionId=6V071qB.mSo19YOQGdD_LgWWZyDLi2mg")</f>
        <v/>
      </c>
      <c r="L761" s="18"/>
      <c r="M761" s="10"/>
      <c r="N761" s="10"/>
    </row>
    <row r="762">
      <c r="A762" s="19" t="s">
        <v>1293</v>
      </c>
      <c r="B762" s="27" t="s">
        <v>623</v>
      </c>
      <c r="C762" s="22">
        <v>10.5</v>
      </c>
      <c r="D762" s="22" t="s">
        <v>1289</v>
      </c>
      <c r="E762" s="6"/>
      <c r="F762" s="18"/>
      <c r="G762" s="18"/>
      <c r="H762" s="18"/>
      <c r="I762" s="18"/>
      <c r="J762" s="10"/>
      <c r="K762" s="18" t="str">
        <f>IMAGE("https://cdn.store.link/products/ayiraminimart50505/725zci-pringles%20paprika%20%E2%80%93%2040%20g.png?versionId=gN4qYsWpu0EjXylzLTbvby9HlXh4E6Dk")</f>
        <v/>
      </c>
      <c r="L762" s="18"/>
      <c r="M762" s="10"/>
      <c r="N762" s="10"/>
    </row>
    <row r="763">
      <c r="A763" s="19" t="s">
        <v>1294</v>
      </c>
      <c r="B763" s="27" t="s">
        <v>623</v>
      </c>
      <c r="C763" s="22">
        <v>10.5</v>
      </c>
      <c r="D763" s="22" t="s">
        <v>1289</v>
      </c>
      <c r="E763" s="6"/>
      <c r="F763" s="18"/>
      <c r="G763" s="18"/>
      <c r="H763" s="18"/>
      <c r="I763" s="18"/>
      <c r="J763" s="10"/>
      <c r="K763" s="18" t="str">
        <f>IMAGE("https://cdn.store.link/products/ayiraminimart50505/ukfm42-pringles%20salt%20?versionId=BimMp0U.LEdOiCrhSbBgV_.rQWSkbL.r")</f>
        <v/>
      </c>
      <c r="L763" s="18"/>
      <c r="M763" s="10"/>
      <c r="N763" s="10"/>
    </row>
    <row r="764">
      <c r="A764" s="19" t="s">
        <v>1295</v>
      </c>
      <c r="B764" s="27" t="s">
        <v>623</v>
      </c>
      <c r="C764" s="22">
        <v>4.0</v>
      </c>
      <c r="D764" s="22" t="s">
        <v>1296</v>
      </c>
      <c r="E764" s="6"/>
      <c r="F764" s="18"/>
      <c r="G764" s="18"/>
      <c r="H764" s="18"/>
      <c r="I764" s="18"/>
      <c r="J764" s="10"/>
      <c r="K764" s="18" t="str">
        <f>IMAGE("https://cdn.store.link/products/ayiraminimart50505/9pjj6v-chips%20oman%20potato%20chips%20chilli%20flavour%20%E2%80%93%2040%20g.png?versionId=rp3vlc6huE9NvrK2Q_xYFeICroAiSpaq")</f>
        <v/>
      </c>
      <c r="L764" s="18"/>
      <c r="M764" s="10"/>
      <c r="N764" s="10"/>
    </row>
    <row r="765">
      <c r="A765" s="19" t="s">
        <v>1297</v>
      </c>
      <c r="B765" s="27" t="s">
        <v>623</v>
      </c>
      <c r="C765" s="22">
        <v>4.0</v>
      </c>
      <c r="D765" s="22" t="s">
        <v>1289</v>
      </c>
      <c r="E765" s="6"/>
      <c r="F765" s="18"/>
      <c r="G765" s="18"/>
      <c r="H765" s="18"/>
      <c r="I765" s="18"/>
      <c r="J765" s="10"/>
      <c r="K765" s="18" t="str">
        <f>IMAGE("https://cdn.store.link/products/ayiraminimart50505/dwb7nx-pringles%20cheesy%20cheesy%20%E2%80%93%2040%20g.png?versionId=h8yD.2_DzJ6W6c7454EhGiojuJOh.Vz1")</f>
        <v/>
      </c>
      <c r="L765" s="18"/>
      <c r="M765" s="10"/>
      <c r="N765" s="10"/>
    </row>
    <row r="766">
      <c r="A766" s="5" t="s">
        <v>1298</v>
      </c>
      <c r="B766" s="27" t="s">
        <v>623</v>
      </c>
      <c r="C766" s="22">
        <v>10.5</v>
      </c>
      <c r="D766" s="22" t="s">
        <v>1289</v>
      </c>
      <c r="E766" s="6"/>
      <c r="F766" s="18"/>
      <c r="G766" s="18"/>
      <c r="H766" s="18"/>
      <c r="I766" s="18"/>
      <c r="J766" s="10"/>
      <c r="K766" s="18" t="str">
        <f>IMAGE("https://cdn.store.link/products/ayiraminimart50505/1-e26p-pringles%20original%20%E2%80%93%20165%20g.png?versionId=JV.0stfJReH_IJJ3zIl0527.SPjgWTDx")</f>
        <v/>
      </c>
      <c r="L766" s="18"/>
      <c r="M766" s="10"/>
      <c r="N766" s="10"/>
    </row>
    <row r="767">
      <c r="A767" s="19" t="s">
        <v>1299</v>
      </c>
      <c r="B767" s="27" t="s">
        <v>623</v>
      </c>
      <c r="C767" s="22">
        <v>10.5</v>
      </c>
      <c r="D767" s="22" t="s">
        <v>1289</v>
      </c>
      <c r="E767" s="6"/>
      <c r="F767" s="18"/>
      <c r="G767" s="18"/>
      <c r="H767" s="18"/>
      <c r="I767" s="18"/>
      <c r="J767" s="10"/>
      <c r="K767" s="18" t="str">
        <f>IMAGE("https://cdn.store.link/products/ayiraminimart50505/cf4-qd-pringles%20sour%20cream%20?versionId=9i22ihx387lft7QtbpMNWMp.mt0TFu4L")</f>
        <v/>
      </c>
      <c r="L767" s="18"/>
      <c r="M767" s="10"/>
      <c r="N767" s="10"/>
    </row>
    <row r="768">
      <c r="A768" s="19" t="s">
        <v>1300</v>
      </c>
      <c r="B768" s="27" t="s">
        <v>623</v>
      </c>
      <c r="C768" s="22">
        <v>10.5</v>
      </c>
      <c r="D768" s="22" t="s">
        <v>1289</v>
      </c>
      <c r="E768" s="6"/>
      <c r="F768" s="18"/>
      <c r="G768" s="18"/>
      <c r="H768" s="18"/>
      <c r="I768" s="18"/>
      <c r="J768" s="10"/>
      <c r="K768" s="18" t="str">
        <f>IMAGE("https://cdn.store.link/products/ayiraminimart50505/tt5nmm-pringles%20cheesy%20cheesy%20%E2%80%93%20165%20g.png?versionId=xUDgF3LW.im10qgNzxgL5eeyi90NHYu5")</f>
        <v/>
      </c>
      <c r="L768" s="18"/>
      <c r="M768" s="10"/>
      <c r="N768" s="10"/>
    </row>
    <row r="769">
      <c r="A769" s="19" t="s">
        <v>1301</v>
      </c>
      <c r="B769" s="27" t="s">
        <v>623</v>
      </c>
      <c r="C769" s="22">
        <v>10.5</v>
      </c>
      <c r="D769" s="22" t="s">
        <v>1289</v>
      </c>
      <c r="E769" s="6"/>
      <c r="F769" s="18"/>
      <c r="G769" s="18"/>
      <c r="H769" s="18"/>
      <c r="I769" s="18"/>
      <c r="J769" s="10"/>
      <c r="K769" s="18" t="str">
        <f>IMAGE("https://cdn.store.link/products/ayiraminimart50505/b11fbn-pringles%20salt%20?versionId=WBAeMFqeijBQjZcgMDEmMZLkQZ14L28D")</f>
        <v/>
      </c>
      <c r="L769" s="18"/>
      <c r="M769" s="10"/>
      <c r="N769" s="10"/>
    </row>
    <row r="770">
      <c r="A770" s="19" t="s">
        <v>1302</v>
      </c>
      <c r="B770" s="27" t="s">
        <v>623</v>
      </c>
      <c r="C770" s="22">
        <v>7.5</v>
      </c>
      <c r="D770" s="22" t="s">
        <v>1303</v>
      </c>
      <c r="E770" s="6"/>
      <c r="F770" s="18"/>
      <c r="G770" s="18"/>
      <c r="H770" s="18"/>
      <c r="I770" s="18"/>
      <c r="J770" s="10"/>
      <c r="K770" s="18" t="str">
        <f>IMAGE("https://cdn.store.link/products/ayiraminimart50505/0yrz16-chips%20oman%20chilli%20flavour%20potato%20chips%20%E2%80%93%20137%20g.png?versionId=eFqhgw1Ki51XwURpM5rXhZoJVzUoL_3K")</f>
        <v/>
      </c>
      <c r="L770" s="18"/>
      <c r="M770" s="10"/>
      <c r="N770" s="10"/>
    </row>
    <row r="771">
      <c r="A771" s="5" t="s">
        <v>1304</v>
      </c>
      <c r="B771" s="27" t="s">
        <v>623</v>
      </c>
      <c r="C771" s="22">
        <v>10.5</v>
      </c>
      <c r="D771" s="22" t="s">
        <v>1289</v>
      </c>
      <c r="E771" s="6"/>
      <c r="F771" s="18"/>
      <c r="G771" s="18"/>
      <c r="H771" s="18"/>
      <c r="I771" s="18"/>
      <c r="J771" s="10"/>
      <c r="K771" s="18" t="str">
        <f>IMAGE("https://cdn.store.link/products/ayiraminimart50505/9a31fo-pringles%20ketchup%20%E2%80%93%20165%20g.png?versionId=sWOx2VIphmsTs0thQ4mdnkCyK6XxlR12")</f>
        <v/>
      </c>
      <c r="L771" s="18"/>
      <c r="M771" s="10"/>
      <c r="N771" s="10"/>
    </row>
    <row r="772">
      <c r="A772" s="19" t="s">
        <v>1305</v>
      </c>
      <c r="B772" s="27" t="s">
        <v>623</v>
      </c>
      <c r="C772" s="22">
        <v>10.5</v>
      </c>
      <c r="D772" s="22" t="s">
        <v>1289</v>
      </c>
      <c r="E772" s="6"/>
      <c r="F772" s="18"/>
      <c r="G772" s="18"/>
      <c r="H772" s="18"/>
      <c r="I772" s="18"/>
      <c r="J772" s="10"/>
      <c r="K772" s="18" t="str">
        <f>IMAGE("https://cdn.store.link/products/ayiraminimart50505/5jrafe-pringles%20barbeque%20%E2%80%93%20165%20g.png?versionId=ZxjvcnZmay6Fap90G4e39wU3.YQv3GVW")</f>
        <v/>
      </c>
      <c r="L772" s="18"/>
      <c r="M772" s="10"/>
      <c r="N772" s="10"/>
    </row>
    <row r="773">
      <c r="A773" s="5" t="s">
        <v>1306</v>
      </c>
      <c r="B773" s="27" t="s">
        <v>623</v>
      </c>
      <c r="C773" s="22">
        <v>10.5</v>
      </c>
      <c r="D773" s="22" t="s">
        <v>1289</v>
      </c>
      <c r="E773" s="6"/>
      <c r="F773" s="18"/>
      <c r="G773" s="18"/>
      <c r="H773" s="18"/>
      <c r="I773" s="18"/>
      <c r="J773" s="10"/>
      <c r="K773" s="18" t="str">
        <f>IMAGE("https://cdn.store.link/products/ayiraminimart50505/vmdby4-pringles%20hot%20?versionId=ifEYNX.uwQwK.5vk4.jdUqBW98bc1Nbi")</f>
        <v/>
      </c>
      <c r="L773" s="18"/>
      <c r="M773" s="10"/>
      <c r="N773" s="10"/>
    </row>
    <row r="774">
      <c r="A774" s="19" t="s">
        <v>1307</v>
      </c>
      <c r="B774" s="27" t="s">
        <v>623</v>
      </c>
      <c r="C774" s="22">
        <v>10.5</v>
      </c>
      <c r="D774" s="22" t="s">
        <v>1289</v>
      </c>
      <c r="E774" s="6"/>
      <c r="F774" s="18"/>
      <c r="G774" s="18"/>
      <c r="H774" s="18"/>
      <c r="I774" s="18"/>
      <c r="J774" s="10"/>
      <c r="K774" s="18" t="str">
        <f>IMAGE("https://cdn.store.link/products/ayiraminimart50505/ol00ao-pringles%20paprika%20%E2%80%93%20165%20g.png?versionId=Tx3EmnpQrRli1BYDUb11f8k.V0SkFz73")</f>
        <v/>
      </c>
      <c r="L774" s="18"/>
      <c r="M774" s="10"/>
      <c r="N774" s="10"/>
    </row>
    <row r="775">
      <c r="A775" s="19" t="s">
        <v>1308</v>
      </c>
      <c r="B775" s="29" t="s">
        <v>1009</v>
      </c>
      <c r="C775" s="22">
        <v>1.0</v>
      </c>
      <c r="D775" s="22" t="s">
        <v>1309</v>
      </c>
      <c r="E775" s="6"/>
      <c r="F775" s="18"/>
      <c r="G775" s="18"/>
      <c r="H775" s="18"/>
      <c r="I775" s="18"/>
      <c r="J775" s="10"/>
      <c r="K775" s="18" t="str">
        <f>IMAGE("https://cdn.store.link/products/ayiraminimart50505/r9don9-fruits%20roll%20grape%20flavour%2012%20g.png?versionId=ZsPFfSjZoKuy5ZIXKaZB7Vs6J61qM0ix")</f>
        <v/>
      </c>
      <c r="L775" s="18"/>
      <c r="M775" s="10"/>
      <c r="N775" s="10"/>
    </row>
    <row r="776">
      <c r="A776" s="19" t="s">
        <v>1310</v>
      </c>
      <c r="B776" s="29" t="s">
        <v>1009</v>
      </c>
      <c r="C776" s="22">
        <v>4.0</v>
      </c>
      <c r="D776" s="22" t="s">
        <v>1311</v>
      </c>
      <c r="E776" s="6"/>
      <c r="F776" s="18"/>
      <c r="G776" s="18"/>
      <c r="H776" s="18"/>
      <c r="I776" s="18"/>
      <c r="J776" s="10"/>
      <c r="K776" s="18" t="str">
        <f>IMAGE("https://cdn.store.link/products/ayiraminimart50505/44ghux-cats%20pop%2035%20g.png?versionId=MxbFNULdTpysqll19jz2kwoxBkcxFGvD")</f>
        <v/>
      </c>
      <c r="L776" s="18"/>
      <c r="M776" s="10"/>
      <c r="N776" s="10"/>
    </row>
    <row r="777">
      <c r="A777" s="19" t="s">
        <v>1312</v>
      </c>
      <c r="B777" s="29" t="s">
        <v>1009</v>
      </c>
      <c r="C777" s="22">
        <v>1.5</v>
      </c>
      <c r="D777" s="22" t="s">
        <v>1313</v>
      </c>
      <c r="E777" s="6"/>
      <c r="F777" s="18"/>
      <c r="G777" s="18"/>
      <c r="H777" s="18"/>
      <c r="I777" s="18"/>
      <c r="J777" s="10"/>
      <c r="K777" s="18" t="str">
        <f>IMAGE("https://cdn.store.link/products/ayiraminimart50505/fxxp6g-twist%20stick%20mallow%2012%20g.png?versionId=KeLzls9skOcg4TVg7XlwJ1V0mnjFFsFJ")</f>
        <v/>
      </c>
      <c r="L777" s="18"/>
      <c r="M777" s="10"/>
      <c r="N777" s="10"/>
    </row>
    <row r="778">
      <c r="A778" s="19" t="s">
        <v>1314</v>
      </c>
      <c r="B778" s="29" t="s">
        <v>1009</v>
      </c>
      <c r="C778" s="22">
        <v>9.0</v>
      </c>
      <c r="D778" s="22" t="s">
        <v>1315</v>
      </c>
      <c r="E778" s="6"/>
      <c r="F778" s="18"/>
      <c r="G778" s="18"/>
      <c r="H778" s="18"/>
      <c r="I778" s="18"/>
      <c r="J778" s="10"/>
      <c r="K778" s="18" t="str">
        <f>IMAGE("https://cdn.store.link/products/ayiraminimart50505/hmn8oe-juicy%20drop%20pop%20copa%2026%20g.png?versionId=m33mPRZbydOnrBU918ajLKEAN0kJ3etU")</f>
        <v/>
      </c>
      <c r="L778" s="18"/>
      <c r="M778" s="10"/>
      <c r="N778" s="10"/>
    </row>
    <row r="779">
      <c r="A779" s="19" t="s">
        <v>1316</v>
      </c>
      <c r="B779" s="29" t="s">
        <v>1009</v>
      </c>
      <c r="C779" s="22">
        <v>1.5</v>
      </c>
      <c r="D779" s="22" t="s">
        <v>1317</v>
      </c>
      <c r="E779" s="6"/>
      <c r="F779" s="18"/>
      <c r="G779" s="18"/>
      <c r="H779" s="18"/>
      <c r="I779" s="18"/>
      <c r="J779" s="10"/>
      <c r="K779" s="18" t="str">
        <f>IMAGE("https://cdn.store.link/products/ayiraminimart50505/jydnfk-trinketto%2070%20ml.png?versionId=_Y28avdPnGMHsPFYuQPeNtKPaGJpsyy2")</f>
        <v/>
      </c>
      <c r="L779" s="18"/>
      <c r="M779" s="10"/>
      <c r="N779" s="10"/>
    </row>
    <row r="780">
      <c r="A780" s="19" t="s">
        <v>1318</v>
      </c>
      <c r="B780" s="29" t="s">
        <v>1009</v>
      </c>
      <c r="C780" s="22">
        <v>1.0</v>
      </c>
      <c r="D780" s="22" t="s">
        <v>1319</v>
      </c>
      <c r="E780" s="6"/>
      <c r="F780" s="18"/>
      <c r="G780" s="18"/>
      <c r="H780" s="18"/>
      <c r="I780" s="18"/>
      <c r="J780" s="10"/>
      <c r="K780" s="18" t="str">
        <f>IMAGE("https://cdn.store.link/products/ayiraminimart50505/-jym4b-saray%20cikonella%20%E2%80%93%20hazelnut%20paste%20with%20cocoa.png?versionId=3EZ0TBNHP1qFCtRrarvHTcO3xpuY1BP2")</f>
        <v/>
      </c>
      <c r="L780" s="18"/>
      <c r="M780" s="10"/>
      <c r="N780" s="10"/>
    </row>
    <row r="781">
      <c r="A781" s="19" t="s">
        <v>1320</v>
      </c>
      <c r="B781" s="29" t="s">
        <v>1009</v>
      </c>
      <c r="C781" s="22">
        <v>1.0</v>
      </c>
      <c r="D781" s="22" t="s">
        <v>1321</v>
      </c>
      <c r="E781" s="6"/>
      <c r="F781" s="18"/>
      <c r="G781" s="44"/>
      <c r="H781" s="45"/>
      <c r="I781" s="46"/>
      <c r="J781" s="10"/>
      <c r="K781" s="18" t="str">
        <f>IMAGE("https://cdn.store.link/products/ayiraminimart50505/a69ohm-fruties%20chew%20apple%2012%20g.png?versionId=gTYcbM.AksXfwszBcE5_J_3RPOBu6I3k")</f>
        <v/>
      </c>
      <c r="L781" s="18"/>
      <c r="M781" s="10"/>
      <c r="N781" s="10"/>
    </row>
    <row r="782">
      <c r="A782" s="19" t="s">
        <v>1322</v>
      </c>
      <c r="B782" s="29" t="s">
        <v>1009</v>
      </c>
      <c r="C782" s="22">
        <v>1.0</v>
      </c>
      <c r="D782" s="22" t="s">
        <v>1323</v>
      </c>
      <c r="E782" s="6"/>
      <c r="F782" s="18"/>
      <c r="G782" s="18"/>
      <c r="H782" s="18"/>
      <c r="I782" s="18"/>
      <c r="J782" s="10"/>
      <c r="K782" s="18" t="str">
        <f>IMAGE("https://cdn.store.link/products/ayiraminimart50505/uiw-9u-fruties%20chew%20strawberry%2012%20g.png?versionId=DT7xEpgWaGW33liFMQNpxT5NABlSuTIh")</f>
        <v/>
      </c>
      <c r="L782" s="18"/>
      <c r="M782" s="10"/>
      <c r="N782" s="10"/>
    </row>
    <row r="783">
      <c r="A783" s="19" t="s">
        <v>1324</v>
      </c>
      <c r="B783" s="29" t="s">
        <v>1009</v>
      </c>
      <c r="C783" s="22">
        <v>1.0</v>
      </c>
      <c r="D783" s="22" t="s">
        <v>1325</v>
      </c>
      <c r="E783" s="6"/>
      <c r="F783" s="18"/>
      <c r="G783" s="18"/>
      <c r="H783" s="18"/>
      <c r="I783" s="18"/>
      <c r="J783" s="10"/>
      <c r="K783" s="18" t="str">
        <f>IMAGE("https://cdn.store.link/products/ayiraminimart50505/45t10o-watermelon%2016%20g.png?versionId=_GKNR.MaO9EAJEBntcVzn.tVl326zeUg")</f>
        <v/>
      </c>
      <c r="L783" s="18"/>
      <c r="M783" s="10"/>
      <c r="N783" s="10"/>
    </row>
    <row r="784">
      <c r="A784" s="19" t="s">
        <v>1326</v>
      </c>
      <c r="B784" s="29" t="s">
        <v>1009</v>
      </c>
      <c r="C784" s="22">
        <v>1.0</v>
      </c>
      <c r="D784" s="22" t="s">
        <v>1327</v>
      </c>
      <c r="E784" s="6"/>
      <c r="F784" s="18"/>
      <c r="G784" s="18"/>
      <c r="H784" s="18"/>
      <c r="I784" s="18"/>
      <c r="J784" s="10"/>
      <c r="K784" s="18" t="str">
        <f>IMAGE("https://cdn.store.link/products/ayiraminimart50505/o9fvmt-yupi%20strawberry%20heart%2014%20g.png?versionId=aKehIlyeDYVZIzgtoqVuHWmYqsELTgsu")</f>
        <v/>
      </c>
      <c r="L784" s="18"/>
      <c r="M784" s="10"/>
      <c r="N784" s="10"/>
    </row>
    <row r="785">
      <c r="A785" s="19" t="s">
        <v>1328</v>
      </c>
      <c r="B785" s="29" t="s">
        <v>1009</v>
      </c>
      <c r="C785" s="22">
        <v>1.0</v>
      </c>
      <c r="D785" s="22" t="s">
        <v>1329</v>
      </c>
      <c r="E785" s="6"/>
      <c r="F785" s="18"/>
      <c r="G785" s="18"/>
      <c r="H785" s="18"/>
      <c r="I785" s="18"/>
      <c r="J785" s="10"/>
      <c r="K785" s="18" t="str">
        <f>IMAGE("https://cdn.store.link/products/ayiraminimart50505/t3oxwq-yupi%20gummi%20pizza%2014%20g.png?versionId=M8lBpLS04yj7PPgk4qsbtcOrj330gB4G")</f>
        <v/>
      </c>
      <c r="L785" s="18"/>
      <c r="M785" s="10"/>
      <c r="N785" s="10"/>
    </row>
    <row r="786">
      <c r="A786" s="19" t="s">
        <v>1330</v>
      </c>
      <c r="B786" s="29" t="s">
        <v>1009</v>
      </c>
      <c r="C786" s="22">
        <v>1.0</v>
      </c>
      <c r="D786" s="22" t="s">
        <v>1331</v>
      </c>
      <c r="E786" s="6"/>
      <c r="F786" s="18"/>
      <c r="G786" s="18"/>
      <c r="H786" s="18"/>
      <c r="I786" s="18"/>
      <c r="J786" s="10"/>
      <c r="K786" s="18" t="str">
        <f>IMAGE("https://cdn.store.link/products/ayiraminimart50505/8xa3o8-fruties%20chew%20blueberry%2012%20g.png?versionId=EmBcoVYBlmd2v8.bG7miiS6t8he82wC6")</f>
        <v/>
      </c>
      <c r="L786" s="18"/>
      <c r="M786" s="10"/>
      <c r="N786" s="10"/>
    </row>
    <row r="787">
      <c r="A787" s="19" t="s">
        <v>1332</v>
      </c>
      <c r="B787" s="29" t="s">
        <v>1009</v>
      </c>
      <c r="C787" s="22">
        <v>1.0</v>
      </c>
      <c r="D787" s="22" t="s">
        <v>1333</v>
      </c>
      <c r="E787" s="6"/>
      <c r="F787" s="18"/>
      <c r="G787" s="18"/>
      <c r="H787" s="18"/>
      <c r="I787" s="18"/>
      <c r="J787" s="10"/>
      <c r="K787" s="18" t="str">
        <f>IMAGE("https://cdn.store.link/products/ayiraminimart50505/d1wox3-tupi%20raspberry%20?versionId=Wux7Q9w.yo2U_wIEf0vtpLgyUQ1Lu3y5")</f>
        <v/>
      </c>
      <c r="L787" s="18"/>
      <c r="M787" s="10"/>
      <c r="N787" s="10"/>
    </row>
    <row r="788">
      <c r="A788" s="19" t="s">
        <v>1334</v>
      </c>
      <c r="B788" s="29" t="s">
        <v>1009</v>
      </c>
      <c r="C788" s="22">
        <v>1.0</v>
      </c>
      <c r="D788" s="22" t="s">
        <v>1335</v>
      </c>
      <c r="E788" s="6"/>
      <c r="F788" s="18"/>
      <c r="G788" s="18"/>
      <c r="H788" s="18"/>
      <c r="I788" s="18"/>
      <c r="J788" s="10"/>
      <c r="K788" s="18" t="str">
        <f>IMAGE("https://cdn.store.link/products/ayiraminimart50505/9sthp5-yupi%20iced%20cola%2017.5%20g.png?versionId=hH0znRvVhKO1vvAaU8I.3uYNa6RmFFz3")</f>
        <v/>
      </c>
      <c r="L788" s="18"/>
      <c r="M788" s="10"/>
      <c r="N788" s="10"/>
    </row>
    <row r="789">
      <c r="A789" s="19" t="s">
        <v>1336</v>
      </c>
      <c r="B789" s="29" t="s">
        <v>1009</v>
      </c>
      <c r="C789" s="22">
        <v>1.0</v>
      </c>
      <c r="D789" s="22" t="s">
        <v>1337</v>
      </c>
      <c r="E789" s="6"/>
      <c r="F789" s="18"/>
      <c r="G789" s="18"/>
      <c r="H789" s="18"/>
      <c r="I789" s="18"/>
      <c r="J789" s="10"/>
      <c r="K789" s="18" t="str">
        <f>IMAGE("https://cdn.store.link/products/ayiraminimart50505/6txj-2-yupi%20aquarium%2014%20g.png?versionId=FkEalWczGO2Y.f3YgjFHvbrqaC6Yp1eP")</f>
        <v/>
      </c>
      <c r="L789" s="18"/>
      <c r="M789" s="10"/>
      <c r="N789" s="10"/>
    </row>
    <row r="790">
      <c r="A790" s="5" t="s">
        <v>1338</v>
      </c>
      <c r="B790" s="29" t="s">
        <v>1009</v>
      </c>
      <c r="C790" s="22">
        <v>1.0</v>
      </c>
      <c r="D790" s="22" t="s">
        <v>1339</v>
      </c>
      <c r="E790" s="6"/>
      <c r="F790" s="18"/>
      <c r="G790" s="18"/>
      <c r="H790" s="18"/>
      <c r="I790" s="18"/>
      <c r="J790" s="10"/>
      <c r="K790" s="18" t="str">
        <f>IMAGE("https://cdn.store.link/products/ayiraminimart50505/qqqr76-funti.png?versionId=uuMQ1xUvONSYNohPWyN0J7Sxf0.79aKY")</f>
        <v/>
      </c>
      <c r="L790" s="18"/>
      <c r="M790" s="10"/>
      <c r="N790" s="10"/>
    </row>
    <row r="791">
      <c r="A791" s="19" t="s">
        <v>1340</v>
      </c>
      <c r="B791" s="29" t="s">
        <v>1009</v>
      </c>
      <c r="C791" s="22">
        <v>1.0</v>
      </c>
      <c r="D791" s="22" t="s">
        <v>1341</v>
      </c>
      <c r="E791" s="6"/>
      <c r="F791" s="18"/>
      <c r="G791" s="18"/>
      <c r="H791" s="18"/>
      <c r="I791" s="18"/>
      <c r="J791" s="10"/>
      <c r="K791" s="18" t="str">
        <f>IMAGE("https://cdn.store.link/products/ayiraminimart50505/cowbke-fruties%20chew%20tape%20strawberry%2012%20g.png?versionId=NjbYRku.RsDWfYYMLeFDjDzxG0Wz3fSv")</f>
        <v/>
      </c>
      <c r="L791" s="18"/>
      <c r="M791" s="10"/>
      <c r="N791" s="10"/>
    </row>
    <row r="792">
      <c r="A792" s="19" t="s">
        <v>1342</v>
      </c>
      <c r="B792" s="29" t="s">
        <v>1009</v>
      </c>
      <c r="C792" s="22">
        <v>1.0</v>
      </c>
      <c r="D792" s="22" t="s">
        <v>1343</v>
      </c>
      <c r="E792" s="6"/>
      <c r="F792" s="18"/>
      <c r="G792" s="18"/>
      <c r="H792" s="18"/>
      <c r="I792" s="18"/>
      <c r="J792" s="10"/>
      <c r="K792" s="18" t="str">
        <f>IMAGE("https://cdn.store.link/products/ayiraminimart50505/ig0791-weirds%20tangy%20candy%20blue%20raspberry%20?versionId=yHJhY_tE1iFeRFU0TxdDnn9BdZhSBABg")</f>
        <v/>
      </c>
      <c r="L792" s="18"/>
      <c r="M792" s="10"/>
      <c r="N792" s="10"/>
    </row>
    <row r="793">
      <c r="A793" s="19" t="s">
        <v>1344</v>
      </c>
      <c r="B793" s="29" t="s">
        <v>1009</v>
      </c>
      <c r="C793" s="22">
        <v>1.5</v>
      </c>
      <c r="D793" s="22" t="s">
        <v>1345</v>
      </c>
      <c r="E793" s="6"/>
      <c r="F793" s="18"/>
      <c r="G793" s="18"/>
      <c r="H793" s="18"/>
      <c r="I793" s="18"/>
      <c r="J793" s="10"/>
      <c r="K793" s="18" t="str">
        <f>IMAGE("https://cdn.store.link/products/ayiraminimart50505/8dg6fv-screamers%20mega%20sour%20gum%2017%20g.png?versionId=e.XLOuI.iQM2w6urdQl0D23K_mCoTS3g")</f>
        <v/>
      </c>
      <c r="L793" s="18"/>
      <c r="M793" s="10"/>
      <c r="N793" s="10"/>
    </row>
    <row r="794">
      <c r="A794" s="19" t="s">
        <v>1346</v>
      </c>
      <c r="B794" s="29" t="s">
        <v>1009</v>
      </c>
      <c r="C794" s="22">
        <v>4.0</v>
      </c>
      <c r="D794" s="22" t="s">
        <v>1347</v>
      </c>
      <c r="E794" s="6"/>
      <c r="F794" s="18"/>
      <c r="G794" s="18"/>
      <c r="H794" s="18"/>
      <c r="I794" s="18"/>
      <c r="J794" s="10"/>
      <c r="K794" s="18" t="str">
        <f>IMAGE("https://cdn.store.link/products/ayiraminimart50505/9y8n8z-watermelon%20gumball%2035%20g.png?versionId=3krrxfX6r0eYv6EuqwpRLLtpW.r02DYY")</f>
        <v/>
      </c>
      <c r="L794" s="18"/>
      <c r="M794" s="10"/>
      <c r="N794" s="10"/>
    </row>
    <row r="795">
      <c r="A795" s="19" t="s">
        <v>1348</v>
      </c>
      <c r="B795" s="29" t="s">
        <v>1009</v>
      </c>
      <c r="C795" s="22">
        <v>1.0</v>
      </c>
      <c r="D795" s="22" t="s">
        <v>1349</v>
      </c>
      <c r="E795" s="6"/>
      <c r="F795" s="18"/>
      <c r="G795" s="18"/>
      <c r="H795" s="18"/>
      <c r="I795" s="18"/>
      <c r="J795" s="10"/>
      <c r="K795" s="18" t="str">
        <f>IMAGE("https://cdn.store.link/products/ayiraminimart50505/ypmed6-bubble%20gum%20strawberry%2018%20g.png?versionId=UCi08wSUzfm7GsJ_evo_kxgW74jXOnR4")</f>
        <v/>
      </c>
      <c r="L795" s="18"/>
      <c r="M795" s="10"/>
      <c r="N795" s="10"/>
    </row>
    <row r="796">
      <c r="A796" s="19" t="s">
        <v>1350</v>
      </c>
      <c r="B796" s="29" t="s">
        <v>1009</v>
      </c>
      <c r="C796" s="22">
        <v>1.0</v>
      </c>
      <c r="D796" s="22" t="s">
        <v>1351</v>
      </c>
      <c r="E796" s="6"/>
      <c r="F796" s="18"/>
      <c r="G796" s="18"/>
      <c r="H796" s="18"/>
      <c r="I796" s="18"/>
      <c r="J796" s="10"/>
      <c r="K796" s="18" t="str">
        <f>IMAGE("https://cdn.store.link/products/ayiraminimart50505/9whpev-diploko%20roll%2018%20g.png?versionId=Sg17cEMcBy.dyXp5_Ti1gPjK9NWUK4hp")</f>
        <v/>
      </c>
      <c r="L796" s="18"/>
      <c r="M796" s="10"/>
      <c r="N796" s="10"/>
    </row>
    <row r="797">
      <c r="A797" s="19" t="s">
        <v>1352</v>
      </c>
      <c r="B797" s="29" t="s">
        <v>1009</v>
      </c>
      <c r="C797" s="22">
        <v>6.0</v>
      </c>
      <c r="D797" s="22" t="s">
        <v>1353</v>
      </c>
      <c r="E797" s="6"/>
      <c r="F797" s="18"/>
      <c r="G797" s="18"/>
      <c r="H797" s="18"/>
      <c r="I797" s="18"/>
      <c r="J797" s="10"/>
      <c r="K797" s="18" t="str">
        <f>IMAGE("https://cdn.store.link/products/ayiraminimart50505/szw5b0-haribo%20goldbears%20with%20fruit%20juice%20%E2%80%93%2080%20g.png?versionId=y_2sgWW2F68bQ1UWZPRsvgFdw1CKBbiy")</f>
        <v/>
      </c>
      <c r="L797" s="18"/>
      <c r="M797" s="10"/>
      <c r="N797" s="10"/>
    </row>
    <row r="798">
      <c r="A798" s="19" t="s">
        <v>1354</v>
      </c>
      <c r="B798" s="29" t="s">
        <v>1009</v>
      </c>
      <c r="C798" s="22">
        <v>6.0</v>
      </c>
      <c r="D798" s="22" t="s">
        <v>1050</v>
      </c>
      <c r="E798" s="6"/>
      <c r="F798" s="18"/>
      <c r="G798" s="18"/>
      <c r="H798" s="18"/>
      <c r="I798" s="18"/>
      <c r="J798" s="10"/>
      <c r="K798" s="18" t="str">
        <f>IMAGE("https://cdn.store.link/products/ayiraminimart50505/t323jb-haribo%20worms%20%E2%80%93%2080%20g.png?versionId=NA7sB3tvlw1.Hpl4d_iFRdbjv5Gg.324")</f>
        <v/>
      </c>
      <c r="L798" s="18"/>
      <c r="M798" s="10"/>
      <c r="N798" s="10"/>
    </row>
    <row r="799">
      <c r="A799" s="19" t="s">
        <v>1355</v>
      </c>
      <c r="B799" s="29" t="s">
        <v>1009</v>
      </c>
      <c r="C799" s="22">
        <v>6.0</v>
      </c>
      <c r="D799" s="22" t="s">
        <v>1050</v>
      </c>
      <c r="E799" s="6"/>
      <c r="F799" s="18"/>
      <c r="G799" s="18"/>
      <c r="H799" s="18"/>
      <c r="I799" s="18"/>
      <c r="J799" s="10"/>
      <c r="K799" s="18" t="str">
        <f>IMAGE("https://cdn.store.link/products/ayiraminimart50505/o1wby0-haribo%20starmix%20%E2%80%93%2080%20g.png?versionId=LfM9bkZ._f7QfzUFnbE2DLWL3ojNtCva")</f>
        <v/>
      </c>
      <c r="L799" s="18"/>
      <c r="M799" s="10"/>
      <c r="N799" s="10"/>
    </row>
    <row r="800">
      <c r="A800" s="19" t="s">
        <v>1356</v>
      </c>
      <c r="B800" s="29" t="s">
        <v>1009</v>
      </c>
      <c r="C800" s="22">
        <v>6.0</v>
      </c>
      <c r="D800" s="22" t="s">
        <v>1050</v>
      </c>
      <c r="E800" s="6"/>
      <c r="F800" s="18"/>
      <c r="G800" s="18"/>
      <c r="H800" s="18"/>
      <c r="I800" s="18"/>
      <c r="J800" s="10"/>
      <c r="K800" s="18" t="str">
        <f>IMAGE("https://cdn.store.link/products/ayiraminimart50505/d3350--haribo%20veggy%20mix%20%E2%80%93%2080%20g.png?versionId=gpXR66GRm0Wetbh3cgpYoRP4xOzf0lMB")</f>
        <v/>
      </c>
      <c r="L800" s="18"/>
      <c r="M800" s="10"/>
      <c r="N800" s="10"/>
    </row>
    <row r="801">
      <c r="A801" s="19" t="s">
        <v>1357</v>
      </c>
      <c r="B801" s="29" t="s">
        <v>1009</v>
      </c>
      <c r="C801" s="22">
        <v>6.0</v>
      </c>
      <c r="D801" s="22" t="s">
        <v>1050</v>
      </c>
      <c r="E801" s="6"/>
      <c r="F801" s="18"/>
      <c r="G801" s="18"/>
      <c r="H801" s="18"/>
      <c r="I801" s="18"/>
      <c r="J801" s="10"/>
      <c r="K801" s="18" t="str">
        <f>IMAGE("https://cdn.store.link/products/ayiraminimart50505/mxpfu0-haribo%20teeth%20%E2%80%93%2080%20g.png?versionId=.ZjDZa_lb2iXVux1KL3hScTRH_kTcOpA")</f>
        <v/>
      </c>
      <c r="L801" s="18"/>
      <c r="M801" s="10"/>
      <c r="N801" s="10"/>
    </row>
    <row r="802">
      <c r="A802" s="19" t="s">
        <v>1358</v>
      </c>
      <c r="B802" s="29" t="s">
        <v>1009</v>
      </c>
      <c r="C802" s="22">
        <v>6.0</v>
      </c>
      <c r="D802" s="22" t="s">
        <v>1050</v>
      </c>
      <c r="E802" s="6"/>
      <c r="F802" s="18"/>
      <c r="G802" s="18"/>
      <c r="H802" s="18"/>
      <c r="I802" s="18"/>
      <c r="J802" s="10"/>
      <c r="K802" s="18" t="str">
        <f>IMAGE("https://cdn.store.link/products/ayiraminimart50505/uuwhu6-haribo%20berries%20%E2%80%93%2080%20g.png?versionId=h9gMy2amWeSj063nIHiDRtr186JNkgN2")</f>
        <v/>
      </c>
      <c r="L802" s="18"/>
      <c r="M802" s="10"/>
      <c r="N802" s="10"/>
    </row>
    <row r="803">
      <c r="A803" s="19" t="s">
        <v>1359</v>
      </c>
      <c r="B803" s="29" t="s">
        <v>1009</v>
      </c>
      <c r="C803" s="22">
        <v>6.0</v>
      </c>
      <c r="D803" s="22" t="s">
        <v>1050</v>
      </c>
      <c r="E803" s="6"/>
      <c r="F803" s="18"/>
      <c r="G803" s="18"/>
      <c r="H803" s="18"/>
      <c r="I803" s="18"/>
      <c r="J803" s="10"/>
      <c r="K803" s="18" t="str">
        <f>IMAGE("https://cdn.store.link/products/ayiraminimart50505/4mlv5n-haribo%20happy%20cola%20fizz%20%E2%80%93%2070%20g.png?versionId=kFQzDVnuPLl_cJQc39L_p5raNUchIRHM")</f>
        <v/>
      </c>
      <c r="L803" s="18"/>
      <c r="M803" s="10"/>
      <c r="N803" s="10"/>
    </row>
    <row r="804">
      <c r="A804" s="5" t="s">
        <v>1360</v>
      </c>
      <c r="B804" s="29" t="s">
        <v>831</v>
      </c>
      <c r="C804" s="22">
        <v>3.0</v>
      </c>
      <c r="D804" s="22" t="s">
        <v>1361</v>
      </c>
      <c r="E804" s="6"/>
      <c r="F804" s="18"/>
      <c r="G804" s="18"/>
      <c r="H804" s="18"/>
      <c r="I804" s="18"/>
      <c r="J804" s="10"/>
      <c r="K804" s="18" t="str">
        <f>IMAGE("https://cdn.store.link/products/ayiraminimart50505/itimq8-mentos%20strawberry.png?versionId=7xv7cNlzD1K_ZELFa1ue_tUbuOVz2BCl")</f>
        <v/>
      </c>
      <c r="L804" s="18"/>
      <c r="M804" s="10"/>
      <c r="N804" s="10"/>
    </row>
    <row r="805">
      <c r="A805" s="19" t="s">
        <v>1362</v>
      </c>
      <c r="B805" s="29" t="s">
        <v>831</v>
      </c>
      <c r="C805" s="22">
        <v>5.0</v>
      </c>
      <c r="D805" s="22" t="s">
        <v>834</v>
      </c>
      <c r="E805" s="6"/>
      <c r="F805" s="18"/>
      <c r="G805" s="18"/>
      <c r="H805" s="18"/>
      <c r="I805" s="18"/>
      <c r="J805" s="10"/>
      <c r="K805" s="18" t="str">
        <f>IMAGE("https://cdn.store.link/products/ayiraminimart50505/v5gi80-extra%20refreshers%20spearmint%20%E2%80%93%2015.6%20g.png?versionId=VqrUyi_B4d1QyC99goW8bDPjBb9qTonH")</f>
        <v/>
      </c>
      <c r="L805" s="18"/>
      <c r="M805" s="10"/>
      <c r="N805" s="10"/>
    </row>
    <row r="806">
      <c r="A806" s="19" t="s">
        <v>1363</v>
      </c>
      <c r="B806" s="29" t="s">
        <v>831</v>
      </c>
      <c r="C806" s="22">
        <v>1.5</v>
      </c>
      <c r="D806" s="22" t="s">
        <v>1364</v>
      </c>
      <c r="E806" s="6"/>
      <c r="F806" s="18"/>
      <c r="G806" s="18"/>
      <c r="H806" s="18"/>
      <c r="I806" s="18"/>
      <c r="J806" s="10"/>
      <c r="K806" s="18" t="str">
        <f>IMAGE("https://cdn.store.link/products/ayiraminimart50505/i7tm-z-airlist%20mint%20chews%20%E2%80%93%2032%20g.png?versionId=XSYtgO3xYwgFQ0YVqCq53tC_uWudNunM")</f>
        <v/>
      </c>
      <c r="L806" s="18"/>
      <c r="M806" s="10"/>
      <c r="N806" s="10"/>
    </row>
    <row r="807">
      <c r="A807" s="19" t="s">
        <v>1365</v>
      </c>
      <c r="B807" s="29" t="s">
        <v>831</v>
      </c>
      <c r="C807" s="22">
        <v>1.5</v>
      </c>
      <c r="D807" s="22" t="s">
        <v>1366</v>
      </c>
      <c r="E807" s="6"/>
      <c r="F807" s="18"/>
      <c r="G807" s="18"/>
      <c r="H807" s="18"/>
      <c r="I807" s="18"/>
      <c r="J807" s="10"/>
      <c r="K807" s="18" t="str">
        <f>IMAGE("https://cdn.store.link/products/ayiraminimart50505/zpktzm-airlist%20fruit%20chews%20%E2%80%93%2032%20g.png?versionId=E4cZi8PJ1P4bCpmON27GA7zUhj1HoyIf")</f>
        <v/>
      </c>
      <c r="L807" s="18"/>
      <c r="M807" s="10"/>
      <c r="N807" s="10"/>
    </row>
    <row r="808">
      <c r="A808" s="19" t="s">
        <v>1367</v>
      </c>
      <c r="B808" s="29" t="s">
        <v>1009</v>
      </c>
      <c r="C808" s="22">
        <v>5.0</v>
      </c>
      <c r="D808" s="22" t="s">
        <v>1368</v>
      </c>
      <c r="E808" s="6"/>
      <c r="F808" s="18"/>
      <c r="G808" s="18"/>
      <c r="H808" s="18"/>
      <c r="I808" s="18"/>
      <c r="J808" s="10"/>
      <c r="K808" s="18" t="str">
        <f>IMAGE("https://cdn.store.link/products/ayiraminimart50505/pxgvfr-brain%20blasterz%20strawberry%20%E2%80%93%2028%20g.png?versionId=0dABuPCDsYAzHXjzDBMNsHOz.2JHrlxn")</f>
        <v/>
      </c>
      <c r="L808" s="18"/>
      <c r="M808" s="10"/>
      <c r="N808" s="10"/>
    </row>
    <row r="809">
      <c r="A809" s="19" t="s">
        <v>1369</v>
      </c>
      <c r="B809" s="29" t="s">
        <v>1009</v>
      </c>
      <c r="C809" s="22">
        <v>3.5</v>
      </c>
      <c r="D809" s="22" t="s">
        <v>1370</v>
      </c>
      <c r="E809" s="6"/>
      <c r="F809" s="18"/>
      <c r="G809" s="18"/>
      <c r="H809" s="18"/>
      <c r="I809" s="18"/>
      <c r="J809" s="10"/>
      <c r="K809" s="18" t="str">
        <f>IMAGE("https://cdn.store.link/products/ayiraminimart50505/kf4kfm-brain%20blasterz%20sour%20scales%20%E2%80%93%2045%20g.png?versionId=VXdpcCrEA7_4wMHWtwWX0Rm0LowjH37k")</f>
        <v/>
      </c>
      <c r="L809" s="18"/>
      <c r="M809" s="10"/>
      <c r="N809" s="10"/>
    </row>
    <row r="810">
      <c r="A810" s="19" t="s">
        <v>1371</v>
      </c>
      <c r="B810" s="29" t="s">
        <v>1009</v>
      </c>
      <c r="C810" s="22">
        <v>6.0</v>
      </c>
      <c r="D810" s="22" t="s">
        <v>1372</v>
      </c>
      <c r="E810" s="6"/>
      <c r="F810" s="18"/>
      <c r="G810" s="18"/>
      <c r="H810" s="18"/>
      <c r="I810" s="18"/>
      <c r="J810" s="10"/>
      <c r="K810" s="18" t="str">
        <f>IMAGE("https://cdn.store.link/products/ayiraminimart50505/5hz--x-roller%20blaster%20blue%20raspberry%20%E2%80%93%2060%20ml.png?versionId=OTt0MTwQgajIrWReE9UBh30e8waBZtX2")</f>
        <v/>
      </c>
      <c r="L810" s="18"/>
      <c r="M810" s="10"/>
      <c r="N810" s="10"/>
    </row>
    <row r="811">
      <c r="A811" s="5" t="s">
        <v>1373</v>
      </c>
      <c r="B811" s="29" t="s">
        <v>1009</v>
      </c>
      <c r="C811" s="22">
        <v>7.5</v>
      </c>
      <c r="D811" s="22" t="s">
        <v>1374</v>
      </c>
      <c r="E811" s="6"/>
      <c r="F811" s="18"/>
      <c r="G811" s="18"/>
      <c r="H811" s="18"/>
      <c r="I811" s="18"/>
      <c r="J811" s="10"/>
      <c r="K811" s="18" t="str">
        <f>IMAGE("https://cdn.store.link/products/ayiraminimart50505/gs5mrp-windmill%20lollipop.png?versionId=WbZdh6PkTZ.KPn0tOtb.34PLs3_77d4d")</f>
        <v/>
      </c>
      <c r="L811" s="18"/>
      <c r="M811" s="10"/>
      <c r="N811" s="10"/>
    </row>
    <row r="812">
      <c r="A812" s="5" t="s">
        <v>1375</v>
      </c>
      <c r="B812" s="27" t="s">
        <v>613</v>
      </c>
      <c r="C812" s="22">
        <v>2.0</v>
      </c>
      <c r="D812" s="22" t="s">
        <v>1249</v>
      </c>
      <c r="E812" s="6"/>
      <c r="F812" s="18"/>
      <c r="G812" s="18"/>
      <c r="H812" s="18"/>
      <c r="I812" s="18"/>
      <c r="J812" s="10"/>
      <c r="K812" s="18" t="str">
        <f>IMAGE("https://cdn.store.link/products/ayiraminimart50505/y0rwa5-original%20oreo%20%E2%80%93%2036.8%20g.png?versionId=be444cxJ4smZRaxtTVDRBRISUjMPap2J")</f>
        <v/>
      </c>
      <c r="L812" s="18"/>
      <c r="M812" s="10"/>
      <c r="N812" s="10"/>
    </row>
    <row r="813">
      <c r="A813" s="5" t="s">
        <v>1376</v>
      </c>
      <c r="B813" s="27" t="s">
        <v>613</v>
      </c>
      <c r="C813" s="22">
        <v>2.0</v>
      </c>
      <c r="D813" s="22" t="s">
        <v>1377</v>
      </c>
      <c r="E813" s="6"/>
      <c r="F813" s="18"/>
      <c r="G813" s="18"/>
      <c r="H813" s="18"/>
      <c r="I813" s="18"/>
      <c r="J813" s="10"/>
      <c r="K813" s="18" t="str">
        <f>IMAGE("https://cdn.store.link/products/ayiraminimart50505/2cvxw4-chocolate%20cream%20oreo%20%E2%80%93%2036.8%20g.png?versionId=NdjS1Yhp5__4Ed1rMa16nMg7di8T74kK")</f>
        <v/>
      </c>
      <c r="L813" s="18"/>
      <c r="M813" s="10"/>
      <c r="N813" s="10"/>
    </row>
    <row r="814">
      <c r="A814" s="19" t="s">
        <v>1378</v>
      </c>
      <c r="B814" s="27" t="s">
        <v>681</v>
      </c>
      <c r="C814" s="22">
        <v>0.5</v>
      </c>
      <c r="D814" s="22" t="s">
        <v>1379</v>
      </c>
      <c r="E814" s="6"/>
      <c r="F814" s="18"/>
      <c r="G814" s="18"/>
      <c r="H814" s="18"/>
      <c r="I814" s="18"/>
      <c r="J814" s="10"/>
      <c r="K814" s="18" t="str">
        <f>IMAGE("https://cdn.store.link/products/ayiraminimart50505/7ja78c-topsy%20salted%20peanuts%20%E2%80%93%2015%20g.png?versionId=4xyVr5edrHPkzGwn.JeP7MExi3ITSznQ")</f>
        <v/>
      </c>
      <c r="L814" s="18"/>
      <c r="M814" s="10"/>
      <c r="N814" s="10"/>
    </row>
    <row r="815">
      <c r="A815" s="19" t="s">
        <v>1380</v>
      </c>
      <c r="B815" s="27" t="s">
        <v>681</v>
      </c>
      <c r="C815" s="22">
        <v>1.0</v>
      </c>
      <c r="D815" s="22" t="s">
        <v>1381</v>
      </c>
      <c r="E815" s="6"/>
      <c r="F815" s="18"/>
      <c r="G815" s="18"/>
      <c r="H815" s="18"/>
      <c r="I815" s="18"/>
      <c r="J815" s="10"/>
      <c r="K815" s="18" t="str">
        <f>IMAGE("https://cdn.store.link/products/ayiraminimart50505/c8vthe-topsy%20sunflower%20seeds%20%E2%80%93%2025%20g.png?versionId=ZPMh13gHSwz14yOe57CVj7euxRLN6gZR")</f>
        <v/>
      </c>
      <c r="L815" s="18"/>
      <c r="M815" s="10"/>
      <c r="N815" s="10"/>
    </row>
    <row r="816">
      <c r="A816" s="19" t="s">
        <v>1382</v>
      </c>
      <c r="B816" s="27" t="s">
        <v>613</v>
      </c>
      <c r="C816" s="22">
        <v>50.0</v>
      </c>
      <c r="D816" s="22" t="s">
        <v>1383</v>
      </c>
      <c r="E816" s="6"/>
      <c r="F816" s="18"/>
      <c r="G816" s="18"/>
      <c r="H816" s="18"/>
      <c r="I816" s="18"/>
      <c r="J816" s="10"/>
      <c r="K816" s="18" t="str">
        <f>IMAGE("https://cdn.store.link/products/ayiraminimart50505/jukee0-minis%2035%20mixed%20%E2%80%93%20710%20gm.png?versionId=UBs9otvJcBnp0WM17KRR.1A.tlZBkUzd")</f>
        <v/>
      </c>
      <c r="L816" s="18"/>
      <c r="M816" s="10"/>
      <c r="N816" s="10"/>
    </row>
    <row r="817">
      <c r="A817" s="19" t="s">
        <v>1384</v>
      </c>
      <c r="B817" s="27" t="s">
        <v>613</v>
      </c>
      <c r="C817" s="22">
        <v>32.0</v>
      </c>
      <c r="D817" s="22" t="s">
        <v>1385</v>
      </c>
      <c r="E817" s="6"/>
      <c r="F817" s="18"/>
      <c r="G817" s="18"/>
      <c r="H817" s="18"/>
      <c r="I817" s="18"/>
      <c r="J817" s="10"/>
      <c r="K817" s="18" t="str">
        <f>IMAGE("https://cdn.store.link/products/ayiraminimart50505/a47en4-minis%2020%20mixed%20%E2%80%93%20400%20gm.png?versionId=lEoBfJ_Gvc9pdnRjhX5pCa.UeCQoSN5L")</f>
        <v/>
      </c>
      <c r="L817" s="18"/>
      <c r="M817" s="10"/>
      <c r="N817" s="10"/>
    </row>
    <row r="818">
      <c r="A818" s="19" t="s">
        <v>1386</v>
      </c>
      <c r="B818" s="27" t="s">
        <v>681</v>
      </c>
      <c r="C818" s="22">
        <v>5.0</v>
      </c>
      <c r="D818" s="22" t="s">
        <v>1387</v>
      </c>
      <c r="E818" s="6"/>
      <c r="F818" s="18"/>
      <c r="G818" s="18"/>
      <c r="H818" s="18"/>
      <c r="I818" s="18"/>
      <c r="J818" s="10"/>
      <c r="K818" s="18" t="str">
        <f>IMAGE("https://cdn.store.link/products/ayiraminimart50505/m06n7p-camel%20natural%20baked%20almonds%20%2836%20g%29.png?versionId=nJCJE44Hr3MOtTULmgVstmodB_0SbUhN")</f>
        <v/>
      </c>
      <c r="L818" s="18"/>
      <c r="M818" s="10"/>
      <c r="N818" s="10"/>
    </row>
    <row r="819">
      <c r="A819" s="19" t="s">
        <v>1388</v>
      </c>
      <c r="B819" s="27" t="s">
        <v>681</v>
      </c>
      <c r="C819" s="22">
        <v>5.5</v>
      </c>
      <c r="D819" s="22" t="s">
        <v>1389</v>
      </c>
      <c r="E819" s="6"/>
      <c r="F819" s="18"/>
      <c r="G819" s="18"/>
      <c r="H819" s="18"/>
      <c r="I819" s="18"/>
      <c r="J819" s="10"/>
      <c r="K819" s="18" t="str">
        <f>IMAGE("https://cdn.store.link/products/ayiraminimart50505/2ojgks-camel%20natural%20smoked%20almonds%20%2836%20g%29.png?versionId=KeMBk2F6O8cmpIWivA3GHOpLSIQ8g6Qo")</f>
        <v/>
      </c>
      <c r="L819" s="18"/>
      <c r="M819" s="10"/>
      <c r="N819" s="10"/>
    </row>
    <row r="820">
      <c r="A820" s="19" t="s">
        <v>1390</v>
      </c>
      <c r="B820" s="27" t="s">
        <v>681</v>
      </c>
      <c r="C820" s="22">
        <v>3.0</v>
      </c>
      <c r="D820" s="22" t="s">
        <v>1391</v>
      </c>
      <c r="E820" s="6"/>
      <c r="F820" s="18"/>
      <c r="G820" s="18"/>
      <c r="H820" s="18"/>
      <c r="I820" s="18"/>
      <c r="J820" s="10"/>
      <c r="K820" s="18" t="str">
        <f>IMAGE("https://cdn.store.link/products/ayiraminimart50505/6pvco5-camel%20roasted%20peanuts%20%2836%20g%29.png?versionId=FjQYUGKRDH9tvZQ.qHiGx5C3POtjiyDJ")</f>
        <v/>
      </c>
      <c r="L820" s="18"/>
      <c r="M820" s="10"/>
      <c r="N820" s="10"/>
    </row>
    <row r="821">
      <c r="A821" s="19" t="s">
        <v>1392</v>
      </c>
      <c r="B821" s="27" t="s">
        <v>681</v>
      </c>
      <c r="C821" s="22">
        <v>3.5</v>
      </c>
      <c r="D821" s="22" t="s">
        <v>1393</v>
      </c>
      <c r="E821" s="6"/>
      <c r="F821" s="18"/>
      <c r="G821" s="18"/>
      <c r="H821" s="18"/>
      <c r="I821" s="18"/>
      <c r="J821" s="10"/>
      <c r="K821" s="18" t="str">
        <f>IMAGE("https://cdn.store.link/products/ayiraminimart50505/swziuu-camel%20green%20peas%20%2836%20g%29.png?versionId=yvPTQ7PFeeEDwtn8MBmF6L6lf4rUNiH0")</f>
        <v/>
      </c>
      <c r="L821" s="18"/>
      <c r="M821" s="10"/>
      <c r="N821" s="10"/>
    </row>
    <row r="822">
      <c r="A822" s="19" t="s">
        <v>1394</v>
      </c>
      <c r="B822" s="27" t="s">
        <v>681</v>
      </c>
      <c r="C822" s="22">
        <v>3.0</v>
      </c>
      <c r="D822" s="22" t="s">
        <v>1395</v>
      </c>
      <c r="E822" s="6"/>
      <c r="F822" s="18"/>
      <c r="G822" s="18"/>
      <c r="H822" s="18"/>
      <c r="I822" s="18"/>
      <c r="J822" s="10"/>
      <c r="K822" s="18" t="str">
        <f>IMAGE("https://cdn.store.link/products/ayiraminimart50505/a6hxad-camel%20mixed%20snacks%20%2836%20g%29.png?versionId=hX1aMof0wE_csNkmRjUBFiRt_Wn_rgS0")</f>
        <v/>
      </c>
      <c r="L822" s="18"/>
      <c r="M822" s="10"/>
      <c r="N822" s="10"/>
    </row>
    <row r="823">
      <c r="A823" s="5" t="s">
        <v>1396</v>
      </c>
      <c r="B823" s="29" t="s">
        <v>1397</v>
      </c>
      <c r="C823" s="22">
        <v>4.0</v>
      </c>
      <c r="D823" s="22" t="s">
        <v>1398</v>
      </c>
      <c r="E823" s="6"/>
      <c r="F823" s="18"/>
      <c r="G823" s="18"/>
      <c r="H823" s="18"/>
      <c r="I823" s="18"/>
      <c r="J823" s="10" t="s">
        <v>51</v>
      </c>
      <c r="K823" s="18" t="str">
        <f>IMAGE("https://cdn.store.link/products/ayiraminimart50505/hdhew9-pran%20ring%20murukku%20%E2%80%93%20kerala%20style.png?versionId=Ljdgc_TcZfO7voTDQ0KENqMnc2NwXuWN")</f>
        <v/>
      </c>
      <c r="L823" s="18"/>
      <c r="M823" s="10"/>
      <c r="N823" s="10"/>
    </row>
    <row r="824">
      <c r="A824" s="19" t="s">
        <v>1399</v>
      </c>
      <c r="B824" s="29" t="s">
        <v>1397</v>
      </c>
      <c r="C824" s="22">
        <v>4.5</v>
      </c>
      <c r="D824" s="22" t="s">
        <v>1400</v>
      </c>
      <c r="E824" s="6"/>
      <c r="F824" s="18"/>
      <c r="G824" s="18"/>
      <c r="H824" s="18"/>
      <c r="I824" s="18"/>
      <c r="J824" s="10" t="s">
        <v>51</v>
      </c>
      <c r="K824" s="18" t="str">
        <f>IMAGE("https://cdn.store.link/products/ayiraminimart50505/3o2h1d-star%20fries%20tapioca%20chips%20%E2%80%93%20125g.png?versionId=IZESGme7XJKkn20MUUUSuSlSlXec.qr3")</f>
        <v/>
      </c>
      <c r="L824" s="18"/>
      <c r="M824" s="10"/>
      <c r="N824" s="10"/>
    </row>
    <row r="825">
      <c r="A825" s="19" t="s">
        <v>1401</v>
      </c>
      <c r="B825" s="29" t="s">
        <v>1397</v>
      </c>
      <c r="C825" s="22">
        <v>5.0</v>
      </c>
      <c r="D825" s="22" t="s">
        <v>1402</v>
      </c>
      <c r="E825" s="6"/>
      <c r="F825" s="18"/>
      <c r="G825" s="18"/>
      <c r="H825" s="18"/>
      <c r="I825" s="18"/>
      <c r="J825" s="10" t="s">
        <v>51</v>
      </c>
      <c r="K825" s="18" t="str">
        <f>IMAGE("https://cdn.store.link/products/ayiraminimart50505/5gwsr4-star%20fries%20fruit%20banana%20chips%20%E2%80%93%20125g.png?versionId=Lx9VIRE.i9Yx2cbikOcokXOYHKqK.YIz")</f>
        <v/>
      </c>
      <c r="L825" s="18"/>
      <c r="M825" s="10"/>
      <c r="N825" s="10"/>
    </row>
    <row r="826">
      <c r="A826" s="19" t="s">
        <v>1403</v>
      </c>
      <c r="B826" s="29" t="s">
        <v>1397</v>
      </c>
      <c r="C826" s="22">
        <v>5.0</v>
      </c>
      <c r="D826" s="22" t="s">
        <v>1404</v>
      </c>
      <c r="E826" s="6"/>
      <c r="F826" s="18"/>
      <c r="G826" s="18"/>
      <c r="H826" s="18"/>
      <c r="I826" s="18"/>
      <c r="J826" s="10" t="s">
        <v>51</v>
      </c>
      <c r="K826" s="18" t="str">
        <f>IMAGE("https://cdn.store.link/products/ayiraminimart50505/bd36zf-star%20fries%20jackfruit%20chips%20%E2%80%93%20125g.png?versionId=zd1noBdJoT6fLrZr7pNC35E_97baK3lJ")</f>
        <v/>
      </c>
      <c r="L826" s="18"/>
      <c r="M826" s="10"/>
      <c r="N826" s="10"/>
    </row>
    <row r="827">
      <c r="A827" s="19" t="s">
        <v>1405</v>
      </c>
      <c r="B827" s="29" t="s">
        <v>1397</v>
      </c>
      <c r="C827" s="22">
        <v>4.5</v>
      </c>
      <c r="D827" s="22" t="s">
        <v>1406</v>
      </c>
      <c r="E827" s="6"/>
      <c r="F827" s="18"/>
      <c r="G827" s="18"/>
      <c r="H827" s="18"/>
      <c r="I827" s="18"/>
      <c r="J827" s="10" t="s">
        <v>51</v>
      </c>
      <c r="K827" s="18" t="str">
        <f>IMAGE("https://cdn.store.link/products/ayiraminimart50505/mytws2-star%20fries%20indian%20mixture%20%E2%80%93%20200g.png?versionId=5tpACJMC0EwUSDoVDqNlPEoUy9859SHo")</f>
        <v/>
      </c>
      <c r="L827" s="18"/>
      <c r="M827" s="10"/>
      <c r="N827" s="10"/>
    </row>
    <row r="828">
      <c r="A828" s="19" t="s">
        <v>1407</v>
      </c>
      <c r="B828" s="29" t="s">
        <v>1397</v>
      </c>
      <c r="C828" s="22">
        <v>4.5</v>
      </c>
      <c r="D828" s="22" t="s">
        <v>1408</v>
      </c>
      <c r="E828" s="6"/>
      <c r="F828" s="18"/>
      <c r="G828" s="18"/>
      <c r="H828" s="18"/>
      <c r="I828" s="18"/>
      <c r="J828" s="10" t="s">
        <v>51</v>
      </c>
      <c r="K828" s="18" t="str">
        <f>IMAGE("https://cdn.store.link/products/ayiraminimart50505/kpk4ir-star%20fries%20tapioca%20stick%20%E2%80%93%20125g.png?versionId=w2525O0zVOzAECkPE0Hm3rc2KdzeMKg5")</f>
        <v/>
      </c>
      <c r="L828" s="18"/>
      <c r="M828" s="10"/>
      <c r="N828" s="10"/>
    </row>
    <row r="829">
      <c r="A829" s="19" t="s">
        <v>1409</v>
      </c>
      <c r="B829" s="29" t="s">
        <v>1397</v>
      </c>
      <c r="C829" s="22">
        <v>4.5</v>
      </c>
      <c r="D829" s="22" t="s">
        <v>1410</v>
      </c>
      <c r="E829" s="6"/>
      <c r="F829" s="18"/>
      <c r="G829" s="18"/>
      <c r="H829" s="18"/>
      <c r="I829" s="18"/>
      <c r="J829" s="10" t="s">
        <v>51</v>
      </c>
      <c r="K829" s="18" t="str">
        <f>IMAGE("https://cdn.store.link/products/ayiraminimart50505/-955m7-star%20fries%20garlic%20murukku%20%E2%80%93%20125g.png?versionId=37mfRz7RCJS9cYEzqq6vZkt7WM.Olspk")</f>
        <v/>
      </c>
      <c r="L829" s="18"/>
      <c r="M829" s="10"/>
      <c r="N829" s="10"/>
    </row>
    <row r="830">
      <c r="A830" s="19" t="s">
        <v>1411</v>
      </c>
      <c r="B830" s="29" t="s">
        <v>1397</v>
      </c>
      <c r="C830" s="22">
        <v>5.0</v>
      </c>
      <c r="D830" s="22" t="s">
        <v>1412</v>
      </c>
      <c r="E830" s="6"/>
      <c r="F830" s="18"/>
      <c r="G830" s="18"/>
      <c r="H830" s="18"/>
      <c r="I830" s="18"/>
      <c r="J830" s="10" t="s">
        <v>51</v>
      </c>
      <c r="K830" s="18" t="str">
        <f>IMAGE("https://cdn.store.link/products/ayiraminimart50505/ywbye8-star%20fries%20banana%20chips%20%E2%80%93%20125g.png?versionId=Sv.zxKOr80Xhcg3gdgCcJJBgE.C46Jvr")</f>
        <v/>
      </c>
      <c r="L830" s="18"/>
      <c r="M830" s="10"/>
      <c r="N830" s="10"/>
    </row>
    <row r="831">
      <c r="A831" s="19" t="s">
        <v>1413</v>
      </c>
      <c r="B831" s="29" t="s">
        <v>1397</v>
      </c>
      <c r="C831" s="22">
        <v>2.0</v>
      </c>
      <c r="D831" s="22" t="s">
        <v>1414</v>
      </c>
      <c r="E831" s="6"/>
      <c r="F831" s="18"/>
      <c r="G831" s="18"/>
      <c r="H831" s="18"/>
      <c r="I831" s="18"/>
      <c r="J831" s="10" t="s">
        <v>51</v>
      </c>
      <c r="K831" s="18" t="str">
        <f>IMAGE("https://cdn.store.link/products/ayiraminimart50505/k-i-qe-topsy%20ola%20pakkavada%20%E2%80%93%20100g.png?versionId=y7lmWB5zdhKEwPiQCms4heI3w7CBsa9C")</f>
        <v/>
      </c>
      <c r="L831" s="18"/>
      <c r="M831" s="10"/>
      <c r="N831" s="10"/>
    </row>
    <row r="832">
      <c r="A832" s="19" t="s">
        <v>1415</v>
      </c>
      <c r="B832" s="29" t="s">
        <v>1397</v>
      </c>
      <c r="C832" s="22">
        <v>4.0</v>
      </c>
      <c r="D832" s="22" t="s">
        <v>1416</v>
      </c>
      <c r="E832" s="6"/>
      <c r="F832" s="18"/>
      <c r="G832" s="18"/>
      <c r="H832" s="18"/>
      <c r="I832" s="18"/>
      <c r="J832" s="10" t="s">
        <v>51</v>
      </c>
      <c r="K832" s="18" t="str">
        <f>IMAGE("https://cdn.store.link/products/ayiraminimart50505/c9pija-star%20fries%20malabar%20murukku%20%E2%80%93%20125g.png?versionId=ZDOPfpV.dsObo7Vj3OZqGBuGj30jouPR")</f>
        <v/>
      </c>
      <c r="L832" s="18"/>
      <c r="M832" s="10"/>
      <c r="N832" s="10"/>
    </row>
    <row r="833">
      <c r="A833" s="19" t="s">
        <v>1417</v>
      </c>
      <c r="B833" s="29" t="s">
        <v>1397</v>
      </c>
      <c r="C833" s="22">
        <v>2.0</v>
      </c>
      <c r="D833" s="22" t="s">
        <v>1418</v>
      </c>
      <c r="E833" s="6"/>
      <c r="F833" s="18"/>
      <c r="G833" s="18"/>
      <c r="H833" s="18"/>
      <c r="I833" s="18"/>
      <c r="J833" s="10" t="s">
        <v>51</v>
      </c>
      <c r="K833" s="18" t="str">
        <f>IMAGE("https://cdn.store.link/products/ayiraminimart50505/1-ftb4-topsy%20mixed%20nuts%20100%20g.png?versionId=3GaNC8tpFhtTtybXVwLr.t7ZQ2YwpUka")</f>
        <v/>
      </c>
      <c r="L833" s="18"/>
      <c r="M833" s="10"/>
      <c r="N833" s="10"/>
    </row>
    <row r="834">
      <c r="A834" s="19" t="s">
        <v>1419</v>
      </c>
      <c r="B834" s="29" t="s">
        <v>1397</v>
      </c>
      <c r="C834" s="22">
        <v>2.0</v>
      </c>
      <c r="D834" s="22" t="s">
        <v>1420</v>
      </c>
      <c r="E834" s="6"/>
      <c r="F834" s="18"/>
      <c r="G834" s="18"/>
      <c r="H834" s="18"/>
      <c r="I834" s="18"/>
      <c r="J834" s="10" t="s">
        <v>51</v>
      </c>
      <c r="K834" s="18" t="str">
        <f>IMAGE("https://cdn.store.link/products/ayiraminimart50505/343ep7-topsy%20makai%20mixture%2070%20g.png?versionId=WbWvyYDl90GaXuDbt6NgP1Jz8cnDi9Vj")</f>
        <v/>
      </c>
      <c r="L834" s="18"/>
      <c r="M834" s="10"/>
      <c r="N834" s="10"/>
    </row>
    <row r="835">
      <c r="A835" s="19" t="s">
        <v>1421</v>
      </c>
      <c r="B835" s="29" t="s">
        <v>1397</v>
      </c>
      <c r="C835" s="22">
        <v>2.0</v>
      </c>
      <c r="D835" s="22" t="s">
        <v>1422</v>
      </c>
      <c r="E835" s="6"/>
      <c r="F835" s="18"/>
      <c r="G835" s="18"/>
      <c r="H835" s="18"/>
      <c r="I835" s="18"/>
      <c r="J835" s="10" t="s">
        <v>51</v>
      </c>
      <c r="K835" s="18" t="str">
        <f>IMAGE("https://cdn.store.link/products/ayiraminimart50505/b46bdf-topsy%20payyoli%20mixture%20100%20g.png?versionId=8a7Ikfkl46hIovpoTdCtWq_gJTIU5CKJ")</f>
        <v/>
      </c>
      <c r="L835" s="18"/>
      <c r="M835" s="10"/>
      <c r="N835" s="10"/>
    </row>
    <row r="836">
      <c r="A836" s="19" t="s">
        <v>1423</v>
      </c>
      <c r="B836" s="29" t="s">
        <v>1397</v>
      </c>
      <c r="C836" s="22">
        <v>2.0</v>
      </c>
      <c r="D836" s="22" t="s">
        <v>1424</v>
      </c>
      <c r="E836" s="6"/>
      <c r="F836" s="18"/>
      <c r="G836" s="18"/>
      <c r="H836" s="18"/>
      <c r="I836" s="18"/>
      <c r="J836" s="10" t="s">
        <v>51</v>
      </c>
      <c r="K836" s="18" t="str">
        <f>IMAGE("https://cdn.store.link/products/ayiraminimart50505/6d4zbx-topsy%20chilly%20murukku%20100%20g.png?versionId=57REdlQRVauu6pgF2R96DuzmqBGWIGji")</f>
        <v/>
      </c>
      <c r="L836" s="18"/>
      <c r="M836" s="10"/>
      <c r="N836" s="10"/>
    </row>
    <row r="837">
      <c r="A837" s="19" t="s">
        <v>1425</v>
      </c>
      <c r="B837" s="29" t="s">
        <v>1397</v>
      </c>
      <c r="C837" s="22">
        <v>2.0</v>
      </c>
      <c r="D837" s="22" t="s">
        <v>1426</v>
      </c>
      <c r="E837" s="6"/>
      <c r="F837" s="18"/>
      <c r="G837" s="18"/>
      <c r="H837" s="18"/>
      <c r="I837" s="18"/>
      <c r="J837" s="10" t="s">
        <v>51</v>
      </c>
      <c r="K837" s="18" t="str">
        <f>IMAGE("https://cdn.store.link/products/ayiraminimart50505/n880ki-topsy%20butter%20murukku%2080%20g.png?versionId=bwZVZ6we.M6v3gI1DKZdc53ffvakvEfE")</f>
        <v/>
      </c>
      <c r="L837" s="18"/>
      <c r="M837" s="10"/>
      <c r="N837" s="10"/>
    </row>
    <row r="838">
      <c r="A838" s="19" t="s">
        <v>1427</v>
      </c>
      <c r="B838" s="29" t="s">
        <v>1397</v>
      </c>
      <c r="C838" s="22">
        <v>2.0</v>
      </c>
      <c r="D838" s="22" t="s">
        <v>1428</v>
      </c>
      <c r="E838" s="6"/>
      <c r="F838" s="18"/>
      <c r="G838" s="18"/>
      <c r="H838" s="18"/>
      <c r="I838" s="18"/>
      <c r="J838" s="10" t="s">
        <v>51</v>
      </c>
      <c r="K838" s="18" t="str">
        <f>IMAGE("https://cdn.store.link/products/ayiraminimart50505/soxol--topsy%20chilly%20sev%2090%20g.png?versionId=XAz1NWSqepNJSoJCRaZjthrHJq7n2qYq")</f>
        <v/>
      </c>
      <c r="L838" s="18"/>
      <c r="M838" s="10"/>
      <c r="N838" s="10"/>
    </row>
    <row r="839">
      <c r="A839" s="19" t="s">
        <v>1429</v>
      </c>
      <c r="B839" s="29" t="s">
        <v>1397</v>
      </c>
      <c r="C839" s="22">
        <v>1.0</v>
      </c>
      <c r="D839" s="22" t="s">
        <v>1430</v>
      </c>
      <c r="E839" s="6"/>
      <c r="F839" s="18"/>
      <c r="G839" s="18"/>
      <c r="H839" s="18"/>
      <c r="I839" s="18"/>
      <c r="J839" s="10" t="s">
        <v>51</v>
      </c>
      <c r="K839" s="18" t="str">
        <f>IMAGE("https://cdn.store.link/products/ayiraminimart50505/s4ltt3-pran%20chanachur%20bombay%20mix%2050%20g.png?versionId=XhT6AHMRaO0CsvbsFCcQPjn6HD_CGSwR")</f>
        <v/>
      </c>
      <c r="L839" s="18"/>
      <c r="M839" s="10"/>
      <c r="N839" s="10"/>
    </row>
    <row r="840">
      <c r="A840" s="19" t="s">
        <v>1431</v>
      </c>
      <c r="B840" s="29" t="s">
        <v>1397</v>
      </c>
      <c r="C840" s="22">
        <v>2.0</v>
      </c>
      <c r="D840" s="22" t="s">
        <v>1432</v>
      </c>
      <c r="E840" s="6"/>
      <c r="F840" s="18"/>
      <c r="G840" s="18"/>
      <c r="H840" s="18"/>
      <c r="I840" s="18"/>
      <c r="J840" s="10" t="s">
        <v>51</v>
      </c>
      <c r="K840" s="18" t="str">
        <f>IMAGE("https://cdn.store.link/products/ayiraminimart50505/ohlyb0-topsy%20garlic%20mixture%20%E2%80%93%20100g.png?versionId=5duWfmKRXgjVurJjDb1fs6hCy2uiUDaH")</f>
        <v/>
      </c>
      <c r="L840" s="18"/>
      <c r="M840" s="10"/>
      <c r="N840" s="10"/>
    </row>
    <row r="841">
      <c r="A841" s="19" t="s">
        <v>1433</v>
      </c>
      <c r="B841" s="29" t="s">
        <v>1397</v>
      </c>
      <c r="C841" s="22">
        <v>2.0</v>
      </c>
      <c r="D841" s="22" t="s">
        <v>1434</v>
      </c>
      <c r="E841" s="6"/>
      <c r="F841" s="18"/>
      <c r="G841" s="18"/>
      <c r="H841" s="18"/>
      <c r="I841" s="18"/>
      <c r="J841" s="10" t="s">
        <v>51</v>
      </c>
      <c r="K841" s="18" t="str">
        <f>IMAGE("https://cdn.store.link/products/ayiraminimart50505/7caw4j-topsy%20payyoli%20mixture%20%E2%80%93%20300g.png?versionId=FrdTJGbSbKe6toPUSq5EVbc2AJ4P5u0x")</f>
        <v/>
      </c>
      <c r="L841" s="18"/>
      <c r="M841" s="10"/>
      <c r="N841" s="10"/>
    </row>
    <row r="842">
      <c r="A842" s="19" t="s">
        <v>1435</v>
      </c>
      <c r="B842" s="29" t="s">
        <v>1397</v>
      </c>
      <c r="C842" s="22">
        <v>5.0</v>
      </c>
      <c r="D842" s="22" t="s">
        <v>1436</v>
      </c>
      <c r="E842" s="6"/>
      <c r="F842" s="18"/>
      <c r="G842" s="18"/>
      <c r="H842" s="18"/>
      <c r="I842" s="18"/>
      <c r="J842" s="10" t="s">
        <v>51</v>
      </c>
      <c r="K842" s="18" t="str">
        <f>IMAGE("https://cdn.store.link/products/ayiraminimart50505/oo-2jp-topsy%20masala%20peanut%20%E2%80%93%20300g.png?versionId=o8OJOaeN7zIVAehVqFMU7gL2h_qKggJi")</f>
        <v/>
      </c>
      <c r="L842" s="18"/>
      <c r="M842" s="10"/>
      <c r="N842" s="10"/>
    </row>
    <row r="843">
      <c r="A843" s="19" t="s">
        <v>1437</v>
      </c>
      <c r="B843" s="29" t="s">
        <v>1397</v>
      </c>
      <c r="C843" s="22">
        <v>5.0</v>
      </c>
      <c r="D843" s="22" t="s">
        <v>1438</v>
      </c>
      <c r="E843" s="6"/>
      <c r="F843" s="18"/>
      <c r="G843" s="18"/>
      <c r="H843" s="18"/>
      <c r="I843" s="18"/>
      <c r="J843" s="10" t="s">
        <v>51</v>
      </c>
      <c r="K843" s="18" t="str">
        <f>IMAGE("https://cdn.store.link/products/ayiraminimart50505/bd39up-topsy%20makai%20mixture%20%E2%80%93%20190g.png?versionId=thesz9nbb4Qxko28sjzzZ.k7cGwXJ9eX")</f>
        <v/>
      </c>
      <c r="L843" s="18"/>
      <c r="M843" s="10"/>
      <c r="N843" s="10"/>
    </row>
    <row r="844">
      <c r="A844" s="19" t="s">
        <v>1439</v>
      </c>
      <c r="B844" s="29" t="s">
        <v>1397</v>
      </c>
      <c r="C844" s="22">
        <v>5.0</v>
      </c>
      <c r="D844" s="22" t="s">
        <v>1440</v>
      </c>
      <c r="E844" s="6"/>
      <c r="F844" s="18"/>
      <c r="G844" s="18"/>
      <c r="H844" s="18"/>
      <c r="I844" s="18"/>
      <c r="J844" s="10" t="s">
        <v>51</v>
      </c>
      <c r="K844" s="18" t="str">
        <f>IMAGE("https://cdn.store.link/products/ayiraminimart50505/41w22s-topsy%20garlic%20mixture%20%E2%80%93%20300g.png?versionId=uuBipqL.e8V4D0gFB8kFfkQ89rd0e6ZZ")</f>
        <v/>
      </c>
      <c r="L844" s="18"/>
      <c r="M844" s="10"/>
      <c r="N844" s="10"/>
    </row>
    <row r="845">
      <c r="A845" s="19" t="s">
        <v>1441</v>
      </c>
      <c r="B845" s="29" t="s">
        <v>1397</v>
      </c>
      <c r="C845" s="22">
        <v>5.0</v>
      </c>
      <c r="D845" s="22" t="s">
        <v>1442</v>
      </c>
      <c r="E845" s="6"/>
      <c r="F845" s="18"/>
      <c r="G845" s="18"/>
      <c r="H845" s="18"/>
      <c r="I845" s="18"/>
      <c r="J845" s="10" t="s">
        <v>51</v>
      </c>
      <c r="K845" s="18" t="str">
        <f>IMAGE("https://cdn.store.link/products/ayiraminimart50505/bgw0b5-garlic%20mixture%20%E2%80%93%20100%20g.png?versionId=Vx7g63iNufdIe0GKraxtxcpYCkKENk45")</f>
        <v/>
      </c>
      <c r="L845" s="18"/>
      <c r="M845" s="10"/>
      <c r="N845" s="10"/>
    </row>
    <row r="846">
      <c r="A846" s="19" t="s">
        <v>1443</v>
      </c>
      <c r="B846" s="27" t="s">
        <v>1444</v>
      </c>
      <c r="C846" s="22">
        <v>7.5</v>
      </c>
      <c r="D846" s="22" t="s">
        <v>1445</v>
      </c>
      <c r="E846" s="6"/>
      <c r="F846" s="18"/>
      <c r="G846" s="18"/>
      <c r="H846" s="18"/>
      <c r="I846" s="18"/>
      <c r="J846" s="10" t="s">
        <v>51</v>
      </c>
      <c r="K846" s="18" t="str">
        <f>IMAGE("https://cdn.store.link/products/ayiraminimart50505/3ri6uv-kifco%20plain%20rusks%20385g.png?versionId=9blHHKS07DbH6lGqaKdgqnvCv_riaq6n")</f>
        <v/>
      </c>
      <c r="L846" s="18"/>
      <c r="M846" s="10"/>
      <c r="N846" s="10"/>
    </row>
    <row r="847">
      <c r="A847" s="19" t="s">
        <v>1446</v>
      </c>
      <c r="B847" s="27" t="s">
        <v>1444</v>
      </c>
      <c r="C847" s="36"/>
      <c r="D847" s="22" t="s">
        <v>1447</v>
      </c>
      <c r="E847" s="6"/>
      <c r="F847" s="18"/>
      <c r="G847" s="18"/>
      <c r="H847" s="18"/>
      <c r="I847" s="18"/>
      <c r="J847" s="10" t="s">
        <v>51</v>
      </c>
      <c r="K847" s="18" t="str">
        <f>IMAGE("https://cdn.store.link/products/ayiraminimart50505/rjf9gt-pran%20special%20toast%20%28rusk%29%20%E2%80%93%20385g.png?versionId=gT4nSfh3MikDrwoppSYTBGkLyCEo4XBE")</f>
        <v/>
      </c>
      <c r="L847" s="18"/>
      <c r="M847" s="10"/>
      <c r="N847" s="10"/>
    </row>
    <row r="848">
      <c r="A848" s="19" t="s">
        <v>1448</v>
      </c>
      <c r="B848" s="27" t="s">
        <v>681</v>
      </c>
      <c r="C848" s="22">
        <v>1.0</v>
      </c>
      <c r="D848" s="22" t="s">
        <v>1449</v>
      </c>
      <c r="E848" s="6"/>
      <c r="F848" s="18"/>
      <c r="G848" s="18"/>
      <c r="H848" s="18"/>
      <c r="I848" s="18"/>
      <c r="J848" s="10"/>
      <c r="K848" s="18" t="str">
        <f>IMAGE("https://cdn.store.link/products/ayiraminimart50505/ma6j1c-topsy%20sunflower%20seeds%20roasted%20?versionId=l39jNXFiFADncFjNJC602hUpTM9JQFdQ")</f>
        <v/>
      </c>
      <c r="L848" s="18"/>
      <c r="M848" s="10"/>
      <c r="N848" s="10"/>
    </row>
    <row r="849">
      <c r="A849" s="19" t="s">
        <v>1450</v>
      </c>
      <c r="B849" s="29" t="s">
        <v>1397</v>
      </c>
      <c r="C849" s="22">
        <v>1.0</v>
      </c>
      <c r="D849" s="22" t="s">
        <v>1451</v>
      </c>
      <c r="E849" s="6"/>
      <c r="F849" s="18"/>
      <c r="G849" s="18"/>
      <c r="H849" s="18"/>
      <c r="I849" s="18"/>
      <c r="J849" s="10" t="s">
        <v>51</v>
      </c>
      <c r="K849" s="18" t="str">
        <f>IMAGE("https://cdn.store.link/products/ayiraminimart50505/23yq7z-pran%20jhal%20muri%2050%20g.png?versionId=diUE51gMhq7JeJ8HZ0kn3fPnbZGwRs7V")</f>
        <v/>
      </c>
      <c r="L849" s="18"/>
      <c r="M849" s="10"/>
      <c r="N849" s="10"/>
    </row>
    <row r="850">
      <c r="A850" s="19" t="s">
        <v>1452</v>
      </c>
      <c r="B850" s="29" t="s">
        <v>1397</v>
      </c>
      <c r="C850" s="22">
        <v>1.0</v>
      </c>
      <c r="D850" s="22" t="s">
        <v>1453</v>
      </c>
      <c r="E850" s="6"/>
      <c r="F850" s="18"/>
      <c r="G850" s="18"/>
      <c r="H850" s="18"/>
      <c r="I850" s="18"/>
      <c r="J850" s="10"/>
      <c r="K850" s="18" t="str">
        <f>IMAGE("https://cdn.store.link/products/ayiraminimart50505/164rwd-topsy%20popcorn%2035%20g.png?versionId=9gdOhMtYsvdlUBEi_7a0ByWFP7a3RGbd")</f>
        <v/>
      </c>
      <c r="L850" s="18"/>
      <c r="M850" s="10"/>
      <c r="N850" s="10"/>
    </row>
    <row r="851">
      <c r="A851" s="19" t="s">
        <v>1454</v>
      </c>
      <c r="B851" s="29" t="s">
        <v>1397</v>
      </c>
      <c r="C851" s="22">
        <v>1.0</v>
      </c>
      <c r="D851" s="22" t="s">
        <v>1455</v>
      </c>
      <c r="E851" s="6"/>
      <c r="F851" s="18"/>
      <c r="G851" s="18"/>
      <c r="H851" s="18"/>
      <c r="I851" s="18"/>
      <c r="J851" s="10"/>
      <c r="K851" s="18" t="str">
        <f>IMAGE("https://cdn.store.link/products/ayiraminimart50505/ie1xzl-topsy%20cheese%20popcorn%2018%20g.png?versionId=0gKKpmUd0XdwfW3VwwHdI28hq47jmfge")</f>
        <v/>
      </c>
      <c r="L851" s="18"/>
      <c r="M851" s="10"/>
      <c r="N851" s="10"/>
    </row>
    <row r="852">
      <c r="A852" s="19" t="s">
        <v>1456</v>
      </c>
      <c r="B852" s="27" t="s">
        <v>613</v>
      </c>
      <c r="C852" s="36"/>
      <c r="D852" s="22" t="s">
        <v>1457</v>
      </c>
      <c r="E852" s="6"/>
      <c r="F852" s="18"/>
      <c r="G852" s="18"/>
      <c r="H852" s="18"/>
      <c r="I852" s="18"/>
      <c r="J852" s="10" t="s">
        <v>40</v>
      </c>
      <c r="K852" s="18" t="str">
        <f>IMAGE("https://cdn.store.link/products/ayiraminimart50505/pf124--napoleon%20original%20butterscotch%20candy%20150%20g.png?versionId=pqv_SEco5wsEYB3cv86ZSZooer_jYmYs")</f>
        <v/>
      </c>
      <c r="L852" s="18"/>
      <c r="M852" s="10"/>
      <c r="N852" s="10"/>
    </row>
    <row r="853">
      <c r="A853" s="19" t="s">
        <v>1458</v>
      </c>
      <c r="B853" s="27" t="s">
        <v>613</v>
      </c>
      <c r="C853" s="36"/>
      <c r="D853" s="22" t="s">
        <v>1459</v>
      </c>
      <c r="E853" s="6"/>
      <c r="F853" s="18"/>
      <c r="G853" s="18"/>
      <c r="H853" s="18"/>
      <c r="I853" s="18"/>
      <c r="J853" s="10" t="s">
        <v>40</v>
      </c>
      <c r="K853" s="18" t="str">
        <f>IMAGE("https://cdn.store.link/products/ayiraminimart50505/7s958c-napoleon%20vanilla%20flavour%20butterscotch%20candy%20150%20g.png?versionId=QvmVWAUT38qB9QPMVZ09EWrdDn5FccOq")</f>
        <v/>
      </c>
      <c r="L853" s="18"/>
      <c r="M853" s="10"/>
      <c r="N853" s="10"/>
    </row>
    <row r="854">
      <c r="A854" s="19" t="s">
        <v>1460</v>
      </c>
      <c r="B854" s="27" t="s">
        <v>613</v>
      </c>
      <c r="C854" s="22">
        <v>2.0</v>
      </c>
      <c r="D854" s="22" t="s">
        <v>1461</v>
      </c>
      <c r="E854" s="6"/>
      <c r="F854" s="18"/>
      <c r="G854" s="18"/>
      <c r="H854" s="18"/>
      <c r="I854" s="18"/>
      <c r="J854" s="10"/>
      <c r="K854" s="18" t="str">
        <f>IMAGE("https://cdn.store.link/products/ayiraminimart50505/zyh-0--%C3%BClker%20napoliten%20milk%20chocolate%2030%20g.png?versionId=x.OknUPxutPhjKeV9zDjBRBJcrBFRVz_")</f>
        <v/>
      </c>
      <c r="L854" s="18"/>
      <c r="M854" s="10"/>
      <c r="N854" s="10"/>
    </row>
    <row r="855">
      <c r="A855" s="19" t="s">
        <v>1462</v>
      </c>
      <c r="B855" s="27" t="s">
        <v>613</v>
      </c>
      <c r="C855" s="22">
        <v>1.0</v>
      </c>
      <c r="D855" s="22" t="s">
        <v>1463</v>
      </c>
      <c r="E855" s="6"/>
      <c r="F855" s="18"/>
      <c r="G855" s="18"/>
      <c r="H855" s="18"/>
      <c r="I855" s="18"/>
      <c r="J855" s="10"/>
      <c r="K855" s="18" t="str">
        <f>IMAGE("https://cdn.store.link/products/ayiraminimart50505/wgtpn5-hobby%20caramel%20nougat%20bar%2016%20g.png?versionId=erVcTHMKyrJXxAaYiXBV3oTBU8BoqOOF")</f>
        <v/>
      </c>
      <c r="L855" s="18"/>
      <c r="M855" s="10"/>
      <c r="N855" s="10"/>
    </row>
    <row r="856">
      <c r="A856" s="19" t="s">
        <v>1464</v>
      </c>
      <c r="B856" s="27" t="s">
        <v>613</v>
      </c>
      <c r="C856" s="22">
        <v>1.0</v>
      </c>
      <c r="D856" s="22" t="s">
        <v>1465</v>
      </c>
      <c r="E856" s="6"/>
      <c r="F856" s="18"/>
      <c r="G856" s="18"/>
      <c r="H856" s="18"/>
      <c r="I856" s="18"/>
      <c r="J856" s="10"/>
      <c r="K856" s="18" t="str">
        <f>IMAGE("https://cdn.store.link/products/ayiraminimart50505/zapklt-hobby%20chocolate%20coated%20wafer%20bar%2020%20g.png?versionId=rjdifoY9.jJ4hz.RbjojzmV9VsAsfSgV")</f>
        <v/>
      </c>
      <c r="L856" s="18"/>
      <c r="M856" s="10"/>
      <c r="N856" s="10"/>
    </row>
    <row r="857">
      <c r="A857" s="19" t="s">
        <v>1466</v>
      </c>
      <c r="B857" s="27" t="s">
        <v>613</v>
      </c>
      <c r="C857" s="22">
        <v>2.0</v>
      </c>
      <c r="D857" s="22" t="s">
        <v>1249</v>
      </c>
      <c r="E857" s="6"/>
      <c r="F857" s="18"/>
      <c r="G857" s="18"/>
      <c r="H857" s="18"/>
      <c r="I857" s="18"/>
      <c r="J857" s="10"/>
      <c r="K857" s="18" t="str">
        <f>IMAGE("https://cdn.store.link/products/ayiraminimart50505/yfnann-oreo%20original%20sandwich%20biscuits%20%E2%80%93%2036.8%20g.png?versionId=Aki3rMFSSRCiXb7H3Ef92_oKXcn0kCmN")</f>
        <v/>
      </c>
      <c r="L857" s="18"/>
      <c r="M857" s="10"/>
      <c r="N857" s="10"/>
    </row>
    <row r="858">
      <c r="A858" s="19" t="s">
        <v>1467</v>
      </c>
      <c r="B858" s="27" t="s">
        <v>613</v>
      </c>
      <c r="C858" s="22">
        <v>1.0</v>
      </c>
      <c r="D858" s="22" t="s">
        <v>1468</v>
      </c>
      <c r="E858" s="6"/>
      <c r="F858" s="18"/>
      <c r="G858" s="18"/>
      <c r="H858" s="18"/>
      <c r="I858" s="18"/>
      <c r="J858" s="10"/>
      <c r="K858" s="18" t="str">
        <f>IMAGE("https://cdn.store.link/products/ayiraminimart50505/zdkhpp-alvita%20banana%20wafer.png?versionId=_wTlDSZimeIgJoV3nhhFjo9449Oae6t.")</f>
        <v/>
      </c>
      <c r="L858" s="18"/>
      <c r="M858" s="10"/>
      <c r="N858" s="10"/>
    </row>
    <row r="859">
      <c r="A859" s="19" t="s">
        <v>1469</v>
      </c>
      <c r="B859" s="27" t="s">
        <v>613</v>
      </c>
      <c r="C859" s="22">
        <v>1.0</v>
      </c>
      <c r="D859" s="22" t="s">
        <v>1470</v>
      </c>
      <c r="E859" s="6"/>
      <c r="F859" s="18"/>
      <c r="G859" s="18"/>
      <c r="H859" s="18"/>
      <c r="I859" s="18"/>
      <c r="J859" s="10"/>
      <c r="K859" s="18" t="str">
        <f>IMAGE("https://cdn.store.link/products/ayiraminimart50505/u3e2xr-alvita%20orange%20wafer.png?versionId=dt5nFcvqXx0G.eaHQm_4Rp9RkDIZQD9C")</f>
        <v/>
      </c>
      <c r="L859" s="18"/>
      <c r="M859" s="10"/>
      <c r="N859" s="10"/>
    </row>
    <row r="860">
      <c r="A860" s="19" t="s">
        <v>1471</v>
      </c>
      <c r="B860" s="27" t="s">
        <v>613</v>
      </c>
      <c r="C860" s="22">
        <v>1.0</v>
      </c>
      <c r="D860" s="22" t="s">
        <v>1472</v>
      </c>
      <c r="E860" s="6"/>
      <c r="F860" s="18"/>
      <c r="G860" s="18"/>
      <c r="H860" s="18"/>
      <c r="I860" s="18"/>
      <c r="J860" s="10"/>
      <c r="K860" s="18" t="str">
        <f>IMAGE("https://cdn.store.link/products/ayiraminimart50505/8lpvf6-exira%20strawberry%20wafer%20%E2%80%93%2032%20g.png?versionId=OvrbpxB6yZ180pjDoPiPVxzFCEHjGA4T")</f>
        <v/>
      </c>
      <c r="L860" s="18"/>
      <c r="M860" s="10"/>
      <c r="N860" s="10"/>
    </row>
    <row r="861">
      <c r="A861" s="19" t="s">
        <v>1473</v>
      </c>
      <c r="B861" s="27" t="s">
        <v>613</v>
      </c>
      <c r="C861" s="22">
        <v>1.0</v>
      </c>
      <c r="D861" s="22" t="s">
        <v>1474</v>
      </c>
      <c r="E861" s="6"/>
      <c r="F861" s="18"/>
      <c r="G861" s="18"/>
      <c r="H861" s="18"/>
      <c r="I861" s="18"/>
      <c r="J861" s="10"/>
      <c r="K861" s="18" t="str">
        <f>IMAGE("https://cdn.store.link/products/ayiraminimart50505/yxtiwk-avita%20strawberry%20wafe%2023%20g.jpg?versionId=HK7aZ1kZsCT8gs.IOjh8oHF0pWggKMlr")</f>
        <v/>
      </c>
      <c r="L861" s="18"/>
      <c r="M861" s="10"/>
      <c r="N861" s="10"/>
    </row>
    <row r="862">
      <c r="A862" s="19" t="s">
        <v>1475</v>
      </c>
      <c r="B862" s="29" t="s">
        <v>1009</v>
      </c>
      <c r="C862" s="22">
        <v>9.0</v>
      </c>
      <c r="D862" s="22" t="s">
        <v>1476</v>
      </c>
      <c r="E862" s="6"/>
      <c r="F862" s="18"/>
      <c r="G862" s="18"/>
      <c r="H862" s="18"/>
      <c r="I862" s="18"/>
      <c r="J862" s="10"/>
      <c r="K862" s="18" t="str">
        <f>IMAGE("https://cdn.store.link/products/ayiraminimart50505/apovmn-double%20dares%20jelly%20bean%20game%20cup.png?versionId=eJLtSbahPlQUfNMjmrKoxZIWl89cx1JO")</f>
        <v/>
      </c>
      <c r="L862" s="18"/>
      <c r="M862" s="10"/>
      <c r="N862" s="10"/>
    </row>
    <row r="863">
      <c r="A863" s="5" t="s">
        <v>1477</v>
      </c>
      <c r="B863" s="29" t="s">
        <v>1009</v>
      </c>
      <c r="C863" s="22">
        <v>7.5</v>
      </c>
      <c r="D863" s="22" t="s">
        <v>1478</v>
      </c>
      <c r="E863" s="6"/>
      <c r="F863" s="18"/>
      <c r="G863" s="18"/>
      <c r="H863" s="18"/>
      <c r="I863" s="18"/>
      <c r="J863" s="10"/>
      <c r="K863" s="18" t="str">
        <f>IMAGE("https://cdn.store.link/products/ayiraminimart50505/odubdf-brain%20blasterz%20super%20sour%20berry%20candy%2048.png?versionId=yav1eN_m4uxFtWY9h3jdP9QjZsxxbQJ5")</f>
        <v/>
      </c>
      <c r="L863" s="18"/>
      <c r="M863" s="10"/>
      <c r="N863" s="10"/>
    </row>
    <row r="864">
      <c r="A864" s="5" t="s">
        <v>1479</v>
      </c>
      <c r="B864" s="29" t="s">
        <v>1009</v>
      </c>
      <c r="C864" s="22">
        <v>7.5</v>
      </c>
      <c r="D864" s="22" t="s">
        <v>1480</v>
      </c>
      <c r="E864" s="6"/>
      <c r="F864" s="18"/>
      <c r="G864" s="18"/>
      <c r="H864" s="18"/>
      <c r="I864" s="18"/>
      <c r="J864" s="10"/>
      <c r="K864" s="18" t="str">
        <f>IMAGE("https://cdn.store.link/products/ayiraminimart50505/vdzctk-brain%20blasterz%20super%20sour%20candy%2048.png?versionId=ZA0aGRNVxa32wY9xSJynxgfRBRqO8uqo")</f>
        <v/>
      </c>
      <c r="L864" s="18"/>
      <c r="M864" s="10"/>
      <c r="N864" s="10"/>
    </row>
    <row r="865">
      <c r="A865" s="19" t="s">
        <v>1481</v>
      </c>
      <c r="B865" s="29" t="s">
        <v>1009</v>
      </c>
      <c r="C865" s="22">
        <v>7.0</v>
      </c>
      <c r="D865" s="22" t="s">
        <v>1482</v>
      </c>
      <c r="E865" s="6"/>
      <c r="F865" s="18"/>
      <c r="G865" s="18"/>
      <c r="H865" s="18"/>
      <c r="I865" s="18"/>
      <c r="J865" s="10"/>
      <c r="K865" s="18" t="str">
        <f>IMAGE("https://cdn.store.link/products/ayiraminimart50505/8741nl-ice%20blasterz%20super%20sour%20cool%20candy%20%E2%80%93%2048%20g.png?versionId=KcuM9hxM23K9RQxP.K0c0wSX0TsarQEZ")</f>
        <v/>
      </c>
      <c r="L865" s="18"/>
      <c r="M865" s="10"/>
      <c r="N865" s="10"/>
    </row>
    <row r="866">
      <c r="A866" s="5" t="s">
        <v>1483</v>
      </c>
      <c r="B866" s="29" t="s">
        <v>1009</v>
      </c>
      <c r="C866" s="22">
        <v>8.0</v>
      </c>
      <c r="D866" s="22" t="s">
        <v>1484</v>
      </c>
      <c r="E866" s="6"/>
      <c r="F866" s="18"/>
      <c r="G866" s="18"/>
      <c r="H866" s="18"/>
      <c r="I866" s="18"/>
      <c r="J866" s="10"/>
      <c r="K866" s="18" t="str">
        <f>IMAGE("https://cdn.store.link/products/ayiraminimart50505/8sn6w2-fun%20basketball%20candy%20toy.png?versionId=rkRL6BnmBWf7f3MW5nv0JyjbVnI6Bd_C")</f>
        <v/>
      </c>
      <c r="L866" s="18"/>
      <c r="M866" s="10"/>
      <c r="N866" s="10"/>
    </row>
    <row r="867">
      <c r="A867" s="19" t="s">
        <v>1485</v>
      </c>
      <c r="B867" s="29" t="s">
        <v>1009</v>
      </c>
      <c r="C867" s="22">
        <v>4.5</v>
      </c>
      <c r="D867" s="22" t="s">
        <v>1486</v>
      </c>
      <c r="E867" s="6"/>
      <c r="F867" s="18"/>
      <c r="G867" s="18"/>
      <c r="H867" s="18"/>
      <c r="I867" s="18"/>
      <c r="J867" s="10"/>
      <c r="K867" s="18" t="str">
        <f>IMAGE("https://cdn.store.link/products/ayiraminimart50505/zwgveb-brain%20blasterz%20apple%20flavour%20brain%20gunk%2028%20ml.png?versionId=J7Agh1Kfepz87sBwLfwAQNPvcLUTXtYv")</f>
        <v/>
      </c>
      <c r="L867" s="18"/>
      <c r="M867" s="10"/>
      <c r="N867" s="10"/>
    </row>
    <row r="868">
      <c r="A868" s="19" t="s">
        <v>1487</v>
      </c>
      <c r="B868" s="29" t="s">
        <v>1009</v>
      </c>
      <c r="C868" s="22">
        <v>3.5</v>
      </c>
      <c r="D868" s="22" t="s">
        <v>1488</v>
      </c>
      <c r="E868" s="6"/>
      <c r="F868" s="18"/>
      <c r="G868" s="18"/>
      <c r="H868" s="18"/>
      <c r="I868" s="18"/>
      <c r="J868" s="10"/>
      <c r="K868" s="18" t="str">
        <f>IMAGE("https://cdn.store.link/products/ayiraminimart50505/4wlt90-brain%20blasterz%20sour%20candy%20%E2%80%93%20brain%20breakerz45%20g.png?versionId=QI4N.j0pp3inbOS7vJ4Fgz1Z9_cCXNVZ")</f>
        <v/>
      </c>
      <c r="L868" s="18"/>
      <c r="M868" s="10"/>
      <c r="N868" s="10"/>
    </row>
    <row r="869">
      <c r="A869" s="19" t="s">
        <v>1489</v>
      </c>
      <c r="B869" s="29" t="s">
        <v>1009</v>
      </c>
      <c r="C869" s="22">
        <v>6.0</v>
      </c>
      <c r="D869" s="22" t="s">
        <v>1490</v>
      </c>
      <c r="E869" s="6"/>
      <c r="F869" s="18"/>
      <c r="G869" s="18"/>
      <c r="H869" s="18"/>
      <c r="I869" s="18"/>
      <c r="J869" s="10"/>
      <c r="K869" s="18" t="str">
        <f>IMAGE("https://cdn.store.link/products/ayiraminimart50505/r17j8j-big%20baby%20pop%20candy%2032%20g.png?versionId=NSgM6VF6t0l9ZKdzu87qN1mn1sB2LTLF")</f>
        <v/>
      </c>
      <c r="L869" s="18"/>
      <c r="M869" s="10"/>
      <c r="N869" s="10"/>
    </row>
    <row r="870">
      <c r="A870" s="5" t="s">
        <v>1491</v>
      </c>
      <c r="B870" s="29" t="s">
        <v>1009</v>
      </c>
      <c r="C870" s="22">
        <v>6.0</v>
      </c>
      <c r="D870" s="22" t="s">
        <v>1492</v>
      </c>
      <c r="E870" s="6"/>
      <c r="F870" s="18"/>
      <c r="G870" s="18"/>
      <c r="H870" s="18"/>
      <c r="I870" s="18"/>
      <c r="J870" s="10"/>
      <c r="K870" s="18" t="str">
        <f>IMAGE("https://cdn.store.link/products/ayiraminimart50505/bhdm-o-pop%20plier%20candy%20toy.png?versionId=uP2FTi3yJ6wAB6cT7B42XXFVNdPRxDRN")</f>
        <v/>
      </c>
      <c r="L870" s="18"/>
      <c r="M870" s="10"/>
      <c r="N870" s="10"/>
    </row>
    <row r="871">
      <c r="A871" s="19" t="s">
        <v>1493</v>
      </c>
      <c r="B871" s="29" t="s">
        <v>1009</v>
      </c>
      <c r="C871" s="22">
        <v>2.5</v>
      </c>
      <c r="D871" s="22" t="s">
        <v>1494</v>
      </c>
      <c r="E871" s="6"/>
      <c r="F871" s="18"/>
      <c r="G871" s="18"/>
      <c r="H871" s="18"/>
      <c r="I871" s="18"/>
      <c r="J871" s="10"/>
      <c r="K871" s="18" t="str">
        <f>IMAGE("https://cdn.store.link/products/ayiraminimart50505/dtn-s3-crazy%20bottle%20pop%20apple%20candy%2025%20g.png?versionId=kAIWALtLlhsQywWjQJol4xQUYvs5GP.J")</f>
        <v/>
      </c>
      <c r="L871" s="18"/>
      <c r="M871" s="10"/>
      <c r="N871" s="10"/>
    </row>
    <row r="872">
      <c r="A872" s="5" t="s">
        <v>1495</v>
      </c>
      <c r="B872" s="29" t="s">
        <v>1009</v>
      </c>
      <c r="C872" s="22">
        <v>4.0</v>
      </c>
      <c r="D872" s="22" t="s">
        <v>1496</v>
      </c>
      <c r="E872" s="6"/>
      <c r="F872" s="18"/>
      <c r="G872" s="18"/>
      <c r="H872" s="18"/>
      <c r="I872" s="18"/>
      <c r="J872" s="10"/>
      <c r="K872" s="18" t="str">
        <f>IMAGE("https://cdn.store.link/products/ayiraminimart50505/zy9j9e-cats%20pop%20candy%20toy.png?versionId=E2hnkiW_TFauktvaSs3rs3xI5CUJO9cz")</f>
        <v/>
      </c>
      <c r="L872" s="18"/>
      <c r="M872" s="10"/>
      <c r="N872" s="10"/>
    </row>
    <row r="873">
      <c r="A873" s="19" t="s">
        <v>1497</v>
      </c>
      <c r="B873" s="29" t="s">
        <v>1009</v>
      </c>
      <c r="C873" s="22">
        <v>5.0</v>
      </c>
      <c r="D873" s="22" t="s">
        <v>1498</v>
      </c>
      <c r="E873" s="6"/>
      <c r="F873" s="18"/>
      <c r="G873" s="18"/>
      <c r="H873" s="18"/>
      <c r="I873" s="18"/>
      <c r="J873" s="10"/>
      <c r="K873" s="18" t="str">
        <f>IMAGE("https://cdn.store.link/products/ayiraminimart50505/i0-pj4-screamerz%20big%20lick%20sour%20candy%20rolle%20purple%20razz%2060%20ml.jpg?versionId=QurN.s9sGd5APtFg0jjPbsufKF4k7UJu")</f>
        <v/>
      </c>
      <c r="L873" s="18"/>
      <c r="M873" s="10"/>
      <c r="N873" s="10"/>
    </row>
    <row r="874">
      <c r="A874" s="5" t="s">
        <v>1499</v>
      </c>
      <c r="B874" s="29" t="s">
        <v>1009</v>
      </c>
      <c r="C874" s="22">
        <v>10.0</v>
      </c>
      <c r="D874" s="22" t="s">
        <v>1500</v>
      </c>
      <c r="E874" s="6"/>
      <c r="F874" s="18"/>
      <c r="G874" s="18"/>
      <c r="H874" s="18"/>
      <c r="I874" s="18"/>
      <c r="J874" s="10"/>
      <c r="K874" s="18" t="str">
        <f>IMAGE("https://cdn.store.link/products/ayiraminimart50505/octtdn-triple%20power%20push%20pop%20candy.png?versionId=D2HKYT7u0gS7jOGReDThynta2dqT3wx0")</f>
        <v/>
      </c>
      <c r="L874" s="18"/>
      <c r="M874" s="10"/>
      <c r="N874" s="10"/>
    </row>
    <row r="875">
      <c r="A875" s="19" t="s">
        <v>1501</v>
      </c>
      <c r="B875" s="29" t="s">
        <v>1009</v>
      </c>
      <c r="C875" s="22">
        <v>6.0</v>
      </c>
      <c r="D875" s="22" t="s">
        <v>1502</v>
      </c>
      <c r="E875" s="6"/>
      <c r="F875" s="18"/>
      <c r="G875" s="18"/>
      <c r="H875" s="18"/>
      <c r="I875" s="18"/>
      <c r="J875" s="10"/>
      <c r="K875" s="18" t="str">
        <f>IMAGE("https://cdn.store.link/products/ayiraminimart50505/gzu626-roller%20blaster%20sour%20liquid%20candy%20rol%20blue%20raspberry%2060%20ml.jpg?versionId=U6WU9byJdEr.rAj0YE66_0YjGOPSRKn_")</f>
        <v/>
      </c>
      <c r="L875" s="18"/>
      <c r="M875" s="10"/>
      <c r="N875" s="10"/>
    </row>
    <row r="876">
      <c r="A876" s="19" t="s">
        <v>1503</v>
      </c>
      <c r="B876" s="29" t="s">
        <v>1009</v>
      </c>
      <c r="C876" s="22">
        <v>8.5</v>
      </c>
      <c r="D876" s="22" t="s">
        <v>1504</v>
      </c>
      <c r="E876" s="6"/>
      <c r="F876" s="18"/>
      <c r="G876" s="18"/>
      <c r="H876" s="18"/>
      <c r="I876" s="18"/>
      <c r="J876" s="10"/>
      <c r="K876" s="18" t="str">
        <f>IMAGE("https://cdn.store.link/products/ayiraminimart50505/lerge8-brain%20blasterz%20sour%20powder%20%28strawberry%20flavour%29%20%E2%80%93%2010%20g.png?versionId=qspAsYeOa5onciC6V2vIQsLp1c4PGtAy")</f>
        <v/>
      </c>
      <c r="L876" s="18"/>
      <c r="M876" s="10"/>
      <c r="N876" s="10"/>
    </row>
    <row r="877">
      <c r="A877" s="5" t="s">
        <v>1505</v>
      </c>
      <c r="B877" s="29" t="s">
        <v>1009</v>
      </c>
      <c r="C877" s="22">
        <v>3.5</v>
      </c>
      <c r="D877" s="22" t="s">
        <v>1506</v>
      </c>
      <c r="E877" s="6"/>
      <c r="F877" s="18"/>
      <c r="G877" s="18"/>
      <c r="H877" s="18"/>
      <c r="I877" s="18"/>
      <c r="J877" s="10"/>
      <c r="K877" s="18" t="str">
        <f>IMAGE("https://cdn.store.link/products/ayiraminimart50505/gx9x9x-brain%20blasterz%20sour%20candy%20%E2%80%93%20brain%20bitz%2045.png?versionId=o6eg9OJv6p9MnTEy53nT9g3SBXUHd4jo")</f>
        <v/>
      </c>
      <c r="L877" s="18"/>
      <c r="M877" s="10"/>
      <c r="N877" s="10"/>
    </row>
    <row r="878">
      <c r="A878" s="19" t="s">
        <v>1507</v>
      </c>
      <c r="B878" s="29" t="s">
        <v>1009</v>
      </c>
      <c r="C878" s="22">
        <v>9.0</v>
      </c>
      <c r="D878" s="22" t="s">
        <v>1508</v>
      </c>
      <c r="E878" s="6"/>
      <c r="F878" s="18"/>
      <c r="G878" s="18"/>
      <c r="H878" s="18"/>
      <c r="I878" s="18"/>
      <c r="J878" s="10"/>
      <c r="K878" s="18" t="str">
        <f>IMAGE("https://cdn.store.link/products/ayiraminimart50505/3imn0v-juicy%20drop%20pop%20raspberry%20%E2%80%93%2026%20g.png?versionId=OBMxm0THNiZSyyc3sipHnHT8E_SAWNLQ")</f>
        <v/>
      </c>
      <c r="L878" s="18"/>
      <c r="M878" s="10"/>
      <c r="N878" s="10"/>
    </row>
    <row r="879">
      <c r="A879" s="19" t="s">
        <v>1509</v>
      </c>
      <c r="B879" s="29" t="s">
        <v>1009</v>
      </c>
      <c r="C879" s="22">
        <v>9.0</v>
      </c>
      <c r="D879" s="22" t="s">
        <v>1510</v>
      </c>
      <c r="E879" s="6"/>
      <c r="F879" s="18"/>
      <c r="G879" s="18"/>
      <c r="H879" s="18"/>
      <c r="I879" s="18"/>
      <c r="J879" s="10"/>
      <c r="K879" s="18" t="str">
        <f>IMAGE("https://cdn.store.link/products/ayiraminimart50505/rum2tj-juicy%20drop%20pop%20%E2%80%93%20cola%20flavour%2027%20g.png?versionId=abgm2Sh9PMzhyOzGU0MZXyCrEAmSuilY")</f>
        <v/>
      </c>
      <c r="L879" s="18"/>
      <c r="M879" s="10"/>
      <c r="N879" s="10"/>
    </row>
    <row r="880">
      <c r="A880" s="19" t="s">
        <v>1511</v>
      </c>
      <c r="B880" s="29" t="s">
        <v>1009</v>
      </c>
      <c r="C880" s="22">
        <v>3.5</v>
      </c>
      <c r="D880" s="22" t="s">
        <v>1512</v>
      </c>
      <c r="E880" s="6"/>
      <c r="F880" s="18"/>
      <c r="G880" s="18"/>
      <c r="H880" s="18"/>
      <c r="I880" s="18"/>
      <c r="J880" s="10"/>
      <c r="K880" s="18" t="str">
        <f>IMAGE("https://cdn.store.link/products/ayiraminimart50505/gjxnqi-push%20pop%20candy%20%E2%80%93%20strawberry%20flavour%2015%20g.png?versionId=xsBwdD3VBGS.97UDzMmngg7q9eQ7mqHp")</f>
        <v/>
      </c>
      <c r="L880" s="18"/>
      <c r="M880" s="10"/>
      <c r="N880" s="10"/>
    </row>
    <row r="881">
      <c r="A881" s="5" t="s">
        <v>1513</v>
      </c>
      <c r="B881" s="29" t="s">
        <v>1009</v>
      </c>
      <c r="C881" s="22">
        <v>1.5</v>
      </c>
      <c r="D881" s="22" t="s">
        <v>1514</v>
      </c>
      <c r="E881" s="6"/>
      <c r="F881" s="18"/>
      <c r="G881" s="18"/>
      <c r="H881" s="18"/>
      <c r="I881" s="18"/>
      <c r="J881" s="10"/>
      <c r="K881" s="18" t="str">
        <f>IMAGE("https://cdn.store.link/products/ayiraminimart50505/t5q4hw-screamers%20megasaur%20gum.png?versionId=FfuyFDGsZp2t3UDlfmK8h_Esq19tp9sh")</f>
        <v/>
      </c>
      <c r="L881" s="18"/>
      <c r="M881" s="10"/>
      <c r="N881" s="10"/>
    </row>
    <row r="882">
      <c r="A882" s="19" t="s">
        <v>1515</v>
      </c>
      <c r="B882" s="29" t="s">
        <v>1009</v>
      </c>
      <c r="C882" s="22">
        <v>1.5</v>
      </c>
      <c r="D882" s="22" t="s">
        <v>1516</v>
      </c>
      <c r="E882" s="6"/>
      <c r="F882" s="18"/>
      <c r="G882" s="18"/>
      <c r="H882" s="18"/>
      <c r="I882" s="18"/>
      <c r="J882" s="10"/>
      <c r="K882" s="18" t="str">
        <f>IMAGE("https://cdn.store.link/products/ayiraminimart50505/wsj3to-gremmers%20mega%20sour%20gum%20%E2%80%93%2014%20g.png?versionId=HOXY8xH8UWQzY4QSWLzRL7zgEnN0Bu.L")</f>
        <v/>
      </c>
      <c r="L882" s="18"/>
      <c r="M882" s="10"/>
      <c r="N882" s="10"/>
    </row>
    <row r="883">
      <c r="A883" s="19" t="s">
        <v>1517</v>
      </c>
      <c r="B883" s="29" t="s">
        <v>1009</v>
      </c>
      <c r="C883" s="22">
        <v>1.0</v>
      </c>
      <c r="D883" s="22" t="s">
        <v>1518</v>
      </c>
      <c r="E883" s="6"/>
      <c r="F883" s="18"/>
      <c r="G883" s="18"/>
      <c r="H883" s="18"/>
      <c r="I883" s="18"/>
      <c r="J883" s="10"/>
      <c r="K883" s="18" t="str">
        <f>IMAGE("https://cdn.store.link/products/ayiraminimart50505/np9e-x-brain%20bitz%20chew%20bar%20%E2%80%93%20apple%20flavour%20%2820%20g%29.png?versionId=_5vR9caBNolVoeSCM04cJ73hYz67FrAu")</f>
        <v/>
      </c>
      <c r="L883" s="18"/>
      <c r="M883" s="10"/>
      <c r="N883" s="10"/>
    </row>
    <row r="884">
      <c r="A884" s="19" t="s">
        <v>1519</v>
      </c>
      <c r="B884" s="29" t="s">
        <v>1009</v>
      </c>
      <c r="C884" s="22">
        <v>8.0</v>
      </c>
      <c r="D884" s="22" t="s">
        <v>1520</v>
      </c>
      <c r="E884" s="6"/>
      <c r="F884" s="18"/>
      <c r="G884" s="18"/>
      <c r="H884" s="18"/>
      <c r="I884" s="18"/>
      <c r="J884" s="10"/>
      <c r="K884" s="18" t="str">
        <f>IMAGE("https://cdn.store.link/products/ayiraminimart50505/18nvwc-brain%20blasterz%20sour%20powder%2010%20g.png?versionId=joXoUCZstjccCQU3VY7ogZ7KGE9FvPoE")</f>
        <v/>
      </c>
      <c r="L884" s="18"/>
      <c r="M884" s="10"/>
      <c r="N884" s="10"/>
    </row>
    <row r="885">
      <c r="A885" s="19" t="s">
        <v>1521</v>
      </c>
      <c r="B885" s="29" t="s">
        <v>1009</v>
      </c>
      <c r="C885" s="22">
        <v>1.5</v>
      </c>
      <c r="D885" s="22" t="s">
        <v>1522</v>
      </c>
      <c r="E885" s="6"/>
      <c r="F885" s="18"/>
      <c r="G885" s="18"/>
      <c r="H885" s="18"/>
      <c r="I885" s="18"/>
      <c r="J885" s="10"/>
      <c r="K885" s="18" t="str">
        <f>IMAGE("https://cdn.store.link/products/ayiraminimart50505/ixlfkg-fizzy%20tubes%20sour%20fizz%20powder%2015%20g.png?versionId=LjomFUGa9ANrNXXmx4LqN3E030IAB8vC")</f>
        <v/>
      </c>
      <c r="L885" s="18"/>
      <c r="M885" s="10"/>
      <c r="N885" s="10"/>
    </row>
    <row r="886">
      <c r="A886" s="19" t="s">
        <v>1523</v>
      </c>
      <c r="B886" s="29" t="s">
        <v>1009</v>
      </c>
      <c r="C886" s="22">
        <v>5.0</v>
      </c>
      <c r="D886" s="22" t="s">
        <v>1524</v>
      </c>
      <c r="E886" s="6"/>
      <c r="F886" s="18"/>
      <c r="G886" s="18"/>
      <c r="H886" s="18"/>
      <c r="I886" s="18"/>
      <c r="J886" s="10"/>
      <c r="K886" s="18" t="str">
        <f>IMAGE("https://cdn.store.link/products/ayiraminimart50505/f0f5x6-brain%20blasterz%20candy%20spray%20%E2%80%93%20apple%20flavour%2028%20ml.png?versionId=Z_dz7N2lJMQhHOLjUkA7a2DqcYlxFmsu")</f>
        <v/>
      </c>
      <c r="L886" s="18"/>
      <c r="M886" s="10"/>
      <c r="N886" s="10"/>
    </row>
    <row r="887">
      <c r="A887" s="19" t="s">
        <v>1525</v>
      </c>
      <c r="B887" s="29" t="s">
        <v>1009</v>
      </c>
      <c r="C887" s="22">
        <v>2.0</v>
      </c>
      <c r="D887" s="22" t="s">
        <v>1526</v>
      </c>
      <c r="E887" s="6"/>
      <c r="F887" s="18"/>
      <c r="G887" s="18"/>
      <c r="H887" s="18"/>
      <c r="I887" s="18"/>
      <c r="J887" s="10"/>
      <c r="K887" s="18" t="str">
        <f>IMAGE("https://cdn.store.link/products/ayiraminimart50505/amztlv-brain%20blasterz%20apple%2028%20g.png?versionId=83BIV1eKScAv1GVpfv1_6V9yHmIYHNYD")</f>
        <v/>
      </c>
      <c r="L887" s="18"/>
      <c r="M887" s="10"/>
      <c r="N887" s="10"/>
    </row>
    <row r="888">
      <c r="A888" s="19" t="s">
        <v>1527</v>
      </c>
      <c r="B888" s="29" t="s">
        <v>1009</v>
      </c>
      <c r="C888" s="22">
        <v>4.0</v>
      </c>
      <c r="D888" s="22" t="s">
        <v>1528</v>
      </c>
      <c r="E888" s="6"/>
      <c r="F888" s="18"/>
      <c r="G888" s="18"/>
      <c r="H888" s="18"/>
      <c r="I888" s="18"/>
      <c r="J888" s="10"/>
      <c r="K888" s="18" t="str">
        <f>IMAGE("https://cdn.store.link/products/ayiraminimart50505/yxzcld-juice%20dip%20candy%20%E2%80%93%20strawberry%2020g.png?versionId=_cBIdQhnrTKmMY8EUppc2hWz8xBHrKKg")</f>
        <v/>
      </c>
      <c r="L888" s="18"/>
      <c r="M888" s="10"/>
      <c r="N888" s="10"/>
    </row>
    <row r="889">
      <c r="A889" s="19" t="s">
        <v>1529</v>
      </c>
      <c r="B889" s="29" t="s">
        <v>1009</v>
      </c>
      <c r="C889" s="22">
        <v>10.0</v>
      </c>
      <c r="D889" s="22" t="s">
        <v>1530</v>
      </c>
      <c r="E889" s="6"/>
      <c r="F889" s="18"/>
      <c r="G889" s="18"/>
      <c r="H889" s="18"/>
      <c r="I889" s="18"/>
      <c r="J889" s="10"/>
      <c r="K889" s="18" t="str">
        <f>IMAGE("https://cdn.store.link/products/ayiraminimart50505/8dapod-leetak%20kreetenes%20almond%20toffee%20100%20g.png?versionId=.zbNqpaiEono2SbHd9xmNGLNdk7J_iD2")</f>
        <v/>
      </c>
      <c r="L889" s="18"/>
      <c r="M889" s="10"/>
      <c r="N889" s="10"/>
    </row>
    <row r="890">
      <c r="A890" s="5" t="s">
        <v>1531</v>
      </c>
      <c r="B890" s="29" t="s">
        <v>1009</v>
      </c>
      <c r="C890" s="22">
        <v>10.0</v>
      </c>
      <c r="D890" s="22" t="s">
        <v>1532</v>
      </c>
      <c r="E890" s="6"/>
      <c r="F890" s="18"/>
      <c r="G890" s="18"/>
      <c r="H890" s="18"/>
      <c r="I890" s="18"/>
      <c r="J890" s="10"/>
      <c r="K890" s="18" t="str">
        <f>IMAGE("https://cdn.store.link/products/ayiraminimart50505/wt-gvv-space%20chupi%20lollipop%20%2820%20units%29.png?versionId=_Y1PemARgyhccqfocpgi_9HB8SP2AmD_")</f>
        <v/>
      </c>
      <c r="L890" s="18"/>
      <c r="M890" s="10"/>
      <c r="N890" s="10"/>
    </row>
    <row r="891">
      <c r="A891" s="19" t="s">
        <v>1533</v>
      </c>
      <c r="B891" s="29" t="s">
        <v>1009</v>
      </c>
      <c r="C891" s="22">
        <v>6.0</v>
      </c>
      <c r="D891" s="22" t="s">
        <v>1050</v>
      </c>
      <c r="E891" s="6"/>
      <c r="F891" s="18"/>
      <c r="G891" s="18"/>
      <c r="H891" s="18"/>
      <c r="I891" s="18"/>
      <c r="J891" s="10"/>
      <c r="K891" s="18" t="str">
        <f>IMAGE("https://cdn.store.link/products/ayiraminimart50505/lcst-r-haribo%20chamallows%20rubino%20strawberry%20marshmallow%2070%20g.png?versionId=C3EJApHgAhSF6kIGiDVq8BawIOyFA_HN")</f>
        <v/>
      </c>
      <c r="L891" s="18"/>
      <c r="M891" s="10"/>
      <c r="N891" s="10"/>
    </row>
    <row r="892">
      <c r="A892" s="19" t="s">
        <v>1534</v>
      </c>
      <c r="B892" s="29" t="s">
        <v>1009</v>
      </c>
      <c r="C892" s="22">
        <v>20.0</v>
      </c>
      <c r="D892" s="22" t="s">
        <v>1535</v>
      </c>
      <c r="E892" s="6"/>
      <c r="F892" s="18"/>
      <c r="G892" s="18"/>
      <c r="H892" s="18"/>
      <c r="I892" s="18"/>
      <c r="J892" s="10"/>
      <c r="K892" s="18" t="str">
        <f>IMAGE("https://cdn.store.link/products/ayiraminimart50505/jiz4fm-milki%20krowka%20cream%20fudge%20candy%20750%20g.png?versionId=0ijHzpP1K2c8SWbcsmDCiGqpbTWoVfCz")</f>
        <v/>
      </c>
      <c r="L892" s="18"/>
      <c r="M892" s="10"/>
      <c r="N892" s="10"/>
    </row>
    <row r="893">
      <c r="A893" s="19" t="s">
        <v>1536</v>
      </c>
      <c r="B893" s="29" t="s">
        <v>1009</v>
      </c>
      <c r="C893" s="22">
        <v>20.0</v>
      </c>
      <c r="D893" s="22" t="s">
        <v>1537</v>
      </c>
      <c r="E893" s="6"/>
      <c r="F893" s="18"/>
      <c r="G893" s="18"/>
      <c r="H893" s="18"/>
      <c r="I893" s="18"/>
      <c r="J893" s="10"/>
      <c r="K893" s="18" t="str">
        <f>IMAGE("https://cdn.store.link/products/ayiraminimart50505/v6rag0-vigo%20snow%20ball%20white%20chocolate%20300%20g.png?versionId=4x3LoZ8TxN6lrskoMMMv.W57KMyBR31N")</f>
        <v/>
      </c>
      <c r="L893" s="18"/>
      <c r="M893" s="10"/>
      <c r="N893" s="10"/>
    </row>
    <row r="894">
      <c r="A894" s="19" t="s">
        <v>1538</v>
      </c>
      <c r="B894" s="29" t="s">
        <v>1009</v>
      </c>
      <c r="C894" s="22">
        <v>1.5</v>
      </c>
      <c r="D894" s="22" t="s">
        <v>1539</v>
      </c>
      <c r="E894" s="6"/>
      <c r="F894" s="18"/>
      <c r="G894" s="18"/>
      <c r="H894" s="18"/>
      <c r="I894" s="18"/>
      <c r="J894" s="10"/>
      <c r="K894" s="18" t="str">
        <f>IMAGE("https://cdn.store.link/products/ayiraminimart50505/76rmig-ice%20cream%20jam-filled%20mallow%20%E2%80%93%20100%20g.png?versionId=BySaZjQlG.9z21vr26KEr65VxK4mTwFi")</f>
        <v/>
      </c>
      <c r="L894" s="18"/>
      <c r="M894" s="10"/>
      <c r="N894" s="10"/>
    </row>
    <row r="895">
      <c r="A895" s="5" t="s">
        <v>1540</v>
      </c>
      <c r="B895" s="29" t="s">
        <v>1009</v>
      </c>
      <c r="C895" s="22">
        <v>10.0</v>
      </c>
      <c r="D895" s="22" t="s">
        <v>1541</v>
      </c>
      <c r="E895" s="6"/>
      <c r="F895" s="18"/>
      <c r="G895" s="18"/>
      <c r="H895" s="18"/>
      <c r="I895" s="18"/>
      <c r="J895" s="10"/>
      <c r="K895" s="18" t="str">
        <f>IMAGE("https://cdn.store.link/products/ayiraminimart50505/dlkbfk-yupi%20gummi%20lunch.png?versionId=P0JGpbnX2ND0WX4WdM_dPYwwcJ_DCZt.")</f>
        <v/>
      </c>
      <c r="L895" s="18"/>
      <c r="M895" s="10"/>
      <c r="N895" s="10"/>
    </row>
    <row r="896">
      <c r="A896" s="5" t="s">
        <v>1542</v>
      </c>
      <c r="B896" s="29" t="s">
        <v>1009</v>
      </c>
      <c r="C896" s="22">
        <v>10.0</v>
      </c>
      <c r="D896" s="22" t="s">
        <v>1543</v>
      </c>
      <c r="E896" s="6"/>
      <c r="F896" s="18"/>
      <c r="G896" s="18"/>
      <c r="H896" s="18"/>
      <c r="I896" s="18"/>
      <c r="J896" s="10"/>
      <c r="K896" s="18" t="str">
        <f>IMAGE("https://cdn.store.link/products/ayiraminimart50505/xtqti--borgat%20tongue%20paint%20lollipops.png?versionId=9bRvbtVA2Ciajc8cPdi1ZcN6X9a64DU9")</f>
        <v/>
      </c>
      <c r="L896" s="18"/>
      <c r="M896" s="10"/>
      <c r="N896" s="10"/>
    </row>
    <row r="897">
      <c r="A897" s="19" t="s">
        <v>1544</v>
      </c>
      <c r="B897" s="29" t="s">
        <v>1009</v>
      </c>
      <c r="C897" s="22">
        <v>10.0</v>
      </c>
      <c r="D897" s="22" t="s">
        <v>1176</v>
      </c>
      <c r="E897" s="6"/>
      <c r="F897" s="18"/>
      <c r="G897" s="18"/>
      <c r="H897" s="18"/>
      <c r="I897" s="18"/>
      <c r="J897" s="10"/>
      <c r="K897" s="18" t="str">
        <f>IMAGE("https://cdn.store.link/products/ayiraminimart50505/i4zbvr-pink%20?versionId=J.nS.sWDvohWWQyZ3J7M8oTCA6z7e0ls")</f>
        <v/>
      </c>
      <c r="L897" s="18"/>
      <c r="M897" s="10"/>
      <c r="N897" s="10"/>
    </row>
    <row r="898">
      <c r="A898" s="5" t="s">
        <v>1545</v>
      </c>
      <c r="B898" s="29" t="s">
        <v>1009</v>
      </c>
      <c r="C898" s="22">
        <v>10.0</v>
      </c>
      <c r="D898" s="22" t="s">
        <v>1546</v>
      </c>
      <c r="E898" s="6"/>
      <c r="F898" s="18"/>
      <c r="G898" s="18"/>
      <c r="H898" s="18"/>
      <c r="I898" s="18"/>
      <c r="J898" s="10"/>
      <c r="K898" s="18" t="str">
        <f>IMAGE("https://cdn.store.link/products/ayiraminimart50505/mpb2ct-yupi%20burger%20gummy%20candy.png?versionId=BnyjTdXWwgNoA8506qhJRwZi0aDGAjnx")</f>
        <v/>
      </c>
      <c r="L898" s="18"/>
      <c r="M898" s="10"/>
      <c r="N898" s="10"/>
    </row>
    <row r="899">
      <c r="A899" s="5" t="s">
        <v>1547</v>
      </c>
      <c r="B899" s="29" t="s">
        <v>1009</v>
      </c>
      <c r="C899" s="22">
        <v>10.0</v>
      </c>
      <c r="D899" s="22" t="s">
        <v>1548</v>
      </c>
      <c r="E899" s="6"/>
      <c r="F899" s="18"/>
      <c r="G899" s="18"/>
      <c r="H899" s="18"/>
      <c r="I899" s="18"/>
      <c r="J899" s="10"/>
      <c r="K899" s="18" t="str">
        <f>IMAGE("https://cdn.store.link/products/ayiraminimart50505/j9z39r-yupi%20gummi%20pizza.png?versionId=0CEufjVxEtqJNvcTXhVxH5YRe85tLb1D")</f>
        <v/>
      </c>
      <c r="L899" s="18"/>
      <c r="M899" s="10"/>
      <c r="N899" s="10"/>
    </row>
    <row r="900">
      <c r="A900" s="5" t="s">
        <v>1549</v>
      </c>
      <c r="B900" s="29" t="s">
        <v>1009</v>
      </c>
      <c r="C900" s="22">
        <v>9.0</v>
      </c>
      <c r="D900" s="22" t="s">
        <v>1550</v>
      </c>
      <c r="E900" s="6"/>
      <c r="F900" s="18"/>
      <c r="G900" s="18"/>
      <c r="H900" s="18"/>
      <c r="I900" s="18"/>
      <c r="J900" s="10"/>
      <c r="K900" s="18" t="str">
        <f>IMAGE("https://cdn.store.link/products/ayiraminimart50505/fp00kd-kiddy%20toys%20%E2%80%93%20rubber%20chicken%20toy.png?versionId=Csu.zdb.bFsX98irn7SeoMs1K_E0QdEx")</f>
        <v/>
      </c>
      <c r="L900" s="18"/>
      <c r="M900" s="10"/>
      <c r="N900" s="10"/>
    </row>
    <row r="901">
      <c r="A901" s="19" t="s">
        <v>1551</v>
      </c>
      <c r="B901" s="27" t="s">
        <v>613</v>
      </c>
      <c r="C901" s="22">
        <v>3.5</v>
      </c>
      <c r="D901" s="22" t="s">
        <v>1070</v>
      </c>
      <c r="E901" s="6"/>
      <c r="F901" s="18"/>
      <c r="G901" s="18"/>
      <c r="H901" s="18"/>
      <c r="I901" s="18"/>
      <c r="J901" s="10"/>
      <c r="K901" s="18" t="str">
        <f>IMAGE("https://cdn.store.link/products/ayiraminimart50505/0xqb5d-kinder%20bueno%20chocolate%20bar%2043%20g.png?versionId=2rDCw4A.HT6pRziD.6kZe9Fku.w9JsFj")</f>
        <v/>
      </c>
      <c r="L901" s="18"/>
      <c r="M901" s="10"/>
      <c r="N901" s="10"/>
    </row>
    <row r="902">
      <c r="A902" s="19" t="s">
        <v>1552</v>
      </c>
      <c r="B902" s="27" t="s">
        <v>613</v>
      </c>
      <c r="C902" s="22">
        <v>2.5</v>
      </c>
      <c r="D902" s="22" t="s">
        <v>1553</v>
      </c>
      <c r="E902" s="6"/>
      <c r="F902" s="18"/>
      <c r="G902" s="18"/>
      <c r="H902" s="18"/>
      <c r="I902" s="18"/>
      <c r="J902" s="10"/>
      <c r="K902" s="18" t="str">
        <f>IMAGE("https://cdn.store.link/products/ayiraminimart50505/61ex4u-%C3%BClker%20halley%20milk%20chocolate%20coated%20biscuit.png?versionId=NQfZypCsWgaLMHI8miLmyLybRaqiWPZA")</f>
        <v/>
      </c>
      <c r="L902" s="18"/>
      <c r="M902" s="10"/>
      <c r="N902" s="10"/>
    </row>
    <row r="903">
      <c r="A903" s="19" t="s">
        <v>1554</v>
      </c>
      <c r="B903" s="29" t="s">
        <v>1555</v>
      </c>
      <c r="C903" s="22">
        <v>2.0</v>
      </c>
      <c r="D903" s="22" t="s">
        <v>1556</v>
      </c>
      <c r="E903" s="6"/>
      <c r="F903" s="18"/>
      <c r="G903" s="18"/>
      <c r="H903" s="18"/>
      <c r="I903" s="18"/>
      <c r="J903" s="10"/>
      <c r="K903" s="18" t="str">
        <f>IMAGE("https://cdn.store.link/products/ayiraminimart50505/v-10zy-relish%20cashew%2C%20pistachio%20?versionId=pxzqx6HJEJbdndTpYYmckGVXacGK5d1t")</f>
        <v/>
      </c>
      <c r="L903" s="18"/>
      <c r="M903" s="10"/>
      <c r="N903" s="10"/>
    </row>
    <row r="904">
      <c r="A904" s="19" t="s">
        <v>1557</v>
      </c>
      <c r="B904" s="29" t="s">
        <v>1555</v>
      </c>
      <c r="C904" s="22">
        <v>2.5</v>
      </c>
      <c r="D904" s="22" t="s">
        <v>1558</v>
      </c>
      <c r="E904" s="6"/>
      <c r="F904" s="18"/>
      <c r="G904" s="18"/>
      <c r="H904" s="18"/>
      <c r="I904" s="18"/>
      <c r="J904" s="10"/>
      <c r="K904" s="18" t="str">
        <f>IMAGE("https://cdn.store.link/products/ayiraminimart50505/plrd7v-%C3%BClker%20albeni%20bites%20chocolate%20bar%20%E2%80%93%2072%20g.png?versionId=HZSpmi16sH9tuAl7yFvQ7uBPf_uI4xNc")</f>
        <v/>
      </c>
      <c r="L904" s="18"/>
      <c r="M904" s="10"/>
      <c r="N904" s="10"/>
    </row>
    <row r="905">
      <c r="A905" s="19" t="s">
        <v>1559</v>
      </c>
      <c r="B905" s="29" t="s">
        <v>1555</v>
      </c>
      <c r="C905" s="22">
        <v>3.0</v>
      </c>
      <c r="D905" s="22" t="s">
        <v>1560</v>
      </c>
      <c r="E905" s="6"/>
      <c r="F905" s="18"/>
      <c r="G905" s="18"/>
      <c r="H905" s="18"/>
      <c r="I905" s="18"/>
      <c r="J905" s="10"/>
      <c r="K905" s="18" t="str">
        <f>IMAGE("https://cdn.store.link/products/ayiraminimart50505/hop-cu-%C3%BClker%20hanimeller%20cocoa%20chips%20cookies%2082%20g.png?versionId=axkKAhEu1S5zOyLecMBdh3V9WLcl8wak")</f>
        <v/>
      </c>
      <c r="L905" s="18"/>
      <c r="M905" s="10"/>
      <c r="N905" s="10"/>
    </row>
    <row r="906">
      <c r="A906" s="19" t="s">
        <v>1561</v>
      </c>
      <c r="B906" s="29" t="s">
        <v>1555</v>
      </c>
      <c r="C906" s="22">
        <v>3.0</v>
      </c>
      <c r="D906" s="22" t="s">
        <v>1562</v>
      </c>
      <c r="E906" s="6"/>
      <c r="F906" s="18"/>
      <c r="G906" s="18"/>
      <c r="H906" s="18"/>
      <c r="I906" s="18"/>
      <c r="J906" s="10"/>
      <c r="K906" s="18" t="str">
        <f>IMAGE("https://cdn.store.link/products/ayiraminimart50505/-h5wgj-%C3%BClker%20rondo%20kremali%20strawberry%20cream%20biscuits%2061%20g.png?versionId=xqON2jkvaWPjF1.7GBY3..ll4teKDysw")</f>
        <v/>
      </c>
      <c r="L906" s="18"/>
      <c r="M906" s="10"/>
      <c r="N906" s="10"/>
    </row>
    <row r="907">
      <c r="A907" s="19" t="s">
        <v>1563</v>
      </c>
      <c r="B907" s="29" t="s">
        <v>1555</v>
      </c>
      <c r="C907" s="36"/>
      <c r="D907" s="22" t="s">
        <v>1564</v>
      </c>
      <c r="E907" s="6"/>
      <c r="F907" s="18"/>
      <c r="G907" s="18"/>
      <c r="H907" s="18"/>
      <c r="I907" s="18"/>
      <c r="J907" s="10"/>
      <c r="K907" s="18" t="str">
        <f>IMAGE("https://cdn.store.link/products/ayiraminimart50505/y9ad9o-%C3%BClker%20rondo%20kremali%C4%B1%20banana%20cream%20biscuits%2061%20g.jpg?versionId=49avpfek6jyjmqdiNPIVO7RNkPCsv3km")</f>
        <v/>
      </c>
      <c r="L907" s="18"/>
      <c r="M907" s="10"/>
      <c r="N907" s="10"/>
    </row>
    <row r="908">
      <c r="A908" s="19" t="s">
        <v>1565</v>
      </c>
      <c r="B908" s="29" t="s">
        <v>1555</v>
      </c>
      <c r="C908" s="36"/>
      <c r="D908" s="22" t="s">
        <v>1566</v>
      </c>
      <c r="E908" s="6"/>
      <c r="F908" s="18"/>
      <c r="G908" s="18"/>
      <c r="H908" s="18"/>
      <c r="I908" s="18"/>
      <c r="J908" s="10"/>
      <c r="K908" s="18" t="str">
        <f>IMAGE("https://cdn.store.link/products/ayiraminimart50505/2ibknd-britannia%2050-50%20sweet%20?versionId=vQ6ejGmL2KilY1N70W5_ddR8m4Rj8E0Y")</f>
        <v/>
      </c>
      <c r="L908" s="18"/>
      <c r="M908" s="10"/>
      <c r="N908" s="10"/>
    </row>
    <row r="909">
      <c r="A909" s="19" t="s">
        <v>1567</v>
      </c>
      <c r="B909" s="29" t="s">
        <v>1555</v>
      </c>
      <c r="C909" s="36"/>
      <c r="D909" s="22" t="s">
        <v>1568</v>
      </c>
      <c r="E909" s="6"/>
      <c r="F909" s="18"/>
      <c r="G909" s="18"/>
      <c r="H909" s="18"/>
      <c r="I909" s="18"/>
      <c r="J909" s="10"/>
      <c r="K909" s="18" t="str">
        <f>IMAGE("https://cdn.store.link/products/ayiraminimart50505/9unq9k-%C3%BClker%20coffee%20biscuit%20%E2%80%93%2058%20g.png?versionId=fiTLJRQ2ueCLKEyF7_euOvgSEqTFzwSs")</f>
        <v/>
      </c>
      <c r="L909" s="18"/>
      <c r="M909" s="10"/>
      <c r="N909" s="10"/>
    </row>
    <row r="910">
      <c r="A910" s="19" t="s">
        <v>1569</v>
      </c>
      <c r="B910" s="27" t="s">
        <v>623</v>
      </c>
      <c r="C910" s="22">
        <v>6.5</v>
      </c>
      <c r="D910" s="22" t="s">
        <v>1570</v>
      </c>
      <c r="E910" s="6"/>
      <c r="F910" s="18"/>
      <c r="G910" s="18"/>
      <c r="H910" s="18"/>
      <c r="I910" s="18"/>
      <c r="J910" s="10" t="s">
        <v>40</v>
      </c>
      <c r="K910" s="18" t="str">
        <f t="shared" ref="K910:K911" si="3">IMAGE("https://cdn.store.link/products/ayiraminimart50505/p-g6r6-takis%20fuego%20hot%20chili%20pepper%20?versionId=YIu48D4L2gqD2g2ozTtCxfbJplpRRSBd")</f>
        <v/>
      </c>
      <c r="L910" s="18"/>
      <c r="M910" s="10"/>
      <c r="N910" s="10"/>
    </row>
    <row r="911">
      <c r="A911" s="6"/>
      <c r="B911" s="27" t="s">
        <v>623</v>
      </c>
      <c r="C911" s="36"/>
      <c r="D911" s="22" t="s">
        <v>1571</v>
      </c>
      <c r="E911" s="6"/>
      <c r="F911" s="18"/>
      <c r="G911" s="18"/>
      <c r="H911" s="18"/>
      <c r="I911" s="18"/>
      <c r="J911" s="10" t="s">
        <v>40</v>
      </c>
      <c r="K911" s="18" t="str">
        <f t="shared" si="3"/>
        <v/>
      </c>
      <c r="L911" s="18"/>
      <c r="M911" s="10"/>
      <c r="N911" s="10"/>
    </row>
    <row r="912">
      <c r="A912" s="19" t="s">
        <v>1572</v>
      </c>
      <c r="B912" s="29" t="s">
        <v>831</v>
      </c>
      <c r="C912" s="22">
        <v>1.5</v>
      </c>
      <c r="D912" s="22" t="s">
        <v>1573</v>
      </c>
      <c r="E912" s="6"/>
      <c r="F912" s="18"/>
      <c r="G912" s="18"/>
      <c r="H912" s="18"/>
      <c r="I912" s="18"/>
      <c r="J912" s="10"/>
      <c r="K912" s="18" t="str">
        <f>IMAGE("https://cdn.store.link/products/ayiraminimart50505/i34wci-fruittella%20orange%20chewy%20sweets%20with%20fruit%20juice.png?versionId=EH.VowHvvmd6cLfYNpSbMhEpsW.1UnuL")</f>
        <v/>
      </c>
      <c r="L912" s="18"/>
      <c r="M912" s="10"/>
      <c r="N912" s="10"/>
    </row>
    <row r="913">
      <c r="A913" s="19" t="s">
        <v>1574</v>
      </c>
      <c r="B913" s="29" t="s">
        <v>831</v>
      </c>
      <c r="C913" s="22">
        <v>1.5</v>
      </c>
      <c r="D913" s="22" t="s">
        <v>1575</v>
      </c>
      <c r="E913" s="6"/>
      <c r="F913" s="18"/>
      <c r="G913" s="18"/>
      <c r="H913" s="18"/>
      <c r="I913" s="18"/>
      <c r="J913" s="10"/>
      <c r="K913" s="18" t="str">
        <f>IMAGE("https://cdn.store.link/products/ayiraminimart50505/wg0gdc-fruittella%20strawberry%20chewy%20sweets%20gelatin%20free.png?versionId=azbrenk85uWuIc1NZ5Jk2_8oNf0D8U0j")</f>
        <v/>
      </c>
      <c r="L913" s="18"/>
      <c r="M913" s="10"/>
      <c r="N913" s="10"/>
    </row>
    <row r="914">
      <c r="A914" s="19" t="s">
        <v>1576</v>
      </c>
      <c r="B914" s="29" t="s">
        <v>831</v>
      </c>
      <c r="C914" s="22">
        <v>1.5</v>
      </c>
      <c r="D914" s="22" t="s">
        <v>1577</v>
      </c>
      <c r="E914" s="6"/>
      <c r="F914" s="18"/>
      <c r="G914" s="18"/>
      <c r="H914" s="18"/>
      <c r="I914" s="18"/>
      <c r="J914" s="10"/>
      <c r="K914" s="18" t="str">
        <f>IMAGE("https://cdn.store.link/products/ayiraminimart50505/rso9o9-fruittella%20mixed%20fruit%20chewy%20sweets%20gelatin%20free.png?versionId=D6Z72WZepotNC4avBQxm0rCI_zBuRjTv")</f>
        <v/>
      </c>
      <c r="L914" s="18"/>
      <c r="M914" s="10"/>
      <c r="N914" s="10"/>
    </row>
    <row r="915">
      <c r="A915" s="19" t="s">
        <v>1578</v>
      </c>
      <c r="B915" s="29" t="s">
        <v>1009</v>
      </c>
      <c r="C915" s="22">
        <v>2.0</v>
      </c>
      <c r="D915" s="22" t="s">
        <v>1579</v>
      </c>
      <c r="E915" s="6"/>
      <c r="F915" s="18"/>
      <c r="G915" s="18"/>
      <c r="H915" s="18"/>
      <c r="I915" s="18"/>
      <c r="J915" s="10"/>
      <c r="K915" s="18" t="str">
        <f>IMAGE("https://cdn.store.link/products/ayiraminimart50505/0h8vmu-strawberry%20lollipop.png?versionId=dc6rvz4_ovdnx2OIQcidOE85jJacjRfN")</f>
        <v/>
      </c>
      <c r="L915" s="18"/>
      <c r="M915" s="10"/>
      <c r="N915" s="10"/>
    </row>
    <row r="916">
      <c r="A916" s="19" t="s">
        <v>1580</v>
      </c>
      <c r="B916" s="29" t="s">
        <v>1009</v>
      </c>
      <c r="C916" s="22">
        <v>1.5</v>
      </c>
      <c r="D916" s="22" t="s">
        <v>1581</v>
      </c>
      <c r="E916" s="6"/>
      <c r="F916" s="18"/>
      <c r="G916" s="18"/>
      <c r="H916" s="18"/>
      <c r="I916" s="18"/>
      <c r="J916" s="10"/>
      <c r="K916" s="18" t="str">
        <f>IMAGE("https://cdn.store.link/products/ayiraminimart50505/fw76vq-chupa%20chups%20melody%20pops%20cola%20flavour.png?versionId=wniqiz.8ZrpctIxH6bDeIt0D.pg1UFJt")</f>
        <v/>
      </c>
      <c r="L916" s="18"/>
      <c r="M916" s="10"/>
      <c r="N916" s="10"/>
    </row>
    <row r="917">
      <c r="A917" s="19" t="s">
        <v>1582</v>
      </c>
      <c r="B917" s="29" t="s">
        <v>1009</v>
      </c>
      <c r="C917" s="22">
        <v>1.5</v>
      </c>
      <c r="D917" s="22" t="s">
        <v>1583</v>
      </c>
      <c r="E917" s="6"/>
      <c r="F917" s="18"/>
      <c r="G917" s="18"/>
      <c r="H917" s="18"/>
      <c r="I917" s="18"/>
      <c r="J917" s="10"/>
      <c r="K917" s="18" t="str">
        <f>IMAGE("https://cdn.store.link/products/ayiraminimart50505/xe22bf-chupa%20chups%20melody%20pops%20strawberry%20flavour.png?versionId=o82LB8p2lWcWlzndtAZfNRZy7GU2CLTM")</f>
        <v/>
      </c>
      <c r="L917" s="18"/>
      <c r="M917" s="10"/>
      <c r="N917" s="10"/>
    </row>
    <row r="918">
      <c r="A918" s="19" t="s">
        <v>1584</v>
      </c>
      <c r="B918" s="29" t="s">
        <v>1009</v>
      </c>
      <c r="C918" s="22">
        <v>1.0</v>
      </c>
      <c r="D918" s="22" t="s">
        <v>1585</v>
      </c>
      <c r="E918" s="6"/>
      <c r="F918" s="18"/>
      <c r="G918" s="18"/>
      <c r="H918" s="18"/>
      <c r="I918" s="18"/>
      <c r="J918" s="10"/>
      <c r="K918" s="18" t="str">
        <f>IMAGE("https://cdn.store.link/products/ayiraminimart50505/s65m84-chupa%20chups%20sour%20belt%20mixed%20fruit%20flavour%20soft%20and%20chewy.png?versionId=naD7ybz6dyglvZhO0Xyx9Y5Pyn3JDGOP")</f>
        <v/>
      </c>
      <c r="L918" s="18"/>
      <c r="M918" s="10"/>
      <c r="N918" s="10"/>
    </row>
    <row r="919">
      <c r="A919" s="19" t="s">
        <v>1586</v>
      </c>
      <c r="B919" s="29" t="s">
        <v>831</v>
      </c>
      <c r="C919" s="22">
        <v>1.5</v>
      </c>
      <c r="D919" s="22" t="s">
        <v>1587</v>
      </c>
      <c r="E919" s="6"/>
      <c r="F919" s="18"/>
      <c r="G919" s="18"/>
      <c r="H919" s="18"/>
      <c r="I919" s="18"/>
      <c r="J919" s="10"/>
      <c r="K919" s="18" t="str">
        <f>IMAGE("https://cdn.store.link/products/ayiraminimart50505/m0h5dy-milk%20flavour%20chews%20rich%20and%20creamy%20gelatin%20free.png?versionId=wYIbDtCYfRohjOPhEtjYIT4HrjDrSn.z")</f>
        <v/>
      </c>
      <c r="L919" s="18"/>
      <c r="M919" s="10"/>
      <c r="N919" s="10"/>
    </row>
    <row r="920">
      <c r="A920" s="19" t="s">
        <v>1588</v>
      </c>
      <c r="B920" s="29" t="s">
        <v>831</v>
      </c>
      <c r="C920" s="22">
        <v>3.0</v>
      </c>
      <c r="D920" s="22" t="s">
        <v>1361</v>
      </c>
      <c r="E920" s="6"/>
      <c r="F920" s="18"/>
      <c r="G920" s="18"/>
      <c r="H920" s="18"/>
      <c r="I920" s="18"/>
      <c r="J920" s="10"/>
      <c r="K920" s="18" t="str">
        <f>IMAGE("https://cdn.store.link/products/ayiraminimart50505/wovm1v-mentos%20incredible%20chew%20soft%20candy%20green%20apple%20flavour.png?versionId=vOoY6x7Z40yJQ_nwDMcW8V4ZQjCQcOda")</f>
        <v/>
      </c>
      <c r="L920" s="18"/>
      <c r="M920" s="10"/>
      <c r="N920" s="10"/>
    </row>
    <row r="921">
      <c r="A921" s="19" t="s">
        <v>1589</v>
      </c>
      <c r="B921" s="29" t="s">
        <v>831</v>
      </c>
      <c r="C921" s="22">
        <v>3.0</v>
      </c>
      <c r="D921" s="22" t="s">
        <v>1361</v>
      </c>
      <c r="E921" s="6"/>
      <c r="F921" s="18"/>
      <c r="G921" s="18"/>
      <c r="H921" s="18"/>
      <c r="I921" s="18"/>
      <c r="J921" s="10"/>
      <c r="K921" s="18" t="str">
        <f>IMAGE("https://cdn.store.link/products/ayiraminimart50505/qrlkbu-mentos%20incredible%20chew%20soft%20candy%20grape%20flavour.png?versionId=o8SybtgUs23Zja.10yVGqcrchZiId6Fd")</f>
        <v/>
      </c>
      <c r="L921" s="18"/>
      <c r="M921" s="10"/>
      <c r="N921" s="10"/>
    </row>
    <row r="922">
      <c r="A922" s="19" t="s">
        <v>1590</v>
      </c>
      <c r="B922" s="29" t="s">
        <v>831</v>
      </c>
      <c r="C922" s="22">
        <v>3.0</v>
      </c>
      <c r="D922" s="22" t="s">
        <v>1361</v>
      </c>
      <c r="E922" s="6"/>
      <c r="F922" s="18"/>
      <c r="G922" s="18"/>
      <c r="H922" s="18"/>
      <c r="I922" s="18"/>
      <c r="J922" s="10"/>
      <c r="K922" s="18" t="str">
        <f>IMAGE("https://cdn.store.link/products/ayiraminimart50505/z2pecd-mentos%20incredible%20chew%20soft%20candy%20strawberry%20flavour.png?versionId=y1QxE0lSlL6yjt_bWRCpy3IkPAQ.yY0q")</f>
        <v/>
      </c>
      <c r="L922" s="18"/>
      <c r="M922" s="10"/>
      <c r="N922" s="10"/>
    </row>
    <row r="923">
      <c r="A923" s="5" t="s">
        <v>1591</v>
      </c>
      <c r="B923" s="29" t="s">
        <v>1009</v>
      </c>
      <c r="C923" s="22">
        <v>2.0</v>
      </c>
      <c r="D923" s="22" t="s">
        <v>1592</v>
      </c>
      <c r="E923" s="6"/>
      <c r="F923" s="18"/>
      <c r="G923" s="18"/>
      <c r="H923" s="18"/>
      <c r="I923" s="18"/>
      <c r="J923" s="10"/>
      <c r="K923" s="18" t="str">
        <f>IMAGE("https://cdn.store.link/products/ayiraminimart50505/7a05zr-red%20band%20tutti%20frutti%20fruit%20flavoured%20candy.png?versionId=F6BYokk3h6202UwrGcRbgUpzof2caV5R")</f>
        <v/>
      </c>
      <c r="L923" s="18"/>
      <c r="M923" s="10"/>
      <c r="N923" s="10"/>
    </row>
    <row r="924">
      <c r="A924" s="19" t="s">
        <v>1593</v>
      </c>
      <c r="B924" s="29" t="s">
        <v>831</v>
      </c>
      <c r="C924" s="22">
        <v>14.0</v>
      </c>
      <c r="D924" s="22" t="s">
        <v>1594</v>
      </c>
      <c r="E924" s="6"/>
      <c r="F924" s="18"/>
      <c r="G924" s="18"/>
      <c r="H924" s="18"/>
      <c r="I924" s="18"/>
      <c r="J924" s="10"/>
      <c r="K924" s="18" t="str">
        <f>IMAGE("https://cdn.store.link/products/ayiraminimart50505/qxnr24-mentos%20white%20sugar%20free%20chewing%20gum%20strawberry%20flavour%2072%20pieces.png?versionId=qClGkbkNH5oP8Bg7PTN1cD8kP3vyMUVY")</f>
        <v/>
      </c>
      <c r="L924" s="18"/>
      <c r="M924" s="10"/>
      <c r="N924" s="10"/>
    </row>
    <row r="925">
      <c r="A925" s="19" t="s">
        <v>1595</v>
      </c>
      <c r="B925" s="29" t="s">
        <v>831</v>
      </c>
      <c r="C925" s="22">
        <v>14.0</v>
      </c>
      <c r="D925" s="22" t="s">
        <v>1594</v>
      </c>
      <c r="E925" s="6"/>
      <c r="F925" s="18"/>
      <c r="G925" s="18"/>
      <c r="H925" s="18"/>
      <c r="I925" s="18"/>
      <c r="J925" s="10"/>
      <c r="K925" s="18" t="str">
        <f>IMAGE("https://cdn.store.link/products/ayiraminimart50505/svap4d-mentos%20white%20sugar%20free%20chewing%20gum%20spearmint%20flavour%2072%20pieces.png?versionId=AckCEHKkW0SbjsxMTM0X9xsTsG4IGOpC")</f>
        <v/>
      </c>
      <c r="L925" s="18"/>
      <c r="M925" s="10"/>
      <c r="N925" s="10"/>
    </row>
    <row r="926">
      <c r="A926" s="19" t="s">
        <v>1596</v>
      </c>
      <c r="B926" s="29" t="s">
        <v>831</v>
      </c>
      <c r="C926" s="22">
        <v>7.5</v>
      </c>
      <c r="D926" s="22" t="s">
        <v>1594</v>
      </c>
      <c r="E926" s="6"/>
      <c r="F926" s="18"/>
      <c r="G926" s="18"/>
      <c r="H926" s="18"/>
      <c r="I926" s="18"/>
      <c r="J926" s="10"/>
      <c r="K926" s="18" t="str">
        <f>IMAGE("https://cdn.store.link/products/ayiraminimart50505/xh1-wy-mentos%20white%20sugar%20free%20chewing%20gum%20sweet%20mint%20flavour%2038%20pieces.png?versionId=bUSGzPgvxfYr0v0A0E0lfXgBigDc2QHB")</f>
        <v/>
      </c>
      <c r="L926" s="18"/>
      <c r="M926" s="10"/>
      <c r="N926" s="10"/>
    </row>
    <row r="927">
      <c r="A927" s="19" t="s">
        <v>1597</v>
      </c>
      <c r="B927" s="29" t="s">
        <v>831</v>
      </c>
      <c r="C927" s="22">
        <v>7.5</v>
      </c>
      <c r="D927" s="22" t="s">
        <v>1594</v>
      </c>
      <c r="E927" s="6"/>
      <c r="F927" s="18"/>
      <c r="G927" s="18"/>
      <c r="H927" s="18"/>
      <c r="I927" s="18"/>
      <c r="J927" s="10"/>
      <c r="K927" s="18" t="str">
        <f>IMAGE("https://cdn.store.link/products/ayiraminimart50505/wgwkar-mentos%20white%20sugar%20free%20chewing%20gum%20tutti%20frutti%20flavour%2038%20pieces.png?versionId=hSQzeLNKslRjyeLUn6lnQ6BITl9H3kRL")</f>
        <v/>
      </c>
      <c r="L927" s="18"/>
      <c r="M927" s="10"/>
      <c r="N927" s="10"/>
    </row>
    <row r="928">
      <c r="A928" s="19" t="s">
        <v>1598</v>
      </c>
      <c r="B928" s="29" t="s">
        <v>831</v>
      </c>
      <c r="C928" s="22">
        <v>7.5</v>
      </c>
      <c r="D928" s="22" t="s">
        <v>1594</v>
      </c>
      <c r="E928" s="6"/>
      <c r="F928" s="18"/>
      <c r="G928" s="18"/>
      <c r="H928" s="18"/>
      <c r="I928" s="18"/>
      <c r="J928" s="10"/>
      <c r="K928" s="18" t="str">
        <f>IMAGE("https://cdn.store.link/products/ayiraminimart50505/6g2w46-mentos%20white%20sugar%20free%20chewing%20gum%20peppermint%20flavour%2038%20pieces.png?versionId=G8PkWmsZ4fym0GWOeXf1JZWirSWN.lSq")</f>
        <v/>
      </c>
      <c r="L928" s="18"/>
      <c r="M928" s="10"/>
      <c r="N928" s="10"/>
    </row>
    <row r="929">
      <c r="A929" s="19" t="s">
        <v>1599</v>
      </c>
      <c r="B929" s="29" t="s">
        <v>831</v>
      </c>
      <c r="C929" s="22">
        <v>19.0</v>
      </c>
      <c r="D929" s="22" t="s">
        <v>1594</v>
      </c>
      <c r="E929" s="6"/>
      <c r="F929" s="18"/>
      <c r="G929" s="18"/>
      <c r="H929" s="18"/>
      <c r="I929" s="18"/>
      <c r="J929" s="10"/>
      <c r="K929" s="18" t="str">
        <f>IMAGE("https://cdn.store.link/products/ayiraminimart50505/0fkym8-mentos%20fresh%20dive%20soft%20gum%20tidal%20grape%20flavour%2044%20pieces.png?versionId=9YBKI36jrjXC33aQqZA.aYiHHKlHR4sU")</f>
        <v/>
      </c>
      <c r="L929" s="18"/>
      <c r="M929" s="10"/>
      <c r="N929" s="10"/>
    </row>
    <row r="930">
      <c r="A930" s="19" t="s">
        <v>1600</v>
      </c>
      <c r="B930" s="29" t="s">
        <v>831</v>
      </c>
      <c r="C930" s="22">
        <v>19.0</v>
      </c>
      <c r="D930" s="22" t="s">
        <v>1594</v>
      </c>
      <c r="E930" s="6"/>
      <c r="F930" s="18"/>
      <c r="G930" s="18"/>
      <c r="H930" s="18"/>
      <c r="I930" s="18"/>
      <c r="J930" s="10"/>
      <c r="K930" s="18" t="str">
        <f>IMAGE("https://cdn.store.link/products/ayiraminimart50505/gbdz0y-mentos%20fresh%20dive%20soft%20gum%20cool%20peppermint%20flavour%20%2844%20pieces%29.png?versionId=oY_R494Cwu8jFM.4UdBLtzDjEOuYHUVo")</f>
        <v/>
      </c>
      <c r="L930" s="18"/>
      <c r="M930" s="10"/>
      <c r="N930" s="10"/>
    </row>
    <row r="931">
      <c r="A931" s="19" t="s">
        <v>1601</v>
      </c>
      <c r="B931" s="29" t="s">
        <v>831</v>
      </c>
      <c r="C931" s="22">
        <v>11.5</v>
      </c>
      <c r="D931" s="22" t="s">
        <v>1594</v>
      </c>
      <c r="E931" s="6"/>
      <c r="F931" s="18"/>
      <c r="G931" s="18"/>
      <c r="H931" s="18"/>
      <c r="I931" s="18"/>
      <c r="J931" s="10"/>
      <c r="K931" s="18" t="str">
        <f>IMAGE("https://cdn.store.link/products/ayiraminimart50505/7zt26q-mentos%20bubble%20gum.png?versionId=3fB7kemfk27I2XT3GIi8H6ifPR_AsXKf")</f>
        <v/>
      </c>
      <c r="L931" s="18"/>
      <c r="M931" s="10"/>
      <c r="N931" s="10"/>
    </row>
    <row r="932">
      <c r="A932" s="19" t="s">
        <v>1602</v>
      </c>
      <c r="B932" s="29" t="s">
        <v>1009</v>
      </c>
      <c r="C932" s="22">
        <v>10.0</v>
      </c>
      <c r="D932" s="22" t="s">
        <v>1603</v>
      </c>
      <c r="E932" s="6"/>
      <c r="F932" s="18"/>
      <c r="G932" s="18"/>
      <c r="H932" s="18"/>
      <c r="I932" s="18"/>
      <c r="J932" s="10"/>
      <c r="K932" s="18" t="str">
        <f>IMAGE("https://cdn.store.link/products/ayiraminimart50505/rn4qle-chupa%20chups%20pinkis%20soft%20?versionId=854o.OuhvlLoy9agq92IVhX4Aq2oFP4K")</f>
        <v/>
      </c>
      <c r="L932" s="18"/>
      <c r="M932" s="10"/>
      <c r="N932" s="10"/>
    </row>
    <row r="933">
      <c r="A933" s="19" t="s">
        <v>1604</v>
      </c>
      <c r="B933" s="29" t="s">
        <v>1009</v>
      </c>
      <c r="C933" s="22">
        <v>10.0</v>
      </c>
      <c r="D933" s="22" t="s">
        <v>1605</v>
      </c>
      <c r="E933" s="6"/>
      <c r="F933" s="18"/>
      <c r="G933" s="18"/>
      <c r="H933" s="18"/>
      <c r="I933" s="18"/>
      <c r="J933" s="10"/>
      <c r="K933" s="18" t="str">
        <f>IMAGE("https://cdn.store.link/products/ayiraminimart50505/w9hvhl-chupa%20chups%20cola%20soft%20?versionId=2azegOV7MgWH2Vm38hg9rHZStsSYbMva")</f>
        <v/>
      </c>
      <c r="L933" s="18"/>
      <c r="M933" s="10"/>
      <c r="N933" s="10"/>
    </row>
    <row r="934">
      <c r="A934" s="19" t="s">
        <v>1606</v>
      </c>
      <c r="B934" s="29" t="s">
        <v>1009</v>
      </c>
      <c r="C934" s="22">
        <v>10.0</v>
      </c>
      <c r="D934" s="22" t="s">
        <v>1607</v>
      </c>
      <c r="E934" s="6"/>
      <c r="F934" s="18"/>
      <c r="G934" s="18"/>
      <c r="H934" s="18"/>
      <c r="I934" s="18"/>
      <c r="J934" s="10"/>
      <c r="K934" s="18" t="str">
        <f>IMAGE("https://cdn.store.link/products/ayiraminimart50505/rn4qle-chupa%20chups%20pinkis%20soft%20?versionId=854o.OuhvlLoy9agq92IVhX4Aq2oFP4K")</f>
        <v/>
      </c>
      <c r="L934" s="18"/>
      <c r="M934" s="10"/>
      <c r="N934" s="10"/>
    </row>
    <row r="935">
      <c r="A935" s="19" t="s">
        <v>1608</v>
      </c>
      <c r="B935" s="29" t="s">
        <v>1009</v>
      </c>
      <c r="C935" s="22">
        <v>6.0</v>
      </c>
      <c r="D935" s="22" t="s">
        <v>1609</v>
      </c>
      <c r="E935" s="6"/>
      <c r="F935" s="18"/>
      <c r="G935" s="18"/>
      <c r="H935" s="18"/>
      <c r="I935" s="18"/>
      <c r="J935" s="10"/>
      <c r="K935" s="18" t="str">
        <f>IMAGE("https://cdn.store.link/products/ayiraminimart50505/s25xzc-chupa%20chups%20gecko%20sour%20fruit%20flavour%20gummy%20candy%20%E2%80%94%20106%20g.png?versionId=Bcp_rNzpYDx1_fSsKk2LxNhFStZZrjUa")</f>
        <v/>
      </c>
      <c r="L935" s="18"/>
      <c r="M935" s="10"/>
      <c r="N935" s="10"/>
    </row>
    <row r="936">
      <c r="A936" s="19" t="s">
        <v>1610</v>
      </c>
      <c r="B936" s="29" t="s">
        <v>1009</v>
      </c>
      <c r="C936" s="22">
        <v>6.0</v>
      </c>
      <c r="D936" s="22" t="s">
        <v>1611</v>
      </c>
      <c r="E936" s="6"/>
      <c r="F936" s="18"/>
      <c r="G936" s="18"/>
      <c r="H936" s="18"/>
      <c r="I936" s="18"/>
      <c r="J936" s="10"/>
      <c r="K936" s="18" t="str">
        <f>IMAGE("https://cdn.store.link/products/ayiraminimart50505/t4ofbg-chupa%20chups%20panda%20bears%20fruit%20flavour%20gummy%20candy%2090%20g.png?versionId=qWaLo4LMPe7y7_NXpHEpE70nh9tn8ENC")</f>
        <v/>
      </c>
      <c r="L936" s="18"/>
      <c r="M936" s="10"/>
      <c r="N936" s="10"/>
    </row>
    <row r="937">
      <c r="A937" s="19" t="s">
        <v>1612</v>
      </c>
      <c r="B937" s="29" t="s">
        <v>1009</v>
      </c>
      <c r="C937" s="22">
        <v>6.0</v>
      </c>
      <c r="D937" s="22" t="s">
        <v>1613</v>
      </c>
      <c r="E937" s="6"/>
      <c r="F937" s="18"/>
      <c r="G937" s="18"/>
      <c r="H937" s="18"/>
      <c r="I937" s="18"/>
      <c r="J937" s="10"/>
      <c r="K937" s="18" t="str">
        <f>IMAGE("https://cdn.store.link/products/ayiraminimart50505/0e8h6b-chupa%20chups%20cola%20soft%20?versionId=S4rRyGDvfgTxm52YkgY12sIgS1bOrGRe")</f>
        <v/>
      </c>
      <c r="L937" s="18"/>
      <c r="M937" s="10"/>
      <c r="N937" s="10"/>
    </row>
    <row r="938">
      <c r="A938" s="19" t="s">
        <v>1614</v>
      </c>
      <c r="B938" s="29" t="s">
        <v>1009</v>
      </c>
      <c r="C938" s="22">
        <v>6.0</v>
      </c>
      <c r="D938" s="22" t="s">
        <v>1615</v>
      </c>
      <c r="E938" s="6"/>
      <c r="F938" s="18"/>
      <c r="G938" s="18"/>
      <c r="H938" s="18"/>
      <c r="I938" s="18"/>
      <c r="J938" s="10"/>
      <c r="K938" s="18" t="str">
        <f>IMAGE("https://cdn.store.link/products/ayiraminimart50505/o7-hft-chupa%20chups%20gecko%20sour%20fruit%20flavour%20gummy%20candy%2090%20g.png?versionId=YPdubmJIdjmv33.fXB2GkemXbBYyYU5v")</f>
        <v/>
      </c>
      <c r="L938" s="18"/>
      <c r="M938" s="10"/>
      <c r="N938" s="10"/>
    </row>
    <row r="939">
      <c r="A939" s="19" t="s">
        <v>1616</v>
      </c>
      <c r="B939" s="29" t="s">
        <v>1009</v>
      </c>
      <c r="C939" s="22">
        <v>6.0</v>
      </c>
      <c r="D939" s="22" t="s">
        <v>1617</v>
      </c>
      <c r="E939" s="6"/>
      <c r="F939" s="18"/>
      <c r="G939" s="18"/>
      <c r="H939" s="18"/>
      <c r="I939" s="18"/>
      <c r="J939" s="10"/>
      <c r="K939" s="18" t="str">
        <f>IMAGE("https://cdn.store.link/products/ayiraminimart50505/am4z8m-chupa%20chups%20pinkis%20soft%20?versionId=WGUIlvzQuof7KN29AdWnX81rrUqwvJb4")</f>
        <v/>
      </c>
      <c r="L939" s="18"/>
      <c r="M939" s="10"/>
      <c r="N939" s="10"/>
    </row>
    <row r="940">
      <c r="A940" s="19" t="s">
        <v>1618</v>
      </c>
      <c r="B940" s="29" t="s">
        <v>1009</v>
      </c>
      <c r="C940" s="22">
        <v>7.5</v>
      </c>
      <c r="D940" s="22" t="s">
        <v>1619</v>
      </c>
      <c r="E940" s="6"/>
      <c r="F940" s="18"/>
      <c r="G940" s="18"/>
      <c r="H940" s="18"/>
      <c r="I940" s="18"/>
      <c r="J940" s="10"/>
      <c r="K940" s="18" t="str">
        <f>IMAGE("https://cdn.store.link/products/ayiraminimart50505/0y3xhx-chupa%20chups%20sour%20assorted%20flavour%20lollipops%20120%20g.png?versionId=Iuh0qeIiuG4C293jTGRC_lBCpoy8dbyJ")</f>
        <v/>
      </c>
      <c r="L940" s="18"/>
      <c r="M940" s="10"/>
      <c r="N940" s="10"/>
    </row>
    <row r="941">
      <c r="A941" s="19" t="s">
        <v>1620</v>
      </c>
      <c r="B941" s="29" t="s">
        <v>1009</v>
      </c>
      <c r="C941" s="22">
        <v>6.0</v>
      </c>
      <c r="D941" s="22" t="s">
        <v>1621</v>
      </c>
      <c r="E941" s="6"/>
      <c r="F941" s="18"/>
      <c r="G941" s="18"/>
      <c r="H941" s="18"/>
      <c r="I941" s="18"/>
      <c r="J941" s="10"/>
      <c r="K941" s="18" t="str">
        <f>IMAGE("https://cdn.store.link/products/ayiraminimart50505/6ioy1n-chupa%20chups%20cola%20gummy%20candy%2045g.png?versionId=a7LhY4_g4bGevW1YNzKFQfWX8pGxlgKe")</f>
        <v/>
      </c>
      <c r="L941" s="18"/>
      <c r="M941" s="10"/>
      <c r="N941" s="10"/>
    </row>
    <row r="942">
      <c r="A942" s="19" t="s">
        <v>1622</v>
      </c>
      <c r="B942" s="29" t="s">
        <v>1009</v>
      </c>
      <c r="C942" s="22">
        <v>6.0</v>
      </c>
      <c r="D942" s="22" t="s">
        <v>1623</v>
      </c>
      <c r="E942" s="6"/>
      <c r="F942" s="18"/>
      <c r="G942" s="18"/>
      <c r="H942" s="18"/>
      <c r="I942" s="18"/>
      <c r="J942" s="10"/>
      <c r="K942" s="18" t="str">
        <f>IMAGE("https://cdn.store.link/products/ayiraminimart50505/fy90gl-chupa%20chups%20bites%20sour%20fruit%20flavour%20gummy%20candy%2085g...png?versionId=l4YKWGok8R0hWousunsguFHjiK9.FWEb")</f>
        <v/>
      </c>
      <c r="L942" s="18"/>
      <c r="M942" s="10"/>
      <c r="N942" s="10"/>
    </row>
    <row r="943">
      <c r="A943" s="19" t="s">
        <v>1624</v>
      </c>
      <c r="B943" s="29" t="s">
        <v>831</v>
      </c>
      <c r="C943" s="22">
        <v>11.5</v>
      </c>
      <c r="D943" s="22" t="s">
        <v>1594</v>
      </c>
      <c r="E943" s="6"/>
      <c r="F943" s="18"/>
      <c r="G943" s="18"/>
      <c r="H943" s="18"/>
      <c r="I943" s="18"/>
      <c r="J943" s="10"/>
      <c r="K943" s="18" t="str">
        <f>IMAGE("https://cdn.store.link/products/ayiraminimart50505/lp48v--mentos%20pure%20fresh%20chewing%20gum%20%E2%80%93%20fresh%20mint.png?versionId=_40TjRENcvUQ27nsU8ML8xUaiduVrBna")</f>
        <v/>
      </c>
      <c r="L943" s="18"/>
      <c r="M943" s="10"/>
      <c r="N943" s="10"/>
    </row>
    <row r="944">
      <c r="A944" s="19" t="s">
        <v>1625</v>
      </c>
      <c r="B944" s="29" t="s">
        <v>831</v>
      </c>
      <c r="C944" s="22">
        <v>11.5</v>
      </c>
      <c r="D944" s="22" t="s">
        <v>1594</v>
      </c>
      <c r="E944" s="6"/>
      <c r="F944" s="18"/>
      <c r="G944" s="18"/>
      <c r="H944" s="18"/>
      <c r="I944" s="18"/>
      <c r="J944" s="10"/>
      <c r="K944" s="18" t="str">
        <f>IMAGE("https://cdn.store.link/products/ayiraminimart50505/q5i7vo-mentos%20pure%20fresh%20chewing%20gum%20wintergreen%20%E2%80%93%2032%20pieces.png?versionId=eGy9MXYc_1T5SbQumfEg26ajJ6Yhv_oB")</f>
        <v/>
      </c>
      <c r="L944" s="18"/>
      <c r="M944" s="10"/>
      <c r="N944" s="10"/>
    </row>
    <row r="945">
      <c r="A945" s="19" t="s">
        <v>1626</v>
      </c>
      <c r="B945" s="29" t="s">
        <v>831</v>
      </c>
      <c r="C945" s="22">
        <v>11.5</v>
      </c>
      <c r="D945" s="22" t="s">
        <v>1594</v>
      </c>
      <c r="E945" s="6"/>
      <c r="F945" s="18"/>
      <c r="G945" s="18"/>
      <c r="H945" s="18"/>
      <c r="I945" s="18"/>
      <c r="J945" s="10"/>
      <c r="K945" s="18" t="str">
        <f>IMAGE("https://cdn.store.link/products/ayiraminimart50505/zm2ghx-mentos%20pure%20fresh%20chewing%20gum%20strawberry%20%E2%80%93%2032%20pieces.png?versionId=pX6u4IvyfctqjXdRU.14SJVq1oH3GQly")</f>
        <v/>
      </c>
      <c r="L945" s="18"/>
      <c r="M945" s="10"/>
      <c r="N945" s="10"/>
    </row>
    <row r="946">
      <c r="A946" s="19" t="s">
        <v>1627</v>
      </c>
      <c r="B946" s="29" t="s">
        <v>831</v>
      </c>
      <c r="C946" s="22">
        <v>11.5</v>
      </c>
      <c r="D946" s="22" t="s">
        <v>1628</v>
      </c>
      <c r="E946" s="6"/>
      <c r="F946" s="18"/>
      <c r="G946" s="18"/>
      <c r="H946" s="18"/>
      <c r="I946" s="18"/>
      <c r="J946" s="10"/>
      <c r="K946" s="18" t="str">
        <f>IMAGE("https://cdn.store.link/products/ayiraminimart50505/29duk3-mentos%20pure%20fresh%20chewing%20gum%20watermelon%20%E2%80%93%2032%20pieces.png?versionId=LmompqOj6XvLuS25ZFTHlAOpTxXJbd_3")</f>
        <v/>
      </c>
      <c r="L946" s="18"/>
      <c r="M946" s="10"/>
      <c r="N946" s="10"/>
    </row>
    <row r="947">
      <c r="A947" s="19" t="s">
        <v>1629</v>
      </c>
      <c r="B947" s="29" t="s">
        <v>831</v>
      </c>
      <c r="C947" s="22">
        <v>11.5</v>
      </c>
      <c r="D947" s="22" t="s">
        <v>1594</v>
      </c>
      <c r="E947" s="6"/>
      <c r="F947" s="18"/>
      <c r="G947" s="18"/>
      <c r="H947" s="18"/>
      <c r="I947" s="18"/>
      <c r="J947" s="10"/>
      <c r="K947" s="18" t="str">
        <f>IMAGE("https://cdn.store.link/products/ayiraminimart50505/umehld-mentos%20pure%20fresh%20chewing%20gum%20fresh%20mint%20%E2%80%93%2032%20pieces.png?versionId=INEEK.9vQyIXEdLspMkoakTWIYIrA9SM")</f>
        <v/>
      </c>
      <c r="L947" s="18"/>
      <c r="M947" s="10"/>
      <c r="N947" s="10"/>
    </row>
    <row r="948">
      <c r="A948" s="19" t="s">
        <v>1630</v>
      </c>
      <c r="B948" s="29" t="s">
        <v>831</v>
      </c>
      <c r="C948" s="22">
        <v>1.5</v>
      </c>
      <c r="D948" s="22" t="s">
        <v>1628</v>
      </c>
      <c r="E948" s="6"/>
      <c r="F948" s="18"/>
      <c r="G948" s="18"/>
      <c r="H948" s="18"/>
      <c r="I948" s="18"/>
      <c r="J948" s="10"/>
      <c r="K948" s="18" t="str">
        <f>IMAGE("https://cdn.store.link/products/ayiraminimart50505/gj9mq6-mentos%203d%20sugarfree%20chewing%20gum%20watermelon%20%E2%80%93%205%20pieces.png?versionId=hAAaCUxbk6KULREHbZjztNRX22d6gEpE")</f>
        <v/>
      </c>
      <c r="L948" s="18"/>
      <c r="M948" s="10"/>
      <c r="N948" s="10"/>
    </row>
    <row r="949">
      <c r="A949" s="19" t="s">
        <v>1631</v>
      </c>
      <c r="B949" s="29" t="s">
        <v>831</v>
      </c>
      <c r="C949" s="22">
        <v>1.5</v>
      </c>
      <c r="D949" s="22" t="s">
        <v>1594</v>
      </c>
      <c r="E949" s="6"/>
      <c r="F949" s="18"/>
      <c r="G949" s="18"/>
      <c r="H949" s="18"/>
      <c r="I949" s="18"/>
      <c r="J949" s="10"/>
      <c r="K949" s="18" t="str">
        <f>IMAGE("https://cdn.store.link/products/ayiraminimart50505/lno0mc-mentos%203d%20sugarfree%20chewing%20gum%20fresh%20mint%20%E2%80%93%205%20pieces..png?versionId=X4eHwZMUBhq7Jp5rOi3Y42Q.r3tRk7Mq")</f>
        <v/>
      </c>
      <c r="L949" s="18"/>
      <c r="M949" s="10"/>
      <c r="N949" s="10"/>
    </row>
    <row r="950">
      <c r="A950" s="19" t="s">
        <v>1632</v>
      </c>
      <c r="B950" s="29" t="s">
        <v>831</v>
      </c>
      <c r="C950" s="22">
        <v>13.0</v>
      </c>
      <c r="D950" s="22" t="s">
        <v>1361</v>
      </c>
      <c r="E950" s="6"/>
      <c r="F950" s="18"/>
      <c r="G950" s="18"/>
      <c r="H950" s="18"/>
      <c r="I950" s="18"/>
      <c r="J950" s="10"/>
      <c r="K950" s="18" t="str">
        <f>IMAGE("https://cdn.store.link/products/ayiraminimart50505/pign3g-mentos%20incredible%20chew%20cola%20flavour%20chews%20%E2%80%93%20140%20g.png?versionId=ZkuYKcLfvFf7znjmE_HfpDtUh0l9n8R6")</f>
        <v/>
      </c>
      <c r="L950" s="18"/>
      <c r="M950" s="10"/>
      <c r="N950" s="10"/>
    </row>
    <row r="951">
      <c r="A951" s="19" t="s">
        <v>1633</v>
      </c>
      <c r="B951" s="29" t="s">
        <v>831</v>
      </c>
      <c r="C951" s="22">
        <v>2.5</v>
      </c>
      <c r="D951" s="22" t="s">
        <v>1361</v>
      </c>
      <c r="E951" s="6"/>
      <c r="F951" s="18"/>
      <c r="G951" s="18"/>
      <c r="H951" s="18"/>
      <c r="I951" s="18"/>
      <c r="J951" s="10"/>
      <c r="K951" s="18" t="str">
        <f>IMAGE("https://cdn.store.link/products/ayiraminimart50505/99ljrp-mentos%20mint%20chewy%20candy%20roll%20%E2%80%93%2037.5%20g.png?versionId=pwtU77vstlRXWZUvoryP4xv7uZnXT35M")</f>
        <v/>
      </c>
      <c r="L951" s="18"/>
      <c r="M951" s="10"/>
      <c r="N951" s="10"/>
    </row>
    <row r="952">
      <c r="A952" s="19" t="s">
        <v>1634</v>
      </c>
      <c r="B952" s="29" t="s">
        <v>831</v>
      </c>
      <c r="C952" s="22">
        <v>2.5</v>
      </c>
      <c r="D952" s="22" t="s">
        <v>1361</v>
      </c>
      <c r="E952" s="6"/>
      <c r="F952" s="18"/>
      <c r="G952" s="18"/>
      <c r="H952" s="18"/>
      <c r="I952" s="18"/>
      <c r="J952" s="10"/>
      <c r="K952" s="18" t="str">
        <f>IMAGE("https://cdn.store.link/products/ayiraminimart50505/kdjrak-mentos%20fruit%20chewy%20candy%20roll%2037.5%20g.png?versionId=.te6s6eOeWywhLmDYML.UerCeGMO.Yqj")</f>
        <v/>
      </c>
      <c r="L952" s="18"/>
      <c r="M952" s="10"/>
      <c r="N952" s="10"/>
    </row>
    <row r="953">
      <c r="A953" s="19" t="s">
        <v>1635</v>
      </c>
      <c r="B953" s="29" t="s">
        <v>831</v>
      </c>
      <c r="C953" s="22">
        <v>2.5</v>
      </c>
      <c r="D953" s="22" t="s">
        <v>1361</v>
      </c>
      <c r="E953" s="6"/>
      <c r="F953" s="18"/>
      <c r="G953" s="18"/>
      <c r="H953" s="18"/>
      <c r="I953" s="18"/>
      <c r="J953" s="10"/>
      <c r="K953" s="18" t="str">
        <f>IMAGE("https://cdn.store.link/products/ayiraminimart50505/-25ydz-mentos%20rainbow%20chewy%20candy%20roll%2037.5%20g.png?versionId=m0YiKQw_.1eUMX3klFC2VaXreJEHr.xB")</f>
        <v/>
      </c>
      <c r="L953" s="18"/>
      <c r="M953" s="10"/>
      <c r="N953" s="10"/>
    </row>
    <row r="954">
      <c r="A954" s="19" t="s">
        <v>1636</v>
      </c>
      <c r="B954" s="29" t="s">
        <v>831</v>
      </c>
      <c r="C954" s="22">
        <v>2.5</v>
      </c>
      <c r="D954" s="22" t="s">
        <v>1361</v>
      </c>
      <c r="E954" s="6"/>
      <c r="F954" s="18"/>
      <c r="G954" s="18"/>
      <c r="H954" s="18"/>
      <c r="I954" s="18"/>
      <c r="J954" s="10"/>
      <c r="K954" s="18" t="str">
        <f>IMAGE("https://cdn.store.link/products/ayiraminimart50505/xlp68f-mentos%20strawberry%20chewy%20candy%20roll%2037.5%20g.png?versionId=EQy3yy5m9ptaY8g4rHV5pKqj_.4nGopK")</f>
        <v/>
      </c>
      <c r="L954" s="18"/>
      <c r="M954" s="10"/>
      <c r="N954" s="10"/>
    </row>
    <row r="955">
      <c r="A955" s="19" t="s">
        <v>1637</v>
      </c>
      <c r="B955" s="29" t="s">
        <v>831</v>
      </c>
      <c r="C955" s="22">
        <v>2.5</v>
      </c>
      <c r="D955" s="22" t="s">
        <v>1594</v>
      </c>
      <c r="E955" s="6"/>
      <c r="F955" s="18"/>
      <c r="G955" s="18"/>
      <c r="H955" s="18"/>
      <c r="I955" s="18"/>
      <c r="J955" s="10"/>
      <c r="K955" s="18" t="str">
        <f>IMAGE("https://cdn.store.link/products/ayiraminimart50505/e0hwrx-mentos%20pure%20fresh%20sugarfree%20chewing%20gum%20strawberry%209%20pieces%2015%20g.png?versionId=zG6pWjPGzzsdAS5.mABHsdU.70KIKZbT")</f>
        <v/>
      </c>
      <c r="L955" s="18"/>
      <c r="M955" s="10"/>
      <c r="N955" s="10"/>
    </row>
    <row r="956">
      <c r="A956" s="19" t="s">
        <v>1638</v>
      </c>
      <c r="B956" s="29" t="s">
        <v>831</v>
      </c>
      <c r="C956" s="22">
        <v>2.5</v>
      </c>
      <c r="D956" s="22" t="s">
        <v>1594</v>
      </c>
      <c r="E956" s="6"/>
      <c r="F956" s="18"/>
      <c r="G956" s="18"/>
      <c r="H956" s="18"/>
      <c r="I956" s="18"/>
      <c r="J956" s="10"/>
      <c r="K956" s="18" t="str">
        <f>IMAGE("https://cdn.store.link/products/ayiraminimart50505/8bhkap-mentos%20pure%20fresh%20sugarfree%20chewing%20gum%20spearmint%209%20pieces%2015%20g.png?versionId=Ll2QZW4Eorx07I6XN.ikzf8fvDmMNytX")</f>
        <v/>
      </c>
      <c r="L956" s="18"/>
      <c r="M956" s="10"/>
      <c r="N956" s="10"/>
    </row>
    <row r="957">
      <c r="A957" s="19" t="s">
        <v>1639</v>
      </c>
      <c r="B957" s="29" t="s">
        <v>831</v>
      </c>
      <c r="C957" s="22">
        <v>2.5</v>
      </c>
      <c r="D957" s="22" t="s">
        <v>1594</v>
      </c>
      <c r="E957" s="6"/>
      <c r="F957" s="18"/>
      <c r="G957" s="18"/>
      <c r="H957" s="18"/>
      <c r="I957" s="18"/>
      <c r="J957" s="10"/>
      <c r="K957" s="18" t="str">
        <f>IMAGE("https://cdn.store.link/products/ayiraminimart50505/skgg6q-mentos%20pure%20fresh%20sugarfree%20chewing%20gum%20bubble%20fresh%209%20pieces%2015%20g.png?versionId=CpF.YahkpGSWTOxEkOZikwAgahjx8E0v")</f>
        <v/>
      </c>
      <c r="L957" s="18"/>
      <c r="M957" s="10"/>
      <c r="N957" s="10"/>
    </row>
    <row r="958">
      <c r="A958" s="19" t="s">
        <v>1640</v>
      </c>
      <c r="B958" s="29" t="s">
        <v>831</v>
      </c>
      <c r="C958" s="22">
        <v>2.5</v>
      </c>
      <c r="D958" s="22" t="s">
        <v>1594</v>
      </c>
      <c r="E958" s="6"/>
      <c r="F958" s="18"/>
      <c r="G958" s="18"/>
      <c r="H958" s="18"/>
      <c r="I958" s="18"/>
      <c r="J958" s="10"/>
      <c r="K958" s="18" t="str">
        <f>IMAGE("https://cdn.store.link/products/ayiraminimart50505/i7r8sz-mentos%20pure%20fresh%20sugarfree%20chewing%20gum%20fresh%20mint%209%20pieces%2015%20g.png?versionId=Jtuv2Qi83RrcUyJJbu6hhZg4hu2JZN1D")</f>
        <v/>
      </c>
      <c r="L958" s="18"/>
      <c r="M958" s="10"/>
      <c r="N958" s="10"/>
    </row>
    <row r="959">
      <c r="A959" s="19" t="s">
        <v>1641</v>
      </c>
      <c r="B959" s="29" t="s">
        <v>831</v>
      </c>
      <c r="C959" s="22">
        <v>14.5</v>
      </c>
      <c r="D959" s="22" t="s">
        <v>1594</v>
      </c>
      <c r="E959" s="6"/>
      <c r="F959" s="18"/>
      <c r="G959" s="18"/>
      <c r="H959" s="18"/>
      <c r="I959" s="18"/>
      <c r="J959" s="10"/>
      <c r="K959" s="18" t="str">
        <f>IMAGE("https://cdn.store.link/products/ayiraminimart50505/mz2mhj-mentos%20pure%20fresh%20sugarfree%20chewing%20gum%20strawberry%2050%20pieces%2087.5%20g.png?versionId=_MP5vvFioZ4rMAGNJXAC5Dwo.LuXeqCG")</f>
        <v/>
      </c>
      <c r="L959" s="18"/>
      <c r="M959" s="10"/>
      <c r="N959" s="10"/>
    </row>
    <row r="960">
      <c r="A960" s="19" t="s">
        <v>1642</v>
      </c>
      <c r="B960" s="29" t="s">
        <v>831</v>
      </c>
      <c r="C960" s="22">
        <v>14.5</v>
      </c>
      <c r="D960" s="22" t="s">
        <v>1594</v>
      </c>
      <c r="E960" s="6"/>
      <c r="F960" s="18"/>
      <c r="G960" s="18"/>
      <c r="H960" s="18"/>
      <c r="I960" s="18"/>
      <c r="J960" s="10"/>
      <c r="K960" s="18" t="str">
        <f>IMAGE("https://cdn.store.link/products/ayiraminimart50505/4iwdie-mentos%20pure%20fresh%20sugarfree%20chewing%20gum%20spearmint%2050%20pieces%2087.5%20g.png?versionId=OGOzRKsG0qm_8QCD6KowRLKMzCBrbkS.")</f>
        <v/>
      </c>
      <c r="L960" s="18"/>
      <c r="M960" s="10"/>
      <c r="N960" s="10"/>
    </row>
    <row r="961">
      <c r="A961" s="19" t="s">
        <v>1643</v>
      </c>
      <c r="B961" s="29" t="s">
        <v>831</v>
      </c>
      <c r="C961" s="22">
        <v>14.5</v>
      </c>
      <c r="D961" s="22" t="s">
        <v>1594</v>
      </c>
      <c r="E961" s="6"/>
      <c r="F961" s="18"/>
      <c r="G961" s="18"/>
      <c r="H961" s="18"/>
      <c r="I961" s="18"/>
      <c r="J961" s="10"/>
      <c r="K961" s="18" t="str">
        <f>IMAGE("https://cdn.store.link/products/ayiraminimart50505/q8rwg3-mentos%20pure%20fresh%20sugarfree%20chewing%20gum%20watermelon%2050%20pieces%2087.5%20g.png?versionId=g4IilBN.gSaO9dgigLZcWVdzT0IltHiY")</f>
        <v/>
      </c>
      <c r="L961" s="18"/>
      <c r="M961" s="10"/>
      <c r="N961" s="10"/>
    </row>
    <row r="962">
      <c r="A962" s="19" t="s">
        <v>1644</v>
      </c>
      <c r="B962" s="29" t="s">
        <v>831</v>
      </c>
      <c r="C962" s="22">
        <v>14.5</v>
      </c>
      <c r="D962" s="22" t="s">
        <v>1628</v>
      </c>
      <c r="E962" s="6"/>
      <c r="F962" s="18"/>
      <c r="G962" s="18"/>
      <c r="H962" s="18"/>
      <c r="I962" s="18"/>
      <c r="J962" s="10"/>
      <c r="K962" s="18" t="str">
        <f>IMAGE("https://cdn.store.link/products/ayiraminimart50505/wjo506-mentos%20pure%20fresh%20sugarfree%20chewing%20gum%20bubble%20fresh%2050%20pieces%2087.5%20g.png?versionId=EWViXCkl3DA7ItT9ehf1cE22s_tplj.3")</f>
        <v/>
      </c>
      <c r="L962" s="18"/>
      <c r="M962" s="10"/>
      <c r="N962" s="10"/>
    </row>
    <row r="963">
      <c r="A963" s="19" t="s">
        <v>1645</v>
      </c>
      <c r="B963" s="27" t="s">
        <v>1444</v>
      </c>
      <c r="C963" s="22">
        <v>3.0</v>
      </c>
      <c r="D963" s="22" t="s">
        <v>1646</v>
      </c>
      <c r="E963" s="6"/>
      <c r="F963" s="18"/>
      <c r="G963" s="18"/>
      <c r="H963" s="18"/>
      <c r="I963" s="18"/>
      <c r="J963" s="10"/>
      <c r="K963" s="18" t="str">
        <f>IMAGE("https://cdn.store.link/products/ayiraminimart50505/80nivf-qbake%20zaatar%20cream%20cheese%20sandwich%20roll%20110g.png?versionId=NBDpXHGIxXtUicVJk6Bf3qcjJhc_g96J")</f>
        <v/>
      </c>
      <c r="L963" s="18"/>
      <c r="M963" s="10"/>
      <c r="N963" s="10"/>
    </row>
    <row r="964">
      <c r="A964" s="19" t="s">
        <v>1647</v>
      </c>
      <c r="B964" s="27" t="s">
        <v>1444</v>
      </c>
      <c r="C964" s="22">
        <v>3.0</v>
      </c>
      <c r="D964" s="22" t="s">
        <v>1648</v>
      </c>
      <c r="E964" s="6"/>
      <c r="F964" s="18"/>
      <c r="G964" s="18"/>
      <c r="H964" s="18"/>
      <c r="I964" s="18"/>
      <c r="J964" s="10"/>
      <c r="K964" s="18" t="str">
        <f>IMAGE("https://cdn.store.link/products/ayiraminimart50505/qsjik5-biscuit%20cream%20butter%20croissant%2080g.png?versionId=rpgp8MH1lIuvDwURQ.1hYUcCV5u85Mgg")</f>
        <v/>
      </c>
      <c r="L964" s="18"/>
      <c r="M964" s="10"/>
      <c r="N964" s="10"/>
    </row>
    <row r="965">
      <c r="A965" s="19" t="s">
        <v>1649</v>
      </c>
      <c r="B965" s="27" t="s">
        <v>1444</v>
      </c>
      <c r="C965" s="22">
        <v>2.0</v>
      </c>
      <c r="D965" s="22" t="s">
        <v>1650</v>
      </c>
      <c r="E965" s="6"/>
      <c r="F965" s="18"/>
      <c r="G965" s="18"/>
      <c r="H965" s="18"/>
      <c r="I965" s="18"/>
      <c r="J965" s="10"/>
      <c r="K965" s="18" t="str">
        <f>IMAGE("https://cdn.store.link/products/ayiraminimart50505/c3h09n-qbake%20apple%20puff%2070g.jpg?versionId=4TG9feXg3XwKVrrCJ45PBx4ts3mIPw.N")</f>
        <v/>
      </c>
      <c r="L965" s="18"/>
      <c r="M965" s="10"/>
      <c r="N965" s="10"/>
    </row>
    <row r="966">
      <c r="A966" s="19" t="s">
        <v>1651</v>
      </c>
      <c r="B966" s="27" t="s">
        <v>1444</v>
      </c>
      <c r="C966" s="22">
        <v>2.0</v>
      </c>
      <c r="D966" s="22" t="s">
        <v>1652</v>
      </c>
      <c r="E966" s="6"/>
      <c r="F966" s="18"/>
      <c r="G966" s="18"/>
      <c r="H966" s="18"/>
      <c r="I966" s="18"/>
      <c r="J966" s="10"/>
      <c r="K966" s="18" t="str">
        <f>IMAGE("https://cdn.store.link/products/ayiraminimart50505/mn28bq-qbake%20sweet%20puff%2070g.jpg?versionId=FidzMasYekK8.uoTtLpB3VYysFsONosl")</f>
        <v/>
      </c>
      <c r="L966" s="18"/>
      <c r="M966" s="10"/>
      <c r="N966" s="10"/>
    </row>
    <row r="967">
      <c r="A967" s="19" t="s">
        <v>1653</v>
      </c>
      <c r="B967" s="27" t="s">
        <v>1444</v>
      </c>
      <c r="C967" s="22">
        <v>5.0</v>
      </c>
      <c r="D967" s="22" t="s">
        <v>1654</v>
      </c>
      <c r="E967" s="6"/>
      <c r="F967" s="18"/>
      <c r="G967" s="18"/>
      <c r="H967" s="18"/>
      <c r="I967" s="18"/>
      <c r="J967" s="10"/>
      <c r="K967" s="18" t="str">
        <f>IMAGE("https://cdn.store.link/products/ayiraminimart50505/x9r073-qbake%20vanilla%20cupcake%2015pcs.jpg?versionId=4sNNpWMMJpEaXW.wpnTFrI7tB_oxZXHg")</f>
        <v/>
      </c>
      <c r="L967" s="18"/>
      <c r="M967" s="10"/>
      <c r="N967" s="10"/>
    </row>
    <row r="968">
      <c r="A968" s="19" t="s">
        <v>1655</v>
      </c>
      <c r="B968" s="27" t="s">
        <v>1444</v>
      </c>
      <c r="C968" s="22">
        <v>5.0</v>
      </c>
      <c r="D968" s="22" t="s">
        <v>1656</v>
      </c>
      <c r="E968" s="6"/>
      <c r="F968" s="18"/>
      <c r="G968" s="18"/>
      <c r="H968" s="18"/>
      <c r="I968" s="18"/>
      <c r="J968" s="10"/>
      <c r="K968" s="18" t="str">
        <f>IMAGE("https://cdn.store.link/products/ayiraminimart50505/q7uw7--qbake%20mini%20vanilla%20muffins%20original%20195g.jpg?versionId=vyI7oynUeODZiCC5Gp_TkWJ4alqLqnvJ")</f>
        <v/>
      </c>
      <c r="L968" s="18"/>
      <c r="M968" s="10"/>
      <c r="N968" s="10"/>
    </row>
    <row r="969">
      <c r="A969" s="19" t="s">
        <v>1657</v>
      </c>
      <c r="B969" s="27" t="s">
        <v>1444</v>
      </c>
      <c r="C969" s="22">
        <v>5.0</v>
      </c>
      <c r="D969" s="22" t="s">
        <v>1658</v>
      </c>
      <c r="E969" s="6"/>
      <c r="F969" s="18"/>
      <c r="G969" s="18"/>
      <c r="H969" s="18"/>
      <c r="I969" s="18"/>
      <c r="J969" s="10"/>
      <c r="K969" s="18" t="str">
        <f>IMAGE("https://cdn.store.link/products/ayiraminimart50505/6-4g2m-qbake%20mini%20chocolate%20muffins%20195g.jpg?versionId=rnNRVk5BdA_XAh5pPmX3BBuvIx5y.96e")</f>
        <v/>
      </c>
      <c r="L969" s="18"/>
      <c r="M969" s="10"/>
      <c r="N969" s="10"/>
    </row>
    <row r="970">
      <c r="A970" s="19" t="s">
        <v>1659</v>
      </c>
      <c r="B970" s="27" t="s">
        <v>1444</v>
      </c>
      <c r="C970" s="22">
        <v>6.0</v>
      </c>
      <c r="D970" s="22" t="s">
        <v>1660</v>
      </c>
      <c r="E970" s="6"/>
      <c r="F970" s="18"/>
      <c r="G970" s="18"/>
      <c r="H970" s="18"/>
      <c r="I970" s="18"/>
      <c r="J970" s="10"/>
      <c r="K970" s="18" t="str">
        <f>IMAGE("https://cdn.store.link/products/ayiraminimart50505/6h76nm-qbake%20brown%20bread%20620g.png?versionId=QggUF6VFXcsLG6Ur4hJpSBaJglxEllZz")</f>
        <v/>
      </c>
      <c r="L970" s="18"/>
      <c r="M970" s="10"/>
      <c r="N970" s="10"/>
    </row>
    <row r="971">
      <c r="A971" s="19" t="s">
        <v>1661</v>
      </c>
      <c r="B971" s="27" t="s">
        <v>1444</v>
      </c>
      <c r="C971" s="22">
        <v>6.0</v>
      </c>
      <c r="D971" s="22" t="s">
        <v>1662</v>
      </c>
      <c r="E971" s="6"/>
      <c r="F971" s="18"/>
      <c r="G971" s="18"/>
      <c r="H971" s="18"/>
      <c r="I971" s="18"/>
      <c r="J971" s="10"/>
      <c r="K971" s="18" t="str">
        <f>IMAGE("https://cdn.store.link/products/ayiraminimart50505/g5s4in-qbake%20white%20bread%20620g.jpg?versionId=Z7nk8dKgR8J_1GWOeW8_7q4EOSIN1Bp5")</f>
        <v/>
      </c>
      <c r="L971" s="18"/>
      <c r="M971" s="10"/>
      <c r="N971" s="10"/>
    </row>
    <row r="972">
      <c r="A972" s="19" t="s">
        <v>1663</v>
      </c>
      <c r="B972" s="27" t="s">
        <v>1444</v>
      </c>
      <c r="C972" s="22">
        <v>3.5</v>
      </c>
      <c r="D972" s="22" t="s">
        <v>1664</v>
      </c>
      <c r="E972" s="6"/>
      <c r="F972" s="18"/>
      <c r="G972" s="18"/>
      <c r="H972" s="18"/>
      <c r="I972" s="18"/>
      <c r="J972" s="10"/>
      <c r="K972" s="18" t="str">
        <f>IMAGE("https://cdn.store.link/products/ayiraminimart50505/l61-f9-qbake%20white%20bread%20small%20320g.jpg?versionId=Vjg4W6_dIROEyDEfbZ8Gnv7xTJEgrSGW")</f>
        <v/>
      </c>
      <c r="L972" s="18"/>
      <c r="M972" s="10"/>
      <c r="N972" s="10"/>
    </row>
    <row r="973">
      <c r="A973" s="19" t="s">
        <v>1665</v>
      </c>
      <c r="B973" s="27" t="s">
        <v>1444</v>
      </c>
      <c r="C973" s="22">
        <v>2.5</v>
      </c>
      <c r="D973" s="22" t="s">
        <v>1666</v>
      </c>
      <c r="E973" s="6"/>
      <c r="F973" s="18"/>
      <c r="G973" s="18"/>
      <c r="H973" s="18"/>
      <c r="I973" s="18"/>
      <c r="J973" s="10"/>
      <c r="K973" s="18" t="str">
        <f>IMAGE("https://cdn.store.link/products/ayiraminimart50505/a5whsh-jumpo%20roll%2055%20g.png?versionId=k73m7lQc3KRb6zhlb1TmWIw4qwDPspDD")</f>
        <v/>
      </c>
      <c r="L973" s="18"/>
      <c r="M973" s="10"/>
      <c r="N973" s="10"/>
    </row>
    <row r="974">
      <c r="A974" s="19" t="s">
        <v>1667</v>
      </c>
      <c r="B974" s="27" t="s">
        <v>613</v>
      </c>
      <c r="C974" s="22">
        <v>3.0</v>
      </c>
      <c r="D974" s="22" t="s">
        <v>1668</v>
      </c>
      <c r="E974" s="6"/>
      <c r="F974" s="18"/>
      <c r="G974" s="18"/>
      <c r="H974" s="18"/>
      <c r="I974" s="18"/>
      <c r="J974" s="10"/>
      <c r="K974" s="18" t="str">
        <f>IMAGE("https://cdn.store.link/products/ayiraminimart50505/eaodh2-lusine%20chocolate%20brownie%20%2850%20g%29.png?versionId=.TvnYD3ZPfULIaYgtF9K4RfNFNM.RDo4")</f>
        <v/>
      </c>
      <c r="L974" s="18"/>
      <c r="M974" s="10"/>
      <c r="N974" s="10"/>
    </row>
    <row r="975">
      <c r="A975" s="19" t="s">
        <v>1669</v>
      </c>
      <c r="B975" s="27" t="s">
        <v>613</v>
      </c>
      <c r="C975" s="22">
        <v>3.0</v>
      </c>
      <c r="D975" s="22" t="s">
        <v>1670</v>
      </c>
      <c r="E975" s="6"/>
      <c r="F975" s="18"/>
      <c r="G975" s="18"/>
      <c r="H975" s="18"/>
      <c r="I975" s="18"/>
      <c r="J975" s="10"/>
      <c r="K975" s="18" t="str">
        <f>IMAGE("https://cdn.store.link/products/ayiraminimart50505/5ncuai-lusine%20triple%20chocolate%20muffin%20%2860%20g%29.png?versionId=VaNwXEe2jWE1.aGGePK9cfM4pUJ0g_Dl")</f>
        <v/>
      </c>
      <c r="L975" s="18"/>
      <c r="M975" s="10"/>
      <c r="N975" s="10"/>
    </row>
    <row r="976">
      <c r="A976" s="19" t="s">
        <v>1671</v>
      </c>
      <c r="B976" s="27" t="s">
        <v>1444</v>
      </c>
      <c r="C976" s="22">
        <v>1.0</v>
      </c>
      <c r="D976" s="22" t="s">
        <v>1672</v>
      </c>
      <c r="E976" s="6"/>
      <c r="F976" s="18"/>
      <c r="G976" s="18"/>
      <c r="H976" s="18"/>
      <c r="I976" s="18"/>
      <c r="J976" s="10"/>
      <c r="K976" s="18" t="str">
        <f>IMAGE("https://cdn.store.link/products/ayiraminimart50505/bhkg48-snaz%20swizz%20roll%20%2820%20g%29.png?versionId=6YrzBJw_4gdLjv7hauO6zZ_JeY13ZZNH")</f>
        <v/>
      </c>
      <c r="L976" s="18"/>
      <c r="M976" s="10"/>
      <c r="N976" s="10"/>
    </row>
    <row r="977">
      <c r="A977" s="19" t="s">
        <v>1673</v>
      </c>
      <c r="B977" s="27" t="s">
        <v>1444</v>
      </c>
      <c r="C977" s="22">
        <v>1.0</v>
      </c>
      <c r="D977" s="22" t="s">
        <v>1674</v>
      </c>
      <c r="E977" s="6"/>
      <c r="F977" s="18"/>
      <c r="G977" s="18"/>
      <c r="H977" s="18"/>
      <c r="I977" s="18"/>
      <c r="J977" s="10"/>
      <c r="K977" s="18" t="str">
        <f>IMAGE("https://cdn.store.link/products/ayiraminimart50505/o5wboz-snaz%20swizz%20roll%20with%20strawberry%20%2820%20g%29.png?versionId=W6DbnSi6m20oW558q89K8Qe8Ecg66BHM")</f>
        <v/>
      </c>
      <c r="L977" s="18"/>
      <c r="M977" s="10"/>
      <c r="N977" s="10"/>
    </row>
    <row r="978">
      <c r="A978" s="19" t="s">
        <v>1675</v>
      </c>
      <c r="B978" s="11" t="s">
        <v>1444</v>
      </c>
      <c r="C978" s="22">
        <v>4.0</v>
      </c>
      <c r="D978" s="22" t="s">
        <v>1676</v>
      </c>
      <c r="E978" s="6"/>
      <c r="F978" s="18"/>
      <c r="G978" s="18"/>
      <c r="H978" s="18"/>
      <c r="I978" s="18"/>
      <c r="J978" s="10"/>
      <c r="K978" s="18" t="str">
        <f>IMAGE("https://cdn.store.link/products/ayiraminimart50505/d8foya-qbake%20samona%20%28360%20g%29.png?versionId=RPMNXyySZi2H6gjQGUPh13Iyi6VN9kw8")</f>
        <v/>
      </c>
      <c r="L978" s="18"/>
      <c r="M978" s="10"/>
      <c r="N978" s="10"/>
    </row>
    <row r="979">
      <c r="A979" s="19" t="s">
        <v>1677</v>
      </c>
      <c r="B979" s="27" t="s">
        <v>1444</v>
      </c>
      <c r="C979" s="22">
        <v>5.0</v>
      </c>
      <c r="D979" s="22" t="s">
        <v>1678</v>
      </c>
      <c r="E979" s="6"/>
      <c r="F979" s="18"/>
      <c r="G979" s="18"/>
      <c r="H979" s="18"/>
      <c r="I979" s="18"/>
      <c r="J979" s="10"/>
      <c r="K979" s="18" t="str">
        <f>IMAGE("https://cdn.store.link/products/ayiraminimart50505/6n9fri-qbake%20burger%20bun%20%28420%20g%29.png?versionId=1lpQ_ARlM4p9iBbC6kWHFVdLaw_dW6Ej")</f>
        <v/>
      </c>
      <c r="L979" s="18"/>
      <c r="M979" s="10"/>
      <c r="N979" s="10"/>
    </row>
    <row r="980">
      <c r="A980" s="19" t="s">
        <v>1679</v>
      </c>
      <c r="B980" s="27" t="s">
        <v>1444</v>
      </c>
      <c r="C980" s="22">
        <v>4.5</v>
      </c>
      <c r="D980" s="22" t="s">
        <v>1680</v>
      </c>
      <c r="E980" s="6"/>
      <c r="F980" s="18"/>
      <c r="G980" s="18"/>
      <c r="H980" s="18"/>
      <c r="I980" s="18"/>
      <c r="J980" s="10"/>
      <c r="K980" s="18" t="str">
        <f>IMAGE("https://cdn.store.link/products/ayiraminimart50505/uw3gg8-qbake%20soft%20bun%20%28420%20g%29.png?versionId=TP3ru0Y9wQw09826nokaLaGioPJsTI6t")</f>
        <v/>
      </c>
      <c r="L980" s="18"/>
      <c r="M980" s="10"/>
      <c r="N980" s="10"/>
    </row>
    <row r="981">
      <c r="A981" s="19" t="s">
        <v>1681</v>
      </c>
      <c r="B981" s="27" t="s">
        <v>1444</v>
      </c>
      <c r="C981" s="22">
        <v>5.0</v>
      </c>
      <c r="D981" s="22" t="s">
        <v>1682</v>
      </c>
      <c r="E981" s="6"/>
      <c r="F981" s="18"/>
      <c r="G981" s="18"/>
      <c r="H981" s="18"/>
      <c r="I981" s="18"/>
      <c r="J981" s="10"/>
      <c r="K981" s="18" t="str">
        <f>IMAGE("https://cdn.store.link/products/ayiraminimart50505/woaljs-qbake%20hot%20dog%20roll%20%E2%80%93%20soft%20?versionId=r_iUpuKEr_UtS1MaRendIla5Rl3nd6pv")</f>
        <v/>
      </c>
      <c r="L981" s="18"/>
      <c r="M981" s="10"/>
      <c r="N981" s="10"/>
    </row>
    <row r="982">
      <c r="A982" s="19" t="s">
        <v>1683</v>
      </c>
      <c r="B982" s="27" t="s">
        <v>1444</v>
      </c>
      <c r="C982" s="22">
        <v>4.0</v>
      </c>
      <c r="D982" s="22" t="s">
        <v>1684</v>
      </c>
      <c r="E982" s="6"/>
      <c r="F982" s="18"/>
      <c r="G982" s="18"/>
      <c r="H982" s="18"/>
      <c r="I982" s="18"/>
      <c r="J982" s="10"/>
      <c r="K982" s="18" t="str">
        <f>IMAGE("https://cdn.store.link/products/ayiraminimart50505/t8bgry-london%20oven%20fresh%20%E2%80%93%20london%20bakery%20%28210%20g%29.png?versionId=tvnsBRdueY31xhELCLr9dkS2i00WfTKR")</f>
        <v/>
      </c>
      <c r="L982" s="18"/>
      <c r="M982" s="10"/>
      <c r="N982" s="10"/>
    </row>
    <row r="983">
      <c r="A983" s="19" t="s">
        <v>1669</v>
      </c>
      <c r="B983" s="27" t="s">
        <v>1444</v>
      </c>
      <c r="C983" s="22">
        <v>3.0</v>
      </c>
      <c r="D983" s="22" t="s">
        <v>1670</v>
      </c>
      <c r="E983" s="6"/>
      <c r="F983" s="18"/>
      <c r="G983" s="18"/>
      <c r="H983" s="18"/>
      <c r="I983" s="18"/>
      <c r="J983" s="10"/>
      <c r="K983" s="18" t="str">
        <f>IMAGE("https://cdn.store.link/products/ayiraminimart50505/5ncuai-lusine%20triple%20chocolate%20muffin%20%2860%20g%29.png?versionId=VaNwXEe2jWE1.aGGePK9cfM4pUJ0g_Dl")</f>
        <v/>
      </c>
      <c r="L983" s="18"/>
      <c r="M983" s="10"/>
      <c r="N983" s="10"/>
    </row>
    <row r="984">
      <c r="A984" s="19" t="s">
        <v>1685</v>
      </c>
      <c r="B984" s="27" t="s">
        <v>1444</v>
      </c>
      <c r="C984" s="22">
        <v>4.0</v>
      </c>
      <c r="D984" s="22" t="s">
        <v>1686</v>
      </c>
      <c r="E984" s="6"/>
      <c r="F984" s="18"/>
      <c r="G984" s="18"/>
      <c r="H984" s="18"/>
      <c r="I984" s="18"/>
      <c r="J984" s="10"/>
      <c r="K984" s="18" t="str">
        <f>IMAGE("https://cdn.store.link/products/ayiraminimart50505/zyn-hb-qbake%20butter%20bread%20300g.jpg?versionId=2eiHs5aX0itFebdqhXPjPIALXU76ZZuJ")</f>
        <v/>
      </c>
      <c r="L984" s="18"/>
      <c r="M984" s="10"/>
      <c r="N984" s="10"/>
    </row>
    <row r="985">
      <c r="A985" s="19" t="s">
        <v>1687</v>
      </c>
      <c r="B985" s="27" t="s">
        <v>1444</v>
      </c>
      <c r="C985" s="22">
        <v>5.0</v>
      </c>
      <c r="D985" s="22" t="s">
        <v>1688</v>
      </c>
      <c r="E985" s="6"/>
      <c r="F985" s="18"/>
      <c r="G985" s="18"/>
      <c r="H985" s="18"/>
      <c r="I985" s="18"/>
      <c r="J985" s="10"/>
      <c r="K985" s="18" t="str">
        <f>IMAGE("https://cdn.store.link/products/ayiraminimart50505/4c763a-qbake%20multi%20grain%20bread%20325g.jpg?versionId=1Quxj8_07irowLPC71nXe6RsVNkw5nwB")</f>
        <v/>
      </c>
      <c r="L985" s="18"/>
      <c r="M985" s="10"/>
      <c r="N985" s="10"/>
    </row>
    <row r="986">
      <c r="A986" s="19" t="s">
        <v>1689</v>
      </c>
      <c r="B986" s="27" t="s">
        <v>1444</v>
      </c>
      <c r="C986" s="22">
        <v>6.0</v>
      </c>
      <c r="D986" s="22" t="s">
        <v>1690</v>
      </c>
      <c r="E986" s="6"/>
      <c r="F986" s="18"/>
      <c r="G986" s="18"/>
      <c r="H986" s="18"/>
      <c r="I986" s="18"/>
      <c r="J986" s="10"/>
      <c r="K986" s="18" t="str">
        <f>IMAGE("https://cdn.store.link/products/ayiraminimart50505/5fudbv-qbake%20milk%20bread%20medium%20620gm.png?versionId=gg6YS4edKWw6dtK4wBp70yHPCkvDlJf9")</f>
        <v/>
      </c>
      <c r="L986" s="18"/>
      <c r="M986" s="10"/>
      <c r="N986" s="10"/>
    </row>
    <row r="987">
      <c r="A987" s="19" t="s">
        <v>1691</v>
      </c>
      <c r="B987" s="27" t="s">
        <v>1444</v>
      </c>
      <c r="C987" s="22">
        <v>3.5</v>
      </c>
      <c r="D987" s="22" t="s">
        <v>1692</v>
      </c>
      <c r="E987" s="6"/>
      <c r="F987" s="18"/>
      <c r="G987" s="18"/>
      <c r="H987" s="18"/>
      <c r="I987" s="18"/>
      <c r="J987" s="10"/>
      <c r="K987" s="18" t="str">
        <f>IMAGE("https://cdn.store.link/products/ayiraminimart50505/6-er49-qbake%20milk%20bread%20350gm.png?versionId=7jdL4l5Yuz5fvq7OKsXsWUCrmld4vTwT")</f>
        <v/>
      </c>
      <c r="L987" s="18"/>
      <c r="M987" s="10"/>
      <c r="N987" s="10"/>
    </row>
    <row r="988">
      <c r="A988" s="5" t="s">
        <v>1693</v>
      </c>
      <c r="B988" s="27" t="s">
        <v>1444</v>
      </c>
      <c r="C988" s="22">
        <v>2.0</v>
      </c>
      <c r="D988" s="22" t="s">
        <v>1694</v>
      </c>
      <c r="E988" s="6"/>
      <c r="F988" s="18"/>
      <c r="G988" s="18"/>
      <c r="H988" s="18"/>
      <c r="I988" s="18"/>
      <c r="J988" s="10"/>
      <c r="K988" s="18" t="str">
        <f>IMAGE("https://cdn.store.link/products/ayiraminimart50505/qaqwyv-lusine%20zaatar%20croissant.jpg?versionId=g50GVfxCbC_4LmIc_GoeHhHs35zwqFrq")</f>
        <v/>
      </c>
      <c r="L988" s="18"/>
      <c r="M988" s="10"/>
      <c r="N988" s="10"/>
    </row>
    <row r="989">
      <c r="A989" s="19" t="s">
        <v>1695</v>
      </c>
      <c r="B989" s="27" t="s">
        <v>1444</v>
      </c>
      <c r="C989" s="22">
        <v>2.0</v>
      </c>
      <c r="D989" s="22" t="s">
        <v>1696</v>
      </c>
      <c r="E989" s="6"/>
      <c r="F989" s="18"/>
      <c r="G989" s="18"/>
      <c r="H989" s="18"/>
      <c r="I989" s="18"/>
      <c r="J989" s="10"/>
      <c r="K989" s="18" t="str">
        <f>IMAGE("https://cdn.store.link/products/ayiraminimart50505/4pcpis-lusine%20flaky%20butter%20puff%20%E2%80%93%20strawberry%20%2880%20g%29.png?versionId=3_WgCR0dIJ1A0rnP5JAVI_FyalxhuRmG")</f>
        <v/>
      </c>
      <c r="L989" s="18"/>
      <c r="M989" s="10"/>
      <c r="N989" s="10"/>
    </row>
    <row r="990">
      <c r="A990" s="19" t="s">
        <v>1697</v>
      </c>
      <c r="B990" s="27" t="s">
        <v>1444</v>
      </c>
      <c r="C990" s="22">
        <v>2.0</v>
      </c>
      <c r="D990" s="22" t="s">
        <v>1698</v>
      </c>
      <c r="E990" s="6"/>
      <c r="F990" s="18"/>
      <c r="G990" s="18"/>
      <c r="H990" s="18"/>
      <c r="I990" s="18"/>
      <c r="J990" s="10"/>
      <c r="K990" s="18" t="str">
        <f>IMAGE("https://cdn.store.link/products/ayiraminimart50505/dfa5ah-lusine%20cheese%20puff%20%2870%20g%29.png?versionId=2lryFg9uEAoyY6qUZXFQexwl10nKSNMD")</f>
        <v/>
      </c>
      <c r="L990" s="18"/>
      <c r="M990" s="10"/>
      <c r="N990" s="10"/>
    </row>
    <row r="991">
      <c r="A991" s="19" t="s">
        <v>1699</v>
      </c>
      <c r="B991" s="27" t="s">
        <v>1444</v>
      </c>
      <c r="C991" s="22">
        <v>3.0</v>
      </c>
      <c r="D991" s="22" t="s">
        <v>1700</v>
      </c>
      <c r="E991" s="6"/>
      <c r="F991" s="18"/>
      <c r="G991" s="18"/>
      <c r="H991" s="18"/>
      <c r="I991" s="18"/>
      <c r="J991" s="10"/>
      <c r="K991" s="18" t="str">
        <f>IMAGE("https://cdn.store.link/products/ayiraminimart50505/25atrg-lusine%20flaky%20butter%20puff%20%E2%80%93%20feta%20%2880%20g%29.png?versionId=Kjxn659mDbWWlXFPonL4Xp5MJoY9Kvyy")</f>
        <v/>
      </c>
      <c r="L991" s="18"/>
      <c r="M991" s="10"/>
      <c r="N991" s="10"/>
    </row>
    <row r="992">
      <c r="A992" s="19" t="s">
        <v>1701</v>
      </c>
      <c r="B992" s="27" t="s">
        <v>1444</v>
      </c>
      <c r="C992" s="22">
        <v>2.0</v>
      </c>
      <c r="D992" s="22" t="s">
        <v>1702</v>
      </c>
      <c r="E992" s="6"/>
      <c r="F992" s="18"/>
      <c r="G992" s="18"/>
      <c r="H992" s="18"/>
      <c r="I992" s="18"/>
      <c r="J992" s="10"/>
      <c r="K992" s="18" t="str">
        <f>IMAGE("https://cdn.store.link/products/ayiraminimart50505/cend4v-lusine%20chocolate%20puff%20%2870%20g%29.png?versionId=qqpN_igCU2D3VsuR6Lxt_4Lz1PGrpQO_")</f>
        <v/>
      </c>
      <c r="L992" s="18"/>
      <c r="M992" s="10"/>
      <c r="N992" s="10"/>
    </row>
    <row r="993">
      <c r="A993" s="19" t="s">
        <v>1703</v>
      </c>
      <c r="B993" s="27" t="s">
        <v>1444</v>
      </c>
      <c r="C993" s="22">
        <v>2.0</v>
      </c>
      <c r="D993" s="22" t="s">
        <v>1704</v>
      </c>
      <c r="E993" s="6"/>
      <c r="F993" s="18"/>
      <c r="G993" s="18"/>
      <c r="H993" s="18"/>
      <c r="I993" s="18"/>
      <c r="J993" s="10"/>
      <c r="K993" s="18" t="str">
        <f>IMAGE("https://cdn.store.link/products/ayiraminimart50505/bz-lij-lusine%20apple%20puff%20%2870%20g%29.png?versionId=9ywZ426BN8e5_v5s5j3.XADQkvI95ojQ")</f>
        <v/>
      </c>
      <c r="L993" s="18"/>
      <c r="M993" s="10"/>
      <c r="N993" s="10"/>
    </row>
    <row r="994">
      <c r="A994" s="19" t="s">
        <v>1705</v>
      </c>
      <c r="B994" s="27" t="s">
        <v>1444</v>
      </c>
      <c r="C994" s="22">
        <v>2.0</v>
      </c>
      <c r="D994" s="22" t="s">
        <v>1706</v>
      </c>
      <c r="E994" s="6"/>
      <c r="F994" s="18"/>
      <c r="G994" s="18"/>
      <c r="H994" s="18"/>
      <c r="I994" s="18"/>
      <c r="J994" s="10"/>
      <c r="K994" s="18" t="str">
        <f>IMAGE("https://cdn.store.link/products/ayiraminimart50505/o48umd-lusine%20chocolate%20cupcake%20%2860%20g%29.png?versionId=jlIh8Iq9By0t4FQHZ4d9uiOkLBiP8ZV3")</f>
        <v/>
      </c>
      <c r="L994" s="18"/>
      <c r="M994" s="10"/>
      <c r="N994" s="10"/>
    </row>
    <row r="995">
      <c r="A995" s="19" t="s">
        <v>1707</v>
      </c>
      <c r="B995" s="27" t="s">
        <v>1444</v>
      </c>
      <c r="C995" s="22">
        <v>2.0</v>
      </c>
      <c r="D995" s="22" t="s">
        <v>1708</v>
      </c>
      <c r="E995" s="6"/>
      <c r="F995" s="18"/>
      <c r="G995" s="18"/>
      <c r="H995" s="18"/>
      <c r="I995" s="18"/>
      <c r="J995" s="10"/>
      <c r="K995" s="18" t="str">
        <f>IMAGE("https://cdn.store.link/products/ayiraminimart50505/1st1l5-lusine%20vanilla%20cupcake%20%2860%20g%29.png?versionId=T6qtTuZ4wTgziSPvQJcDOrt0vtSA6Q8A")</f>
        <v/>
      </c>
      <c r="L995" s="18"/>
      <c r="M995" s="10"/>
      <c r="N995" s="10"/>
    </row>
    <row r="996">
      <c r="A996" s="19" t="s">
        <v>1709</v>
      </c>
      <c r="B996" s="27" t="s">
        <v>1444</v>
      </c>
      <c r="C996" s="22">
        <v>2.0</v>
      </c>
      <c r="D996" s="22" t="s">
        <v>1710</v>
      </c>
      <c r="E996" s="6"/>
      <c r="F996" s="18"/>
      <c r="G996" s="18"/>
      <c r="H996" s="18"/>
      <c r="I996" s="18"/>
      <c r="J996" s="10"/>
      <c r="K996" s="18" t="str">
        <f>IMAGE("https://cdn.store.link/products/ayiraminimart50505/bkt17g-lusine%20strawberry%20cupcake%20%2860%20g%29.png?versionId=.kyUiQY1rlH869aXaUAch4v4ZDVCLAab")</f>
        <v/>
      </c>
      <c r="L996" s="18"/>
      <c r="M996" s="10"/>
      <c r="N996" s="10"/>
    </row>
    <row r="997">
      <c r="A997" s="19" t="s">
        <v>1711</v>
      </c>
      <c r="B997" s="27" t="s">
        <v>1444</v>
      </c>
      <c r="C997" s="22">
        <v>3.0</v>
      </c>
      <c r="D997" s="22" t="s">
        <v>1712</v>
      </c>
      <c r="E997" s="6"/>
      <c r="F997" s="18"/>
      <c r="G997" s="18"/>
      <c r="H997" s="18"/>
      <c r="I997" s="18"/>
      <c r="J997" s="10"/>
      <c r="K997" s="18" t="str">
        <f>IMAGE("https://cdn.store.link/products/ayiraminimart50505/6ig-nw-lusine%20butter%20croissant%20%2885%20g%29.png?versionId=SJiorX5khpKuEp3lqXatSq1oKnZfe5km")</f>
        <v/>
      </c>
      <c r="L997" s="18"/>
      <c r="M997" s="10"/>
      <c r="N997" s="10"/>
    </row>
    <row r="998">
      <c r="A998" s="19" t="s">
        <v>1713</v>
      </c>
      <c r="B998" s="27" t="s">
        <v>1444</v>
      </c>
      <c r="C998" s="22">
        <v>2.0</v>
      </c>
      <c r="D998" s="22" t="s">
        <v>1714</v>
      </c>
      <c r="E998" s="6"/>
      <c r="F998" s="18"/>
      <c r="G998" s="18"/>
      <c r="H998" s="18"/>
      <c r="I998" s="18"/>
      <c r="J998" s="10"/>
      <c r="K998" s="18" t="str">
        <f>IMAGE("https://cdn.store.link/products/ayiraminimart50505/u0ov4j-lusine%20strawberry%20cupcake%20%2830%20g%29.png?versionId=ou0FSeGBzj3EmXae3sK0ygp0rJS6mUCX")</f>
        <v/>
      </c>
      <c r="L998" s="18"/>
      <c r="M998" s="10"/>
      <c r="N998" s="10"/>
    </row>
    <row r="999">
      <c r="A999" s="19" t="s">
        <v>1715</v>
      </c>
      <c r="B999" s="27" t="s">
        <v>1444</v>
      </c>
      <c r="C999" s="22">
        <v>2.0</v>
      </c>
      <c r="D999" s="22" t="s">
        <v>1716</v>
      </c>
      <c r="E999" s="6"/>
      <c r="F999" s="18"/>
      <c r="G999" s="18"/>
      <c r="H999" s="18"/>
      <c r="I999" s="18"/>
      <c r="J999" s="10"/>
      <c r="K999" s="18" t="str">
        <f>IMAGE("https://cdn.store.link/products/ayiraminimart50505/b5zydf-lusine%20chocolate%20cupcake%20%2830%20g%29.png?versionId=MrVr3HJfdMzqmNbwXlQk7ud.Y0g5Kqjr")</f>
        <v/>
      </c>
      <c r="L999" s="18"/>
      <c r="M999" s="10"/>
      <c r="N999" s="10"/>
    </row>
    <row r="1000">
      <c r="A1000" s="19" t="s">
        <v>1717</v>
      </c>
      <c r="B1000" s="27" t="s">
        <v>1444</v>
      </c>
      <c r="C1000" s="22">
        <v>2.0</v>
      </c>
      <c r="D1000" s="22" t="s">
        <v>1718</v>
      </c>
      <c r="E1000" s="6"/>
      <c r="F1000" s="18"/>
      <c r="G1000" s="18"/>
      <c r="H1000" s="18"/>
      <c r="I1000" s="18"/>
      <c r="J1000" s="10"/>
      <c r="K1000" s="18" t="str">
        <f>IMAGE("https://cdn.store.link/products/ayiraminimart50505/yv0ymd-lusine%20pizza%20puff%20%2890%20g%29.png?versionId=4X15GpyDv4cLg.vGUEP.V.I3mT8pDyk_")</f>
        <v/>
      </c>
      <c r="L1000" s="18"/>
      <c r="M1000" s="10"/>
      <c r="N1000" s="10"/>
    </row>
    <row r="1001">
      <c r="A1001" s="19" t="s">
        <v>1719</v>
      </c>
      <c r="B1001" s="27" t="s">
        <v>1444</v>
      </c>
      <c r="C1001" s="22">
        <v>2.0</v>
      </c>
      <c r="D1001" s="22" t="s">
        <v>1720</v>
      </c>
      <c r="E1001" s="6"/>
      <c r="F1001" s="18"/>
      <c r="G1001" s="18"/>
      <c r="H1001" s="18"/>
      <c r="I1001" s="18"/>
      <c r="J1001" s="10"/>
      <c r="K1001" s="18" t="str">
        <f>IMAGE("https://cdn.store.link/products/ayiraminimart50505/olj6se-lusine%20cheese%20croissant%20%2860%20g%29.png?versionId=BxrTCQ_q7OC.Sr3HvqUm7uoLcSER7U44")</f>
        <v/>
      </c>
      <c r="L1001" s="18"/>
      <c r="M1001" s="10"/>
      <c r="N1001" s="10"/>
    </row>
    <row r="1002">
      <c r="A1002" s="19" t="s">
        <v>1721</v>
      </c>
      <c r="B1002" s="27" t="s">
        <v>1444</v>
      </c>
      <c r="C1002" s="22">
        <v>3.5</v>
      </c>
      <c r="D1002" s="22" t="s">
        <v>1722</v>
      </c>
      <c r="E1002" s="6"/>
      <c r="F1002" s="18"/>
      <c r="G1002" s="18"/>
      <c r="H1002" s="18"/>
      <c r="I1002" s="18"/>
      <c r="J1002" s="10"/>
      <c r="K1002" s="18" t="str">
        <f>IMAGE("https://cdn.store.link/products/ayiraminimart50505/ceipan-lusine%20biscuit%20cream%20butter%20croissant%20%2883%20g%29.png?versionId=tfYcpbi5v4641keKjKam5mRaRmAE9oKE")</f>
        <v/>
      </c>
      <c r="L1002" s="18"/>
      <c r="M1002" s="10"/>
      <c r="N1002" s="10"/>
    </row>
    <row r="1003">
      <c r="A1003" s="47" t="s">
        <v>1723</v>
      </c>
      <c r="B1003" s="48" t="s">
        <v>1444</v>
      </c>
      <c r="C1003" s="49">
        <v>3.0</v>
      </c>
      <c r="D1003" s="49" t="s">
        <v>1724</v>
      </c>
      <c r="E1003" s="50"/>
      <c r="F1003" s="51"/>
      <c r="G1003" s="51"/>
      <c r="H1003" s="51"/>
      <c r="I1003" s="51"/>
      <c r="J1003" s="51"/>
      <c r="K1003" s="51" t="str">
        <f>IMAGE("https://cdn.store.link/products/ayiraminimart50505/bqg9r0-lusine%20chocolate%20sandwich%20105%20g.png?versionId=njjEa9kqi90sn4rwlnBCyaXmIzbXIk1C")</f>
        <v/>
      </c>
      <c r="L1003" s="51"/>
      <c r="M1003" s="51"/>
      <c r="N1003" s="51"/>
    </row>
    <row r="1004">
      <c r="A1004" s="19" t="s">
        <v>1725</v>
      </c>
      <c r="B1004" s="27" t="s">
        <v>1726</v>
      </c>
      <c r="C1004" s="36"/>
      <c r="D1004" s="22" t="s">
        <v>1727</v>
      </c>
      <c r="E1004" s="6"/>
      <c r="F1004" s="18"/>
      <c r="G1004" s="18"/>
      <c r="H1004" s="18"/>
      <c r="I1004" s="18"/>
      <c r="J1004" s="10"/>
      <c r="K1004" s="18" t="str">
        <f>IMAGE("https://cdn.store.link/products/ayiraminimart50505/66g6d3-al%20rifai%20turkish%20coffee%20with%20cardamom%20250%20gm.jpg?versionId=za6RaiRUHptiQMGocTxusSjO22zDdY7g")</f>
        <v/>
      </c>
      <c r="L1004" s="18"/>
      <c r="M1004" s="10"/>
      <c r="N1004" s="10"/>
    </row>
    <row r="1005">
      <c r="A1005" s="19" t="s">
        <v>1728</v>
      </c>
      <c r="B1005" s="27" t="s">
        <v>1726</v>
      </c>
      <c r="C1005" s="36"/>
      <c r="D1005" s="22" t="s">
        <v>1729</v>
      </c>
      <c r="E1005" s="6"/>
      <c r="F1005" s="18"/>
      <c r="G1005" s="18"/>
      <c r="H1005" s="18"/>
      <c r="I1005" s="18"/>
      <c r="J1005" s="10"/>
      <c r="K1005" s="18" t="str">
        <f>IMAGE("https://cdn.store.link/products/ayiraminimart50505/yadyu0-al%20rifai%20french%20coffee%20hazelnut%20flavour%20250%20ml.jpg?versionId=1URGVbHH7BfJIp5azudg.yAopVvyCg_e")</f>
        <v/>
      </c>
      <c r="L1005" s="18"/>
      <c r="M1005" s="10"/>
      <c r="N1005" s="10"/>
    </row>
    <row r="1006">
      <c r="A1006" s="19" t="s">
        <v>1730</v>
      </c>
      <c r="B1006" s="27" t="s">
        <v>1726</v>
      </c>
      <c r="C1006" s="36"/>
      <c r="D1006" s="22" t="s">
        <v>1731</v>
      </c>
      <c r="E1006" s="6"/>
      <c r="F1006" s="18"/>
      <c r="G1006" s="18"/>
      <c r="H1006" s="18"/>
      <c r="I1006" s="18"/>
      <c r="J1006" s="10"/>
      <c r="K1006" s="18" t="str">
        <f>IMAGE("https://cdn.store.link/products/ayiraminimart50505/oe-eue-al%20rifai%20french%20coffee%20250%20gm.jpg?versionId=ddYLwqNh8Pt5wMl.Np8rxAH3cvL8n9w0")</f>
        <v/>
      </c>
      <c r="L1006" s="18"/>
      <c r="M1006" s="10"/>
      <c r="N1006" s="10"/>
    </row>
    <row r="1007">
      <c r="A1007" s="19" t="s">
        <v>1732</v>
      </c>
      <c r="B1007" s="6" t="s">
        <v>14</v>
      </c>
      <c r="C1007" s="36"/>
      <c r="D1007" s="22" t="s">
        <v>1733</v>
      </c>
      <c r="E1007" s="6"/>
      <c r="F1007" s="18"/>
      <c r="G1007" s="18"/>
      <c r="H1007" s="18"/>
      <c r="I1007" s="18"/>
      <c r="J1007" s="10"/>
      <c r="K1007" s="18" t="str">
        <f>IMAGE("https://cdn.store.link/products/ayiraminimart50505/9cv2ck-mr.%20brown%20vanilla%20iced%20coffee%20240%20ml.png?versionId=iNfLTffs4PkCjvBEx3CVdXCcgIX5Y79m")</f>
        <v/>
      </c>
      <c r="L1007" s="18"/>
      <c r="M1007" s="10"/>
      <c r="N1007" s="10"/>
    </row>
    <row r="1008">
      <c r="A1008" s="19" t="s">
        <v>1734</v>
      </c>
      <c r="B1008" s="6" t="s">
        <v>14</v>
      </c>
      <c r="C1008" s="36"/>
      <c r="D1008" s="22" t="s">
        <v>1735</v>
      </c>
      <c r="E1008" s="6"/>
      <c r="F1008" s="18"/>
      <c r="G1008" s="18"/>
      <c r="H1008" s="18"/>
      <c r="I1008" s="18"/>
      <c r="J1008" s="10"/>
      <c r="K1008" s="18" t="str">
        <f>IMAGE("https://cdn.store.link/products/ayiraminimart50505/o1hcfo-mr.%20brown%20caramel%20latte%20iced%20coffee%20240%20ml.png?versionId=UD8FhTrM0Ttk6WLwM5IKN3NBr9vQuQ88")</f>
        <v/>
      </c>
      <c r="L1008" s="18"/>
      <c r="M1008" s="10"/>
      <c r="N1008" s="10"/>
    </row>
    <row r="1009">
      <c r="A1009" s="19" t="s">
        <v>1736</v>
      </c>
      <c r="B1009" s="6" t="s">
        <v>14</v>
      </c>
      <c r="C1009" s="36"/>
      <c r="D1009" s="22" t="s">
        <v>1737</v>
      </c>
      <c r="E1009" s="6"/>
      <c r="F1009" s="18"/>
      <c r="G1009" s="18"/>
      <c r="H1009" s="18"/>
      <c r="I1009" s="18"/>
      <c r="J1009" s="10"/>
      <c r="K1009" s="18" t="str">
        <f>IMAGE("https://cdn.store.link/products/ayiraminimart50505/q27ml0-mr.%20brown%20cappuccino%20iced%20coffee%20240%20ml.png?versionId=mVqTWFXgi66eozKghZ467C4YNoLgRbHk")</f>
        <v/>
      </c>
      <c r="L1009" s="18"/>
      <c r="M1009" s="10"/>
      <c r="N1009" s="10"/>
    </row>
    <row r="1010">
      <c r="A1010" s="19" t="s">
        <v>1738</v>
      </c>
      <c r="B1010" s="6" t="s">
        <v>14</v>
      </c>
      <c r="C1010" s="36"/>
      <c r="D1010" s="22" t="s">
        <v>1739</v>
      </c>
      <c r="E1010" s="6"/>
      <c r="F1010" s="18"/>
      <c r="G1010" s="18"/>
      <c r="H1010" s="18"/>
      <c r="I1010" s="18"/>
      <c r="J1010" s="10"/>
      <c r="K1010" s="18" t="str">
        <f>IMAGE("https://cdn.store.link/products/ayiraminimart50505/3xd7ch-mr.%20brown%20iced%20coffee%20240%20ml.png?versionId=KD5SvEXIdIRX61GbFVRsfeTDUxJcjUHi")</f>
        <v/>
      </c>
      <c r="L1010" s="18"/>
      <c r="M1010" s="10"/>
      <c r="N1010" s="10"/>
    </row>
    <row r="1011">
      <c r="A1011" s="5" t="s">
        <v>1740</v>
      </c>
      <c r="B1011" s="6" t="s">
        <v>14</v>
      </c>
      <c r="C1011" s="36"/>
      <c r="D1011" s="22" t="s">
        <v>63</v>
      </c>
      <c r="E1011" s="6"/>
      <c r="F1011" s="18"/>
      <c r="G1011" s="18"/>
      <c r="H1011" s="18"/>
      <c r="I1011" s="18"/>
      <c r="J1011" s="10"/>
      <c r="K1011" s="18" t="str">
        <f>IMAGE("https://cdn.store.link/products/ayiraminimart50505/ti6c99-kdd%20caramel%20macchiato%20coffee%20with%20milk%20250%20ml.png?versionId=7zkTdaO6uypAyD9bvdU52DDKmghNeSCs")</f>
        <v/>
      </c>
      <c r="L1011" s="18"/>
      <c r="M1011" s="10"/>
      <c r="N1011" s="10"/>
    </row>
    <row r="1012">
      <c r="A1012" s="19" t="s">
        <v>1741</v>
      </c>
      <c r="B1012" s="6" t="s">
        <v>14</v>
      </c>
      <c r="C1012" s="36"/>
      <c r="D1012" s="22" t="s">
        <v>63</v>
      </c>
      <c r="E1012" s="6"/>
      <c r="F1012" s="18"/>
      <c r="G1012" s="18"/>
      <c r="H1012" s="18"/>
      <c r="I1012" s="18"/>
      <c r="J1012" s="10"/>
      <c r="K1012" s="18" t="str">
        <f>IMAGE("https://cdn.store.link/products/ayiraminimart50505/2bzv0z-kdd%20caff%C3%A8%20latte%20coffee%20with%20milk%20250%20ml.png?versionId=oElYH8P6.mjL_YNL4wAlGCHSNOynFBcA")</f>
        <v/>
      </c>
      <c r="L1012" s="18"/>
      <c r="M1012" s="10"/>
      <c r="N1012" s="10"/>
    </row>
    <row r="1013">
      <c r="A1013" s="19" t="s">
        <v>1742</v>
      </c>
      <c r="B1013" s="6" t="s">
        <v>14</v>
      </c>
      <c r="C1013" s="36"/>
      <c r="D1013" s="22" t="s">
        <v>77</v>
      </c>
      <c r="E1013" s="6"/>
      <c r="F1013" s="18"/>
      <c r="G1013" s="18"/>
      <c r="H1013" s="18"/>
      <c r="I1013" s="18"/>
      <c r="J1013" s="10"/>
      <c r="K1013" s="18" t="str">
        <f>IMAGE("https://cdn.store.link/products/ayiraminimart50505/erd3nz-kdd%20iced%20mocha%20coffee%20with%20chocolate%20milk%20250%20ml.png?versionId=WaLoN7QTFpgaHm35d5ATkMMaATgpdM6d")</f>
        <v/>
      </c>
      <c r="L1013" s="18"/>
      <c r="M1013" s="10"/>
      <c r="N1013" s="10"/>
    </row>
    <row r="1049">
      <c r="B1049" s="52"/>
      <c r="D1049" s="52"/>
    </row>
    <row r="1050">
      <c r="B1050" s="52"/>
      <c r="D1050" s="52"/>
    </row>
    <row r="1057">
      <c r="A1057" s="52"/>
      <c r="D1057" s="52"/>
    </row>
    <row r="1062">
      <c r="D1062" s="52"/>
    </row>
    <row r="1063">
      <c r="D1063" s="52"/>
    </row>
    <row r="1064">
      <c r="D1064" s="52"/>
    </row>
    <row r="1065">
      <c r="D1065" s="52"/>
    </row>
    <row r="1066">
      <c r="D1066" s="52"/>
    </row>
    <row r="1067">
      <c r="D1067" s="52"/>
    </row>
    <row r="1068">
      <c r="D1068" s="52"/>
    </row>
    <row r="1069">
      <c r="D1069" s="52"/>
    </row>
    <row r="1070">
      <c r="D1070" s="52"/>
    </row>
    <row r="1071">
      <c r="D1071" s="52"/>
    </row>
    <row r="1072">
      <c r="D1072" s="52"/>
    </row>
    <row r="1073">
      <c r="D1073" s="52"/>
    </row>
    <row r="1074">
      <c r="D1074" s="52"/>
    </row>
    <row r="1075">
      <c r="D1075" s="52"/>
    </row>
    <row r="1076">
      <c r="D1076" s="52"/>
    </row>
    <row r="1077">
      <c r="D1077" s="52"/>
    </row>
    <row r="1078">
      <c r="D1078" s="52"/>
    </row>
    <row r="1083">
      <c r="D1083" s="52"/>
    </row>
    <row r="1090">
      <c r="B1090" s="52"/>
      <c r="D1090" s="52"/>
    </row>
    <row r="1091">
      <c r="B1091" s="52"/>
      <c r="D1091" s="52"/>
    </row>
    <row r="1092">
      <c r="B1092" s="52"/>
      <c r="D1092" s="52"/>
    </row>
    <row r="1093">
      <c r="A1093" s="52"/>
      <c r="B1093" s="52"/>
      <c r="D1093" s="52"/>
    </row>
    <row r="1094">
      <c r="B1094" s="52"/>
      <c r="D1094" s="52"/>
    </row>
    <row r="1095">
      <c r="B1095" s="52"/>
      <c r="D1095" s="52"/>
    </row>
    <row r="1096">
      <c r="B1096" s="52"/>
      <c r="D1096" s="52"/>
    </row>
    <row r="1097">
      <c r="B1097" s="52"/>
      <c r="D1097" s="52"/>
    </row>
    <row r="1098">
      <c r="B1098" s="52"/>
      <c r="D1098" s="52"/>
    </row>
    <row r="1099">
      <c r="B1099" s="52"/>
      <c r="D1099" s="52"/>
    </row>
    <row r="1100">
      <c r="B1100" s="52"/>
      <c r="D1100" s="52"/>
    </row>
    <row r="1101">
      <c r="B1101" s="52"/>
      <c r="D1101" s="52"/>
    </row>
    <row r="1102">
      <c r="B1102" s="52"/>
      <c r="D1102" s="52"/>
    </row>
    <row r="1104">
      <c r="B1104" s="52"/>
      <c r="D1104" s="52"/>
    </row>
    <row r="1105">
      <c r="B1105" s="52"/>
      <c r="D1105" s="52"/>
    </row>
    <row r="1106">
      <c r="A1106" s="52"/>
      <c r="B1106" s="52"/>
      <c r="D1106" s="52"/>
    </row>
    <row r="1107">
      <c r="B1107" s="52"/>
      <c r="D1107" s="52"/>
    </row>
    <row r="1149">
      <c r="B1149" s="52"/>
      <c r="D1149" s="52"/>
    </row>
    <row r="1150">
      <c r="B1150" s="52"/>
      <c r="D1150" s="52"/>
    </row>
    <row r="1151">
      <c r="B1151" s="52"/>
      <c r="D1151" s="52"/>
    </row>
    <row r="1152">
      <c r="B1152" s="52"/>
      <c r="D1152" s="52"/>
    </row>
    <row r="1153">
      <c r="B1153" s="52"/>
      <c r="D1153" s="52"/>
    </row>
  </sheetData>
  <mergeCells count="1">
    <mergeCell ref="G781:I781"/>
  </mergeCells>
  <dataValidations>
    <dataValidation type="list" allowBlank="1" showErrorMessage="1" sqref="J2:J668 J670:J748 J757:J1013">
      <formula1>"Show,Out of Stock,Hide"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5"/>
    <col customWidth="1" min="2" max="2" width="30.38"/>
    <col customWidth="1" min="3" max="3" width="5.13"/>
    <col customWidth="1" min="4" max="4" width="37.63"/>
    <col customWidth="1" min="5" max="5" width="9.5"/>
    <col customWidth="1" min="6" max="6" width="5.25"/>
    <col customWidth="1" min="7" max="7" width="3.88"/>
    <col customWidth="1" min="8" max="8" width="5.63"/>
    <col customWidth="1" min="9" max="9" width="5.5"/>
    <col customWidth="1" min="10" max="10" width="9.88"/>
    <col customWidth="1" min="12" max="14" width="7.0"/>
  </cols>
  <sheetData>
    <row r="1">
      <c r="A1" s="53" t="s">
        <v>0</v>
      </c>
      <c r="B1" s="53" t="s">
        <v>1</v>
      </c>
      <c r="C1" s="54" t="s">
        <v>2</v>
      </c>
      <c r="D1" s="54" t="s">
        <v>3</v>
      </c>
      <c r="E1" s="53" t="s">
        <v>10</v>
      </c>
      <c r="F1" s="53"/>
      <c r="G1" s="53"/>
      <c r="H1" s="53"/>
      <c r="I1" s="53"/>
      <c r="J1" s="53"/>
      <c r="L1" s="53" t="s">
        <v>11</v>
      </c>
      <c r="M1" s="53" t="s">
        <v>12</v>
      </c>
      <c r="N1" s="53" t="s">
        <v>12</v>
      </c>
      <c r="O1" s="55"/>
      <c r="P1" s="55"/>
      <c r="Q1" s="55"/>
      <c r="R1" s="55"/>
      <c r="S1" s="55"/>
      <c r="T1" s="55"/>
      <c r="U1" s="55"/>
      <c r="V1" s="55"/>
      <c r="W1" s="55"/>
      <c r="X1" s="55"/>
      <c r="Y1" s="55"/>
      <c r="Z1" s="55"/>
    </row>
    <row r="2">
      <c r="A2" s="56" t="str">
        <f>IFERROR(__xludf.DUMMYFUNCTION("IF('AYIRA MINI MART FINAL MENU - Pr'!A2="""", """", IF(LEN(IFERROR(TRIM(REGEXREPLACE(TRIM(REGEXEXTRACT('AYIRA MINI MART FINAL MENU - Pr'!A2, ""^[^\x{0600}-\x{06FF}]+"")), ""[-–]+$"", """")), """"))&gt;0, IFERROR(TRIM(REGEXREPLACE(TRIM(REGEXEXTRACT('AYIRA MIN"&amp;"I MART FINAL MENU - Pr'!A2, ""^[^\x{0600}-\x{06FF}]+"")), ""[-–]+$"", """")), """"), GOOGLETRANSLATE('AYIRA MINI MART FINAL MENU - Pr'!A2, ""ar"", ""en"")))"),"Mountain Dew 2.25L")</f>
        <v>Mountain Dew 2.25L</v>
      </c>
      <c r="B2" s="56" t="str">
        <f>IFERROR(__xludf.DUMMYFUNCTION("IF('AYIRA MINI MART FINAL MENU - Pr'!B2="""", """", IF(LEN(IFERROR(TRIM(REGEXREPLACE(TRIM(REGEXEXTRACT('AYIRA MINI MART FINAL MENU - Pr'!B2, ""^[^\x{0600}-\x{06FF}]+"")), ""[-–]+$"", """")), """"))&gt;0, IFERROR(TRIM(REGEXREPLACE(TRIM(REGEXEXTRACT('AYIRA MIN"&amp;"I MART FINAL MENU - Pr'!B2, ""^[^\x{0600}-\x{06FF}]+"")), ""[-–]+$"", """")), """"), GOOGLETRANSLATE('AYIRA MINI MART FINAL MENU - Pr'!B2, ""ar"", ""en"")))"),"Carbonated Soft Drinks")</f>
        <v>Carbonated Soft Drinks</v>
      </c>
      <c r="C2" s="56">
        <f>IF('AYIRA MINI MART FINAL MENU - Pr'!C2="", "", 'AYIRA MINI MART FINAL MENU - Pr'!C2)</f>
        <v>7.5</v>
      </c>
      <c r="D2" s="56" t="str">
        <f>IFERROR(__xludf.DUMMYFUNCTION("IF('AYIRA MINI MART FINAL MENU - Pr'!D2="""", """", GOOGLETRANSLATE('AYIRA MINI MART FINAL MENU - Pr'!D2, ""ar"", ""en""))"),"Enjoy Mountain Dew, the refreshing soft drink that gives you energy and vitality with every sip. Its great taste and unique formula make it the perfect choice to quench your thirst anytime. Ideal for parties, family gatherings, and various occasions. It b"&amp;"oasts distinctive flavors that make every sip an unforgettable experience. Get it now from Aira Mini Mart at the best prices and highest quality. Our premium drink provides instant refreshment and satisfies your discerning palate whenever you need hydrati"&amp;"on.")</f>
        <v>Enjoy Mountain Dew, the refreshing soft drink that gives you energy and vitality with every sip.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2" s="56" t="str">
        <f>IF('AYIRA MINI MART FINAL MENU - Pr'!K2="", "", 'AYIRA MINI MART FINAL MENU - Pr'!K2)</f>
        <v/>
      </c>
      <c r="F2" s="56"/>
      <c r="G2" s="56"/>
      <c r="H2" s="56"/>
      <c r="I2" s="56"/>
      <c r="J2" s="56"/>
      <c r="L2" s="56" t="str">
        <f>IF('AYIRA MINI MART FINAL MENU - Pr'!L2="", "", 'AYIRA MINI MART FINAL MENU - Pr'!L2)</f>
        <v/>
      </c>
      <c r="M2" s="56" t="str">
        <f>IF('AYIRA MINI MART FINAL MENU - Pr'!M2="", "", 'AYIRA MINI MART FINAL MENU - Pr'!M2)</f>
        <v/>
      </c>
      <c r="N2" s="56" t="str">
        <f>IF('AYIRA MINI MART FINAL MENU - Pr'!N2="", "", 'AYIRA MINI MART FINAL MENU - Pr'!N2)</f>
        <v/>
      </c>
      <c r="O2" s="57"/>
      <c r="P2" s="57"/>
      <c r="Q2" s="57"/>
      <c r="R2" s="57"/>
      <c r="S2" s="57"/>
      <c r="T2" s="57"/>
      <c r="U2" s="57"/>
      <c r="V2" s="57"/>
      <c r="W2" s="57"/>
      <c r="X2" s="57"/>
      <c r="Y2" s="57"/>
      <c r="Z2" s="57"/>
    </row>
    <row r="3">
      <c r="A3" s="56" t="str">
        <f>IFERROR(__xludf.DUMMYFUNCTION("IF('AYIRA MINI MART FINAL MENU - Pr'!A3="""", """", IF(LEN(IFERROR(TRIM(REGEXREPLACE(TRIM(REGEXEXTRACT('AYIRA MINI MART FINAL MENU - Pr'!A3, ""^[^\x{0600}-\x{06FF}]+"")), ""[-–]+$"", """")), """"))&gt;0, IFERROR(TRIM(REGEXREPLACE(TRIM(REGEXEXTRACT('AYIRA MIN"&amp;"I MART FINAL MENU - Pr'!A3, ""^[^\x{0600}-\x{06FF}]+"")), ""[-–]+$"", """")), """"), GOOGLETRANSLATE('AYIRA MINI MART FINAL MENU - Pr'!A3, ""ar"", ""en"")))"),"Pepsi 1.25L")</f>
        <v>Pepsi 1.25L</v>
      </c>
      <c r="B3" s="56" t="str">
        <f>IFERROR(__xludf.DUMMYFUNCTION("IF('AYIRA MINI MART FINAL MENU - Pr'!B3="""", """", IF(LEN(IFERROR(TRIM(REGEXREPLACE(TRIM(REGEXEXTRACT('AYIRA MINI MART FINAL MENU - Pr'!B3, ""^[^\x{0600}-\x{06FF}]+"")), ""[-–]+$"", """")), """"))&gt;0, IFERROR(TRIM(REGEXREPLACE(TRIM(REGEXEXTRACT('AYIRA MIN"&amp;"I MART FINAL MENU - Pr'!B3, ""^[^\x{0600}-\x{06FF}]+"")), ""[-–]+$"", """")), """"), GOOGLETRANSLATE('AYIRA MINI MART FINAL MENU - Pr'!B3, ""ar"", ""en"")))"),"Carbonated Soft Drinks")</f>
        <v>Carbonated Soft Drinks</v>
      </c>
      <c r="C3" s="56">
        <f>IF('AYIRA MINI MART FINAL MENU - Pr'!C3="", "", 'AYIRA MINI MART FINAL MENU - Pr'!C3)</f>
        <v>4.5</v>
      </c>
      <c r="D3" s="56" t="str">
        <f>IFERROR(__xludf.DUMMYFUNCTION("IF('AYIRA MINI MART FINAL MENU - Pr'!D3="""", """", GOOGLETRANSLATE('AYIRA MINI MART FINAL MENU - Pr'!D3, ""ar"", ""en""))"),"Enjoy Pepsi, the refreshing soft drink that gives you energy and vitality with every drop. Its great taste and unique formula make it the perfect choice to quench your thirst anytime. Ideal for parties, family gatherings, and various occasions. It contain"&amp;"s distinctive flavors that make every sip an unforgettable experience. Get it now from Aira Mini Mart at the best prices and highest quality. Our premium drink provides you with instant refreshment and satisfies your discerning taste whenever you need hyd"&amp;"ration.")</f>
        <v>Enjoy Pepsi, the refreshing soft drink that gives you energy and vitality with every drop.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you with instant refreshment and satisfies your discerning taste whenever you need hydration.</v>
      </c>
      <c r="E3" s="56" t="str">
        <f>IF('AYIRA MINI MART FINAL MENU - Pr'!K3="", "", 'AYIRA MINI MART FINAL MENU - Pr'!K3)</f>
        <v/>
      </c>
      <c r="F3" s="56"/>
      <c r="G3" s="56"/>
      <c r="H3" s="56"/>
      <c r="I3" s="56"/>
      <c r="J3" s="56"/>
      <c r="L3" s="56" t="str">
        <f>IF('AYIRA MINI MART FINAL MENU - Pr'!L3="", "", 'AYIRA MINI MART FINAL MENU - Pr'!L3)</f>
        <v/>
      </c>
      <c r="M3" s="56" t="str">
        <f>IF('AYIRA MINI MART FINAL MENU - Pr'!M3="", "", 'AYIRA MINI MART FINAL MENU - Pr'!M3)</f>
        <v/>
      </c>
      <c r="N3" s="56" t="str">
        <f>IF('AYIRA MINI MART FINAL MENU - Pr'!N3="", "", 'AYIRA MINI MART FINAL MENU - Pr'!N3)</f>
        <v/>
      </c>
      <c r="O3" s="57"/>
      <c r="P3" s="57"/>
      <c r="Q3" s="57"/>
      <c r="R3" s="57"/>
      <c r="S3" s="57"/>
      <c r="T3" s="57"/>
      <c r="U3" s="57"/>
      <c r="V3" s="57"/>
      <c r="W3" s="57"/>
      <c r="X3" s="57"/>
      <c r="Y3" s="57"/>
      <c r="Z3" s="57"/>
    </row>
    <row r="4">
      <c r="A4" s="56" t="str">
        <f>IFERROR(__xludf.DUMMYFUNCTION("IF('AYIRA MINI MART FINAL MENU - Pr'!A4="""", """", IF(LEN(IFERROR(TRIM(REGEXREPLACE(TRIM(REGEXEXTRACT('AYIRA MINI MART FINAL MENU - Pr'!A4, ""^[^\x{0600}-\x{06FF}]+"")), ""[-–]+$"", """")), """"))&gt;0, IFERROR(TRIM(REGEXREPLACE(TRIM(REGEXEXTRACT('AYIRA MIN"&amp;"I MART FINAL MENU - Pr'!A4, ""^[^\x{0600}-\x{06FF}]+"")), ""[-–]+$"", """")), """"), GOOGLETRANSLATE('AYIRA MINI MART FINAL MENU - Pr'!A4, ""ar"", ""en"")))"),"Mountain Dew 1.25L")</f>
        <v>Mountain Dew 1.25L</v>
      </c>
      <c r="B4" s="56" t="str">
        <f>IFERROR(__xludf.DUMMYFUNCTION("IF('AYIRA MINI MART FINAL MENU - Pr'!B4="""", """", IF(LEN(IFERROR(TRIM(REGEXREPLACE(TRIM(REGEXEXTRACT('AYIRA MINI MART FINAL MENU - Pr'!B4, ""^[^\x{0600}-\x{06FF}]+"")), ""[-–]+$"", """")), """"))&gt;0, IFERROR(TRIM(REGEXREPLACE(TRIM(REGEXEXTRACT('AYIRA MIN"&amp;"I MART FINAL MENU - Pr'!B4, ""^[^\x{0600}-\x{06FF}]+"")), ""[-–]+$"", """")), """"), GOOGLETRANSLATE('AYIRA MINI MART FINAL MENU - Pr'!B4, ""ar"", ""en"")))"),"Carbonated Soft Drinks")</f>
        <v>Carbonated Soft Drinks</v>
      </c>
      <c r="C4" s="56">
        <f>IF('AYIRA MINI MART FINAL MENU - Pr'!C4="", "", 'AYIRA MINI MART FINAL MENU - Pr'!C4)</f>
        <v>4.5</v>
      </c>
      <c r="D4" s="56" t="str">
        <f>IFERROR(__xludf.DUMMYFUNCTION("IF('AYIRA MINI MART FINAL MENU - Pr'!D4="""", """", GOOGLETRANSLATE('AYIRA MINI MART FINAL MENU - Pr'!D4, ""ar"", ""en""))"),"Enjoy Mountain Dew, the refreshing soft drink that gives you energy and vitality with every sip. Its great taste and unique formula make it the perfect choice to quench your thirst anytime. Ideal for parties, family gatherings, and various occasions. It b"&amp;"oasts distinctive flavors that make every sip an unforgettable experience. Get it now from Aira Mini Mart at the best prices and highest quality. Our premium drink provides instant refreshment and satisfies your discerning palate whenever you need hydrati"&amp;"on.")</f>
        <v>Enjoy Mountain Dew, the refreshing soft drink that gives you energy and vitality with every sip.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4" s="56" t="str">
        <f>IF('AYIRA MINI MART FINAL MENU - Pr'!K4="", "", 'AYIRA MINI MART FINAL MENU - Pr'!K4)</f>
        <v/>
      </c>
      <c r="F4" s="56"/>
      <c r="G4" s="56"/>
      <c r="H4" s="56"/>
      <c r="I4" s="56"/>
      <c r="J4" s="56"/>
      <c r="L4" s="56" t="str">
        <f>IF('AYIRA MINI MART FINAL MENU - Pr'!L4="", "", 'AYIRA MINI MART FINAL MENU - Pr'!L4)</f>
        <v/>
      </c>
      <c r="M4" s="56" t="str">
        <f>IF('AYIRA MINI MART FINAL MENU - Pr'!M4="", "", 'AYIRA MINI MART FINAL MENU - Pr'!M4)</f>
        <v/>
      </c>
      <c r="N4" s="56" t="str">
        <f>IF('AYIRA MINI MART FINAL MENU - Pr'!N4="", "", 'AYIRA MINI MART FINAL MENU - Pr'!N4)</f>
        <v/>
      </c>
      <c r="O4" s="57"/>
      <c r="P4" s="57"/>
      <c r="Q4" s="57"/>
      <c r="R4" s="57"/>
      <c r="S4" s="57"/>
      <c r="T4" s="57"/>
      <c r="U4" s="57"/>
      <c r="V4" s="57"/>
      <c r="W4" s="57"/>
      <c r="X4" s="57"/>
      <c r="Y4" s="57"/>
      <c r="Z4" s="57"/>
    </row>
    <row r="5">
      <c r="A5" s="56" t="str">
        <f>IFERROR(__xludf.DUMMYFUNCTION("IF('AYIRA MINI MART FINAL MENU - Pr'!A5="""", """", IF(LEN(IFERROR(TRIM(REGEXREPLACE(TRIM(REGEXEXTRACT('AYIRA MINI MART FINAL MENU - Pr'!A5, ""^[^\x{0600}-\x{06FF}]+"")), ""[-–]+$"", """")), """"))&gt;0, IFERROR(TRIM(REGEXREPLACE(TRIM(REGEXEXTRACT('AYIRA MIN"&amp;"I MART FINAL MENU - Pr'!A5, ""^[^\x{0600}-\x{06FF}]+"")), ""[-–]+$"", """")), """"), GOOGLETRANSLATE('AYIRA MINI MART FINAL MENU - Pr'!A5, ""ar"", ""en"")))"),"Mountain Dew 330ml")</f>
        <v>Mountain Dew 330ml</v>
      </c>
      <c r="B5" s="56" t="str">
        <f>IFERROR(__xludf.DUMMYFUNCTION("IF('AYIRA MINI MART FINAL MENU - Pr'!B5="""", """", IF(LEN(IFERROR(TRIM(REGEXREPLACE(TRIM(REGEXEXTRACT('AYIRA MINI MART FINAL MENU - Pr'!B5, ""^[^\x{0600}-\x{06FF}]+"")), ""[-–]+$"", """")), """"))&gt;0, IFERROR(TRIM(REGEXREPLACE(TRIM(REGEXEXTRACT('AYIRA MIN"&amp;"I MART FINAL MENU - Pr'!B5, ""^[^\x{0600}-\x{06FF}]+"")), ""[-–]+$"", """")), """"), GOOGLETRANSLATE('AYIRA MINI MART FINAL MENU - Pr'!B5, ""ar"", ""en"")))"),"Carbonated Soft Drinks")</f>
        <v>Carbonated Soft Drinks</v>
      </c>
      <c r="C5" s="56">
        <f>IF('AYIRA MINI MART FINAL MENU - Pr'!C5="", "", 'AYIRA MINI MART FINAL MENU - Pr'!C5)</f>
        <v>2.5</v>
      </c>
      <c r="D5" s="56" t="str">
        <f>IFERROR(__xludf.DUMMYFUNCTION("IF('AYIRA MINI MART FINAL MENU - Pr'!D5="""", """", GOOGLETRANSLATE('AYIRA MINI MART FINAL MENU - Pr'!D5, ""ar"", ""en""))"),"Enjoy Mountain Dew, the refreshing soft drink that gives you energy and vitality with every sip. Its great taste and unique formula make it the perfect choice to quench your thirst anytime. Ideal for parties, family gatherings, and various occasions. It b"&amp;"oasts distinctive flavors that make every sip an unforgettable experience. Get it now from Aira Mini Mart at the best prices and highest quality. Our premium drink provides instant refreshment and satisfies your discerning palate whenever you need hydrati"&amp;"on.")</f>
        <v>Enjoy Mountain Dew, the refreshing soft drink that gives you energy and vitality with every sip.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5" s="56" t="str">
        <f>IF('AYIRA MINI MART FINAL MENU - Pr'!K5="", "", 'AYIRA MINI MART FINAL MENU - Pr'!K5)</f>
        <v/>
      </c>
      <c r="F5" s="56"/>
      <c r="G5" s="56"/>
      <c r="H5" s="56"/>
      <c r="I5" s="56"/>
      <c r="J5" s="56"/>
      <c r="L5" s="56" t="str">
        <f>IF('AYIRA MINI MART FINAL MENU - Pr'!L5="", "", 'AYIRA MINI MART FINAL MENU - Pr'!L5)</f>
        <v/>
      </c>
      <c r="M5" s="56" t="str">
        <f>IF('AYIRA MINI MART FINAL MENU - Pr'!M5="", "", 'AYIRA MINI MART FINAL MENU - Pr'!M5)</f>
        <v/>
      </c>
      <c r="N5" s="56" t="str">
        <f>IF('AYIRA MINI MART FINAL MENU - Pr'!N5="", "", 'AYIRA MINI MART FINAL MENU - Pr'!N5)</f>
        <v/>
      </c>
      <c r="O5" s="57"/>
      <c r="P5" s="57"/>
      <c r="Q5" s="57"/>
      <c r="R5" s="57"/>
      <c r="S5" s="57"/>
      <c r="T5" s="57"/>
      <c r="U5" s="57"/>
      <c r="V5" s="57"/>
      <c r="W5" s="57"/>
      <c r="X5" s="57"/>
      <c r="Y5" s="57"/>
      <c r="Z5" s="57"/>
    </row>
    <row r="6">
      <c r="A6" s="56" t="str">
        <f>IFERROR(__xludf.DUMMYFUNCTION("IF('AYIRA MINI MART FINAL MENU - Pr'!A6="""", """", IF(LEN(IFERROR(TRIM(REGEXREPLACE(TRIM(REGEXEXTRACT('AYIRA MINI MART FINAL MENU - Pr'!A6, ""^[^\x{0600}-\x{06FF}]+"")), ""[-–]+$"", """")), """"))&gt;0, IFERROR(TRIM(REGEXREPLACE(TRIM(REGEXEXTRACT('AYIRA MIN"&amp;"I MART FINAL MENU - Pr'!A6, ""^[^\x{0600}-\x{06FF}]+"")), ""[-–]+$"", """")), """"), GOOGLETRANSLATE('AYIRA MINI MART FINAL MENU - Pr'!A6, ""ar"", ""en"")))"),"Shani Can 330ml")</f>
        <v>Shani Can 330ml</v>
      </c>
      <c r="B6" s="56" t="str">
        <f>IFERROR(__xludf.DUMMYFUNCTION("IF('AYIRA MINI MART FINAL MENU - Pr'!B6="""", """", IF(LEN(IFERROR(TRIM(REGEXREPLACE(TRIM(REGEXEXTRACT('AYIRA MINI MART FINAL MENU - Pr'!B6, ""^[^\x{0600}-\x{06FF}]+"")), ""[-–]+$"", """")), """"))&gt;0, IFERROR(TRIM(REGEXREPLACE(TRIM(REGEXEXTRACT('AYIRA MIN"&amp;"I MART FINAL MENU - Pr'!B6, ""^[^\x{0600}-\x{06FF}]+"")), ""[-–]+$"", """")), """"), GOOGLETRANSLATE('AYIRA MINI MART FINAL MENU - Pr'!B6, ""ar"", ""en"")))"),"Carbonated Soft Drinks")</f>
        <v>Carbonated Soft Drinks</v>
      </c>
      <c r="C6" s="56">
        <f>IF('AYIRA MINI MART FINAL MENU - Pr'!C6="", "", 'AYIRA MINI MART FINAL MENU - Pr'!C6)</f>
        <v>2.5</v>
      </c>
      <c r="D6" s="56" t="str">
        <f>IFERROR(__xludf.DUMMYFUNCTION("IF('AYIRA MINI MART FINAL MENU - Pr'!D6="""", """", GOOGLETRANSLATE('AYIRA MINI MART FINAL MENU - Pr'!D6, ""ar"", ""en""))"),"Enjoy Shani, the refreshing soft drink that gives you energy and vitality with every drop. Its delicious taste and unique formula make it the perfect choice to quench your thirst anytime. Ideal for parties, family gatherings, and various occasions. It boa"&amp;"sts distinctive flavors that make every sip an unforgettable experience. Get it now from Aira Mini Mart at the best prices and highest quality. Our premium drink provides instant refreshment and satisfies your discerning palate whenever you need hydration"&amp;".")</f>
        <v>Enjoy Shani,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6" s="56" t="str">
        <f>IF('AYIRA MINI MART FINAL MENU - Pr'!K6="", "", 'AYIRA MINI MART FINAL MENU - Pr'!K6)</f>
        <v/>
      </c>
      <c r="F6" s="56"/>
      <c r="G6" s="56"/>
      <c r="H6" s="56"/>
      <c r="I6" s="56"/>
      <c r="J6" s="56"/>
      <c r="L6" s="56" t="str">
        <f>IF('AYIRA MINI MART FINAL MENU - Pr'!L6="", "", 'AYIRA MINI MART FINAL MENU - Pr'!L6)</f>
        <v/>
      </c>
      <c r="M6" s="56" t="str">
        <f>IF('AYIRA MINI MART FINAL MENU - Pr'!M6="", "", 'AYIRA MINI MART FINAL MENU - Pr'!M6)</f>
        <v/>
      </c>
      <c r="N6" s="56" t="str">
        <f>IF('AYIRA MINI MART FINAL MENU - Pr'!N6="", "", 'AYIRA MINI MART FINAL MENU - Pr'!N6)</f>
        <v/>
      </c>
      <c r="O6" s="57"/>
      <c r="P6" s="57"/>
      <c r="Q6" s="57"/>
      <c r="R6" s="57"/>
      <c r="S6" s="57"/>
      <c r="T6" s="57"/>
      <c r="U6" s="57"/>
      <c r="V6" s="57"/>
      <c r="W6" s="57"/>
      <c r="X6" s="57"/>
      <c r="Y6" s="57"/>
      <c r="Z6" s="57"/>
    </row>
    <row r="7">
      <c r="A7" s="56" t="str">
        <f>IFERROR(__xludf.DUMMYFUNCTION("IF('AYIRA MINI MART FINAL MENU - Pr'!A7="""", """", IF(LEN(IFERROR(TRIM(REGEXREPLACE(TRIM(REGEXEXTRACT('AYIRA MINI MART FINAL MENU - Pr'!A7, ""^[^\x{0600}-\x{06FF}]+"")), ""[-–]+$"", """")), """"))&gt;0, IFERROR(TRIM(REGEXREPLACE(TRIM(REGEXEXTRACT('AYIRA MIN"&amp;"I MART FINAL MENU - Pr'!A7, ""^[^\x{0600}-\x{06FF}]+"")), ""[-–]+$"", """")), """"), GOOGLETRANSLATE('AYIRA MINI MART FINAL MENU - Pr'!A7, ""ar"", ""en"")))"),"7Up 330ml")</f>
        <v>7Up 330ml</v>
      </c>
      <c r="B7" s="56" t="str">
        <f>IFERROR(__xludf.DUMMYFUNCTION("IF('AYIRA MINI MART FINAL MENU - Pr'!B7="""", """", IF(LEN(IFERROR(TRIM(REGEXREPLACE(TRIM(REGEXEXTRACT('AYIRA MINI MART FINAL MENU - Pr'!B7, ""^[^\x{0600}-\x{06FF}]+"")), ""[-–]+$"", """")), """"))&gt;0, IFERROR(TRIM(REGEXREPLACE(TRIM(REGEXEXTRACT('AYIRA MIN"&amp;"I MART FINAL MENU - Pr'!B7, ""^[^\x{0600}-\x{06FF}]+"")), ""[-–]+$"", """")), """"), GOOGLETRANSLATE('AYIRA MINI MART FINAL MENU - Pr'!B7, ""ar"", ""en"")))"),"Carbonated Soft Drinks")</f>
        <v>Carbonated Soft Drinks</v>
      </c>
      <c r="C7" s="56">
        <f>IF('AYIRA MINI MART FINAL MENU - Pr'!C7="", "", 'AYIRA MINI MART FINAL MENU - Pr'!C7)</f>
        <v>2.5</v>
      </c>
      <c r="D7" s="56" t="str">
        <f>IFERROR(__xludf.DUMMYFUNCTION("IF('AYIRA MINI MART FINAL MENU - Pr'!D7="""", """", GOOGLETRANSLATE('AYIRA MINI MART FINAL MENU - Pr'!D7, ""ar"", ""en""))"),"Enjoy 7UP,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7UP,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7" s="56" t="str">
        <f>IF('AYIRA MINI MART FINAL MENU - Pr'!K7="", "", 'AYIRA MINI MART FINAL MENU - Pr'!K7)</f>
        <v/>
      </c>
      <c r="F7" s="56"/>
      <c r="G7" s="56"/>
      <c r="H7" s="56"/>
      <c r="I7" s="56"/>
      <c r="J7" s="56"/>
      <c r="L7" s="56" t="str">
        <f>IF('AYIRA MINI MART FINAL MENU - Pr'!L7="", "", 'AYIRA MINI MART FINAL MENU - Pr'!L7)</f>
        <v/>
      </c>
      <c r="M7" s="56" t="str">
        <f>IF('AYIRA MINI MART FINAL MENU - Pr'!M7="", "", 'AYIRA MINI MART FINAL MENU - Pr'!M7)</f>
        <v/>
      </c>
      <c r="N7" s="56" t="str">
        <f>IF('AYIRA MINI MART FINAL MENU - Pr'!N7="", "", 'AYIRA MINI MART FINAL MENU - Pr'!N7)</f>
        <v/>
      </c>
      <c r="O7" s="57"/>
      <c r="P7" s="57"/>
      <c r="Q7" s="57"/>
      <c r="R7" s="57"/>
      <c r="S7" s="57"/>
      <c r="T7" s="57"/>
      <c r="U7" s="57"/>
      <c r="V7" s="57"/>
      <c r="W7" s="57"/>
      <c r="X7" s="57"/>
      <c r="Y7" s="57"/>
      <c r="Z7" s="57"/>
    </row>
    <row r="8">
      <c r="A8" s="56" t="str">
        <f>IFERROR(__xludf.DUMMYFUNCTION("IF('AYIRA MINI MART FINAL MENU - Pr'!A8="""", """", IF(LEN(IFERROR(TRIM(REGEXREPLACE(TRIM(REGEXEXTRACT('AYIRA MINI MART FINAL MENU - Pr'!A8, ""^[^\x{0600}-\x{06FF}]+"")), ""[-–]+$"", """")), """"))&gt;0, IFERROR(TRIM(REGEXREPLACE(TRIM(REGEXEXTRACT('AYIRA MIN"&amp;"I MART FINAL MENU - Pr'!A8, ""^[^\x{0600}-\x{06FF}]+"")), ""[-–]+$"", """")), """"), GOOGLETRANSLATE('AYIRA MINI MART FINAL MENU - Pr'!A8, ""ar"", ""en"")))"),"Mirinda Orange 1.25L")</f>
        <v>Mirinda Orange 1.25L</v>
      </c>
      <c r="B8" s="56" t="str">
        <f>IFERROR(__xludf.DUMMYFUNCTION("IF('AYIRA MINI MART FINAL MENU - Pr'!B8="""", """", IF(LEN(IFERROR(TRIM(REGEXREPLACE(TRIM(REGEXEXTRACT('AYIRA MINI MART FINAL MENU - Pr'!B8, ""^[^\x{0600}-\x{06FF}]+"")), ""[-–]+$"", """")), """"))&gt;0, IFERROR(TRIM(REGEXREPLACE(TRIM(REGEXEXTRACT('AYIRA MIN"&amp;"I MART FINAL MENU - Pr'!B8, ""^[^\x{0600}-\x{06FF}]+"")), ""[-–]+$"", """")), """"), GOOGLETRANSLATE('AYIRA MINI MART FINAL MENU - Pr'!B8, ""ar"", ""en"")))"),"Carbonated Soft Drinks")</f>
        <v>Carbonated Soft Drinks</v>
      </c>
      <c r="C8" s="56">
        <f>IF('AYIRA MINI MART FINAL MENU - Pr'!C8="", "", 'AYIRA MINI MART FINAL MENU - Pr'!C8)</f>
        <v>4.5</v>
      </c>
      <c r="D8" s="56" t="str">
        <f>IFERROR(__xludf.DUMMYFUNCTION("IF('AYIRA MINI MART FINAL MENU - Pr'!D8="""", """", GOOGLETRANSLATE('AYIRA MINI MART FINAL MENU - Pr'!D8, ""ar"", ""en""))"),"Enjoy Miranda, the refreshing soft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Miranda,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8" s="56" t="str">
        <f>IF('AYIRA MINI MART FINAL MENU - Pr'!K8="", "", 'AYIRA MINI MART FINAL MENU - Pr'!K8)</f>
        <v/>
      </c>
      <c r="F8" s="56"/>
      <c r="G8" s="56"/>
      <c r="H8" s="56"/>
      <c r="I8" s="56"/>
      <c r="J8" s="56"/>
      <c r="L8" s="56" t="str">
        <f>IF('AYIRA MINI MART FINAL MENU - Pr'!L8="", "", 'AYIRA MINI MART FINAL MENU - Pr'!L8)</f>
        <v/>
      </c>
      <c r="M8" s="56" t="str">
        <f>IF('AYIRA MINI MART FINAL MENU - Pr'!M8="", "", 'AYIRA MINI MART FINAL MENU - Pr'!M8)</f>
        <v/>
      </c>
      <c r="N8" s="56" t="str">
        <f>IF('AYIRA MINI MART FINAL MENU - Pr'!N8="", "", 'AYIRA MINI MART FINAL MENU - Pr'!N8)</f>
        <v/>
      </c>
      <c r="O8" s="57"/>
      <c r="P8" s="57"/>
      <c r="Q8" s="57"/>
      <c r="R8" s="57"/>
      <c r="S8" s="57"/>
      <c r="T8" s="57"/>
      <c r="U8" s="57"/>
      <c r="V8" s="57"/>
      <c r="W8" s="57"/>
      <c r="X8" s="57"/>
      <c r="Y8" s="57"/>
      <c r="Z8" s="57"/>
    </row>
    <row r="9">
      <c r="A9" s="56" t="str">
        <f>IFERROR(__xludf.DUMMYFUNCTION("IF('AYIRA MINI MART FINAL MENU - Pr'!A9="""", """", IF(LEN(IFERROR(TRIM(REGEXREPLACE(TRIM(REGEXEXTRACT('AYIRA MINI MART FINAL MENU - Pr'!A9, ""^[^\x{0600}-\x{06FF}]+"")), ""[-–]+$"", """")), """"))&gt;0, IFERROR(TRIM(REGEXREPLACE(TRIM(REGEXEXTRACT('AYIRA MIN"&amp;"I MART FINAL MENU - Pr'!A9, ""^[^\x{0600}-\x{06FF}]+"")), ""[-–]+$"", """")), """"), GOOGLETRANSLATE('AYIRA MINI MART FINAL MENU - Pr'!A9, ""ar"", ""en"")))"),"Red Bull Sugar Free 250ml")</f>
        <v>Red Bull Sugar Free 250ml</v>
      </c>
      <c r="B9" s="56" t="str">
        <f>IFERROR(__xludf.DUMMYFUNCTION("IF('AYIRA MINI MART FINAL MENU - Pr'!B9="""", """", IF(LEN(IFERROR(TRIM(REGEXREPLACE(TRIM(REGEXEXTRACT('AYIRA MINI MART FINAL MENU - Pr'!B9, ""^[^\x{0600}-\x{06FF}]+"")), ""[-–]+$"", """")), """"))&gt;0, IFERROR(TRIM(REGEXREPLACE(TRIM(REGEXEXTRACT('AYIRA MIN"&amp;"I MART FINAL MENU - Pr'!B9, ""^[^\x{0600}-\x{06FF}]+"")), ""[-–]+$"", """")), """"), GOOGLETRANSLATE('AYIRA MINI MART FINAL MENU - Pr'!B9, ""ar"", ""en"")))"),"Energy &amp; Sports Drinks")</f>
        <v>Energy &amp; Sports Drinks</v>
      </c>
      <c r="C9" s="56">
        <f>IF('AYIRA MINI MART FINAL MENU - Pr'!C9="", "", 'AYIRA MINI MART FINAL MENU - Pr'!C9)</f>
        <v>10</v>
      </c>
      <c r="D9" s="56" t="str">
        <f>IFERROR(__xludf.DUMMYFUNCTION("IF('AYIRA MINI MART FINAL MENU - Pr'!D9="""", """", GOOGLETRANSLATE('AYIRA MINI MART FINAL MENU - Pr'!D9,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9" s="56" t="str">
        <f>IF('AYIRA MINI MART FINAL MENU - Pr'!K9="", "", 'AYIRA MINI MART FINAL MENU - Pr'!K9)</f>
        <v/>
      </c>
      <c r="F9" s="56"/>
      <c r="G9" s="56"/>
      <c r="H9" s="56"/>
      <c r="I9" s="56"/>
      <c r="J9" s="56"/>
      <c r="L9" s="56" t="str">
        <f>IF('AYIRA MINI MART FINAL MENU - Pr'!L9="", "", 'AYIRA MINI MART FINAL MENU - Pr'!L9)</f>
        <v/>
      </c>
      <c r="M9" s="56" t="str">
        <f>IF('AYIRA MINI MART FINAL MENU - Pr'!M9="", "", 'AYIRA MINI MART FINAL MENU - Pr'!M9)</f>
        <v/>
      </c>
      <c r="N9" s="56" t="str">
        <f>IF('AYIRA MINI MART FINAL MENU - Pr'!N9="", "", 'AYIRA MINI MART FINAL MENU - Pr'!N9)</f>
        <v/>
      </c>
      <c r="O9" s="57"/>
      <c r="P9" s="57"/>
      <c r="Q9" s="57"/>
      <c r="R9" s="57"/>
      <c r="S9" s="57"/>
      <c r="T9" s="57"/>
      <c r="U9" s="57"/>
      <c r="V9" s="57"/>
      <c r="W9" s="57"/>
      <c r="X9" s="57"/>
      <c r="Y9" s="57"/>
      <c r="Z9" s="57"/>
    </row>
    <row r="10">
      <c r="A10" s="56" t="str">
        <f>IFERROR(__xludf.DUMMYFUNCTION("IF('AYIRA MINI MART FINAL MENU - Pr'!A10="""", """", IF(LEN(IFERROR(TRIM(REGEXREPLACE(TRIM(REGEXEXTRACT('AYIRA MINI MART FINAL MENU - Pr'!A10, ""^[^\x{0600}-\x{06FF}]+"")), ""[-–]+$"", """")), """"))&gt;0, IFERROR(TRIM(REGEXREPLACE(TRIM(REGEXEXTRACT('AYIRA M"&amp;"INI MART FINAL MENU - Pr'!A10, ""^[^\x{0600}-\x{06FF}]+"")), ""[-–]+$"", """")), """"), GOOGLETRANSLATE('AYIRA MINI MART FINAL MENU - Pr'!A10, ""ar"", ""en"")))"),"Red Bull Sea Blue Edition 250ml")</f>
        <v>Red Bull Sea Blue Edition 250ml</v>
      </c>
      <c r="B10" s="56" t="str">
        <f>IFERROR(__xludf.DUMMYFUNCTION("IF('AYIRA MINI MART FINAL MENU - Pr'!B10="""", """", IF(LEN(IFERROR(TRIM(REGEXREPLACE(TRIM(REGEXEXTRACT('AYIRA MINI MART FINAL MENU - Pr'!B10, ""^[^\x{0600}-\x{06FF}]+"")), ""[-–]+$"", """")), """"))&gt;0, IFERROR(TRIM(REGEXREPLACE(TRIM(REGEXEXTRACT('AYIRA M"&amp;"INI MART FINAL MENU - Pr'!B10, ""^[^\x{0600}-\x{06FF}]+"")), ""[-–]+$"", """")), """"), GOOGLETRANSLATE('AYIRA MINI MART FINAL MENU - Pr'!B10, ""ar"", ""en"")))"),"Energy &amp; Sports Drinks")</f>
        <v>Energy &amp; Sports Drinks</v>
      </c>
      <c r="C10" s="56">
        <f>IF('AYIRA MINI MART FINAL MENU - Pr'!C10="", "", 'AYIRA MINI MART FINAL MENU - Pr'!C10)</f>
        <v>10</v>
      </c>
      <c r="D10" s="56" t="str">
        <f>IFERROR(__xludf.DUMMYFUNCTION("IF('AYIRA MINI MART FINAL MENU - Pr'!D10="""", """", GOOGLETRANSLATE('AYIRA MINI MART FINAL MENU - Pr'!D10,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0" s="56" t="str">
        <f>IF('AYIRA MINI MART FINAL MENU - Pr'!K10="", "", 'AYIRA MINI MART FINAL MENU - Pr'!K10)</f>
        <v/>
      </c>
      <c r="F10" s="56"/>
      <c r="G10" s="56"/>
      <c r="H10" s="56"/>
      <c r="I10" s="56"/>
      <c r="J10" s="56"/>
      <c r="L10" s="56" t="str">
        <f>IF('AYIRA MINI MART FINAL MENU - Pr'!L10="", "", 'AYIRA MINI MART FINAL MENU - Pr'!L10)</f>
        <v/>
      </c>
      <c r="M10" s="56" t="str">
        <f>IF('AYIRA MINI MART FINAL MENU - Pr'!M10="", "", 'AYIRA MINI MART FINAL MENU - Pr'!M10)</f>
        <v/>
      </c>
      <c r="N10" s="56" t="str">
        <f>IF('AYIRA MINI MART FINAL MENU - Pr'!N10="", "", 'AYIRA MINI MART FINAL MENU - Pr'!N10)</f>
        <v/>
      </c>
      <c r="O10" s="57"/>
      <c r="P10" s="57"/>
      <c r="Q10" s="57"/>
      <c r="R10" s="57"/>
      <c r="S10" s="57"/>
      <c r="T10" s="57"/>
      <c r="U10" s="57"/>
      <c r="V10" s="57"/>
      <c r="W10" s="57"/>
      <c r="X10" s="57"/>
      <c r="Y10" s="57"/>
      <c r="Z10" s="57"/>
    </row>
    <row r="11">
      <c r="A11" s="56" t="str">
        <f>IFERROR(__xludf.DUMMYFUNCTION("IF('AYIRA MINI MART FINAL MENU - Pr'!A11="""", """", IF(LEN(IFERROR(TRIM(REGEXREPLACE(TRIM(REGEXEXTRACT('AYIRA MINI MART FINAL MENU - Pr'!A11, ""^[^\x{0600}-\x{06FF}]+"")), ""[-–]+$"", """")), """"))&gt;0, IFERROR(TRIM(REGEXREPLACE(TRIM(REGEXEXTRACT('AYIRA M"&amp;"INI MART FINAL MENU - Pr'!A11, ""^[^\x{0600}-\x{06FF}]+"")), ""[-–]+$"", """")), """"), GOOGLETRANSLATE('AYIRA MINI MART FINAL MENU - Pr'!A11, ""ar"", ""en"")))"),"Red Bull White Edition Coconut Berry 250ml")</f>
        <v>Red Bull White Edition Coconut Berry 250ml</v>
      </c>
      <c r="B11" s="56" t="str">
        <f>IFERROR(__xludf.DUMMYFUNCTION("IF('AYIRA MINI MART FINAL MENU - Pr'!B11="""", """", IF(LEN(IFERROR(TRIM(REGEXREPLACE(TRIM(REGEXEXTRACT('AYIRA MINI MART FINAL MENU - Pr'!B11, ""^[^\x{0600}-\x{06FF}]+"")), ""[-–]+$"", """")), """"))&gt;0, IFERROR(TRIM(REGEXREPLACE(TRIM(REGEXEXTRACT('AYIRA M"&amp;"INI MART FINAL MENU - Pr'!B11, ""^[^\x{0600}-\x{06FF}]+"")), ""[-–]+$"", """")), """"), GOOGLETRANSLATE('AYIRA MINI MART FINAL MENU - Pr'!B11, ""ar"", ""en"")))"),"Energy &amp; Sports Drinks")</f>
        <v>Energy &amp; Sports Drinks</v>
      </c>
      <c r="C11" s="56">
        <f>IF('AYIRA MINI MART FINAL MENU - Pr'!C11="", "", 'AYIRA MINI MART FINAL MENU - Pr'!C11)</f>
        <v>10</v>
      </c>
      <c r="D11" s="56" t="str">
        <f>IFERROR(__xludf.DUMMYFUNCTION("IF('AYIRA MINI MART FINAL MENU - Pr'!D11="""", """", GOOGLETRANSLATE('AYIRA MINI MART FINAL MENU - Pr'!D11,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1" s="56" t="str">
        <f>IF('AYIRA MINI MART FINAL MENU - Pr'!K11="", "", 'AYIRA MINI MART FINAL MENU - Pr'!K11)</f>
        <v/>
      </c>
      <c r="F11" s="56"/>
      <c r="G11" s="56"/>
      <c r="H11" s="56"/>
      <c r="I11" s="56"/>
      <c r="J11" s="56"/>
      <c r="L11" s="56" t="str">
        <f>IF('AYIRA MINI MART FINAL MENU - Pr'!L11="", "", 'AYIRA MINI MART FINAL MENU - Pr'!L11)</f>
        <v/>
      </c>
      <c r="M11" s="56" t="str">
        <f>IF('AYIRA MINI MART FINAL MENU - Pr'!M11="", "", 'AYIRA MINI MART FINAL MENU - Pr'!M11)</f>
        <v/>
      </c>
      <c r="N11" s="56" t="str">
        <f>IF('AYIRA MINI MART FINAL MENU - Pr'!N11="", "", 'AYIRA MINI MART FINAL MENU - Pr'!N11)</f>
        <v/>
      </c>
      <c r="O11" s="57"/>
      <c r="P11" s="57"/>
      <c r="Q11" s="57"/>
      <c r="R11" s="57"/>
      <c r="S11" s="57"/>
      <c r="T11" s="57"/>
      <c r="U11" s="57"/>
      <c r="V11" s="57"/>
      <c r="W11" s="57"/>
      <c r="X11" s="57"/>
      <c r="Y11" s="57"/>
      <c r="Z11" s="57"/>
    </row>
    <row r="12">
      <c r="A12" s="56" t="str">
        <f>IFERROR(__xludf.DUMMYFUNCTION("IF('AYIRA MINI MART FINAL MENU - Pr'!A12="""", """", IF(LEN(IFERROR(TRIM(REGEXREPLACE(TRIM(REGEXEXTRACT('AYIRA MINI MART FINAL MENU - Pr'!A12, ""^[^\x{0600}-\x{06FF}]+"")), ""[-–]+$"", """")), """"))&gt;0, IFERROR(TRIM(REGEXREPLACE(TRIM(REGEXEXTRACT('AYIRA M"&amp;"INI MART FINAL MENU - Pr'!A12, ""^[^\x{0600}-\x{06FF}]+"")), ""[-–]+$"", """")), """"), GOOGLETRANSLATE('AYIRA MINI MART FINAL MENU - Pr'!A12, ""ar"", ""en"")))"),"Red Bull Energy Drink 250ml")</f>
        <v>Red Bull Energy Drink 250ml</v>
      </c>
      <c r="B12" s="56" t="str">
        <f>IFERROR(__xludf.DUMMYFUNCTION("IF('AYIRA MINI MART FINAL MENU - Pr'!B12="""", """", IF(LEN(IFERROR(TRIM(REGEXREPLACE(TRIM(REGEXEXTRACT('AYIRA MINI MART FINAL MENU - Pr'!B12, ""^[^\x{0600}-\x{06FF}]+"")), ""[-–]+$"", """")), """"))&gt;0, IFERROR(TRIM(REGEXREPLACE(TRIM(REGEXEXTRACT('AYIRA M"&amp;"INI MART FINAL MENU - Pr'!B12, ""^[^\x{0600}-\x{06FF}]+"")), ""[-–]+$"", """")), """"), GOOGLETRANSLATE('AYIRA MINI MART FINAL MENU - Pr'!B12, ""ar"", ""en"")))"),"Energy &amp; Sports Drinks")</f>
        <v>Energy &amp; Sports Drinks</v>
      </c>
      <c r="C12" s="56">
        <f>IF('AYIRA MINI MART FINAL MENU - Pr'!C12="", "", 'AYIRA MINI MART FINAL MENU - Pr'!C12)</f>
        <v>10</v>
      </c>
      <c r="D12" s="56" t="str">
        <f>IFERROR(__xludf.DUMMYFUNCTION("IF('AYIRA MINI MART FINAL MENU - Pr'!D12="""", """", GOOGLETRANSLATE('AYIRA MINI MART FINAL MENU - Pr'!D12,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2" s="56" t="str">
        <f>IF('AYIRA MINI MART FINAL MENU - Pr'!K12="", "", 'AYIRA MINI MART FINAL MENU - Pr'!K12)</f>
        <v/>
      </c>
      <c r="F12" s="56"/>
      <c r="G12" s="56"/>
      <c r="H12" s="56"/>
      <c r="I12" s="56"/>
      <c r="J12" s="56"/>
      <c r="L12" s="56" t="str">
        <f>IF('AYIRA MINI MART FINAL MENU - Pr'!L12="", "", 'AYIRA MINI MART FINAL MENU - Pr'!L12)</f>
        <v/>
      </c>
      <c r="M12" s="56" t="str">
        <f>IF('AYIRA MINI MART FINAL MENU - Pr'!M12="", "", 'AYIRA MINI MART FINAL MENU - Pr'!M12)</f>
        <v/>
      </c>
      <c r="N12" s="56" t="str">
        <f>IF('AYIRA MINI MART FINAL MENU - Pr'!N12="", "", 'AYIRA MINI MART FINAL MENU - Pr'!N12)</f>
        <v/>
      </c>
      <c r="O12" s="57"/>
      <c r="P12" s="57"/>
      <c r="Q12" s="57"/>
      <c r="R12" s="57"/>
      <c r="S12" s="57"/>
      <c r="T12" s="57"/>
      <c r="U12" s="57"/>
      <c r="V12" s="57"/>
      <c r="W12" s="57"/>
      <c r="X12" s="57"/>
      <c r="Y12" s="57"/>
      <c r="Z12" s="57"/>
    </row>
    <row r="13">
      <c r="A13" s="56" t="str">
        <f>IFERROR(__xludf.DUMMYFUNCTION("IF('AYIRA MINI MART FINAL MENU - Pr'!A13="""", """", IF(LEN(IFERROR(TRIM(REGEXREPLACE(TRIM(REGEXEXTRACT('AYIRA MINI MART FINAL MENU - Pr'!A13, ""^[^\x{0600}-\x{06FF}]+"")), ""[-–]+$"", """")), """"))&gt;0, IFERROR(TRIM(REGEXREPLACE(TRIM(REGEXEXTRACT('AYIRA M"&amp;"INI MART FINAL MENU - Pr'!A13, ""^[^\x{0600}-\x{06FF}]+"")), ""[-–]+$"", """")), """"), GOOGLETRANSLATE('AYIRA MINI MART FINAL MENU - Pr'!A13, ""ar"", ""en"")))"),"Coca-Cola Sleek Can 330ml")</f>
        <v>Coca-Cola Sleek Can 330ml</v>
      </c>
      <c r="B13" s="56" t="str">
        <f>IFERROR(__xludf.DUMMYFUNCTION("IF('AYIRA MINI MART FINAL MENU - Pr'!B13="""", """", IF(LEN(IFERROR(TRIM(REGEXREPLACE(TRIM(REGEXEXTRACT('AYIRA MINI MART FINAL MENU - Pr'!B13, ""^[^\x{0600}-\x{06FF}]+"")), ""[-–]+$"", """")), """"))&gt;0, IFERROR(TRIM(REGEXREPLACE(TRIM(REGEXEXTRACT('AYIRA M"&amp;"INI MART FINAL MENU - Pr'!B13, ""^[^\x{0600}-\x{06FF}]+"")), ""[-–]+$"", """")), """"), GOOGLETRANSLATE('AYIRA MINI MART FINAL MENU - Pr'!B13, ""ar"", ""en"")))"),"Carbonated Soft Drinks")</f>
        <v>Carbonated Soft Drinks</v>
      </c>
      <c r="C13" s="56">
        <f>IF('AYIRA MINI MART FINAL MENU - Pr'!C13="", "", 'AYIRA MINI MART FINAL MENU - Pr'!C13)</f>
        <v>2.5</v>
      </c>
      <c r="D13" s="56" t="str">
        <f>IFERROR(__xludf.DUMMYFUNCTION("IF('AYIRA MINI MART FINAL MENU - Pr'!D13="""", """", GOOGLETRANSLATE('AYIRA MINI MART FINAL MENU - Pr'!D13, ""ar"", ""en""))"),"Enjoy Coca-Cola, the refreshing soft drink that gives you energy and vitality with every sip. Its great taste and unique formula make it the perfect choice to quench your thirst anytime. Ideal for parties, family gatherings, and various occasions. It cont"&amp;"ains distinctive flavors that make every sip an unforgettable experience. Get it now from Aira Mini Mart at the best prices and highest quality. Our premium drink provides instant refreshment and satisfies your discerning palate whenever you need hydratio"&amp;"n.")</f>
        <v>Enjoy Coca-Cola, the refreshing soft drink that gives you energy and vitality with every sip.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instant refreshment and satisfies your discerning palate whenever you need hydration.</v>
      </c>
      <c r="E13" s="56" t="str">
        <f>IF('AYIRA MINI MART FINAL MENU - Pr'!K13="", "", 'AYIRA MINI MART FINAL MENU - Pr'!K13)</f>
        <v/>
      </c>
      <c r="F13" s="56"/>
      <c r="G13" s="56"/>
      <c r="H13" s="56"/>
      <c r="I13" s="56"/>
      <c r="J13" s="56"/>
      <c r="L13" s="56" t="str">
        <f>IF('AYIRA MINI MART FINAL MENU - Pr'!L13="", "", 'AYIRA MINI MART FINAL MENU - Pr'!L13)</f>
        <v/>
      </c>
      <c r="M13" s="56" t="str">
        <f>IF('AYIRA MINI MART FINAL MENU - Pr'!M13="", "", 'AYIRA MINI MART FINAL MENU - Pr'!M13)</f>
        <v/>
      </c>
      <c r="N13" s="56" t="str">
        <f>IF('AYIRA MINI MART FINAL MENU - Pr'!N13="", "", 'AYIRA MINI MART FINAL MENU - Pr'!N13)</f>
        <v/>
      </c>
      <c r="O13" s="57"/>
      <c r="P13" s="57"/>
      <c r="Q13" s="57"/>
      <c r="R13" s="57"/>
      <c r="S13" s="57"/>
      <c r="T13" s="57"/>
      <c r="U13" s="57"/>
      <c r="V13" s="57"/>
      <c r="W13" s="57"/>
      <c r="X13" s="57"/>
      <c r="Y13" s="57"/>
      <c r="Z13" s="57"/>
    </row>
    <row r="14">
      <c r="A14" s="56" t="str">
        <f>IFERROR(__xludf.DUMMYFUNCTION("IF('AYIRA MINI MART FINAL MENU - Pr'!A14="""", """", IF(LEN(IFERROR(TRIM(REGEXREPLACE(TRIM(REGEXEXTRACT('AYIRA MINI MART FINAL MENU - Pr'!A14, ""^[^\x{0600}-\x{06FF}]+"")), ""[-–]+$"", """")), """"))&gt;0, IFERROR(TRIM(REGEXREPLACE(TRIM(REGEXEXTRACT('AYIRA M"&amp;"INI MART FINAL MENU - Pr'!A14, ""^[^\x{0600}-\x{06FF}]+"")), ""[-–]+$"", """")), """"), GOOGLETRANSLATE('AYIRA MINI MART FINAL MENU - Pr'!A14, ""ar"", ""en"")))"),"7Up 150ml")</f>
        <v>7Up 150ml</v>
      </c>
      <c r="B14" s="56" t="str">
        <f>IFERROR(__xludf.DUMMYFUNCTION("IF('AYIRA MINI MART FINAL MENU - Pr'!B14="""", """", IF(LEN(IFERROR(TRIM(REGEXREPLACE(TRIM(REGEXEXTRACT('AYIRA MINI MART FINAL MENU - Pr'!B14, ""^[^\x{0600}-\x{06FF}]+"")), ""[-–]+$"", """")), """"))&gt;0, IFERROR(TRIM(REGEXREPLACE(TRIM(REGEXEXTRACT('AYIRA M"&amp;"INI MART FINAL MENU - Pr'!B14, ""^[^\x{0600}-\x{06FF}]+"")), ""[-–]+$"", """")), """"), GOOGLETRANSLATE('AYIRA MINI MART FINAL MENU - Pr'!B14, ""ar"", ""en"")))"),"Carbonated Soft Drinks")</f>
        <v>Carbonated Soft Drinks</v>
      </c>
      <c r="C14" s="56">
        <f>IF('AYIRA MINI MART FINAL MENU - Pr'!C14="", "", 'AYIRA MINI MART FINAL MENU - Pr'!C14)</f>
        <v>2</v>
      </c>
      <c r="D14" s="56" t="str">
        <f>IFERROR(__xludf.DUMMYFUNCTION("IF('AYIRA MINI MART FINAL MENU - Pr'!D14="""", """", GOOGLETRANSLATE('AYIRA MINI MART FINAL MENU - Pr'!D14, ""ar"", ""en""))"),"Enjoy 7UP,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7UP,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4" s="56" t="str">
        <f>IF('AYIRA MINI MART FINAL MENU - Pr'!K14="", "", 'AYIRA MINI MART FINAL MENU - Pr'!K14)</f>
        <v/>
      </c>
      <c r="F14" s="56"/>
      <c r="G14" s="56"/>
      <c r="H14" s="56"/>
      <c r="I14" s="56"/>
      <c r="J14" s="56"/>
      <c r="L14" s="56" t="str">
        <f>IF('AYIRA MINI MART FINAL MENU - Pr'!L14="", "", 'AYIRA MINI MART FINAL MENU - Pr'!L14)</f>
        <v/>
      </c>
      <c r="M14" s="56" t="str">
        <f>IF('AYIRA MINI MART FINAL MENU - Pr'!M14="", "", 'AYIRA MINI MART FINAL MENU - Pr'!M14)</f>
        <v/>
      </c>
      <c r="N14" s="56" t="str">
        <f>IF('AYIRA MINI MART FINAL MENU - Pr'!N14="", "", 'AYIRA MINI MART FINAL MENU - Pr'!N14)</f>
        <v/>
      </c>
      <c r="O14" s="57"/>
      <c r="P14" s="57"/>
      <c r="Q14" s="57"/>
      <c r="R14" s="57"/>
      <c r="S14" s="57"/>
      <c r="T14" s="57"/>
      <c r="U14" s="57"/>
      <c r="V14" s="57"/>
      <c r="W14" s="57"/>
      <c r="X14" s="57"/>
      <c r="Y14" s="57"/>
      <c r="Z14" s="57"/>
    </row>
    <row r="15">
      <c r="A15" s="56" t="str">
        <f>IFERROR(__xludf.DUMMYFUNCTION("IF('AYIRA MINI MART FINAL MENU - Pr'!A15="""", """", IF(LEN(IFERROR(TRIM(REGEXREPLACE(TRIM(REGEXEXTRACT('AYIRA MINI MART FINAL MENU - Pr'!A15, ""^[^\x{0600}-\x{06FF}]+"")), ""[-–]+$"", """")), """"))&gt;0, IFERROR(TRIM(REGEXREPLACE(TRIM(REGEXEXTRACT('AYIRA M"&amp;"INI MART FINAL MENU - Pr'!A15, ""^[^\x{0600}-\x{06FF}]+"")), ""[-–]+$"", """")), """"), GOOGLETRANSLATE('AYIRA MINI MART FINAL MENU - Pr'!A15, ""ar"", ""en"")))"),"Mirinda Citrus 330ml")</f>
        <v>Mirinda Citrus 330ml</v>
      </c>
      <c r="B15" s="56" t="str">
        <f>IFERROR(__xludf.DUMMYFUNCTION("IF('AYIRA MINI MART FINAL MENU - Pr'!B15="""", """", IF(LEN(IFERROR(TRIM(REGEXREPLACE(TRIM(REGEXEXTRACT('AYIRA MINI MART FINAL MENU - Pr'!B15, ""^[^\x{0600}-\x{06FF}]+"")), ""[-–]+$"", """")), """"))&gt;0, IFERROR(TRIM(REGEXREPLACE(TRIM(REGEXEXTRACT('AYIRA M"&amp;"INI MART FINAL MENU - Pr'!B15, ""^[^\x{0600}-\x{06FF}]+"")), ""[-–]+$"", """")), """"), GOOGLETRANSLATE('AYIRA MINI MART FINAL MENU - Pr'!B15, ""ar"", ""en"")))"),"Carbonated Soft Drinks")</f>
        <v>Carbonated Soft Drinks</v>
      </c>
      <c r="C15" s="56">
        <f>IF('AYIRA MINI MART FINAL MENU - Pr'!C15="", "", 'AYIRA MINI MART FINAL MENU - Pr'!C15)</f>
        <v>2.5</v>
      </c>
      <c r="D15" s="56" t="str">
        <f>IFERROR(__xludf.DUMMYFUNCTION("IF('AYIRA MINI MART FINAL MENU - Pr'!D15="""", """", GOOGLETRANSLATE('AYIRA MINI MART FINAL MENU - Pr'!D15, ""ar"", ""en""))"),"Enjoy Miranda, the refreshing soft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Miranda,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5" s="56" t="str">
        <f>IF('AYIRA MINI MART FINAL MENU - Pr'!K15="", "", 'AYIRA MINI MART FINAL MENU - Pr'!K15)</f>
        <v/>
      </c>
      <c r="F15" s="56"/>
      <c r="G15" s="56"/>
      <c r="H15" s="56"/>
      <c r="I15" s="56"/>
      <c r="J15" s="56"/>
      <c r="L15" s="56" t="str">
        <f>IF('AYIRA MINI MART FINAL MENU - Pr'!L15="", "", 'AYIRA MINI MART FINAL MENU - Pr'!L15)</f>
        <v/>
      </c>
      <c r="M15" s="56" t="str">
        <f>IF('AYIRA MINI MART FINAL MENU - Pr'!M15="", "", 'AYIRA MINI MART FINAL MENU - Pr'!M15)</f>
        <v/>
      </c>
      <c r="N15" s="56" t="str">
        <f>IF('AYIRA MINI MART FINAL MENU - Pr'!N15="", "", 'AYIRA MINI MART FINAL MENU - Pr'!N15)</f>
        <v/>
      </c>
      <c r="O15" s="57"/>
      <c r="P15" s="57"/>
      <c r="Q15" s="57"/>
      <c r="R15" s="57"/>
      <c r="S15" s="57"/>
      <c r="T15" s="57"/>
      <c r="U15" s="57"/>
      <c r="V15" s="57"/>
      <c r="W15" s="57"/>
      <c r="X15" s="57"/>
      <c r="Y15" s="57"/>
      <c r="Z15" s="57"/>
    </row>
    <row r="16">
      <c r="A16" s="56" t="str">
        <f>IFERROR(__xludf.DUMMYFUNCTION("IF('AYIRA MINI MART FINAL MENU - Pr'!A16="""", """", IF(LEN(IFERROR(TRIM(REGEXREPLACE(TRIM(REGEXEXTRACT('AYIRA MINI MART FINAL MENU - Pr'!A16, ""^[^\x{0600}-\x{06FF}]+"")), ""[-–]+$"", """")), """"))&gt;0, IFERROR(TRIM(REGEXREPLACE(TRIM(REGEXEXTRACT('AYIRA M"&amp;"INI MART FINAL MENU - Pr'!A16, ""^[^\x{0600}-\x{06FF}]+"")), ""[-–]+$"", """")), """"), GOOGLETRANSLATE('AYIRA MINI MART FINAL MENU - Pr'!A16, ""ar"", ""en"")))"),"Mirinda Apple 330ml")</f>
        <v>Mirinda Apple 330ml</v>
      </c>
      <c r="B16" s="56" t="str">
        <f>IFERROR(__xludf.DUMMYFUNCTION("IF('AYIRA MINI MART FINAL MENU - Pr'!B16="""", """", IF(LEN(IFERROR(TRIM(REGEXREPLACE(TRIM(REGEXEXTRACT('AYIRA MINI MART FINAL MENU - Pr'!B16, ""^[^\x{0600}-\x{06FF}]+"")), ""[-–]+$"", """")), """"))&gt;0, IFERROR(TRIM(REGEXREPLACE(TRIM(REGEXEXTRACT('AYIRA M"&amp;"INI MART FINAL MENU - Pr'!B16, ""^[^\x{0600}-\x{06FF}]+"")), ""[-–]+$"", """")), """"), GOOGLETRANSLATE('AYIRA MINI MART FINAL MENU - Pr'!B16, ""ar"", ""en"")))"),"Carbonated Soft Drinks")</f>
        <v>Carbonated Soft Drinks</v>
      </c>
      <c r="C16" s="56">
        <f>IF('AYIRA MINI MART FINAL MENU - Pr'!C16="", "", 'AYIRA MINI MART FINAL MENU - Pr'!C16)</f>
        <v>2.5</v>
      </c>
      <c r="D16" s="56" t="str">
        <f>IFERROR(__xludf.DUMMYFUNCTION("IF('AYIRA MINI MART FINAL MENU - Pr'!D16="""", """", GOOGLETRANSLATE('AYIRA MINI MART FINAL MENU - Pr'!D16, ""ar"", ""en""))"),"Enjoy Miranda, the refreshing soft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Miranda,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6" s="56" t="str">
        <f>IF('AYIRA MINI MART FINAL MENU - Pr'!K16="", "", 'AYIRA MINI MART FINAL MENU - Pr'!K16)</f>
        <v/>
      </c>
      <c r="F16" s="56"/>
      <c r="G16" s="56"/>
      <c r="H16" s="56"/>
      <c r="I16" s="56"/>
      <c r="J16" s="56"/>
      <c r="L16" s="56" t="str">
        <f>IF('AYIRA MINI MART FINAL MENU - Pr'!L16="", "", 'AYIRA MINI MART FINAL MENU - Pr'!L16)</f>
        <v/>
      </c>
      <c r="M16" s="56" t="str">
        <f>IF('AYIRA MINI MART FINAL MENU - Pr'!M16="", "", 'AYIRA MINI MART FINAL MENU - Pr'!M16)</f>
        <v/>
      </c>
      <c r="N16" s="56" t="str">
        <f>IF('AYIRA MINI MART FINAL MENU - Pr'!N16="", "", 'AYIRA MINI MART FINAL MENU - Pr'!N16)</f>
        <v/>
      </c>
      <c r="O16" s="57"/>
      <c r="P16" s="57"/>
      <c r="Q16" s="57"/>
      <c r="R16" s="57"/>
      <c r="S16" s="57"/>
      <c r="T16" s="57"/>
      <c r="U16" s="57"/>
      <c r="V16" s="57"/>
      <c r="W16" s="57"/>
      <c r="X16" s="57"/>
      <c r="Y16" s="57"/>
      <c r="Z16" s="57"/>
    </row>
    <row r="17">
      <c r="A17" s="56" t="str">
        <f>IFERROR(__xludf.DUMMYFUNCTION("IF('AYIRA MINI MART FINAL MENU - Pr'!A17="""", """", IF(LEN(IFERROR(TRIM(REGEXREPLACE(TRIM(REGEXEXTRACT('AYIRA MINI MART FINAL MENU - Pr'!A17, ""^[^\x{0600}-\x{06FF}]+"")), ""[-–]+$"", """")), """"))&gt;0, IFERROR(TRIM(REGEXREPLACE(TRIM(REGEXEXTRACT('AYIRA M"&amp;"INI MART FINAL MENU - Pr'!A17, ""^[^\x{0600}-\x{06FF}]+"")), ""[-–]+$"", """")), """"), GOOGLETRANSLATE('AYIRA MINI MART FINAL MENU - Pr'!A17, ""ar"", ""en"")))"),"Double Up Fresh Breeze Mojito 350ml")</f>
        <v>Double Up Fresh Breeze Mojito 350ml</v>
      </c>
      <c r="B17" s="56" t="str">
        <f>IFERROR(__xludf.DUMMYFUNCTION("IF('AYIRA MINI MART FINAL MENU - Pr'!B17="""", """", IF(LEN(IFERROR(TRIM(REGEXREPLACE(TRIM(REGEXEXTRACT('AYIRA MINI MART FINAL MENU - Pr'!B17, ""^[^\x{0600}-\x{06FF}]+"")), ""[-–]+$"", """")), """"))&gt;0, IFERROR(TRIM(REGEXREPLACE(TRIM(REGEXEXTRACT('AYIRA M"&amp;"INI MART FINAL MENU - Pr'!B17, ""^[^\x{0600}-\x{06FF}]+"")), ""[-–]+$"", """")), """"), GOOGLETRANSLATE('AYIRA MINI MART FINAL MENU - Pr'!B17, ""ar"", ""en"")))"),"Carbonated Soft Drinks")</f>
        <v>Carbonated Soft Drinks</v>
      </c>
      <c r="C17" s="56">
        <f>IF('AYIRA MINI MART FINAL MENU - Pr'!C17="", "", 'AYIRA MINI MART FINAL MENU - Pr'!C17)</f>
        <v>3.5</v>
      </c>
      <c r="D17" s="56" t="str">
        <f>IFERROR(__xludf.DUMMYFUNCTION("IF('AYIRA MINI MART FINAL MENU - Pr'!D17="""", """", GOOGLETRANSLATE('AYIRA MINI MART FINAL MENU - Pr'!D17, ""ar"", ""en""))"),"Enjoy Double Up, the refreshing soft drink that gives you energy and vitality with every drop. Its delicious taste and unique formula make it the perfect choice to quench your thirst anytime. Ideal for parties, family gatherings, and various occasions. It"&amp;" boasts distinctive flavors that make every sip an unforgettable experience. Get it now from Aira Mini Mart at the best prices and highest quality. Our premium drink provides instant refreshment and satisfies your discerning palate whenever you need hydra"&amp;"tion.")</f>
        <v>Enjoy Double Up,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7" s="56" t="str">
        <f>IF('AYIRA MINI MART FINAL MENU - Pr'!K17="", "", 'AYIRA MINI MART FINAL MENU - Pr'!K17)</f>
        <v/>
      </c>
      <c r="F17" s="56"/>
      <c r="G17" s="56"/>
      <c r="H17" s="56"/>
      <c r="I17" s="56"/>
      <c r="J17" s="56"/>
      <c r="L17" s="56" t="str">
        <f>IF('AYIRA MINI MART FINAL MENU - Pr'!L17="", "", 'AYIRA MINI MART FINAL MENU - Pr'!L17)</f>
        <v/>
      </c>
      <c r="M17" s="56" t="str">
        <f>IF('AYIRA MINI MART FINAL MENU - Pr'!M17="", "", 'AYIRA MINI MART FINAL MENU - Pr'!M17)</f>
        <v/>
      </c>
      <c r="N17" s="56" t="str">
        <f>IF('AYIRA MINI MART FINAL MENU - Pr'!N17="", "", 'AYIRA MINI MART FINAL MENU - Pr'!N17)</f>
        <v/>
      </c>
      <c r="O17" s="57"/>
      <c r="P17" s="57"/>
      <c r="Q17" s="57"/>
      <c r="R17" s="57"/>
      <c r="S17" s="57"/>
      <c r="T17" s="57"/>
      <c r="U17" s="57"/>
      <c r="V17" s="57"/>
      <c r="W17" s="57"/>
      <c r="X17" s="57"/>
      <c r="Y17" s="57"/>
      <c r="Z17" s="57"/>
    </row>
    <row r="18">
      <c r="A18" s="56" t="str">
        <f>IFERROR(__xludf.DUMMYFUNCTION("IF('AYIRA MINI MART FINAL MENU - Pr'!A18="""", """", IF(LEN(IFERROR(TRIM(REGEXREPLACE(TRIM(REGEXEXTRACT('AYIRA MINI MART FINAL MENU - Pr'!A18, ""^[^\x{0600}-\x{06FF}]+"")), ""[-–]+$"", """")), """"))&gt;0, IFERROR(TRIM(REGEXREPLACE(TRIM(REGEXEXTRACT('AYIRA M"&amp;"INI MART FINAL MENU - Pr'!A18, ""^[^\x{0600}-\x{06FF}]+"")), ""[-–]+$"", """")), """"), GOOGLETRANSLATE('AYIRA MINI MART FINAL MENU - Pr'!A18, ""ar"", ""en"")))"),"Double Up Fresh Breeze Red Apple 350ml")</f>
        <v>Double Up Fresh Breeze Red Apple 350ml</v>
      </c>
      <c r="B18" s="56" t="str">
        <f>IFERROR(__xludf.DUMMYFUNCTION("IF('AYIRA MINI MART FINAL MENU - Pr'!B18="""", """", IF(LEN(IFERROR(TRIM(REGEXREPLACE(TRIM(REGEXEXTRACT('AYIRA MINI MART FINAL MENU - Pr'!B18, ""^[^\x{0600}-\x{06FF}]+"")), ""[-–]+$"", """")), """"))&gt;0, IFERROR(TRIM(REGEXREPLACE(TRIM(REGEXEXTRACT('AYIRA M"&amp;"INI MART FINAL MENU - Pr'!B18, ""^[^\x{0600}-\x{06FF}]+"")), ""[-–]+$"", """")), """"), GOOGLETRANSLATE('AYIRA MINI MART FINAL MENU - Pr'!B18, ""ar"", ""en"")))"),"CARbonated Soft Drinks")</f>
        <v>CARbonated Soft Drinks</v>
      </c>
      <c r="C18" s="56">
        <f>IF('AYIRA MINI MART FINAL MENU - Pr'!C18="", "", 'AYIRA MINI MART FINAL MENU - Pr'!C18)</f>
        <v>3.5</v>
      </c>
      <c r="D18" s="56" t="str">
        <f>IFERROR(__xludf.DUMMYFUNCTION("IF('AYIRA MINI MART FINAL MENU - Pr'!D18="""", """", GOOGLETRANSLATE('AYIRA MINI MART FINAL MENU - Pr'!D18, ""ar"", ""en""))"),"Enjoy Double Up, the refreshing soft drink that gives you energy and vitality with every drop. Its delicious taste and unique formula make it the perfect choice to quench your thirst anytime. Ideal for parties, family gatherings, and various occasions. It"&amp;" boasts distinctive flavors that make every sip an unforgettable experience. Get it now from Aira Mini Mart at the best prices and highest quality. Our premium drink provides instant refreshment and satisfies your discerning palate whenever you need hydra"&amp;"tion.")</f>
        <v>Enjoy Double Up,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8" s="56" t="str">
        <f>IF('AYIRA MINI MART FINAL MENU - Pr'!K18="", "", 'AYIRA MINI MART FINAL MENU - Pr'!K18)</f>
        <v/>
      </c>
      <c r="F18" s="56"/>
      <c r="G18" s="56"/>
      <c r="H18" s="56"/>
      <c r="I18" s="56"/>
      <c r="J18" s="56"/>
      <c r="L18" s="56" t="str">
        <f>IF('AYIRA MINI MART FINAL MENU - Pr'!L18="", "", 'AYIRA MINI MART FINAL MENU - Pr'!L18)</f>
        <v/>
      </c>
      <c r="M18" s="56" t="str">
        <f>IF('AYIRA MINI MART FINAL MENU - Pr'!M18="", "", 'AYIRA MINI MART FINAL MENU - Pr'!M18)</f>
        <v/>
      </c>
      <c r="N18" s="56" t="str">
        <f>IF('AYIRA MINI MART FINAL MENU - Pr'!N18="", "", 'AYIRA MINI MART FINAL MENU - Pr'!N18)</f>
        <v/>
      </c>
      <c r="O18" s="57"/>
      <c r="P18" s="57"/>
      <c r="Q18" s="57"/>
      <c r="R18" s="57"/>
      <c r="S18" s="57"/>
      <c r="T18" s="57"/>
      <c r="U18" s="57"/>
      <c r="V18" s="57"/>
      <c r="W18" s="57"/>
      <c r="X18" s="57"/>
      <c r="Y18" s="57"/>
      <c r="Z18" s="57"/>
    </row>
    <row r="19">
      <c r="A19" s="56" t="str">
        <f>IFERROR(__xludf.DUMMYFUNCTION("IF('AYIRA MINI MART FINAL MENU - Pr'!A19="""", """", IF(LEN(IFERROR(TRIM(REGEXREPLACE(TRIM(REGEXEXTRACT('AYIRA MINI MART FINAL MENU - Pr'!A19, ""^[^\x{0600}-\x{06FF}]+"")), ""[-–]+$"", """")), """"))&gt;0, IFERROR(TRIM(REGEXREPLACE(TRIM(REGEXEXTRACT('AYIRA M"&amp;"INI MART FINAL MENU - Pr'!A19, ""^[^\x{0600}-\x{06FF}]+"")), ""[-–]+$"", """")), """"), GOOGLETRANSLATE('AYIRA MINI MART FINAL MENU - Pr'!A19, ""ar"", ""en"")))"),"RAYYAN Natural Water 330ml × 12")</f>
        <v>RAYYAN Natural Water 330ml × 12</v>
      </c>
      <c r="B19" s="56" t="str">
        <f>IFERROR(__xludf.DUMMYFUNCTION("IF('AYIRA MINI MART FINAL MENU - Pr'!B19="""", """", IF(LEN(IFERROR(TRIM(REGEXREPLACE(TRIM(REGEXEXTRACT('AYIRA MINI MART FINAL MENU - Pr'!B19, ""^[^\x{0600}-\x{06FF}]+"")), ""[-–]+$"", """")), """"))&gt;0, IFERROR(TRIM(REGEXREPLACE(TRIM(REGEXEXTRACT('AYIRA M"&amp;"INI MART FINAL MENU - Pr'!B19, ""^[^\x{0600}-\x{06FF}]+"")), ""[-–]+$"", """")), """"), GOOGLETRANSLATE('AYIRA MINI MART FINAL MENU - Pr'!B19, ""ar"", ""en"")))"),"Water")</f>
        <v>Water</v>
      </c>
      <c r="C19" s="56">
        <f>IF('AYIRA MINI MART FINAL MENU - Pr'!C19="", "", 'AYIRA MINI MART FINAL MENU - Pr'!C19)</f>
        <v>8</v>
      </c>
      <c r="D19" s="56" t="str">
        <f>IFERROR(__xludf.DUMMYFUNCTION("IF('AYIRA MINI MART FINAL MENU - Pr'!D19="""", """", GOOGLETRANSLATE('AYIRA MINI MART FINAL MENU - Pr'!D19, ""ar"", ""en""))"),"Drink Rayan,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Rayan,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19" s="56" t="str">
        <f>IF('AYIRA MINI MART FINAL MENU - Pr'!K19="", "", 'AYIRA MINI MART FINAL MENU - Pr'!K19)</f>
        <v/>
      </c>
      <c r="F19" s="56"/>
      <c r="G19" s="56"/>
      <c r="H19" s="56"/>
      <c r="I19" s="56"/>
      <c r="J19" s="56"/>
      <c r="L19" s="56" t="str">
        <f>IF('AYIRA MINI MART FINAL MENU - Pr'!L19="", "", 'AYIRA MINI MART FINAL MENU - Pr'!L19)</f>
        <v/>
      </c>
      <c r="M19" s="56" t="str">
        <f>IF('AYIRA MINI MART FINAL MENU - Pr'!M19="", "", 'AYIRA MINI MART FINAL MENU - Pr'!M19)</f>
        <v/>
      </c>
      <c r="N19" s="56" t="str">
        <f>IF('AYIRA MINI MART FINAL MENU - Pr'!N19="", "", 'AYIRA MINI MART FINAL MENU - Pr'!N19)</f>
        <v/>
      </c>
      <c r="O19" s="57"/>
      <c r="P19" s="57"/>
      <c r="Q19" s="57"/>
      <c r="R19" s="57"/>
      <c r="S19" s="57"/>
      <c r="T19" s="57"/>
      <c r="U19" s="57"/>
      <c r="V19" s="57"/>
      <c r="W19" s="57"/>
      <c r="X19" s="57"/>
      <c r="Y19" s="57"/>
      <c r="Z19" s="57"/>
    </row>
    <row r="20">
      <c r="A20" s="56" t="str">
        <f>IFERROR(__xludf.DUMMYFUNCTION("IF('AYIRA MINI MART FINAL MENU - Pr'!A20="""", """", IF(LEN(IFERROR(TRIM(REGEXREPLACE(TRIM(REGEXEXTRACT('AYIRA MINI MART FINAL MENU - Pr'!A20, ""^[^\x{0600}-\x{06FF}]+"")), ""[-–]+$"", """")), """"))&gt;0, IFERROR(TRIM(REGEXREPLACE(TRIM(REGEXEXTRACT('AYIRA M"&amp;"INI MART FINAL MENU - Pr'!A20, ""^[^\x{0600}-\x{06FF}]+"")), ""[-–]+$"", """")), """"), GOOGLETRANSLATE('AYIRA MINI MART FINAL MENU - Pr'!A20, ""ar"", ""en"")))"),"Rayyan Natural Water 1.5L x 6")</f>
        <v>Rayyan Natural Water 1.5L x 6</v>
      </c>
      <c r="B20" s="56" t="str">
        <f>IFERROR(__xludf.DUMMYFUNCTION("IF('AYIRA MINI MART FINAL MENU - Pr'!B20="""", """", IF(LEN(IFERROR(TRIM(REGEXREPLACE(TRIM(REGEXEXTRACT('AYIRA MINI MART FINAL MENU - Pr'!B20, ""^[^\x{0600}-\x{06FF}]+"")), ""[-–]+$"", """")), """"))&gt;0, IFERROR(TRIM(REGEXREPLACE(TRIM(REGEXEXTRACT('AYIRA M"&amp;"INI MART FINAL MENU - Pr'!B20, ""^[^\x{0600}-\x{06FF}]+"")), ""[-–]+$"", """")), """"), GOOGLETRANSLATE('AYIRA MINI MART FINAL MENU - Pr'!B20, ""ar"", ""en"")))"),"Water")</f>
        <v>Water</v>
      </c>
      <c r="C20" s="56">
        <f>IF('AYIRA MINI MART FINAL MENU - Pr'!C20="", "", 'AYIRA MINI MART FINAL MENU - Pr'!C20)</f>
        <v>7</v>
      </c>
      <c r="D20" s="56" t="str">
        <f>IFERROR(__xludf.DUMMYFUNCTION("IF('AYIRA MINI MART FINAL MENU - Pr'!D20="""", """", GOOGLETRANSLATE('AYIRA MINI MART FINAL MENU - Pr'!D20, ""ar"", ""en""))"),"Drink Rayan,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Rayan,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20" s="56" t="str">
        <f>IF('AYIRA MINI MART FINAL MENU - Pr'!K20="", "", 'AYIRA MINI MART FINAL MENU - Pr'!K20)</f>
        <v/>
      </c>
      <c r="F20" s="56"/>
      <c r="G20" s="56"/>
      <c r="H20" s="56"/>
      <c r="I20" s="56"/>
      <c r="J20" s="56"/>
      <c r="L20" s="56" t="str">
        <f>IF('AYIRA MINI MART FINAL MENU - Pr'!L20="", "", 'AYIRA MINI MART FINAL MENU - Pr'!L20)</f>
        <v/>
      </c>
      <c r="M20" s="56" t="str">
        <f>IF('AYIRA MINI MART FINAL MENU - Pr'!M20="", "", 'AYIRA MINI MART FINAL MENU - Pr'!M20)</f>
        <v/>
      </c>
      <c r="N20" s="56" t="str">
        <f>IF('AYIRA MINI MART FINAL MENU - Pr'!N20="", "", 'AYIRA MINI MART FINAL MENU - Pr'!N20)</f>
        <v/>
      </c>
      <c r="O20" s="57"/>
      <c r="P20" s="57"/>
      <c r="Q20" s="57"/>
      <c r="R20" s="57"/>
      <c r="S20" s="57"/>
      <c r="T20" s="57"/>
      <c r="U20" s="57"/>
      <c r="V20" s="57"/>
      <c r="W20" s="57"/>
      <c r="X20" s="57"/>
      <c r="Y20" s="57"/>
      <c r="Z20" s="57"/>
    </row>
    <row r="21">
      <c r="A21" s="56" t="str">
        <f>IFERROR(__xludf.DUMMYFUNCTION("IF('AYIRA MINI MART FINAL MENU - Pr'!A21="""", """", IF(LEN(IFERROR(TRIM(REGEXREPLACE(TRIM(REGEXEXTRACT('AYIRA MINI MART FINAL MENU - Pr'!A21, ""^[^\x{0600}-\x{06FF}]+"")), ""[-–]+$"", """")), """"))&gt;0, IFERROR(TRIM(REGEXREPLACE(TRIM(REGEXEXTRACT('AYIRA M"&amp;"INI MART FINAL MENU - Pr'!A21, ""^[^\x{0600}-\x{06FF}]+"")), ""[-–]+$"", """")), """"), GOOGLETRANSLATE('AYIRA MINI MART FINAL MENU - Pr'!A21, ""ar"", ""en"")))"),"Qatar Oasis Natural Water 1.5L x 6")</f>
        <v>Qatar Oasis Natural Water 1.5L x 6</v>
      </c>
      <c r="B21" s="56" t="str">
        <f>IFERROR(__xludf.DUMMYFUNCTION("IF('AYIRA MINI MART FINAL MENU - Pr'!B21="""", """", IF(LEN(IFERROR(TRIM(REGEXREPLACE(TRIM(REGEXEXTRACT('AYIRA MINI MART FINAL MENU - Pr'!B21, ""^[^\x{0600}-\x{06FF}]+"")), ""[-–]+$"", """")), """"))&gt;0, IFERROR(TRIM(REGEXREPLACE(TRIM(REGEXEXTRACT('AYIRA M"&amp;"INI MART FINAL MENU - Pr'!B21, ""^[^\x{0600}-\x{06FF}]+"")), ""[-–]+$"", """")), """"), GOOGLETRANSLATE('AYIRA MINI MART FINAL MENU - Pr'!B21, ""ar"", ""en"")))"),"Water")</f>
        <v>Water</v>
      </c>
      <c r="C21" s="56">
        <f>IF('AYIRA MINI MART FINAL MENU - Pr'!C21="", "", 'AYIRA MINI MART FINAL MENU - Pr'!C21)</f>
        <v>6</v>
      </c>
      <c r="D21" s="56" t="str">
        <f>IFERROR(__xludf.DUMMYFUNCTION("IF('AYIRA MINI MART FINAL MENU - Pr'!D21="""", """", GOOGLETRANSLATE('AYIRA MINI MART FINAL MENU - Pr'!D21, ""ar"", ""en""))"),"Drink Qatar Oasis Natural Water 1.5L x 6 – pure water that restores your body's natural balance. Extracted from the purest natural sources and bottled to the highest standards of quality and hygiene to ensure it reaches you in perfect condition. Proper hy"&amp;"dration is essential for a good life, and choosing this water reflects your commitment to your health. Make sure to drink enough water daily to maintain your energy and vitality. Aira Mini Mart offers this premium water at competitive prices.")</f>
        <v>Drink Qatar Oasis Natural Water 1.5L x 6 – pure water that restores your body's natural balance. Extracted from the purest natural sources and bottled to the highest standards of quality and hygiene to ensure it reaches you in perfect condition. Proper hydration is essential for a good life, and choosing this water reflects your commitment to your health. Make sure to drink enough water daily to maintain your energy and vitality. Aira Mini Mart offers this premium water at competitive prices.</v>
      </c>
      <c r="E21" s="56" t="str">
        <f>IF('AYIRA MINI MART FINAL MENU - Pr'!K21="", "", 'AYIRA MINI MART FINAL MENU - Pr'!K21)</f>
        <v/>
      </c>
      <c r="F21" s="56"/>
      <c r="G21" s="56"/>
      <c r="H21" s="56"/>
      <c r="I21" s="56"/>
      <c r="J21" s="56"/>
      <c r="L21" s="56" t="str">
        <f>IF('AYIRA MINI MART FINAL MENU - Pr'!L21="", "", 'AYIRA MINI MART FINAL MENU - Pr'!L21)</f>
        <v/>
      </c>
      <c r="M21" s="56" t="str">
        <f>IF('AYIRA MINI MART FINAL MENU - Pr'!M21="", "", 'AYIRA MINI MART FINAL MENU - Pr'!M21)</f>
        <v/>
      </c>
      <c r="N21" s="56" t="str">
        <f>IF('AYIRA MINI MART FINAL MENU - Pr'!N21="", "", 'AYIRA MINI MART FINAL MENU - Pr'!N21)</f>
        <v/>
      </c>
      <c r="O21" s="57"/>
      <c r="P21" s="57"/>
      <c r="Q21" s="57"/>
      <c r="R21" s="57"/>
      <c r="S21" s="57"/>
      <c r="T21" s="57"/>
      <c r="U21" s="57"/>
      <c r="V21" s="57"/>
      <c r="W21" s="57"/>
      <c r="X21" s="57"/>
      <c r="Y21" s="57"/>
      <c r="Z21" s="57"/>
    </row>
    <row r="22">
      <c r="A22" s="56" t="str">
        <f>IFERROR(__xludf.DUMMYFUNCTION("IF('AYIRA MINI MART FINAL MENU - Pr'!A22="""", """", IF(LEN(IFERROR(TRIM(REGEXREPLACE(TRIM(REGEXEXTRACT('AYIRA MINI MART FINAL MENU - Pr'!A22, ""^[^\x{0600}-\x{06FF}]+"")), ""[-–]+$"", """")), """"))&gt;0, IFERROR(TRIM(REGEXREPLACE(TRIM(REGEXEXTRACT('AYIRA M"&amp;"INI MART FINAL MENU - Pr'!A22, ""^[^\x{0600}-\x{06FF}]+"")), ""[-–]+$"", """")), """"), GOOGLETRANSLATE('AYIRA MINI MART FINAL MENU - Pr'!A22, ""ar"", ""en"")))"),"Amwaj Mineral Water 1.5L x 6")</f>
        <v>Amwaj Mineral Water 1.5L x 6</v>
      </c>
      <c r="B22" s="56" t="str">
        <f>IFERROR(__xludf.DUMMYFUNCTION("IF('AYIRA MINI MART FINAL MENU - Pr'!B22="""", """", IF(LEN(IFERROR(TRIM(REGEXREPLACE(TRIM(REGEXEXTRACT('AYIRA MINI MART FINAL MENU - Pr'!B22, ""^[^\x{0600}-\x{06FF}]+"")), ""[-–]+$"", """")), """"))&gt;0, IFERROR(TRIM(REGEXREPLACE(TRIM(REGEXEXTRACT('AYIRA M"&amp;"INI MART FINAL MENU - Pr'!B22, ""^[^\x{0600}-\x{06FF}]+"")), ""[-–]+$"", """")), """"), GOOGLETRANSLATE('AYIRA MINI MART FINAL MENU - Pr'!B22, ""ar"", ""en"")))"),"Water")</f>
        <v>Water</v>
      </c>
      <c r="C22" s="56">
        <f>IF('AYIRA MINI MART FINAL MENU - Pr'!C22="", "", 'AYIRA MINI MART FINAL MENU - Pr'!C22)</f>
        <v>12</v>
      </c>
      <c r="D22" s="56" t="str">
        <f>IFERROR(__xludf.DUMMYFUNCTION("IF('AYIRA MINI MART FINAL MENU - Pr'!D22="""", """", GOOGLETRANSLATE('AYIRA MINI MART FINAL MENU - Pr'!D22, ""ar"", ""en""))"),"Drink Amwaj Mineral Water 1.5L x 6, pure water that restores your body's natural balance. Extracted from the purest natural sources and bottled to the highest standards of quality and hygiene to ensure it reaches you in perfect condition. Proper hydration"&amp;" is essential for a good life, and choosing this water reflects your commitment to your health. Make sure to drink enough water daily to maintain your energy and vitality. Aira Mini Mart offers this excellent water at competitive prices.")</f>
        <v>Drink Amwaj Mineral Water 1.5L x 6, pure water that restores your body's natural balance. Extracted from the purest natural sources and bottled to the highest standards of quality and hygiene to ensure it reaches you in perfect condition. Proper hydration is essential for a good life, and choosing this water reflects your commitment to your health. Make sure to drink enough water daily to maintain your energy and vitality. Aira Mini Mart offers this excellent water at competitive prices.</v>
      </c>
      <c r="E22" s="56" t="str">
        <f>IF('AYIRA MINI MART FINAL MENU - Pr'!K22="", "", 'AYIRA MINI MART FINAL MENU - Pr'!K22)</f>
        <v/>
      </c>
      <c r="F22" s="56"/>
      <c r="G22" s="56"/>
      <c r="H22" s="56"/>
      <c r="I22" s="56"/>
      <c r="J22" s="56"/>
      <c r="L22" s="56" t="str">
        <f>IF('AYIRA MINI MART FINAL MENU - Pr'!L22="", "", 'AYIRA MINI MART FINAL MENU - Pr'!L22)</f>
        <v/>
      </c>
      <c r="M22" s="56" t="str">
        <f>IF('AYIRA MINI MART FINAL MENU - Pr'!M22="", "", 'AYIRA MINI MART FINAL MENU - Pr'!M22)</f>
        <v/>
      </c>
      <c r="N22" s="56" t="str">
        <f>IF('AYIRA MINI MART FINAL MENU - Pr'!N22="", "", 'AYIRA MINI MART FINAL MENU - Pr'!N22)</f>
        <v/>
      </c>
      <c r="O22" s="57"/>
      <c r="P22" s="57"/>
      <c r="Q22" s="57"/>
      <c r="R22" s="57"/>
      <c r="S22" s="57"/>
      <c r="T22" s="57"/>
      <c r="U22" s="57"/>
      <c r="V22" s="57"/>
      <c r="W22" s="57"/>
      <c r="X22" s="57"/>
      <c r="Y22" s="57"/>
      <c r="Z22" s="57"/>
    </row>
    <row r="23">
      <c r="A23" s="56" t="str">
        <f>IFERROR(__xludf.DUMMYFUNCTION("IF('AYIRA MINI MART FINAL MENU - Pr'!A23="""", """", IF(LEN(IFERROR(TRIM(REGEXREPLACE(TRIM(REGEXEXTRACT('AYIRA MINI MART FINAL MENU - Pr'!A23, ""^[^\x{0600}-\x{06FF}]+"")), ""[-–]+$"", """")), """"))&gt;0, IFERROR(TRIM(REGEXREPLACE(TRIM(REGEXEXTRACT('AYIRA M"&amp;"INI MART FINAL MENU - Pr'!A23, ""^[^\x{0600}-\x{06FF}]+"")), ""[-–]+$"", """")), """"), GOOGLETRANSLATE('AYIRA MINI MART FINAL MENU - Pr'!A23, ""ar"", ""en"")))"),"Amwaj Mineral Water 330ml x 30")</f>
        <v>Amwaj Mineral Water 330ml x 30</v>
      </c>
      <c r="B23" s="56" t="str">
        <f>IFERROR(__xludf.DUMMYFUNCTION("IF('AYIRA MINI MART FINAL MENU - Pr'!B23="""", """", IF(LEN(IFERROR(TRIM(REGEXREPLACE(TRIM(REGEXEXTRACT('AYIRA MINI MART FINAL MENU - Pr'!B23, ""^[^\x{0600}-\x{06FF}]+"")), ""[-–]+$"", """")), """"))&gt;0, IFERROR(TRIM(REGEXREPLACE(TRIM(REGEXEXTRACT('AYIRA M"&amp;"INI MART FINAL MENU - Pr'!B23, ""^[^\x{0600}-\x{06FF}]+"")), ""[-–]+$"", """")), """"), GOOGLETRANSLATE('AYIRA MINI MART FINAL MENU - Pr'!B23, ""ar"", ""en"")))"),"Water")</f>
        <v>Water</v>
      </c>
      <c r="C23" s="56">
        <f>IF('AYIRA MINI MART FINAL MENU - Pr'!C23="", "", 'AYIRA MINI MART FINAL MENU - Pr'!C23)</f>
        <v>12</v>
      </c>
      <c r="D23" s="56" t="str">
        <f>IFERROR(__xludf.DUMMYFUNCTION("IF('AYIRA MINI MART FINAL MENU - Pr'!D23="""", """", GOOGLETRANSLATE('AYIRA MINI MART FINAL MENU - Pr'!D23, ""ar"", ""en""))"),"Drink Amwaj Mineral Water 330ml x 300, pure water that restores your body's natural balance. Extracted from the purest natural sources and bottled to the highest standards of quality and hygiene to ensure it reaches you in perfect condition. Proper hydrat"&amp;"ion is essential for a good life, and choosing this water reflects your commitment to your health. Make sure to drink enough water daily to maintain your energy and vitality. Aira Mini Mart offers this excellent water at competitive prices.")</f>
        <v>Drink Amwaj Mineral Water 330ml x 300, pure water that restores your body's natural balance. Extracted from the purest natural sources and bottled to the highest standards of quality and hygiene to ensure it reaches you in perfect condition. Proper hydration is essential for a good life, and choosing this water reflects your commitment to your health. Make sure to drink enough water daily to maintain your energy and vitality. Aira Mini Mart offers this excellent water at competitive prices.</v>
      </c>
      <c r="E23" s="56" t="str">
        <f>IF('AYIRA MINI MART FINAL MENU - Pr'!K23="", "", 'AYIRA MINI MART FINAL MENU - Pr'!K23)</f>
        <v/>
      </c>
      <c r="F23" s="56"/>
      <c r="G23" s="56"/>
      <c r="H23" s="56"/>
      <c r="I23" s="56"/>
      <c r="J23" s="56"/>
      <c r="L23" s="56" t="str">
        <f>IF('AYIRA MINI MART FINAL MENU - Pr'!L23="", "", 'AYIRA MINI MART FINAL MENU - Pr'!L23)</f>
        <v/>
      </c>
      <c r="M23" s="56" t="str">
        <f>IF('AYIRA MINI MART FINAL MENU - Pr'!M23="", "", 'AYIRA MINI MART FINAL MENU - Pr'!M23)</f>
        <v/>
      </c>
      <c r="N23" s="56" t="str">
        <f>IF('AYIRA MINI MART FINAL MENU - Pr'!N23="", "", 'AYIRA MINI MART FINAL MENU - Pr'!N23)</f>
        <v/>
      </c>
      <c r="O23" s="57"/>
      <c r="P23" s="57"/>
      <c r="Q23" s="57"/>
      <c r="R23" s="57"/>
      <c r="S23" s="57"/>
      <c r="T23" s="57"/>
      <c r="U23" s="57"/>
      <c r="V23" s="57"/>
      <c r="W23" s="57"/>
      <c r="X23" s="57"/>
      <c r="Y23" s="57"/>
      <c r="Z23" s="57"/>
    </row>
    <row r="24">
      <c r="A24" s="56" t="str">
        <f>IFERROR(__xludf.DUMMYFUNCTION("IF('AYIRA MINI MART FINAL MENU - Pr'!A24="""", """", IF(LEN(IFERROR(TRIM(REGEXREPLACE(TRIM(REGEXEXTRACT('AYIRA MINI MART FINAL MENU - Pr'!A24, ""^[^\x{0600}-\x{06FF}]+"")), ""[-–]+$"", """")), """"))&gt;0, IFERROR(TRIM(REGEXREPLACE(TRIM(REGEXEXTRACT('AYIRA M"&amp;"INI MART FINAL MENU - Pr'!A24, ""^[^\x{0600}-\x{06FF}]+"")), ""[-–]+$"", """")), """"), GOOGLETRANSLATE('AYIRA MINI MART FINAL MENU - Pr'!A24, ""ar"", ""en"")))"),"Rayyan Mineral Water 330ml x 30")</f>
        <v>Rayyan Mineral Water 330ml x 30</v>
      </c>
      <c r="B24" s="56" t="str">
        <f>IFERROR(__xludf.DUMMYFUNCTION("IF('AYIRA MINI MART FINAL MENU - Pr'!B24="""", """", IF(LEN(IFERROR(TRIM(REGEXREPLACE(TRIM(REGEXEXTRACT('AYIRA MINI MART FINAL MENU - Pr'!B24, ""^[^\x{0600}-\x{06FF}]+"")), ""[-–]+$"", """")), """"))&gt;0, IFERROR(TRIM(REGEXREPLACE(TRIM(REGEXEXTRACT('AYIRA M"&amp;"INI MART FINAL MENU - Pr'!B24, ""^[^\x{0600}-\x{06FF}]+"")), ""[-–]+$"", """")), """"), GOOGLETRANSLATE('AYIRA MINI MART FINAL MENU - Pr'!B24, ""ar"", ""en"")))"),"Water")</f>
        <v>Water</v>
      </c>
      <c r="C24" s="56">
        <f>IF('AYIRA MINI MART FINAL MENU - Pr'!C24="", "", 'AYIRA MINI MART FINAL MENU - Pr'!C24)</f>
        <v>15</v>
      </c>
      <c r="D24" s="56" t="str">
        <f>IFERROR(__xludf.DUMMYFUNCTION("IF('AYIRA MINI MART FINAL MENU - Pr'!D24="""", """", GOOGLETRANSLATE('AYIRA MINI MART FINAL MENU - Pr'!D24, ""ar"", ""en""))"),"Drink Rayan,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Rayan,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24" s="56" t="str">
        <f>IF('AYIRA MINI MART FINAL MENU - Pr'!K24="", "", 'AYIRA MINI MART FINAL MENU - Pr'!K24)</f>
        <v/>
      </c>
      <c r="F24" s="56"/>
      <c r="G24" s="56"/>
      <c r="H24" s="56"/>
      <c r="I24" s="56"/>
      <c r="J24" s="56"/>
      <c r="L24" s="56" t="str">
        <f>IF('AYIRA MINI MART FINAL MENU - Pr'!L24="", "", 'AYIRA MINI MART FINAL MENU - Pr'!L24)</f>
        <v/>
      </c>
      <c r="M24" s="56" t="str">
        <f>IF('AYIRA MINI MART FINAL MENU - Pr'!M24="", "", 'AYIRA MINI MART FINAL MENU - Pr'!M24)</f>
        <v/>
      </c>
      <c r="N24" s="56" t="str">
        <f>IF('AYIRA MINI MART FINAL MENU - Pr'!N24="", "", 'AYIRA MINI MART FINAL MENU - Pr'!N24)</f>
        <v/>
      </c>
      <c r="O24" s="57"/>
      <c r="P24" s="57"/>
      <c r="Q24" s="57"/>
      <c r="R24" s="57"/>
      <c r="S24" s="57"/>
      <c r="T24" s="57"/>
      <c r="U24" s="57"/>
      <c r="V24" s="57"/>
      <c r="W24" s="57"/>
      <c r="X24" s="57"/>
      <c r="Y24" s="57"/>
      <c r="Z24" s="57"/>
    </row>
    <row r="25">
      <c r="A25" s="56" t="str">
        <f>IFERROR(__xludf.DUMMYFUNCTION("IF('AYIRA MINI MART FINAL MENU - Pr'!A25="""", """", IF(LEN(IFERROR(TRIM(REGEXREPLACE(TRIM(REGEXEXTRACT('AYIRA MINI MART FINAL MENU - Pr'!A25, ""^[^\x{0600}-\x{06FF}]+"")), ""[-–]+$"", """")), """"))&gt;0, IFERROR(TRIM(REGEXREPLACE(TRIM(REGEXEXTRACT('AYIRA M"&amp;"INI MART FINAL MENU - Pr'!A25, ""^[^\x{0600}-\x{06FF}]+"")), ""[-–]+$"", """")), """"), GOOGLETRANSLATE('AYIRA MINI MART FINAL MENU - Pr'!A25, ""ar"", ""en"")))"),"Rayyan Mineral Water 200ml x 30")</f>
        <v>Rayyan Mineral Water 200ml x 30</v>
      </c>
      <c r="B25" s="56" t="str">
        <f>IFERROR(__xludf.DUMMYFUNCTION("IF('AYIRA MINI MART FINAL MENU - Pr'!B25="""", """", IF(LEN(IFERROR(TRIM(REGEXREPLACE(TRIM(REGEXEXTRACT('AYIRA MINI MART FINAL MENU - Pr'!B25, ""^[^\x{0600}-\x{06FF}]+"")), ""[-–]+$"", """")), """"))&gt;0, IFERROR(TRIM(REGEXREPLACE(TRIM(REGEXEXTRACT('AYIRA M"&amp;"INI MART FINAL MENU - Pr'!B25, ""^[^\x{0600}-\x{06FF}]+"")), ""[-–]+$"", """")), """"), GOOGLETRANSLATE('AYIRA MINI MART FINAL MENU - Pr'!B25, ""ar"", ""en"")))"),"Water")</f>
        <v>Water</v>
      </c>
      <c r="C25" s="56">
        <f>IF('AYIRA MINI MART FINAL MENU - Pr'!C25="", "", 'AYIRA MINI MART FINAL MENU - Pr'!C25)</f>
        <v>14</v>
      </c>
      <c r="D25" s="56" t="str">
        <f>IFERROR(__xludf.DUMMYFUNCTION("IF('AYIRA MINI MART FINAL MENU - Pr'!D25="""", """", GOOGLETRANSLATE('AYIRA MINI MART FINAL MENU - Pr'!D25, ""ar"", ""en""))"),"Drink Rayan,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Rayan,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25" s="56" t="str">
        <f>IF('AYIRA MINI MART FINAL MENU - Pr'!K25="", "", 'AYIRA MINI MART FINAL MENU - Pr'!K25)</f>
        <v/>
      </c>
      <c r="F25" s="56"/>
      <c r="G25" s="56"/>
      <c r="H25" s="56"/>
      <c r="I25" s="56"/>
      <c r="J25" s="56"/>
      <c r="L25" s="56" t="str">
        <f>IF('AYIRA MINI MART FINAL MENU - Pr'!L25="", "", 'AYIRA MINI MART FINAL MENU - Pr'!L25)</f>
        <v/>
      </c>
      <c r="M25" s="56" t="str">
        <f>IF('AYIRA MINI MART FINAL MENU - Pr'!M25="", "", 'AYIRA MINI MART FINAL MENU - Pr'!M25)</f>
        <v/>
      </c>
      <c r="N25" s="56" t="str">
        <f>IF('AYIRA MINI MART FINAL MENU - Pr'!N25="", "", 'AYIRA MINI MART FINAL MENU - Pr'!N25)</f>
        <v/>
      </c>
      <c r="O25" s="57"/>
      <c r="P25" s="57"/>
      <c r="Q25" s="57"/>
      <c r="R25" s="57"/>
      <c r="S25" s="57"/>
      <c r="T25" s="57"/>
      <c r="U25" s="57"/>
      <c r="V25" s="57"/>
      <c r="W25" s="57"/>
      <c r="X25" s="57"/>
      <c r="Y25" s="57"/>
      <c r="Z25" s="57"/>
    </row>
    <row r="26">
      <c r="A26" s="56" t="str">
        <f>IFERROR(__xludf.DUMMYFUNCTION("IF('AYIRA MINI MART FINAL MENU - Pr'!A26="""", """", IF(LEN(IFERROR(TRIM(REGEXREPLACE(TRIM(REGEXEXTRACT('AYIRA MINI MART FINAL MENU - Pr'!A26, ""^[^\x{0600}-\x{06FF}]+"")), ""[-–]+$"", """")), """"))&gt;0, IFERROR(TRIM(REGEXREPLACE(TRIM(REGEXEXTRACT('AYIRA M"&amp;"INI MART FINAL MENU - Pr'!A26, ""^[^\x{0600}-\x{06FF}]+"")), ""[-–]+$"", """")), """"), GOOGLETRANSLATE('AYIRA MINI MART FINAL MENU - Pr'!A26, ""ar"", ""en"")))"),"Rayyan Natural Water 330ml x 12")</f>
        <v>Rayyan Natural Water 330ml x 12</v>
      </c>
      <c r="B26" s="56" t="str">
        <f>IFERROR(__xludf.DUMMYFUNCTION("IF('AYIRA MINI MART FINAL MENU - Pr'!B26="""", """", IF(LEN(IFERROR(TRIM(REGEXREPLACE(TRIM(REGEXEXTRACT('AYIRA MINI MART FINAL MENU - Pr'!B26, ""^[^\x{0600}-\x{06FF}]+"")), ""[-–]+$"", """")), """"))&gt;0, IFERROR(TRIM(REGEXREPLACE(TRIM(REGEXEXTRACT('AYIRA M"&amp;"INI MART FINAL MENU - Pr'!B26, ""^[^\x{0600}-\x{06FF}]+"")), ""[-–]+$"", """")), """"), GOOGLETRANSLATE('AYIRA MINI MART FINAL MENU - Pr'!B26, ""ar"", ""en"")))"),"Water")</f>
        <v>Water</v>
      </c>
      <c r="C26" s="56">
        <f>IF('AYIRA MINI MART FINAL MENU - Pr'!C26="", "", 'AYIRA MINI MART FINAL MENU - Pr'!C26)</f>
        <v>8</v>
      </c>
      <c r="D26" s="56" t="str">
        <f>IFERROR(__xludf.DUMMYFUNCTION("IF('AYIRA MINI MART FINAL MENU - Pr'!D26="""", """", GOOGLETRANSLATE('AYIRA MINI MART FINAL MENU - Pr'!D26, ""ar"", ""en""))"),"Drink Rayan,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Rayan,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26" s="56" t="str">
        <f>IF('AYIRA MINI MART FINAL MENU - Pr'!K26="", "", 'AYIRA MINI MART FINAL MENU - Pr'!K26)</f>
        <v/>
      </c>
      <c r="F26" s="56"/>
      <c r="G26" s="56"/>
      <c r="H26" s="56"/>
      <c r="I26" s="56"/>
      <c r="J26" s="56"/>
      <c r="L26" s="56" t="str">
        <f>IF('AYIRA MINI MART FINAL MENU - Pr'!L26="", "", 'AYIRA MINI MART FINAL MENU - Pr'!L26)</f>
        <v/>
      </c>
      <c r="M26" s="56" t="str">
        <f>IF('AYIRA MINI MART FINAL MENU - Pr'!M26="", "", 'AYIRA MINI MART FINAL MENU - Pr'!M26)</f>
        <v/>
      </c>
      <c r="N26" s="56" t="str">
        <f>IF('AYIRA MINI MART FINAL MENU - Pr'!N26="", "", 'AYIRA MINI MART FINAL MENU - Pr'!N26)</f>
        <v/>
      </c>
      <c r="O26" s="57"/>
      <c r="P26" s="57"/>
      <c r="Q26" s="57"/>
      <c r="R26" s="57"/>
      <c r="S26" s="57"/>
      <c r="T26" s="57"/>
      <c r="U26" s="57"/>
      <c r="V26" s="57"/>
      <c r="W26" s="57"/>
      <c r="X26" s="57"/>
      <c r="Y26" s="57"/>
      <c r="Z26" s="57"/>
    </row>
    <row r="27">
      <c r="A27" s="56" t="str">
        <f>IFERROR(__xludf.DUMMYFUNCTION("IF('AYIRA MINI MART FINAL MENU - Pr'!A27="""", """", IF(LEN(IFERROR(TRIM(REGEXREPLACE(TRIM(REGEXEXTRACT('AYIRA MINI MART FINAL MENU - Pr'!A27, ""^[^\x{0600}-\x{06FF}]+"")), ""[-–]+$"", """")), """"))&gt;0, IFERROR(TRIM(REGEXREPLACE(TRIM(REGEXEXTRACT('AYIRA M"&amp;"INI MART FINAL MENU - Pr'!A27, ""^[^\x{0600}-\x{06FF}]+"")), ""[-–]+$"", """")), """"), GOOGLETRANSLATE('AYIRA MINI MART FINAL MENU - Pr'!A27, ""ar"", ""en"")))"),"Rayyan Alkaline Mineral Water 1.5L x 6")</f>
        <v>Rayyan Alkaline Mineral Water 1.5L x 6</v>
      </c>
      <c r="B27" s="56" t="str">
        <f>IFERROR(__xludf.DUMMYFUNCTION("IF('AYIRA MINI MART FINAL MENU - Pr'!B27="""", """", IF(LEN(IFERROR(TRIM(REGEXREPLACE(TRIM(REGEXEXTRACT('AYIRA MINI MART FINAL MENU - Pr'!B27, ""^[^\x{0600}-\x{06FF}]+"")), ""[-–]+$"", """")), """"))&gt;0, IFERROR(TRIM(REGEXREPLACE(TRIM(REGEXEXTRACT('AYIRA M"&amp;"INI MART FINAL MENU - Pr'!B27, ""^[^\x{0600}-\x{06FF}]+"")), ""[-–]+$"", """")), """"), GOOGLETRANSLATE('AYIRA MINI MART FINAL MENU - Pr'!B27, ""ar"", ""en"")))"),"Water")</f>
        <v>Water</v>
      </c>
      <c r="C27" s="56">
        <f>IF('AYIRA MINI MART FINAL MENU - Pr'!C27="", "", 'AYIRA MINI MART FINAL MENU - Pr'!C27)</f>
        <v>9</v>
      </c>
      <c r="D27" s="56" t="str">
        <f>IFERROR(__xludf.DUMMYFUNCTION("IF('AYIRA MINI MART FINAL MENU - Pr'!D27="""", """", GOOGLETRANSLATE('AYIRA MINI MART FINAL MENU - Pr'!D27, ""ar"", ""en""))"),"Drink Rayan,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Rayan,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27" s="56" t="str">
        <f>IF('AYIRA MINI MART FINAL MENU - Pr'!K27="", "", 'AYIRA MINI MART FINAL MENU - Pr'!K27)</f>
        <v/>
      </c>
      <c r="F27" s="56"/>
      <c r="G27" s="56"/>
      <c r="H27" s="56"/>
      <c r="I27" s="56"/>
      <c r="J27" s="56"/>
      <c r="L27" s="56" t="str">
        <f>IF('AYIRA MINI MART FINAL MENU - Pr'!L27="", "", 'AYIRA MINI MART FINAL MENU - Pr'!L27)</f>
        <v/>
      </c>
      <c r="M27" s="56" t="str">
        <f>IF('AYIRA MINI MART FINAL MENU - Pr'!M27="", "", 'AYIRA MINI MART FINAL MENU - Pr'!M27)</f>
        <v/>
      </c>
      <c r="N27" s="56" t="str">
        <f>IF('AYIRA MINI MART FINAL MENU - Pr'!N27="", "", 'AYIRA MINI MART FINAL MENU - Pr'!N27)</f>
        <v/>
      </c>
      <c r="O27" s="57"/>
      <c r="P27" s="57"/>
      <c r="Q27" s="57"/>
      <c r="R27" s="57"/>
      <c r="S27" s="57"/>
      <c r="T27" s="57"/>
      <c r="U27" s="57"/>
      <c r="V27" s="57"/>
      <c r="W27" s="57"/>
      <c r="X27" s="57"/>
      <c r="Y27" s="57"/>
      <c r="Z27" s="57"/>
    </row>
    <row r="28">
      <c r="A28" s="56" t="str">
        <f>IFERROR(__xludf.DUMMYFUNCTION("IF('AYIRA MINI MART FINAL MENU - Pr'!A28="""", """", IF(LEN(IFERROR(TRIM(REGEXREPLACE(TRIM(REGEXEXTRACT('AYIRA MINI MART FINAL MENU - Pr'!A28, ""^[^\x{0600}-\x{06FF}]+"")), ""[-–]+$"", """")), """"))&gt;0, IFERROR(TRIM(REGEXREPLACE(TRIM(REGEXEXTRACT('AYIRA M"&amp;"INI MART FINAL MENU - Pr'!A28, ""^[^\x{0600}-\x{06FF}]+"")), ""[-–]+$"", """")), """"), GOOGLETRANSLATE('AYIRA MINI MART FINAL MENU - Pr'!A28, ""ar"", ""en"")))"),"Arwa Water 12pcs")</f>
        <v>Arwa Water 12pcs</v>
      </c>
      <c r="B28" s="56" t="str">
        <f>IFERROR(__xludf.DUMMYFUNCTION("IF('AYIRA MINI MART FINAL MENU - Pr'!B28="""", """", IF(LEN(IFERROR(TRIM(REGEXREPLACE(TRIM(REGEXEXTRACT('AYIRA MINI MART FINAL MENU - Pr'!B28, ""^[^\x{0600}-\x{06FF}]+"")), ""[-–]+$"", """")), """"))&gt;0, IFERROR(TRIM(REGEXREPLACE(TRIM(REGEXEXTRACT('AYIRA M"&amp;"INI MART FINAL MENU - Pr'!B28, ""^[^\x{0600}-\x{06FF}]+"")), ""[-–]+$"", """")), """"), GOOGLETRANSLATE('AYIRA MINI MART FINAL MENU - Pr'!B28, ""ar"", ""en"")))"),"Water")</f>
        <v>Water</v>
      </c>
      <c r="C28" s="56">
        <f>IF('AYIRA MINI MART FINAL MENU - Pr'!C28="", "", 'AYIRA MINI MART FINAL MENU - Pr'!C28)</f>
        <v>9</v>
      </c>
      <c r="D28" s="56" t="str">
        <f>IFERROR(__xludf.DUMMYFUNCTION("IF('AYIRA MINI MART FINAL MENU - Pr'!D28="""", """", GOOGLETRANSLATE('AYIRA MINI MART FINAL MENU - Pr'!D28, ""ar"", ""en""))"),"")</f>
        <v/>
      </c>
      <c r="E28" s="56" t="str">
        <f>IF('AYIRA MINI MART FINAL MENU - Pr'!K28="", "", 'AYIRA MINI MART FINAL MENU - Pr'!K28)</f>
        <v/>
      </c>
      <c r="F28" s="56"/>
      <c r="G28" s="56"/>
      <c r="H28" s="56"/>
      <c r="I28" s="56"/>
      <c r="J28" s="56"/>
      <c r="L28" s="56" t="str">
        <f>IF('AYIRA MINI MART FINAL MENU - Pr'!L28="", "", 'AYIRA MINI MART FINAL MENU - Pr'!L28)</f>
        <v/>
      </c>
      <c r="M28" s="56" t="str">
        <f>IF('AYIRA MINI MART FINAL MENU - Pr'!M28="", "", 'AYIRA MINI MART FINAL MENU - Pr'!M28)</f>
        <v/>
      </c>
      <c r="N28" s="56" t="str">
        <f>IF('AYIRA MINI MART FINAL MENU - Pr'!N28="", "", 'AYIRA MINI MART FINAL MENU - Pr'!N28)</f>
        <v/>
      </c>
      <c r="O28" s="57"/>
      <c r="P28" s="57"/>
      <c r="Q28" s="57"/>
      <c r="R28" s="57"/>
      <c r="S28" s="57"/>
      <c r="T28" s="57"/>
      <c r="U28" s="57"/>
      <c r="V28" s="57"/>
      <c r="W28" s="57"/>
      <c r="X28" s="57"/>
      <c r="Y28" s="57"/>
      <c r="Z28" s="57"/>
    </row>
    <row r="29">
      <c r="A29" s="56" t="str">
        <f>IFERROR(__xludf.DUMMYFUNCTION("IF('AYIRA MINI MART FINAL MENU - Pr'!A29="""", """", IF(LEN(IFERROR(TRIM(REGEXREPLACE(TRIM(REGEXEXTRACT('AYIRA MINI MART FINAL MENU - Pr'!A29, ""^[^\x{0600}-\x{06FF}]+"")), ""[-–]+$"", """")), """"))&gt;0, IFERROR(TRIM(REGEXREPLACE(TRIM(REGEXEXTRACT('AYIRA M"&amp;"INI MART FINAL MENU - Pr'!A29, ""^[^\x{0600}-\x{06FF}]+"")), ""[-–]+$"", """")), """"), GOOGLETRANSLATE('AYIRA MINI MART FINAL MENU - Pr'!A29, ""ar"", ""en"")))"),"Pran Basil Seed Lychee 250 ml")</f>
        <v>Pran Basil Seed Lychee 250 ml</v>
      </c>
      <c r="B29" s="56" t="str">
        <f>IFERROR(__xludf.DUMMYFUNCTION("IF('AYIRA MINI MART FINAL MENU - Pr'!B29="""", """", IF(LEN(IFERROR(TRIM(REGEXREPLACE(TRIM(REGEXEXTRACT('AYIRA MINI MART FINAL MENU - Pr'!B29, ""^[^\x{0600}-\x{06FF}]+"")), ""[-–]+$"", """")), """"))&gt;0, IFERROR(TRIM(REGEXREPLACE(TRIM(REGEXEXTRACT('AYIRA M"&amp;"INI MART FINAL MENU - Pr'!B29, ""^[^\x{0600}-\x{06FF}]+"")), ""[-–]+$"", """")), """"), GOOGLETRANSLATE('AYIRA MINI MART FINAL MENU - Pr'!B29, ""ar"", ""en"")))"),"Juices &amp; Fruit Drinks")</f>
        <v>Juices &amp; Fruit Drinks</v>
      </c>
      <c r="C29" s="56">
        <f>IF('AYIRA MINI MART FINAL MENU - Pr'!C29="", "", 'AYIRA MINI MART FINAL MENU - Pr'!C29)</f>
        <v>2</v>
      </c>
      <c r="D29" s="56" t="str">
        <f>IFERROR(__xludf.DUMMYFUNCTION("IF('AYIRA MINI MART FINAL MENU - Pr'!D29="""", """", GOOGLETRANSLATE('AYIRA MINI MART FINAL MENU - Pr'!D29, ""ar"", ""en""))"),"Discover Pran Basil Seed Lychee 250ml, a premium product that combines high quality with great value. Made to the highest standards of quality and safety to ensure your complete satisfaction every time. Its excellent qualities make it the perfect choice f"&amp;"or you and your family. Whether for everyday use or special occasions, it meets and exceeds your expectations. Get it now from Aira Mini Mart and enjoy a pleasant and reliable shopping experience.")</f>
        <v>Discover Pran Basil Seed Lychee 250ml, a premium product that combines high quality with great value. Made to the highest standards of quality and safety to ensure your complete satisfaction every time. Its excellent qualities make it the perfect choice for you and your family. Whether for everyday use or special occasions, it meets and exceeds your expectations. Get it now from Aira Mini Mart and enjoy a pleasant and reliable shopping experience.</v>
      </c>
      <c r="E29" s="56" t="str">
        <f>IF('AYIRA MINI MART FINAL MENU - Pr'!K29="", "", 'AYIRA MINI MART FINAL MENU - Pr'!K29)</f>
        <v/>
      </c>
      <c r="F29" s="56"/>
      <c r="G29" s="56"/>
      <c r="H29" s="56"/>
      <c r="I29" s="56"/>
      <c r="J29" s="56"/>
      <c r="L29" s="56" t="str">
        <f>IF('AYIRA MINI MART FINAL MENU - Pr'!L29="", "", 'AYIRA MINI MART FINAL MENU - Pr'!L29)</f>
        <v/>
      </c>
      <c r="M29" s="56" t="str">
        <f>IF('AYIRA MINI MART FINAL MENU - Pr'!M29="", "", 'AYIRA MINI MART FINAL MENU - Pr'!M29)</f>
        <v/>
      </c>
      <c r="N29" s="56" t="str">
        <f>IF('AYIRA MINI MART FINAL MENU - Pr'!N29="", "", 'AYIRA MINI MART FINAL MENU - Pr'!N29)</f>
        <v/>
      </c>
      <c r="O29" s="57"/>
      <c r="P29" s="57"/>
      <c r="Q29" s="57"/>
      <c r="R29" s="57"/>
      <c r="S29" s="57"/>
      <c r="T29" s="57"/>
      <c r="U29" s="57"/>
      <c r="V29" s="57"/>
      <c r="W29" s="57"/>
      <c r="X29" s="57"/>
      <c r="Y29" s="57"/>
      <c r="Z29" s="57"/>
    </row>
    <row r="30">
      <c r="A30" s="56" t="str">
        <f>IFERROR(__xludf.DUMMYFUNCTION("IF('AYIRA MINI MART FINAL MENU - Pr'!A30="""", """", IF(LEN(IFERROR(TRIM(REGEXREPLACE(TRIM(REGEXEXTRACT('AYIRA MINI MART FINAL MENU - Pr'!A30, ""^[^\x{0600}-\x{06FF}]+"")), ""[-–]+$"", """")), """"))&gt;0, IFERROR(TRIM(REGEXREPLACE(TRIM(REGEXEXTRACT('AYIRA M"&amp;"INI MART FINAL MENU - Pr'!A30, ""^[^\x{0600}-\x{06FF}]+"")), ""[-–]+$"", """")), """"), GOOGLETRANSLATE('AYIRA MINI MART FINAL MENU - Pr'!A30, ""ar"", ""en"")))"),"KDD Cocktail Fruit Drink 250ml")</f>
        <v>KDD Cocktail Fruit Drink 250ml</v>
      </c>
      <c r="B30" s="56" t="str">
        <f>IFERROR(__xludf.DUMMYFUNCTION("IF('AYIRA MINI MART FINAL MENU - Pr'!B30="""", """", IF(LEN(IFERROR(TRIM(REGEXREPLACE(TRIM(REGEXEXTRACT('AYIRA MINI MART FINAL MENU - Pr'!B30, ""^[^\x{0600}-\x{06FF}]+"")), ""[-–]+$"", """")), """"))&gt;0, IFERROR(TRIM(REGEXREPLACE(TRIM(REGEXEXTRACT('AYIRA M"&amp;"INI MART FINAL MENU - Pr'!B30, ""^[^\x{0600}-\x{06FF}]+"")), ""[-–]+$"", """")), """"), GOOGLETRANSLATE('AYIRA MINI MART FINAL MENU - Pr'!B30, ""ar"", ""en"")))"),"Juices &amp; Fruit Drinks")</f>
        <v>Juices &amp; Fruit Drinks</v>
      </c>
      <c r="C30" s="56">
        <f>IF('AYIRA MINI MART FINAL MENU - Pr'!C30="", "", 'AYIRA MINI MART FINAL MENU - Pr'!C30)</f>
        <v>2</v>
      </c>
      <c r="D30" s="56" t="str">
        <f>IFERROR(__xludf.DUMMYFUNCTION("IF('AYIRA MINI MART FINAL MENU - Pr'!D30="""", """", GOOGLETRANSLATE('AYIRA MINI MART FINAL MENU - Pr'!D30, ""ar"", ""en""))"),"Enjoy KDD,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KDD,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30" s="56" t="str">
        <f>IF('AYIRA MINI MART FINAL MENU - Pr'!K30="", "", 'AYIRA MINI MART FINAL MENU - Pr'!K30)</f>
        <v/>
      </c>
      <c r="F30" s="56"/>
      <c r="G30" s="56"/>
      <c r="H30" s="56"/>
      <c r="I30" s="56"/>
      <c r="J30" s="56"/>
      <c r="L30" s="56" t="str">
        <f>IF('AYIRA MINI MART FINAL MENU - Pr'!L30="", "", 'AYIRA MINI MART FINAL MENU - Pr'!L30)</f>
        <v/>
      </c>
      <c r="M30" s="56" t="str">
        <f>IF('AYIRA MINI MART FINAL MENU - Pr'!M30="", "", 'AYIRA MINI MART FINAL MENU - Pr'!M30)</f>
        <v/>
      </c>
      <c r="N30" s="56" t="str">
        <f>IF('AYIRA MINI MART FINAL MENU - Pr'!N30="", "", 'AYIRA MINI MART FINAL MENU - Pr'!N30)</f>
        <v/>
      </c>
      <c r="O30" s="57"/>
      <c r="P30" s="57"/>
      <c r="Q30" s="57"/>
      <c r="R30" s="57"/>
      <c r="S30" s="57"/>
      <c r="T30" s="57"/>
      <c r="U30" s="57"/>
      <c r="V30" s="57"/>
      <c r="W30" s="57"/>
      <c r="X30" s="57"/>
      <c r="Y30" s="57"/>
      <c r="Z30" s="57"/>
    </row>
    <row r="31">
      <c r="A31" s="56" t="str">
        <f>IFERROR(__xludf.DUMMYFUNCTION("IF('AYIRA MINI MART FINAL MENU - Pr'!A31="""", """", IF(LEN(IFERROR(TRIM(REGEXREPLACE(TRIM(REGEXEXTRACT('AYIRA MINI MART FINAL MENU - Pr'!A31, ""^[^\x{0600}-\x{06FF}]+"")), ""[-–]+$"", """")), """"))&gt;0, IFERROR(TRIM(REGEXREPLACE(TRIM(REGEXEXTRACT('AYIRA M"&amp;"INI MART FINAL MENU - Pr'!A31, ""^[^\x{0600}-\x{06FF}]+"")), ""[-–]+$"", """")), """"), GOOGLETRANSLATE('AYIRA MINI MART FINAL MENU - Pr'!A31, ""ar"", ""en"")))"),"KDD Cherry Drink 250 ml")</f>
        <v>KDD Cherry Drink 250 ml</v>
      </c>
      <c r="B31" s="56" t="str">
        <f>IFERROR(__xludf.DUMMYFUNCTION("IF('AYIRA MINI MART FINAL MENU - Pr'!B31="""", """", IF(LEN(IFERROR(TRIM(REGEXREPLACE(TRIM(REGEXEXTRACT('AYIRA MINI MART FINAL MENU - Pr'!B31, ""^[^\x{0600}-\x{06FF}]+"")), ""[-–]+$"", """")), """"))&gt;0, IFERROR(TRIM(REGEXREPLACE(TRIM(REGEXEXTRACT('AYIRA M"&amp;"INI MART FINAL MENU - Pr'!B31, ""^[^\x{0600}-\x{06FF}]+"")), ""[-–]+$"", """")), """"), GOOGLETRANSLATE('AYIRA MINI MART FINAL MENU - Pr'!B31, ""ar"", ""en"")))"),"Juices &amp; Fruit Drinks")</f>
        <v>Juices &amp; Fruit Drinks</v>
      </c>
      <c r="C31" s="56">
        <f>IF('AYIRA MINI MART FINAL MENU - Pr'!C31="", "", 'AYIRA MINI MART FINAL MENU - Pr'!C31)</f>
        <v>2.5</v>
      </c>
      <c r="D31" s="56" t="str">
        <f>IFERROR(__xludf.DUMMYFUNCTION("IF('AYIRA MINI MART FINAL MENU - Pr'!D31="""", """", GOOGLETRANSLATE('AYIRA MINI MART FINAL MENU - Pr'!D31, ""ar"", ""en""))"),"Enjoy KDD,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KDD,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31" s="56" t="str">
        <f>IF('AYIRA MINI MART FINAL MENU - Pr'!K31="", "", 'AYIRA MINI MART FINAL MENU - Pr'!K31)</f>
        <v/>
      </c>
      <c r="F31" s="56"/>
      <c r="G31" s="56"/>
      <c r="H31" s="56"/>
      <c r="I31" s="56"/>
      <c r="J31" s="56"/>
      <c r="L31" s="56" t="str">
        <f>IF('AYIRA MINI MART FINAL MENU - Pr'!L31="", "", 'AYIRA MINI MART FINAL MENU - Pr'!L31)</f>
        <v/>
      </c>
      <c r="M31" s="56" t="str">
        <f>IF('AYIRA MINI MART FINAL MENU - Pr'!M31="", "", 'AYIRA MINI MART FINAL MENU - Pr'!M31)</f>
        <v/>
      </c>
      <c r="N31" s="56" t="str">
        <f>IF('AYIRA MINI MART FINAL MENU - Pr'!N31="", "", 'AYIRA MINI MART FINAL MENU - Pr'!N31)</f>
        <v/>
      </c>
      <c r="O31" s="57"/>
      <c r="P31" s="57"/>
      <c r="Q31" s="57"/>
      <c r="R31" s="57"/>
      <c r="S31" s="57"/>
      <c r="T31" s="57"/>
      <c r="U31" s="57"/>
      <c r="V31" s="57"/>
      <c r="W31" s="57"/>
      <c r="X31" s="57"/>
      <c r="Y31" s="57"/>
      <c r="Z31" s="57"/>
    </row>
    <row r="32">
      <c r="A32" s="56" t="str">
        <f>IFERROR(__xludf.DUMMYFUNCTION("IF('AYIRA MINI MART FINAL MENU - Pr'!A32="""", """", IF(LEN(IFERROR(TRIM(REGEXREPLACE(TRIM(REGEXEXTRACT('AYIRA MINI MART FINAL MENU - Pr'!A32, ""^[^\x{0600}-\x{06FF}]+"")), ""[-–]+$"", """")), """"))&gt;0, IFERROR(TRIM(REGEXREPLACE(TRIM(REGEXEXTRACT('AYIRA M"&amp;"INI MART FINAL MENU - Pr'!A32, ""^[^\x{0600}-\x{06FF}]+"")), ""[-–]+$"", """")), """"), GOOGLETRANSLATE('AYIRA MINI MART FINAL MENU - Pr'!A32, ""ar"", ""en"")))"),"KDD Guava Nectar 250 ml")</f>
        <v>KDD Guava Nectar 250 ml</v>
      </c>
      <c r="B32" s="56" t="str">
        <f>IFERROR(__xludf.DUMMYFUNCTION("IF('AYIRA MINI MART FINAL MENU - Pr'!B32="""", """", IF(LEN(IFERROR(TRIM(REGEXREPLACE(TRIM(REGEXEXTRACT('AYIRA MINI MART FINAL MENU - Pr'!B32, ""^[^\x{0600}-\x{06FF}]+"")), ""[-–]+$"", """")), """"))&gt;0, IFERROR(TRIM(REGEXREPLACE(TRIM(REGEXEXTRACT('AYIRA M"&amp;"INI MART FINAL MENU - Pr'!B32, ""^[^\x{0600}-\x{06FF}]+"")), ""[-–]+$"", """")), """"), GOOGLETRANSLATE('AYIRA MINI MART FINAL MENU - Pr'!B32, ""ar"", ""en"")))"),"Juices &amp; Fruit Drinks")</f>
        <v>Juices &amp; Fruit Drinks</v>
      </c>
      <c r="C32" s="56">
        <f>IF('AYIRA MINI MART FINAL MENU - Pr'!C32="", "", 'AYIRA MINI MART FINAL MENU - Pr'!C32)</f>
        <v>2.5</v>
      </c>
      <c r="D32" s="56" t="str">
        <f>IFERROR(__xludf.DUMMYFUNCTION("IF('AYIRA MINI MART FINAL MENU - Pr'!D32="""", """", GOOGLETRANSLATE('AYIRA MINI MART FINAL MENU - Pr'!D32,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2" s="56" t="str">
        <f>IF('AYIRA MINI MART FINAL MENU - Pr'!K32="", "", 'AYIRA MINI MART FINAL MENU - Pr'!K32)</f>
        <v/>
      </c>
      <c r="F32" s="56"/>
      <c r="G32" s="56"/>
      <c r="H32" s="56"/>
      <c r="I32" s="56"/>
      <c r="J32" s="56"/>
      <c r="L32" s="56" t="str">
        <f>IF('AYIRA MINI MART FINAL MENU - Pr'!L32="", "", 'AYIRA MINI MART FINAL MENU - Pr'!L32)</f>
        <v/>
      </c>
      <c r="M32" s="56" t="str">
        <f>IF('AYIRA MINI MART FINAL MENU - Pr'!M32="", "", 'AYIRA MINI MART FINAL MENU - Pr'!M32)</f>
        <v/>
      </c>
      <c r="N32" s="56" t="str">
        <f>IF('AYIRA MINI MART FINAL MENU - Pr'!N32="", "", 'AYIRA MINI MART FINAL MENU - Pr'!N32)</f>
        <v/>
      </c>
      <c r="O32" s="57"/>
      <c r="P32" s="57"/>
      <c r="Q32" s="57"/>
      <c r="R32" s="57"/>
      <c r="S32" s="57"/>
      <c r="T32" s="57"/>
      <c r="U32" s="57"/>
      <c r="V32" s="57"/>
      <c r="W32" s="57"/>
      <c r="X32" s="57"/>
      <c r="Y32" s="57"/>
      <c r="Z32" s="57"/>
    </row>
    <row r="33">
      <c r="A33" s="56" t="str">
        <f>IFERROR(__xludf.DUMMYFUNCTION("IF('AYIRA MINI MART FINAL MENU - Pr'!A33="""", """", IF(LEN(IFERROR(TRIM(REGEXREPLACE(TRIM(REGEXEXTRACT('AYIRA MINI MART FINAL MENU - Pr'!A33, ""^[^\x{0600}-\x{06FF}]+"")), ""[-–]+$"", """")), """"))&gt;0, IFERROR(TRIM(REGEXREPLACE(TRIM(REGEXEXTRACT('AYIRA M"&amp;"INI MART FINAL MENU - Pr'!A33, ""^[^\x{0600}-\x{06FF}]+"")), ""[-–]+$"", """")), """"), GOOGLETRANSLATE('AYIRA MINI MART FINAL MENU - Pr'!A33, ""ar"", ""en"")))"),"KDD Mango Nectar 250 ml")</f>
        <v>KDD Mango Nectar 250 ml</v>
      </c>
      <c r="B33" s="56" t="str">
        <f>IFERROR(__xludf.DUMMYFUNCTION("IF('AYIRA MINI MART FINAL MENU - Pr'!B33="""", """", IF(LEN(IFERROR(TRIM(REGEXREPLACE(TRIM(REGEXEXTRACT('AYIRA MINI MART FINAL MENU - Pr'!B33, ""^[^\x{0600}-\x{06FF}]+"")), ""[-–]+$"", """")), """"))&gt;0, IFERROR(TRIM(REGEXREPLACE(TRIM(REGEXEXTRACT('AYIRA M"&amp;"INI MART FINAL MENU - Pr'!B33, ""^[^\x{0600}-\x{06FF}]+"")), ""[-–]+$"", """")), """"), GOOGLETRANSLATE('AYIRA MINI MART FINAL MENU - Pr'!B33, ""ar"", ""en"")))"),"Juices &amp; Fruit Drinks")</f>
        <v>Juices &amp; Fruit Drinks</v>
      </c>
      <c r="C33" s="56">
        <f>IF('AYIRA MINI MART FINAL MENU - Pr'!C33="", "", 'AYIRA MINI MART FINAL MENU - Pr'!C33)</f>
        <v>2.5</v>
      </c>
      <c r="D33" s="56" t="str">
        <f>IFERROR(__xludf.DUMMYFUNCTION("IF('AYIRA MINI MART FINAL MENU - Pr'!D33="""", """", GOOGLETRANSLATE('AYIRA MINI MART FINAL MENU - Pr'!D33,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3" s="56" t="str">
        <f>IF('AYIRA MINI MART FINAL MENU - Pr'!K33="", "", 'AYIRA MINI MART FINAL MENU - Pr'!K33)</f>
        <v/>
      </c>
      <c r="F33" s="56"/>
      <c r="G33" s="56"/>
      <c r="H33" s="56"/>
      <c r="I33" s="56"/>
      <c r="J33" s="56"/>
      <c r="L33" s="56" t="str">
        <f>IF('AYIRA MINI MART FINAL MENU - Pr'!L33="", "", 'AYIRA MINI MART FINAL MENU - Pr'!L33)</f>
        <v/>
      </c>
      <c r="M33" s="56" t="str">
        <f>IF('AYIRA MINI MART FINAL MENU - Pr'!M33="", "", 'AYIRA MINI MART FINAL MENU - Pr'!M33)</f>
        <v/>
      </c>
      <c r="N33" s="56" t="str">
        <f>IF('AYIRA MINI MART FINAL MENU - Pr'!N33="", "", 'AYIRA MINI MART FINAL MENU - Pr'!N33)</f>
        <v/>
      </c>
      <c r="O33" s="57"/>
      <c r="P33" s="57"/>
      <c r="Q33" s="57"/>
      <c r="R33" s="57"/>
      <c r="S33" s="57"/>
      <c r="T33" s="57"/>
      <c r="U33" s="57"/>
      <c r="V33" s="57"/>
      <c r="W33" s="57"/>
      <c r="X33" s="57"/>
      <c r="Y33" s="57"/>
      <c r="Z33" s="57"/>
    </row>
    <row r="34">
      <c r="A34" s="56" t="str">
        <f>IFERROR(__xludf.DUMMYFUNCTION("IF('AYIRA MINI MART FINAL MENU - Pr'!A34="""", """", IF(LEN(IFERROR(TRIM(REGEXREPLACE(TRIM(REGEXEXTRACT('AYIRA MINI MART FINAL MENU - Pr'!A34, ""^[^\x{0600}-\x{06FF}]+"")), ""[-–]+$"", """")), """"))&gt;0, IFERROR(TRIM(REGEXREPLACE(TRIM(REGEXEXTRACT('AYIRA M"&amp;"INI MART FINAL MENU - Pr'!A34, ""^[^\x{0600}-\x{06FF}]+"")), ""[-–]+$"", """")), """"), GOOGLETRANSLATE('AYIRA MINI MART FINAL MENU - Pr'!A34, ""ar"", ""en"")))"),"KDD 100% Pineapple Juice 250 ml")</f>
        <v>KDD 100% Pineapple Juice 250 ml</v>
      </c>
      <c r="B34" s="56" t="str">
        <f>IFERROR(__xludf.DUMMYFUNCTION("IF('AYIRA MINI MART FINAL MENU - Pr'!B34="""", """", IF(LEN(IFERROR(TRIM(REGEXREPLACE(TRIM(REGEXEXTRACT('AYIRA MINI MART FINAL MENU - Pr'!B34, ""^[^\x{0600}-\x{06FF}]+"")), ""[-–]+$"", """")), """"))&gt;0, IFERROR(TRIM(REGEXREPLACE(TRIM(REGEXEXTRACT('AYIRA M"&amp;"INI MART FINAL MENU - Pr'!B34, ""^[^\x{0600}-\x{06FF}]+"")), ""[-–]+$"", """")), """"), GOOGLETRANSLATE('AYIRA MINI MART FINAL MENU - Pr'!B34, ""ar"", ""en"")))"),"Juices &amp; Fruit Drinks")</f>
        <v>Juices &amp; Fruit Drinks</v>
      </c>
      <c r="C34" s="56">
        <f>IF('AYIRA MINI MART FINAL MENU - Pr'!C34="", "", 'AYIRA MINI MART FINAL MENU - Pr'!C34)</f>
        <v>2.5</v>
      </c>
      <c r="D34" s="56" t="str">
        <f>IFERROR(__xludf.DUMMYFUNCTION("IF('AYIRA MINI MART FINAL MENU - Pr'!D34="""", """", GOOGLETRANSLATE('AYIRA MINI MART FINAL MENU - Pr'!D34,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4" s="56" t="str">
        <f>IF('AYIRA MINI MART FINAL MENU - Pr'!K34="", "", 'AYIRA MINI MART FINAL MENU - Pr'!K34)</f>
        <v/>
      </c>
      <c r="F34" s="56"/>
      <c r="G34" s="56"/>
      <c r="H34" s="56"/>
      <c r="I34" s="56"/>
      <c r="J34" s="56"/>
      <c r="L34" s="56" t="str">
        <f>IF('AYIRA MINI MART FINAL MENU - Pr'!L34="", "", 'AYIRA MINI MART FINAL MENU - Pr'!L34)</f>
        <v/>
      </c>
      <c r="M34" s="56" t="str">
        <f>IF('AYIRA MINI MART FINAL MENU - Pr'!M34="", "", 'AYIRA MINI MART FINAL MENU - Pr'!M34)</f>
        <v/>
      </c>
      <c r="N34" s="56" t="str">
        <f>IF('AYIRA MINI MART FINAL MENU - Pr'!N34="", "", 'AYIRA MINI MART FINAL MENU - Pr'!N34)</f>
        <v/>
      </c>
      <c r="O34" s="57"/>
      <c r="P34" s="57"/>
      <c r="Q34" s="57"/>
      <c r="R34" s="57"/>
      <c r="S34" s="57"/>
      <c r="T34" s="57"/>
      <c r="U34" s="57"/>
      <c r="V34" s="57"/>
      <c r="W34" s="57"/>
      <c r="X34" s="57"/>
      <c r="Y34" s="57"/>
      <c r="Z34" s="57"/>
    </row>
    <row r="35">
      <c r="A35" s="56" t="str">
        <f>IFERROR(__xludf.DUMMYFUNCTION("IF('AYIRA MINI MART FINAL MENU - Pr'!A35="""", """", IF(LEN(IFERROR(TRIM(REGEXREPLACE(TRIM(REGEXEXTRACT('AYIRA MINI MART FINAL MENU - Pr'!A35, ""^[^\x{0600}-\x{06FF}]+"")), ""[-–]+$"", """")), """"))&gt;0, IFERROR(TRIM(REGEXREPLACE(TRIM(REGEXEXTRACT('AYIRA M"&amp;"INI MART FINAL MENU - Pr'!A35, ""^[^\x{0600}-\x{06FF}]+"")), ""[-–]+$"", """")), """"), GOOGLETRANSLATE('AYIRA MINI MART FINAL MENU - Pr'!A35, ""ar"", ""en"")))"),"KDD 100% Apple Juice 250 ml")</f>
        <v>KDD 100% Apple Juice 250 ml</v>
      </c>
      <c r="B35" s="56" t="str">
        <f>IFERROR(__xludf.DUMMYFUNCTION("IF('AYIRA MINI MART FINAL MENU - Pr'!B35="""", """", IF(LEN(IFERROR(TRIM(REGEXREPLACE(TRIM(REGEXEXTRACT('AYIRA MINI MART FINAL MENU - Pr'!B35, ""^[^\x{0600}-\x{06FF}]+"")), ""[-–]+$"", """")), """"))&gt;0, IFERROR(TRIM(REGEXREPLACE(TRIM(REGEXEXTRACT('AYIRA M"&amp;"INI MART FINAL MENU - Pr'!B35, ""^[^\x{0600}-\x{06FF}]+"")), ""[-–]+$"", """")), """"), GOOGLETRANSLATE('AYIRA MINI MART FINAL MENU - Pr'!B35, ""ar"", ""en"")))"),"Juices &amp; Fruit Drinks")</f>
        <v>Juices &amp; Fruit Drinks</v>
      </c>
      <c r="C35" s="56">
        <f>IF('AYIRA MINI MART FINAL MENU - Pr'!C35="", "", 'AYIRA MINI MART FINAL MENU - Pr'!C35)</f>
        <v>2.5</v>
      </c>
      <c r="D35" s="56" t="str">
        <f>IFERROR(__xludf.DUMMYFUNCTION("IF('AYIRA MINI MART FINAL MENU - Pr'!D35="""", """", GOOGLETRANSLATE('AYIRA MINI MART FINAL MENU - Pr'!D35,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5" s="56" t="str">
        <f>IF('AYIRA MINI MART FINAL MENU - Pr'!K35="", "", 'AYIRA MINI MART FINAL MENU - Pr'!K35)</f>
        <v/>
      </c>
      <c r="F35" s="56"/>
      <c r="G35" s="56"/>
      <c r="H35" s="56"/>
      <c r="I35" s="56"/>
      <c r="J35" s="56"/>
      <c r="L35" s="56" t="str">
        <f>IF('AYIRA MINI MART FINAL MENU - Pr'!L35="", "", 'AYIRA MINI MART FINAL MENU - Pr'!L35)</f>
        <v/>
      </c>
      <c r="M35" s="56" t="str">
        <f>IF('AYIRA MINI MART FINAL MENU - Pr'!M35="", "", 'AYIRA MINI MART FINAL MENU - Pr'!M35)</f>
        <v/>
      </c>
      <c r="N35" s="56" t="str">
        <f>IF('AYIRA MINI MART FINAL MENU - Pr'!N35="", "", 'AYIRA MINI MART FINAL MENU - Pr'!N35)</f>
        <v/>
      </c>
      <c r="O35" s="57"/>
      <c r="P35" s="57"/>
      <c r="Q35" s="57"/>
      <c r="R35" s="57"/>
      <c r="S35" s="57"/>
      <c r="T35" s="57"/>
      <c r="U35" s="57"/>
      <c r="V35" s="57"/>
      <c r="W35" s="57"/>
      <c r="X35" s="57"/>
      <c r="Y35" s="57"/>
      <c r="Z35" s="57"/>
    </row>
    <row r="36">
      <c r="A36" s="56" t="str">
        <f>IFERROR(__xludf.DUMMYFUNCTION("IF('AYIRA MINI MART FINAL MENU - Pr'!A36="""", """", IF(LEN(IFERROR(TRIM(REGEXREPLACE(TRIM(REGEXEXTRACT('AYIRA MINI MART FINAL MENU - Pr'!A36, ""^[^\x{0600}-\x{06FF}]+"")), ""[-–]+$"", """")), """"))&gt;0, IFERROR(TRIM(REGEXREPLACE(TRIM(REGEXEXTRACT('AYIRA M"&amp;"INI MART FINAL MENU - Pr'!A36, ""^[^\x{0600}-\x{06FF}]+"")), ""[-–]+$"", """")), """"), GOOGLETRANSLATE('AYIRA MINI MART FINAL MENU - Pr'!A36, ""ar"", ""en"")))"),"KDD 100% Orange Juice 250 ml")</f>
        <v>KDD 100% Orange Juice 250 ml</v>
      </c>
      <c r="B36" s="56" t="str">
        <f>IFERROR(__xludf.DUMMYFUNCTION("IF('AYIRA MINI MART FINAL MENU - Pr'!B36="""", """", IF(LEN(IFERROR(TRIM(REGEXREPLACE(TRIM(REGEXEXTRACT('AYIRA MINI MART FINAL MENU - Pr'!B36, ""^[^\x{0600}-\x{06FF}]+"")), ""[-–]+$"", """")), """"))&gt;0, IFERROR(TRIM(REGEXREPLACE(TRIM(REGEXEXTRACT('AYIRA M"&amp;"INI MART FINAL MENU - Pr'!B36, ""^[^\x{0600}-\x{06FF}]+"")), ""[-–]+$"", """")), """"), GOOGLETRANSLATE('AYIRA MINI MART FINAL MENU - Pr'!B36, ""ar"", ""en"")))"),"Juices &amp; Fruit Drinks")</f>
        <v>Juices &amp; Fruit Drinks</v>
      </c>
      <c r="C36" s="56">
        <f>IF('AYIRA MINI MART FINAL MENU - Pr'!C36="", "", 'AYIRA MINI MART FINAL MENU - Pr'!C36)</f>
        <v>2.5</v>
      </c>
      <c r="D36" s="56" t="str">
        <f>IFERROR(__xludf.DUMMYFUNCTION("IF('AYIRA MINI MART FINAL MENU - Pr'!D36="""", """", GOOGLETRANSLATE('AYIRA MINI MART FINAL MENU - Pr'!D36,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6" s="56" t="str">
        <f>IF('AYIRA MINI MART FINAL MENU - Pr'!K36="", "", 'AYIRA MINI MART FINAL MENU - Pr'!K36)</f>
        <v/>
      </c>
      <c r="F36" s="56"/>
      <c r="G36" s="56"/>
      <c r="H36" s="56"/>
      <c r="I36" s="56"/>
      <c r="J36" s="56"/>
      <c r="L36" s="56" t="str">
        <f>IF('AYIRA MINI MART FINAL MENU - Pr'!L36="", "", 'AYIRA MINI MART FINAL MENU - Pr'!L36)</f>
        <v/>
      </c>
      <c r="M36" s="56" t="str">
        <f>IF('AYIRA MINI MART FINAL MENU - Pr'!M36="", "", 'AYIRA MINI MART FINAL MENU - Pr'!M36)</f>
        <v/>
      </c>
      <c r="N36" s="56" t="str">
        <f>IF('AYIRA MINI MART FINAL MENU - Pr'!N36="", "", 'AYIRA MINI MART FINAL MENU - Pr'!N36)</f>
        <v/>
      </c>
      <c r="O36" s="57"/>
      <c r="P36" s="57"/>
      <c r="Q36" s="57"/>
      <c r="R36" s="57"/>
      <c r="S36" s="57"/>
      <c r="T36" s="57"/>
      <c r="U36" s="57"/>
      <c r="V36" s="57"/>
      <c r="W36" s="57"/>
      <c r="X36" s="57"/>
      <c r="Y36" s="57"/>
      <c r="Z36" s="57"/>
    </row>
    <row r="37">
      <c r="A37" s="56" t="str">
        <f>IFERROR(__xludf.DUMMYFUNCTION("IF('AYIRA MINI MART FINAL MENU - Pr'!A37="""", """", IF(LEN(IFERROR(TRIM(REGEXREPLACE(TRIM(REGEXEXTRACT('AYIRA MINI MART FINAL MENU - Pr'!A37, ""^[^\x{0600}-\x{06FF}]+"")), ""[-–]+$"", """")), """"))&gt;0, IFERROR(TRIM(REGEXREPLACE(TRIM(REGEXEXTRACT('AYIRA M"&amp;"INI MART FINAL MENU - Pr'!A37, ""^[^\x{0600}-\x{06FF}]+"")), ""[-–]+$"", """")), """"), GOOGLETRANSLATE('AYIRA MINI MART FINAL MENU - Pr'!A37, ""ar"", ""en"")))"),"KDD Peach Nectar 250 ml")</f>
        <v>KDD Peach Nectar 250 ml</v>
      </c>
      <c r="B37" s="56" t="str">
        <f>IFERROR(__xludf.DUMMYFUNCTION("IF('AYIRA MINI MART FINAL MENU - Pr'!B37="""", """", IF(LEN(IFERROR(TRIM(REGEXREPLACE(TRIM(REGEXEXTRACT('AYIRA MINI MART FINAL MENU - Pr'!B37, ""^[^\x{0600}-\x{06FF}]+"")), ""[-–]+$"", """")), """"))&gt;0, IFERROR(TRIM(REGEXREPLACE(TRIM(REGEXEXTRACT('AYIRA M"&amp;"INI MART FINAL MENU - Pr'!B37, ""^[^\x{0600}-\x{06FF}]+"")), ""[-–]+$"", """")), """"), GOOGLETRANSLATE('AYIRA MINI MART FINAL MENU - Pr'!B37, ""ar"", ""en"")))"),"Juices &amp; Fruit Drinks")</f>
        <v>Juices &amp; Fruit Drinks</v>
      </c>
      <c r="C37" s="56">
        <f>IF('AYIRA MINI MART FINAL MENU - Pr'!C37="", "", 'AYIRA MINI MART FINAL MENU - Pr'!C37)</f>
        <v>2.5</v>
      </c>
      <c r="D37" s="56" t="str">
        <f>IFERROR(__xludf.DUMMYFUNCTION("IF('AYIRA MINI MART FINAL MENU - Pr'!D37="""", """", GOOGLETRANSLATE('AYIRA MINI MART FINAL MENU - Pr'!D37,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7" s="56" t="str">
        <f>IF('AYIRA MINI MART FINAL MENU - Pr'!K37="", "", 'AYIRA MINI MART FINAL MENU - Pr'!K37)</f>
        <v/>
      </c>
      <c r="F37" s="56"/>
      <c r="G37" s="56"/>
      <c r="H37" s="56"/>
      <c r="I37" s="56"/>
      <c r="J37" s="56"/>
      <c r="L37" s="56" t="str">
        <f>IF('AYIRA MINI MART FINAL MENU - Pr'!L37="", "", 'AYIRA MINI MART FINAL MENU - Pr'!L37)</f>
        <v/>
      </c>
      <c r="M37" s="56" t="str">
        <f>IF('AYIRA MINI MART FINAL MENU - Pr'!M37="", "", 'AYIRA MINI MART FINAL MENU - Pr'!M37)</f>
        <v/>
      </c>
      <c r="N37" s="56" t="str">
        <f>IF('AYIRA MINI MART FINAL MENU - Pr'!N37="", "", 'AYIRA MINI MART FINAL MENU - Pr'!N37)</f>
        <v/>
      </c>
      <c r="O37" s="57"/>
      <c r="P37" s="57"/>
      <c r="Q37" s="57"/>
      <c r="R37" s="57"/>
      <c r="S37" s="57"/>
      <c r="T37" s="57"/>
      <c r="U37" s="57"/>
      <c r="V37" s="57"/>
      <c r="W37" s="57"/>
      <c r="X37" s="57"/>
      <c r="Y37" s="57"/>
      <c r="Z37" s="57"/>
    </row>
    <row r="38">
      <c r="A38" s="56" t="str">
        <f>IFERROR(__xludf.DUMMYFUNCTION("IF('AYIRA MINI MART FINAL MENU - Pr'!A38="""", """", IF(LEN(IFERROR(TRIM(REGEXREPLACE(TRIM(REGEXEXTRACT('AYIRA MINI MART FINAL MENU - Pr'!A38, ""^[^\x{0600}-\x{06FF}]+"")), ""[-–]+$"", """")), """"))&gt;0, IFERROR(TRIM(REGEXREPLACE(TRIM(REGEXEXTRACT('AYIRA M"&amp;"INI MART FINAL MENU - Pr'!A38, ""^[^\x{0600}-\x{06FF}]+"")), ""[-–]+$"", """")), """"), GOOGLETRANSLATE('AYIRA MINI MART FINAL MENU - Pr'!A38, ""ar"", ""en"")))"),"KDD Cocktail Fruit Drink 180 ml")</f>
        <v>KDD Cocktail Fruit Drink 180 ml</v>
      </c>
      <c r="B38" s="56" t="str">
        <f>IFERROR(__xludf.DUMMYFUNCTION("IF('AYIRA MINI MART FINAL MENU - Pr'!B38="""", """", IF(LEN(IFERROR(TRIM(REGEXREPLACE(TRIM(REGEXEXTRACT('AYIRA MINI MART FINAL MENU - Pr'!B38, ""^[^\x{0600}-\x{06FF}]+"")), ""[-–]+$"", """")), """"))&gt;0, IFERROR(TRIM(REGEXREPLACE(TRIM(REGEXEXTRACT('AYIRA M"&amp;"INI MART FINAL MENU - Pr'!B38, ""^[^\x{0600}-\x{06FF}]+"")), ""[-–]+$"", """")), """"), GOOGLETRANSLATE('AYIRA MINI MART FINAL MENU - Pr'!B38, ""ar"", ""en"")))"),"Juices &amp; Fruit Drinks")</f>
        <v>Juices &amp; Fruit Drinks</v>
      </c>
      <c r="C38" s="56">
        <f>IF('AYIRA MINI MART FINAL MENU - Pr'!C38="", "", 'AYIRA MINI MART FINAL MENU - Pr'!C38)</f>
        <v>2</v>
      </c>
      <c r="D38" s="56" t="str">
        <f>IFERROR(__xludf.DUMMYFUNCTION("IF('AYIRA MINI MART FINAL MENU - Pr'!D38="""", """", GOOGLETRANSLATE('AYIRA MINI MART FINAL MENU - Pr'!D38, ""ar"", ""en""))"),"Enjoy KDD,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KDD,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38" s="56" t="str">
        <f>IF('AYIRA MINI MART FINAL MENU - Pr'!K38="", "", 'AYIRA MINI MART FINAL MENU - Pr'!K38)</f>
        <v/>
      </c>
      <c r="F38" s="56"/>
      <c r="G38" s="56"/>
      <c r="H38" s="56"/>
      <c r="I38" s="56"/>
      <c r="J38" s="56"/>
      <c r="L38" s="56" t="str">
        <f>IF('AYIRA MINI MART FINAL MENU - Pr'!L38="", "", 'AYIRA MINI MART FINAL MENU - Pr'!L38)</f>
        <v/>
      </c>
      <c r="M38" s="56" t="str">
        <f>IF('AYIRA MINI MART FINAL MENU - Pr'!M38="", "", 'AYIRA MINI MART FINAL MENU - Pr'!M38)</f>
        <v/>
      </c>
      <c r="N38" s="56" t="str">
        <f>IF('AYIRA MINI MART FINAL MENU - Pr'!N38="", "", 'AYIRA MINI MART FINAL MENU - Pr'!N38)</f>
        <v/>
      </c>
      <c r="O38" s="57"/>
      <c r="P38" s="57"/>
      <c r="Q38" s="57"/>
      <c r="R38" s="57"/>
      <c r="S38" s="57"/>
      <c r="T38" s="57"/>
      <c r="U38" s="57"/>
      <c r="V38" s="57"/>
      <c r="W38" s="57"/>
      <c r="X38" s="57"/>
      <c r="Y38" s="57"/>
      <c r="Z38" s="57"/>
    </row>
    <row r="39">
      <c r="A39" s="56" t="str">
        <f>IFERROR(__xludf.DUMMYFUNCTION("IF('AYIRA MINI MART FINAL MENU - Pr'!A39="""", """", IF(LEN(IFERROR(TRIM(REGEXREPLACE(TRIM(REGEXEXTRACT('AYIRA MINI MART FINAL MENU - Pr'!A39, ""^[^\x{0600}-\x{06FF}]+"")), ""[-–]+$"", """")), """"))&gt;0, IFERROR(TRIM(REGEXREPLACE(TRIM(REGEXEXTRACT('AYIRA M"&amp;"INI MART FINAL MENU - Pr'!A39, ""^[^\x{0600}-\x{06FF}]+"")), ""[-–]+$"", """")), """"), GOOGLETRANSLATE('AYIRA MINI MART FINAL MENU - Pr'!A39, ""ar"", ""en"")))"),"KDD 100% Orange Juice 180 ml")</f>
        <v>KDD 100% Orange Juice 180 ml</v>
      </c>
      <c r="B39" s="56" t="str">
        <f>IFERROR(__xludf.DUMMYFUNCTION("IF('AYIRA MINI MART FINAL MENU - Pr'!B39="""", """", IF(LEN(IFERROR(TRIM(REGEXREPLACE(TRIM(REGEXEXTRACT('AYIRA MINI MART FINAL MENU - Pr'!B39, ""^[^\x{0600}-\x{06FF}]+"")), ""[-–]+$"", """")), """"))&gt;0, IFERROR(TRIM(REGEXREPLACE(TRIM(REGEXEXTRACT('AYIRA M"&amp;"INI MART FINAL MENU - Pr'!B39, ""^[^\x{0600}-\x{06FF}]+"")), ""[-–]+$"", """")), """"), GOOGLETRANSLATE('AYIRA MINI MART FINAL MENU - Pr'!B39, ""ar"", ""en"")))"),"Juices &amp; Fruit Drinks")</f>
        <v>Juices &amp; Fruit Drinks</v>
      </c>
      <c r="C39" s="56">
        <f>IF('AYIRA MINI MART FINAL MENU - Pr'!C39="", "", 'AYIRA MINI MART FINAL MENU - Pr'!C39)</f>
        <v>2</v>
      </c>
      <c r="D39" s="56" t="str">
        <f>IFERROR(__xludf.DUMMYFUNCTION("IF('AYIRA MINI MART FINAL MENU - Pr'!D39="""", """", GOOGLETRANSLATE('AYIRA MINI MART FINAL MENU - Pr'!D39,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9" s="56" t="str">
        <f>IF('AYIRA MINI MART FINAL MENU - Pr'!K39="", "", 'AYIRA MINI MART FINAL MENU - Pr'!K39)</f>
        <v/>
      </c>
      <c r="F39" s="56"/>
      <c r="G39" s="56"/>
      <c r="H39" s="56"/>
      <c r="I39" s="56"/>
      <c r="J39" s="56"/>
      <c r="L39" s="56" t="str">
        <f>IF('AYIRA MINI MART FINAL MENU - Pr'!L39="", "", 'AYIRA MINI MART FINAL MENU - Pr'!L39)</f>
        <v/>
      </c>
      <c r="M39" s="56" t="str">
        <f>IF('AYIRA MINI MART FINAL MENU - Pr'!M39="", "", 'AYIRA MINI MART FINAL MENU - Pr'!M39)</f>
        <v/>
      </c>
      <c r="N39" s="56" t="str">
        <f>IF('AYIRA MINI MART FINAL MENU - Pr'!N39="", "", 'AYIRA MINI MART FINAL MENU - Pr'!N39)</f>
        <v/>
      </c>
      <c r="O39" s="57"/>
      <c r="P39" s="57"/>
      <c r="Q39" s="57"/>
      <c r="R39" s="57"/>
      <c r="S39" s="57"/>
      <c r="T39" s="57"/>
      <c r="U39" s="57"/>
      <c r="V39" s="57"/>
      <c r="W39" s="57"/>
      <c r="X39" s="57"/>
      <c r="Y39" s="57"/>
      <c r="Z39" s="57"/>
    </row>
    <row r="40">
      <c r="A40" s="56" t="str">
        <f>IFERROR(__xludf.DUMMYFUNCTION("IF('AYIRA MINI MART FINAL MENU - Pr'!A40="""", """", IF(LEN(IFERROR(TRIM(REGEXREPLACE(TRIM(REGEXEXTRACT('AYIRA MINI MART FINAL MENU - Pr'!A40, ""^[^\x{0600}-\x{06FF}]+"")), ""[-–]+$"", """")), """"))&gt;0, IFERROR(TRIM(REGEXREPLACE(TRIM(REGEXEXTRACT('AYIRA M"&amp;"INI MART FINAL MENU - Pr'!A40, ""^[^\x{0600}-\x{06FF}]+"")), ""[-–]+$"", """")), """"), GOOGLETRANSLATE('AYIRA MINI MART FINAL MENU - Pr'!A40, ""ar"", ""en"")))"),"KDD Guava Nectar 180 ml")</f>
        <v>KDD Guava Nectar 180 ml</v>
      </c>
      <c r="B40" s="56" t="str">
        <f>IFERROR(__xludf.DUMMYFUNCTION("IF('AYIRA MINI MART FINAL MENU - Pr'!B40="""", """", IF(LEN(IFERROR(TRIM(REGEXREPLACE(TRIM(REGEXEXTRACT('AYIRA MINI MART FINAL MENU - Pr'!B40, ""^[^\x{0600}-\x{06FF}]+"")), ""[-–]+$"", """")), """"))&gt;0, IFERROR(TRIM(REGEXREPLACE(TRIM(REGEXEXTRACT('AYIRA M"&amp;"INI MART FINAL MENU - Pr'!B40, ""^[^\x{0600}-\x{06FF}]+"")), ""[-–]+$"", """")), """"), GOOGLETRANSLATE('AYIRA MINI MART FINAL MENU - Pr'!B40, ""ar"", ""en"")))"),"Juices &amp; Fruit Drinks")</f>
        <v>Juices &amp; Fruit Drinks</v>
      </c>
      <c r="C40" s="56">
        <f>IF('AYIRA MINI MART FINAL MENU - Pr'!C40="", "", 'AYIRA MINI MART FINAL MENU - Pr'!C40)</f>
        <v>2</v>
      </c>
      <c r="D40" s="56" t="str">
        <f>IFERROR(__xludf.DUMMYFUNCTION("IF('AYIRA MINI MART FINAL MENU - Pr'!D40="""", """", GOOGLETRANSLATE('AYIRA MINI MART FINAL MENU - Pr'!D40,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40" s="56" t="str">
        <f>IF('AYIRA MINI MART FINAL MENU - Pr'!K40="", "", 'AYIRA MINI MART FINAL MENU - Pr'!K40)</f>
        <v/>
      </c>
      <c r="F40" s="56"/>
      <c r="G40" s="56"/>
      <c r="H40" s="56"/>
      <c r="I40" s="56"/>
      <c r="J40" s="56"/>
      <c r="L40" s="56" t="str">
        <f>IF('AYIRA MINI MART FINAL MENU - Pr'!L40="", "", 'AYIRA MINI MART FINAL MENU - Pr'!L40)</f>
        <v/>
      </c>
      <c r="M40" s="56" t="str">
        <f>IF('AYIRA MINI MART FINAL MENU - Pr'!M40="", "", 'AYIRA MINI MART FINAL MENU - Pr'!M40)</f>
        <v/>
      </c>
      <c r="N40" s="56" t="str">
        <f>IF('AYIRA MINI MART FINAL MENU - Pr'!N40="", "", 'AYIRA MINI MART FINAL MENU - Pr'!N40)</f>
        <v/>
      </c>
      <c r="O40" s="57"/>
      <c r="P40" s="57"/>
      <c r="Q40" s="57"/>
      <c r="R40" s="57"/>
      <c r="S40" s="57"/>
      <c r="T40" s="57"/>
      <c r="U40" s="57"/>
      <c r="V40" s="57"/>
      <c r="W40" s="57"/>
      <c r="X40" s="57"/>
      <c r="Y40" s="57"/>
      <c r="Z40" s="57"/>
    </row>
    <row r="41">
      <c r="A41" s="56" t="str">
        <f>IFERROR(__xludf.DUMMYFUNCTION("IF('AYIRA MINI MART FINAL MENU - Pr'!A41="""", """", IF(LEN(IFERROR(TRIM(REGEXREPLACE(TRIM(REGEXEXTRACT('AYIRA MINI MART FINAL MENU - Pr'!A41, ""^[^\x{0600}-\x{06FF}]+"")), ""[-–]+$"", """")), """"))&gt;0, IFERROR(TRIM(REGEXREPLACE(TRIM(REGEXEXTRACT('AYIRA M"&amp;"INI MART FINAL MENU - Pr'!A41, ""^[^\x{0600}-\x{06FF}]+"")), ""[-–]+$"", """")), """"), GOOGLETRANSLATE('AYIRA MINI MART FINAL MENU - Pr'!A41, ""ar"", ""en"")))"),"KDD 100% Apple Juice 180 ml")</f>
        <v>KDD 100% Apple Juice 180 ml</v>
      </c>
      <c r="B41" s="56" t="str">
        <f>IFERROR(__xludf.DUMMYFUNCTION("IF('AYIRA MINI MART FINAL MENU - Pr'!B41="""", """", IF(LEN(IFERROR(TRIM(REGEXREPLACE(TRIM(REGEXEXTRACT('AYIRA MINI MART FINAL MENU - Pr'!B41, ""^[^\x{0600}-\x{06FF}]+"")), ""[-–]+$"", """")), """"))&gt;0, IFERROR(TRIM(REGEXREPLACE(TRIM(REGEXEXTRACT('AYIRA M"&amp;"INI MART FINAL MENU - Pr'!B41, ""^[^\x{0600}-\x{06FF}]+"")), ""[-–]+$"", """")), """"), GOOGLETRANSLATE('AYIRA MINI MART FINAL MENU - Pr'!B41, ""ar"", ""en"")))"),"Juices &amp; Fruit Drinks")</f>
        <v>Juices &amp; Fruit Drinks</v>
      </c>
      <c r="C41" s="56">
        <f>IF('AYIRA MINI MART FINAL MENU - Pr'!C41="", "", 'AYIRA MINI MART FINAL MENU - Pr'!C41)</f>
        <v>2</v>
      </c>
      <c r="D41" s="56" t="str">
        <f>IFERROR(__xludf.DUMMYFUNCTION("IF('AYIRA MINI MART FINAL MENU - Pr'!D41="""", """", GOOGLETRANSLATE('AYIRA MINI MART FINAL MENU - Pr'!D41,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41" s="56" t="str">
        <f>IF('AYIRA MINI MART FINAL MENU - Pr'!K41="", "", 'AYIRA MINI MART FINAL MENU - Pr'!K41)</f>
        <v/>
      </c>
      <c r="F41" s="56"/>
      <c r="G41" s="56"/>
      <c r="H41" s="56"/>
      <c r="I41" s="56"/>
      <c r="J41" s="56"/>
      <c r="L41" s="56" t="str">
        <f>IF('AYIRA MINI MART FINAL MENU - Pr'!L41="", "", 'AYIRA MINI MART FINAL MENU - Pr'!L41)</f>
        <v/>
      </c>
      <c r="M41" s="56" t="str">
        <f>IF('AYIRA MINI MART FINAL MENU - Pr'!M41="", "", 'AYIRA MINI MART FINAL MENU - Pr'!M41)</f>
        <v/>
      </c>
      <c r="N41" s="56" t="str">
        <f>IF('AYIRA MINI MART FINAL MENU - Pr'!N41="", "", 'AYIRA MINI MART FINAL MENU - Pr'!N41)</f>
        <v/>
      </c>
      <c r="O41" s="57"/>
      <c r="P41" s="57"/>
      <c r="Q41" s="57"/>
      <c r="R41" s="57"/>
      <c r="S41" s="57"/>
      <c r="T41" s="57"/>
      <c r="U41" s="57"/>
      <c r="V41" s="57"/>
      <c r="W41" s="57"/>
      <c r="X41" s="57"/>
      <c r="Y41" s="57"/>
      <c r="Z41" s="57"/>
    </row>
    <row r="42">
      <c r="A42" s="56" t="str">
        <f>IFERROR(__xludf.DUMMYFUNCTION("IF('AYIRA MINI MART FINAL MENU - Pr'!A42="""", """", IF(LEN(IFERROR(TRIM(REGEXREPLACE(TRIM(REGEXEXTRACT('AYIRA MINI MART FINAL MENU - Pr'!A42, ""^[^\x{0600}-\x{06FF}]+"")), ""[-–]+$"", """")), """"))&gt;0, IFERROR(TRIM(REGEXREPLACE(TRIM(REGEXEXTRACT('AYIRA M"&amp;"INI MART FINAL MENU - Pr'!A42, ""^[^\x{0600}-\x{06FF}]+"")), ""[-–]+$"", """")), """"), GOOGLETRANSLATE('AYIRA MINI MART FINAL MENU - Pr'!A42, ""ar"", ""en"")))"),"KDD Chocolate Milk Enriched with Vitamins A &amp; D 125 ml")</f>
        <v>KDD Chocolate Milk Enriched with Vitamins A &amp; D 125 ml</v>
      </c>
      <c r="B42" s="56" t="str">
        <f>IFERROR(__xludf.DUMMYFUNCTION("IF('AYIRA MINI MART FINAL MENU - Pr'!B42="""", """", IF(LEN(IFERROR(TRIM(REGEXREPLACE(TRIM(REGEXEXTRACT('AYIRA MINI MART FINAL MENU - Pr'!B42, ""^[^\x{0600}-\x{06FF}]+"")), ""[-–]+$"", """")), """"))&gt;0, IFERROR(TRIM(REGEXREPLACE(TRIM(REGEXEXTRACT('AYIRA M"&amp;"INI MART FINAL MENU - Pr'!B42, ""^[^\x{0600}-\x{06FF}]+"")), ""[-–]+$"", """")), """"), GOOGLETRANSLATE('AYIRA MINI MART FINAL MENU - Pr'!B42, ""ar"", ""en"")))"),"Juices &amp; Fruit Drinks")</f>
        <v>Juices &amp; Fruit Drinks</v>
      </c>
      <c r="C42" s="56">
        <f>IF('AYIRA MINI MART FINAL MENU - Pr'!C42="", "", 'AYIRA MINI MART FINAL MENU - Pr'!C42)</f>
        <v>2</v>
      </c>
      <c r="D42" s="56" t="str">
        <f>IFERROR(__xludf.DUMMYFUNCTION("IF('AYIRA MINI MART FINAL MENU - Pr'!D42="""", """", GOOGLETRANSLATE('AYIRA MINI MART FINAL MENU - Pr'!D42, ""ar"", ""en""))"),"Indulge your senses with KDD, the premium chocolate that combines rich flavor with a perfect texture. Made from the finest selected cocoa beans, it delivers an exceptional dessert experience every time. Whether you're looking for a special gift or want to"&amp;" treat yourself, this chocolate is the perfect choice. Savor every piece and immerse yourself in a world of smoothness and sweetness. Get yours from Aira Mini Mart and experience moments of pure delight.")</f>
        <v>Indulge your senses with KDD, the premium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2" s="56" t="str">
        <f>IF('AYIRA MINI MART FINAL MENU - Pr'!K42="", "", 'AYIRA MINI MART FINAL MENU - Pr'!K42)</f>
        <v/>
      </c>
      <c r="F42" s="56"/>
      <c r="G42" s="56"/>
      <c r="H42" s="56"/>
      <c r="I42" s="56"/>
      <c r="J42" s="56"/>
      <c r="L42" s="56" t="str">
        <f>IF('AYIRA MINI MART FINAL MENU - Pr'!L42="", "", 'AYIRA MINI MART FINAL MENU - Pr'!L42)</f>
        <v/>
      </c>
      <c r="M42" s="56" t="str">
        <f>IF('AYIRA MINI MART FINAL MENU - Pr'!M42="", "", 'AYIRA MINI MART FINAL MENU - Pr'!M42)</f>
        <v/>
      </c>
      <c r="N42" s="56" t="str">
        <f>IF('AYIRA MINI MART FINAL MENU - Pr'!N42="", "", 'AYIRA MINI MART FINAL MENU - Pr'!N42)</f>
        <v/>
      </c>
      <c r="O42" s="57"/>
      <c r="P42" s="57"/>
      <c r="Q42" s="57"/>
      <c r="R42" s="57"/>
      <c r="S42" s="57"/>
      <c r="T42" s="57"/>
      <c r="U42" s="57"/>
      <c r="V42" s="57"/>
      <c r="W42" s="57"/>
      <c r="X42" s="57"/>
      <c r="Y42" s="57"/>
      <c r="Z42" s="57"/>
    </row>
    <row r="43">
      <c r="A43" s="56" t="str">
        <f>IFERROR(__xludf.DUMMYFUNCTION("IF('AYIRA MINI MART FINAL MENU - Pr'!A43="""", """", IF(LEN(IFERROR(TRIM(REGEXREPLACE(TRIM(REGEXEXTRACT('AYIRA MINI MART FINAL MENU - Pr'!A43, ""^[^\x{0600}-\x{06FF}]+"")), ""[-–]+$"", """")), """"))&gt;0, IFERROR(TRIM(REGEXREPLACE(TRIM(REGEXEXTRACT('AYIRA M"&amp;"INI MART FINAL MENU - Pr'!A43, ""^[^\x{0600}-\x{06FF}]+"")), ""[-–]+$"", """")), """"), GOOGLETRANSLATE('AYIRA MINI MART FINAL MENU - Pr'!A43, ""ar"", ""en"")))"),"KDD Apple Juice 125 ml")</f>
        <v>KDD Apple Juice 125 ml</v>
      </c>
      <c r="B43" s="56" t="str">
        <f>IFERROR(__xludf.DUMMYFUNCTION("IF('AYIRA MINI MART FINAL MENU - Pr'!B43="""", """", IF(LEN(IFERROR(TRIM(REGEXREPLACE(TRIM(REGEXEXTRACT('AYIRA MINI MART FINAL MENU - Pr'!B43, ""^[^\x{0600}-\x{06FF}]+"")), ""[-–]+$"", """")), """"))&gt;0, IFERROR(TRIM(REGEXREPLACE(TRIM(REGEXEXTRACT('AYIRA M"&amp;"INI MART FINAL MENU - Pr'!B43, ""^[^\x{0600}-\x{06FF}]+"")), ""[-–]+$"", """")), """"), GOOGLETRANSLATE('AYIRA MINI MART FINAL MENU - Pr'!B43, ""ar"", ""en"")))"),"Juices &amp; Fruit Drinks")</f>
        <v>Juices &amp; Fruit Drinks</v>
      </c>
      <c r="C43" s="56">
        <f>IF('AYIRA MINI MART FINAL MENU - Pr'!C43="", "", 'AYIRA MINI MART FINAL MENU - Pr'!C43)</f>
        <v>2</v>
      </c>
      <c r="D43" s="56" t="str">
        <f>IFERROR(__xludf.DUMMYFUNCTION("IF('AYIRA MINI MART FINAL MENU - Pr'!D43="""", """", GOOGLETRANSLATE('AYIRA MINI MART FINAL MENU - Pr'!D43,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43" s="56" t="str">
        <f>IF('AYIRA MINI MART FINAL MENU - Pr'!K43="", "", 'AYIRA MINI MART FINAL MENU - Pr'!K43)</f>
        <v/>
      </c>
      <c r="F43" s="56"/>
      <c r="G43" s="56"/>
      <c r="H43" s="56"/>
      <c r="I43" s="56"/>
      <c r="J43" s="56"/>
      <c r="L43" s="56" t="str">
        <f>IF('AYIRA MINI MART FINAL MENU - Pr'!L43="", "", 'AYIRA MINI MART FINAL MENU - Pr'!L43)</f>
        <v/>
      </c>
      <c r="M43" s="56" t="str">
        <f>IF('AYIRA MINI MART FINAL MENU - Pr'!M43="", "", 'AYIRA MINI MART FINAL MENU - Pr'!M43)</f>
        <v/>
      </c>
      <c r="N43" s="56" t="str">
        <f>IF('AYIRA MINI MART FINAL MENU - Pr'!N43="", "", 'AYIRA MINI MART FINAL MENU - Pr'!N43)</f>
        <v/>
      </c>
      <c r="O43" s="57"/>
      <c r="P43" s="57"/>
      <c r="Q43" s="57"/>
      <c r="R43" s="57"/>
      <c r="S43" s="57"/>
      <c r="T43" s="57"/>
      <c r="U43" s="57"/>
      <c r="V43" s="57"/>
      <c r="W43" s="57"/>
      <c r="X43" s="57"/>
      <c r="Y43" s="57"/>
      <c r="Z43" s="57"/>
    </row>
    <row r="44">
      <c r="A44" s="56" t="str">
        <f>IFERROR(__xludf.DUMMYFUNCTION("IF('AYIRA MINI MART FINAL MENU - Pr'!A44="""", """", IF(LEN(IFERROR(TRIM(REGEXREPLACE(TRIM(REGEXEXTRACT('AYIRA MINI MART FINAL MENU - Pr'!A44, ""^[^\x{0600}-\x{06FF}]+"")), ""[-–]+$"", """")), """"))&gt;0, IFERROR(TRIM(REGEXREPLACE(TRIM(REGEXEXTRACT('AYIRA M"&amp;"INI MART FINAL MENU - Pr'!A44, ""^[^\x{0600}-\x{06FF}]+"")), ""[-–]+$"", """")), """"), GOOGLETRANSLATE('AYIRA MINI MART FINAL MENU - Pr'!A44, ""ar"", ""en"")))"),"KDD Mango Nectar 125 ml")</f>
        <v>KDD Mango Nectar 125 ml</v>
      </c>
      <c r="B44" s="56" t="str">
        <f>IFERROR(__xludf.DUMMYFUNCTION("IF('AYIRA MINI MART FINAL MENU - Pr'!B44="""", """", IF(LEN(IFERROR(TRIM(REGEXREPLACE(TRIM(REGEXEXTRACT('AYIRA MINI MART FINAL MENU - Pr'!B44, ""^[^\x{0600}-\x{06FF}]+"")), ""[-–]+$"", """")), """"))&gt;0, IFERROR(TRIM(REGEXREPLACE(TRIM(REGEXEXTRACT('AYIRA M"&amp;"INI MART FINAL MENU - Pr'!B44, ""^[^\x{0600}-\x{06FF}]+"")), ""[-–]+$"", """")), """"), GOOGLETRANSLATE('AYIRA MINI MART FINAL MENU - Pr'!B44, ""ar"", ""en"")))"),"Juices &amp; Fruit Drinks")</f>
        <v>Juices &amp; Fruit Drinks</v>
      </c>
      <c r="C44" s="56">
        <f>IF('AYIRA MINI MART FINAL MENU - Pr'!C44="", "", 'AYIRA MINI MART FINAL MENU - Pr'!C44)</f>
        <v>1.25</v>
      </c>
      <c r="D44" s="56" t="str">
        <f>IFERROR(__xludf.DUMMYFUNCTION("IF('AYIRA MINI MART FINAL MENU - Pr'!D44="""", """", GOOGLETRANSLATE('AYIRA MINI MART FINAL MENU - Pr'!D44,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44" s="56" t="str">
        <f>IF('AYIRA MINI MART FINAL MENU - Pr'!K44="", "", 'AYIRA MINI MART FINAL MENU - Pr'!K44)</f>
        <v/>
      </c>
      <c r="F44" s="56"/>
      <c r="G44" s="56"/>
      <c r="H44" s="56"/>
      <c r="I44" s="56"/>
      <c r="J44" s="56"/>
      <c r="L44" s="56" t="str">
        <f>IF('AYIRA MINI MART FINAL MENU - Pr'!L44="", "", 'AYIRA MINI MART FINAL MENU - Pr'!L44)</f>
        <v/>
      </c>
      <c r="M44" s="56" t="str">
        <f>IF('AYIRA MINI MART FINAL MENU - Pr'!M44="", "", 'AYIRA MINI MART FINAL MENU - Pr'!M44)</f>
        <v/>
      </c>
      <c r="N44" s="56" t="str">
        <f>IF('AYIRA MINI MART FINAL MENU - Pr'!N44="", "", 'AYIRA MINI MART FINAL MENU - Pr'!N44)</f>
        <v/>
      </c>
      <c r="O44" s="57"/>
      <c r="P44" s="57"/>
      <c r="Q44" s="57"/>
      <c r="R44" s="57"/>
      <c r="S44" s="57"/>
      <c r="T44" s="57"/>
      <c r="U44" s="57"/>
      <c r="V44" s="57"/>
      <c r="W44" s="57"/>
      <c r="X44" s="57"/>
      <c r="Y44" s="57"/>
      <c r="Z44" s="57"/>
    </row>
    <row r="45">
      <c r="A45" s="56" t="str">
        <f>IFERROR(__xludf.DUMMYFUNCTION("IF('AYIRA MINI MART FINAL MENU - Pr'!A45="""", """", IF(LEN(IFERROR(TRIM(REGEXREPLACE(TRIM(REGEXEXTRACT('AYIRA MINI MART FINAL MENU - Pr'!A45, ""^[^\x{0600}-\x{06FF}]+"")), ""[-–]+$"", """")), """"))&gt;0, IFERROR(TRIM(REGEXREPLACE(TRIM(REGEXEXTRACT('AYIRA M"&amp;"INI MART FINAL MENU - Pr'!A45, ""^[^\x{0600}-\x{06FF}]+"")), ""[-–]+$"", """")), """"), GOOGLETRANSLATE('AYIRA MINI MART FINAL MENU - Pr'!A45, ""ar"", ""en"")))"),"KDD Cocktail Fruit Drink 125 ml")</f>
        <v>KDD Cocktail Fruit Drink 125 ml</v>
      </c>
      <c r="B45" s="56" t="str">
        <f>IFERROR(__xludf.DUMMYFUNCTION("IF('AYIRA MINI MART FINAL MENU - Pr'!B45="""", """", IF(LEN(IFERROR(TRIM(REGEXREPLACE(TRIM(REGEXEXTRACT('AYIRA MINI MART FINAL MENU - Pr'!B45, ""^[^\x{0600}-\x{06FF}]+"")), ""[-–]+$"", """")), """"))&gt;0, IFERROR(TRIM(REGEXREPLACE(TRIM(REGEXEXTRACT('AYIRA M"&amp;"INI MART FINAL MENU - Pr'!B45, ""^[^\x{0600}-\x{06FF}]+"")), ""[-–]+$"", """")), """"), GOOGLETRANSLATE('AYIRA MINI MART FINAL MENU - Pr'!B45, ""ar"", ""en"")))"),"Juices &amp; Fruit Drinks")</f>
        <v>Juices &amp; Fruit Drinks</v>
      </c>
      <c r="C45" s="56">
        <f>IF('AYIRA MINI MART FINAL MENU - Pr'!C45="", "", 'AYIRA MINI MART FINAL MENU - Pr'!C45)</f>
        <v>1.25</v>
      </c>
      <c r="D45" s="56" t="str">
        <f>IFERROR(__xludf.DUMMYFUNCTION("IF('AYIRA MINI MART FINAL MENU - Pr'!D45="""", """", GOOGLETRANSLATE('AYIRA MINI MART FINAL MENU - Pr'!D45, ""ar"", ""en""))"),"Enjoy KDD,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KDD,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45" s="56" t="str">
        <f>IF('AYIRA MINI MART FINAL MENU - Pr'!K45="", "", 'AYIRA MINI MART FINAL MENU - Pr'!K45)</f>
        <v/>
      </c>
      <c r="F45" s="56"/>
      <c r="G45" s="56"/>
      <c r="H45" s="56"/>
      <c r="I45" s="56"/>
      <c r="J45" s="56"/>
      <c r="L45" s="56" t="str">
        <f>IF('AYIRA MINI MART FINAL MENU - Pr'!L45="", "", 'AYIRA MINI MART FINAL MENU - Pr'!L45)</f>
        <v/>
      </c>
      <c r="M45" s="56" t="str">
        <f>IF('AYIRA MINI MART FINAL MENU - Pr'!M45="", "", 'AYIRA MINI MART FINAL MENU - Pr'!M45)</f>
        <v/>
      </c>
      <c r="N45" s="56" t="str">
        <f>IF('AYIRA MINI MART FINAL MENU - Pr'!N45="", "", 'AYIRA MINI MART FINAL MENU - Pr'!N45)</f>
        <v/>
      </c>
      <c r="O45" s="57"/>
      <c r="P45" s="57"/>
      <c r="Q45" s="57"/>
      <c r="R45" s="57"/>
      <c r="S45" s="57"/>
      <c r="T45" s="57"/>
      <c r="U45" s="57"/>
      <c r="V45" s="57"/>
      <c r="W45" s="57"/>
      <c r="X45" s="57"/>
      <c r="Y45" s="57"/>
      <c r="Z45" s="57"/>
    </row>
    <row r="46">
      <c r="A46" s="56" t="str">
        <f>IFERROR(__xludf.DUMMYFUNCTION("IF('AYIRA MINI MART FINAL MENU - Pr'!A46="""", """", IF(LEN(IFERROR(TRIM(REGEXREPLACE(TRIM(REGEXEXTRACT('AYIRA MINI MART FINAL MENU - Pr'!A46, ""^[^\x{0600}-\x{06FF}]+"")), ""[-–]+$"", """")), """"))&gt;0, IFERROR(TRIM(REGEXREPLACE(TRIM(REGEXEXTRACT('AYIRA M"&amp;"INI MART FINAL MENU - Pr'!A46, ""^[^\x{0600}-\x{06FF}]+"")), ""[-–]+$"", """")), """"), GOOGLETRANSLATE('AYIRA MINI MART FINAL MENU - Pr'!A46, ""ar"", ""en"")))"),"KDD Orange with Grape Juice 125 ml")</f>
        <v>KDD Orange with Grape Juice 125 ml</v>
      </c>
      <c r="B46" s="56" t="str">
        <f>IFERROR(__xludf.DUMMYFUNCTION("IF('AYIRA MINI MART FINAL MENU - Pr'!B46="""", """", IF(LEN(IFERROR(TRIM(REGEXREPLACE(TRIM(REGEXEXTRACT('AYIRA MINI MART FINAL MENU - Pr'!B46, ""^[^\x{0600}-\x{06FF}]+"")), ""[-–]+$"", """")), """"))&gt;0, IFERROR(TRIM(REGEXREPLACE(TRIM(REGEXEXTRACT('AYIRA M"&amp;"INI MART FINAL MENU - Pr'!B46, ""^[^\x{0600}-\x{06FF}]+"")), ""[-–]+$"", """")), """"), GOOGLETRANSLATE('AYIRA MINI MART FINAL MENU - Pr'!B46, ""ar"", ""en"")))"),"Juices &amp; Fruit Drinks")</f>
        <v>Juices &amp; Fruit Drinks</v>
      </c>
      <c r="C46" s="56">
        <f>IF('AYIRA MINI MART FINAL MENU - Pr'!C46="", "", 'AYIRA MINI MART FINAL MENU - Pr'!C46)</f>
        <v>1.25</v>
      </c>
      <c r="D46" s="56" t="str">
        <f>IFERROR(__xludf.DUMMYFUNCTION("IF('AYIRA MINI MART FINAL MENU - Pr'!D46="""", """", GOOGLETRANSLATE('AYIRA MINI MART FINAL MENU - Pr'!D46, ""ar"", ""en""))"),"Take care of your health with KDD, a fresh juice packed with essential vitamins and minerals. Made from carefully selected, high-quality fruits for a delicious taste and superior nutritional value. It provides natural energy and boosts your immune system "&amp;"thanks to its rich composition. Perfect for your daily breakfast or as a healthy drink anytime. Order now from Aira Mini Mart and enjoy every drop of this delicious and nutritious juice.")</f>
        <v>Take care of your health with KDD,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46" s="56" t="str">
        <f>IF('AYIRA MINI MART FINAL MENU - Pr'!K46="", "", 'AYIRA MINI MART FINAL MENU - Pr'!K46)</f>
        <v/>
      </c>
      <c r="F46" s="56"/>
      <c r="G46" s="56"/>
      <c r="H46" s="56"/>
      <c r="I46" s="56"/>
      <c r="J46" s="56"/>
      <c r="L46" s="56" t="str">
        <f>IF('AYIRA MINI MART FINAL MENU - Pr'!L46="", "", 'AYIRA MINI MART FINAL MENU - Pr'!L46)</f>
        <v/>
      </c>
      <c r="M46" s="56" t="str">
        <f>IF('AYIRA MINI MART FINAL MENU - Pr'!M46="", "", 'AYIRA MINI MART FINAL MENU - Pr'!M46)</f>
        <v/>
      </c>
      <c r="N46" s="56" t="str">
        <f>IF('AYIRA MINI MART FINAL MENU - Pr'!N46="", "", 'AYIRA MINI MART FINAL MENU - Pr'!N46)</f>
        <v/>
      </c>
      <c r="O46" s="57"/>
      <c r="P46" s="57"/>
      <c r="Q46" s="57"/>
      <c r="R46" s="57"/>
      <c r="S46" s="57"/>
      <c r="T46" s="57"/>
      <c r="U46" s="57"/>
      <c r="V46" s="57"/>
      <c r="W46" s="57"/>
      <c r="X46" s="57"/>
      <c r="Y46" s="57"/>
      <c r="Z46" s="57"/>
    </row>
    <row r="47">
      <c r="A47" s="56" t="str">
        <f>IFERROR(__xludf.DUMMYFUNCTION("IF('AYIRA MINI MART FINAL MENU - Pr'!A47="""", """", IF(LEN(IFERROR(TRIM(REGEXREPLACE(TRIM(REGEXEXTRACT('AYIRA MINI MART FINAL MENU - Pr'!A47, ""^[^\x{0600}-\x{06FF}]+"")), ""[-–]+$"", """")), """"))&gt;0, IFERROR(TRIM(REGEXREPLACE(TRIM(REGEXEXTRACT('AYIRA M"&amp;"INI MART FINAL MENU - Pr'!A47, ""^[^\x{0600}-\x{06FF}]+"")), ""[-–]+$"", """")), """"), GOOGLETRANSLATE('AYIRA MINI MART FINAL MENU - Pr'!A47, ""ar"", ""en"")))"),"Double Up Cola 200 ml")</f>
        <v>Double Up Cola 200 ml</v>
      </c>
      <c r="B47" s="56" t="str">
        <f>IFERROR(__xludf.DUMMYFUNCTION("IF('AYIRA MINI MART FINAL MENU - Pr'!B47="""", """", IF(LEN(IFERROR(TRIM(REGEXREPLACE(TRIM(REGEXEXTRACT('AYIRA MINI MART FINAL MENU - Pr'!B47, ""^[^\x{0600}-\x{06FF}]+"")), ""[-–]+$"", """")), """"))&gt;0, IFERROR(TRIM(REGEXREPLACE(TRIM(REGEXEXTRACT('AYIRA M"&amp;"INI MART FINAL MENU - Pr'!B47, ""^[^\x{0600}-\x{06FF}]+"")), ""[-–]+$"", """")), """"), GOOGLETRANSLATE('AYIRA MINI MART FINAL MENU - Pr'!B47, ""ar"", ""en"")))"),"Carbonated Soft Drinks")</f>
        <v>Carbonated Soft Drinks</v>
      </c>
      <c r="C47" s="56">
        <f>IF('AYIRA MINI MART FINAL MENU - Pr'!C47="", "", 'AYIRA MINI MART FINAL MENU - Pr'!C47)</f>
        <v>1.5</v>
      </c>
      <c r="D47" s="56" t="str">
        <f>IFERROR(__xludf.DUMMYFUNCTION("IF('AYIRA MINI MART FINAL MENU - Pr'!D47="""", """", GOOGLETRANSLATE('AYIRA MINI MART FINAL MENU - Pr'!D47, ""ar"", ""en""))"),"Enjoy Double Up, the refreshing soft drink that gives you energy and vitality with every drop. Its delicious taste and unique formula make it the perfect choice to quench your thirst anytime. Ideal for parties, family gatherings, and various occasions. It"&amp;" boasts distinctive flavors that make every sip an unforgettable experience. Get it now from Aira Mini Mart at the best prices and highest quality. Our premium drink provides instant refreshment and satisfies your discerning palate whenever you need hydra"&amp;"tion.")</f>
        <v>Enjoy Double Up,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47" s="56" t="str">
        <f>IF('AYIRA MINI MART FINAL MENU - Pr'!K47="", "", 'AYIRA MINI MART FINAL MENU - Pr'!K47)</f>
        <v/>
      </c>
      <c r="F47" s="56"/>
      <c r="G47" s="56"/>
      <c r="H47" s="56"/>
      <c r="I47" s="56"/>
      <c r="J47" s="56"/>
      <c r="L47" s="56" t="str">
        <f>IF('AYIRA MINI MART FINAL MENU - Pr'!L47="", "", 'AYIRA MINI MART FINAL MENU - Pr'!L47)</f>
        <v/>
      </c>
      <c r="M47" s="56" t="str">
        <f>IF('AYIRA MINI MART FINAL MENU - Pr'!M47="", "", 'AYIRA MINI MART FINAL MENU - Pr'!M47)</f>
        <v/>
      </c>
      <c r="N47" s="56" t="str">
        <f>IF('AYIRA MINI MART FINAL MENU - Pr'!N47="", "", 'AYIRA MINI MART FINAL MENU - Pr'!N47)</f>
        <v/>
      </c>
      <c r="O47" s="57"/>
      <c r="P47" s="57"/>
      <c r="Q47" s="57"/>
      <c r="R47" s="57"/>
      <c r="S47" s="57"/>
      <c r="T47" s="57"/>
      <c r="U47" s="57"/>
      <c r="V47" s="57"/>
      <c r="W47" s="57"/>
      <c r="X47" s="57"/>
      <c r="Y47" s="57"/>
      <c r="Z47" s="57"/>
    </row>
    <row r="48">
      <c r="A48" s="56" t="str">
        <f>IFERROR(__xludf.DUMMYFUNCTION("IF('AYIRA MINI MART FINAL MENU - Pr'!A48="""", """", IF(LEN(IFERROR(TRIM(REGEXREPLACE(TRIM(REGEXEXTRACT('AYIRA MINI MART FINAL MENU - Pr'!A48, ""^[^\x{0600}-\x{06FF}]+"")), ""[-–]+$"", """")), """"))&gt;0, IFERROR(TRIM(REGEXREPLACE(TRIM(REGEXEXTRACT('AYIRA M"&amp;"INI MART FINAL MENU - Pr'!A48, ""^[^\x{0600}-\x{06FF}]+"")), ""[-–]+$"", """")), """"), GOOGLETRANSLATE('AYIRA MINI MART FINAL MENU - Pr'!A48, ""ar"", ""en"")))"),"Double Up Lemon 200 ml")</f>
        <v>Double Up Lemon 200 ml</v>
      </c>
      <c r="B48" s="56" t="str">
        <f>IFERROR(__xludf.DUMMYFUNCTION("IF('AYIRA MINI MART FINAL MENU - Pr'!B48="""", """", IF(LEN(IFERROR(TRIM(REGEXREPLACE(TRIM(REGEXEXTRACT('AYIRA MINI MART FINAL MENU - Pr'!B48, ""^[^\x{0600}-\x{06FF}]+"")), ""[-–]+$"", """")), """"))&gt;0, IFERROR(TRIM(REGEXREPLACE(TRIM(REGEXEXTRACT('AYIRA M"&amp;"INI MART FINAL MENU - Pr'!B48, ""^[^\x{0600}-\x{06FF}]+"")), ""[-–]+$"", """")), """"), GOOGLETRANSLATE('AYIRA MINI MART FINAL MENU - Pr'!B48, ""ar"", ""en"")))"),"Carbonated Soft Drinks")</f>
        <v>Carbonated Soft Drinks</v>
      </c>
      <c r="C48" s="56">
        <f>IF('AYIRA MINI MART FINAL MENU - Pr'!C48="", "", 'AYIRA MINI MART FINAL MENU - Pr'!C48)</f>
        <v>1.5</v>
      </c>
      <c r="D48" s="56" t="str">
        <f>IFERROR(__xludf.DUMMYFUNCTION("IF('AYIRA MINI MART FINAL MENU - Pr'!D48="""", """", GOOGLETRANSLATE('AYIRA MINI MART FINAL MENU - Pr'!D48, ""ar"", ""en""))"),"Enjoy Double Up, the refreshing soft drink that gives you energy and vitality with every drop. Its delicious taste and unique formula make it the perfect choice to quench your thirst anytime. Ideal for parties, family gatherings, and various occasions. It"&amp;" boasts distinctive flavors that make every sip an unforgettable experience. Get it now from Aira Mini Mart at the best prices and highest quality. Our premium drink provides instant refreshment and satisfies your discerning palate whenever you need hydra"&amp;"tion.")</f>
        <v>Enjoy Double Up,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48" s="56" t="str">
        <f>IF('AYIRA MINI MART FINAL MENU - Pr'!K48="", "", 'AYIRA MINI MART FINAL MENU - Pr'!K48)</f>
        <v/>
      </c>
      <c r="F48" s="56"/>
      <c r="G48" s="56"/>
      <c r="H48" s="56"/>
      <c r="I48" s="56"/>
      <c r="J48" s="56"/>
      <c r="L48" s="56" t="str">
        <f>IF('AYIRA MINI MART FINAL MENU - Pr'!L48="", "", 'AYIRA MINI MART FINAL MENU - Pr'!L48)</f>
        <v/>
      </c>
      <c r="M48" s="56" t="str">
        <f>IF('AYIRA MINI MART FINAL MENU - Pr'!M48="", "", 'AYIRA MINI MART FINAL MENU - Pr'!M48)</f>
        <v/>
      </c>
      <c r="N48" s="56" t="str">
        <f>IF('AYIRA MINI MART FINAL MENU - Pr'!N48="", "", 'AYIRA MINI MART FINAL MENU - Pr'!N48)</f>
        <v/>
      </c>
      <c r="O48" s="57"/>
      <c r="P48" s="57"/>
      <c r="Q48" s="57"/>
      <c r="R48" s="57"/>
      <c r="S48" s="57"/>
      <c r="T48" s="57"/>
      <c r="U48" s="57"/>
      <c r="V48" s="57"/>
      <c r="W48" s="57"/>
      <c r="X48" s="57"/>
      <c r="Y48" s="57"/>
      <c r="Z48" s="57"/>
    </row>
    <row r="49">
      <c r="A49" s="56" t="str">
        <f>IFERROR(__xludf.DUMMYFUNCTION("IF('AYIRA MINI MART FINAL MENU - Pr'!A49="""", """", IF(LEN(IFERROR(TRIM(REGEXREPLACE(TRIM(REGEXEXTRACT('AYIRA MINI MART FINAL MENU - Pr'!A49, ""^[^\x{0600}-\x{06FF}]+"")), ""[-–]+$"", """")), """"))&gt;0, IFERROR(TRIM(REGEXREPLACE(TRIM(REGEXEXTRACT('AYIRA M"&amp;"INI MART FINAL MENU - Pr'!A49, ""^[^\x{0600}-\x{06FF}]+"")), ""[-–]+$"", """")), """"), GOOGLETRANSLATE('AYIRA MINI MART FINAL MENU - Pr'!A49, ""ar"", ""en"")))"),"Guava Nectar (Contains 35% Juice) 250 ml")</f>
        <v>Guava Nectar (Contains 35% Juice) 250 ml</v>
      </c>
      <c r="B49" s="56" t="str">
        <f>IFERROR(__xludf.DUMMYFUNCTION("IF('AYIRA MINI MART FINAL MENU - Pr'!B49="""", """", IF(LEN(IFERROR(TRIM(REGEXREPLACE(TRIM(REGEXEXTRACT('AYIRA MINI MART FINAL MENU - Pr'!B49, ""^[^\x{0600}-\x{06FF}]+"")), ""[-–]+$"", """")), """"))&gt;0, IFERROR(TRIM(REGEXREPLACE(TRIM(REGEXEXTRACT('AYIRA M"&amp;"INI MART FINAL MENU - Pr'!B49, ""^[^\x{0600}-\x{06FF}]+"")), ""[-–]+$"", """")), """"), GOOGLETRANSLATE('AYIRA MINI MART FINAL MENU - Pr'!B49, ""ar"", ""en"")))"),"Juices &amp; Fruit Drinks")</f>
        <v>Juices &amp; Fruit Drinks</v>
      </c>
      <c r="C49" s="56">
        <f>IF('AYIRA MINI MART FINAL MENU - Pr'!C49="", "", 'AYIRA MINI MART FINAL MENU - Pr'!C49)</f>
        <v>2</v>
      </c>
      <c r="D49" s="56" t="str">
        <f>IFERROR(__xludf.DUMMYFUNCTION("IF('AYIRA MINI MART FINAL MENU - Pr'!D49="""", """", GOOGLETRANSLATE('AYIRA MINI MART FINAL MENU - Pr'!D49, ""ar"", ""en""))"),"Take care of your health with Guava Nectar (Contains 35% Juice) 250 ml, a fresh juice rich in vitamins and minerals essential for your body's well-being. Made from the finest, carefully selected fruits to give you a delicious taste and high nutritional va"&amp;"lue. It provides natural energy and boosts your immune system thanks to its rich content. Perfect for your daily breakfast or as a healthy drink anytime. Order now from Aira Mini Mart and enjoy every drop of this delicious and beneficial juice.")</f>
        <v>Take care of your health with Guava Nectar (Contains 35% Juice) 250 ml, a fresh juice rich in vitamins and minerals essential for your body's well-being. Made from the finest, carefully selected fruits to give you a delicious taste and high nutritional value. It provides natural energy and boosts your immune system thanks to its rich content. Perfect for your daily breakfast or as a healthy drink anytime. Order now from Aira Mini Mart and enjoy every drop of this delicious and beneficial juice.</v>
      </c>
      <c r="E49" s="56" t="str">
        <f>IF('AYIRA MINI MART FINAL MENU - Pr'!K49="", "", 'AYIRA MINI MART FINAL MENU - Pr'!K49)</f>
        <v/>
      </c>
      <c r="F49" s="56"/>
      <c r="G49" s="56"/>
      <c r="H49" s="56"/>
      <c r="I49" s="56"/>
      <c r="J49" s="56"/>
      <c r="L49" s="56" t="str">
        <f>IF('AYIRA MINI MART FINAL MENU - Pr'!L49="", "", 'AYIRA MINI MART FINAL MENU - Pr'!L49)</f>
        <v/>
      </c>
      <c r="M49" s="56" t="str">
        <f>IF('AYIRA MINI MART FINAL MENU - Pr'!M49="", "", 'AYIRA MINI MART FINAL MENU - Pr'!M49)</f>
        <v/>
      </c>
      <c r="N49" s="56" t="str">
        <f>IF('AYIRA MINI MART FINAL MENU - Pr'!N49="", "", 'AYIRA MINI MART FINAL MENU - Pr'!N49)</f>
        <v/>
      </c>
      <c r="O49" s="57"/>
      <c r="P49" s="57"/>
      <c r="Q49" s="57"/>
      <c r="R49" s="57"/>
      <c r="S49" s="57"/>
      <c r="T49" s="57"/>
      <c r="U49" s="57"/>
      <c r="V49" s="57"/>
      <c r="W49" s="57"/>
      <c r="X49" s="57"/>
      <c r="Y49" s="57"/>
      <c r="Z49" s="57"/>
    </row>
    <row r="50">
      <c r="A50" s="56" t="str">
        <f>IFERROR(__xludf.DUMMYFUNCTION("IF('AYIRA MINI MART FINAL MENU - Pr'!A50="""", """", IF(LEN(IFERROR(TRIM(REGEXREPLACE(TRIM(REGEXEXTRACT('AYIRA MINI MART FINAL MENU - Pr'!A50, ""^[^\x{0600}-\x{06FF}]+"")), ""[-–]+$"", """")), """"))&gt;0, IFERROR(TRIM(REGEXREPLACE(TRIM(REGEXEXTRACT('AYIRA M"&amp;"INI MART FINAL MENU - Pr'!A50, ""^[^\x{0600}-\x{06FF}]+"")), ""[-–]+$"", """")), """"), GOOGLETRANSLATE('AYIRA MINI MART FINAL MENU - Pr'!A50, ""ar"", ""en"")))"),"Pomegranate Nectar 250ml")</f>
        <v>Pomegranate Nectar 250ml</v>
      </c>
      <c r="B50" s="56" t="str">
        <f>IFERROR(__xludf.DUMMYFUNCTION("IF('AYIRA MINI MART FINAL MENU - Pr'!B50="""", """", IF(LEN(IFERROR(TRIM(REGEXREPLACE(TRIM(REGEXEXTRACT('AYIRA MINI MART FINAL MENU - Pr'!B50, ""^[^\x{0600}-\x{06FF}]+"")), ""[-–]+$"", """")), """"))&gt;0, IFERROR(TRIM(REGEXREPLACE(TRIM(REGEXEXTRACT('AYIRA M"&amp;"INI MART FINAL MENU - Pr'!B50, ""^[^\x{0600}-\x{06FF}]+"")), ""[-–]+$"", """")), """"), GOOGLETRANSLATE('AYIRA MINI MART FINAL MENU - Pr'!B50, ""ar"", ""en"")))"),"Juices &amp; Fruit Drinks")</f>
        <v>Juices &amp; Fruit Drinks</v>
      </c>
      <c r="C50" s="56">
        <f>IF('AYIRA MINI MART FINAL MENU - Pr'!C50="", "", 'AYIRA MINI MART FINAL MENU - Pr'!C50)</f>
        <v>2</v>
      </c>
      <c r="D50" s="56" t="str">
        <f>IFERROR(__xludf.DUMMYFUNCTION("IF('AYIRA MINI MART FINAL MENU - Pr'!D50="""", """", GOOGLETRANSLATE('AYIRA MINI MART FINAL MENU - Pr'!D50, ""ar"", ""en""))"),"Boost your health with Pomegranate Nectar 250ml – a fresh, 250ml pomegranate nectar packed with essential vitamins and minerals. Made from carefully selected, high-quality fruits for a delicious taste and superior nutritional value. It provides natural en"&amp;"ergy and strengthens your immune system thanks to its rich composition. Perfect for your daily breakfast or as a healthy drink anytime. Order now from Aira Mini Mart and enjoy every drop of this delicious and beneficial juice.")</f>
        <v>Boost your health with Pomegranate Nectar 250ml – a fresh, 250ml pomegranate nectar packed with essential vitamins and minerals. Made from carefully selected, high-quality fruits for a delicious taste and superior nutritional value. It provides natural energy and strengthens your immune system thanks to its rich composition. Perfect for your daily breakfast or as a healthy drink anytime. Order now from Aira Mini Mart and enjoy every drop of this delicious and beneficial juice.</v>
      </c>
      <c r="E50" s="56" t="str">
        <f>IF('AYIRA MINI MART FINAL MENU - Pr'!K50="", "", 'AYIRA MINI MART FINAL MENU - Pr'!K50)</f>
        <v/>
      </c>
      <c r="F50" s="56"/>
      <c r="G50" s="56"/>
      <c r="H50" s="56"/>
      <c r="I50" s="56"/>
      <c r="J50" s="56"/>
      <c r="L50" s="56" t="str">
        <f>IF('AYIRA MINI MART FINAL MENU - Pr'!L50="", "", 'AYIRA MINI MART FINAL MENU - Pr'!L50)</f>
        <v/>
      </c>
      <c r="M50" s="56" t="str">
        <f>IF('AYIRA MINI MART FINAL MENU - Pr'!M50="", "", 'AYIRA MINI MART FINAL MENU - Pr'!M50)</f>
        <v/>
      </c>
      <c r="N50" s="56" t="str">
        <f>IF('AYIRA MINI MART FINAL MENU - Pr'!N50="", "", 'AYIRA MINI MART FINAL MENU - Pr'!N50)</f>
        <v/>
      </c>
      <c r="O50" s="57"/>
      <c r="P50" s="57"/>
      <c r="Q50" s="57"/>
      <c r="R50" s="57"/>
      <c r="S50" s="57"/>
      <c r="T50" s="57"/>
      <c r="U50" s="57"/>
      <c r="V50" s="57"/>
      <c r="W50" s="57"/>
      <c r="X50" s="57"/>
      <c r="Y50" s="57"/>
      <c r="Z50" s="57"/>
    </row>
    <row r="51">
      <c r="A51" s="56" t="str">
        <f>IFERROR(__xludf.DUMMYFUNCTION("IF('AYIRA MINI MART FINAL MENU - Pr'!A51="""", """", IF(LEN(IFERROR(TRIM(REGEXREPLACE(TRIM(REGEXEXTRACT('AYIRA MINI MART FINAL MENU - Pr'!A51, ""^[^\x{0600}-\x{06FF}]+"")), ""[-–]+$"", """")), """"))&gt;0, IFERROR(TRIM(REGEXREPLACE(TRIM(REGEXEXTRACT('AYIRA M"&amp;"INI MART FINAL MENU - Pr'!A51, ""^[^\x{0600}-\x{06FF}]+"")), ""[-–]+$"", """")), """"), GOOGLETRANSLATE('AYIRA MINI MART FINAL MENU - Pr'!A51, ""ar"", ""en"")))"),"Mango Nectar 250ml")</f>
        <v>Mango Nectar 250ml</v>
      </c>
      <c r="B51" s="56" t="str">
        <f>IFERROR(__xludf.DUMMYFUNCTION("IF('AYIRA MINI MART FINAL MENU - Pr'!B51="""", """", IF(LEN(IFERROR(TRIM(REGEXREPLACE(TRIM(REGEXEXTRACT('AYIRA MINI MART FINAL MENU - Pr'!B51, ""^[^\x{0600}-\x{06FF}]+"")), ""[-–]+$"", """")), """"))&gt;0, IFERROR(TRIM(REGEXREPLACE(TRIM(REGEXEXTRACT('AYIRA M"&amp;"INI MART FINAL MENU - Pr'!B51, ""^[^\x{0600}-\x{06FF}]+"")), ""[-–]+$"", """")), """"), GOOGLETRANSLATE('AYIRA MINI MART FINAL MENU - Pr'!B51, ""ar"", ""en"")))"),"Juices &amp; Fruit Drinks")</f>
        <v>Juices &amp; Fruit Drinks</v>
      </c>
      <c r="C51" s="56">
        <f>IF('AYIRA MINI MART FINAL MENU - Pr'!C51="", "", 'AYIRA MINI MART FINAL MENU - Pr'!C51)</f>
        <v>2.5</v>
      </c>
      <c r="D51" s="56" t="str">
        <f>IFERROR(__xludf.DUMMYFUNCTION("IF('AYIRA MINI MART FINAL MENU - Pr'!D51="""", """", GOOGLETRANSLATE('AYIRA MINI MART FINAL MENU - Pr'!D51, ""ar"", ""en""))"),"Take care of your health with Mango Nectar 250ml – a fresh, 250ml mango nectar packed with essential vitamins and minerals. Made from carefully selected, high-quality fruits for a delicious taste and superior nutritional value. It provides natural energy "&amp;"and boosts your immune system thanks to its rich composition. Perfect for your daily breakfast or as a healthy drink anytime. Order now from Aira Mini Mart and enjoy every drop of this delicious and nutritious juice.")</f>
        <v>Take care of your health with Mango Nectar 250ml – a fresh, 250ml mango nectar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51" s="56" t="str">
        <f>IF('AYIRA MINI MART FINAL MENU - Pr'!K51="", "", 'AYIRA MINI MART FINAL MENU - Pr'!K51)</f>
        <v/>
      </c>
      <c r="F51" s="56"/>
      <c r="G51" s="56"/>
      <c r="H51" s="56"/>
      <c r="I51" s="56"/>
      <c r="J51" s="56"/>
      <c r="L51" s="56" t="str">
        <f>IF('AYIRA MINI MART FINAL MENU - Pr'!L51="", "", 'AYIRA MINI MART FINAL MENU - Pr'!L51)</f>
        <v/>
      </c>
      <c r="M51" s="56" t="str">
        <f>IF('AYIRA MINI MART FINAL MENU - Pr'!M51="", "", 'AYIRA MINI MART FINAL MENU - Pr'!M51)</f>
        <v/>
      </c>
      <c r="N51" s="56" t="str">
        <f>IF('AYIRA MINI MART FINAL MENU - Pr'!N51="", "", 'AYIRA MINI MART FINAL MENU - Pr'!N51)</f>
        <v/>
      </c>
      <c r="O51" s="57"/>
      <c r="P51" s="57"/>
      <c r="Q51" s="57"/>
      <c r="R51" s="57"/>
      <c r="S51" s="57"/>
      <c r="T51" s="57"/>
      <c r="U51" s="57"/>
      <c r="V51" s="57"/>
      <c r="W51" s="57"/>
      <c r="X51" s="57"/>
      <c r="Y51" s="57"/>
      <c r="Z51" s="57"/>
    </row>
    <row r="52">
      <c r="A52" s="56" t="str">
        <f>IFERROR(__xludf.DUMMYFUNCTION("IF('AYIRA MINI MART FINAL MENU - Pr'!A52="""", """", IF(LEN(IFERROR(TRIM(REGEXREPLACE(TRIM(REGEXEXTRACT('AYIRA MINI MART FINAL MENU - Pr'!A52, ""^[^\x{0600}-\x{06FF}]+"")), ""[-–]+$"", """")), """"))&gt;0, IFERROR(TRIM(REGEXREPLACE(TRIM(REGEXEXTRACT('AYIRA M"&amp;"INI MART FINAL MENU - Pr'!A52, ""^[^\x{0600}-\x{06FF}]+"")), ""[-–]+$"", """")), """"), GOOGLETRANSLATE('AYIRA MINI MART FINAL MENU - Pr'!A52, ""ar"", ""en"")))"),"Vimto Blue Raspberry Fruit Flavoured Drink 250ml")</f>
        <v>Vimto Blue Raspberry Fruit Flavoured Drink 250ml</v>
      </c>
      <c r="B52" s="56" t="str">
        <f>IFERROR(__xludf.DUMMYFUNCTION("IF('AYIRA MINI MART FINAL MENU - Pr'!B52="""", """", IF(LEN(IFERROR(TRIM(REGEXREPLACE(TRIM(REGEXEXTRACT('AYIRA MINI MART FINAL MENU - Pr'!B52, ""^[^\x{0600}-\x{06FF}]+"")), ""[-–]+$"", """")), """"))&gt;0, IFERROR(TRIM(REGEXREPLACE(TRIM(REGEXEXTRACT('AYIRA M"&amp;"INI MART FINAL MENU - Pr'!B52, ""^[^\x{0600}-\x{06FF}]+"")), ""[-–]+$"", """")), """"), GOOGLETRANSLATE('AYIRA MINI MART FINAL MENU - Pr'!B52, ""ar"", ""en"")))"),"Juices &amp; Fruit Drinks")</f>
        <v>Juices &amp; Fruit Drinks</v>
      </c>
      <c r="C52" s="56">
        <f>IF('AYIRA MINI MART FINAL MENU - Pr'!C52="", "", 'AYIRA MINI MART FINAL MENU - Pr'!C52)</f>
        <v>2</v>
      </c>
      <c r="D52" s="56" t="str">
        <f>IFERROR(__xludf.DUMMYFUNCTION("IF('AYIRA MINI MART FINAL MENU - Pr'!D52="""", """", GOOGLETRANSLATE('AYIRA MINI MART FINAL MENU - Pr'!D52, ""ar"", ""en""))"),"Discover Vimto Blue Raspberry Fruit Flavored Drink 250ml – a premium product that combines high quality with great value. Made to the highest standards of quality and safety to ensure your complete satisfaction every time. Its excellent features make it t"&amp;"he perfect choice for you and your family. Whether for everyday use or special occasions, it meets and exceeds your expectations. Get it now from Aira Mini Mart and enjoy a pleasant and reliable shopping experience.")</f>
        <v>Discover Vimto Blue Raspberry Fruit Flavored Drink 250ml –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52" s="56" t="str">
        <f>IF('AYIRA MINI MART FINAL MENU - Pr'!K52="", "", 'AYIRA MINI MART FINAL MENU - Pr'!K52)</f>
        <v/>
      </c>
      <c r="F52" s="56"/>
      <c r="G52" s="56"/>
      <c r="H52" s="56"/>
      <c r="I52" s="56"/>
      <c r="J52" s="56"/>
      <c r="L52" s="56" t="str">
        <f>IF('AYIRA MINI MART FINAL MENU - Pr'!L52="", "", 'AYIRA MINI MART FINAL MENU - Pr'!L52)</f>
        <v/>
      </c>
      <c r="M52" s="56" t="str">
        <f>IF('AYIRA MINI MART FINAL MENU - Pr'!M52="", "", 'AYIRA MINI MART FINAL MENU - Pr'!M52)</f>
        <v/>
      </c>
      <c r="N52" s="56" t="str">
        <f>IF('AYIRA MINI MART FINAL MENU - Pr'!N52="", "", 'AYIRA MINI MART FINAL MENU - Pr'!N52)</f>
        <v/>
      </c>
      <c r="O52" s="57"/>
      <c r="P52" s="57"/>
      <c r="Q52" s="57"/>
      <c r="R52" s="57"/>
      <c r="S52" s="57"/>
      <c r="T52" s="57"/>
      <c r="U52" s="57"/>
      <c r="V52" s="57"/>
      <c r="W52" s="57"/>
      <c r="X52" s="57"/>
      <c r="Y52" s="57"/>
      <c r="Z52" s="57"/>
    </row>
    <row r="53">
      <c r="A53" s="56" t="str">
        <f>IFERROR(__xludf.DUMMYFUNCTION("IF('AYIRA MINI MART FINAL MENU - Pr'!A53="""", """", IF(LEN(IFERROR(TRIM(REGEXREPLACE(TRIM(REGEXEXTRACT('AYIRA MINI MART FINAL MENU - Pr'!A53, ""^[^\x{0600}-\x{06FF}]+"")), ""[-–]+$"", """")), """"))&gt;0, IFERROR(TRIM(REGEXREPLACE(TRIM(REGEXEXTRACT('AYIRA M"&amp;"INI MART FINAL MENU - Pr'!A53, ""^[^\x{0600}-\x{06FF}]+"")), ""[-–]+$"", """")), """"), GOOGLETRANSLATE('AYIRA MINI MART FINAL MENU - Pr'!A53, ""ar"", ""en"")))"),"Vimto Fruit Flavoured Drink 250ml")</f>
        <v>Vimto Fruit Flavoured Drink 250ml</v>
      </c>
      <c r="B53" s="56" t="str">
        <f>IFERROR(__xludf.DUMMYFUNCTION("IF('AYIRA MINI MART FINAL MENU - Pr'!B53="""", """", IF(LEN(IFERROR(TRIM(REGEXREPLACE(TRIM(REGEXEXTRACT('AYIRA MINI MART FINAL MENU - Pr'!B53, ""^[^\x{0600}-\x{06FF}]+"")), ""[-–]+$"", """")), """"))&gt;0, IFERROR(TRIM(REGEXREPLACE(TRIM(REGEXEXTRACT('AYIRA M"&amp;"INI MART FINAL MENU - Pr'!B53, ""^[^\x{0600}-\x{06FF}]+"")), ""[-–]+$"", """")), """"), GOOGLETRANSLATE('AYIRA MINI MART FINAL MENU - Pr'!B53, ""ar"", ""en"")))"),"Juices &amp; Fruit Drinks")</f>
        <v>Juices &amp; Fruit Drinks</v>
      </c>
      <c r="C53" s="56">
        <f>IF('AYIRA MINI MART FINAL MENU - Pr'!C53="", "", 'AYIRA MINI MART FINAL MENU - Pr'!C53)</f>
        <v>2</v>
      </c>
      <c r="D53" s="56" t="str">
        <f>IFERROR(__xludf.DUMMYFUNCTION("IF('AYIRA MINI MART FINAL MENU - Pr'!D53="""", """", GOOGLETRANSLATE('AYIRA MINI MART FINAL MENU - Pr'!D53, ""ar"", ""en""))"),"Discover Vimto Fruit Flavored Drink 250ml – a premium product that combines high quality with great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Vimto Fruit Flavored Drink 250ml –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53" s="56" t="str">
        <f>IF('AYIRA MINI MART FINAL MENU - Pr'!K53="", "", 'AYIRA MINI MART FINAL MENU - Pr'!K53)</f>
        <v/>
      </c>
      <c r="F53" s="56"/>
      <c r="G53" s="56"/>
      <c r="H53" s="56"/>
      <c r="I53" s="56"/>
      <c r="J53" s="56"/>
      <c r="L53" s="56" t="str">
        <f>IF('AYIRA MINI MART FINAL MENU - Pr'!L53="", "", 'AYIRA MINI MART FINAL MENU - Pr'!L53)</f>
        <v/>
      </c>
      <c r="M53" s="56" t="str">
        <f>IF('AYIRA MINI MART FINAL MENU - Pr'!M53="", "", 'AYIRA MINI MART FINAL MENU - Pr'!M53)</f>
        <v/>
      </c>
      <c r="N53" s="56" t="str">
        <f>IF('AYIRA MINI MART FINAL MENU - Pr'!N53="", "", 'AYIRA MINI MART FINAL MENU - Pr'!N53)</f>
        <v/>
      </c>
      <c r="O53" s="57"/>
      <c r="P53" s="57"/>
      <c r="Q53" s="57"/>
      <c r="R53" s="57"/>
      <c r="S53" s="57"/>
      <c r="T53" s="57"/>
      <c r="U53" s="57"/>
      <c r="V53" s="57"/>
      <c r="W53" s="57"/>
      <c r="X53" s="57"/>
      <c r="Y53" s="57"/>
      <c r="Z53" s="57"/>
    </row>
    <row r="54">
      <c r="A54" s="56" t="str">
        <f>IFERROR(__xludf.DUMMYFUNCTION("IF('AYIRA MINI MART FINAL MENU - Pr'!A54="""", """", IF(LEN(IFERROR(TRIM(REGEXREPLACE(TRIM(REGEXEXTRACT('AYIRA MINI MART FINAL MENU - Pr'!A54, ""^[^\x{0600}-\x{06FF}]+"")), ""[-–]+$"", """")), """"))&gt;0, IFERROR(TRIM(REGEXREPLACE(TRIM(REGEXEXTRACT('AYIRA M"&amp;"INI MART FINAL MENU - Pr'!A54, ""^[^\x{0600}-\x{06FF}]+"")), ""[-–]+$"", """")), """"), GOOGLETRANSLATE('AYIRA MINI MART FINAL MENU - Pr'!A54, ""ar"", ""en"")))"),"Vimto Strawberry Fruit Flavoured Drink 250ml")</f>
        <v>Vimto Strawberry Fruit Flavoured Drink 250ml</v>
      </c>
      <c r="B54" s="56" t="str">
        <f>IFERROR(__xludf.DUMMYFUNCTION("IF('AYIRA MINI MART FINAL MENU - Pr'!B54="""", """", IF(LEN(IFERROR(TRIM(REGEXREPLACE(TRIM(REGEXEXTRACT('AYIRA MINI MART FINAL MENU - Pr'!B54, ""^[^\x{0600}-\x{06FF}]+"")), ""[-–]+$"", """")), """"))&gt;0, IFERROR(TRIM(REGEXREPLACE(TRIM(REGEXEXTRACT('AYIRA M"&amp;"INI MART FINAL MENU - Pr'!B54, ""^[^\x{0600}-\x{06FF}]+"")), ""[-–]+$"", """")), """"), GOOGLETRANSLATE('AYIRA MINI MART FINAL MENU - Pr'!B54, ""ar"", ""en"")))"),"Juices &amp; Fruit Drinks")</f>
        <v>Juices &amp; Fruit Drinks</v>
      </c>
      <c r="C54" s="56">
        <f>IF('AYIRA MINI MART FINAL MENU - Pr'!C54="", "", 'AYIRA MINI MART FINAL MENU - Pr'!C54)</f>
        <v>2</v>
      </c>
      <c r="D54" s="56" t="str">
        <f>IFERROR(__xludf.DUMMYFUNCTION("IF('AYIRA MINI MART FINAL MENU - Pr'!D54="""", """", GOOGLETRANSLATE('AYIRA MINI MART FINAL MENU - Pr'!D54, ""ar"", ""en""))"),"Discover Vimto Strawberry Fruit Flavored Drink 250ml – a premium product that combines high quality with great value. Made to the highest standards of quality and safety to ensure your complete satisfaction every time. Its excellent features make it the p"&amp;"erfect choice for you and your family. Whether for everyday use or special occasions, it meets and exceeds your expectations. Get it now from Aira Mini Mart and enjoy a pleasant and reliable shopping experience.")</f>
        <v>Discover Vimto Strawberry Fruit Flavored Drink 250ml –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54" s="56" t="str">
        <f>IF('AYIRA MINI MART FINAL MENU - Pr'!K54="", "", 'AYIRA MINI MART FINAL MENU - Pr'!K54)</f>
        <v/>
      </c>
      <c r="F54" s="56"/>
      <c r="G54" s="56"/>
      <c r="H54" s="56"/>
      <c r="I54" s="56"/>
      <c r="J54" s="56"/>
      <c r="L54" s="56" t="str">
        <f>IF('AYIRA MINI MART FINAL MENU - Pr'!L54="", "", 'AYIRA MINI MART FINAL MENU - Pr'!L54)</f>
        <v/>
      </c>
      <c r="M54" s="56" t="str">
        <f>IF('AYIRA MINI MART FINAL MENU - Pr'!M54="", "", 'AYIRA MINI MART FINAL MENU - Pr'!M54)</f>
        <v/>
      </c>
      <c r="N54" s="56" t="str">
        <f>IF('AYIRA MINI MART FINAL MENU - Pr'!N54="", "", 'AYIRA MINI MART FINAL MENU - Pr'!N54)</f>
        <v/>
      </c>
      <c r="O54" s="57"/>
      <c r="P54" s="57"/>
      <c r="Q54" s="57"/>
      <c r="R54" s="57"/>
      <c r="S54" s="57"/>
      <c r="T54" s="57"/>
      <c r="U54" s="57"/>
      <c r="V54" s="57"/>
      <c r="W54" s="57"/>
      <c r="X54" s="57"/>
      <c r="Y54" s="57"/>
      <c r="Z54" s="57"/>
    </row>
    <row r="55">
      <c r="A55" s="56" t="str">
        <f>IFERROR(__xludf.DUMMYFUNCTION("IF('AYIRA MINI MART FINAL MENU - Pr'!A55="""", """", IF(LEN(IFERROR(TRIM(REGEXREPLACE(TRIM(REGEXEXTRACT('AYIRA MINI MART FINAL MENU - Pr'!A55, ""^[^\x{0600}-\x{06FF}]+"")), ""[-–]+$"", """")), """"))&gt;0, IFERROR(TRIM(REGEXREPLACE(TRIM(REGEXEXTRACT('AYIRA M"&amp;"INI MART FINAL MENU - Pr'!A55, ""^[^\x{0600}-\x{06FF}]+"")), ""[-–]+$"", """")), """"), GOOGLETRANSLATE('AYIRA MINI MART FINAL MENU - Pr'!A55, ""ar"", ""en"")))"),"Best Apple Drink 250ml")</f>
        <v>Best Apple Drink 250ml</v>
      </c>
      <c r="B55" s="56" t="str">
        <f>IFERROR(__xludf.DUMMYFUNCTION("IF('AYIRA MINI MART FINAL MENU - Pr'!B55="""", """", IF(LEN(IFERROR(TRIM(REGEXREPLACE(TRIM(REGEXEXTRACT('AYIRA MINI MART FINAL MENU - Pr'!B55, ""^[^\x{0600}-\x{06FF}]+"")), ""[-–]+$"", """")), """"))&gt;0, IFERROR(TRIM(REGEXREPLACE(TRIM(REGEXEXTRACT('AYIRA M"&amp;"INI MART FINAL MENU - Pr'!B55, ""^[^\x{0600}-\x{06FF}]+"")), ""[-–]+$"", """")), """"), GOOGLETRANSLATE('AYIRA MINI MART FINAL MENU - Pr'!B55, ""ar"", ""en"")))"),"Juices &amp; Fruit Drinks")</f>
        <v>Juices &amp; Fruit Drinks</v>
      </c>
      <c r="C55" s="56">
        <f>IF('AYIRA MINI MART FINAL MENU - Pr'!C55="", "", 'AYIRA MINI MART FINAL MENU - Pr'!C55)</f>
        <v>2</v>
      </c>
      <c r="D55" s="56" t="str">
        <f>IFERROR(__xludf.DUMMYFUNCTION("IF('AYIRA MINI MART FINAL MENU - Pr'!D55="""", """", GOOGLETRANSLATE('AYIRA MINI MART FINAL MENU - Pr'!D55, ""ar"", ""en""))"),"Discover Best Apple Drink 250ml – a premium product that combines high quality with great value. Made to the highest standards of quality and safety to ensure your complete satisfaction every time. Its excellent features make it the perfect choice for you"&amp;" and your family. Whether for everyday use or special occasions, it meets and exceeds your expectations. Get it now from Aira Mini Mart and enjoy a pleasant and reliable shopping experience.")</f>
        <v>Discover Best Apple Drink 250ml –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55" s="56" t="str">
        <f>IF('AYIRA MINI MART FINAL MENU - Pr'!K55="", "", 'AYIRA MINI MART FINAL MENU - Pr'!K55)</f>
        <v/>
      </c>
      <c r="F55" s="56"/>
      <c r="G55" s="56"/>
      <c r="H55" s="56"/>
      <c r="I55" s="56"/>
      <c r="J55" s="56"/>
      <c r="L55" s="56" t="str">
        <f>IF('AYIRA MINI MART FINAL MENU - Pr'!L55="", "", 'AYIRA MINI MART FINAL MENU - Pr'!L55)</f>
        <v/>
      </c>
      <c r="M55" s="56" t="str">
        <f>IF('AYIRA MINI MART FINAL MENU - Pr'!M55="", "", 'AYIRA MINI MART FINAL MENU - Pr'!M55)</f>
        <v/>
      </c>
      <c r="N55" s="56" t="str">
        <f>IF('AYIRA MINI MART FINAL MENU - Pr'!N55="", "", 'AYIRA MINI MART FINAL MENU - Pr'!N55)</f>
        <v/>
      </c>
      <c r="O55" s="57"/>
      <c r="P55" s="57"/>
      <c r="Q55" s="57"/>
      <c r="R55" s="57"/>
      <c r="S55" s="57"/>
      <c r="T55" s="57"/>
      <c r="U55" s="57"/>
      <c r="V55" s="57"/>
      <c r="W55" s="57"/>
      <c r="X55" s="57"/>
      <c r="Y55" s="57"/>
      <c r="Z55" s="57"/>
    </row>
    <row r="56">
      <c r="A56" s="56" t="str">
        <f>IFERROR(__xludf.DUMMYFUNCTION("IF('AYIRA MINI MART FINAL MENU - Pr'!A56="""", """", IF(LEN(IFERROR(TRIM(REGEXREPLACE(TRIM(REGEXEXTRACT('AYIRA MINI MART FINAL MENU - Pr'!A56, ""^[^\x{0600}-\x{06FF}]+"")), ""[-–]+$"", """")), """"))&gt;0, IFERROR(TRIM(REGEXREPLACE(TRIM(REGEXEXTRACT('AYIRA M"&amp;"INI MART FINAL MENU - Pr'!A56, ""^[^\x{0600}-\x{06FF}]+"")), ""[-–]+$"", """")), """"), GOOGLETRANSLATE('AYIRA MINI MART FINAL MENU - Pr'!A56, ""ar"", ""en"")))"),"Pran Frooto Mango Juice 200ml")</f>
        <v>Pran Frooto Mango Juice 200ml</v>
      </c>
      <c r="B56" s="56" t="str">
        <f>IFERROR(__xludf.DUMMYFUNCTION("IF('AYIRA MINI MART FINAL MENU - Pr'!B56="""", """", IF(LEN(IFERROR(TRIM(REGEXREPLACE(TRIM(REGEXEXTRACT('AYIRA MINI MART FINAL MENU - Pr'!B56, ""^[^\x{0600}-\x{06FF}]+"")), ""[-–]+$"", """")), """"))&gt;0, IFERROR(TRIM(REGEXREPLACE(TRIM(REGEXEXTRACT('AYIRA M"&amp;"INI MART FINAL MENU - Pr'!B56, ""^[^\x{0600}-\x{06FF}]+"")), ""[-–]+$"", """")), """"), GOOGLETRANSLATE('AYIRA MINI MART FINAL MENU - Pr'!B56, ""ar"", ""en"")))"),"Juices &amp; Fruit Drinks")</f>
        <v>Juices &amp; Fruit Drinks</v>
      </c>
      <c r="C56" s="56">
        <f>IF('AYIRA MINI MART FINAL MENU - Pr'!C56="", "", 'AYIRA MINI MART FINAL MENU - Pr'!C56)</f>
        <v>1</v>
      </c>
      <c r="D56" s="56" t="str">
        <f>IFERROR(__xludf.DUMMYFUNCTION("IF('AYIRA MINI MART FINAL MENU - Pr'!D56="""", """", GOOGLETRANSLATE('AYIRA MINI MART FINAL MENU - Pr'!D56, ""ar"", ""en""))"),"Take care of your health with Pran Frooto Mango Juice 200ml – a fresh juice packed with essential vitamins and minerals for your body. Made from carefully selected, high-quality mangoes for a delicious taste and superior nutritional value. It provides nat"&amp;"ural energy and boosts your immune system thanks to its rich composition. Perfect for your daily breakfast or as a healthy drink anytime. Order now from Aira Mini Mart and enjoy every drop of this delicious and beneficial juice.")</f>
        <v>Take care of your health with Pran Frooto Mango Juice 200ml – a fresh juice packed with essential vitamins and minerals for your body. Made from carefully selected, high-quality mangoes for a delicious taste and superior nutritional value. It provides natural energy and boosts your immune system thanks to its rich composition. Perfect for your daily breakfast or as a healthy drink anytime. Order now from Aira Mini Mart and enjoy every drop of this delicious and beneficial juice.</v>
      </c>
      <c r="E56" s="56" t="str">
        <f>IF('AYIRA MINI MART FINAL MENU - Pr'!K56="", "", 'AYIRA MINI MART FINAL MENU - Pr'!K56)</f>
        <v/>
      </c>
      <c r="F56" s="56"/>
      <c r="G56" s="56"/>
      <c r="H56" s="56"/>
      <c r="I56" s="56"/>
      <c r="J56" s="56"/>
      <c r="L56" s="56" t="str">
        <f>IF('AYIRA MINI MART FINAL MENU - Pr'!L56="", "", 'AYIRA MINI MART FINAL MENU - Pr'!L56)</f>
        <v/>
      </c>
      <c r="M56" s="56" t="str">
        <f>IF('AYIRA MINI MART FINAL MENU - Pr'!M56="", "", 'AYIRA MINI MART FINAL MENU - Pr'!M56)</f>
        <v/>
      </c>
      <c r="N56" s="56" t="str">
        <f>IF('AYIRA MINI MART FINAL MENU - Pr'!N56="", "", 'AYIRA MINI MART FINAL MENU - Pr'!N56)</f>
        <v/>
      </c>
      <c r="O56" s="57"/>
      <c r="P56" s="57"/>
      <c r="Q56" s="57"/>
      <c r="R56" s="57"/>
      <c r="S56" s="57"/>
      <c r="T56" s="57"/>
      <c r="U56" s="57"/>
      <c r="V56" s="57"/>
      <c r="W56" s="57"/>
      <c r="X56" s="57"/>
      <c r="Y56" s="57"/>
      <c r="Z56" s="57"/>
    </row>
    <row r="57">
      <c r="A57" s="56" t="str">
        <f>IFERROR(__xludf.DUMMYFUNCTION("IF('AYIRA MINI MART FINAL MENU - Pr'!A57="""", """", IF(LEN(IFERROR(TRIM(REGEXREPLACE(TRIM(REGEXEXTRACT('AYIRA MINI MART FINAL MENU - Pr'!A57, ""^[^\x{0600}-\x{06FF}]+"")), ""[-–]+$"", """")), """"))&gt;0, IFERROR(TRIM(REGEXREPLACE(TRIM(REGEXEXTRACT('AYIRA M"&amp;"INI MART FINAL MENU - Pr'!A57, ""^[^\x{0600}-\x{06FF}]+"")), ""[-–]+$"", """")), """"), GOOGLETRANSLATE('AYIRA MINI MART FINAL MENU - Pr'!A57, ""ar"", ""en"")))"),"Capri-Sun Mixed Fruit 200ml")</f>
        <v>Capri-Sun Mixed Fruit 200ml</v>
      </c>
      <c r="B57" s="56" t="str">
        <f>IFERROR(__xludf.DUMMYFUNCTION("IF('AYIRA MINI MART FINAL MENU - Pr'!B57="""", """", IF(LEN(IFERROR(TRIM(REGEXREPLACE(TRIM(REGEXEXTRACT('AYIRA MINI MART FINAL MENU - Pr'!B57, ""^[^\x{0600}-\x{06FF}]+"")), ""[-–]+$"", """")), """"))&gt;0, IFERROR(TRIM(REGEXREPLACE(TRIM(REGEXEXTRACT('AYIRA M"&amp;"INI MART FINAL MENU - Pr'!B57, ""^[^\x{0600}-\x{06FF}]+"")), ""[-–]+$"", """")), """"), GOOGLETRANSLATE('AYIRA MINI MART FINAL MENU - Pr'!B57, ""ar"", ""en"")))"),"Juices &amp; Fruit Drinks")</f>
        <v>Juices &amp; Fruit Drinks</v>
      </c>
      <c r="C57" s="56">
        <f>IF('AYIRA MINI MART FINAL MENU - Pr'!C57="", "", 'AYIRA MINI MART FINAL MENU - Pr'!C57)</f>
        <v>2.5</v>
      </c>
      <c r="D57" s="56" t="str">
        <f>IFERROR(__xludf.DUMMYFUNCTION("IF('AYIRA MINI MART FINAL MENU - Pr'!D57="""", """", GOOGLETRANSLATE('AYIRA MINI MART FINAL MENU - Pr'!D57, ""ar"", ""en""))"),"Discover Capri-Sun Mixed Fruit 200ml – a premium product that combines high quality with great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Capri-Sun Mixed Fruit 200ml –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57" s="56" t="str">
        <f>IF('AYIRA MINI MART FINAL MENU - Pr'!K57="", "", 'AYIRA MINI MART FINAL MENU - Pr'!K57)</f>
        <v/>
      </c>
      <c r="F57" s="56"/>
      <c r="G57" s="56"/>
      <c r="H57" s="56"/>
      <c r="I57" s="56"/>
      <c r="J57" s="56"/>
      <c r="L57" s="56" t="str">
        <f>IF('AYIRA MINI MART FINAL MENU - Pr'!L57="", "", 'AYIRA MINI MART FINAL MENU - Pr'!L57)</f>
        <v/>
      </c>
      <c r="M57" s="56" t="str">
        <f>IF('AYIRA MINI MART FINAL MENU - Pr'!M57="", "", 'AYIRA MINI MART FINAL MENU - Pr'!M57)</f>
        <v/>
      </c>
      <c r="N57" s="56" t="str">
        <f>IF('AYIRA MINI MART FINAL MENU - Pr'!N57="", "", 'AYIRA MINI MART FINAL MENU - Pr'!N57)</f>
        <v/>
      </c>
      <c r="O57" s="57"/>
      <c r="P57" s="57"/>
      <c r="Q57" s="57"/>
      <c r="R57" s="57"/>
      <c r="S57" s="57"/>
      <c r="T57" s="57"/>
      <c r="U57" s="57"/>
      <c r="V57" s="57"/>
      <c r="W57" s="57"/>
      <c r="X57" s="57"/>
      <c r="Y57" s="57"/>
      <c r="Z57" s="57"/>
    </row>
    <row r="58">
      <c r="A58" s="56" t="str">
        <f>IFERROR(__xludf.DUMMYFUNCTION("IF('AYIRA MINI MART FINAL MENU - Pr'!A58="""", """", IF(LEN(IFERROR(TRIM(REGEXREPLACE(TRIM(REGEXEXTRACT('AYIRA MINI MART FINAL MENU - Pr'!A58, ""^[^\x{0600}-\x{06FF}]+"")), ""[-–]+$"", """")), """"))&gt;0, IFERROR(TRIM(REGEXREPLACE(TRIM(REGEXEXTRACT('AYIRA M"&amp;"INI MART FINAL MENU - Pr'!A58, ""^[^\x{0600}-\x{06FF}]+"")), ""[-–]+$"", """")), """"), GOOGLETRANSLATE('AYIRA MINI MART FINAL MENU - Pr'!A58, ""ar"", ""en"")))"),"Capri-Sun Mango 200ml")</f>
        <v>Capri-Sun Mango 200ml</v>
      </c>
      <c r="B58" s="56" t="str">
        <f>IFERROR(__xludf.DUMMYFUNCTION("IF('AYIRA MINI MART FINAL MENU - Pr'!B58="""", """", IF(LEN(IFERROR(TRIM(REGEXREPLACE(TRIM(REGEXEXTRACT('AYIRA MINI MART FINAL MENU - Pr'!B58, ""^[^\x{0600}-\x{06FF}]+"")), ""[-–]+$"", """")), """"))&gt;0, IFERROR(TRIM(REGEXREPLACE(TRIM(REGEXEXTRACT('AYIRA M"&amp;"INI MART FINAL MENU - Pr'!B58, ""^[^\x{0600}-\x{06FF}]+"")), ""[-–]+$"", """")), """"), GOOGLETRANSLATE('AYIRA MINI MART FINAL MENU - Pr'!B58, ""ar"", ""en"")))"),"Juices &amp; Fruit Drinks")</f>
        <v>Juices &amp; Fruit Drinks</v>
      </c>
      <c r="C58" s="56">
        <f>IF('AYIRA MINI MART FINAL MENU - Pr'!C58="", "", 'AYIRA MINI MART FINAL MENU - Pr'!C58)</f>
        <v>2.5</v>
      </c>
      <c r="D58" s="56" t="str">
        <f>IFERROR(__xludf.DUMMYFUNCTION("IF('AYIRA MINI MART FINAL MENU - Pr'!D58="""", """", GOOGLETRANSLATE('AYIRA MINI MART FINAL MENU - Pr'!D58, ""ar"", ""en""))"),"Discover Capri-Sun Mango 200ml – a premium product that combines high quality with exceptional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Capri-Sun Mango 200ml –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58" s="56" t="str">
        <f>IF('AYIRA MINI MART FINAL MENU - Pr'!K58="", "", 'AYIRA MINI MART FINAL MENU - Pr'!K58)</f>
        <v/>
      </c>
      <c r="F58" s="56"/>
      <c r="G58" s="56"/>
      <c r="H58" s="56"/>
      <c r="I58" s="56"/>
      <c r="J58" s="56"/>
      <c r="L58" s="56" t="str">
        <f>IF('AYIRA MINI MART FINAL MENU - Pr'!L58="", "", 'AYIRA MINI MART FINAL MENU - Pr'!L58)</f>
        <v/>
      </c>
      <c r="M58" s="56" t="str">
        <f>IF('AYIRA MINI MART FINAL MENU - Pr'!M58="", "", 'AYIRA MINI MART FINAL MENU - Pr'!M58)</f>
        <v/>
      </c>
      <c r="N58" s="56" t="str">
        <f>IF('AYIRA MINI MART FINAL MENU - Pr'!N58="", "", 'AYIRA MINI MART FINAL MENU - Pr'!N58)</f>
        <v/>
      </c>
      <c r="O58" s="57"/>
      <c r="P58" s="57"/>
      <c r="Q58" s="57"/>
      <c r="R58" s="57"/>
      <c r="S58" s="57"/>
      <c r="T58" s="57"/>
      <c r="U58" s="57"/>
      <c r="V58" s="57"/>
      <c r="W58" s="57"/>
      <c r="X58" s="57"/>
      <c r="Y58" s="57"/>
      <c r="Z58" s="57"/>
    </row>
    <row r="59">
      <c r="A59" s="56" t="str">
        <f>IFERROR(__xludf.DUMMYFUNCTION("IF('AYIRA MINI MART FINAL MENU - Pr'!A59="""", """", IF(LEN(IFERROR(TRIM(REGEXREPLACE(TRIM(REGEXEXTRACT('AYIRA MINI MART FINAL MENU - Pr'!A59, ""^[^\x{0600}-\x{06FF}]+"")), ""[-–]+$"", """")), """"))&gt;0, IFERROR(TRIM(REGEXREPLACE(TRIM(REGEXEXTRACT('AYIRA M"&amp;"INI MART FINAL MENU - Pr'!A59, ""^[^\x{0600}-\x{06FF}]+"")), ""[-–]+$"", """")), """"), GOOGLETRANSLATE('AYIRA MINI MART FINAL MENU - Pr'!A59, ""ar"", ""en"")))"),"Vitamilk Strawberry 300ml")</f>
        <v>Vitamilk Strawberry 300ml</v>
      </c>
      <c r="B59" s="56" t="str">
        <f>IFERROR(__xludf.DUMMYFUNCTION("IF('AYIRA MINI MART FINAL MENU - Pr'!B59="""", """", IF(LEN(IFERROR(TRIM(REGEXREPLACE(TRIM(REGEXEXTRACT('AYIRA MINI MART FINAL MENU - Pr'!B59, ""^[^\x{0600}-\x{06FF}]+"")), ""[-–]+$"", """")), """"))&gt;0, IFERROR(TRIM(REGEXREPLACE(TRIM(REGEXEXTRACT('AYIRA M"&amp;"INI MART FINAL MENU - Pr'!B59, ""^[^\x{0600}-\x{06FF}]+"")), ""[-–]+$"", """")), """"), GOOGLETRANSLATE('AYIRA MINI MART FINAL MENU - Pr'!B59, ""ar"", ""en"")))"),"Juices &amp; Fruit Drinks")</f>
        <v>Juices &amp; Fruit Drinks</v>
      </c>
      <c r="C59" s="56">
        <f>IF('AYIRA MINI MART FINAL MENU - Pr'!C59="", "", 'AYIRA MINI MART FINAL MENU - Pr'!C59)</f>
        <v>5</v>
      </c>
      <c r="D59" s="56" t="str">
        <f>IFERROR(__xludf.DUMMYFUNCTION("IF('AYIRA MINI MART FINAL MENU - Pr'!D59="""", """", GOOGLETRANSLATE('AYIRA MINI MART FINAL MENU - Pr'!D59, ""ar"", ""en""))"),"Discover Vitamilk Strawberry 300ml – a premium product that combines high quality with great value. Made to the highest standards of quality and safety to ensure your complete satisfaction every time. Its excellent features make it the perfect choice for "&amp;"you and your family. Whether for everyday use or special occasions, it meets and exceeds your expectations. Get it now from Aira Mini Mart and enjoy a pleasant and reliable shopping experience.")</f>
        <v>Discover Vitamilk Strawberry 300ml –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59" s="56" t="str">
        <f>IF('AYIRA MINI MART FINAL MENU - Pr'!K59="", "", 'AYIRA MINI MART FINAL MENU - Pr'!K59)</f>
        <v/>
      </c>
      <c r="F59" s="56"/>
      <c r="G59" s="56"/>
      <c r="H59" s="56"/>
      <c r="I59" s="56"/>
      <c r="J59" s="56"/>
      <c r="L59" s="56" t="str">
        <f>IF('AYIRA MINI MART FINAL MENU - Pr'!L59="", "", 'AYIRA MINI MART FINAL MENU - Pr'!L59)</f>
        <v/>
      </c>
      <c r="M59" s="56" t="str">
        <f>IF('AYIRA MINI MART FINAL MENU - Pr'!M59="", "", 'AYIRA MINI MART FINAL MENU - Pr'!M59)</f>
        <v/>
      </c>
      <c r="N59" s="56" t="str">
        <f>IF('AYIRA MINI MART FINAL MENU - Pr'!N59="", "", 'AYIRA MINI MART FINAL MENU - Pr'!N59)</f>
        <v/>
      </c>
      <c r="O59" s="57"/>
      <c r="P59" s="57"/>
      <c r="Q59" s="57"/>
      <c r="R59" s="57"/>
      <c r="S59" s="57"/>
      <c r="T59" s="57"/>
      <c r="U59" s="57"/>
      <c r="V59" s="57"/>
      <c r="W59" s="57"/>
      <c r="X59" s="57"/>
      <c r="Y59" s="57"/>
      <c r="Z59" s="57"/>
    </row>
    <row r="60">
      <c r="A60" s="56" t="str">
        <f>IFERROR(__xludf.DUMMYFUNCTION("IF('AYIRA MINI MART FINAL MENU - Pr'!A60="""", """", IF(LEN(IFERROR(TRIM(REGEXREPLACE(TRIM(REGEXEXTRACT('AYIRA MINI MART FINAL MENU - Pr'!A60, ""^[^\x{0600}-\x{06FF}]+"")), ""[-–]+$"", """")), """"))&gt;0, IFERROR(TRIM(REGEXREPLACE(TRIM(REGEXEXTRACT('AYIRA M"&amp;"INI MART FINAL MENU - Pr'!A60, ""^[^\x{0600}-\x{06FF}]+"")), ""[-–]+$"", """")), """"), GOOGLETRANSLATE('AYIRA MINI MART FINAL MENU - Pr'!A60, ""ar"", ""en"")))"),"Vitamilk Double Choco Shake 300 ml")</f>
        <v>Vitamilk Double Choco Shake 300 ml</v>
      </c>
      <c r="B60" s="56" t="str">
        <f>IFERROR(__xludf.DUMMYFUNCTION("IF('AYIRA MINI MART FINAL MENU - Pr'!B60="""", """", IF(LEN(IFERROR(TRIM(REGEXREPLACE(TRIM(REGEXEXTRACT('AYIRA MINI MART FINAL MENU - Pr'!B60, ""^[^\x{0600}-\x{06FF}]+"")), ""[-–]+$"", """")), """"))&gt;0, IFERROR(TRIM(REGEXREPLACE(TRIM(REGEXEXTRACT('AYIRA M"&amp;"INI MART FINAL MENU - Pr'!B60, ""^[^\x{0600}-\x{06FF}]+"")), ""[-–]+$"", """")), """"), GOOGLETRANSLATE('AYIRA MINI MART FINAL MENU - Pr'!B60, ""ar"", ""en"")))"),"Juices &amp; Fruit Drinks")</f>
        <v>Juices &amp; Fruit Drinks</v>
      </c>
      <c r="C60" s="56">
        <f>IF('AYIRA MINI MART FINAL MENU - Pr'!C60="", "", 'AYIRA MINI MART FINAL MENU - Pr'!C60)</f>
        <v>5</v>
      </c>
      <c r="D60" s="56" t="str">
        <f>IFERROR(__xludf.DUMMYFUNCTION("IF('AYIRA MINI MART FINAL MENU - Pr'!D60="""", """", GOOGLETRANSLATE('AYIRA MINI MART FINAL MENU - Pr'!D60, ""ar"", ""en""))"),"Discover Vitamilk Double Choco Shake 300ml, a premium product that combines high quality with great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Vitamilk Double Choco Shake 300ml,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60" s="56" t="str">
        <f>IF('AYIRA MINI MART FINAL MENU - Pr'!K60="", "", 'AYIRA MINI MART FINAL MENU - Pr'!K60)</f>
        <v/>
      </c>
      <c r="F60" s="56"/>
      <c r="G60" s="56"/>
      <c r="H60" s="56"/>
      <c r="I60" s="56"/>
      <c r="J60" s="56"/>
      <c r="L60" s="56" t="str">
        <f>IF('AYIRA MINI MART FINAL MENU - Pr'!L60="", "", 'AYIRA MINI MART FINAL MENU - Pr'!L60)</f>
        <v/>
      </c>
      <c r="M60" s="56" t="str">
        <f>IF('AYIRA MINI MART FINAL MENU - Pr'!M60="", "", 'AYIRA MINI MART FINAL MENU - Pr'!M60)</f>
        <v/>
      </c>
      <c r="N60" s="56" t="str">
        <f>IF('AYIRA MINI MART FINAL MENU - Pr'!N60="", "", 'AYIRA MINI MART FINAL MENU - Pr'!N60)</f>
        <v/>
      </c>
      <c r="O60" s="57"/>
      <c r="P60" s="57"/>
      <c r="Q60" s="57"/>
      <c r="R60" s="57"/>
      <c r="S60" s="57"/>
      <c r="T60" s="57"/>
      <c r="U60" s="57"/>
      <c r="V60" s="57"/>
      <c r="W60" s="57"/>
      <c r="X60" s="57"/>
      <c r="Y60" s="57"/>
      <c r="Z60" s="57"/>
    </row>
    <row r="61">
      <c r="A61" s="56" t="str">
        <f>IFERROR(__xludf.DUMMYFUNCTION("IF('AYIRA MINI MART FINAL MENU - Pr'!A61="""", """", IF(LEN(IFERROR(TRIM(REGEXREPLACE(TRIM(REGEXEXTRACT('AYIRA MINI MART FINAL MENU - Pr'!A61, ""^[^\x{0600}-\x{06FF}]+"")), ""[-–]+$"", """")), """"))&gt;0, IFERROR(TRIM(REGEXREPLACE(TRIM(REGEXEXTRACT('AYIRA M"&amp;"INI MART FINAL MENU - Pr'!A61, ""^[^\x{0600}-\x{06FF}]+"")), ""[-–]+$"", """")), """"), GOOGLETRANSLATE('AYIRA MINI MART FINAL MENU - Pr'!A61, ""ar"", ""en"")))"),"Vitamilk Energy 300 ml")</f>
        <v>Vitamilk Energy 300 ml</v>
      </c>
      <c r="B61" s="56" t="str">
        <f>IFERROR(__xludf.DUMMYFUNCTION("IF('AYIRA MINI MART FINAL MENU - Pr'!B61="""", """", IF(LEN(IFERROR(TRIM(REGEXREPLACE(TRIM(REGEXEXTRACT('AYIRA MINI MART FINAL MENU - Pr'!B61, ""^[^\x{0600}-\x{06FF}]+"")), ""[-–]+$"", """")), """"))&gt;0, IFERROR(TRIM(REGEXREPLACE(TRIM(REGEXEXTRACT('AYIRA M"&amp;"INI MART FINAL MENU - Pr'!B61, ""^[^\x{0600}-\x{06FF}]+"")), ""[-–]+$"", """")), """"), GOOGLETRANSLATE('AYIRA MINI MART FINAL MENU - Pr'!B61, ""ar"", ""en"")))"),"Juices &amp; Fruit Drinks")</f>
        <v>Juices &amp; Fruit Drinks</v>
      </c>
      <c r="C61" s="56">
        <f>IF('AYIRA MINI MART FINAL MENU - Pr'!C61="", "", 'AYIRA MINI MART FINAL MENU - Pr'!C61)</f>
        <v>5</v>
      </c>
      <c r="D61" s="56" t="str">
        <f>IFERROR(__xludf.DUMMYFUNCTION("IF('AYIRA MINI MART FINAL MENU - Pr'!D61="""", """", GOOGLETRANSLATE('AYIRA MINI MART FINAL MENU - Pr'!D61, ""ar"", ""en""))"),"Discover Vitamilk Energy 300ml, a premium product that combines high quality with exceptional value. Manufactured to the highest standards of quality and safety to ensure your complete satisfaction every time, its excellent features make it the perfect ch"&amp;"oice for you and your family. Whether for everyday use or special occasions, it meets and exceeds your expectations. Get it now from Aira Mini Mart and enjoy a pleasant and reliable shopping experience.")</f>
        <v>Discover Vitamilk Energy 300ml, a premium product that combines high quality with exceptional value. Manufactured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61" s="56" t="str">
        <f>IF('AYIRA MINI MART FINAL MENU - Pr'!K61="", "", 'AYIRA MINI MART FINAL MENU - Pr'!K61)</f>
        <v/>
      </c>
      <c r="F61" s="56"/>
      <c r="G61" s="56"/>
      <c r="H61" s="56"/>
      <c r="I61" s="56"/>
      <c r="J61" s="56"/>
      <c r="L61" s="56" t="str">
        <f>IF('AYIRA MINI MART FINAL MENU - Pr'!L61="", "", 'AYIRA MINI MART FINAL MENU - Pr'!L61)</f>
        <v/>
      </c>
      <c r="M61" s="56" t="str">
        <f>IF('AYIRA MINI MART FINAL MENU - Pr'!M61="", "", 'AYIRA MINI MART FINAL MENU - Pr'!M61)</f>
        <v/>
      </c>
      <c r="N61" s="56" t="str">
        <f>IF('AYIRA MINI MART FINAL MENU - Pr'!N61="", "", 'AYIRA MINI MART FINAL MENU - Pr'!N61)</f>
        <v/>
      </c>
      <c r="O61" s="57"/>
      <c r="P61" s="57"/>
      <c r="Q61" s="57"/>
      <c r="R61" s="57"/>
      <c r="S61" s="57"/>
      <c r="T61" s="57"/>
      <c r="U61" s="57"/>
      <c r="V61" s="57"/>
      <c r="W61" s="57"/>
      <c r="X61" s="57"/>
      <c r="Y61" s="57"/>
      <c r="Z61" s="57"/>
    </row>
    <row r="62">
      <c r="A62" s="56" t="str">
        <f>IFERROR(__xludf.DUMMYFUNCTION("IF('AYIRA MINI MART FINAL MENU - Pr'!A62="""", """", IF(LEN(IFERROR(TRIM(REGEXREPLACE(TRIM(REGEXEXTRACT('AYIRA MINI MART FINAL MENU - Pr'!A62, ""^[^\x{0600}-\x{06FF}]+"")), ""[-–]+$"", """")), """"))&gt;0, IFERROR(TRIM(REGEXREPLACE(TRIM(REGEXEXTRACT('AYIRA M"&amp;"INI MART FINAL MENU - Pr'!A62, ""^[^\x{0600}-\x{06FF}]+"")), ""[-–]+$"", """")), """"), GOOGLETRANSLATE('AYIRA MINI MART FINAL MENU - Pr'!A62, ""ar"", ""en"")))"),"Double Up Orange 1 Litre")</f>
        <v>Double Up Orange 1 Litre</v>
      </c>
      <c r="B62" s="56" t="str">
        <f>IFERROR(__xludf.DUMMYFUNCTION("IF('AYIRA MINI MART FINAL MENU - Pr'!B62="""", """", IF(LEN(IFERROR(TRIM(REGEXREPLACE(TRIM(REGEXEXTRACT('AYIRA MINI MART FINAL MENU - Pr'!B62, ""^[^\x{0600}-\x{06FF}]+"")), ""[-–]+$"", """")), """"))&gt;0, IFERROR(TRIM(REGEXREPLACE(TRIM(REGEXEXTRACT('AYIRA M"&amp;"INI MART FINAL MENU - Pr'!B62, ""^[^\x{0600}-\x{06FF}]+"")), ""[-–]+$"", """")), """"), GOOGLETRANSLATE('AYIRA MINI MART FINAL MENU - Pr'!B62, ""ar"", ""en"")))"),"Carbonated Soft Drinks")</f>
        <v>Carbonated Soft Drinks</v>
      </c>
      <c r="C62" s="56">
        <f>IF('AYIRA MINI MART FINAL MENU - Pr'!C62="", "", 'AYIRA MINI MART FINAL MENU - Pr'!C62)</f>
        <v>3.5</v>
      </c>
      <c r="D62" s="56" t="str">
        <f>IFERROR(__xludf.DUMMYFUNCTION("IF('AYIRA MINI MART FINAL MENU - Pr'!D62="""", """", GOOGLETRANSLATE('AYIRA MINI MART FINAL MENU - Pr'!D62, ""ar"", ""en""))"),"Enjoy Double Up, the refreshing soft drink that gives you energy and vitality with every drop. Its delicious taste and unique formula make it the perfect choice to quench your thirst anytime. Ideal for parties, family gatherings, and various occasions. It"&amp;" boasts distinctive flavors that make every sip an unforgettable experience. Get it now from Aira Mini Mart at the best prices and highest quality. Our premium drink provides instant refreshment and satisfies your discerning palate whenever you need hydra"&amp;"tion.")</f>
        <v>Enjoy Double Up,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62" s="56" t="str">
        <f>IF('AYIRA MINI MART FINAL MENU - Pr'!K62="", "", 'AYIRA MINI MART FINAL MENU - Pr'!K62)</f>
        <v/>
      </c>
      <c r="F62" s="56"/>
      <c r="G62" s="56"/>
      <c r="H62" s="56"/>
      <c r="I62" s="56"/>
      <c r="J62" s="56"/>
      <c r="L62" s="56" t="str">
        <f>IF('AYIRA MINI MART FINAL MENU - Pr'!L62="", "", 'AYIRA MINI MART FINAL MENU - Pr'!L62)</f>
        <v/>
      </c>
      <c r="M62" s="56" t="str">
        <f>IF('AYIRA MINI MART FINAL MENU - Pr'!M62="", "", 'AYIRA MINI MART FINAL MENU - Pr'!M62)</f>
        <v/>
      </c>
      <c r="N62" s="56" t="str">
        <f>IF('AYIRA MINI MART FINAL MENU - Pr'!N62="", "", 'AYIRA MINI MART FINAL MENU - Pr'!N62)</f>
        <v/>
      </c>
      <c r="O62" s="57"/>
      <c r="P62" s="57"/>
      <c r="Q62" s="57"/>
      <c r="R62" s="57"/>
      <c r="S62" s="57"/>
      <c r="T62" s="57"/>
      <c r="U62" s="57"/>
      <c r="V62" s="57"/>
      <c r="W62" s="57"/>
      <c r="X62" s="57"/>
      <c r="Y62" s="57"/>
      <c r="Z62" s="57"/>
    </row>
    <row r="63">
      <c r="A63" s="56" t="str">
        <f>IFERROR(__xludf.DUMMYFUNCTION("IF('AYIRA MINI MART FINAL MENU - Pr'!A63="""", """", IF(LEN(IFERROR(TRIM(REGEXREPLACE(TRIM(REGEXEXTRACT('AYIRA MINI MART FINAL MENU - Pr'!A63, ""^[^\x{0600}-\x{06FF}]+"")), ""[-–]+$"", """")), """"))&gt;0, IFERROR(TRIM(REGEXREPLACE(TRIM(REGEXEXTRACT('AYIRA M"&amp;"INI MART FINAL MENU - Pr'!A63, ""^[^\x{0600}-\x{06FF}]+"")), ""[-–]+$"", """")), """"), GOOGLETRANSLATE('AYIRA MINI MART FINAL MENU - Pr'!A63, ""ar"", ""en"")))"),"Double Up Soda Water 500 ml")</f>
        <v>Double Up Soda Water 500 ml</v>
      </c>
      <c r="B63" s="56" t="str">
        <f>IFERROR(__xludf.DUMMYFUNCTION("IF('AYIRA MINI MART FINAL MENU - Pr'!B63="""", """", IF(LEN(IFERROR(TRIM(REGEXREPLACE(TRIM(REGEXEXTRACT('AYIRA MINI MART FINAL MENU - Pr'!B63, ""^[^\x{0600}-\x{06FF}]+"")), ""[-–]+$"", """")), """"))&gt;0, IFERROR(TRIM(REGEXREPLACE(TRIM(REGEXEXTRACT('AYIRA M"&amp;"INI MART FINAL MENU - Pr'!B63, ""^[^\x{0600}-\x{06FF}]+"")), ""[-–]+$"", """")), """"), GOOGLETRANSLATE('AYIRA MINI MART FINAL MENU - Pr'!B63, ""ar"", ""en"")))"),"Carbonated Soft Drinks")</f>
        <v>Carbonated Soft Drinks</v>
      </c>
      <c r="C63" s="56">
        <f>IF('AYIRA MINI MART FINAL MENU - Pr'!C63="", "", 'AYIRA MINI MART FINAL MENU - Pr'!C63)</f>
        <v>1.5</v>
      </c>
      <c r="D63" s="56" t="str">
        <f>IFERROR(__xludf.DUMMYFUNCTION("IF('AYIRA MINI MART FINAL MENU - Pr'!D63="""", """", GOOGLETRANSLATE('AYIRA MINI MART FINAL MENU - Pr'!D63, ""ar"", ""en""))"),"Drink Double Up, the pure water that restores your body's natural balance. Sourced from the purest natural sources and bottled to the highest standards of quality and hygiene to ensure it reaches you in perfect condition. Proper hydration is essential for"&amp;" a good life, and choosing this water reflects your commitment to your well-being. Make sure to drink enough water daily to maintain your energy and vitality. Aira Mini Mart offers this premium water at competitive prices.")</f>
        <v>Drink Double Up,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63" s="56" t="str">
        <f>IF('AYIRA MINI MART FINAL MENU - Pr'!K63="", "", 'AYIRA MINI MART FINAL MENU - Pr'!K63)</f>
        <v/>
      </c>
      <c r="F63" s="56"/>
      <c r="G63" s="56"/>
      <c r="H63" s="56"/>
      <c r="I63" s="56"/>
      <c r="J63" s="56"/>
      <c r="L63" s="56" t="str">
        <f>IF('AYIRA MINI MART FINAL MENU - Pr'!L63="", "", 'AYIRA MINI MART FINAL MENU - Pr'!L63)</f>
        <v/>
      </c>
      <c r="M63" s="56" t="str">
        <f>IF('AYIRA MINI MART FINAL MENU - Pr'!M63="", "", 'AYIRA MINI MART FINAL MENU - Pr'!M63)</f>
        <v/>
      </c>
      <c r="N63" s="56" t="str">
        <f>IF('AYIRA MINI MART FINAL MENU - Pr'!N63="", "", 'AYIRA MINI MART FINAL MENU - Pr'!N63)</f>
        <v/>
      </c>
      <c r="O63" s="57"/>
      <c r="P63" s="57"/>
      <c r="Q63" s="57"/>
      <c r="R63" s="57"/>
      <c r="S63" s="57"/>
      <c r="T63" s="57"/>
      <c r="U63" s="57"/>
      <c r="V63" s="57"/>
      <c r="W63" s="57"/>
      <c r="X63" s="57"/>
      <c r="Y63" s="57"/>
      <c r="Z63" s="57"/>
    </row>
    <row r="64">
      <c r="A64" s="56" t="str">
        <f>IFERROR(__xludf.DUMMYFUNCTION("IF('AYIRA MINI MART FINAL MENU - Pr'!A64="""", """", IF(LEN(IFERROR(TRIM(REGEXREPLACE(TRIM(REGEXEXTRACT('AYIRA MINI MART FINAL MENU - Pr'!A64, ""^[^\x{0600}-\x{06FF}]+"")), ""[-–]+$"", """")), """"))&gt;0, IFERROR(TRIM(REGEXREPLACE(TRIM(REGEXEXTRACT('AYIRA M"&amp;"INI MART FINAL MENU - Pr'!A64, ""^[^\x{0600}-\x{06FF}]+"")), ""[-–]+$"", """")), """"), GOOGLETRANSLATE('AYIRA MINI MART FINAL MENU - Pr'!A64, ""ar"", ""en"")))"),"High Speed Drink 250 ml")</f>
        <v>High Speed Drink 250 ml</v>
      </c>
      <c r="B64" s="56" t="str">
        <f>IFERROR(__xludf.DUMMYFUNCTION("IF('AYIRA MINI MART FINAL MENU - Pr'!B64="""", """", IF(LEN(IFERROR(TRIM(REGEXREPLACE(TRIM(REGEXEXTRACT('AYIRA MINI MART FINAL MENU - Pr'!B64, ""^[^\x{0600}-\x{06FF}]+"")), ""[-–]+$"", """")), """"))&gt;0, IFERROR(TRIM(REGEXREPLACE(TRIM(REGEXEXTRACT('AYIRA M"&amp;"INI MART FINAL MENU - Pr'!B64, ""^[^\x{0600}-\x{06FF}]+"")), ""[-–]+$"", """")), """"), GOOGLETRANSLATE('AYIRA MINI MART FINAL MENU - Pr'!B64, ""ar"", ""en"")))"),"Carbonated Soft Drinks")</f>
        <v>Carbonated Soft Drinks</v>
      </c>
      <c r="C64" s="56">
        <f>IF('AYIRA MINI MART FINAL MENU - Pr'!C64="", "", 'AYIRA MINI MART FINAL MENU - Pr'!C64)</f>
        <v>3</v>
      </c>
      <c r="D64" s="56" t="str">
        <f>IFERROR(__xludf.DUMMYFUNCTION("IF('AYIRA MINI MART FINAL MENU - Pr'!D64="""", """", GOOGLETRANSLATE('AYIRA MINI MART FINAL MENU - Pr'!D64, ""ar"", ""en""))"),"Discover High Speed ​​Drink 250ml, a premium product that combines high quality with great value. Made to the highest standards of quality and safety to ensure your complete satisfaction every time. Its excellent features make it the perfect choice for yo"&amp;"u and your family. Whether for everyday use or special occasions, it meets and exceeds your expectations. Get it now from Aira Mini Mart and enjoy a pleasant and reliable shopping experience.")</f>
        <v>Discover High Speed ​​Drink 250ml,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64" s="56" t="str">
        <f>IF('AYIRA MINI MART FINAL MENU - Pr'!K64="", "", 'AYIRA MINI MART FINAL MENU - Pr'!K64)</f>
        <v/>
      </c>
      <c r="F64" s="56"/>
      <c r="G64" s="56"/>
      <c r="H64" s="56"/>
      <c r="I64" s="56"/>
      <c r="J64" s="56"/>
      <c r="L64" s="56" t="str">
        <f>IF('AYIRA MINI MART FINAL MENU - Pr'!L64="", "", 'AYIRA MINI MART FINAL MENU - Pr'!L64)</f>
        <v/>
      </c>
      <c r="M64" s="56" t="str">
        <f>IF('AYIRA MINI MART FINAL MENU - Pr'!M64="", "", 'AYIRA MINI MART FINAL MENU - Pr'!M64)</f>
        <v/>
      </c>
      <c r="N64" s="56" t="str">
        <f>IF('AYIRA MINI MART FINAL MENU - Pr'!N64="", "", 'AYIRA MINI MART FINAL MENU - Pr'!N64)</f>
        <v/>
      </c>
      <c r="O64" s="57"/>
      <c r="P64" s="57"/>
      <c r="Q64" s="57"/>
      <c r="R64" s="57"/>
      <c r="S64" s="57"/>
      <c r="T64" s="57"/>
      <c r="U64" s="57"/>
      <c r="V64" s="57"/>
      <c r="W64" s="57"/>
      <c r="X64" s="57"/>
      <c r="Y64" s="57"/>
      <c r="Z64" s="57"/>
    </row>
    <row r="65">
      <c r="A65" s="56" t="str">
        <f>IFERROR(__xludf.DUMMYFUNCTION("IF('AYIRA MINI MART FINAL MENU - Pr'!A65="""", """", IF(LEN(IFERROR(TRIM(REGEXREPLACE(TRIM(REGEXEXTRACT('AYIRA MINI MART FINAL MENU - Pr'!A65, ""^[^\x{0600}-\x{06FF}]+"")), ""[-–]+$"", """")), """"))&gt;0, IFERROR(TRIM(REGEXREPLACE(TRIM(REGEXEXTRACT('AYIRA M"&amp;"INI MART FINAL MENU - Pr'!A65, ""^[^\x{0600}-\x{06FF}]+"")), ""[-–]+$"", """")), """"), GOOGLETRANSLATE('AYIRA MINI MART FINAL MENU - Pr'!A65, ""ar"", ""en"")))"),"Double Up Orange 200 ml")</f>
        <v>Double Up Orange 200 ml</v>
      </c>
      <c r="B65" s="56" t="str">
        <f>IFERROR(__xludf.DUMMYFUNCTION("IF('AYIRA MINI MART FINAL MENU - Pr'!B65="""", """", IF(LEN(IFERROR(TRIM(REGEXREPLACE(TRIM(REGEXEXTRACT('AYIRA MINI MART FINAL MENU - Pr'!B65, ""^[^\x{0600}-\x{06FF}]+"")), ""[-–]+$"", """")), """"))&gt;0, IFERROR(TRIM(REGEXREPLACE(TRIM(REGEXEXTRACT('AYIRA M"&amp;"INI MART FINAL MENU - Pr'!B65, ""^[^\x{0600}-\x{06FF}]+"")), ""[-–]+$"", """")), """"), GOOGLETRANSLATE('AYIRA MINI MART FINAL MENU - Pr'!B65, ""ar"", ""en"")))"),"Carbonated Soft Drinks")</f>
        <v>Carbonated Soft Drinks</v>
      </c>
      <c r="C65" s="56">
        <f>IF('AYIRA MINI MART FINAL MENU - Pr'!C65="", "", 'AYIRA MINI MART FINAL MENU - Pr'!C65)</f>
        <v>1.5</v>
      </c>
      <c r="D65" s="56" t="str">
        <f>IFERROR(__xludf.DUMMYFUNCTION("IF('AYIRA MINI MART FINAL MENU - Pr'!D65="""", """", GOOGLETRANSLATE('AYIRA MINI MART FINAL MENU - Pr'!D65, ""ar"", ""en""))"),"Enjoy Double Up, the refreshing soft drink that gives you energy and vitality with every drop. Its delicious taste and unique formula make it the perfect choice to quench your thirst anytime. Ideal for parties, family gatherings, and various occasions. It"&amp;" boasts distinctive flavors that make every sip an unforgettable experience. Get it now from Aira Mini Mart at the best prices and highest quality. Our premium drink provides instant refreshment and satisfies your discerning palate whenever you need hydra"&amp;"tion.")</f>
        <v>Enjoy Double Up,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65" s="56" t="str">
        <f>IF('AYIRA MINI MART FINAL MENU - Pr'!K65="", "", 'AYIRA MINI MART FINAL MENU - Pr'!K65)</f>
        <v/>
      </c>
      <c r="F65" s="56"/>
      <c r="G65" s="56"/>
      <c r="H65" s="56"/>
      <c r="I65" s="56"/>
      <c r="J65" s="56"/>
      <c r="L65" s="56" t="str">
        <f>IF('AYIRA MINI MART FINAL MENU - Pr'!L65="", "", 'AYIRA MINI MART FINAL MENU - Pr'!L65)</f>
        <v/>
      </c>
      <c r="M65" s="56" t="str">
        <f>IF('AYIRA MINI MART FINAL MENU - Pr'!M65="", "", 'AYIRA MINI MART FINAL MENU - Pr'!M65)</f>
        <v/>
      </c>
      <c r="N65" s="56" t="str">
        <f>IF('AYIRA MINI MART FINAL MENU - Pr'!N65="", "", 'AYIRA MINI MART FINAL MENU - Pr'!N65)</f>
        <v/>
      </c>
      <c r="O65" s="57"/>
      <c r="P65" s="57"/>
      <c r="Q65" s="57"/>
      <c r="R65" s="57"/>
      <c r="S65" s="57"/>
      <c r="T65" s="57"/>
      <c r="U65" s="57"/>
      <c r="V65" s="57"/>
      <c r="W65" s="57"/>
      <c r="X65" s="57"/>
      <c r="Y65" s="57"/>
      <c r="Z65" s="57"/>
    </row>
    <row r="66">
      <c r="A66" s="56" t="str">
        <f>IFERROR(__xludf.DUMMYFUNCTION("IF('AYIRA MINI MART FINAL MENU - Pr'!A66="""", """", IF(LEN(IFERROR(TRIM(REGEXREPLACE(TRIM(REGEXEXTRACT('AYIRA MINI MART FINAL MENU - Pr'!A66, ""^[^\x{0600}-\x{06FF}]+"")), ""[-–]+$"", """")), """"))&gt;0, IFERROR(TRIM(REGEXREPLACE(TRIM(REGEXEXTRACT('AYIRA M"&amp;"INI MART FINAL MENU - Pr'!A66, ""^[^\x{0600}-\x{06FF}]+"")), ""[-–]+$"", """")), """"), GOOGLETRANSLATE('AYIRA MINI MART FINAL MENU - Pr'!A66, ""ar"", ""en"")))"),"Double Up Red Berries 200 ml")</f>
        <v>Double Up Red Berries 200 ml</v>
      </c>
      <c r="B66" s="56" t="str">
        <f>IFERROR(__xludf.DUMMYFUNCTION("IF('AYIRA MINI MART FINAL MENU - Pr'!B66="""", """", IF(LEN(IFERROR(TRIM(REGEXREPLACE(TRIM(REGEXEXTRACT('AYIRA MINI MART FINAL MENU - Pr'!B66, ""^[^\x{0600}-\x{06FF}]+"")), ""[-–]+$"", """")), """"))&gt;0, IFERROR(TRIM(REGEXREPLACE(TRIM(REGEXEXTRACT('AYIRA M"&amp;"INI MART FINAL MENU - Pr'!B66, ""^[^\x{0600}-\x{06FF}]+"")), ""[-–]+$"", """")), """"), GOOGLETRANSLATE('AYIRA MINI MART FINAL MENU - Pr'!B66, ""ar"", ""en"")))"),"Carbonated Soft Drinks")</f>
        <v>Carbonated Soft Drinks</v>
      </c>
      <c r="C66" s="56">
        <f>IF('AYIRA MINI MART FINAL MENU - Pr'!C66="", "", 'AYIRA MINI MART FINAL MENU - Pr'!C66)</f>
        <v>1.5</v>
      </c>
      <c r="D66" s="56" t="str">
        <f>IFERROR(__xludf.DUMMYFUNCTION("IF('AYIRA MINI MART FINAL MENU - Pr'!D66="""", """", GOOGLETRANSLATE('AYIRA MINI MART FINAL MENU - Pr'!D66, ""ar"", ""en""))"),"Enjoy Double Up, the refreshing soft drink that gives you energy and vitality with every drop. Its delicious taste and unique formula make it the perfect choice to quench your thirst anytime. Ideal for parties, family gatherings, and various occasions. It"&amp;" boasts distinctive flavors that make every sip an unforgettable experience. Get it now from Aira Mini Mart at the best prices and highest quality. Our premium drink provides instant refreshment and satisfies your discerning palate whenever you need hydra"&amp;"tion.")</f>
        <v>Enjoy Double Up,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66" s="56" t="str">
        <f>IF('AYIRA MINI MART FINAL MENU - Pr'!K66="", "", 'AYIRA MINI MART FINAL MENU - Pr'!K66)</f>
        <v/>
      </c>
      <c r="F66" s="56"/>
      <c r="G66" s="56"/>
      <c r="H66" s="56"/>
      <c r="I66" s="56"/>
      <c r="J66" s="56"/>
      <c r="L66" s="56" t="str">
        <f>IF('AYIRA MINI MART FINAL MENU - Pr'!L66="", "", 'AYIRA MINI MART FINAL MENU - Pr'!L66)</f>
        <v/>
      </c>
      <c r="M66" s="56" t="str">
        <f>IF('AYIRA MINI MART FINAL MENU - Pr'!M66="", "", 'AYIRA MINI MART FINAL MENU - Pr'!M66)</f>
        <v/>
      </c>
      <c r="N66" s="56" t="str">
        <f>IF('AYIRA MINI MART FINAL MENU - Pr'!N66="", "", 'AYIRA MINI MART FINAL MENU - Pr'!N66)</f>
        <v/>
      </c>
      <c r="O66" s="57"/>
      <c r="P66" s="57"/>
      <c r="Q66" s="57"/>
      <c r="R66" s="57"/>
      <c r="S66" s="57"/>
      <c r="T66" s="57"/>
      <c r="U66" s="57"/>
      <c r="V66" s="57"/>
      <c r="W66" s="57"/>
      <c r="X66" s="57"/>
      <c r="Y66" s="57"/>
      <c r="Z66" s="57"/>
    </row>
    <row r="67">
      <c r="A67" s="56" t="str">
        <f>IFERROR(__xludf.DUMMYFUNCTION("IF('AYIRA MINI MART FINAL MENU - Pr'!A67="""", """", IF(LEN(IFERROR(TRIM(REGEXREPLACE(TRIM(REGEXEXTRACT('AYIRA MINI MART FINAL MENU - Pr'!A67, ""^[^\x{0600}-\x{06FF}]+"")), ""[-–]+$"", """")), """"))&gt;0, IFERROR(TRIM(REGEXREPLACE(TRIM(REGEXEXTRACT('AYIRA M"&amp;"INI MART FINAL MENU - Pr'!A67, ""^[^\x{0600}-\x{06FF}]+"")), ""[-–]+$"", """")), """"), GOOGLETRANSLATE('AYIRA MINI MART FINAL MENU - Pr'!A67, ""ar"", ""en"")))"),"Pran Litchi Drink 250 ml")</f>
        <v>Pran Litchi Drink 250 ml</v>
      </c>
      <c r="B67" s="56" t="str">
        <f>IFERROR(__xludf.DUMMYFUNCTION("IF('AYIRA MINI MART FINAL MENU - Pr'!B67="""", """", IF(LEN(IFERROR(TRIM(REGEXREPLACE(TRIM(REGEXEXTRACT('AYIRA MINI MART FINAL MENU - Pr'!B67, ""^[^\x{0600}-\x{06FF}]+"")), ""[-–]+$"", """")), """"))&gt;0, IFERROR(TRIM(REGEXREPLACE(TRIM(REGEXEXTRACT('AYIRA M"&amp;"INI MART FINAL MENU - Pr'!B67, ""^[^\x{0600}-\x{06FF}]+"")), ""[-–]+$"", """")), """"), GOOGLETRANSLATE('AYIRA MINI MART FINAL MENU - Pr'!B67, ""ar"", ""en"")))"),"Juices &amp; Fruit Drinks")</f>
        <v>Juices &amp; Fruit Drinks</v>
      </c>
      <c r="C67" s="56">
        <f>IF('AYIRA MINI MART FINAL MENU - Pr'!C67="", "", 'AYIRA MINI MART FINAL MENU - Pr'!C67)</f>
        <v>1</v>
      </c>
      <c r="D67" s="56" t="str">
        <f>IFERROR(__xludf.DUMMYFUNCTION("IF('AYIRA MINI MART FINAL MENU - Pr'!D67="""", """", GOOGLETRANSLATE('AYIRA MINI MART FINAL MENU - Pr'!D67, ""ar"", ""en""))"),"Discover Pran Litchi Drink 250ml, a premium product that combines high quality with great value. Made to the highest standards of quality and safety to ensure your complete satisfaction every time. Its excellent qualities make it the perfect choice for yo"&amp;"u and your family. Whether for everyday use or special occasions, it meets and exceeds your expectations. Get it now from Aira Mini Mart and enjoy a pleasant and reliable shopping experience.")</f>
        <v>Discover Pran Litchi Drink 250ml, a premium product that combines high quality with great value. Made to the highest standards of quality and safety to ensure your complete satisfaction every time. Its excellent qualities make it the perfect choice for you and your family. Whether for everyday use or special occasions, it meets and exceeds your expectations. Get it now from Aira Mini Mart and enjoy a pleasant and reliable shopping experience.</v>
      </c>
      <c r="E67" s="56" t="str">
        <f>IF('AYIRA MINI MART FINAL MENU - Pr'!K67="", "", 'AYIRA MINI MART FINAL MENU - Pr'!K67)</f>
        <v/>
      </c>
      <c r="F67" s="56"/>
      <c r="G67" s="56"/>
      <c r="H67" s="56"/>
      <c r="I67" s="56"/>
      <c r="J67" s="56"/>
      <c r="L67" s="56" t="str">
        <f>IF('AYIRA MINI MART FINAL MENU - Pr'!L67="", "", 'AYIRA MINI MART FINAL MENU - Pr'!L67)</f>
        <v/>
      </c>
      <c r="M67" s="56" t="str">
        <f>IF('AYIRA MINI MART FINAL MENU - Pr'!M67="", "", 'AYIRA MINI MART FINAL MENU - Pr'!M67)</f>
        <v/>
      </c>
      <c r="N67" s="56" t="str">
        <f>IF('AYIRA MINI MART FINAL MENU - Pr'!N67="", "", 'AYIRA MINI MART FINAL MENU - Pr'!N67)</f>
        <v/>
      </c>
      <c r="O67" s="57"/>
      <c r="P67" s="57"/>
      <c r="Q67" s="57"/>
      <c r="R67" s="57"/>
      <c r="S67" s="57"/>
      <c r="T67" s="57"/>
      <c r="U67" s="57"/>
      <c r="V67" s="57"/>
      <c r="W67" s="57"/>
      <c r="X67" s="57"/>
      <c r="Y67" s="57"/>
      <c r="Z67" s="57"/>
    </row>
    <row r="68">
      <c r="A68" s="56" t="str">
        <f>IFERROR(__xludf.DUMMYFUNCTION("IF('AYIRA MINI MART FINAL MENU - Pr'!A68="""", """", IF(LEN(IFERROR(TRIM(REGEXREPLACE(TRIM(REGEXEXTRACT('AYIRA MINI MART FINAL MENU - Pr'!A68, ""^[^\x{0600}-\x{06FF}]+"")), ""[-–]+$"", """")), """"))&gt;0, IFERROR(TRIM(REGEXREPLACE(TRIM(REGEXEXTRACT('AYIRA M"&amp;"INI MART FINAL MENU - Pr'!A68, ""^[^\x{0600}-\x{06FF}]+"")), ""[-–]+$"", """")), """"), GOOGLETRANSLATE('AYIRA MINI MART FINAL MENU - Pr'!A68, ""ar"", ""en"")))"),"Shami Strawberry Drink 200 ml")</f>
        <v>Shami Strawberry Drink 200 ml</v>
      </c>
      <c r="B68" s="56" t="str">
        <f>IFERROR(__xludf.DUMMYFUNCTION("IF('AYIRA MINI MART FINAL MENU - Pr'!B68="""", """", IF(LEN(IFERROR(TRIM(REGEXREPLACE(TRIM(REGEXEXTRACT('AYIRA MINI MART FINAL MENU - Pr'!B68, ""^[^\x{0600}-\x{06FF}]+"")), ""[-–]+$"", """")), """"))&gt;0, IFERROR(TRIM(REGEXREPLACE(TRIM(REGEXEXTRACT('AYIRA M"&amp;"INI MART FINAL MENU - Pr'!B68, ""^[^\x{0600}-\x{06FF}]+"")), ""[-–]+$"", """")), """"), GOOGLETRANSLATE('AYIRA MINI MART FINAL MENU - Pr'!B68, ""ar"", ""en"")))"),"Juices &amp; Fruit Drinks")</f>
        <v>Juices &amp; Fruit Drinks</v>
      </c>
      <c r="C68" s="56">
        <f>IF('AYIRA MINI MART FINAL MENU - Pr'!C68="", "", 'AYIRA MINI MART FINAL MENU - Pr'!C68)</f>
        <v>2.5</v>
      </c>
      <c r="D68" s="56" t="str">
        <f>IFERROR(__xludf.DUMMYFUNCTION("IF('AYIRA MINI MART FINAL MENU - Pr'!D68="""", """", GOOGLETRANSLATE('AYIRA MINI MART FINAL MENU - Pr'!D68, ""ar"", ""en""))"),"Discover Shami Strawberry Drink 200ml, a premium product that combines high quality with great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Shami Strawberry Drink 200ml,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68" s="56" t="str">
        <f>IF('AYIRA MINI MART FINAL MENU - Pr'!K68="", "", 'AYIRA MINI MART FINAL MENU - Pr'!K68)</f>
        <v/>
      </c>
      <c r="F68" s="56"/>
      <c r="G68" s="56"/>
      <c r="H68" s="56"/>
      <c r="I68" s="56"/>
      <c r="J68" s="56"/>
      <c r="L68" s="56" t="str">
        <f>IF('AYIRA MINI MART FINAL MENU - Pr'!L68="", "", 'AYIRA MINI MART FINAL MENU - Pr'!L68)</f>
        <v/>
      </c>
      <c r="M68" s="56" t="str">
        <f>IF('AYIRA MINI MART FINAL MENU - Pr'!M68="", "", 'AYIRA MINI MART FINAL MENU - Pr'!M68)</f>
        <v/>
      </c>
      <c r="N68" s="56" t="str">
        <f>IF('AYIRA MINI MART FINAL MENU - Pr'!N68="", "", 'AYIRA MINI MART FINAL MENU - Pr'!N68)</f>
        <v/>
      </c>
      <c r="O68" s="57"/>
      <c r="P68" s="57"/>
      <c r="Q68" s="57"/>
      <c r="R68" s="57"/>
      <c r="S68" s="57"/>
      <c r="T68" s="57"/>
      <c r="U68" s="57"/>
      <c r="V68" s="57"/>
      <c r="W68" s="57"/>
      <c r="X68" s="57"/>
      <c r="Y68" s="57"/>
      <c r="Z68" s="57"/>
    </row>
    <row r="69">
      <c r="A69" s="56" t="str">
        <f>IFERROR(__xludf.DUMMYFUNCTION("IF('AYIRA MINI MART FINAL MENU - Pr'!A69="""", """", IF(LEN(IFERROR(TRIM(REGEXREPLACE(TRIM(REGEXEXTRACT('AYIRA MINI MART FINAL MENU - Pr'!A69, ""^[^\x{0600}-\x{06FF}]+"")), ""[-–]+$"", """")), """"))&gt;0, IFERROR(TRIM(REGEXREPLACE(TRIM(REGEXEXTRACT('AYIRA M"&amp;"INI MART FINAL MENU - Pr'!A69, ""^[^\x{0600}-\x{06FF}]+"")), ""[-–]+$"", """")), """"), GOOGLETRANSLATE('AYIRA MINI MART FINAL MENU - Pr'!A69, ""ar"", ""en"")))"),"Al Rabie Original Orange Drink 200ml")</f>
        <v>Al Rabie Original Orange Drink 200ml</v>
      </c>
      <c r="B69" s="56" t="str">
        <f>IFERROR(__xludf.DUMMYFUNCTION("IF('AYIRA MINI MART FINAL MENU - Pr'!B69="""", """", IF(LEN(IFERROR(TRIM(REGEXREPLACE(TRIM(REGEXEXTRACT('AYIRA MINI MART FINAL MENU - Pr'!B69, ""^[^\x{0600}-\x{06FF}]+"")), ""[-–]+$"", """")), """"))&gt;0, IFERROR(TRIM(REGEXREPLACE(TRIM(REGEXEXTRACT('AYIRA M"&amp;"INI MART FINAL MENU - Pr'!B69, ""^[^\x{0600}-\x{06FF}]+"")), ""[-–]+$"", """")), """"), GOOGLETRANSLATE('AYIRA MINI MART FINAL MENU - Pr'!B69, ""ar"", ""en"")))"),"Juices &amp; Fruit Drinks")</f>
        <v>Juices &amp; Fruit Drinks</v>
      </c>
      <c r="C69" s="58">
        <f>IF('AYIRA MINI MART FINAL MENU - Pr'!C69="", "", 'AYIRA MINI MART FINAL MENU - Pr'!C69)</f>
        <v>2</v>
      </c>
      <c r="D69" s="56" t="str">
        <f>IFERROR(__xludf.DUMMYFUNCTION("IF('AYIRA MINI MART FINAL MENU - Pr'!D69="""", """", GOOGLETRANSLATE('AYIRA MINI MART FINAL MENU - Pr'!D69, ""ar"", ""en""))"),"Discover Al Rabie Original Orange Drink 200ml, a premium product that combines high quality with exceptional value. Made to the highest standards of quality and safety to ensure your complete satisfaction every time. Its excellent features make it the per"&amp;"fect choice for you and your family. Whether for everyday use or special occasions, it meets and exceeds your expectations. Get it now from Aira Mini Mart and enjoy a pleasant and reliable shopping experience.")</f>
        <v>Discover Al Rabie Original Orange Drink 200ml,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69" s="56" t="str">
        <f>IF('AYIRA MINI MART FINAL MENU - Pr'!K69="", "", 'AYIRA MINI MART FINAL MENU - Pr'!K69)</f>
        <v/>
      </c>
      <c r="F69" s="56"/>
      <c r="G69" s="56"/>
      <c r="H69" s="56"/>
      <c r="I69" s="56"/>
      <c r="J69" s="56"/>
      <c r="L69" s="56" t="str">
        <f>IF('AYIRA MINI MART FINAL MENU - Pr'!L69="", "", 'AYIRA MINI MART FINAL MENU - Pr'!L69)</f>
        <v/>
      </c>
      <c r="M69" s="56" t="str">
        <f>IF('AYIRA MINI MART FINAL MENU - Pr'!M69="", "", 'AYIRA MINI MART FINAL MENU - Pr'!M69)</f>
        <v/>
      </c>
      <c r="N69" s="56" t="str">
        <f>IF('AYIRA MINI MART FINAL MENU - Pr'!N69="", "", 'AYIRA MINI MART FINAL MENU - Pr'!N69)</f>
        <v/>
      </c>
      <c r="O69" s="57"/>
      <c r="P69" s="57"/>
      <c r="Q69" s="57"/>
      <c r="R69" s="57"/>
      <c r="S69" s="57"/>
      <c r="T69" s="57"/>
      <c r="U69" s="57"/>
      <c r="V69" s="57"/>
      <c r="W69" s="57"/>
      <c r="X69" s="57"/>
      <c r="Y69" s="57"/>
      <c r="Z69" s="57"/>
    </row>
    <row r="70">
      <c r="A70" s="56" t="str">
        <f>IFERROR(__xludf.DUMMYFUNCTION("IF('AYIRA MINI MART FINAL MENU - Pr'!A70="""", """", IF(LEN(IFERROR(TRIM(REGEXREPLACE(TRIM(REGEXEXTRACT('AYIRA MINI MART FINAL MENU - Pr'!A70, ""^[^\x{0600}-\x{06FF}]+"")), ""[-–]+$"", """")), """"))&gt;0, IFERROR(TRIM(REGEXREPLACE(TRIM(REGEXEXTRACT('AYIRA M"&amp;"INI MART FINAL MENU - Pr'!A70, ""^[^\x{0600}-\x{06FF}]+"")), ""[-–]+$"", """")), """"), GOOGLETRANSLATE('AYIRA MINI MART FINAL MENU - Pr'!A70, ""ar"", ""en"")))"),"Al Rabie Original Orange Drink 250ml")</f>
        <v>Al Rabie Original Orange Drink 250ml</v>
      </c>
      <c r="B70" s="56" t="str">
        <f>IFERROR(__xludf.DUMMYFUNCTION("IF('AYIRA MINI MART FINAL MENU - Pr'!B70="""", """", IF(LEN(IFERROR(TRIM(REGEXREPLACE(TRIM(REGEXEXTRACT('AYIRA MINI MART FINAL MENU - Pr'!B70, ""^[^\x{0600}-\x{06FF}]+"")), ""[-–]+$"", """")), """"))&gt;0, IFERROR(TRIM(REGEXREPLACE(TRIM(REGEXEXTRACT('AYIRA M"&amp;"INI MART FINAL MENU - Pr'!B70, ""^[^\x{0600}-\x{06FF}]+"")), ""[-–]+$"", """")), """"), GOOGLETRANSLATE('AYIRA MINI MART FINAL MENU - Pr'!B70, ""ar"", ""en"")))"),"Juices &amp; Fruit Drinks")</f>
        <v>Juices &amp; Fruit Drinks</v>
      </c>
      <c r="C70" s="58">
        <f>IF('AYIRA MINI MART FINAL MENU - Pr'!C70="", "", 'AYIRA MINI MART FINAL MENU - Pr'!C70)</f>
        <v>2</v>
      </c>
      <c r="D70" s="56" t="str">
        <f>IFERROR(__xludf.DUMMYFUNCTION("IF('AYIRA MINI MART FINAL MENU - Pr'!D70="""", """", GOOGLETRANSLATE('AYIRA MINI MART FINAL MENU - Pr'!D70, ""ar"", ""en""))"),"Discover Al Rabie Original Orange Drink 250ml, a premium product that combines high quality with exceptional value. Made to the highest standards of quality and safety to ensure your complete satisfaction every time, its excellent features make it the per"&amp;"fect choice for you and your family. Whether for everyday use or special occasions, it meets and exceeds your expectations. Get it now from Aira Mini Mart and enjoy a pleasant and reliable shopping experience.")</f>
        <v>Discover Al Rabie Original Orange Drink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70" s="56" t="str">
        <f>IF('AYIRA MINI MART FINAL MENU - Pr'!K70="", "", 'AYIRA MINI MART FINAL MENU - Pr'!K70)</f>
        <v/>
      </c>
      <c r="F70" s="56"/>
      <c r="G70" s="56"/>
      <c r="H70" s="56"/>
      <c r="I70" s="56"/>
      <c r="J70" s="56"/>
      <c r="L70" s="56" t="str">
        <f>IF('AYIRA MINI MART FINAL MENU - Pr'!L70="", "", 'AYIRA MINI MART FINAL MENU - Pr'!L70)</f>
        <v/>
      </c>
      <c r="M70" s="56" t="str">
        <f>IF('AYIRA MINI MART FINAL MENU - Pr'!M70="", "", 'AYIRA MINI MART FINAL MENU - Pr'!M70)</f>
        <v/>
      </c>
      <c r="N70" s="56" t="str">
        <f>IF('AYIRA MINI MART FINAL MENU - Pr'!N70="", "", 'AYIRA MINI MART FINAL MENU - Pr'!N70)</f>
        <v/>
      </c>
      <c r="O70" s="57"/>
      <c r="P70" s="57"/>
      <c r="Q70" s="57"/>
      <c r="R70" s="57"/>
      <c r="S70" s="57"/>
      <c r="T70" s="57"/>
      <c r="U70" s="57"/>
      <c r="V70" s="57"/>
      <c r="W70" s="57"/>
      <c r="X70" s="57"/>
      <c r="Y70" s="57"/>
      <c r="Z70" s="57"/>
    </row>
    <row r="71">
      <c r="A71" s="56" t="str">
        <f>IFERROR(__xludf.DUMMYFUNCTION("IF('AYIRA MINI MART FINAL MENU - Pr'!A71="""", """", IF(LEN(IFERROR(TRIM(REGEXREPLACE(TRIM(REGEXEXTRACT('AYIRA MINI MART FINAL MENU - Pr'!A71, ""^[^\x{0600}-\x{06FF}]+"")), ""[-–]+$"", """")), """"))&gt;0, IFERROR(TRIM(REGEXREPLACE(TRIM(REGEXEXTRACT('AYIRA M"&amp;"INI MART FINAL MENU - Pr'!A71, ""^[^\x{0600}-\x{06FF}]+"")), ""[-–]+$"", """")), """"), GOOGLETRANSLATE('AYIRA MINI MART FINAL MENU - Pr'!A71, ""ar"", ""en"")))"),"Royal Tiger Energy Drink 250ml – Royal Tiger")</f>
        <v>Royal Tiger Energy Drink 250ml – Royal Tiger</v>
      </c>
      <c r="B71" s="56" t="str">
        <f>IFERROR(__xludf.DUMMYFUNCTION("IF('AYIRA MINI MART FINAL MENU - Pr'!B71="""", """", IF(LEN(IFERROR(TRIM(REGEXREPLACE(TRIM(REGEXEXTRACT('AYIRA MINI MART FINAL MENU - Pr'!B71, ""^[^\x{0600}-\x{06FF}]+"")), ""[-–]+$"", """")), """"))&gt;0, IFERROR(TRIM(REGEXREPLACE(TRIM(REGEXEXTRACT('AYIRA M"&amp;"INI MART FINAL MENU - Pr'!B71, ""^[^\x{0600}-\x{06FF}]+"")), ""[-–]+$"", """")), """"), GOOGLETRANSLATE('AYIRA MINI MART FINAL MENU - Pr'!B71, ""ar"", ""en"")))"),"Carbonated Soft Drinks")</f>
        <v>Carbonated Soft Drinks</v>
      </c>
      <c r="C71" s="58">
        <f>IF('AYIRA MINI MART FINAL MENU - Pr'!C71="", "", 'AYIRA MINI MART FINAL MENU - Pr'!C71)</f>
        <v>3</v>
      </c>
      <c r="D71" s="56" t="str">
        <f>IFERROR(__xludf.DUMMYFUNCTION("IF('AYIRA MINI MART FINAL MENU - Pr'!D71="""", """", GOOGLETRANSLATE('AYIRA MINI MART FINAL MENU - Pr'!D71, ""ar"", ""en""))"),"Fuel your energy with Royal Tiger Energy Drink 250ml, the preferred energy drink of athletes and professionals. It gives you the focus and vitality you need to tackle the day's challenges with maximum efficiency. With a unique blend of caffeine, vitamins,"&amp;" and amino acids, it helps you perform at your peak. Perfect before a workout or during long work hours. Experience the difference with every sip and enjoy unparalleled energy. Available now at Aira Mini Mart at an affordable price and guaranteed quality.")</f>
        <v>Fuel your energy with Royal Tiger Energy Drink 250ml, the preferred energy drink of athletes and professionals. It gives you the focus and vitality you need to tackle the day's challenges with maximum efficiency. With a unique blend of caffeine, vitamins, and amino acids, it helps you perform at your peak. Perfect before a workout or during long work hours. Experience the difference with every sip and enjoy unparalleled energy. Available now at Aira Mini Mart at an affordable price and guaranteed quality.</v>
      </c>
      <c r="E71" s="56" t="str">
        <f>IF('AYIRA MINI MART FINAL MENU - Pr'!K71="", "", 'AYIRA MINI MART FINAL MENU - Pr'!K71)</f>
        <v/>
      </c>
      <c r="F71" s="56"/>
      <c r="G71" s="56"/>
      <c r="H71" s="56"/>
      <c r="I71" s="56"/>
      <c r="J71" s="56"/>
      <c r="L71" s="56" t="str">
        <f>IF('AYIRA MINI MART FINAL MENU - Pr'!L71="", "", 'AYIRA MINI MART FINAL MENU - Pr'!L71)</f>
        <v/>
      </c>
      <c r="M71" s="56" t="str">
        <f>IF('AYIRA MINI MART FINAL MENU - Pr'!M71="", "", 'AYIRA MINI MART FINAL MENU - Pr'!M71)</f>
        <v/>
      </c>
      <c r="N71" s="56" t="str">
        <f>IF('AYIRA MINI MART FINAL MENU - Pr'!N71="", "", 'AYIRA MINI MART FINAL MENU - Pr'!N71)</f>
        <v/>
      </c>
      <c r="O71" s="57"/>
      <c r="P71" s="57"/>
      <c r="Q71" s="57"/>
      <c r="R71" s="57"/>
      <c r="S71" s="57"/>
      <c r="T71" s="57"/>
      <c r="U71" s="57"/>
      <c r="V71" s="57"/>
      <c r="W71" s="57"/>
      <c r="X71" s="57"/>
      <c r="Y71" s="57"/>
      <c r="Z71" s="57"/>
    </row>
    <row r="72">
      <c r="A72" s="56" t="str">
        <f>IFERROR(__xludf.DUMMYFUNCTION("IF('AYIRA MINI MART FINAL MENU - Pr'!A72="""", """", IF(LEN(IFERROR(TRIM(REGEXREPLACE(TRIM(REGEXEXTRACT('AYIRA MINI MART FINAL MENU - Pr'!A72, ""^[^\x{0600}-\x{06FF}]+"")), ""[-–]+$"", """")), """"))&gt;0, IFERROR(TRIM(REGEXREPLACE(TRIM(REGEXEXTRACT('AYIRA M"&amp;"INI MART FINAL MENU - Pr'!A72, ""^[^\x{0600}-\x{06FF}]+"")), ""[-–]+$"", """")), """"), GOOGLETRANSLATE('AYIRA MINI MART FINAL MENU - Pr'!A72, ""ar"", ""en"")))"),"Power X Carbonated Drink 250ml – Power X Carbonated")</f>
        <v>Power X Carbonated Drink 250ml – Power X Carbonated</v>
      </c>
      <c r="B72" s="56" t="str">
        <f>IFERROR(__xludf.DUMMYFUNCTION("IF('AYIRA MINI MART FINAL MENU - Pr'!B72="""", """", IF(LEN(IFERROR(TRIM(REGEXREPLACE(TRIM(REGEXEXTRACT('AYIRA MINI MART FINAL MENU - Pr'!B72, ""^[^\x{0600}-\x{06FF}]+"")), ""[-–]+$"", """")), """"))&gt;0, IFERROR(TRIM(REGEXREPLACE(TRIM(REGEXEXTRACT('AYIRA M"&amp;"INI MART FINAL MENU - Pr'!B72, ""^[^\x{0600}-\x{06FF}]+"")), ""[-–]+$"", """")), """"), GOOGLETRANSLATE('AYIRA MINI MART FINAL MENU - Pr'!B72, ""ar"", ""en"")))"),"Carbonated Soft Drinks")</f>
        <v>Carbonated Soft Drinks</v>
      </c>
      <c r="C72" s="58">
        <f>IF('AYIRA MINI MART FINAL MENU - Pr'!C72="", "", 'AYIRA MINI MART FINAL MENU - Pr'!C72)</f>
        <v>2.5</v>
      </c>
      <c r="D72" s="56" t="str">
        <f>IFERROR(__xludf.DUMMYFUNCTION("IF('AYIRA MINI MART FINAL MENU - Pr'!D72="""", """", GOOGLETRANSLATE('AYIRA MINI MART FINAL MENU - Pr'!D72, ""ar"", ""en""))"),"Enjoy Power X Carbonated Drink 250ml, the refreshing fizzy drink that gives you energy and vitality with every drop. Its delicious taste and unique formula make it the perfect choice to quench your thirst anytime. Ideal for parties, family gatherings, and"&amp;" various occasions. It boasts distinctive flavors that make every sip an unforgettable experience. Get it now from Aira Mini Mart at the best prices and highest quality. Our premium drink provides instant refreshment and satisfies your discerning palate w"&amp;"henever you need hydration.")</f>
        <v>Enjoy Power X Carbonated Drink 250ml, the refreshing fizzy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72" s="56" t="str">
        <f>IF('AYIRA MINI MART FINAL MENU - Pr'!K72="", "", 'AYIRA MINI MART FINAL MENU - Pr'!K72)</f>
        <v/>
      </c>
      <c r="F72" s="56"/>
      <c r="G72" s="56"/>
      <c r="H72" s="56"/>
      <c r="I72" s="56"/>
      <c r="J72" s="56"/>
      <c r="L72" s="56" t="str">
        <f>IF('AYIRA MINI MART FINAL MENU - Pr'!L72="", "", 'AYIRA MINI MART FINAL MENU - Pr'!L72)</f>
        <v/>
      </c>
      <c r="M72" s="56" t="str">
        <f>IF('AYIRA MINI MART FINAL MENU - Pr'!M72="", "", 'AYIRA MINI MART FINAL MENU - Pr'!M72)</f>
        <v/>
      </c>
      <c r="N72" s="56" t="str">
        <f>IF('AYIRA MINI MART FINAL MENU - Pr'!N72="", "", 'AYIRA MINI MART FINAL MENU - Pr'!N72)</f>
        <v/>
      </c>
      <c r="O72" s="57"/>
      <c r="P72" s="57"/>
      <c r="Q72" s="57"/>
      <c r="R72" s="57"/>
      <c r="S72" s="57"/>
      <c r="T72" s="57"/>
      <c r="U72" s="57"/>
      <c r="V72" s="57"/>
      <c r="W72" s="57"/>
      <c r="X72" s="57"/>
      <c r="Y72" s="57"/>
      <c r="Z72" s="57"/>
    </row>
    <row r="73">
      <c r="A73" s="56" t="str">
        <f>IFERROR(__xludf.DUMMYFUNCTION("IF('AYIRA MINI MART FINAL MENU - Pr'!A73="""", """", IF(LEN(IFERROR(TRIM(REGEXREPLACE(TRIM(REGEXEXTRACT('AYIRA MINI MART FINAL MENU - Pr'!A73, ""^[^\x{0600}-\x{06FF}]+"")), ""[-–]+$"", """")), """"))&gt;0, IFERROR(TRIM(REGEXREPLACE(TRIM(REGEXEXTRACT('AYIRA M"&amp;"INI MART FINAL MENU - Pr'!A73, ""^[^\x{0600}-\x{06FF}]+"")), ""[-–]+$"", """")), """"), GOOGLETRANSLATE('AYIRA MINI MART FINAL MENU - Pr'!A73, ""ar"", ""en"")))"),"Pran Frooto Mango Juice 500ml – Pran Frooto")</f>
        <v>Pran Frooto Mango Juice 500ml – Pran Frooto</v>
      </c>
      <c r="B73" s="56" t="str">
        <f>IFERROR(__xludf.DUMMYFUNCTION("IF('AYIRA MINI MART FINAL MENU - Pr'!B73="""", """", IF(LEN(IFERROR(TRIM(REGEXREPLACE(TRIM(REGEXEXTRACT('AYIRA MINI MART FINAL MENU - Pr'!B73, ""^[^\x{0600}-\x{06FF}]+"")), ""[-–]+$"", """")), """"))&gt;0, IFERROR(TRIM(REGEXREPLACE(TRIM(REGEXEXTRACT('AYIRA M"&amp;"INI MART FINAL MENU - Pr'!B73, ""^[^\x{0600}-\x{06FF}]+"")), ""[-–]+$"", """")), """"), GOOGLETRANSLATE('AYIRA MINI MART FINAL MENU - Pr'!B73, ""ar"", ""en"")))"),"Juices &amp; Fruit Drinks")</f>
        <v>Juices &amp; Fruit Drinks</v>
      </c>
      <c r="C73" s="58">
        <f>IF('AYIRA MINI MART FINAL MENU - Pr'!C73="", "", 'AYIRA MINI MART FINAL MENU - Pr'!C73)</f>
        <v>3</v>
      </c>
      <c r="D73" s="56" t="str">
        <f>IFERROR(__xludf.DUMMYFUNCTION("IF('AYIRA MINI MART FINAL MENU - Pr'!D73="""", """", GOOGLETRANSLATE('AYIRA MINI MART FINAL MENU - Pr'!D73, ""ar"", ""en""))"),"Take care of your health with Pran Frooto Mango Juice 500ml, a fresh juice rich in vitamins and minerals essential for your body's well-being. Made from the finest, carefully selected fruits to give you a delicious taste and high nutritional value. It pro"&amp;"vides natural energy and boosts your immune system thanks to its rich content. Perfect for your daily breakfast or as a healthy drink anytime. Order now from Aira Mini Mart and enjoy every drop of this delicious and beneficial juice.")</f>
        <v>Take care of your health with Pran Frooto Mango Juice 500ml, a fresh juice rich in vitamins and minerals essential for your body's well-being. Made from the finest, carefully selected fruits to give you a delicious taste and high nutritional value. It provides natural energy and boosts your immune system thanks to its rich content. Perfect for your daily breakfast or as a healthy drink anytime. Order now from Aira Mini Mart and enjoy every drop of this delicious and beneficial juice.</v>
      </c>
      <c r="E73" s="56" t="str">
        <f>IF('AYIRA MINI MART FINAL MENU - Pr'!K73="", "", 'AYIRA MINI MART FINAL MENU - Pr'!K73)</f>
        <v/>
      </c>
      <c r="F73" s="56"/>
      <c r="G73" s="56"/>
      <c r="H73" s="56"/>
      <c r="I73" s="56"/>
      <c r="J73" s="56"/>
      <c r="L73" s="56" t="str">
        <f>IF('AYIRA MINI MART FINAL MENU - Pr'!L73="", "", 'AYIRA MINI MART FINAL MENU - Pr'!L73)</f>
        <v/>
      </c>
      <c r="M73" s="56" t="str">
        <f>IF('AYIRA MINI MART FINAL MENU - Pr'!M73="", "", 'AYIRA MINI MART FINAL MENU - Pr'!M73)</f>
        <v/>
      </c>
      <c r="N73" s="56" t="str">
        <f>IF('AYIRA MINI MART FINAL MENU - Pr'!N73="", "", 'AYIRA MINI MART FINAL MENU - Pr'!N73)</f>
        <v/>
      </c>
      <c r="O73" s="57"/>
      <c r="P73" s="57"/>
      <c r="Q73" s="57"/>
      <c r="R73" s="57"/>
      <c r="S73" s="57"/>
      <c r="T73" s="57"/>
      <c r="U73" s="57"/>
      <c r="V73" s="57"/>
      <c r="W73" s="57"/>
      <c r="X73" s="57"/>
      <c r="Y73" s="57"/>
      <c r="Z73" s="57"/>
    </row>
    <row r="74">
      <c r="A74" s="56" t="str">
        <f>IFERROR(__xludf.DUMMYFUNCTION("IF('AYIRA MINI MART FINAL MENU - Pr'!A74="""", """", IF(LEN(IFERROR(TRIM(REGEXREPLACE(TRIM(REGEXEXTRACT('AYIRA MINI MART FINAL MENU - Pr'!A74, ""^[^\x{0600}-\x{06FF}]+"")), ""[-–]+$"", """")), """"))&gt;0, IFERROR(TRIM(REGEXREPLACE(TRIM(REGEXEXTRACT('AYIRA M"&amp;"INI MART FINAL MENU - Pr'!A74, ""^[^\x{0600}-\x{06FF}]+"")), ""[-–]+$"", """")), """"), GOOGLETRANSLATE('AYIRA MINI MART FINAL MENU - Pr'!A74, ""ar"", ""en"")))"),"Double Up Cola 1 Litre")</f>
        <v>Double Up Cola 1 Litre</v>
      </c>
      <c r="B74" s="56" t="str">
        <f>IFERROR(__xludf.DUMMYFUNCTION("IF('AYIRA MINI MART FINAL MENU - Pr'!B74="""", """", IF(LEN(IFERROR(TRIM(REGEXREPLACE(TRIM(REGEXEXTRACT('AYIRA MINI MART FINAL MENU - Pr'!B74, ""^[^\x{0600}-\x{06FF}]+"")), ""[-–]+$"", """")), """"))&gt;0, IFERROR(TRIM(REGEXREPLACE(TRIM(REGEXEXTRACT('AYIRA M"&amp;"INI MART FINAL MENU - Pr'!B74, ""^[^\x{0600}-\x{06FF}]+"")), ""[-–]+$"", """")), """"), GOOGLETRANSLATE('AYIRA MINI MART FINAL MENU - Pr'!B74, ""ar"", ""en"")))"),"Carbonated Soft Drinks")</f>
        <v>Carbonated Soft Drinks</v>
      </c>
      <c r="C74" s="58">
        <f>IF('AYIRA MINI MART FINAL MENU - Pr'!C74="", "", 'AYIRA MINI MART FINAL MENU - Pr'!C74)</f>
        <v>3.5</v>
      </c>
      <c r="D74" s="56" t="str">
        <f>IFERROR(__xludf.DUMMYFUNCTION("IF('AYIRA MINI MART FINAL MENU - Pr'!D74="""", """", GOOGLETRANSLATE('AYIRA MINI MART FINAL MENU - Pr'!D74, ""ar"", ""en""))"),"Enjoy Double Up, the refreshing soft drink that gives you energy and vitality with every drop. Its delicious taste and unique formula make it the perfect choice to quench your thirst anytime. Ideal for parties, family gatherings, and various occasions. It"&amp;" boasts distinctive flavors that make every sip an unforgettable experience. Get it now from Aira Mini Mart at the best prices and highest quality. Our premium drink provides instant refreshment and satisfies your discerning palate whenever you need hydra"&amp;"tion.")</f>
        <v>Enjoy Double Up,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74" s="56" t="str">
        <f>IF('AYIRA MINI MART FINAL MENU - Pr'!K74="", "", 'AYIRA MINI MART FINAL MENU - Pr'!K74)</f>
        <v/>
      </c>
      <c r="F74" s="56"/>
      <c r="G74" s="56"/>
      <c r="H74" s="56"/>
      <c r="I74" s="56"/>
      <c r="J74" s="56"/>
      <c r="L74" s="56" t="str">
        <f>IF('AYIRA MINI MART FINAL MENU - Pr'!L74="", "", 'AYIRA MINI MART FINAL MENU - Pr'!L74)</f>
        <v/>
      </c>
      <c r="M74" s="56" t="str">
        <f>IF('AYIRA MINI MART FINAL MENU - Pr'!M74="", "", 'AYIRA MINI MART FINAL MENU - Pr'!M74)</f>
        <v/>
      </c>
      <c r="N74" s="56" t="str">
        <f>IF('AYIRA MINI MART FINAL MENU - Pr'!N74="", "", 'AYIRA MINI MART FINAL MENU - Pr'!N74)</f>
        <v/>
      </c>
      <c r="O74" s="57"/>
      <c r="P74" s="57"/>
      <c r="Q74" s="57"/>
      <c r="R74" s="57"/>
      <c r="S74" s="57"/>
      <c r="T74" s="57"/>
      <c r="U74" s="57"/>
      <c r="V74" s="57"/>
      <c r="W74" s="57"/>
      <c r="X74" s="57"/>
      <c r="Y74" s="57"/>
      <c r="Z74" s="57"/>
    </row>
    <row r="75">
      <c r="A75" s="56" t="str">
        <f>IFERROR(__xludf.DUMMYFUNCTION("IF('AYIRA MINI MART FINAL MENU - Pr'!A75="""", """", IF(LEN(IFERROR(TRIM(REGEXREPLACE(TRIM(REGEXEXTRACT('AYIRA MINI MART FINAL MENU - Pr'!A75, ""^[^\x{0600}-\x{06FF}]+"")), ""[-–]+$"", """")), """"))&gt;0, IFERROR(TRIM(REGEXREPLACE(TRIM(REGEXEXTRACT('AYIRA M"&amp;"INI MART FINAL MENU - Pr'!A75, ""^[^\x{0600}-\x{06FF}]+"")), ""[-–]+$"", """")), """"), GOOGLETRANSLATE('AYIRA MINI MART FINAL MENU - Pr'!A75, ""ar"", ""en"")))"),"Fruitoo Original Taste Berries Mixed Flavour 1 Litre – Fruitoo")</f>
        <v>Fruitoo Original Taste Berries Mixed Flavour 1 Litre – Fruitoo</v>
      </c>
      <c r="B75" s="56" t="str">
        <f>IFERROR(__xludf.DUMMYFUNCTION("IF('AYIRA MINI MART FINAL MENU - Pr'!B75="""", """", IF(LEN(IFERROR(TRIM(REGEXREPLACE(TRIM(REGEXEXTRACT('AYIRA MINI MART FINAL MENU - Pr'!B75, ""^[^\x{0600}-\x{06FF}]+"")), ""[-–]+$"", """")), """"))&gt;0, IFERROR(TRIM(REGEXREPLACE(TRIM(REGEXEXTRACT('AYIRA M"&amp;"INI MART FINAL MENU - Pr'!B75, ""^[^\x{0600}-\x{06FF}]+"")), ""[-–]+$"", """")), """"), GOOGLETRANSLATE('AYIRA MINI MART FINAL MENU - Pr'!B75, ""ar"", ""en"")))"),"Juices &amp; Fruit Drinks")</f>
        <v>Juices &amp; Fruit Drinks</v>
      </c>
      <c r="C75" s="58">
        <f>IF('AYIRA MINI MART FINAL MENU - Pr'!C75="", "", 'AYIRA MINI MART FINAL MENU - Pr'!C75)</f>
        <v>8</v>
      </c>
      <c r="D75" s="56" t="str">
        <f>IFERROR(__xludf.DUMMYFUNCTION("IF('AYIRA MINI MART FINAL MENU - Pr'!D75="""", """", GOOGLETRANSLATE('AYIRA MINI MART FINAL MENU - Pr'!D75, ""ar"", ""en""))"),"Discover Fruitoo Original Taste Berries Mixed Flavor 1 Litre, a premium product that combines high quality with great value. Made to the highest standards of quality and safety to ensure your complete satisfaction every time. Its excellent features make i"&amp;"t the perfect choice for you and your family. Whether for everyday use or special occasions, it meets and exceeds your expectations. Get it now from Aira Mini Mart and enjoy a pleasant and reliable shopping experience.")</f>
        <v>Discover Fruitoo Original Taste Berries Mixed Flavor 1 Litre,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75" s="56" t="str">
        <f>IF('AYIRA MINI MART FINAL MENU - Pr'!K75="", "", 'AYIRA MINI MART FINAL MENU - Pr'!K75)</f>
        <v/>
      </c>
      <c r="F75" s="56"/>
      <c r="G75" s="56"/>
      <c r="H75" s="56"/>
      <c r="I75" s="56"/>
      <c r="J75" s="56"/>
      <c r="L75" s="56" t="str">
        <f>IF('AYIRA MINI MART FINAL MENU - Pr'!L75="", "", 'AYIRA MINI MART FINAL MENU - Pr'!L75)</f>
        <v/>
      </c>
      <c r="M75" s="56" t="str">
        <f>IF('AYIRA MINI MART FINAL MENU - Pr'!M75="", "", 'AYIRA MINI MART FINAL MENU - Pr'!M75)</f>
        <v/>
      </c>
      <c r="N75" s="56" t="str">
        <f>IF('AYIRA MINI MART FINAL MENU - Pr'!N75="", "", 'AYIRA MINI MART FINAL MENU - Pr'!N75)</f>
        <v/>
      </c>
      <c r="O75" s="57"/>
      <c r="P75" s="57"/>
      <c r="Q75" s="57"/>
      <c r="R75" s="57"/>
      <c r="S75" s="57"/>
      <c r="T75" s="57"/>
      <c r="U75" s="57"/>
      <c r="V75" s="57"/>
      <c r="W75" s="57"/>
      <c r="X75" s="57"/>
      <c r="Y75" s="57"/>
      <c r="Z75" s="57"/>
    </row>
    <row r="76">
      <c r="A76" s="56" t="str">
        <f>IFERROR(__xludf.DUMMYFUNCTION("IF('AYIRA MINI MART FINAL MENU - Pr'!A76="""", """", IF(LEN(IFERROR(TRIM(REGEXREPLACE(TRIM(REGEXEXTRACT('AYIRA MINI MART FINAL MENU - Pr'!A76, ""^[^\x{0600}-\x{06FF}]+"")), ""[-–]+$"", """")), """"))&gt;0, IFERROR(TRIM(REGEXREPLACE(TRIM(REGEXEXTRACT('AYIRA M"&amp;"INI MART FINAL MENU - Pr'!A76, ""^[^\x{0600}-\x{06FF}]+"")), ""[-–]+$"", """")), """"), GOOGLETRANSLATE('AYIRA MINI MART FINAL MENU - Pr'!A76, ""ar"", ""en"")))"),"Oshee Isotonic Drink 750ml – Oshee Isotonic")</f>
        <v>Oshee Isotonic Drink 750ml – Oshee Isotonic</v>
      </c>
      <c r="B76" s="56" t="str">
        <f>IFERROR(__xludf.DUMMYFUNCTION("IF('AYIRA MINI MART FINAL MENU - Pr'!B76="""", """", IF(LEN(IFERROR(TRIM(REGEXREPLACE(TRIM(REGEXEXTRACT('AYIRA MINI MART FINAL MENU - Pr'!B76, ""^[^\x{0600}-\x{06FF}]+"")), ""[-–]+$"", """")), """"))&gt;0, IFERROR(TRIM(REGEXREPLACE(TRIM(REGEXEXTRACT('AYIRA M"&amp;"INI MART FINAL MENU - Pr'!B76, ""^[^\x{0600}-\x{06FF}]+"")), ""[-–]+$"", """")), """"), GOOGLETRANSLATE('AYIRA MINI MART FINAL MENU - Pr'!B76, ""ar"", ""en"")))"),"Energy &amp; Sports Drinks")</f>
        <v>Energy &amp; Sports Drinks</v>
      </c>
      <c r="C76" s="58">
        <f>IF('AYIRA MINI MART FINAL MENU - Pr'!C76="", "", 'AYIRA MINI MART FINAL MENU - Pr'!C76)</f>
        <v>7</v>
      </c>
      <c r="D76" s="56" t="str">
        <f>IFERROR(__xludf.DUMMYFUNCTION("IF('AYIRA MINI MART FINAL MENU - Pr'!D76="""", """", GOOGLETRANSLATE('AYIRA MINI MART FINAL MENU - Pr'!D76, ""ar"", ""en""))"),"Discover Oshee Isotonic Drink 750ml, a premium product that combines high quality with exceptional value. Made to the highest standards of quality and safety to ensure your complete satisfaction every time, its excellent features make it the perfect choic"&amp;"e for you and your family. Whether for everyday use or special occasions, it meets and exceeds your expectations. Get it now from Aira Mini Mart and enjoy a pleasant and reliable shopping experience.")</f>
        <v>Discover Oshee Isotonic Drink 750ml,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76" s="56" t="str">
        <f>IF('AYIRA MINI MART FINAL MENU - Pr'!K76="", "", 'AYIRA MINI MART FINAL MENU - Pr'!K76)</f>
        <v/>
      </c>
      <c r="F76" s="56"/>
      <c r="G76" s="56"/>
      <c r="H76" s="56"/>
      <c r="I76" s="56"/>
      <c r="J76" s="56"/>
      <c r="L76" s="56" t="str">
        <f>IF('AYIRA MINI MART FINAL MENU - Pr'!L76="", "", 'AYIRA MINI MART FINAL MENU - Pr'!L76)</f>
        <v/>
      </c>
      <c r="M76" s="56" t="str">
        <f>IF('AYIRA MINI MART FINAL MENU - Pr'!M76="", "", 'AYIRA MINI MART FINAL MENU - Pr'!M76)</f>
        <v/>
      </c>
      <c r="N76" s="56" t="str">
        <f>IF('AYIRA MINI MART FINAL MENU - Pr'!N76="", "", 'AYIRA MINI MART FINAL MENU - Pr'!N76)</f>
        <v/>
      </c>
      <c r="O76" s="57"/>
      <c r="P76" s="57"/>
      <c r="Q76" s="57"/>
      <c r="R76" s="57"/>
      <c r="S76" s="57"/>
      <c r="T76" s="57"/>
      <c r="U76" s="57"/>
      <c r="V76" s="57"/>
      <c r="W76" s="57"/>
      <c r="X76" s="57"/>
      <c r="Y76" s="57"/>
      <c r="Z76" s="57"/>
    </row>
    <row r="77">
      <c r="A77" s="56" t="str">
        <f>IFERROR(__xludf.DUMMYFUNCTION("IF('AYIRA MINI MART FINAL MENU - Pr'!A77="""", """", IF(LEN(IFERROR(TRIM(REGEXREPLACE(TRIM(REGEXEXTRACT('AYIRA MINI MART FINAL MENU - Pr'!A77, ""^[^\x{0600}-\x{06FF}]+"")), ""[-–]+$"", """")), """"))&gt;0, IFERROR(TRIM(REGEXREPLACE(TRIM(REGEXEXTRACT('AYIRA M"&amp;"INI MART FINAL MENU - Pr'!A77, ""^[^\x{0600}-\x{06FF}]+"")), ""[-–]+$"", """")), """"), GOOGLETRANSLATE('AYIRA MINI MART FINAL MENU - Pr'!A77, ""ar"", ""en"")))"),"Pran Frooto Mango Juice 1 Litre – Pran Frooto")</f>
        <v>Pran Frooto Mango Juice 1 Litre – Pran Frooto</v>
      </c>
      <c r="B77" s="56" t="str">
        <f>IFERROR(__xludf.DUMMYFUNCTION("IF('AYIRA MINI MART FINAL MENU - Pr'!B77="""", """", IF(LEN(IFERROR(TRIM(REGEXREPLACE(TRIM(REGEXEXTRACT('AYIRA MINI MART FINAL MENU - Pr'!B77, ""^[^\x{0600}-\x{06FF}]+"")), ""[-–]+$"", """")), """"))&gt;0, IFERROR(TRIM(REGEXREPLACE(TRIM(REGEXEXTRACT('AYIRA M"&amp;"INI MART FINAL MENU - Pr'!B77, ""^[^\x{0600}-\x{06FF}]+"")), ""[-–]+$"", """")), """"), GOOGLETRANSLATE('AYIRA MINI MART FINAL MENU - Pr'!B77, ""ar"", ""en"")))"),"Juices &amp; Fruit Drinks")</f>
        <v>Juices &amp; Fruit Drinks</v>
      </c>
      <c r="C77" s="58">
        <f>IF('AYIRA MINI MART FINAL MENU - Pr'!C77="", "", 'AYIRA MINI MART FINAL MENU - Pr'!C77)</f>
        <v>5</v>
      </c>
      <c r="D77" s="56" t="str">
        <f>IFERROR(__xludf.DUMMYFUNCTION("IF('AYIRA MINI MART FINAL MENU - Pr'!D77="""", """", GOOGLETRANSLATE('AYIRA MINI MART FINAL MENU - Pr'!D77, ""ar"", ""en""))"),"Take care of your health with Pran Frooto Mango Juice 1 Litre, a fresh juice rich in vitamins and minerals essential for your body's well-being. Made from the finest, carefully selected fruits to give you a delicious taste and high nutritional value. It p"&amp;"rovides natural energy and boosts your immune system thanks to its rich content. Perfect for your daily breakfast or as a healthy drink anytime. Order it now from Aira Mini Mart and enjoy every drop of this delicious and beneficial juice.")</f>
        <v>Take care of your health with Pran Frooto Mango Juice 1 Litre, a fresh juice rich in vitamins and minerals essential for your body's well-being. Made from the finest, carefully selected fruits to give you a delicious taste and high nutritional value. It provides natural energy and boosts your immune system thanks to its rich content. Perfect for your daily breakfast or as a healthy drink anytime. Order it now from Aira Mini Mart and enjoy every drop of this delicious and beneficial juice.</v>
      </c>
      <c r="E77" s="56" t="str">
        <f>IF('AYIRA MINI MART FINAL MENU - Pr'!K77="", "", 'AYIRA MINI MART FINAL MENU - Pr'!K77)</f>
        <v/>
      </c>
      <c r="F77" s="56"/>
      <c r="G77" s="56"/>
      <c r="H77" s="56"/>
      <c r="I77" s="56"/>
      <c r="J77" s="56"/>
      <c r="L77" s="56" t="str">
        <f>IF('AYIRA MINI MART FINAL MENU - Pr'!L77="", "", 'AYIRA MINI MART FINAL MENU - Pr'!L77)</f>
        <v/>
      </c>
      <c r="M77" s="56" t="str">
        <f>IF('AYIRA MINI MART FINAL MENU - Pr'!M77="", "", 'AYIRA MINI MART FINAL MENU - Pr'!M77)</f>
        <v/>
      </c>
      <c r="N77" s="56" t="str">
        <f>IF('AYIRA MINI MART FINAL MENU - Pr'!N77="", "", 'AYIRA MINI MART FINAL MENU - Pr'!N77)</f>
        <v/>
      </c>
      <c r="O77" s="57"/>
      <c r="P77" s="57"/>
      <c r="Q77" s="57"/>
      <c r="R77" s="57"/>
      <c r="S77" s="57"/>
      <c r="T77" s="57"/>
      <c r="U77" s="57"/>
      <c r="V77" s="57"/>
      <c r="W77" s="57"/>
      <c r="X77" s="57"/>
      <c r="Y77" s="57"/>
      <c r="Z77" s="57"/>
    </row>
    <row r="78">
      <c r="A78" s="56" t="str">
        <f>IFERROR(__xludf.DUMMYFUNCTION("IF('AYIRA MINI MART FINAL MENU - Pr'!A78="""", """", IF(LEN(IFERROR(TRIM(REGEXREPLACE(TRIM(REGEXEXTRACT('AYIRA MINI MART FINAL MENU - Pr'!A78, ""^[^\x{0600}-\x{06FF}]+"")), ""[-–]+$"", """")), """"))&gt;0, IFERROR(TRIM(REGEXREPLACE(TRIM(REGEXEXTRACT('AYIRA M"&amp;"INI MART FINAL MENU - Pr'!A78, ""^[^\x{0600}-\x{06FF}]+"")), ""[-–]+$"", """")), """"), GOOGLETRANSLATE('AYIRA MINI MART FINAL MENU - Pr'!A78, ""ar"", ""en"")))"),"Mizo Orange &amp; Carrot Drink 1.35 Litre – Mizo")</f>
        <v>Mizo Orange &amp; Carrot Drink 1.35 Litre – Mizo</v>
      </c>
      <c r="B78" s="56" t="str">
        <f>IFERROR(__xludf.DUMMYFUNCTION("IF('AYIRA MINI MART FINAL MENU - Pr'!B78="""", """", IF(LEN(IFERROR(TRIM(REGEXREPLACE(TRIM(REGEXEXTRACT('AYIRA MINI MART FINAL MENU - Pr'!B78, ""^[^\x{0600}-\x{06FF}]+"")), ""[-–]+$"", """")), """"))&gt;0, IFERROR(TRIM(REGEXREPLACE(TRIM(REGEXEXTRACT('AYIRA M"&amp;"INI MART FINAL MENU - Pr'!B78, ""^[^\x{0600}-\x{06FF}]+"")), ""[-–]+$"", """")), """"), GOOGLETRANSLATE('AYIRA MINI MART FINAL MENU - Pr'!B78, ""ar"", ""en"")))"),"Juices &amp; Fruit Drinks")</f>
        <v>Juices &amp; Fruit Drinks</v>
      </c>
      <c r="C78" s="58">
        <f>IF('AYIRA MINI MART FINAL MENU - Pr'!C78="", "", 'AYIRA MINI MART FINAL MENU - Pr'!C78)</f>
        <v>6</v>
      </c>
      <c r="D78" s="56" t="str">
        <f>IFERROR(__xludf.DUMMYFUNCTION("IF('AYIRA MINI MART FINAL MENU - Pr'!D78="""", """", GOOGLETRANSLATE('AYIRA MINI MART FINAL MENU - Pr'!D78, ""ar"", ""en""))"),"Discover Mizo Orange &amp; Carrot Drink 1.35 Litre, a premium product that combines high quality with great value. Made to the highest standards of quality and safety to ensure your complete satisfaction every time. Its excellent features make it the perfect "&amp;"choice for you and your family. Whether for everyday use or special occasions, it meets and exceeds your expectations. Get it now from Aira Mini Mart and enjoy a pleasant and reliable shopping experience.")</f>
        <v>Discover Mizo Orange &amp; Carrot Drink 1.35 Litre,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78" s="56" t="str">
        <f>IF('AYIRA MINI MART FINAL MENU - Pr'!K78="", "", 'AYIRA MINI MART FINAL MENU - Pr'!K78)</f>
        <v/>
      </c>
      <c r="F78" s="56"/>
      <c r="G78" s="56"/>
      <c r="H78" s="56"/>
      <c r="I78" s="56"/>
      <c r="J78" s="56"/>
      <c r="L78" s="56" t="str">
        <f>IF('AYIRA MINI MART FINAL MENU - Pr'!L78="", "", 'AYIRA MINI MART FINAL MENU - Pr'!L78)</f>
        <v/>
      </c>
      <c r="M78" s="56" t="str">
        <f>IF('AYIRA MINI MART FINAL MENU - Pr'!M78="", "", 'AYIRA MINI MART FINAL MENU - Pr'!M78)</f>
        <v/>
      </c>
      <c r="N78" s="56" t="str">
        <f>IF('AYIRA MINI MART FINAL MENU - Pr'!N78="", "", 'AYIRA MINI MART FINAL MENU - Pr'!N78)</f>
        <v/>
      </c>
      <c r="O78" s="57"/>
      <c r="P78" s="57"/>
      <c r="Q78" s="57"/>
      <c r="R78" s="57"/>
      <c r="S78" s="57"/>
      <c r="T78" s="57"/>
      <c r="U78" s="57"/>
      <c r="V78" s="57"/>
      <c r="W78" s="57"/>
      <c r="X78" s="57"/>
      <c r="Y78" s="57"/>
      <c r="Z78" s="57"/>
    </row>
    <row r="79">
      <c r="A79" s="56" t="str">
        <f>IFERROR(__xludf.DUMMYFUNCTION("IF('AYIRA MINI MART FINAL MENU - Pr'!A79="""", """", IF(LEN(IFERROR(TRIM(REGEXREPLACE(TRIM(REGEXEXTRACT('AYIRA MINI MART FINAL MENU - Pr'!A79, ""^[^\x{0600}-\x{06FF}]+"")), ""[-–]+$"", """")), """"))&gt;0, IFERROR(TRIM(REGEXREPLACE(TRIM(REGEXEXTRACT('AYIRA M"&amp;"INI MART FINAL MENU - Pr'!A79, ""^[^\x{0600}-\x{06FF}]+"")), ""[-–]+$"", """")), """"), GOOGLETRANSLATE('AYIRA MINI MART FINAL MENU - Pr'!A79, ""ar"", ""en"")))"),"Extra Fizz 7UP Zero Sugar 330ml – Extra Fizz")</f>
        <v>Extra Fizz 7UP Zero Sugar 330ml – Extra Fizz</v>
      </c>
      <c r="B79" s="56" t="str">
        <f>IFERROR(__xludf.DUMMYFUNCTION("IF('AYIRA MINI MART FINAL MENU - Pr'!B79="""", """", IF(LEN(IFERROR(TRIM(REGEXREPLACE(TRIM(REGEXEXTRACT('AYIRA MINI MART FINAL MENU - Pr'!B79, ""^[^\x{0600}-\x{06FF}]+"")), ""[-–]+$"", """")), """"))&gt;0, IFERROR(TRIM(REGEXREPLACE(TRIM(REGEXEXTRACT('AYIRA M"&amp;"INI MART FINAL MENU - Pr'!B79, ""^[^\x{0600}-\x{06FF}]+"")), ""[-–]+$"", """")), """"), GOOGLETRANSLATE('AYIRA MINI MART FINAL MENU - Pr'!B79, ""ar"", ""en"")))"),"Carbonated Soft Drinks")</f>
        <v>Carbonated Soft Drinks</v>
      </c>
      <c r="C79" s="58">
        <f>IF('AYIRA MINI MART FINAL MENU - Pr'!C79="", "", 'AYIRA MINI MART FINAL MENU - Pr'!C79)</f>
        <v>2.5</v>
      </c>
      <c r="D79" s="56" t="str">
        <f>IFERROR(__xludf.DUMMYFUNCTION("IF('AYIRA MINI MART FINAL MENU - Pr'!D79="""", """", GOOGLETRANSLATE('AYIRA MINI MART FINAL MENU - Pr'!D79, ""ar"", ""en""))"),"Enjoy Extra, the refreshing soft drink that gives you energy and vitality with every drop. Its delicious taste and unique formula make it the perfect choice to quench your thirst anytime. Ideal for parties, family gatherings, and various occasions. It boa"&amp;"sts distinctive flavors that make every sip an unforgettable experience. Get it now from Aira Mini Mart at the best prices and highest quality. Our premium drink provides instant refreshment and satisfies your discerning palate whenever you need hydration"&amp;".")</f>
        <v>Enjoy Extra,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79" s="56" t="str">
        <f>IF('AYIRA MINI MART FINAL MENU - Pr'!K79="", "", 'AYIRA MINI MART FINAL MENU - Pr'!K79)</f>
        <v/>
      </c>
      <c r="F79" s="56"/>
      <c r="G79" s="56"/>
      <c r="H79" s="56"/>
      <c r="I79" s="56"/>
      <c r="J79" s="56"/>
      <c r="L79" s="56" t="str">
        <f>IF('AYIRA MINI MART FINAL MENU - Pr'!L79="", "", 'AYIRA MINI MART FINAL MENU - Pr'!L79)</f>
        <v/>
      </c>
      <c r="M79" s="56" t="str">
        <f>IF('AYIRA MINI MART FINAL MENU - Pr'!M79="", "", 'AYIRA MINI MART FINAL MENU - Pr'!M79)</f>
        <v/>
      </c>
      <c r="N79" s="56" t="str">
        <f>IF('AYIRA MINI MART FINAL MENU - Pr'!N79="", "", 'AYIRA MINI MART FINAL MENU - Pr'!N79)</f>
        <v/>
      </c>
      <c r="O79" s="57"/>
      <c r="P79" s="57"/>
      <c r="Q79" s="57"/>
      <c r="R79" s="57"/>
      <c r="S79" s="57"/>
      <c r="T79" s="57"/>
      <c r="U79" s="57"/>
      <c r="V79" s="57"/>
      <c r="W79" s="57"/>
      <c r="X79" s="57"/>
      <c r="Y79" s="57"/>
      <c r="Z79" s="57"/>
    </row>
    <row r="80">
      <c r="A80" s="56" t="str">
        <f>IFERROR(__xludf.DUMMYFUNCTION("IF('AYIRA MINI MART FINAL MENU - Pr'!A80="""", """", IF(LEN(IFERROR(TRIM(REGEXREPLACE(TRIM(REGEXEXTRACT('AYIRA MINI MART FINAL MENU - Pr'!A80, ""^[^\x{0600}-\x{06FF}]+"")), ""[-–]+$"", """")), """"))&gt;0, IFERROR(TRIM(REGEXREPLACE(TRIM(REGEXEXTRACT('AYIRA M"&amp;"INI MART FINAL MENU - Pr'!A80, ""^[^\x{0600}-\x{06FF}]+"")), ""[-–]+$"", """")), """"), GOOGLETRANSLATE('AYIRA MINI MART FINAL MENU - Pr'!A80, ""ar"", ""en"")))"),"Pepsi 330ml")</f>
        <v>Pepsi 330ml</v>
      </c>
      <c r="B80" s="56" t="str">
        <f>IFERROR(__xludf.DUMMYFUNCTION("IF('AYIRA MINI MART FINAL MENU - Pr'!B80="""", """", IF(LEN(IFERROR(TRIM(REGEXREPLACE(TRIM(REGEXEXTRACT('AYIRA MINI MART FINAL MENU - Pr'!B80, ""^[^\x{0600}-\x{06FF}]+"")), ""[-–]+$"", """")), """"))&gt;0, IFERROR(TRIM(REGEXREPLACE(TRIM(REGEXEXTRACT('AYIRA M"&amp;"INI MART FINAL MENU - Pr'!B80, ""^[^\x{0600}-\x{06FF}]+"")), ""[-–]+$"", """")), """"), GOOGLETRANSLATE('AYIRA MINI MART FINAL MENU - Pr'!B80, ""ar"", ""en"")))"),"Carbonated Soft Drinks")</f>
        <v>Carbonated Soft Drinks</v>
      </c>
      <c r="C80" s="58">
        <f>IF('AYIRA MINI MART FINAL MENU - Pr'!C80="", "", 'AYIRA MINI MART FINAL MENU - Pr'!C80)</f>
        <v>2.5</v>
      </c>
      <c r="D80" s="56" t="str">
        <f>IFERROR(__xludf.DUMMYFUNCTION("IF('AYIRA MINI MART FINAL MENU - Pr'!D80="""", """", GOOGLETRANSLATE('AYIRA MINI MART FINAL MENU - Pr'!D80, ""ar"", ""en""))"),"Enjoy Pepsi, the refreshing soft drink that gives you energy and vitality with every drop. Its great taste and unique formula make it the perfect choice to quench your thirst anytime. Ideal for parties, family gatherings, and various occasions. It contain"&amp;"s distinctive flavors that make every sip an unforgettable experience. Get it now from Aira Mini Mart at the best prices and highest quality. Our premium drink provides you with instant refreshment and satisfies your discerning taste whenever you need hyd"&amp;"ration.")</f>
        <v>Enjoy Pepsi, the refreshing soft drink that gives you energy and vitality with every drop.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you with instant refreshment and satisfies your discerning taste whenever you need hydration.</v>
      </c>
      <c r="E80" s="56" t="str">
        <f>IF('AYIRA MINI MART FINAL MENU - Pr'!K80="", "", 'AYIRA MINI MART FINAL MENU - Pr'!K80)</f>
        <v/>
      </c>
      <c r="F80" s="56"/>
      <c r="G80" s="56"/>
      <c r="H80" s="56"/>
      <c r="I80" s="56"/>
      <c r="J80" s="56"/>
      <c r="L80" s="56" t="str">
        <f>IF('AYIRA MINI MART FINAL MENU - Pr'!L80="", "", 'AYIRA MINI MART FINAL MENU - Pr'!L80)</f>
        <v/>
      </c>
      <c r="M80" s="56" t="str">
        <f>IF('AYIRA MINI MART FINAL MENU - Pr'!M80="", "", 'AYIRA MINI MART FINAL MENU - Pr'!M80)</f>
        <v/>
      </c>
      <c r="N80" s="56" t="str">
        <f>IF('AYIRA MINI MART FINAL MENU - Pr'!N80="", "", 'AYIRA MINI MART FINAL MENU - Pr'!N80)</f>
        <v/>
      </c>
      <c r="O80" s="57"/>
      <c r="P80" s="57"/>
      <c r="Q80" s="57"/>
      <c r="R80" s="57"/>
      <c r="S80" s="57"/>
      <c r="T80" s="57"/>
      <c r="U80" s="57"/>
      <c r="V80" s="57"/>
      <c r="W80" s="57"/>
      <c r="X80" s="57"/>
      <c r="Y80" s="57"/>
      <c r="Z80" s="57"/>
    </row>
    <row r="81">
      <c r="A81" s="56" t="str">
        <f>IFERROR(__xludf.DUMMYFUNCTION("IF('AYIRA MINI MART FINAL MENU - Pr'!A81="""", """", IF(LEN(IFERROR(TRIM(REGEXREPLACE(TRIM(REGEXEXTRACT('AYIRA MINI MART FINAL MENU - Pr'!A81, ""^[^\x{0600}-\x{06FF}]+"")), ""[-–]+$"", """")), """"))&gt;0, IFERROR(TRIM(REGEXREPLACE(TRIM(REGEXEXTRACT('AYIRA M"&amp;"INI MART FINAL MENU - Pr'!A81, ""^[^\x{0600}-\x{06FF}]+"")), ""[-–]+$"", """")), """"), GOOGLETRANSLATE('AYIRA MINI MART FINAL MENU - Pr'!A81, ""ar"", ""en"")))"),"Mirinda Orange 330ml")</f>
        <v>Mirinda Orange 330ml</v>
      </c>
      <c r="B81" s="56" t="str">
        <f>IFERROR(__xludf.DUMMYFUNCTION("IF('AYIRA MINI MART FINAL MENU - Pr'!B81="""", """", IF(LEN(IFERROR(TRIM(REGEXREPLACE(TRIM(REGEXEXTRACT('AYIRA MINI MART FINAL MENU - Pr'!B81, ""^[^\x{0600}-\x{06FF}]+"")), ""[-–]+$"", """")), """"))&gt;0, IFERROR(TRIM(REGEXREPLACE(TRIM(REGEXEXTRACT('AYIRA M"&amp;"INI MART FINAL MENU - Pr'!B81, ""^[^\x{0600}-\x{06FF}]+"")), ""[-–]+$"", """")), """"), GOOGLETRANSLATE('AYIRA MINI MART FINAL MENU - Pr'!B81, ""ar"", ""en"")))"),"Carbonated Soft Drinks")</f>
        <v>Carbonated Soft Drinks</v>
      </c>
      <c r="C81" s="58">
        <f>IF('AYIRA MINI MART FINAL MENU - Pr'!C81="", "", 'AYIRA MINI MART FINAL MENU - Pr'!C81)</f>
        <v>2.5</v>
      </c>
      <c r="D81" s="56" t="str">
        <f>IFERROR(__xludf.DUMMYFUNCTION("IF('AYIRA MINI MART FINAL MENU - Pr'!D81="""", """", GOOGLETRANSLATE('AYIRA MINI MART FINAL MENU - Pr'!D81, ""ar"", ""en""))"),"Enjoy Miranda, the refreshing soft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Miranda,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81" s="56" t="str">
        <f>IF('AYIRA MINI MART FINAL MENU - Pr'!K81="", "", 'AYIRA MINI MART FINAL MENU - Pr'!K81)</f>
        <v/>
      </c>
      <c r="F81" s="56"/>
      <c r="G81" s="56"/>
      <c r="H81" s="56"/>
      <c r="I81" s="56"/>
      <c r="J81" s="56"/>
      <c r="L81" s="56" t="str">
        <f>IF('AYIRA MINI MART FINAL MENU - Pr'!L81="", "", 'AYIRA MINI MART FINAL MENU - Pr'!L81)</f>
        <v/>
      </c>
      <c r="M81" s="56" t="str">
        <f>IF('AYIRA MINI MART FINAL MENU - Pr'!M81="", "", 'AYIRA MINI MART FINAL MENU - Pr'!M81)</f>
        <v/>
      </c>
      <c r="N81" s="56" t="str">
        <f>IF('AYIRA MINI MART FINAL MENU - Pr'!N81="", "", 'AYIRA MINI MART FINAL MENU - Pr'!N81)</f>
        <v/>
      </c>
      <c r="O81" s="57"/>
      <c r="P81" s="57"/>
      <c r="Q81" s="57"/>
      <c r="R81" s="57"/>
      <c r="S81" s="57"/>
      <c r="T81" s="57"/>
      <c r="U81" s="57"/>
      <c r="V81" s="57"/>
      <c r="W81" s="57"/>
      <c r="X81" s="57"/>
      <c r="Y81" s="57"/>
      <c r="Z81" s="57"/>
    </row>
    <row r="82">
      <c r="A82" s="56" t="str">
        <f>IFERROR(__xludf.DUMMYFUNCTION("IF('AYIRA MINI MART FINAL MENU - Pr'!A82="""", """", IF(LEN(IFERROR(TRIM(REGEXREPLACE(TRIM(REGEXEXTRACT('AYIRA MINI MART FINAL MENU - Pr'!A82, ""^[^\x{0600}-\x{06FF}]+"")), ""[-–]+$"", """")), """"))&gt;0, IFERROR(TRIM(REGEXREPLACE(TRIM(REGEXEXTRACT('AYIRA M"&amp;"INI MART FINAL MENU - Pr'!A82, ""^[^\x{0600}-\x{06FF}]+"")), ""[-–]+$"", """")), """"), GOOGLETRANSLATE('AYIRA MINI MART FINAL MENU - Pr'!A82, ""ar"", ""en"")))"),"Mirinda Strawberry 330ml")</f>
        <v>Mirinda Strawberry 330ml</v>
      </c>
      <c r="B82" s="56" t="str">
        <f>IFERROR(__xludf.DUMMYFUNCTION("IF('AYIRA MINI MART FINAL MENU - Pr'!B82="""", """", IF(LEN(IFERROR(TRIM(REGEXREPLACE(TRIM(REGEXEXTRACT('AYIRA MINI MART FINAL MENU - Pr'!B82, ""^[^\x{0600}-\x{06FF}]+"")), ""[-–]+$"", """")), """"))&gt;0, IFERROR(TRIM(REGEXREPLACE(TRIM(REGEXEXTRACT('AYIRA M"&amp;"INI MART FINAL MENU - Pr'!B82, ""^[^\x{0600}-\x{06FF}]+"")), ""[-–]+$"", """")), """"), GOOGLETRANSLATE('AYIRA MINI MART FINAL MENU - Pr'!B82, ""ar"", ""en"")))"),"Carbonated Soft Drinks")</f>
        <v>Carbonated Soft Drinks</v>
      </c>
      <c r="C82" s="58">
        <f>IF('AYIRA MINI MART FINAL MENU - Pr'!C82="", "", 'AYIRA MINI MART FINAL MENU - Pr'!C82)</f>
        <v>2.5</v>
      </c>
      <c r="D82" s="56" t="str">
        <f>IFERROR(__xludf.DUMMYFUNCTION("IF('AYIRA MINI MART FINAL MENU - Pr'!D82="""", """", GOOGLETRANSLATE('AYIRA MINI MART FINAL MENU - Pr'!D82, ""ar"", ""en""))"),"Enjoy Miranda, the refreshing soft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Miranda,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82" s="56" t="str">
        <f>IF('AYIRA MINI MART FINAL MENU - Pr'!K82="", "", 'AYIRA MINI MART FINAL MENU - Pr'!K82)</f>
        <v/>
      </c>
      <c r="F82" s="56"/>
      <c r="G82" s="56"/>
      <c r="H82" s="56"/>
      <c r="I82" s="56"/>
      <c r="J82" s="56"/>
      <c r="L82" s="56" t="str">
        <f>IF('AYIRA MINI MART FINAL MENU - Pr'!L82="", "", 'AYIRA MINI MART FINAL MENU - Pr'!L82)</f>
        <v/>
      </c>
      <c r="M82" s="56" t="str">
        <f>IF('AYIRA MINI MART FINAL MENU - Pr'!M82="", "", 'AYIRA MINI MART FINAL MENU - Pr'!M82)</f>
        <v/>
      </c>
      <c r="N82" s="56" t="str">
        <f>IF('AYIRA MINI MART FINAL MENU - Pr'!N82="", "", 'AYIRA MINI MART FINAL MENU - Pr'!N82)</f>
        <v/>
      </c>
      <c r="O82" s="57"/>
      <c r="P82" s="57"/>
      <c r="Q82" s="57"/>
      <c r="R82" s="57"/>
      <c r="S82" s="57"/>
      <c r="T82" s="57"/>
      <c r="U82" s="57"/>
      <c r="V82" s="57"/>
      <c r="W82" s="57"/>
      <c r="X82" s="57"/>
      <c r="Y82" s="57"/>
      <c r="Z82" s="57"/>
    </row>
    <row r="83">
      <c r="A83" s="56" t="str">
        <f>IFERROR(__xludf.DUMMYFUNCTION("IF('AYIRA MINI MART FINAL MENU - Pr'!A83="""", """", IF(LEN(IFERROR(TRIM(REGEXREPLACE(TRIM(REGEXEXTRACT('AYIRA MINI MART FINAL MENU - Pr'!A83, ""^[^\x{0600}-\x{06FF}]+"")), ""[-–]+$"", """")), """"))&gt;0, IFERROR(TRIM(REGEXREPLACE(TRIM(REGEXEXTRACT('AYIRA M"&amp;"INI MART FINAL MENU - Pr'!A83, ""^[^\x{0600}-\x{06FF}]+"")), ""[-–]+$"", """")), """"), GOOGLETRANSLATE('AYIRA MINI MART FINAL MENU - Pr'!A83, ""ar"", ""en"")))"),"Mountain Dew 330ml")</f>
        <v>Mountain Dew 330ml</v>
      </c>
      <c r="B83" s="56" t="str">
        <f>IFERROR(__xludf.DUMMYFUNCTION("IF('AYIRA MINI MART FINAL MENU - Pr'!B83="""", """", IF(LEN(IFERROR(TRIM(REGEXREPLACE(TRIM(REGEXEXTRACT('AYIRA MINI MART FINAL MENU - Pr'!B83, ""^[^\x{0600}-\x{06FF}]+"")), ""[-–]+$"", """")), """"))&gt;0, IFERROR(TRIM(REGEXREPLACE(TRIM(REGEXEXTRACT('AYIRA M"&amp;"INI MART FINAL MENU - Pr'!B83, ""^[^\x{0600}-\x{06FF}]+"")), ""[-–]+$"", """")), """"), GOOGLETRANSLATE('AYIRA MINI MART FINAL MENU - Pr'!B83, ""ar"", ""en"")))"),"Carbonated Soft Drinks")</f>
        <v>Carbonated Soft Drinks</v>
      </c>
      <c r="C83" s="58">
        <f>IF('AYIRA MINI MART FINAL MENU - Pr'!C83="", "", 'AYIRA MINI MART FINAL MENU - Pr'!C83)</f>
        <v>2.5</v>
      </c>
      <c r="D83" s="56" t="str">
        <f>IFERROR(__xludf.DUMMYFUNCTION("IF('AYIRA MINI MART FINAL MENU - Pr'!D83="""", """", GOOGLETRANSLATE('AYIRA MINI MART FINAL MENU - Pr'!D83, ""ar"", ""en""))"),"Enjoy Mountain Dew, the refreshing soft drink that gives you energy and vitality with every sip. Its great taste and unique formula make it the perfect choice to quench your thirst anytime. Ideal for parties, family gatherings, and various occasions. It b"&amp;"oasts distinctive flavors that make every sip an unforgettable experience. Get it now from Aira Mini Mart at the best prices and highest quality. Our premium drink provides instant refreshment and satisfies your discerning palate whenever you need hydrati"&amp;"on.")</f>
        <v>Enjoy Mountain Dew, the refreshing soft drink that gives you energy and vitality with every sip.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83" s="56" t="str">
        <f>IF('AYIRA MINI MART FINAL MENU - Pr'!K83="", "", 'AYIRA MINI MART FINAL MENU - Pr'!K83)</f>
        <v/>
      </c>
      <c r="F83" s="56"/>
      <c r="G83" s="56"/>
      <c r="H83" s="56"/>
      <c r="I83" s="56"/>
      <c r="J83" s="56"/>
      <c r="L83" s="56" t="str">
        <f>IF('AYIRA MINI MART FINAL MENU - Pr'!L83="", "", 'AYIRA MINI MART FINAL MENU - Pr'!L83)</f>
        <v/>
      </c>
      <c r="M83" s="56" t="str">
        <f>IF('AYIRA MINI MART FINAL MENU - Pr'!M83="", "", 'AYIRA MINI MART FINAL MENU - Pr'!M83)</f>
        <v/>
      </c>
      <c r="N83" s="56" t="str">
        <f>IF('AYIRA MINI MART FINAL MENU - Pr'!N83="", "", 'AYIRA MINI MART FINAL MENU - Pr'!N83)</f>
        <v/>
      </c>
      <c r="O83" s="57"/>
      <c r="P83" s="57"/>
      <c r="Q83" s="57"/>
      <c r="R83" s="57"/>
      <c r="S83" s="57"/>
      <c r="T83" s="57"/>
      <c r="U83" s="57"/>
      <c r="V83" s="57"/>
      <c r="W83" s="57"/>
      <c r="X83" s="57"/>
      <c r="Y83" s="57"/>
      <c r="Z83" s="57"/>
    </row>
    <row r="84">
      <c r="A84" s="56" t="str">
        <f>IFERROR(__xludf.DUMMYFUNCTION("IF('AYIRA MINI MART FINAL MENU - Pr'!A84="""", """", IF(LEN(IFERROR(TRIM(REGEXREPLACE(TRIM(REGEXEXTRACT('AYIRA MINI MART FINAL MENU - Pr'!A84, ""^[^\x{0600}-\x{06FF}]+"")), ""[-–]+$"", """")), """"))&gt;0, IFERROR(TRIM(REGEXREPLACE(TRIM(REGEXEXTRACT('AYIRA M"&amp;"INI MART FINAL MENU - Pr'!A84, ""^[^\x{0600}-\x{06FF}]+"")), ""[-–]+$"", """")), """"), GOOGLETRANSLATE('AYIRA MINI MART FINAL MENU - Pr'!A84, ""ar"", ""en"")))"),"Evervess Club Soda 330ml – Evervess Club Soda 330")</f>
        <v>Evervess Club Soda 330ml – Evervess Club Soda 330</v>
      </c>
      <c r="B84" s="56" t="str">
        <f>IFERROR(__xludf.DUMMYFUNCTION("IF('AYIRA MINI MART FINAL MENU - Pr'!B84="""", """", IF(LEN(IFERROR(TRIM(REGEXREPLACE(TRIM(REGEXEXTRACT('AYIRA MINI MART FINAL MENU - Pr'!B84, ""^[^\x{0600}-\x{06FF}]+"")), ""[-–]+$"", """")), """"))&gt;0, IFERROR(TRIM(REGEXREPLACE(TRIM(REGEXEXTRACT('AYIRA M"&amp;"INI MART FINAL MENU - Pr'!B84, ""^[^\x{0600}-\x{06FF}]+"")), ""[-–]+$"", """")), """"), GOOGLETRANSLATE('AYIRA MINI MART FINAL MENU - Pr'!B84, ""ar"", ""en"")))"),"Water")</f>
        <v>Water</v>
      </c>
      <c r="C84" s="58">
        <f>IF('AYIRA MINI MART FINAL MENU - Pr'!C84="", "", 'AYIRA MINI MART FINAL MENU - Pr'!C84)</f>
        <v>2</v>
      </c>
      <c r="D84" s="56" t="str">
        <f>IFERROR(__xludf.DUMMYFUNCTION("IF('AYIRA MINI MART FINAL MENU - Pr'!D84="""", """", GOOGLETRANSLATE('AYIRA MINI MART FINAL MENU - Pr'!D84, ""ar"", ""en""))"),"Enjoy Evervess Club Soda 330ml, the refreshing soft drink that gives you energy and vitality with every sip. Its delicious taste and unique formula make it the perfect choice to quench your thirst anytime. Ideal for parties, family gatherings, and various"&amp;" occasions. It boasts distinctive flavors that make every sip an unforgettable experience. Get it now from Aira Mini Mart at the best prices and highest quality. Our premium drink provides instant refreshment and satisfies your discerning palate whenever "&amp;"you need hydration.")</f>
        <v>Enjoy Evervess Club Soda 330ml, the refreshing soft drink that gives you energy and vitality with every sip.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84" s="56" t="str">
        <f>IF('AYIRA MINI MART FINAL MENU - Pr'!K84="", "", 'AYIRA MINI MART FINAL MENU - Pr'!K84)</f>
        <v/>
      </c>
      <c r="F84" s="56"/>
      <c r="G84" s="56"/>
      <c r="H84" s="56"/>
      <c r="I84" s="56"/>
      <c r="J84" s="56"/>
      <c r="L84" s="56" t="str">
        <f>IF('AYIRA MINI MART FINAL MENU - Pr'!L84="", "", 'AYIRA MINI MART FINAL MENU - Pr'!L84)</f>
        <v/>
      </c>
      <c r="M84" s="56" t="str">
        <f>IF('AYIRA MINI MART FINAL MENU - Pr'!M84="", "", 'AYIRA MINI MART FINAL MENU - Pr'!M84)</f>
        <v/>
      </c>
      <c r="N84" s="56" t="str">
        <f>IF('AYIRA MINI MART FINAL MENU - Pr'!N84="", "", 'AYIRA MINI MART FINAL MENU - Pr'!N84)</f>
        <v/>
      </c>
      <c r="O84" s="57"/>
      <c r="P84" s="57"/>
      <c r="Q84" s="57"/>
      <c r="R84" s="57"/>
      <c r="S84" s="57"/>
      <c r="T84" s="57"/>
      <c r="U84" s="57"/>
      <c r="V84" s="57"/>
      <c r="W84" s="57"/>
      <c r="X84" s="57"/>
      <c r="Y84" s="57"/>
      <c r="Z84" s="57"/>
    </row>
    <row r="85">
      <c r="A85" s="56" t="str">
        <f>IFERROR(__xludf.DUMMYFUNCTION("IF('AYIRA MINI MART FINAL MENU - Pr'!A85="""", """", IF(LEN(IFERROR(TRIM(REGEXREPLACE(TRIM(REGEXEXTRACT('AYIRA MINI MART FINAL MENU - Pr'!A85, ""^[^\x{0600}-\x{06FF}]+"")), ""[-–]+$"", """")), """"))&gt;0, IFERROR(TRIM(REGEXREPLACE(TRIM(REGEXEXTRACT('AYIRA M"&amp;"INI MART FINAL MENU - Pr'!A85, ""^[^\x{0600}-\x{06FF}]+"")), ""[-–]+$"", """")), """"), GOOGLETRANSLATE('AYIRA MINI MART FINAL MENU - Pr'!A85, ""ar"", ""en"")))"),"Pepsi Zero Sugar 330ml")</f>
        <v>Pepsi Zero Sugar 330ml</v>
      </c>
      <c r="B85" s="56" t="str">
        <f>IFERROR(__xludf.DUMMYFUNCTION("IF('AYIRA MINI MART FINAL MENU - Pr'!B85="""", """", IF(LEN(IFERROR(TRIM(REGEXREPLACE(TRIM(REGEXEXTRACT('AYIRA MINI MART FINAL MENU - Pr'!B85, ""^[^\x{0600}-\x{06FF}]+"")), ""[-–]+$"", """")), """"))&gt;0, IFERROR(TRIM(REGEXREPLACE(TRIM(REGEXEXTRACT('AYIRA M"&amp;"INI MART FINAL MENU - Pr'!B85, ""^[^\x{0600}-\x{06FF}]+"")), ""[-–]+$"", """")), """"), GOOGLETRANSLATE('AYIRA MINI MART FINAL MENU - Pr'!B85, ""ar"", ""en"")))"),"Carbonated Soft Drinks")</f>
        <v>Carbonated Soft Drinks</v>
      </c>
      <c r="C85" s="58">
        <f>IF('AYIRA MINI MART FINAL MENU - Pr'!C85="", "", 'AYIRA MINI MART FINAL MENU - Pr'!C85)</f>
        <v>2.5</v>
      </c>
      <c r="D85" s="56" t="str">
        <f>IFERROR(__xludf.DUMMYFUNCTION("IF('AYIRA MINI MART FINAL MENU - Pr'!D85="""", """", GOOGLETRANSLATE('AYIRA MINI MART FINAL MENU - Pr'!D85, ""ar"", ""en""))"),"Enjoy Pepsi, the refreshing soft drink that gives you energy and vitality with every drop. Its great taste and unique formula make it the perfect choice to quench your thirst anytime. Ideal for parties, family gatherings, and various occasions. It contain"&amp;"s distinctive flavors that make every sip an unforgettable experience. Get it now from Aira Mini Mart at the best prices and highest quality. Our premium drink provides you with instant refreshment and satisfies your discerning taste whenever you need hyd"&amp;"ration.")</f>
        <v>Enjoy Pepsi, the refreshing soft drink that gives you energy and vitality with every drop.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you with instant refreshment and satisfies your discerning taste whenever you need hydration.</v>
      </c>
      <c r="E85" s="56" t="str">
        <f>IF('AYIRA MINI MART FINAL MENU - Pr'!K85="", "", 'AYIRA MINI MART FINAL MENU - Pr'!K85)</f>
        <v/>
      </c>
      <c r="F85" s="56"/>
      <c r="G85" s="56"/>
      <c r="H85" s="56"/>
      <c r="I85" s="56"/>
      <c r="J85" s="56"/>
      <c r="L85" s="56" t="str">
        <f>IF('AYIRA MINI MART FINAL MENU - Pr'!L85="", "", 'AYIRA MINI MART FINAL MENU - Pr'!L85)</f>
        <v/>
      </c>
      <c r="M85" s="56" t="str">
        <f>IF('AYIRA MINI MART FINAL MENU - Pr'!M85="", "", 'AYIRA MINI MART FINAL MENU - Pr'!M85)</f>
        <v/>
      </c>
      <c r="N85" s="56" t="str">
        <f>IF('AYIRA MINI MART FINAL MENU - Pr'!N85="", "", 'AYIRA MINI MART FINAL MENU - Pr'!N85)</f>
        <v/>
      </c>
      <c r="O85" s="57"/>
      <c r="P85" s="57"/>
      <c r="Q85" s="57"/>
      <c r="R85" s="57"/>
      <c r="S85" s="57"/>
      <c r="T85" s="57"/>
      <c r="U85" s="57"/>
      <c r="V85" s="57"/>
      <c r="W85" s="57"/>
      <c r="X85" s="57"/>
      <c r="Y85" s="57"/>
      <c r="Z85" s="57"/>
    </row>
    <row r="86">
      <c r="A86" s="56" t="str">
        <f>IFERROR(__xludf.DUMMYFUNCTION("IF('AYIRA MINI MART FINAL MENU - Pr'!A86="""", """", IF(LEN(IFERROR(TRIM(REGEXREPLACE(TRIM(REGEXEXTRACT('AYIRA MINI MART FINAL MENU - Pr'!A86, ""^[^\x{0600}-\x{06FF}]+"")), ""[-–]+$"", """")), """"))&gt;0, IFERROR(TRIM(REGEXREPLACE(TRIM(REGEXEXTRACT('AYIRA M"&amp;"INI MART FINAL MENU - Pr'!A86, ""^[^\x{0600}-\x{06FF}]+"")), ""[-–]+$"", """")), """"), GOOGLETRANSLATE('AYIRA MINI MART FINAL MENU - Pr'!A86, ""ar"", ""en"")))"),"Shani Fruit Flavoured Drink 330ml")</f>
        <v>Shani Fruit Flavoured Drink 330ml</v>
      </c>
      <c r="B86" s="56" t="str">
        <f>IFERROR(__xludf.DUMMYFUNCTION("IF('AYIRA MINI MART FINAL MENU - Pr'!B86="""", """", IF(LEN(IFERROR(TRIM(REGEXREPLACE(TRIM(REGEXEXTRACT('AYIRA MINI MART FINAL MENU - Pr'!B86, ""^[^\x{0600}-\x{06FF}]+"")), ""[-–]+$"", """")), """"))&gt;0, IFERROR(TRIM(REGEXREPLACE(TRIM(REGEXEXTRACT('AYIRA M"&amp;"INI MART FINAL MENU - Pr'!B86, ""^[^\x{0600}-\x{06FF}]+"")), ""[-–]+$"", """")), """"), GOOGLETRANSLATE('AYIRA MINI MART FINAL MENU - Pr'!B86, ""ar"", ""en"")))"),"Carbonated Soft Drinks")</f>
        <v>Carbonated Soft Drinks</v>
      </c>
      <c r="C86" s="58">
        <f>IF('AYIRA MINI MART FINAL MENU - Pr'!C86="", "", 'AYIRA MINI MART FINAL MENU - Pr'!C86)</f>
        <v>2.5</v>
      </c>
      <c r="D86" s="56" t="str">
        <f>IFERROR(__xludf.DUMMYFUNCTION("IF('AYIRA MINI MART FINAL MENU - Pr'!D86="""", """", GOOGLETRANSLATE('AYIRA MINI MART FINAL MENU - Pr'!D86, ""ar"", ""en""))"),"Enjoy Shani, the refreshing soft drink that gives you energy and vitality with every drop. Its delicious taste and unique formula make it the perfect choice to quench your thirst anytime. Ideal for parties, family gatherings, and various occasions. It boa"&amp;"sts distinctive flavors that make every sip an unforgettable experience. Get it now from Aira Mini Mart at the best prices and highest quality. Our premium drink provides instant refreshment and satisfies your discerning palate whenever you need hydration"&amp;".")</f>
        <v>Enjoy Shani,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86" s="56" t="str">
        <f>IF('AYIRA MINI MART FINAL MENU - Pr'!K86="", "", 'AYIRA MINI MART FINAL MENU - Pr'!K86)</f>
        <v/>
      </c>
      <c r="F86" s="56"/>
      <c r="G86" s="56"/>
      <c r="H86" s="56"/>
      <c r="I86" s="56"/>
      <c r="J86" s="56"/>
      <c r="L86" s="56" t="str">
        <f>IF('AYIRA MINI MART FINAL MENU - Pr'!L86="", "", 'AYIRA MINI MART FINAL MENU - Pr'!L86)</f>
        <v/>
      </c>
      <c r="M86" s="56" t="str">
        <f>IF('AYIRA MINI MART FINAL MENU - Pr'!M86="", "", 'AYIRA MINI MART FINAL MENU - Pr'!M86)</f>
        <v/>
      </c>
      <c r="N86" s="56" t="str">
        <f>IF('AYIRA MINI MART FINAL MENU - Pr'!N86="", "", 'AYIRA MINI MART FINAL MENU - Pr'!N86)</f>
        <v/>
      </c>
      <c r="O86" s="57"/>
      <c r="P86" s="57"/>
      <c r="Q86" s="57"/>
      <c r="R86" s="57"/>
      <c r="S86" s="57"/>
      <c r="T86" s="57"/>
      <c r="U86" s="57"/>
      <c r="V86" s="57"/>
      <c r="W86" s="57"/>
      <c r="X86" s="57"/>
      <c r="Y86" s="57"/>
      <c r="Z86" s="57"/>
    </row>
    <row r="87">
      <c r="A87" s="56" t="str">
        <f>IFERROR(__xludf.DUMMYFUNCTION("IF('AYIRA MINI MART FINAL MENU - Pr'!A87="""", """", IF(LEN(IFERROR(TRIM(REGEXREPLACE(TRIM(REGEXEXTRACT('AYIRA MINI MART FINAL MENU - Pr'!A87, ""^[^\x{0600}-\x{06FF}]+"")), ""[-–]+$"", """")), """"))&gt;0, IFERROR(TRIM(REGEXREPLACE(TRIM(REGEXEXTRACT('AYIRA M"&amp;"INI MART FINAL MENU - Pr'!A87, ""^[^\x{0600}-\x{06FF}]+"")), ""[-–]+$"", """")), """"), GOOGLETRANSLATE('AYIRA MINI MART FINAL MENU - Pr'!A87, ""ar"", ""en"")))"),"Mountain Dew Zero Sugar 330ml")</f>
        <v>Mountain Dew Zero Sugar 330ml</v>
      </c>
      <c r="B87" s="56" t="str">
        <f>IFERROR(__xludf.DUMMYFUNCTION("IF('AYIRA MINI MART FINAL MENU - Pr'!B87="""", """", IF(LEN(IFERROR(TRIM(REGEXREPLACE(TRIM(REGEXEXTRACT('AYIRA MINI MART FINAL MENU - Pr'!B87, ""^[^\x{0600}-\x{06FF}]+"")), ""[-–]+$"", """")), """"))&gt;0, IFERROR(TRIM(REGEXREPLACE(TRIM(REGEXEXTRACT('AYIRA M"&amp;"INI MART FINAL MENU - Pr'!B87, ""^[^\x{0600}-\x{06FF}]+"")), ""[-–]+$"", """")), """"), GOOGLETRANSLATE('AYIRA MINI MART FINAL MENU - Pr'!B87, ""ar"", ""en"")))"),"Carbonated Soft Drinks")</f>
        <v>Carbonated Soft Drinks</v>
      </c>
      <c r="C87" s="58">
        <f>IF('AYIRA MINI MART FINAL MENU - Pr'!C87="", "", 'AYIRA MINI MART FINAL MENU - Pr'!C87)</f>
        <v>2.5</v>
      </c>
      <c r="D87" s="56" t="str">
        <f>IFERROR(__xludf.DUMMYFUNCTION("IF('AYIRA MINI MART FINAL MENU - Pr'!D87="""", """", GOOGLETRANSLATE('AYIRA MINI MART FINAL MENU - Pr'!D87, ""ar"", ""en""))"),"Enjoy Mountain Dew, the refreshing soft drink that gives you energy and vitality with every sip. Its great taste and unique formula make it the perfect choice to quench your thirst anytime. Ideal for parties, family gatherings, and various occasions. It b"&amp;"oasts distinctive flavors that make every sip an unforgettable experience. Get it now from Aira Mini Mart at the best prices and highest quality. Our premium drink provides instant refreshment and satisfies your discerning palate whenever you need hydrati"&amp;"on.")</f>
        <v>Enjoy Mountain Dew, the refreshing soft drink that gives you energy and vitality with every sip.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87" s="56" t="str">
        <f>IF('AYIRA MINI MART FINAL MENU - Pr'!K87="", "", 'AYIRA MINI MART FINAL MENU - Pr'!K87)</f>
        <v/>
      </c>
      <c r="F87" s="56"/>
      <c r="G87" s="56"/>
      <c r="H87" s="56"/>
      <c r="I87" s="56"/>
      <c r="J87" s="56"/>
      <c r="L87" s="56" t="str">
        <f>IF('AYIRA MINI MART FINAL MENU - Pr'!L87="", "", 'AYIRA MINI MART FINAL MENU - Pr'!L87)</f>
        <v/>
      </c>
      <c r="M87" s="56" t="str">
        <f>IF('AYIRA MINI MART FINAL MENU - Pr'!M87="", "", 'AYIRA MINI MART FINAL MENU - Pr'!M87)</f>
        <v/>
      </c>
      <c r="N87" s="56" t="str">
        <f>IF('AYIRA MINI MART FINAL MENU - Pr'!N87="", "", 'AYIRA MINI MART FINAL MENU - Pr'!N87)</f>
        <v/>
      </c>
      <c r="O87" s="57"/>
      <c r="P87" s="57"/>
      <c r="Q87" s="57"/>
      <c r="R87" s="57"/>
      <c r="S87" s="57"/>
      <c r="T87" s="57"/>
      <c r="U87" s="57"/>
      <c r="V87" s="57"/>
      <c r="W87" s="57"/>
      <c r="X87" s="57"/>
      <c r="Y87" s="57"/>
      <c r="Z87" s="57"/>
    </row>
    <row r="88">
      <c r="A88" s="56" t="str">
        <f>IFERROR(__xludf.DUMMYFUNCTION("IF('AYIRA MINI MART FINAL MENU - Pr'!A88="""", """", IF(LEN(IFERROR(TRIM(REGEXREPLACE(TRIM(REGEXEXTRACT('AYIRA MINI MART FINAL MENU - Pr'!A88, ""^[^\x{0600}-\x{06FF}]+"")), ""[-–]+$"", """")), """"))&gt;0, IFERROR(TRIM(REGEXREPLACE(TRIM(REGEXEXTRACT('AYIRA M"&amp;"INI MART FINAL MENU - Pr'!A88, ""^[^\x{0600}-\x{06FF}]+"")), ""[-–]+$"", """")), """"), GOOGLETRANSLATE('AYIRA MINI MART FINAL MENU - Pr'!A88, ""ar"", ""en"")))"),"Extra Fizz 7UP Zero Sugar 330ml – Extra Fizz")</f>
        <v>Extra Fizz 7UP Zero Sugar 330ml – Extra Fizz</v>
      </c>
      <c r="B88" s="56" t="str">
        <f>IFERROR(__xludf.DUMMYFUNCTION("IF('AYIRA MINI MART FINAL MENU - Pr'!B88="""", """", IF(LEN(IFERROR(TRIM(REGEXREPLACE(TRIM(REGEXEXTRACT('AYIRA MINI MART FINAL MENU - Pr'!B88, ""^[^\x{0600}-\x{06FF}]+"")), ""[-–]+$"", """")), """"))&gt;0, IFERROR(TRIM(REGEXREPLACE(TRIM(REGEXEXTRACT('AYIRA M"&amp;"INI MART FINAL MENU - Pr'!B88, ""^[^\x{0600}-\x{06FF}]+"")), ""[-–]+$"", """")), """"), GOOGLETRANSLATE('AYIRA MINI MART FINAL MENU - Pr'!B88, ""ar"", ""en"")))"),"Carbonated Soft Drinks")</f>
        <v>Carbonated Soft Drinks</v>
      </c>
      <c r="C88" s="58">
        <f>IF('AYIRA MINI MART FINAL MENU - Pr'!C88="", "", 'AYIRA MINI MART FINAL MENU - Pr'!C88)</f>
        <v>2.5</v>
      </c>
      <c r="D88" s="56" t="str">
        <f>IFERROR(__xludf.DUMMYFUNCTION("IF('AYIRA MINI MART FINAL MENU - Pr'!D88="""", """", GOOGLETRANSLATE('AYIRA MINI MART FINAL MENU - Pr'!D88, ""ar"", ""en""))"),"Enjoy Extra, the refreshing soft drink that gives you energy and vitality with every drop. Its delicious taste and unique formula make it the perfect choice to quench your thirst anytime. Ideal for parties, family gatherings, and various occasions. It boa"&amp;"sts distinctive flavors that make every sip an unforgettable experience. Get it now from Aira Mini Mart at the best prices and highest quality. Our premium drink provides instant refreshment and satisfies your discerning palate whenever you need hydration"&amp;".")</f>
        <v>Enjoy Extra,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88" s="56" t="str">
        <f>IF('AYIRA MINI MART FINAL MENU - Pr'!K88="", "", 'AYIRA MINI MART FINAL MENU - Pr'!K88)</f>
        <v/>
      </c>
      <c r="F88" s="56"/>
      <c r="G88" s="56"/>
      <c r="H88" s="56"/>
      <c r="I88" s="56"/>
      <c r="J88" s="56"/>
      <c r="L88" s="56" t="str">
        <f>IF('AYIRA MINI MART FINAL MENU - Pr'!L88="", "", 'AYIRA MINI MART FINAL MENU - Pr'!L88)</f>
        <v/>
      </c>
      <c r="M88" s="56" t="str">
        <f>IF('AYIRA MINI MART FINAL MENU - Pr'!M88="", "", 'AYIRA MINI MART FINAL MENU - Pr'!M88)</f>
        <v/>
      </c>
      <c r="N88" s="56" t="str">
        <f>IF('AYIRA MINI MART FINAL MENU - Pr'!N88="", "", 'AYIRA MINI MART FINAL MENU - Pr'!N88)</f>
        <v/>
      </c>
      <c r="O88" s="57"/>
      <c r="P88" s="57"/>
      <c r="Q88" s="57"/>
      <c r="R88" s="57"/>
      <c r="S88" s="57"/>
      <c r="T88" s="57"/>
      <c r="U88" s="57"/>
      <c r="V88" s="57"/>
      <c r="W88" s="57"/>
      <c r="X88" s="57"/>
      <c r="Y88" s="57"/>
      <c r="Z88" s="57"/>
    </row>
    <row r="89">
      <c r="A89" s="56" t="str">
        <f>IFERROR(__xludf.DUMMYFUNCTION("IF('AYIRA MINI MART FINAL MENU - Pr'!A89="""", """", IF(LEN(IFERROR(TRIM(REGEXREPLACE(TRIM(REGEXEXTRACT('AYIRA MINI MART FINAL MENU - Pr'!A89, ""^[^\x{0600}-\x{06FF}]+"")), ""[-–]+$"", """")), """"))&gt;0, IFERROR(TRIM(REGEXREPLACE(TRIM(REGEXEXTRACT('AYIRA M"&amp;"INI MART FINAL MENU - Pr'!A89, ""^[^\x{0600}-\x{06FF}]+"")), ""[-–]+$"", """")), """"), GOOGLETRANSLATE('AYIRA MINI MART FINAL MENU - Pr'!A89, ""ar"", ""en"")))"),"Pepsi 330ml")</f>
        <v>Pepsi 330ml</v>
      </c>
      <c r="B89" s="56" t="str">
        <f>IFERROR(__xludf.DUMMYFUNCTION("IF('AYIRA MINI MART FINAL MENU - Pr'!B89="""", """", IF(LEN(IFERROR(TRIM(REGEXREPLACE(TRIM(REGEXEXTRACT('AYIRA MINI MART FINAL MENU - Pr'!B89, ""^[^\x{0600}-\x{06FF}]+"")), ""[-–]+$"", """")), """"))&gt;0, IFERROR(TRIM(REGEXREPLACE(TRIM(REGEXEXTRACT('AYIRA M"&amp;"INI MART FINAL MENU - Pr'!B89, ""^[^\x{0600}-\x{06FF}]+"")), ""[-–]+$"", """")), """"), GOOGLETRANSLATE('AYIRA MINI MART FINAL MENU - Pr'!B89, ""ar"", ""en"")))"),"Carbonated Soft Drinks")</f>
        <v>Carbonated Soft Drinks</v>
      </c>
      <c r="C89" s="58">
        <f>IF('AYIRA MINI MART FINAL MENU - Pr'!C89="", "", 'AYIRA MINI MART FINAL MENU - Pr'!C89)</f>
        <v>2</v>
      </c>
      <c r="D89" s="56" t="str">
        <f>IFERROR(__xludf.DUMMYFUNCTION("IF('AYIRA MINI MART FINAL MENU - Pr'!D89="""", """", GOOGLETRANSLATE('AYIRA MINI MART FINAL MENU - Pr'!D89, ""ar"", ""en""))"),"Enjoy Pepsi, the refreshing soft drink that gives you energy and vitality with every drop. Its great taste and unique formula make it the perfect choice to quench your thirst anytime. Ideal for parties, family gatherings, and various occasions. It contain"&amp;"s distinctive flavors that make every sip an unforgettable experience. Get it now from Aira Mini Mart at the best prices and highest quality. Our premium drink provides you with instant refreshment and satisfies your discerning taste whenever you need hyd"&amp;"ration.")</f>
        <v>Enjoy Pepsi, the refreshing soft drink that gives you energy and vitality with every drop.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you with instant refreshment and satisfies your discerning taste whenever you need hydration.</v>
      </c>
      <c r="E89" s="56" t="str">
        <f>IF('AYIRA MINI MART FINAL MENU - Pr'!K89="", "", 'AYIRA MINI MART FINAL MENU - Pr'!K89)</f>
        <v/>
      </c>
      <c r="F89" s="56"/>
      <c r="G89" s="56"/>
      <c r="H89" s="56"/>
      <c r="I89" s="56"/>
      <c r="J89" s="56"/>
      <c r="L89" s="56" t="str">
        <f>IF('AYIRA MINI MART FINAL MENU - Pr'!L89="", "", 'AYIRA MINI MART FINAL MENU - Pr'!L89)</f>
        <v/>
      </c>
      <c r="M89" s="56" t="str">
        <f>IF('AYIRA MINI MART FINAL MENU - Pr'!M89="", "", 'AYIRA MINI MART FINAL MENU - Pr'!M89)</f>
        <v/>
      </c>
      <c r="N89" s="56" t="str">
        <f>IF('AYIRA MINI MART FINAL MENU - Pr'!N89="", "", 'AYIRA MINI MART FINAL MENU - Pr'!N89)</f>
        <v/>
      </c>
      <c r="O89" s="57"/>
      <c r="P89" s="57"/>
      <c r="Q89" s="57"/>
      <c r="R89" s="57"/>
      <c r="S89" s="57"/>
      <c r="T89" s="57"/>
      <c r="U89" s="57"/>
      <c r="V89" s="57"/>
      <c r="W89" s="57"/>
      <c r="X89" s="57"/>
      <c r="Y89" s="57"/>
      <c r="Z89" s="57"/>
    </row>
    <row r="90">
      <c r="A90" s="56" t="str">
        <f>IFERROR(__xludf.DUMMYFUNCTION("IF('AYIRA MINI MART FINAL MENU - Pr'!A90="""", """", IF(LEN(IFERROR(TRIM(REGEXREPLACE(TRIM(REGEXEXTRACT('AYIRA MINI MART FINAL MENU - Pr'!A90, ""^[^\x{0600}-\x{06FF}]+"")), ""[-–]+$"", """")), """"))&gt;0, IFERROR(TRIM(REGEXREPLACE(TRIM(REGEXEXTRACT('AYIRA M"&amp;"INI MART FINAL MENU - Pr'!A90, ""^[^\x{0600}-\x{06FF}]+"")), ""[-–]+$"", """")), """"), GOOGLETRANSLATE('AYIRA MINI MART FINAL MENU - Pr'!A90, ""ar"", ""en"")))"),"Rayyan 40 Years Together 250ml")</f>
        <v>Rayyan 40 Years Together 250ml</v>
      </c>
      <c r="B90" s="56" t="str">
        <f>IFERROR(__xludf.DUMMYFUNCTION("IF('AYIRA MINI MART FINAL MENU - Pr'!B90="""", """", IF(LEN(IFERROR(TRIM(REGEXREPLACE(TRIM(REGEXEXTRACT('AYIRA MINI MART FINAL MENU - Pr'!B90, ""^[^\x{0600}-\x{06FF}]+"")), ""[-–]+$"", """")), """"))&gt;0, IFERROR(TRIM(REGEXREPLACE(TRIM(REGEXEXTRACT('AYIRA M"&amp;"INI MART FINAL MENU - Pr'!B90, ""^[^\x{0600}-\x{06FF}]+"")), ""[-–]+$"", """")), """"), GOOGLETRANSLATE('AYIRA MINI MART FINAL MENU - Pr'!B90, ""ar"", ""en"")))"),"Water")</f>
        <v>Water</v>
      </c>
      <c r="C90" s="58">
        <f>IF('AYIRA MINI MART FINAL MENU - Pr'!C90="", "", 'AYIRA MINI MART FINAL MENU - Pr'!C90)</f>
        <v>4.5</v>
      </c>
      <c r="D90" s="56" t="str">
        <f>IFERROR(__xludf.DUMMYFUNCTION("IF('AYIRA MINI MART FINAL MENU - Pr'!D90="""", """", GOOGLETRANSLATE('AYIRA MINI MART FINAL MENU - Pr'!D90, ""ar"", ""en""))"),"Drink Rayan,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Rayan,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90" s="56" t="str">
        <f>IF('AYIRA MINI MART FINAL MENU - Pr'!K90="", "", 'AYIRA MINI MART FINAL MENU - Pr'!K90)</f>
        <v/>
      </c>
      <c r="F90" s="56"/>
      <c r="G90" s="56"/>
      <c r="H90" s="56"/>
      <c r="I90" s="56"/>
      <c r="J90" s="56"/>
      <c r="L90" s="56" t="str">
        <f>IF('AYIRA MINI MART FINAL MENU - Pr'!L90="", "", 'AYIRA MINI MART FINAL MENU - Pr'!L90)</f>
        <v/>
      </c>
      <c r="M90" s="56" t="str">
        <f>IF('AYIRA MINI MART FINAL MENU - Pr'!M90="", "", 'AYIRA MINI MART FINAL MENU - Pr'!M90)</f>
        <v/>
      </c>
      <c r="N90" s="56" t="str">
        <f>IF('AYIRA MINI MART FINAL MENU - Pr'!N90="", "", 'AYIRA MINI MART FINAL MENU - Pr'!N90)</f>
        <v/>
      </c>
      <c r="O90" s="57"/>
      <c r="P90" s="57"/>
      <c r="Q90" s="57"/>
      <c r="R90" s="57"/>
      <c r="S90" s="57"/>
      <c r="T90" s="57"/>
      <c r="U90" s="57"/>
      <c r="V90" s="57"/>
      <c r="W90" s="57"/>
      <c r="X90" s="57"/>
      <c r="Y90" s="57"/>
      <c r="Z90" s="57"/>
    </row>
    <row r="91">
      <c r="A91" s="56" t="str">
        <f>IFERROR(__xludf.DUMMYFUNCTION("IF('AYIRA MINI MART FINAL MENU - Pr'!A91="""", """", IF(LEN(IFERROR(TRIM(REGEXREPLACE(TRIM(REGEXEXTRACT('AYIRA MINI MART FINAL MENU - Pr'!A91, ""^[^\x{0600}-\x{06FF}]+"")), ""[-–]+$"", """")), """"))&gt;0, IFERROR(TRIM(REGEXREPLACE(TRIM(REGEXEXTRACT('AYIRA M"&amp;"INI MART FINAL MENU - Pr'!A91, ""^[^\x{0600}-\x{06FF}]+"")), ""[-–]+$"", """")), """"), GOOGLETRANSLATE('AYIRA MINI MART FINAL MENU - Pr'!A91, ""ar"", ""en"")))"),"Perrier Natural Sparkling Water 200ml – Perrier")</f>
        <v>Perrier Natural Sparkling Water 200ml – Perrier</v>
      </c>
      <c r="B91" s="56" t="str">
        <f>IFERROR(__xludf.DUMMYFUNCTION("IF('AYIRA MINI MART FINAL MENU - Pr'!B91="""", """", IF(LEN(IFERROR(TRIM(REGEXREPLACE(TRIM(REGEXEXTRACT('AYIRA MINI MART FINAL MENU - Pr'!B91, ""^[^\x{0600}-\x{06FF}]+"")), ""[-–]+$"", """")), """"))&gt;0, IFERROR(TRIM(REGEXREPLACE(TRIM(REGEXEXTRACT('AYIRA M"&amp;"INI MART FINAL MENU - Pr'!B91, ""^[^\x{0600}-\x{06FF}]+"")), ""[-–]+$"", """")), """"), GOOGLETRANSLATE('AYIRA MINI MART FINAL MENU - Pr'!B91, ""ar"", ""en"")))"),"Water")</f>
        <v>Water</v>
      </c>
      <c r="C91" s="58">
        <f>IF('AYIRA MINI MART FINAL MENU - Pr'!C91="", "", 'AYIRA MINI MART FINAL MENU - Pr'!C91)</f>
        <v>5</v>
      </c>
      <c r="D91" s="56" t="str">
        <f>IFERROR(__xludf.DUMMYFUNCTION("IF('AYIRA MINI MART FINAL MENU - Pr'!D91="""", """", GOOGLETRANSLATE('AYIRA MINI MART FINAL MENU - Pr'!D91, ""ar"", ""en""))"),"Drink Perrier Natural Sparkling Water 200ml, the pure water that restores your body's natural balance. Sourced from the purest natural sources and bottled to the highest standards of quality and hygiene to ensure it reaches you in perfect condition. Prope"&amp;"r hydration is essential for a good life, and choosing this water reflects your commitment to your well-being. Make sure to drink enough water daily to maintain your energy and vitality. Aira Mini Mart offers this excellent water at competitive prices.")</f>
        <v>Drink Perrier Natural Sparkling Water 200ml,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excellent water at competitive prices.</v>
      </c>
      <c r="E91" s="56" t="str">
        <f>IF('AYIRA MINI MART FINAL MENU - Pr'!K91="", "", 'AYIRA MINI MART FINAL MENU - Pr'!K91)</f>
        <v/>
      </c>
      <c r="F91" s="56"/>
      <c r="G91" s="56"/>
      <c r="H91" s="56"/>
      <c r="I91" s="56"/>
      <c r="J91" s="56"/>
      <c r="L91" s="56" t="str">
        <f>IF('AYIRA MINI MART FINAL MENU - Pr'!L91="", "", 'AYIRA MINI MART FINAL MENU - Pr'!L91)</f>
        <v/>
      </c>
      <c r="M91" s="56" t="str">
        <f>IF('AYIRA MINI MART FINAL MENU - Pr'!M91="", "", 'AYIRA MINI MART FINAL MENU - Pr'!M91)</f>
        <v/>
      </c>
      <c r="N91" s="56" t="str">
        <f>IF('AYIRA MINI MART FINAL MENU - Pr'!N91="", "", 'AYIRA MINI MART FINAL MENU - Pr'!N91)</f>
        <v/>
      </c>
      <c r="O91" s="57"/>
      <c r="P91" s="57"/>
      <c r="Q91" s="57"/>
      <c r="R91" s="57"/>
      <c r="S91" s="57"/>
      <c r="T91" s="57"/>
      <c r="U91" s="57"/>
      <c r="V91" s="57"/>
      <c r="W91" s="57"/>
      <c r="X91" s="57"/>
      <c r="Y91" s="57"/>
      <c r="Z91" s="57"/>
    </row>
    <row r="92">
      <c r="A92" s="56" t="str">
        <f>IFERROR(__xludf.DUMMYFUNCTION("IF('AYIRA MINI MART FINAL MENU - Pr'!A92="""", """", IF(LEN(IFERROR(TRIM(REGEXREPLACE(TRIM(REGEXEXTRACT('AYIRA MINI MART FINAL MENU - Pr'!A92, ""^[^\x{0600}-\x{06FF}]+"")), ""[-–]+$"", """")), """"))&gt;0, IFERROR(TRIM(REGEXREPLACE(TRIM(REGEXEXTRACT('AYIRA M"&amp;"INI MART FINAL MENU - Pr'!A92, ""^[^\x{0600}-\x{06FF}]+"")), ""[-–]+$"", """")), """"), GOOGLETRANSLATE('AYIRA MINI MART FINAL MENU - Pr'!A92, ""ar"", ""en"")))"),"Barbican Strawberry Flavour 250ml – Barbican")</f>
        <v>Barbican Strawberry Flavour 250ml – Barbican</v>
      </c>
      <c r="B92" s="56" t="str">
        <f>IFERROR(__xludf.DUMMYFUNCTION("IF('AYIRA MINI MART FINAL MENU - Pr'!B92="""", """", IF(LEN(IFERROR(TRIM(REGEXREPLACE(TRIM(REGEXEXTRACT('AYIRA MINI MART FINAL MENU - Pr'!B92, ""^[^\x{0600}-\x{06FF}]+"")), ""[-–]+$"", """")), """"))&gt;0, IFERROR(TRIM(REGEXREPLACE(TRIM(REGEXEXTRACT('AYIRA M"&amp;"INI MART FINAL MENU - Pr'!B92, ""^[^\x{0600}-\x{06FF}]+"")), ""[-–]+$"", """")), """"), GOOGLETRANSLATE('AYIRA MINI MART FINAL MENU - Pr'!B92, ""ar"", ""en"")))"),"Carbonated Soft Drinks")</f>
        <v>Carbonated Soft Drinks</v>
      </c>
      <c r="C92" s="58">
        <f>IF('AYIRA MINI MART FINAL MENU - Pr'!C92="", "", 'AYIRA MINI MART FINAL MENU - Pr'!C92)</f>
        <v>3</v>
      </c>
      <c r="D92" s="56" t="str">
        <f>IFERROR(__xludf.DUMMYFUNCTION("IF('AYIRA MINI MART FINAL MENU - Pr'!D92="""", """", GOOGLETRANSLATE('AYIRA MINI MART FINAL MENU - Pr'!D92, ""ar"", ""en""))"),"Discover Barbican Strawberry Flavor 250ml, a premium product that combines high quality with great value. Made to the highest standards of quality and safety to ensure your complete satisfaction every time. Its excellent features make it the perfect choic"&amp;"e for you and your family. Whether for everyday use or special occasions, it meets and exceeds your expectations. Get it now from Aira Mini Mart and enjoy a pleasant and reliable shopping experience.")</f>
        <v>Discover Barbican Strawberry Flavor 250ml,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2" s="56" t="str">
        <f>IF('AYIRA MINI MART FINAL MENU - Pr'!K92="", "", 'AYIRA MINI MART FINAL MENU - Pr'!K92)</f>
        <v/>
      </c>
      <c r="F92" s="56"/>
      <c r="G92" s="56"/>
      <c r="H92" s="56"/>
      <c r="I92" s="56"/>
      <c r="J92" s="56"/>
      <c r="L92" s="56" t="str">
        <f>IF('AYIRA MINI MART FINAL MENU - Pr'!L92="", "", 'AYIRA MINI MART FINAL MENU - Pr'!L92)</f>
        <v/>
      </c>
      <c r="M92" s="56" t="str">
        <f>IF('AYIRA MINI MART FINAL MENU - Pr'!M92="", "", 'AYIRA MINI MART FINAL MENU - Pr'!M92)</f>
        <v/>
      </c>
      <c r="N92" s="56" t="str">
        <f>IF('AYIRA MINI MART FINAL MENU - Pr'!N92="", "", 'AYIRA MINI MART FINAL MENU - Pr'!N92)</f>
        <v/>
      </c>
      <c r="O92" s="57"/>
      <c r="P92" s="57"/>
      <c r="Q92" s="57"/>
      <c r="R92" s="57"/>
      <c r="S92" s="57"/>
      <c r="T92" s="57"/>
      <c r="U92" s="57"/>
      <c r="V92" s="57"/>
      <c r="W92" s="57"/>
      <c r="X92" s="57"/>
      <c r="Y92" s="57"/>
      <c r="Z92" s="57"/>
    </row>
    <row r="93">
      <c r="A93" s="56" t="str">
        <f>IFERROR(__xludf.DUMMYFUNCTION("IF('AYIRA MINI MART FINAL MENU - Pr'!A93="""", """", IF(LEN(IFERROR(TRIM(REGEXREPLACE(TRIM(REGEXEXTRACT('AYIRA MINI MART FINAL MENU - Pr'!A93, ""^[^\x{0600}-\x{06FF}]+"")), ""[-–]+$"", """")), """"))&gt;0, IFERROR(TRIM(REGEXREPLACE(TRIM(REGEXEXTRACT('AYIRA M"&amp;"INI MART FINAL MENU - Pr'!A93, ""^[^\x{0600}-\x{06FF}]+"")), ""[-–]+$"", """")), """"), GOOGLETRANSLATE('AYIRA MINI MART FINAL MENU - Pr'!A93, ""ar"", ""en"")))"),"Barbican Pomegranate Flavour 250ml – Barbican Pomegranate Flavour 250")</f>
        <v>Barbican Pomegranate Flavour 250ml – Barbican Pomegranate Flavour 250</v>
      </c>
      <c r="B93" s="56" t="str">
        <f>IFERROR(__xludf.DUMMYFUNCTION("IF('AYIRA MINI MART FINAL MENU - Pr'!B93="""", """", IF(LEN(IFERROR(TRIM(REGEXREPLACE(TRIM(REGEXEXTRACT('AYIRA MINI MART FINAL MENU - Pr'!B93, ""^[^\x{0600}-\x{06FF}]+"")), ""[-–]+$"", """")), """"))&gt;0, IFERROR(TRIM(REGEXREPLACE(TRIM(REGEXEXTRACT('AYIRA M"&amp;"INI MART FINAL MENU - Pr'!B93, ""^[^\x{0600}-\x{06FF}]+"")), ""[-–]+$"", """")), """"), GOOGLETRANSLATE('AYIRA MINI MART FINAL MENU - Pr'!B93, ""ar"", ""en"")))"),"Carbonated Soft Drinks")</f>
        <v>Carbonated Soft Drinks</v>
      </c>
      <c r="C93" s="58">
        <f>IF('AYIRA MINI MART FINAL MENU - Pr'!C93="", "", 'AYIRA MINI MART FINAL MENU - Pr'!C93)</f>
        <v>4.5</v>
      </c>
      <c r="D93" s="56" t="str">
        <f>IFERROR(__xludf.DUMMYFUNCTION("IF('AYIRA MINI MART FINAL MENU - Pr'!D93="""", """", GOOGLETRANSLATE('AYIRA MINI MART FINAL MENU - Pr'!D93, ""ar"", ""en""))"),"Discover Barbican Pomegranate Flavor 250ml, a premium product that combines high quality with great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Barbican Pomegranate Flavor 250ml,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3" s="56" t="str">
        <f>IF('AYIRA MINI MART FINAL MENU - Pr'!K93="", "", 'AYIRA MINI MART FINAL MENU - Pr'!K93)</f>
        <v/>
      </c>
      <c r="F93" s="56"/>
      <c r="G93" s="56"/>
      <c r="H93" s="56"/>
      <c r="I93" s="56"/>
      <c r="J93" s="56"/>
      <c r="L93" s="56" t="str">
        <f>IF('AYIRA MINI MART FINAL MENU - Pr'!L93="", "", 'AYIRA MINI MART FINAL MENU - Pr'!L93)</f>
        <v/>
      </c>
      <c r="M93" s="56" t="str">
        <f>IF('AYIRA MINI MART FINAL MENU - Pr'!M93="", "", 'AYIRA MINI MART FINAL MENU - Pr'!M93)</f>
        <v/>
      </c>
      <c r="N93" s="56" t="str">
        <f>IF('AYIRA MINI MART FINAL MENU - Pr'!N93="", "", 'AYIRA MINI MART FINAL MENU - Pr'!N93)</f>
        <v/>
      </c>
      <c r="O93" s="57"/>
      <c r="P93" s="57"/>
      <c r="Q93" s="57"/>
      <c r="R93" s="57"/>
      <c r="S93" s="57"/>
      <c r="T93" s="57"/>
      <c r="U93" s="57"/>
      <c r="V93" s="57"/>
      <c r="W93" s="57"/>
      <c r="X93" s="57"/>
      <c r="Y93" s="57"/>
      <c r="Z93" s="57"/>
    </row>
    <row r="94">
      <c r="A94" s="56" t="str">
        <f>IFERROR(__xludf.DUMMYFUNCTION("IF('AYIRA MINI MART FINAL MENU - Pr'!A94="""", """", IF(LEN(IFERROR(TRIM(REGEXREPLACE(TRIM(REGEXEXTRACT('AYIRA MINI MART FINAL MENU - Pr'!A94, ""^[^\x{0600}-\x{06FF}]+"")), ""[-–]+$"", """")), """"))&gt;0, IFERROR(TRIM(REGEXREPLACE(TRIM(REGEXEXTRACT('AYIRA M"&amp;"INI MART FINAL MENU - Pr'!A94, ""^[^\x{0600}-\x{06FF}]+"")), ""[-–]+$"", """")), """"), GOOGLETRANSLATE('AYIRA MINI MART FINAL MENU - Pr'!A94, ""ar"", ""en"")))"),"Barbican Apple Flavour 250ml – Barbican")</f>
        <v>Barbican Apple Flavour 250ml – Barbican</v>
      </c>
      <c r="B94" s="56" t="str">
        <f>IFERROR(__xludf.DUMMYFUNCTION("IF('AYIRA MINI MART FINAL MENU - Pr'!B94="""", """", IF(LEN(IFERROR(TRIM(REGEXREPLACE(TRIM(REGEXEXTRACT('AYIRA MINI MART FINAL MENU - Pr'!B94, ""^[^\x{0600}-\x{06FF}]+"")), ""[-–]+$"", """")), """"))&gt;0, IFERROR(TRIM(REGEXREPLACE(TRIM(REGEXEXTRACT('AYIRA M"&amp;"INI MART FINAL MENU - Pr'!B94, ""^[^\x{0600}-\x{06FF}]+"")), ""[-–]+$"", """")), """"), GOOGLETRANSLATE('AYIRA MINI MART FINAL MENU - Pr'!B94, ""ar"", ""en"")))"),"Carbonated Soft Drinks")</f>
        <v>Carbonated Soft Drinks</v>
      </c>
      <c r="C94" s="58">
        <f>IF('AYIRA MINI MART FINAL MENU - Pr'!C94="", "", 'AYIRA MINI MART FINAL MENU - Pr'!C94)</f>
        <v>3</v>
      </c>
      <c r="D94" s="56" t="str">
        <f>IFERROR(__xludf.DUMMYFUNCTION("IF('AYIRA MINI MART FINAL MENU - Pr'!D94="""", """", GOOGLETRANSLATE('AYIRA MINI MART FINAL MENU - Pr'!D94, ""ar"", ""en""))"),"Discover Barbican Apple Flavor 250ml, a premium product that combines high quality with exceptional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Barbican Apple Flavor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4" s="56" t="str">
        <f>IF('AYIRA MINI MART FINAL MENU - Pr'!K94="", "", 'AYIRA MINI MART FINAL MENU - Pr'!K94)</f>
        <v/>
      </c>
      <c r="F94" s="56"/>
      <c r="G94" s="56"/>
      <c r="H94" s="56"/>
      <c r="I94" s="56"/>
      <c r="J94" s="56"/>
      <c r="L94" s="56" t="str">
        <f>IF('AYIRA MINI MART FINAL MENU - Pr'!L94="", "", 'AYIRA MINI MART FINAL MENU - Pr'!L94)</f>
        <v/>
      </c>
      <c r="M94" s="56" t="str">
        <f>IF('AYIRA MINI MART FINAL MENU - Pr'!M94="", "", 'AYIRA MINI MART FINAL MENU - Pr'!M94)</f>
        <v/>
      </c>
      <c r="N94" s="56" t="str">
        <f>IF('AYIRA MINI MART FINAL MENU - Pr'!N94="", "", 'AYIRA MINI MART FINAL MENU - Pr'!N94)</f>
        <v/>
      </c>
      <c r="O94" s="57"/>
      <c r="P94" s="57"/>
      <c r="Q94" s="57"/>
      <c r="R94" s="57"/>
      <c r="S94" s="57"/>
      <c r="T94" s="57"/>
      <c r="U94" s="57"/>
      <c r="V94" s="57"/>
      <c r="W94" s="57"/>
      <c r="X94" s="57"/>
      <c r="Y94" s="57"/>
      <c r="Z94" s="57"/>
    </row>
    <row r="95">
      <c r="A95" s="56" t="str">
        <f>IFERROR(__xludf.DUMMYFUNCTION("IF('AYIRA MINI MART FINAL MENU - Pr'!A95="""", """", IF(LEN(IFERROR(TRIM(REGEXREPLACE(TRIM(REGEXEXTRACT('AYIRA MINI MART FINAL MENU - Pr'!A95, ""^[^\x{0600}-\x{06FF}]+"")), ""[-–]+$"", """")), """"))&gt;0, IFERROR(TRIM(REGEXREPLACE(TRIM(REGEXEXTRACT('AYIRA M"&amp;"INI MART FINAL MENU - Pr'!A95, ""^[^\x{0600}-\x{06FF}]+"")), ""[-–]+$"", """")), """"), GOOGLETRANSLATE('AYIRA MINI MART FINAL MENU - Pr'!A95, ""ar"", ""en"")))"),"Barbican Classic Malt 250ml – Barbican")</f>
        <v>Barbican Classic Malt 250ml – Barbican</v>
      </c>
      <c r="B95" s="56" t="str">
        <f>IFERROR(__xludf.DUMMYFUNCTION("IF('AYIRA MINI MART FINAL MENU - Pr'!B95="""", """", IF(LEN(IFERROR(TRIM(REGEXREPLACE(TRIM(REGEXEXTRACT('AYIRA MINI MART FINAL MENU - Pr'!B95, ""^[^\x{0600}-\x{06FF}]+"")), ""[-–]+$"", """")), """"))&gt;0, IFERROR(TRIM(REGEXREPLACE(TRIM(REGEXEXTRACT('AYIRA M"&amp;"INI MART FINAL MENU - Pr'!B95, ""^[^\x{0600}-\x{06FF}]+"")), ""[-–]+$"", """")), """"), GOOGLETRANSLATE('AYIRA MINI MART FINAL MENU - Pr'!B95, ""ar"", ""en"")))"),"Carbonated Soft Drinks")</f>
        <v>Carbonated Soft Drinks</v>
      </c>
      <c r="C95" s="58">
        <f>IF('AYIRA MINI MART FINAL MENU - Pr'!C95="", "", 'AYIRA MINI MART FINAL MENU - Pr'!C95)</f>
        <v>3</v>
      </c>
      <c r="D95" s="56" t="str">
        <f>IFERROR(__xludf.DUMMYFUNCTION("IF('AYIRA MINI MART FINAL MENU - Pr'!D95="""", """", GOOGLETRANSLATE('AYIRA MINI MART FINAL MENU - Pr'!D95, ""ar"", ""en""))"),"Discover Barbican Classic Malt 250ml, a premium product that combines high quality with exceptional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Barbican Classic Malt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5" s="56" t="str">
        <f>IF('AYIRA MINI MART FINAL MENU - Pr'!K95="", "", 'AYIRA MINI MART FINAL MENU - Pr'!K95)</f>
        <v/>
      </c>
      <c r="F95" s="56"/>
      <c r="G95" s="56"/>
      <c r="H95" s="56"/>
      <c r="I95" s="56"/>
      <c r="J95" s="56"/>
      <c r="L95" s="56" t="str">
        <f>IF('AYIRA MINI MART FINAL MENU - Pr'!L95="", "", 'AYIRA MINI MART FINAL MENU - Pr'!L95)</f>
        <v/>
      </c>
      <c r="M95" s="56" t="str">
        <f>IF('AYIRA MINI MART FINAL MENU - Pr'!M95="", "", 'AYIRA MINI MART FINAL MENU - Pr'!M95)</f>
        <v/>
      </c>
      <c r="N95" s="56" t="str">
        <f>IF('AYIRA MINI MART FINAL MENU - Pr'!N95="", "", 'AYIRA MINI MART FINAL MENU - Pr'!N95)</f>
        <v/>
      </c>
      <c r="O95" s="57"/>
      <c r="P95" s="57"/>
      <c r="Q95" s="57"/>
      <c r="R95" s="57"/>
      <c r="S95" s="57"/>
      <c r="T95" s="57"/>
      <c r="U95" s="57"/>
      <c r="V95" s="57"/>
      <c r="W95" s="57"/>
      <c r="X95" s="57"/>
      <c r="Y95" s="57"/>
      <c r="Z95" s="57"/>
    </row>
    <row r="96">
      <c r="A96" s="56" t="str">
        <f>IFERROR(__xludf.DUMMYFUNCTION("IF('AYIRA MINI MART FINAL MENU - Pr'!A96="""", """", IF(LEN(IFERROR(TRIM(REGEXREPLACE(TRIM(REGEXEXTRACT('AYIRA MINI MART FINAL MENU - Pr'!A96, ""^[^\x{0600}-\x{06FF}]+"")), ""[-–]+$"", """")), """"))&gt;0, IFERROR(TRIM(REGEXREPLACE(TRIM(REGEXEXTRACT('AYIRA M"&amp;"INI MART FINAL MENU - Pr'!A96, ""^[^\x{0600}-\x{06FF}]+"")), ""[-–]+$"", """")), """"), GOOGLETRANSLATE('AYIRA MINI MART FINAL MENU - Pr'!A96, ""ar"", ""en"")))"),"Double Cola 250ml – Double Cola 250")</f>
        <v>Double Cola 250ml – Double Cola 250</v>
      </c>
      <c r="B96" s="56" t="str">
        <f>IFERROR(__xludf.DUMMYFUNCTION("IF('AYIRA MINI MART FINAL MENU - Pr'!B96="""", """", IF(LEN(IFERROR(TRIM(REGEXREPLACE(TRIM(REGEXEXTRACT('AYIRA MINI MART FINAL MENU - Pr'!B96, ""^[^\x{0600}-\x{06FF}]+"")), ""[-–]+$"", """")), """"))&gt;0, IFERROR(TRIM(REGEXREPLACE(TRIM(REGEXEXTRACT('AYIRA M"&amp;"INI MART FINAL MENU - Pr'!B96, ""^[^\x{0600}-\x{06FF}]+"")), ""[-–]+$"", """")), """"), GOOGLETRANSLATE('AYIRA MINI MART FINAL MENU - Pr'!B96, ""ar"", ""en"")))"),"Carbonated Soft Drinks")</f>
        <v>Carbonated Soft Drinks</v>
      </c>
      <c r="C96" s="58">
        <f>IF('AYIRA MINI MART FINAL MENU - Pr'!C96="", "", 'AYIRA MINI MART FINAL MENU - Pr'!C96)</f>
        <v>2.5</v>
      </c>
      <c r="D96" s="56" t="str">
        <f>IFERROR(__xludf.DUMMYFUNCTION("IF('AYIRA MINI MART FINAL MENU - Pr'!D96="""", """", GOOGLETRANSLATE('AYIRA MINI MART FINAL MENU - Pr'!D96, ""ar"", ""en""))"),"Enjoy Double Cola 250ml, the refreshing soft drink that gives you energy and vitality with every sip. Its delicious taste and unique composition make it the perfect choice to quench your thirst anytime. Ideal for parties, family gatherings, and various oc"&amp;"casions. It boasts distinctive flavors that make every sip an unforgettable experience. Get it now from Aira Mini Mart at the best prices and highest quality. Our premium drink provides instant refreshment and satisfies your discerning palate whenever you"&amp;" need hydration.")</f>
        <v>Enjoy Double Cola 250ml, the refreshing soft drink that gives you energy and vitality with every sip. Its delicious taste and unique composition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96" s="56" t="str">
        <f>IF('AYIRA MINI MART FINAL MENU - Pr'!K96="", "", 'AYIRA MINI MART FINAL MENU - Pr'!K96)</f>
        <v/>
      </c>
      <c r="F96" s="56"/>
      <c r="G96" s="56"/>
      <c r="H96" s="56"/>
      <c r="I96" s="56"/>
      <c r="J96" s="56"/>
      <c r="L96" s="56" t="str">
        <f>IF('AYIRA MINI MART FINAL MENU - Pr'!L96="", "", 'AYIRA MINI MART FINAL MENU - Pr'!L96)</f>
        <v/>
      </c>
      <c r="M96" s="56" t="str">
        <f>IF('AYIRA MINI MART FINAL MENU - Pr'!M96="", "", 'AYIRA MINI MART FINAL MENU - Pr'!M96)</f>
        <v/>
      </c>
      <c r="N96" s="56" t="str">
        <f>IF('AYIRA MINI MART FINAL MENU - Pr'!N96="", "", 'AYIRA MINI MART FINAL MENU - Pr'!N96)</f>
        <v/>
      </c>
      <c r="O96" s="57"/>
      <c r="P96" s="57"/>
      <c r="Q96" s="57"/>
      <c r="R96" s="57"/>
      <c r="S96" s="57"/>
      <c r="T96" s="57"/>
      <c r="U96" s="57"/>
      <c r="V96" s="57"/>
      <c r="W96" s="57"/>
      <c r="X96" s="57"/>
      <c r="Y96" s="57"/>
      <c r="Z96" s="57"/>
    </row>
    <row r="97">
      <c r="A97" s="56" t="str">
        <f>IFERROR(__xludf.DUMMYFUNCTION("IF('AYIRA MINI MART FINAL MENU - Pr'!A97="""", """", IF(LEN(IFERROR(TRIM(REGEXREPLACE(TRIM(REGEXEXTRACT('AYIRA MINI MART FINAL MENU - Pr'!A97, ""^[^\x{0600}-\x{06FF}]+"")), ""[-–]+$"", """")), """"))&gt;0, IFERROR(TRIM(REGEXREPLACE(TRIM(REGEXEXTRACT('AYIRA M"&amp;"INI MART FINAL MENU - Pr'!A97, ""^[^\x{0600}-\x{06FF}]+"")), ""[-–]+$"", """")), """"), GOOGLETRANSLATE('AYIRA MINI MART FINAL MENU - Pr'!A97, ""ar"", ""en"")))"),"Flash Carbonated Soft Drink 250ml – Flash Carbonated Soft")</f>
        <v>Flash Carbonated Soft Drink 250ml – Flash Carbonated Soft</v>
      </c>
      <c r="B97" s="56" t="str">
        <f>IFERROR(__xludf.DUMMYFUNCTION("IF('AYIRA MINI MART FINAL MENU - Pr'!B97="""", """", IF(LEN(IFERROR(TRIM(REGEXREPLACE(TRIM(REGEXEXTRACT('AYIRA MINI MART FINAL MENU - Pr'!B97, ""^[^\x{0600}-\x{06FF}]+"")), ""[-–]+$"", """")), """"))&gt;0, IFERROR(TRIM(REGEXREPLACE(TRIM(REGEXEXTRACT('AYIRA M"&amp;"INI MART FINAL MENU - Pr'!B97, ""^[^\x{0600}-\x{06FF}]+"")), ""[-–]+$"", """")), """"), GOOGLETRANSLATE('AYIRA MINI MART FINAL MENU - Pr'!B97, ""ar"", ""en"")))"),"Carbonated Soft Drinks")</f>
        <v>Carbonated Soft Drinks</v>
      </c>
      <c r="C97" s="58">
        <f>IF('AYIRA MINI MART FINAL MENU - Pr'!C97="", "", 'AYIRA MINI MART FINAL MENU - Pr'!C97)</f>
        <v>5</v>
      </c>
      <c r="D97" s="56" t="str">
        <f>IFERROR(__xludf.DUMMYFUNCTION("IF('AYIRA MINI MART FINAL MENU - Pr'!D97="""", """", GOOGLETRANSLATE('AYIRA MINI MART FINAL MENU - Pr'!D97, ""ar"", ""en""))"),"Enjoy Flash Carbonated Soft Drink 250ml, the refreshing fizzy drink that gives you energy and vitality with every drop. Its delicious taste and unique formula make it the perfect choice to quench your thirst anytime. Ideal for parties, family gatherings, "&amp;"and various occasions. It contains distinctive flavors that make every sip an unforgettable experience. Get it now from Aira Mini Mart at the best prices and highest quality. Our special drink provides instant refreshment and satisfies your discerning pal"&amp;"ate whenever you need hydration.")</f>
        <v>Enjoy Flash Carbonated Soft Drink 250ml, the refreshing fizzy drink that gives you energy and vitality with every drop. Its delicious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special drink provides instant refreshment and satisfies your discerning palate whenever you need hydration.</v>
      </c>
      <c r="E97" s="56" t="str">
        <f>IF('AYIRA MINI MART FINAL MENU - Pr'!K97="", "", 'AYIRA MINI MART FINAL MENU - Pr'!K97)</f>
        <v/>
      </c>
      <c r="F97" s="56"/>
      <c r="G97" s="56"/>
      <c r="H97" s="56"/>
      <c r="I97" s="56"/>
      <c r="J97" s="56"/>
      <c r="L97" s="56" t="str">
        <f>IF('AYIRA MINI MART FINAL MENU - Pr'!L97="", "", 'AYIRA MINI MART FINAL MENU - Pr'!L97)</f>
        <v/>
      </c>
      <c r="M97" s="56" t="str">
        <f>IF('AYIRA MINI MART FINAL MENU - Pr'!M97="", "", 'AYIRA MINI MART FINAL MENU - Pr'!M97)</f>
        <v/>
      </c>
      <c r="N97" s="56" t="str">
        <f>IF('AYIRA MINI MART FINAL MENU - Pr'!N97="", "", 'AYIRA MINI MART FINAL MENU - Pr'!N97)</f>
        <v/>
      </c>
      <c r="O97" s="57"/>
      <c r="P97" s="57"/>
      <c r="Q97" s="57"/>
      <c r="R97" s="57"/>
      <c r="S97" s="57"/>
      <c r="T97" s="57"/>
      <c r="U97" s="57"/>
      <c r="V97" s="57"/>
      <c r="W97" s="57"/>
      <c r="X97" s="57"/>
      <c r="Y97" s="57"/>
      <c r="Z97" s="57"/>
    </row>
    <row r="98">
      <c r="A98" s="56" t="str">
        <f>IFERROR(__xludf.DUMMYFUNCTION("IF('AYIRA MINI MART FINAL MENU - Pr'!A98="""", """", IF(LEN(IFERROR(TRIM(REGEXREPLACE(TRIM(REGEXEXTRACT('AYIRA MINI MART FINAL MENU - Pr'!A98, ""^[^\x{0600}-\x{06FF}]+"")), ""[-–]+$"", """")), """"))&gt;0, IFERROR(TRIM(REGEXREPLACE(TRIM(REGEXEXTRACT('AYIRA M"&amp;"INI MART FINAL MENU - Pr'!A98, ""^[^\x{0600}-\x{06FF}]+"")), ""[-–]+$"", """")), """"), GOOGLETRANSLATE('AYIRA MINI MART FINAL MENU - Pr'!A98, ""ar"", ""en"")))"),"Freez Mix Blue Hawaii Tropical Fruit Carbonated Drink 275ml – Freez Mix Blue Hawaii")</f>
        <v>Freez Mix Blue Hawaii Tropical Fruit Carbonated Drink 275ml – Freez Mix Blue Hawaii</v>
      </c>
      <c r="B98" s="56" t="str">
        <f>IFERROR(__xludf.DUMMYFUNCTION("IF('AYIRA MINI MART FINAL MENU - Pr'!B98="""", """", IF(LEN(IFERROR(TRIM(REGEXREPLACE(TRIM(REGEXEXTRACT('AYIRA MINI MART FINAL MENU - Pr'!B98, ""^[^\x{0600}-\x{06FF}]+"")), ""[-–]+$"", """")), """"))&gt;0, IFERROR(TRIM(REGEXREPLACE(TRIM(REGEXEXTRACT('AYIRA M"&amp;"INI MART FINAL MENU - Pr'!B98, ""^[^\x{0600}-\x{06FF}]+"")), ""[-–]+$"", """")), """"), GOOGLETRANSLATE('AYIRA MINI MART FINAL MENU - Pr'!B98, ""ar"", ""en"")))"),"Carbonated Soft Drinks")</f>
        <v>Carbonated Soft Drinks</v>
      </c>
      <c r="C98" s="58">
        <f>IF('AYIRA MINI MART FINAL MENU - Pr'!C98="", "", 'AYIRA MINI MART FINAL MENU - Pr'!C98)</f>
        <v>5</v>
      </c>
      <c r="D98" s="56" t="str">
        <f>IFERROR(__xludf.DUMMYFUNCTION("IF('AYIRA MINI MART FINAL MENU - Pr'!D98="""", """", GOOGLETRANSLATE('AYIRA MINI MART FINAL MENU - Pr'!D98, ""ar"", ""en""))"),"Enjoy Freez Mix Blue Hawaii Tropical Fruit Carbonated Drink 275ml, the refreshing sparkling beverage that gives you energy and vitality with every drop. Its delicious taste and unique formula make it the perfect choice to quench your thirst anytime. Ideal"&amp;" for parties, family gatherings, and various occasions. It boasts distinctive flavors that make every sip an unforgettable experience. Get it now from Aira Mini Mart at the best prices and highest quality. Our premium drink provides instant refreshment an"&amp;"d satisfies your discerning palate whenever you need hydration.")</f>
        <v>Enjoy Freez Mix Blue Hawaii Tropical Fruit Carbonated Drink 275ml, the refreshing sparkling beverage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98" s="56" t="str">
        <f>IF('AYIRA MINI MART FINAL MENU - Pr'!K98="", "", 'AYIRA MINI MART FINAL MENU - Pr'!K98)</f>
        <v/>
      </c>
      <c r="F98" s="56"/>
      <c r="G98" s="56"/>
      <c r="H98" s="56"/>
      <c r="I98" s="56"/>
      <c r="J98" s="56"/>
      <c r="L98" s="56" t="str">
        <f>IF('AYIRA MINI MART FINAL MENU - Pr'!L98="", "", 'AYIRA MINI MART FINAL MENU - Pr'!L98)</f>
        <v/>
      </c>
      <c r="M98" s="56" t="str">
        <f>IF('AYIRA MINI MART FINAL MENU - Pr'!M98="", "", 'AYIRA MINI MART FINAL MENU - Pr'!M98)</f>
        <v/>
      </c>
      <c r="N98" s="56" t="str">
        <f>IF('AYIRA MINI MART FINAL MENU - Pr'!N98="", "", 'AYIRA MINI MART FINAL MENU - Pr'!N98)</f>
        <v/>
      </c>
      <c r="O98" s="57"/>
      <c r="P98" s="57"/>
      <c r="Q98" s="57"/>
      <c r="R98" s="57"/>
      <c r="S98" s="57"/>
      <c r="T98" s="57"/>
      <c r="U98" s="57"/>
      <c r="V98" s="57"/>
      <c r="W98" s="57"/>
      <c r="X98" s="57"/>
      <c r="Y98" s="57"/>
      <c r="Z98" s="57"/>
    </row>
    <row r="99">
      <c r="A99" s="56" t="str">
        <f>IFERROR(__xludf.DUMMYFUNCTION("IF('AYIRA MINI MART FINAL MENU - Pr'!A99="""", """", IF(LEN(IFERROR(TRIM(REGEXREPLACE(TRIM(REGEXEXTRACT('AYIRA MINI MART FINAL MENU - Pr'!A99, ""^[^\x{0600}-\x{06FF}]+"")), ""[-–]+$"", """")), """"))&gt;0, IFERROR(TRIM(REGEXREPLACE(TRIM(REGEXEXTRACT('AYIRA M"&amp;"INI MART FINAL MENU - Pr'!A99, ""^[^\x{0600}-\x{06FF}]+"")), ""[-–]+$"", """")), """"), GOOGLETRANSLATE('AYIRA MINI MART FINAL MENU - Pr'!A99, ""ar"", ""en"")))"),"Freez Mix Strawberry Carbonated Drink 275ml – Freez Mix")</f>
        <v>Freez Mix Strawberry Carbonated Drink 275ml – Freez Mix</v>
      </c>
      <c r="B99" s="56" t="str">
        <f>IFERROR(__xludf.DUMMYFUNCTION("IF('AYIRA MINI MART FINAL MENU - Pr'!B99="""", """", IF(LEN(IFERROR(TRIM(REGEXREPLACE(TRIM(REGEXEXTRACT('AYIRA MINI MART FINAL MENU - Pr'!B99, ""^[^\x{0600}-\x{06FF}]+"")), ""[-–]+$"", """")), """"))&gt;0, IFERROR(TRIM(REGEXREPLACE(TRIM(REGEXEXTRACT('AYIRA M"&amp;"INI MART FINAL MENU - Pr'!B99, ""^[^\x{0600}-\x{06FF}]+"")), ""[-–]+$"", """")), """"), GOOGLETRANSLATE('AYIRA MINI MART FINAL MENU - Pr'!B99, ""ar"", ""en"")))"),"Carbonated Soft Drinks")</f>
        <v>Carbonated Soft Drinks</v>
      </c>
      <c r="C99" s="58">
        <f>IF('AYIRA MINI MART FINAL MENU - Pr'!C99="", "", 'AYIRA MINI MART FINAL MENU - Pr'!C99)</f>
        <v>5</v>
      </c>
      <c r="D99" s="56" t="str">
        <f>IFERROR(__xludf.DUMMYFUNCTION("IF('AYIRA MINI MART FINAL MENU - Pr'!D99="""", """", GOOGLETRANSLATE('AYIRA MINI MART FINAL MENU - Pr'!D99, ""ar"", ""en""))"),"Enjoy Freez Mix Strawberry Carbonated Drink 275ml, the refreshing fizzy drink that gives you energy and vitality with every drop. Its delicious taste and unique formula make it the perfect choice to quench your thirst anytime. Ideal for parties, family ga"&amp;"therings, and various occasions. It boasts distinctive flavors that make every sip an unforgettable experience. Get it now from Aira Mini Mart at the best prices and highest quality. Our special drink provides instant refreshment and satisfies your discer"&amp;"ning palate whenever you need hydration.")</f>
        <v>Enjoy Freez Mix Strawberry Carbonated Drink 275ml, the refreshing fizzy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special drink provides instant refreshment and satisfies your discerning palate whenever you need hydration.</v>
      </c>
      <c r="E99" s="56" t="str">
        <f>IF('AYIRA MINI MART FINAL MENU - Pr'!K99="", "", 'AYIRA MINI MART FINAL MENU - Pr'!K99)</f>
        <v/>
      </c>
      <c r="F99" s="56"/>
      <c r="G99" s="56"/>
      <c r="H99" s="56"/>
      <c r="I99" s="56"/>
      <c r="J99" s="56"/>
      <c r="L99" s="56" t="str">
        <f>IF('AYIRA MINI MART FINAL MENU - Pr'!L99="", "", 'AYIRA MINI MART FINAL MENU - Pr'!L99)</f>
        <v/>
      </c>
      <c r="M99" s="56" t="str">
        <f>IF('AYIRA MINI MART FINAL MENU - Pr'!M99="", "", 'AYIRA MINI MART FINAL MENU - Pr'!M99)</f>
        <v/>
      </c>
      <c r="N99" s="56" t="str">
        <f>IF('AYIRA MINI MART FINAL MENU - Pr'!N99="", "", 'AYIRA MINI MART FINAL MENU - Pr'!N99)</f>
        <v/>
      </c>
      <c r="O99" s="57"/>
      <c r="P99" s="57"/>
      <c r="Q99" s="57"/>
      <c r="R99" s="57"/>
      <c r="S99" s="57"/>
      <c r="T99" s="57"/>
      <c r="U99" s="57"/>
      <c r="V99" s="57"/>
      <c r="W99" s="57"/>
      <c r="X99" s="57"/>
      <c r="Y99" s="57"/>
      <c r="Z99" s="57"/>
    </row>
    <row r="100">
      <c r="A100" s="56" t="str">
        <f>IFERROR(__xludf.DUMMYFUNCTION("IF('AYIRA MINI MART FINAL MENU - Pr'!A100="""", """", IF(LEN(IFERROR(TRIM(REGEXREPLACE(TRIM(REGEXEXTRACT('AYIRA MINI MART FINAL MENU - Pr'!A100, ""^[^\x{0600}-\x{06FF}]+"")), ""[-–]+$"", """")), """"))&gt;0, IFERROR(TRIM(REGEXREPLACE(TRIM(REGEXEXTRACT('AYIRA"&amp;" MINI MART FINAL MENU - Pr'!A100, ""^[^\x{0600}-\x{06FF}]+"")), ""[-–]+$"", """")), """"), GOOGLETRANSLATE('AYIRA MINI MART FINAL MENU - Pr'!A100, ""ar"", ""en"")))"),"Freez Mix Lemon &amp; Mint Carbonated Drink 275ml – Freez Mix")</f>
        <v>Freez Mix Lemon &amp; Mint Carbonated Drink 275ml – Freez Mix</v>
      </c>
      <c r="B100" s="56" t="str">
        <f>IFERROR(__xludf.DUMMYFUNCTION("IF('AYIRA MINI MART FINAL MENU - Pr'!B100="""", """", IF(LEN(IFERROR(TRIM(REGEXREPLACE(TRIM(REGEXEXTRACT('AYIRA MINI MART FINAL MENU - Pr'!B100, ""^[^\x{0600}-\x{06FF}]+"")), ""[-–]+$"", """")), """"))&gt;0, IFERROR(TRIM(REGEXREPLACE(TRIM(REGEXEXTRACT('AYIRA"&amp;" MINI MART FINAL MENU - Pr'!B100, ""^[^\x{0600}-\x{06FF}]+"")), ""[-–]+$"", """")), """"), GOOGLETRANSLATE('AYIRA MINI MART FINAL MENU - Pr'!B100, ""ar"", ""en"")))"),"Carbonated Soft Drinks")</f>
        <v>Carbonated Soft Drinks</v>
      </c>
      <c r="C100" s="58">
        <f>IF('AYIRA MINI MART FINAL MENU - Pr'!C100="", "", 'AYIRA MINI MART FINAL MENU - Pr'!C100)</f>
        <v>5</v>
      </c>
      <c r="D100" s="56" t="str">
        <f>IFERROR(__xludf.DUMMYFUNCTION("IF('AYIRA MINI MART FINAL MENU - Pr'!D100="""", """", GOOGLETRANSLATE('AYIRA MINI MART FINAL MENU - Pr'!D100, ""ar"", ""en""))"),"Add a sweet treat to your day with Freez Mix Lemon &amp; Mint Carbonated Drink 275ml, a delicious treat loved by everyone. Its varied flavors and attractive colors make it suitable for all ages. Perfect as a small reward or a light gift for friends and family"&amp;". Made with high quality ingredients to ensure great taste in every single serving. Get yours from Aira Mini Mart and spread the joy to your loved ones.")</f>
        <v>Add a sweet treat to your day with Freez Mix Lemon &amp; Mint Carbonated Drink 275ml, a delicious treat loved by everyone. Its varied flavors and attractive colors make it suitable for all ages. Perfect as a small reward or a light gift for friends and family. Made with high quality ingredients to ensure great taste in every single serving. Get yours from Aira Mini Mart and spread the joy to your loved ones.</v>
      </c>
      <c r="E100" s="56" t="str">
        <f>IF('AYIRA MINI MART FINAL MENU - Pr'!K100="", "", 'AYIRA MINI MART FINAL MENU - Pr'!K100)</f>
        <v/>
      </c>
      <c r="F100" s="56"/>
      <c r="G100" s="56"/>
      <c r="H100" s="56"/>
      <c r="I100" s="56"/>
      <c r="J100" s="56"/>
      <c r="L100" s="56" t="str">
        <f>IF('AYIRA MINI MART FINAL MENU - Pr'!L100="", "", 'AYIRA MINI MART FINAL MENU - Pr'!L100)</f>
        <v/>
      </c>
      <c r="M100" s="56" t="str">
        <f>IF('AYIRA MINI MART FINAL MENU - Pr'!M100="", "", 'AYIRA MINI MART FINAL MENU - Pr'!M100)</f>
        <v/>
      </c>
      <c r="N100" s="56" t="str">
        <f>IF('AYIRA MINI MART FINAL MENU - Pr'!N100="", "", 'AYIRA MINI MART FINAL MENU - Pr'!N100)</f>
        <v/>
      </c>
      <c r="O100" s="57"/>
      <c r="P100" s="57"/>
      <c r="Q100" s="57"/>
      <c r="R100" s="57"/>
      <c r="S100" s="57"/>
      <c r="T100" s="57"/>
      <c r="U100" s="57"/>
      <c r="V100" s="57"/>
      <c r="W100" s="57"/>
      <c r="X100" s="57"/>
      <c r="Y100" s="57"/>
      <c r="Z100" s="57"/>
    </row>
    <row r="101">
      <c r="A101" s="56" t="str">
        <f>IFERROR(__xludf.DUMMYFUNCTION("IF('AYIRA MINI MART FINAL MENU - Pr'!A101="""", """", IF(LEN(IFERROR(TRIM(REGEXREPLACE(TRIM(REGEXEXTRACT('AYIRA MINI MART FINAL MENU - Pr'!A101, ""^[^\x{0600}-\x{06FF}]+"")), ""[-–]+$"", """")), """"))&gt;0, IFERROR(TRIM(REGEXREPLACE(TRIM(REGEXEXTRACT('AYIRA"&amp;" MINI MART FINAL MENU - Pr'!A101, ""^[^\x{0600}-\x{06FF}]+"")), ""[-–]+$"", """")), """"), GOOGLETRANSLATE('AYIRA MINI MART FINAL MENU - Pr'!A101, ""ar"", ""en"")))"),"Freez Mix Pineapple &amp; Coconut Carbonated Drink 275ml – Freez Mix")</f>
        <v>Freez Mix Pineapple &amp; Coconut Carbonated Drink 275ml – Freez Mix</v>
      </c>
      <c r="B101" s="56" t="str">
        <f>IFERROR(__xludf.DUMMYFUNCTION("IF('AYIRA MINI MART FINAL MENU - Pr'!B101="""", """", IF(LEN(IFERROR(TRIM(REGEXREPLACE(TRIM(REGEXEXTRACT('AYIRA MINI MART FINAL MENU - Pr'!B101, ""^[^\x{0600}-\x{06FF}]+"")), ""[-–]+$"", """")), """"))&gt;0, IFERROR(TRIM(REGEXREPLACE(TRIM(REGEXEXTRACT('AYIRA"&amp;" MINI MART FINAL MENU - Pr'!B101, ""^[^\x{0600}-\x{06FF}]+"")), ""[-–]+$"", """")), """"), GOOGLETRANSLATE('AYIRA MINI MART FINAL MENU - Pr'!B101, ""ar"", ""en"")))"),"Carbonated Soft Drinks")</f>
        <v>Carbonated Soft Drinks</v>
      </c>
      <c r="C101" s="58">
        <f>IF('AYIRA MINI MART FINAL MENU - Pr'!C101="", "", 'AYIRA MINI MART FINAL MENU - Pr'!C101)</f>
        <v>5</v>
      </c>
      <c r="D101" s="56" t="str">
        <f>IFERROR(__xludf.DUMMYFUNCTION("IF('AYIRA MINI MART FINAL MENU - Pr'!D101="""", """", GOOGLETRANSLATE('AYIRA MINI MART FINAL MENU - Pr'!D101, ""ar"", ""en""))"),"Choose Freez Mix Pineapple &amp; Coconut Carbonated Drink 275ml, a natural nut-based beverage rich in protein and healthy fats essential for your body. Made from the finest, carefully selected nuts to ensure the highest levels of purity and taste, it's the pe"&amp;"rfect healthy and nutritious snack between meals. It supports heart health and provides the energy you need. Aira Mini Mart offers it at the highest quality and best prices.")</f>
        <v>Choose Freez Mix Pineapple &amp; Coconut Carbonated Drink 275ml, a natural nut-based beverage rich in protein and healthy fats essential for your body. Made from the finest, carefully selected nuts to ensure the highest levels of purity and taste, it's the perfect healthy and nutritious snack between meals. It supports heart health and provides the energy you need. Aira Mini Mart offers it at the highest quality and best prices.</v>
      </c>
      <c r="E101" s="56" t="str">
        <f>IF('AYIRA MINI MART FINAL MENU - Pr'!K101="", "", 'AYIRA MINI MART FINAL MENU - Pr'!K101)</f>
        <v/>
      </c>
      <c r="F101" s="56"/>
      <c r="G101" s="56"/>
      <c r="H101" s="56"/>
      <c r="I101" s="56"/>
      <c r="J101" s="56"/>
      <c r="L101" s="56" t="str">
        <f>IF('AYIRA MINI MART FINAL MENU - Pr'!L101="", "", 'AYIRA MINI MART FINAL MENU - Pr'!L101)</f>
        <v/>
      </c>
      <c r="M101" s="56" t="str">
        <f>IF('AYIRA MINI MART FINAL MENU - Pr'!M101="", "", 'AYIRA MINI MART FINAL MENU - Pr'!M101)</f>
        <v/>
      </c>
      <c r="N101" s="56" t="str">
        <f>IF('AYIRA MINI MART FINAL MENU - Pr'!N101="", "", 'AYIRA MINI MART FINAL MENU - Pr'!N101)</f>
        <v/>
      </c>
      <c r="O101" s="57"/>
      <c r="P101" s="57"/>
      <c r="Q101" s="57"/>
      <c r="R101" s="57"/>
      <c r="S101" s="57"/>
      <c r="T101" s="57"/>
      <c r="U101" s="57"/>
      <c r="V101" s="57"/>
      <c r="W101" s="57"/>
      <c r="X101" s="57"/>
      <c r="Y101" s="57"/>
      <c r="Z101" s="57"/>
    </row>
    <row r="102">
      <c r="A102" s="56" t="str">
        <f>IFERROR(__xludf.DUMMYFUNCTION("IF('AYIRA MINI MART FINAL MENU - Pr'!A102="""", """", IF(LEN(IFERROR(TRIM(REGEXREPLACE(TRIM(REGEXEXTRACT('AYIRA MINI MART FINAL MENU - Pr'!A102, ""^[^\x{0600}-\x{06FF}]+"")), ""[-–]+$"", """")), """"))&gt;0, IFERROR(TRIM(REGEXREPLACE(TRIM(REGEXEXTRACT('AYIRA"&amp;" MINI MART FINAL MENU - Pr'!A102, ""^[^\x{0600}-\x{06FF}]+"")), ""[-–]+$"", """")), """"), GOOGLETRANSLATE('AYIRA MINI MART FINAL MENU - Pr'!A102, ""ar"", ""en"")))"),"Freez Mix Carbonated Flavored Drink Lychee 275ml – Freez Mix Carbonated Flavored")</f>
        <v>Freez Mix Carbonated Flavored Drink Lychee 275ml – Freez Mix Carbonated Flavored</v>
      </c>
      <c r="B102" s="56" t="str">
        <f>IFERROR(__xludf.DUMMYFUNCTION("IF('AYIRA MINI MART FINAL MENU - Pr'!B102="""", """", IF(LEN(IFERROR(TRIM(REGEXREPLACE(TRIM(REGEXEXTRACT('AYIRA MINI MART FINAL MENU - Pr'!B102, ""^[^\x{0600}-\x{06FF}]+"")), ""[-–]+$"", """")), """"))&gt;0, IFERROR(TRIM(REGEXREPLACE(TRIM(REGEXEXTRACT('AYIRA"&amp;" MINI MART FINAL MENU - Pr'!B102, ""^[^\x{0600}-\x{06FF}]+"")), ""[-–]+$"", """")), """"), GOOGLETRANSLATE('AYIRA MINI MART FINAL MENU - Pr'!B102, ""ar"", ""en"")))"),"Carbonated Soft Drinks")</f>
        <v>Carbonated Soft Drinks</v>
      </c>
      <c r="C102" s="58">
        <f>IF('AYIRA MINI MART FINAL MENU - Pr'!C102="", "", 'AYIRA MINI MART FINAL MENU - Pr'!C102)</f>
        <v>5</v>
      </c>
      <c r="D102" s="56" t="str">
        <f>IFERROR(__xludf.DUMMYFUNCTION("IF('AYIRA MINI MART FINAL MENU - Pr'!D102="""", """", GOOGLETRANSLATE('AYIRA MINI MART FINAL MENU - Pr'!D102, ""ar"", ""en""))"),"Enjoy Freez Mix Carbonated Flavored Drink Lychee 275ml, the refreshing fizzy drink that gives you energy and vitality with every drop. Its delicious taste and unique formula make it the perfect choice to quench your thirst anytime. Ideal for parties, fami"&amp;"ly gatherings, and various occasions. It contains distinctive flavors that make every sip an unforgettable experience. Get it now from Aira Mini Mart at the best prices and highest quality. Our special drink provides you with instant refreshment and satis"&amp;"fies your discerning taste whenever you need hydration.")</f>
        <v>Enjoy Freez Mix Carbonated Flavored Drink Lychee 275ml, the refreshing fizzy drink that gives you energy and vitality with every drop. Its delicious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special drink provides you with instant refreshment and satisfies your discerning taste whenever you need hydration.</v>
      </c>
      <c r="E102" s="56" t="str">
        <f>IF('AYIRA MINI MART FINAL MENU - Pr'!K102="", "", 'AYIRA MINI MART FINAL MENU - Pr'!K102)</f>
        <v/>
      </c>
      <c r="F102" s="56"/>
      <c r="G102" s="56"/>
      <c r="H102" s="56"/>
      <c r="I102" s="56"/>
      <c r="J102" s="56"/>
      <c r="L102" s="56" t="str">
        <f>IF('AYIRA MINI MART FINAL MENU - Pr'!L102="", "", 'AYIRA MINI MART FINAL MENU - Pr'!L102)</f>
        <v/>
      </c>
      <c r="M102" s="56" t="str">
        <f>IF('AYIRA MINI MART FINAL MENU - Pr'!M102="", "", 'AYIRA MINI MART FINAL MENU - Pr'!M102)</f>
        <v/>
      </c>
      <c r="N102" s="56" t="str">
        <f>IF('AYIRA MINI MART FINAL MENU - Pr'!N102="", "", 'AYIRA MINI MART FINAL MENU - Pr'!N102)</f>
        <v/>
      </c>
      <c r="O102" s="57"/>
      <c r="P102" s="57"/>
      <c r="Q102" s="57"/>
      <c r="R102" s="57"/>
      <c r="S102" s="57"/>
      <c r="T102" s="57"/>
      <c r="U102" s="57"/>
      <c r="V102" s="57"/>
      <c r="W102" s="57"/>
      <c r="X102" s="57"/>
      <c r="Y102" s="57"/>
      <c r="Z102" s="57"/>
    </row>
    <row r="103">
      <c r="A103" s="56" t="str">
        <f>IFERROR(__xludf.DUMMYFUNCTION("IF('AYIRA MINI MART FINAL MENU - Pr'!A103="""", """", IF(LEN(IFERROR(TRIM(REGEXREPLACE(TRIM(REGEXEXTRACT('AYIRA MINI MART FINAL MENU - Pr'!A103, ""^[^\x{0600}-\x{06FF}]+"")), ""[-–]+$"", """")), """"))&gt;0, IFERROR(TRIM(REGEXREPLACE(TRIM(REGEXEXTRACT('AYIRA"&amp;" MINI MART FINAL MENU - Pr'!A103, ""^[^\x{0600}-\x{06FF}]+"")), ""[-–]+$"", """")), """"), GOOGLETRANSLATE('AYIRA MINI MART FINAL MENU - Pr'!A103, ""ar"", ""en"")))"),"Freez Mix Carbonated Flavored Drink Pomegranate Mix 275ml – Freez Mix Carbonated Flavored")</f>
        <v>Freez Mix Carbonated Flavored Drink Pomegranate Mix 275ml – Freez Mix Carbonated Flavored</v>
      </c>
      <c r="B103" s="56" t="str">
        <f>IFERROR(__xludf.DUMMYFUNCTION("IF('AYIRA MINI MART FINAL MENU - Pr'!B103="""", """", IF(LEN(IFERROR(TRIM(REGEXREPLACE(TRIM(REGEXEXTRACT('AYIRA MINI MART FINAL MENU - Pr'!B103, ""^[^\x{0600}-\x{06FF}]+"")), ""[-–]+$"", """")), """"))&gt;0, IFERROR(TRIM(REGEXREPLACE(TRIM(REGEXEXTRACT('AYIRA"&amp;" MINI MART FINAL MENU - Pr'!B103, ""^[^\x{0600}-\x{06FF}]+"")), ""[-–]+$"", """")), """"), GOOGLETRANSLATE('AYIRA MINI MART FINAL MENU - Pr'!B103, ""ar"", ""en"")))"),"Carbonated Soft Drinks")</f>
        <v>Carbonated Soft Drinks</v>
      </c>
      <c r="C103" s="58">
        <f>IF('AYIRA MINI MART FINAL MENU - Pr'!C103="", "", 'AYIRA MINI MART FINAL MENU - Pr'!C103)</f>
        <v>5</v>
      </c>
      <c r="D103" s="56" t="str">
        <f>IFERROR(__xludf.DUMMYFUNCTION("IF('AYIRA MINI MART FINAL MENU - Pr'!D103="""", """", GOOGLETRANSLATE('AYIRA MINI MART FINAL MENU - Pr'!D103, ""ar"", ""en""))"),"Enjoy Freez Mix Carbonated Flavored Drink Pomegranate Mix 275ml, a refreshing sparkling beverage that gives you energy and vitality with every drop. Its delicious taste and unique formula make it the perfect choice to quench your thirst anytime. Ideal for"&amp;" parties, family gatherings, and various occasions. It boasts distinctive flavors that make every sip an unforgettable experience. Get it now from Aira Mini Mart at the best prices and highest quality. Our special drink provides instant refreshment and sa"&amp;"tisfies your discerning palate whenever you need hydration.")</f>
        <v>Enjoy Freez Mix Carbonated Flavored Drink Pomegranate Mix 275ml, a refreshing sparkling beverage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special drink provides instant refreshment and satisfies your discerning palate whenever you need hydration.</v>
      </c>
      <c r="E103" s="56" t="str">
        <f>IF('AYIRA MINI MART FINAL MENU - Pr'!K103="", "", 'AYIRA MINI MART FINAL MENU - Pr'!K103)</f>
        <v/>
      </c>
      <c r="F103" s="56"/>
      <c r="G103" s="56"/>
      <c r="H103" s="56"/>
      <c r="I103" s="56"/>
      <c r="J103" s="56"/>
      <c r="L103" s="56" t="str">
        <f>IF('AYIRA MINI MART FINAL MENU - Pr'!L103="", "", 'AYIRA MINI MART FINAL MENU - Pr'!L103)</f>
        <v/>
      </c>
      <c r="M103" s="56" t="str">
        <f>IF('AYIRA MINI MART FINAL MENU - Pr'!M103="", "", 'AYIRA MINI MART FINAL MENU - Pr'!M103)</f>
        <v/>
      </c>
      <c r="N103" s="56" t="str">
        <f>IF('AYIRA MINI MART FINAL MENU - Pr'!N103="", "", 'AYIRA MINI MART FINAL MENU - Pr'!N103)</f>
        <v/>
      </c>
      <c r="O103" s="57"/>
      <c r="P103" s="57"/>
      <c r="Q103" s="57"/>
      <c r="R103" s="57"/>
      <c r="S103" s="57"/>
      <c r="T103" s="57"/>
      <c r="U103" s="57"/>
      <c r="V103" s="57"/>
      <c r="W103" s="57"/>
      <c r="X103" s="57"/>
      <c r="Y103" s="57"/>
      <c r="Z103" s="57"/>
    </row>
    <row r="104">
      <c r="A104" s="56" t="str">
        <f>IFERROR(__xludf.DUMMYFUNCTION("IF('AYIRA MINI MART FINAL MENU - Pr'!A104="""", """", IF(LEN(IFERROR(TRIM(REGEXREPLACE(TRIM(REGEXEXTRACT('AYIRA MINI MART FINAL MENU - Pr'!A104, ""^[^\x{0600}-\x{06FF}]+"")), ""[-–]+$"", """")), """"))&gt;0, IFERROR(TRIM(REGEXREPLACE(TRIM(REGEXEXTRACT('AYIRA"&amp;" MINI MART FINAL MENU - Pr'!A104, ""^[^\x{0600}-\x{06FF}]+"")), ""[-–]+$"", """")), """"), GOOGLETRANSLATE('AYIRA MINI MART FINAL MENU - Pr'!A104, ""ar"", ""en"")))"),"Barbican English Flavour 330ml – Barbican English Flavour 330")</f>
        <v>Barbican English Flavour 330ml – Barbican English Flavour 330</v>
      </c>
      <c r="B104" s="56" t="str">
        <f>IFERROR(__xludf.DUMMYFUNCTION("IF('AYIRA MINI MART FINAL MENU - Pr'!B104="""", """", IF(LEN(IFERROR(TRIM(REGEXREPLACE(TRIM(REGEXEXTRACT('AYIRA MINI MART FINAL MENU - Pr'!B104, ""^[^\x{0600}-\x{06FF}]+"")), ""[-–]+$"", """")), """"))&gt;0, IFERROR(TRIM(REGEXREPLACE(TRIM(REGEXEXTRACT('AYIRA"&amp;" MINI MART FINAL MENU - Pr'!B104, ""^[^\x{0600}-\x{06FF}]+"")), ""[-–]+$"", """")), """"), GOOGLETRANSLATE('AYIRA MINI MART FINAL MENU - Pr'!B104, ""ar"", ""en"")))"),"Carbonated Soft Drinks")</f>
        <v>Carbonated Soft Drinks</v>
      </c>
      <c r="C104" s="58">
        <f>IF('AYIRA MINI MART FINAL MENU - Pr'!C104="", "", 'AYIRA MINI MART FINAL MENU - Pr'!C104)</f>
        <v>4.5</v>
      </c>
      <c r="D104" s="56" t="str">
        <f>IFERROR(__xludf.DUMMYFUNCTION("IF('AYIRA MINI MART FINAL MENU - Pr'!D104="""", """", GOOGLETRANSLATE('AYIRA MINI MART FINAL MENU - Pr'!D104, ""ar"", ""en""))"),"Discover Barbican English Flavour 330ml, a premium product that combines high quality with exceptional value. Made to the highest standards of quality and safety to ensure your complete satisfaction every time, its excellent features make it the perfect c"&amp;"hoice for you and your family. Whether for everyday use or special occasions, it meets and exceeds your expectations. Get it now from Aira Mini Mart and enjoy a pleasant and reliable shopping experience.")</f>
        <v>Discover Barbican English Flavour 330ml,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4" s="56" t="str">
        <f>IF('AYIRA MINI MART FINAL MENU - Pr'!K104="", "", 'AYIRA MINI MART FINAL MENU - Pr'!K104)</f>
        <v/>
      </c>
      <c r="F104" s="56"/>
      <c r="G104" s="56"/>
      <c r="H104" s="56"/>
      <c r="I104" s="56"/>
      <c r="J104" s="56"/>
      <c r="L104" s="56" t="str">
        <f>IF('AYIRA MINI MART FINAL MENU - Pr'!L104="", "", 'AYIRA MINI MART FINAL MENU - Pr'!L104)</f>
        <v/>
      </c>
      <c r="M104" s="56" t="str">
        <f>IF('AYIRA MINI MART FINAL MENU - Pr'!M104="", "", 'AYIRA MINI MART FINAL MENU - Pr'!M104)</f>
        <v/>
      </c>
      <c r="N104" s="56" t="str">
        <f>IF('AYIRA MINI MART FINAL MENU - Pr'!N104="", "", 'AYIRA MINI MART FINAL MENU - Pr'!N104)</f>
        <v/>
      </c>
      <c r="O104" s="57"/>
      <c r="P104" s="57"/>
      <c r="Q104" s="57"/>
      <c r="R104" s="57"/>
      <c r="S104" s="57"/>
      <c r="T104" s="57"/>
      <c r="U104" s="57"/>
      <c r="V104" s="57"/>
      <c r="W104" s="57"/>
      <c r="X104" s="57"/>
      <c r="Y104" s="57"/>
      <c r="Z104" s="57"/>
    </row>
    <row r="105">
      <c r="A105" s="56" t="str">
        <f>IFERROR(__xludf.DUMMYFUNCTION("IF('AYIRA MINI MART FINAL MENU - Pr'!A105="""", """", IF(LEN(IFERROR(TRIM(REGEXREPLACE(TRIM(REGEXEXTRACT('AYIRA MINI MART FINAL MENU - Pr'!A105, ""^[^\x{0600}-\x{06FF}]+"")), ""[-–]+$"", """")), """"))&gt;0, IFERROR(TRIM(REGEXREPLACE(TRIM(REGEXEXTRACT('AYIRA"&amp;" MINI MART FINAL MENU - Pr'!A105, ""^[^\x{0600}-\x{06FF}]+"")), ""[-–]+$"", """")), """"), GOOGLETRANSLATE('AYIRA MINI MART FINAL MENU - Pr'!A105, ""ar"", ""en"")))"),"Barbican Strawberry Flavour 330ml – Barbican")</f>
        <v>Barbican Strawberry Flavour 330ml – Barbican</v>
      </c>
      <c r="B105" s="56" t="str">
        <f>IFERROR(__xludf.DUMMYFUNCTION("IF('AYIRA MINI MART FINAL MENU - Pr'!B105="""", """", IF(LEN(IFERROR(TRIM(REGEXREPLACE(TRIM(REGEXEXTRACT('AYIRA MINI MART FINAL MENU - Pr'!B105, ""^[^\x{0600}-\x{06FF}]+"")), ""[-–]+$"", """")), """"))&gt;0, IFERROR(TRIM(REGEXREPLACE(TRIM(REGEXEXTRACT('AYIRA"&amp;" MINI MART FINAL MENU - Pr'!B105, ""^[^\x{0600}-\x{06FF}]+"")), ""[-–]+$"", """")), """"), GOOGLETRANSLATE('AYIRA MINI MART FINAL MENU - Pr'!B105, ""ar"", ""en"")))"),"Carbonated Soft Drinks")</f>
        <v>Carbonated Soft Drinks</v>
      </c>
      <c r="C105" s="58">
        <f>IF('AYIRA MINI MART FINAL MENU - Pr'!C105="", "", 'AYIRA MINI MART FINAL MENU - Pr'!C105)</f>
        <v>4.5</v>
      </c>
      <c r="D105" s="56" t="str">
        <f>IFERROR(__xludf.DUMMYFUNCTION("IF('AYIRA MINI MART FINAL MENU - Pr'!D105="""", """", GOOGLETRANSLATE('AYIRA MINI MART FINAL MENU - Pr'!D105, ""ar"", ""en""))"),"Discover Barbican Strawberry Flavor 330ml, a premium product that combines high quality with great value. Made to the highest standards of quality and safety to ensure your complete satisfaction every time. Its excellent features make it the perfect choic"&amp;"e for you and your family. Whether for everyday use or special occasions, it meets and exceeds your expectations. Get it now from Aira Mini Mart and enjoy a pleasant and reliable shopping experience.")</f>
        <v>Discover Barbican Strawberry Flavor 330ml,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5" s="56" t="str">
        <f>IF('AYIRA MINI MART FINAL MENU - Pr'!K105="", "", 'AYIRA MINI MART FINAL MENU - Pr'!K105)</f>
        <v/>
      </c>
      <c r="F105" s="56"/>
      <c r="G105" s="56"/>
      <c r="H105" s="56"/>
      <c r="I105" s="56"/>
      <c r="J105" s="56"/>
      <c r="L105" s="56" t="str">
        <f>IF('AYIRA MINI MART FINAL MENU - Pr'!L105="", "", 'AYIRA MINI MART FINAL MENU - Pr'!L105)</f>
        <v/>
      </c>
      <c r="M105" s="56" t="str">
        <f>IF('AYIRA MINI MART FINAL MENU - Pr'!M105="", "", 'AYIRA MINI MART FINAL MENU - Pr'!M105)</f>
        <v/>
      </c>
      <c r="N105" s="56" t="str">
        <f>IF('AYIRA MINI MART FINAL MENU - Pr'!N105="", "", 'AYIRA MINI MART FINAL MENU - Pr'!N105)</f>
        <v/>
      </c>
      <c r="O105" s="57"/>
      <c r="P105" s="57"/>
      <c r="Q105" s="57"/>
      <c r="R105" s="57"/>
      <c r="S105" s="57"/>
      <c r="T105" s="57"/>
      <c r="U105" s="57"/>
      <c r="V105" s="57"/>
      <c r="W105" s="57"/>
      <c r="X105" s="57"/>
      <c r="Y105" s="57"/>
      <c r="Z105" s="57"/>
    </row>
    <row r="106">
      <c r="A106" s="56" t="str">
        <f>IFERROR(__xludf.DUMMYFUNCTION("IF('AYIRA MINI MART FINAL MENU - Pr'!A106="""", """", IF(LEN(IFERROR(TRIM(REGEXREPLACE(TRIM(REGEXEXTRACT('AYIRA MINI MART FINAL MENU - Pr'!A106, ""^[^\x{0600}-\x{06FF}]+"")), ""[-–]+$"", """")), """"))&gt;0, IFERROR(TRIM(REGEXREPLACE(TRIM(REGEXEXTRACT('AYIRA"&amp;" MINI MART FINAL MENU - Pr'!A106, ""^[^\x{0600}-\x{06FF}]+"")), ""[-–]+$"", """")), """"), GOOGLETRANSLATE('AYIRA MINI MART FINAL MENU - Pr'!A106, ""ar"", ""en"")))"),"Barbican Pomegranate Flavour 330ml – Barbican Pomegranate Flavour 330")</f>
        <v>Barbican Pomegranate Flavour 330ml – Barbican Pomegranate Flavour 330</v>
      </c>
      <c r="B106" s="56" t="str">
        <f>IFERROR(__xludf.DUMMYFUNCTION("IF('AYIRA MINI MART FINAL MENU - Pr'!B106="""", """", IF(LEN(IFERROR(TRIM(REGEXREPLACE(TRIM(REGEXEXTRACT('AYIRA MINI MART FINAL MENU - Pr'!B106, ""^[^\x{0600}-\x{06FF}]+"")), ""[-–]+$"", """")), """"))&gt;0, IFERROR(TRIM(REGEXREPLACE(TRIM(REGEXEXTRACT('AYIRA"&amp;" MINI MART FINAL MENU - Pr'!B106, ""^[^\x{0600}-\x{06FF}]+"")), ""[-–]+$"", """")), """"), GOOGLETRANSLATE('AYIRA MINI MART FINAL MENU - Pr'!B106, ""ar"", ""en"")))"),"Carbonated Soft Drinks")</f>
        <v>Carbonated Soft Drinks</v>
      </c>
      <c r="C106" s="58">
        <f>IF('AYIRA MINI MART FINAL MENU - Pr'!C106="", "", 'AYIRA MINI MART FINAL MENU - Pr'!C106)</f>
        <v>4.5</v>
      </c>
      <c r="D106" s="56" t="str">
        <f>IFERROR(__xludf.DUMMYFUNCTION("IF('AYIRA MINI MART FINAL MENU - Pr'!D106="""", """", GOOGLETRANSLATE('AYIRA MINI MART FINAL MENU - Pr'!D106, ""ar"", ""en""))"),"Discover Barbican Pomegranate Flavor 330ml, a premium product that combines high quality with great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Barbican Pomegranate Flavor 330ml,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6" s="56" t="str">
        <f>IF('AYIRA MINI MART FINAL MENU - Pr'!K106="", "", 'AYIRA MINI MART FINAL MENU - Pr'!K106)</f>
        <v/>
      </c>
      <c r="F106" s="56"/>
      <c r="G106" s="56"/>
      <c r="H106" s="56"/>
      <c r="I106" s="56"/>
      <c r="J106" s="56"/>
      <c r="L106" s="56" t="str">
        <f>IF('AYIRA MINI MART FINAL MENU - Pr'!L106="", "", 'AYIRA MINI MART FINAL MENU - Pr'!L106)</f>
        <v/>
      </c>
      <c r="M106" s="56" t="str">
        <f>IF('AYIRA MINI MART FINAL MENU - Pr'!M106="", "", 'AYIRA MINI MART FINAL MENU - Pr'!M106)</f>
        <v/>
      </c>
      <c r="N106" s="56" t="str">
        <f>IF('AYIRA MINI MART FINAL MENU - Pr'!N106="", "", 'AYIRA MINI MART FINAL MENU - Pr'!N106)</f>
        <v/>
      </c>
      <c r="O106" s="57"/>
      <c r="P106" s="57"/>
      <c r="Q106" s="57"/>
      <c r="R106" s="57"/>
      <c r="S106" s="57"/>
      <c r="T106" s="57"/>
      <c r="U106" s="57"/>
      <c r="V106" s="57"/>
      <c r="W106" s="57"/>
      <c r="X106" s="57"/>
      <c r="Y106" s="57"/>
      <c r="Z106" s="57"/>
    </row>
    <row r="107">
      <c r="A107" s="56" t="str">
        <f>IFERROR(__xludf.DUMMYFUNCTION("IF('AYIRA MINI MART FINAL MENU - Pr'!A107="""", """", IF(LEN(IFERROR(TRIM(REGEXREPLACE(TRIM(REGEXEXTRACT('AYIRA MINI MART FINAL MENU - Pr'!A107, ""^[^\x{0600}-\x{06FF}]+"")), ""[-–]+$"", """")), """"))&gt;0, IFERROR(TRIM(REGEXREPLACE(TRIM(REGEXEXTRACT('AYIRA"&amp;" MINI MART FINAL MENU - Pr'!A107, ""^[^\x{0600}-\x{06FF}]+"")), ""[-–]+$"", """")), """"), GOOGLETRANSLATE('AYIRA MINI MART FINAL MENU - Pr'!A107, ""ar"", ""en"")))"),"Barbican Apple Flavour 330ml – Barbican")</f>
        <v>Barbican Apple Flavour 330ml – Barbican</v>
      </c>
      <c r="B107" s="56" t="str">
        <f>IFERROR(__xludf.DUMMYFUNCTION("IF('AYIRA MINI MART FINAL MENU - Pr'!B107="""", """", IF(LEN(IFERROR(TRIM(REGEXREPLACE(TRIM(REGEXEXTRACT('AYIRA MINI MART FINAL MENU - Pr'!B107, ""^[^\x{0600}-\x{06FF}]+"")), ""[-–]+$"", """")), """"))&gt;0, IFERROR(TRIM(REGEXREPLACE(TRIM(REGEXEXTRACT('AYIRA"&amp;" MINI MART FINAL MENU - Pr'!B107, ""^[^\x{0600}-\x{06FF}]+"")), ""[-–]+$"", """")), """"), GOOGLETRANSLATE('AYIRA MINI MART FINAL MENU - Pr'!B107, ""ar"", ""en"")))"),"Carbonated Soft Drinks")</f>
        <v>Carbonated Soft Drinks</v>
      </c>
      <c r="C107" s="58">
        <f>IF('AYIRA MINI MART FINAL MENU - Pr'!C107="", "", 'AYIRA MINI MART FINAL MENU - Pr'!C107)</f>
        <v>4.5</v>
      </c>
      <c r="D107" s="56" t="str">
        <f>IFERROR(__xludf.DUMMYFUNCTION("IF('AYIRA MINI MART FINAL MENU - Pr'!D107="""", """", GOOGLETRANSLATE('AYIRA MINI MART FINAL MENU - Pr'!D107, ""ar"", ""en""))"),"Discover Barbican Apple Flavor 330ml, a premium product that combines high quality with exceptional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Barbican Apple Flavor 330ml,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7" s="56" t="str">
        <f>IF('AYIRA MINI MART FINAL MENU - Pr'!K107="", "", 'AYIRA MINI MART FINAL MENU - Pr'!K107)</f>
        <v/>
      </c>
      <c r="F107" s="56"/>
      <c r="G107" s="56"/>
      <c r="H107" s="56"/>
      <c r="I107" s="56"/>
      <c r="J107" s="56"/>
      <c r="L107" s="56" t="str">
        <f>IF('AYIRA MINI MART FINAL MENU - Pr'!L107="", "", 'AYIRA MINI MART FINAL MENU - Pr'!L107)</f>
        <v/>
      </c>
      <c r="M107" s="56" t="str">
        <f>IF('AYIRA MINI MART FINAL MENU - Pr'!M107="", "", 'AYIRA MINI MART FINAL MENU - Pr'!M107)</f>
        <v/>
      </c>
      <c r="N107" s="56" t="str">
        <f>IF('AYIRA MINI MART FINAL MENU - Pr'!N107="", "", 'AYIRA MINI MART FINAL MENU - Pr'!N107)</f>
        <v/>
      </c>
      <c r="O107" s="57"/>
      <c r="P107" s="57"/>
      <c r="Q107" s="57"/>
      <c r="R107" s="57"/>
      <c r="S107" s="57"/>
      <c r="T107" s="57"/>
      <c r="U107" s="57"/>
      <c r="V107" s="57"/>
      <c r="W107" s="57"/>
      <c r="X107" s="57"/>
      <c r="Y107" s="57"/>
      <c r="Z107" s="57"/>
    </row>
    <row r="108">
      <c r="A108" s="56" t="str">
        <f>IFERROR(__xludf.DUMMYFUNCTION("IF('AYIRA MINI MART FINAL MENU - Pr'!A108="""", """", IF(LEN(IFERROR(TRIM(REGEXREPLACE(TRIM(REGEXEXTRACT('AYIRA MINI MART FINAL MENU - Pr'!A108, ""^[^\x{0600}-\x{06FF}]+"")), ""[-–]+$"", """")), """"))&gt;0, IFERROR(TRIM(REGEXREPLACE(TRIM(REGEXEXTRACT('AYIRA"&amp;" MINI MART FINAL MENU - Pr'!A108, ""^[^\x{0600}-\x{06FF}]+"")), ""[-–]+$"", """")), """"), GOOGLETRANSLATE('AYIRA MINI MART FINAL MENU - Pr'!A108, ""ar"", ""en"")))"),"Barbican Peach Flavour 330ml – Barbican")</f>
        <v>Barbican Peach Flavour 330ml – Barbican</v>
      </c>
      <c r="B108" s="56" t="str">
        <f>IFERROR(__xludf.DUMMYFUNCTION("IF('AYIRA MINI MART FINAL MENU - Pr'!B108="""", """", IF(LEN(IFERROR(TRIM(REGEXREPLACE(TRIM(REGEXEXTRACT('AYIRA MINI MART FINAL MENU - Pr'!B108, ""^[^\x{0600}-\x{06FF}]+"")), ""[-–]+$"", """")), """"))&gt;0, IFERROR(TRIM(REGEXREPLACE(TRIM(REGEXEXTRACT('AYIRA"&amp;" MINI MART FINAL MENU - Pr'!B108, ""^[^\x{0600}-\x{06FF}]+"")), ""[-–]+$"", """")), """"), GOOGLETRANSLATE('AYIRA MINI MART FINAL MENU - Pr'!B108, ""ar"", ""en"")))"),"Carbonated Soft Drinks")</f>
        <v>Carbonated Soft Drinks</v>
      </c>
      <c r="C108" s="58">
        <f>IF('AYIRA MINI MART FINAL MENU - Pr'!C108="", "", 'AYIRA MINI MART FINAL MENU - Pr'!C108)</f>
        <v>4.5</v>
      </c>
      <c r="D108" s="56" t="str">
        <f>IFERROR(__xludf.DUMMYFUNCTION("IF('AYIRA MINI MART FINAL MENU - Pr'!D108="""", """", GOOGLETRANSLATE('AYIRA MINI MART FINAL MENU - Pr'!D108, ""ar"", ""en""))"),"Discover Barbican Peach Flavor 330ml, a premium product that combines high quality with exceptional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Barbican Peach Flavor 330ml,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8" s="56" t="str">
        <f>IF('AYIRA MINI MART FINAL MENU - Pr'!K108="", "", 'AYIRA MINI MART FINAL MENU - Pr'!K108)</f>
        <v/>
      </c>
      <c r="F108" s="56"/>
      <c r="G108" s="56"/>
      <c r="H108" s="56"/>
      <c r="I108" s="56"/>
      <c r="J108" s="56"/>
      <c r="L108" s="56" t="str">
        <f>IF('AYIRA MINI MART FINAL MENU - Pr'!L108="", "", 'AYIRA MINI MART FINAL MENU - Pr'!L108)</f>
        <v/>
      </c>
      <c r="M108" s="56" t="str">
        <f>IF('AYIRA MINI MART FINAL MENU - Pr'!M108="", "", 'AYIRA MINI MART FINAL MENU - Pr'!M108)</f>
        <v/>
      </c>
      <c r="N108" s="56" t="str">
        <f>IF('AYIRA MINI MART FINAL MENU - Pr'!N108="", "", 'AYIRA MINI MART FINAL MENU - Pr'!N108)</f>
        <v/>
      </c>
      <c r="O108" s="57"/>
      <c r="P108" s="57"/>
      <c r="Q108" s="57"/>
      <c r="R108" s="57"/>
      <c r="S108" s="57"/>
      <c r="T108" s="57"/>
      <c r="U108" s="57"/>
      <c r="V108" s="57"/>
      <c r="W108" s="57"/>
      <c r="X108" s="57"/>
      <c r="Y108" s="57"/>
      <c r="Z108" s="57"/>
    </row>
    <row r="109">
      <c r="A109" s="56" t="str">
        <f>IFERROR(__xludf.DUMMYFUNCTION("IF('AYIRA MINI MART FINAL MENU - Pr'!A109="""", """", IF(LEN(IFERROR(TRIM(REGEXREPLACE(TRIM(REGEXEXTRACT('AYIRA MINI MART FINAL MENU - Pr'!A109, ""^[^\x{0600}-\x{06FF}]+"")), ""[-–]+$"", """")), """"))&gt;0, IFERROR(TRIM(REGEXREPLACE(TRIM(REGEXEXTRACT('AYIRA"&amp;" MINI MART FINAL MENU - Pr'!A109, ""^[^\x{0600}-\x{06FF}]+"")), ""[-–]+$"", """")), """"), GOOGLETRANSLATE('AYIRA MINI MART FINAL MENU - Pr'!A109, ""ar"", ""en"")))"),"Barbican Pineapple Flavour 330ml – Barbican")</f>
        <v>Barbican Pineapple Flavour 330ml – Barbican</v>
      </c>
      <c r="B109" s="56" t="str">
        <f>IFERROR(__xludf.DUMMYFUNCTION("IF('AYIRA MINI MART FINAL MENU - Pr'!B109="""", """", IF(LEN(IFERROR(TRIM(REGEXREPLACE(TRIM(REGEXEXTRACT('AYIRA MINI MART FINAL MENU - Pr'!B109, ""^[^\x{0600}-\x{06FF}]+"")), ""[-–]+$"", """")), """"))&gt;0, IFERROR(TRIM(REGEXREPLACE(TRIM(REGEXEXTRACT('AYIRA"&amp;" MINI MART FINAL MENU - Pr'!B109, ""^[^\x{0600}-\x{06FF}]+"")), ""[-–]+$"", """")), """"), GOOGLETRANSLATE('AYIRA MINI MART FINAL MENU - Pr'!B109, ""ar"", ""en"")))"),"Carbonated Soft Drinks")</f>
        <v>Carbonated Soft Drinks</v>
      </c>
      <c r="C109" s="58">
        <f>IF('AYIRA MINI MART FINAL MENU - Pr'!C109="", "", 'AYIRA MINI MART FINAL MENU - Pr'!C109)</f>
        <v>4.5</v>
      </c>
      <c r="D109" s="56" t="str">
        <f>IFERROR(__xludf.DUMMYFUNCTION("IF('AYIRA MINI MART FINAL MENU - Pr'!D109="""", """", GOOGLETRANSLATE('AYIRA MINI MART FINAL MENU - Pr'!D109, ""ar"", ""en""))"),"Discover Barbican Pineapple Flavor 330ml, a premium product that combines high quality with great value. Made to the highest standards of quality and safety to ensure your complete satisfaction every time. Its excellent features make it the perfect choice"&amp;" for you and your family. Whether for everyday use or special occasions, it meets and exceeds your expectations. Get it now from Aira Mini Mart and enjoy a pleasant and reliable shopping experience.")</f>
        <v>Discover Barbican Pineapple Flavor 330ml,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9" s="56" t="str">
        <f>IF('AYIRA MINI MART FINAL MENU - Pr'!K109="", "", 'AYIRA MINI MART FINAL MENU - Pr'!K109)</f>
        <v/>
      </c>
      <c r="F109" s="56"/>
      <c r="G109" s="56"/>
      <c r="H109" s="56"/>
      <c r="I109" s="56"/>
      <c r="J109" s="56"/>
      <c r="L109" s="56" t="str">
        <f>IF('AYIRA MINI MART FINAL MENU - Pr'!L109="", "", 'AYIRA MINI MART FINAL MENU - Pr'!L109)</f>
        <v/>
      </c>
      <c r="M109" s="56" t="str">
        <f>IF('AYIRA MINI MART FINAL MENU - Pr'!M109="", "", 'AYIRA MINI MART FINAL MENU - Pr'!M109)</f>
        <v/>
      </c>
      <c r="N109" s="56" t="str">
        <f>IF('AYIRA MINI MART FINAL MENU - Pr'!N109="", "", 'AYIRA MINI MART FINAL MENU - Pr'!N109)</f>
        <v/>
      </c>
      <c r="O109" s="57"/>
      <c r="P109" s="57"/>
      <c r="Q109" s="57"/>
      <c r="R109" s="57"/>
      <c r="S109" s="57"/>
      <c r="T109" s="57"/>
      <c r="U109" s="57"/>
      <c r="V109" s="57"/>
      <c r="W109" s="57"/>
      <c r="X109" s="57"/>
      <c r="Y109" s="57"/>
      <c r="Z109" s="57"/>
    </row>
    <row r="110">
      <c r="A110" s="56" t="str">
        <f>IFERROR(__xludf.DUMMYFUNCTION("IF('AYIRA MINI MART FINAL MENU - Pr'!A110="""", """", IF(LEN(IFERROR(TRIM(REGEXREPLACE(TRIM(REGEXEXTRACT('AYIRA MINI MART FINAL MENU - Pr'!A110, ""^[^\x{0600}-\x{06FF}]+"")), ""[-–]+$"", """")), """"))&gt;0, IFERROR(TRIM(REGEXREPLACE(TRIM(REGEXEXTRACT('AYIRA"&amp;" MINI MART FINAL MENU - Pr'!A110, ""^[^\x{0600}-\x{06FF}]+"")), ""[-–]+$"", """")), """"), GOOGLETRANSLATE('AYIRA MINI MART FINAL MENU - Pr'!A110, ""ar"", ""en"")))"),"Moussy Peach Flavour 330ml – Moussy")</f>
        <v>Moussy Peach Flavour 330ml – Moussy</v>
      </c>
      <c r="B110" s="56" t="str">
        <f>IFERROR(__xludf.DUMMYFUNCTION("IF('AYIRA MINI MART FINAL MENU - Pr'!B110="""", """", IF(LEN(IFERROR(TRIM(REGEXREPLACE(TRIM(REGEXEXTRACT('AYIRA MINI MART FINAL MENU - Pr'!B110, ""^[^\x{0600}-\x{06FF}]+"")), ""[-–]+$"", """")), """"))&gt;0, IFERROR(TRIM(REGEXREPLACE(TRIM(REGEXEXTRACT('AYIRA"&amp;" MINI MART FINAL MENU - Pr'!B110, ""^[^\x{0600}-\x{06FF}]+"")), ""[-–]+$"", """")), """"), GOOGLETRANSLATE('AYIRA MINI MART FINAL MENU - Pr'!B110, ""ar"", ""en"")))"),"Carbonated Soft Drinks")</f>
        <v>Carbonated Soft Drinks</v>
      </c>
      <c r="C110" s="58">
        <f>IF('AYIRA MINI MART FINAL MENU - Pr'!C110="", "", 'AYIRA MINI MART FINAL MENU - Pr'!C110)</f>
        <v>5.5</v>
      </c>
      <c r="D110" s="56" t="str">
        <f>IFERROR(__xludf.DUMMYFUNCTION("IF('AYIRA MINI MART FINAL MENU - Pr'!D110="""", """", GOOGLETRANSLATE('AYIRA MINI MART FINAL MENU - Pr'!D110, ""ar"", ""en""))"),"Discover Moussy Peach Flavor 330ml, a premium product that combines high quality with exceptional value. Made to the highest standards of quality and safety to ensure your complete satisfaction every time. Its excellent features make it the perfect choice"&amp;" for you and your family. Whether for everyday use or special occasions, it meets and exceeds your expectations. Get it now from Aira Mini Mart and enjoy a pleasant and reliable shopping experience.")</f>
        <v>Discover Moussy Peach Flavor 330ml,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10" s="56" t="str">
        <f>IF('AYIRA MINI MART FINAL MENU - Pr'!K110="", "", 'AYIRA MINI MART FINAL MENU - Pr'!K110)</f>
        <v/>
      </c>
      <c r="F110" s="56"/>
      <c r="G110" s="56"/>
      <c r="H110" s="56"/>
      <c r="I110" s="56"/>
      <c r="J110" s="56"/>
      <c r="L110" s="56" t="str">
        <f>IF('AYIRA MINI MART FINAL MENU - Pr'!L110="", "", 'AYIRA MINI MART FINAL MENU - Pr'!L110)</f>
        <v/>
      </c>
      <c r="M110" s="56" t="str">
        <f>IF('AYIRA MINI MART FINAL MENU - Pr'!M110="", "", 'AYIRA MINI MART FINAL MENU - Pr'!M110)</f>
        <v/>
      </c>
      <c r="N110" s="56" t="str">
        <f>IF('AYIRA MINI MART FINAL MENU - Pr'!N110="", "", 'AYIRA MINI MART FINAL MENU - Pr'!N110)</f>
        <v/>
      </c>
      <c r="O110" s="57"/>
      <c r="P110" s="57"/>
      <c r="Q110" s="57"/>
      <c r="R110" s="57"/>
      <c r="S110" s="57"/>
      <c r="T110" s="57"/>
      <c r="U110" s="57"/>
      <c r="V110" s="57"/>
      <c r="W110" s="57"/>
      <c r="X110" s="57"/>
      <c r="Y110" s="57"/>
      <c r="Z110" s="57"/>
    </row>
    <row r="111">
      <c r="A111" s="56" t="str">
        <f>IFERROR(__xludf.DUMMYFUNCTION("IF('AYIRA MINI MART FINAL MENU - Pr'!A111="""", """", IF(LEN(IFERROR(TRIM(REGEXREPLACE(TRIM(REGEXEXTRACT('AYIRA MINI MART FINAL MENU - Pr'!A111, ""^[^\x{0600}-\x{06FF}]+"")), ""[-–]+$"", """")), """"))&gt;0, IFERROR(TRIM(REGEXREPLACE(TRIM(REGEXEXTRACT('AYIRA"&amp;" MINI MART FINAL MENU - Pr'!A111, ""^[^\x{0600}-\x{06FF}]+"")), ""[-–]+$"", """")), """"), GOOGLETRANSLATE('AYIRA MINI MART FINAL MENU - Pr'!A111, ""ar"", ""en"")))"),"Moussy Raspberry Flavour 330ml – Moussy Raspberry Flavour 330")</f>
        <v>Moussy Raspberry Flavour 330ml – Moussy Raspberry Flavour 330</v>
      </c>
      <c r="B111" s="56" t="str">
        <f>IFERROR(__xludf.DUMMYFUNCTION("IF('AYIRA MINI MART FINAL MENU - Pr'!B111="""", """", IF(LEN(IFERROR(TRIM(REGEXREPLACE(TRIM(REGEXEXTRACT('AYIRA MINI MART FINAL MENU - Pr'!B111, ""^[^\x{0600}-\x{06FF}]+"")), ""[-–]+$"", """")), """"))&gt;0, IFERROR(TRIM(REGEXREPLACE(TRIM(REGEXEXTRACT('AYIRA"&amp;" MINI MART FINAL MENU - Pr'!B111, ""^[^\x{0600}-\x{06FF}]+"")), ""[-–]+$"", """")), """"), GOOGLETRANSLATE('AYIRA MINI MART FINAL MENU - Pr'!B111, ""ar"", ""en"")))"),"Carbonated Soft Drinks")</f>
        <v>Carbonated Soft Drinks</v>
      </c>
      <c r="C111" s="58">
        <f>IF('AYIRA MINI MART FINAL MENU - Pr'!C111="", "", 'AYIRA MINI MART FINAL MENU - Pr'!C111)</f>
        <v>5.5</v>
      </c>
      <c r="D111" s="56" t="str">
        <f>IFERROR(__xludf.DUMMYFUNCTION("IF('AYIRA MINI MART FINAL MENU - Pr'!D111="""", """", GOOGLETRANSLATE('AYIRA MINI MART FINAL MENU - Pr'!D111, ""ar"", ""en""))"),"Discover Moussy Raspberry Flavor 330ml, a premium product that combines high quality with great value. Made to the highest standards of quality and safety to ensure your complete satisfaction every time. Its excellent features make it the perfect choice f"&amp;"or you and your family. Whether for everyday use or special occasions, it meets and exceeds your expectations. Get it now from Aira Mini Mart and enjoy a pleasant and reliable shopping experience.")</f>
        <v>Discover Moussy Raspberry Flavor 330ml,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11" s="56" t="str">
        <f>IF('AYIRA MINI MART FINAL MENU - Pr'!K111="", "", 'AYIRA MINI MART FINAL MENU - Pr'!K111)</f>
        <v/>
      </c>
      <c r="F111" s="56"/>
      <c r="G111" s="56"/>
      <c r="H111" s="56"/>
      <c r="I111" s="56"/>
      <c r="J111" s="56"/>
      <c r="L111" s="56" t="str">
        <f>IF('AYIRA MINI MART FINAL MENU - Pr'!L111="", "", 'AYIRA MINI MART FINAL MENU - Pr'!L111)</f>
        <v/>
      </c>
      <c r="M111" s="56" t="str">
        <f>IF('AYIRA MINI MART FINAL MENU - Pr'!M111="", "", 'AYIRA MINI MART FINAL MENU - Pr'!M111)</f>
        <v/>
      </c>
      <c r="N111" s="56" t="str">
        <f>IF('AYIRA MINI MART FINAL MENU - Pr'!N111="", "", 'AYIRA MINI MART FINAL MENU - Pr'!N111)</f>
        <v/>
      </c>
      <c r="O111" s="57"/>
      <c r="P111" s="57"/>
      <c r="Q111" s="57"/>
      <c r="R111" s="57"/>
      <c r="S111" s="57"/>
      <c r="T111" s="57"/>
      <c r="U111" s="57"/>
      <c r="V111" s="57"/>
      <c r="W111" s="57"/>
      <c r="X111" s="57"/>
      <c r="Y111" s="57"/>
      <c r="Z111" s="57"/>
    </row>
    <row r="112">
      <c r="A112" s="56" t="str">
        <f>IFERROR(__xludf.DUMMYFUNCTION("IF('AYIRA MINI MART FINAL MENU - Pr'!A112="""", """", IF(LEN(IFERROR(TRIM(REGEXREPLACE(TRIM(REGEXEXTRACT('AYIRA MINI MART FINAL MENU - Pr'!A112, ""^[^\x{0600}-\x{06FF}]+"")), ""[-–]+$"", """")), """"))&gt;0, IFERROR(TRIM(REGEXREPLACE(TRIM(REGEXEXTRACT('AYIRA"&amp;" MINI MART FINAL MENU - Pr'!A112, ""^[^\x{0600}-\x{06FF}]+"")), ""[-–]+$"", """")), """"), GOOGLETRANSLATE('AYIRA MINI MART FINAL MENU - Pr'!A112, ""ar"", ""en"")))"),"Moussy Strawberry Flavour 330ml – Moussy")</f>
        <v>Moussy Strawberry Flavour 330ml – Moussy</v>
      </c>
      <c r="B112" s="56" t="str">
        <f>IFERROR(__xludf.DUMMYFUNCTION("IF('AYIRA MINI MART FINAL MENU - Pr'!B112="""", """", IF(LEN(IFERROR(TRIM(REGEXREPLACE(TRIM(REGEXEXTRACT('AYIRA MINI MART FINAL MENU - Pr'!B112, ""^[^\x{0600}-\x{06FF}]+"")), ""[-–]+$"", """")), """"))&gt;0, IFERROR(TRIM(REGEXREPLACE(TRIM(REGEXEXTRACT('AYIRA"&amp;" MINI MART FINAL MENU - Pr'!B112, ""^[^\x{0600}-\x{06FF}]+"")), ""[-–]+$"", """")), """"), GOOGLETRANSLATE('AYIRA MINI MART FINAL MENU - Pr'!B112, ""ar"", ""en"")))"),"Carbonated Soft Drinks")</f>
        <v>Carbonated Soft Drinks</v>
      </c>
      <c r="C112" s="58">
        <f>IF('AYIRA MINI MART FINAL MENU - Pr'!C112="", "", 'AYIRA MINI MART FINAL MENU - Pr'!C112)</f>
        <v>5.5</v>
      </c>
      <c r="D112" s="56" t="str">
        <f>IFERROR(__xludf.DUMMYFUNCTION("IF('AYIRA MINI MART FINAL MENU - Pr'!D112="""", """", GOOGLETRANSLATE('AYIRA MINI MART FINAL MENU - Pr'!D112, ""ar"", ""en""))"),"Discover Moussy Strawberry Flavor 330ml, a premium product that combines high quality with great value. Made to the highest standards of quality and safety to ensure your complete satisfaction every time. Its excellent features make it the perfect choice "&amp;"for you and your family. Whether for everyday use or special occasions, it meets and exceeds your expectations. Get it now from Aira Mini Mart and enjoy a pleasant and reliable shopping experience.")</f>
        <v>Discover Moussy Strawberry Flavor 330ml,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12" s="56" t="str">
        <f>IF('AYIRA MINI MART FINAL MENU - Pr'!K112="", "", 'AYIRA MINI MART FINAL MENU - Pr'!K112)</f>
        <v/>
      </c>
      <c r="F112" s="56"/>
      <c r="G112" s="56"/>
      <c r="H112" s="56"/>
      <c r="I112" s="56"/>
      <c r="J112" s="56"/>
      <c r="L112" s="56" t="str">
        <f>IF('AYIRA MINI MART FINAL MENU - Pr'!L112="", "", 'AYIRA MINI MART FINAL MENU - Pr'!L112)</f>
        <v/>
      </c>
      <c r="M112" s="56" t="str">
        <f>IF('AYIRA MINI MART FINAL MENU - Pr'!M112="", "", 'AYIRA MINI MART FINAL MENU - Pr'!M112)</f>
        <v/>
      </c>
      <c r="N112" s="56" t="str">
        <f>IF('AYIRA MINI MART FINAL MENU - Pr'!N112="", "", 'AYIRA MINI MART FINAL MENU - Pr'!N112)</f>
        <v/>
      </c>
      <c r="O112" s="57"/>
      <c r="P112" s="57"/>
      <c r="Q112" s="57"/>
      <c r="R112" s="57"/>
      <c r="S112" s="57"/>
      <c r="T112" s="57"/>
      <c r="U112" s="57"/>
      <c r="V112" s="57"/>
      <c r="W112" s="57"/>
      <c r="X112" s="57"/>
      <c r="Y112" s="57"/>
      <c r="Z112" s="57"/>
    </row>
    <row r="113">
      <c r="A113" s="56" t="str">
        <f>IFERROR(__xludf.DUMMYFUNCTION("IF('AYIRA MINI MART FINAL MENU - Pr'!A113="""", """", IF(LEN(IFERROR(TRIM(REGEXREPLACE(TRIM(REGEXEXTRACT('AYIRA MINI MART FINAL MENU - Pr'!A113, ""^[^\x{0600}-\x{06FF}]+"")), ""[-–]+$"", """")), """"))&gt;0, IFERROR(TRIM(REGEXREPLACE(TRIM(REGEXEXTRACT('AYIRA"&amp;" MINI MART FINAL MENU - Pr'!A113, ""^[^\x{0600}-\x{06FF}]+"")), ""[-–]+$"", """")), """"), GOOGLETRANSLATE('AYIRA MINI MART FINAL MENU - Pr'!A113, ""ar"", ""en"")))"),"Moussy Apple Flavour 330ml – Moussy")</f>
        <v>Moussy Apple Flavour 330ml – Moussy</v>
      </c>
      <c r="B113" s="56" t="str">
        <f>IFERROR(__xludf.DUMMYFUNCTION("IF('AYIRA MINI MART FINAL MENU - Pr'!B113="""", """", IF(LEN(IFERROR(TRIM(REGEXREPLACE(TRIM(REGEXEXTRACT('AYIRA MINI MART FINAL MENU - Pr'!B113, ""^[^\x{0600}-\x{06FF}]+"")), ""[-–]+$"", """")), """"))&gt;0, IFERROR(TRIM(REGEXREPLACE(TRIM(REGEXEXTRACT('AYIRA"&amp;" MINI MART FINAL MENU - Pr'!B113, ""^[^\x{0600}-\x{06FF}]+"")), ""[-–]+$"", """")), """"), GOOGLETRANSLATE('AYIRA MINI MART FINAL MENU - Pr'!B113, ""ar"", ""en"")))"),"Carbonated Soft Drinks")</f>
        <v>Carbonated Soft Drinks</v>
      </c>
      <c r="C113" s="58">
        <f>IF('AYIRA MINI MART FINAL MENU - Pr'!C113="", "", 'AYIRA MINI MART FINAL MENU - Pr'!C113)</f>
        <v>5.5</v>
      </c>
      <c r="D113" s="56" t="str">
        <f>IFERROR(__xludf.DUMMYFUNCTION("IF('AYIRA MINI MART FINAL MENU - Pr'!D113="""", """", GOOGLETRANSLATE('AYIRA MINI MART FINAL MENU - Pr'!D113, ""ar"", ""en""))"),"Discover Moussy Apple Flavor 330ml, a premium product that combines high quality with great value. Made to the highest standards of quality and safety to ensure your complete satisfaction every time. Its excellent features make it the perfect choice for y"&amp;"ou and your family. Whether for everyday use or special occasions, it meets and exceeds your expectations. Get it now from Aira Mini Mart and enjoy a pleasant and reliable shopping experience.")</f>
        <v>Discover Moussy Apple Flavor 330ml,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13" s="56" t="str">
        <f>IF('AYIRA MINI MART FINAL MENU - Pr'!K113="", "", 'AYIRA MINI MART FINAL MENU - Pr'!K113)</f>
        <v/>
      </c>
      <c r="F113" s="56"/>
      <c r="G113" s="56"/>
      <c r="H113" s="56"/>
      <c r="I113" s="56"/>
      <c r="J113" s="56"/>
      <c r="L113" s="56" t="str">
        <f>IF('AYIRA MINI MART FINAL MENU - Pr'!L113="", "", 'AYIRA MINI MART FINAL MENU - Pr'!L113)</f>
        <v/>
      </c>
      <c r="M113" s="56" t="str">
        <f>IF('AYIRA MINI MART FINAL MENU - Pr'!M113="", "", 'AYIRA MINI MART FINAL MENU - Pr'!M113)</f>
        <v/>
      </c>
      <c r="N113" s="56" t="str">
        <f>IF('AYIRA MINI MART FINAL MENU - Pr'!N113="", "", 'AYIRA MINI MART FINAL MENU - Pr'!N113)</f>
        <v/>
      </c>
      <c r="O113" s="57"/>
      <c r="P113" s="57"/>
      <c r="Q113" s="57"/>
      <c r="R113" s="57"/>
      <c r="S113" s="57"/>
      <c r="T113" s="57"/>
      <c r="U113" s="57"/>
      <c r="V113" s="57"/>
      <c r="W113" s="57"/>
      <c r="X113" s="57"/>
      <c r="Y113" s="57"/>
      <c r="Z113" s="57"/>
    </row>
    <row r="114">
      <c r="A114" s="56" t="str">
        <f>IFERROR(__xludf.DUMMYFUNCTION("IF('AYIRA MINI MART FINAL MENU - Pr'!A114="""", """", IF(LEN(IFERROR(TRIM(REGEXREPLACE(TRIM(REGEXEXTRACT('AYIRA MINI MART FINAL MENU - Pr'!A114, ""^[^\x{0600}-\x{06FF}]+"")), ""[-–]+$"", """")), """"))&gt;0, IFERROR(TRIM(REGEXREPLACE(TRIM(REGEXEXTRACT('AYIRA"&amp;" MINI MART FINAL MENU - Pr'!A114, ""^[^\x{0600}-\x{06FF}]+"")), ""[-–]+$"", """")), """"), GOOGLETRANSLATE('AYIRA MINI MART FINAL MENU - Pr'!A114, ""ar"", ""en"")))"),"Moussy Lemon Mint Flavour 330ml – Moussy")</f>
        <v>Moussy Lemon Mint Flavour 330ml – Moussy</v>
      </c>
      <c r="B114" s="56" t="str">
        <f>IFERROR(__xludf.DUMMYFUNCTION("IF('AYIRA MINI MART FINAL MENU - Pr'!B114="""", """", IF(LEN(IFERROR(TRIM(REGEXREPLACE(TRIM(REGEXEXTRACT('AYIRA MINI MART FINAL MENU - Pr'!B114, ""^[^\x{0600}-\x{06FF}]+"")), ""[-–]+$"", """")), """"))&gt;0, IFERROR(TRIM(REGEXREPLACE(TRIM(REGEXEXTRACT('AYIRA"&amp;" MINI MART FINAL MENU - Pr'!B114, ""^[^\x{0600}-\x{06FF}]+"")), ""[-–]+$"", """")), """"), GOOGLETRANSLATE('AYIRA MINI MART FINAL MENU - Pr'!B114, ""ar"", ""en"")))"),"Carbonated Soft Drinks")</f>
        <v>Carbonated Soft Drinks</v>
      </c>
      <c r="C114" s="58">
        <f>IF('AYIRA MINI MART FINAL MENU - Pr'!C114="", "", 'AYIRA MINI MART FINAL MENU - Pr'!C114)</f>
        <v>5.5</v>
      </c>
      <c r="D114" s="56" t="str">
        <f>IFERROR(__xludf.DUMMYFUNCTION("IF('AYIRA MINI MART FINAL MENU - Pr'!D114="""", """", GOOGLETRANSLATE('AYIRA MINI MART FINAL MENU - Pr'!D114, ""ar"", ""en""))"),"Add a sweet touch to your day with Moussy Lemon Mint Flavor 330ml, a delicious treat loved by everyone. Its varied flavors and attractive colors make it suitable for all ages. Perfect as a small treat or a light gift for friends and family. Made with high"&amp;" quality ingredients to ensure a great taste in every bite. Get yours from Aira Mini Mart and spread the joy to your loved ones.")</f>
        <v>Add a sweet touch to your day with Moussy Lemon Mint Flavor 330ml, a delicious treat loved by everyone. Its varied flavors and attractive colors make it suitable for all ages. Perfect as a small treat or a light gift for friends and family. Made with high quality ingredients to ensure a great taste in every bite. Get yours from Aira Mini Mart and spread the joy to your loved ones.</v>
      </c>
      <c r="E114" s="56" t="str">
        <f>IF('AYIRA MINI MART FINAL MENU - Pr'!K114="", "", 'AYIRA MINI MART FINAL MENU - Pr'!K114)</f>
        <v/>
      </c>
      <c r="F114" s="56"/>
      <c r="G114" s="56"/>
      <c r="H114" s="56"/>
      <c r="I114" s="56"/>
      <c r="J114" s="56"/>
      <c r="L114" s="56" t="str">
        <f>IF('AYIRA MINI MART FINAL MENU - Pr'!L114="", "", 'AYIRA MINI MART FINAL MENU - Pr'!L114)</f>
        <v/>
      </c>
      <c r="M114" s="56" t="str">
        <f>IF('AYIRA MINI MART FINAL MENU - Pr'!M114="", "", 'AYIRA MINI MART FINAL MENU - Pr'!M114)</f>
        <v/>
      </c>
      <c r="N114" s="56" t="str">
        <f>IF('AYIRA MINI MART FINAL MENU - Pr'!N114="", "", 'AYIRA MINI MART FINAL MENU - Pr'!N114)</f>
        <v/>
      </c>
      <c r="O114" s="57"/>
      <c r="P114" s="57"/>
      <c r="Q114" s="57"/>
      <c r="R114" s="57"/>
      <c r="S114" s="57"/>
      <c r="T114" s="57"/>
      <c r="U114" s="57"/>
      <c r="V114" s="57"/>
      <c r="W114" s="57"/>
      <c r="X114" s="57"/>
      <c r="Y114" s="57"/>
      <c r="Z114" s="57"/>
    </row>
    <row r="115">
      <c r="A115" s="56" t="str">
        <f>IFERROR(__xludf.DUMMYFUNCTION("IF('AYIRA MINI MART FINAL MENU - Pr'!A115="""", """", IF(LEN(IFERROR(TRIM(REGEXREPLACE(TRIM(REGEXEXTRACT('AYIRA MINI MART FINAL MENU - Pr'!A115, ""^[^\x{0600}-\x{06FF}]+"")), ""[-–]+$"", """")), """"))&gt;0, IFERROR(TRIM(REGEXREPLACE(TRIM(REGEXEXTRACT('AYIRA"&amp;" MINI MART FINAL MENU - Pr'!A115, ""^[^\x{0600}-\x{06FF}]+"")), ""[-–]+$"", """")), """"), GOOGLETRANSLATE('AYIRA MINI MART FINAL MENU - Pr'!A115, ""ar"", ""en"")))"),"Moussy Classic Flavour 330ml – Moussy")</f>
        <v>Moussy Classic Flavour 330ml – Moussy</v>
      </c>
      <c r="B115" s="56" t="str">
        <f>IFERROR(__xludf.DUMMYFUNCTION("IF('AYIRA MINI MART FINAL MENU - Pr'!B115="""", """", IF(LEN(IFERROR(TRIM(REGEXREPLACE(TRIM(REGEXEXTRACT('AYIRA MINI MART FINAL MENU - Pr'!B115, ""^[^\x{0600}-\x{06FF}]+"")), ""[-–]+$"", """")), """"))&gt;0, IFERROR(TRIM(REGEXREPLACE(TRIM(REGEXEXTRACT('AYIRA"&amp;" MINI MART FINAL MENU - Pr'!B115, ""^[^\x{0600}-\x{06FF}]+"")), ""[-–]+$"", """")), """"), GOOGLETRANSLATE('AYIRA MINI MART FINAL MENU - Pr'!B115, ""ar"", ""en"")))"),"Carbonated Soft Drinks")</f>
        <v>Carbonated Soft Drinks</v>
      </c>
      <c r="C115" s="58">
        <f>IF('AYIRA MINI MART FINAL MENU - Pr'!C115="", "", 'AYIRA MINI MART FINAL MENU - Pr'!C115)</f>
        <v>5.5</v>
      </c>
      <c r="D115" s="56" t="str">
        <f>IFERROR(__xludf.DUMMYFUNCTION("IF('AYIRA MINI MART FINAL MENU - Pr'!D115="""", """", GOOGLETRANSLATE('AYIRA MINI MART FINAL MENU - Pr'!D115, ""ar"", ""en""))"),"Discover Moussy Classic Flavor 330ml, a premium product that combines high quality with exceptional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Moussy Classic Flavor 330ml,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15" s="56" t="str">
        <f>IF('AYIRA MINI MART FINAL MENU - Pr'!K115="", "", 'AYIRA MINI MART FINAL MENU - Pr'!K115)</f>
        <v/>
      </c>
      <c r="F115" s="56"/>
      <c r="G115" s="56"/>
      <c r="H115" s="56"/>
      <c r="I115" s="56"/>
      <c r="J115" s="56"/>
      <c r="L115" s="56" t="str">
        <f>IF('AYIRA MINI MART FINAL MENU - Pr'!L115="", "", 'AYIRA MINI MART FINAL MENU - Pr'!L115)</f>
        <v/>
      </c>
      <c r="M115" s="56" t="str">
        <f>IF('AYIRA MINI MART FINAL MENU - Pr'!M115="", "", 'AYIRA MINI MART FINAL MENU - Pr'!M115)</f>
        <v/>
      </c>
      <c r="N115" s="56" t="str">
        <f>IF('AYIRA MINI MART FINAL MENU - Pr'!N115="", "", 'AYIRA MINI MART FINAL MENU - Pr'!N115)</f>
        <v/>
      </c>
      <c r="O115" s="57"/>
      <c r="P115" s="57"/>
      <c r="Q115" s="57"/>
      <c r="R115" s="57"/>
      <c r="S115" s="57"/>
      <c r="T115" s="57"/>
      <c r="U115" s="57"/>
      <c r="V115" s="57"/>
      <c r="W115" s="57"/>
      <c r="X115" s="57"/>
      <c r="Y115" s="57"/>
      <c r="Z115" s="57"/>
    </row>
    <row r="116">
      <c r="A116" s="56" t="str">
        <f>IFERROR(__xludf.DUMMYFUNCTION("IF('AYIRA MINI MART FINAL MENU - Pr'!A116="""", """", IF(LEN(IFERROR(TRIM(REGEXREPLACE(TRIM(REGEXEXTRACT('AYIRA MINI MART FINAL MENU - Pr'!A116, ""^[^\x{0600}-\x{06FF}]+"")), ""[-–]+$"", """")), """"))&gt;0, IFERROR(TRIM(REGEXREPLACE(TRIM(REGEXEXTRACT('AYIRA"&amp;" MINI MART FINAL MENU - Pr'!A116, ""^[^\x{0600}-\x{06FF}]+"")), ""[-–]+$"", """")), """"), GOOGLETRANSLATE('AYIRA MINI MART FINAL MENU - Pr'!A116, ""ar"", ""en"")))"),"Moussy Ice Berry Flavour 330ml – Moussy Ice Berry Flavour 330")</f>
        <v>Moussy Ice Berry Flavour 330ml – Moussy Ice Berry Flavour 330</v>
      </c>
      <c r="B116" s="56" t="str">
        <f>IFERROR(__xludf.DUMMYFUNCTION("IF('AYIRA MINI MART FINAL MENU - Pr'!B116="""", """", IF(LEN(IFERROR(TRIM(REGEXREPLACE(TRIM(REGEXEXTRACT('AYIRA MINI MART FINAL MENU - Pr'!B116, ""^[^\x{0600}-\x{06FF}]+"")), ""[-–]+$"", """")), """"))&gt;0, IFERROR(TRIM(REGEXREPLACE(TRIM(REGEXEXTRACT('AYIRA"&amp;" MINI MART FINAL MENU - Pr'!B116, ""^[^\x{0600}-\x{06FF}]+"")), ""[-–]+$"", """")), """"), GOOGLETRANSLATE('AYIRA MINI MART FINAL MENU - Pr'!B116, ""ar"", ""en"")))"),"Carbonated Soft Drinks")</f>
        <v>Carbonated Soft Drinks</v>
      </c>
      <c r="C116" s="58">
        <f>IF('AYIRA MINI MART FINAL MENU - Pr'!C116="", "", 'AYIRA MINI MART FINAL MENU - Pr'!C116)</f>
        <v>5.5</v>
      </c>
      <c r="D116" s="56" t="str">
        <f>IFERROR(__xludf.DUMMYFUNCTION("IF('AYIRA MINI MART FINAL MENU - Pr'!D116="""", """", GOOGLETRANSLATE('AYIRA MINI MART FINAL MENU - Pr'!D116, ""ar"", ""en""))"),"Discover Moussy Ice Berry Flavor 330ml, a premium product that combines high quality with great value. Made to the highest standards of quality and safety to ensure your complete satisfaction every time. Its excellent features make it the perfect choice f"&amp;"or you and your family. Whether for everyday use or special occasions, it meets and exceeds your expectations. Get it now from Aira Mini Mart and enjoy a pleasant and reliable shopping experience.")</f>
        <v>Discover Moussy Ice Berry Flavor 330ml,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16" s="56" t="str">
        <f>IF('AYIRA MINI MART FINAL MENU - Pr'!K116="", "", 'AYIRA MINI MART FINAL MENU - Pr'!K116)</f>
        <v/>
      </c>
      <c r="F116" s="56"/>
      <c r="G116" s="56"/>
      <c r="H116" s="56"/>
      <c r="I116" s="56"/>
      <c r="J116" s="56"/>
      <c r="L116" s="56" t="str">
        <f>IF('AYIRA MINI MART FINAL MENU - Pr'!L116="", "", 'AYIRA MINI MART FINAL MENU - Pr'!L116)</f>
        <v/>
      </c>
      <c r="M116" s="56" t="str">
        <f>IF('AYIRA MINI MART FINAL MENU - Pr'!M116="", "", 'AYIRA MINI MART FINAL MENU - Pr'!M116)</f>
        <v/>
      </c>
      <c r="N116" s="56" t="str">
        <f>IF('AYIRA MINI MART FINAL MENU - Pr'!N116="", "", 'AYIRA MINI MART FINAL MENU - Pr'!N116)</f>
        <v/>
      </c>
      <c r="O116" s="57"/>
      <c r="P116" s="57"/>
      <c r="Q116" s="57"/>
      <c r="R116" s="57"/>
      <c r="S116" s="57"/>
      <c r="T116" s="57"/>
      <c r="U116" s="57"/>
      <c r="V116" s="57"/>
      <c r="W116" s="57"/>
      <c r="X116" s="57"/>
      <c r="Y116" s="57"/>
      <c r="Z116" s="57"/>
    </row>
    <row r="117">
      <c r="A117" s="56" t="str">
        <f>IFERROR(__xludf.DUMMYFUNCTION("IF('AYIRA MINI MART FINAL MENU - Pr'!A117="""", """", IF(LEN(IFERROR(TRIM(REGEXREPLACE(TRIM(REGEXEXTRACT('AYIRA MINI MART FINAL MENU - Pr'!A117, ""^[^\x{0600}-\x{06FF}]+"")), ""[-–]+$"", """")), """"))&gt;0, IFERROR(TRIM(REGEXREPLACE(TRIM(REGEXEXTRACT('AYIRA"&amp;" MINI MART FINAL MENU - Pr'!A117, ""^[^\x{0600}-\x{06FF}]+"")), ""[-–]+$"", """")), """"), GOOGLETRANSLATE('AYIRA MINI MART FINAL MENU - Pr'!A117, ""ar"", ""en"")))"),"Kinza Citrus 250ml – Kinza Citrus 250")</f>
        <v>Kinza Citrus 250ml – Kinza Citrus 250</v>
      </c>
      <c r="B117" s="56" t="str">
        <f>IFERROR(__xludf.DUMMYFUNCTION("IF('AYIRA MINI MART FINAL MENU - Pr'!B117="""", """", IF(LEN(IFERROR(TRIM(REGEXREPLACE(TRIM(REGEXEXTRACT('AYIRA MINI MART FINAL MENU - Pr'!B117, ""^[^\x{0600}-\x{06FF}]+"")), ""[-–]+$"", """")), """"))&gt;0, IFERROR(TRIM(REGEXREPLACE(TRIM(REGEXEXTRACT('AYIRA"&amp;" MINI MART FINAL MENU - Pr'!B117, ""^[^\x{0600}-\x{06FF}]+"")), ""[-–]+$"", """")), """"), GOOGLETRANSLATE('AYIRA MINI MART FINAL MENU - Pr'!B117, ""ar"", ""en"")))"),"Carbonated Soft Drinks")</f>
        <v>Carbonated Soft Drinks</v>
      </c>
      <c r="C117" s="58">
        <f>IF('AYIRA MINI MART FINAL MENU - Pr'!C117="", "", 'AYIRA MINI MART FINAL MENU - Pr'!C117)</f>
        <v>2.5</v>
      </c>
      <c r="D117" s="56" t="str">
        <f>IFERROR(__xludf.DUMMYFUNCTION("IF('AYIRA MINI MART FINAL MENU - Pr'!D117="""", """", GOOGLETRANSLATE('AYIRA MINI MART FINAL MENU - Pr'!D117, ""ar"", ""en""))"),"Discover Kinza Citrus 250ml, a premium product that combines high quality with exceptional value. Made to the highest standards of quality and safety to ensure your complete satisfaction every time, its excellent features make it the perfect choice for yo"&amp;"u and your family. Whether for everyday use or special occasions, it meets and exceeds your expectations. Get it now from Aira Mini Mart and enjoy a pleasant and reliable shopping experience.")</f>
        <v>Discover Kinza Citrus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17" s="56" t="str">
        <f>IF('AYIRA MINI MART FINAL MENU - Pr'!K117="", "", 'AYIRA MINI MART FINAL MENU - Pr'!K117)</f>
        <v/>
      </c>
      <c r="F117" s="56"/>
      <c r="G117" s="56"/>
      <c r="H117" s="56"/>
      <c r="I117" s="56"/>
      <c r="J117" s="56"/>
      <c r="L117" s="56" t="str">
        <f>IF('AYIRA MINI MART FINAL MENU - Pr'!L117="", "", 'AYIRA MINI MART FINAL MENU - Pr'!L117)</f>
        <v/>
      </c>
      <c r="M117" s="56" t="str">
        <f>IF('AYIRA MINI MART FINAL MENU - Pr'!M117="", "", 'AYIRA MINI MART FINAL MENU - Pr'!M117)</f>
        <v/>
      </c>
      <c r="N117" s="56" t="str">
        <f>IF('AYIRA MINI MART FINAL MENU - Pr'!N117="", "", 'AYIRA MINI MART FINAL MENU - Pr'!N117)</f>
        <v/>
      </c>
      <c r="O117" s="57"/>
      <c r="P117" s="57"/>
      <c r="Q117" s="57"/>
      <c r="R117" s="57"/>
      <c r="S117" s="57"/>
      <c r="T117" s="57"/>
      <c r="U117" s="57"/>
      <c r="V117" s="57"/>
      <c r="W117" s="57"/>
      <c r="X117" s="57"/>
      <c r="Y117" s="57"/>
      <c r="Z117" s="57"/>
    </row>
    <row r="118">
      <c r="A118" s="56" t="str">
        <f>IFERROR(__xludf.DUMMYFUNCTION("IF('AYIRA MINI MART FINAL MENU - Pr'!A118="""", """", IF(LEN(IFERROR(TRIM(REGEXREPLACE(TRIM(REGEXEXTRACT('AYIRA MINI MART FINAL MENU - Pr'!A118, ""^[^\x{0600}-\x{06FF}]+"")), ""[-–]+$"", """")), """"))&gt;0, IFERROR(TRIM(REGEXREPLACE(TRIM(REGEXEXTRACT('AYIRA"&amp;" MINI MART FINAL MENU - Pr'!A118, ""^[^\x{0600}-\x{06FF}]+"")), ""[-–]+$"", """")), """"), GOOGLETRANSLATE('AYIRA MINI MART FINAL MENU - Pr'!A118, ""ar"", ""en"")))"),"Kinza Pomegranate 250ml – Kinza Pomegranate 250")</f>
        <v>Kinza Pomegranate 250ml – Kinza Pomegranate 250</v>
      </c>
      <c r="B118" s="56" t="str">
        <f>IFERROR(__xludf.DUMMYFUNCTION("IF('AYIRA MINI MART FINAL MENU - Pr'!B118="""", """", IF(LEN(IFERROR(TRIM(REGEXREPLACE(TRIM(REGEXEXTRACT('AYIRA MINI MART FINAL MENU - Pr'!B118, ""^[^\x{0600}-\x{06FF}]+"")), ""[-–]+$"", """")), """"))&gt;0, IFERROR(TRIM(REGEXREPLACE(TRIM(REGEXEXTRACT('AYIRA"&amp;" MINI MART FINAL MENU - Pr'!B118, ""^[^\x{0600}-\x{06FF}]+"")), ""[-–]+$"", """")), """"), GOOGLETRANSLATE('AYIRA MINI MART FINAL MENU - Pr'!B118, ""ar"", ""en"")))"),"Carbonated Soft Drinks")</f>
        <v>Carbonated Soft Drinks</v>
      </c>
      <c r="C118" s="58">
        <f>IF('AYIRA MINI MART FINAL MENU - Pr'!C118="", "", 'AYIRA MINI MART FINAL MENU - Pr'!C118)</f>
        <v>2.5</v>
      </c>
      <c r="D118" s="56" t="str">
        <f>IFERROR(__xludf.DUMMYFUNCTION("IF('AYIRA MINI MART FINAL MENU - Pr'!D118="""", """", GOOGLETRANSLATE('AYIRA MINI MART FINAL MENU - Pr'!D118, ""ar"", ""en""))"),"Discover Kinza Pomegranate 250ml, a premium product that combines high quality with exceptional value. Made to the highest standards of quality and safety to ensure your complete satisfaction every time, its excellent features make it the perfect choice f"&amp;"or you and your family. Whether for everyday use or special occasions, it meets and exceeds your expectations. Get it now from Aira Mini Mart and enjoy a pleasant and reliable shopping experience.")</f>
        <v>Discover Kinza Pomegranate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18" s="56" t="str">
        <f>IF('AYIRA MINI MART FINAL MENU - Pr'!K118="", "", 'AYIRA MINI MART FINAL MENU - Pr'!K118)</f>
        <v/>
      </c>
      <c r="F118" s="56"/>
      <c r="G118" s="56"/>
      <c r="H118" s="56"/>
      <c r="I118" s="56"/>
      <c r="J118" s="56"/>
      <c r="L118" s="56" t="str">
        <f>IF('AYIRA MINI MART FINAL MENU - Pr'!L118="", "", 'AYIRA MINI MART FINAL MENU - Pr'!L118)</f>
        <v/>
      </c>
      <c r="M118" s="56" t="str">
        <f>IF('AYIRA MINI MART FINAL MENU - Pr'!M118="", "", 'AYIRA MINI MART FINAL MENU - Pr'!M118)</f>
        <v/>
      </c>
      <c r="N118" s="56" t="str">
        <f>IF('AYIRA MINI MART FINAL MENU - Pr'!N118="", "", 'AYIRA MINI MART FINAL MENU - Pr'!N118)</f>
        <v/>
      </c>
      <c r="O118" s="57"/>
      <c r="P118" s="57"/>
      <c r="Q118" s="57"/>
      <c r="R118" s="57"/>
      <c r="S118" s="57"/>
      <c r="T118" s="57"/>
      <c r="U118" s="57"/>
      <c r="V118" s="57"/>
      <c r="W118" s="57"/>
      <c r="X118" s="57"/>
      <c r="Y118" s="57"/>
      <c r="Z118" s="57"/>
    </row>
    <row r="119">
      <c r="A119" s="56" t="str">
        <f>IFERROR(__xludf.DUMMYFUNCTION("IF('AYIRA MINI MART FINAL MENU - Pr'!A119="""", """", IF(LEN(IFERROR(TRIM(REGEXREPLACE(TRIM(REGEXEXTRACT('AYIRA MINI MART FINAL MENU - Pr'!A119, ""^[^\x{0600}-\x{06FF}]+"")), ""[-–]+$"", """")), """"))&gt;0, IFERROR(TRIM(REGEXREPLACE(TRIM(REGEXEXTRACT('AYIRA"&amp;" MINI MART FINAL MENU - Pr'!A119, ""^[^\x{0600}-\x{06FF}]+"")), ""[-–]+$"", """")), """"), GOOGLETRANSLATE('AYIRA MINI MART FINAL MENU - Pr'!A119, ""ar"", ""en"")))"),"Kinza Orange 250ml – Kinza")</f>
        <v>Kinza Orange 250ml – Kinza</v>
      </c>
      <c r="B119" s="56" t="str">
        <f>IFERROR(__xludf.DUMMYFUNCTION("IF('AYIRA MINI MART FINAL MENU - Pr'!B119="""", """", IF(LEN(IFERROR(TRIM(REGEXREPLACE(TRIM(REGEXEXTRACT('AYIRA MINI MART FINAL MENU - Pr'!B119, ""^[^\x{0600}-\x{06FF}]+"")), ""[-–]+$"", """")), """"))&gt;0, IFERROR(TRIM(REGEXREPLACE(TRIM(REGEXEXTRACT('AYIRA"&amp;" MINI MART FINAL MENU - Pr'!B119, ""^[^\x{0600}-\x{06FF}]+"")), ""[-–]+$"", """")), """"), GOOGLETRANSLATE('AYIRA MINI MART FINAL MENU - Pr'!B119, ""ar"", ""en"")))"),"Carbonated Soft Drinks")</f>
        <v>Carbonated Soft Drinks</v>
      </c>
      <c r="C119" s="58">
        <f>IF('AYIRA MINI MART FINAL MENU - Pr'!C119="", "", 'AYIRA MINI MART FINAL MENU - Pr'!C119)</f>
        <v>2.5</v>
      </c>
      <c r="D119" s="56" t="str">
        <f>IFERROR(__xludf.DUMMYFUNCTION("IF('AYIRA MINI MART FINAL MENU - Pr'!D119="""", """", GOOGLETRANSLATE('AYIRA MINI MART FINAL MENU - Pr'!D119, ""ar"", ""en""))"),"Discover Kinza Orange 250ml, a premium product that combines high quality with exceptional value. Made to the highest standards of quality and safety to ensure your complete satisfaction every time, its excellent features make it the perfect choice for yo"&amp;"u and your family. Whether for everyday use or special occasions, it meets and exceeds your expectations. Get it now from Aira Mini Mart and enjoy a pleasant and reliable shopping experience.")</f>
        <v>Discover Kinza Orange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19" s="56" t="str">
        <f>IF('AYIRA MINI MART FINAL MENU - Pr'!K119="", "", 'AYIRA MINI MART FINAL MENU - Pr'!K119)</f>
        <v/>
      </c>
      <c r="F119" s="56"/>
      <c r="G119" s="56"/>
      <c r="H119" s="56"/>
      <c r="I119" s="56"/>
      <c r="J119" s="56"/>
      <c r="L119" s="56" t="str">
        <f>IF('AYIRA MINI MART FINAL MENU - Pr'!L119="", "", 'AYIRA MINI MART FINAL MENU - Pr'!L119)</f>
        <v/>
      </c>
      <c r="M119" s="56" t="str">
        <f>IF('AYIRA MINI MART FINAL MENU - Pr'!M119="", "", 'AYIRA MINI MART FINAL MENU - Pr'!M119)</f>
        <v/>
      </c>
      <c r="N119" s="56" t="str">
        <f>IF('AYIRA MINI MART FINAL MENU - Pr'!N119="", "", 'AYIRA MINI MART FINAL MENU - Pr'!N119)</f>
        <v/>
      </c>
      <c r="O119" s="57"/>
      <c r="P119" s="57"/>
      <c r="Q119" s="57"/>
      <c r="R119" s="57"/>
      <c r="S119" s="57"/>
      <c r="T119" s="57"/>
      <c r="U119" s="57"/>
      <c r="V119" s="57"/>
      <c r="W119" s="57"/>
      <c r="X119" s="57"/>
      <c r="Y119" s="57"/>
      <c r="Z119" s="57"/>
    </row>
    <row r="120">
      <c r="A120" s="56" t="str">
        <f>IFERROR(__xludf.DUMMYFUNCTION("IF('AYIRA MINI MART FINAL MENU - Pr'!A120="""", """", IF(LEN(IFERROR(TRIM(REGEXREPLACE(TRIM(REGEXEXTRACT('AYIRA MINI MART FINAL MENU - Pr'!A120, ""^[^\x{0600}-\x{06FF}]+"")), ""[-–]+$"", """")), """"))&gt;0, IFERROR(TRIM(REGEXREPLACE(TRIM(REGEXEXTRACT('AYIRA"&amp;" MINI MART FINAL MENU - Pr'!A120, ""^[^\x{0600}-\x{06FF}]+"")), ""[-–]+$"", """")), """"), GOOGLETRANSLATE('AYIRA MINI MART FINAL MENU - Pr'!A120, ""ar"", ""en"")))"),"Kinza Cola 250ml – Kinza Cola 250")</f>
        <v>Kinza Cola 250ml – Kinza Cola 250</v>
      </c>
      <c r="B120" s="56" t="str">
        <f>IFERROR(__xludf.DUMMYFUNCTION("IF('AYIRA MINI MART FINAL MENU - Pr'!B120="""", """", IF(LEN(IFERROR(TRIM(REGEXREPLACE(TRIM(REGEXEXTRACT('AYIRA MINI MART FINAL MENU - Pr'!B120, ""^[^\x{0600}-\x{06FF}]+"")), ""[-–]+$"", """")), """"))&gt;0, IFERROR(TRIM(REGEXREPLACE(TRIM(REGEXEXTRACT('AYIRA"&amp;" MINI MART FINAL MENU - Pr'!B120, ""^[^\x{0600}-\x{06FF}]+"")), ""[-–]+$"", """")), """"), GOOGLETRANSLATE('AYIRA MINI MART FINAL MENU - Pr'!B120, ""ar"", ""en"")))"),"Carbonated Soft Drinks")</f>
        <v>Carbonated Soft Drinks</v>
      </c>
      <c r="C120" s="58">
        <f>IF('AYIRA MINI MART FINAL MENU - Pr'!C120="", "", 'AYIRA MINI MART FINAL MENU - Pr'!C120)</f>
        <v>2.5</v>
      </c>
      <c r="D120" s="56" t="str">
        <f>IFERROR(__xludf.DUMMYFUNCTION("IF('AYIRA MINI MART FINAL MENU - Pr'!D120="""", """", GOOGLETRANSLATE('AYIRA MINI MART FINAL MENU - Pr'!D120, ""ar"", ""en""))"),"Enjoy Kinza Cola 250ml, the refreshing soft drink that gives you energy and vitality with every sip. Its delicious taste and unique formula make it the perfect choice to quench your thirst anytime. Ideal for parties, family gatherings, and various occasio"&amp;"ns. It boasts distinctive flavors that make every sip an unforgettable experience. Get it now from Aira Mini Mart at the best prices and highest quality. Our premium drink provides instant refreshment and satisfies your discerning palate whenever you need"&amp;" hydration.")</f>
        <v>Enjoy Kinza Cola 250ml, the refreshing soft drink that gives you energy and vitality with every sip.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20" s="56" t="str">
        <f>IF('AYIRA MINI MART FINAL MENU - Pr'!K120="", "", 'AYIRA MINI MART FINAL MENU - Pr'!K120)</f>
        <v/>
      </c>
      <c r="F120" s="56"/>
      <c r="G120" s="56"/>
      <c r="H120" s="56"/>
      <c r="I120" s="56"/>
      <c r="J120" s="56"/>
      <c r="L120" s="56" t="str">
        <f>IF('AYIRA MINI MART FINAL MENU - Pr'!L120="", "", 'AYIRA MINI MART FINAL MENU - Pr'!L120)</f>
        <v/>
      </c>
      <c r="M120" s="56" t="str">
        <f>IF('AYIRA MINI MART FINAL MENU - Pr'!M120="", "", 'AYIRA MINI MART FINAL MENU - Pr'!M120)</f>
        <v/>
      </c>
      <c r="N120" s="56" t="str">
        <f>IF('AYIRA MINI MART FINAL MENU - Pr'!N120="", "", 'AYIRA MINI MART FINAL MENU - Pr'!N120)</f>
        <v/>
      </c>
      <c r="O120" s="57"/>
      <c r="P120" s="57"/>
      <c r="Q120" s="57"/>
      <c r="R120" s="57"/>
      <c r="S120" s="57"/>
      <c r="T120" s="57"/>
      <c r="U120" s="57"/>
      <c r="V120" s="57"/>
      <c r="W120" s="57"/>
      <c r="X120" s="57"/>
      <c r="Y120" s="57"/>
      <c r="Z120" s="57"/>
    </row>
    <row r="121">
      <c r="A121" s="56" t="str">
        <f>IFERROR(__xludf.DUMMYFUNCTION("IF('AYIRA MINI MART FINAL MENU - Pr'!A121="""", """", IF(LEN(IFERROR(TRIM(REGEXREPLACE(TRIM(REGEXEXTRACT('AYIRA MINI MART FINAL MENU - Pr'!A121, ""^[^\x{0600}-\x{06FF}]+"")), ""[-–]+$"", """")), """"))&gt;0, IFERROR(TRIM(REGEXREPLACE(TRIM(REGEXEXTRACT('AYIRA"&amp;" MINI MART FINAL MENU - Pr'!A121, ""^[^\x{0600}-\x{06FF}]+"")), ""[-–]+$"", """")), """"), GOOGLETRANSLATE('AYIRA MINI MART FINAL MENU - Pr'!A121, ""ar"", ""en"")))"),"Kinza Lemon 250ml – Kinza")</f>
        <v>Kinza Lemon 250ml – Kinza</v>
      </c>
      <c r="B121" s="56" t="str">
        <f>IFERROR(__xludf.DUMMYFUNCTION("IF('AYIRA MINI MART FINAL MENU - Pr'!B121="""", """", IF(LEN(IFERROR(TRIM(REGEXREPLACE(TRIM(REGEXEXTRACT('AYIRA MINI MART FINAL MENU - Pr'!B121, ""^[^\x{0600}-\x{06FF}]+"")), ""[-–]+$"", """")), """"))&gt;0, IFERROR(TRIM(REGEXREPLACE(TRIM(REGEXEXTRACT('AYIRA"&amp;" MINI MART FINAL MENU - Pr'!B121, ""^[^\x{0600}-\x{06FF}]+"")), ""[-–]+$"", """")), """"), GOOGLETRANSLATE('AYIRA MINI MART FINAL MENU - Pr'!B121, ""ar"", ""en"")))"),"Carbonated Soft Drinks")</f>
        <v>Carbonated Soft Drinks</v>
      </c>
      <c r="C121" s="58">
        <f>IF('AYIRA MINI MART FINAL MENU - Pr'!C121="", "", 'AYIRA MINI MART FINAL MENU - Pr'!C121)</f>
        <v>2.5</v>
      </c>
      <c r="D121" s="56" t="str">
        <f>IFERROR(__xludf.DUMMYFUNCTION("IF('AYIRA MINI MART FINAL MENU - Pr'!D121="""", """", GOOGLETRANSLATE('AYIRA MINI MART FINAL MENU - Pr'!D121, ""ar"", ""en""))"),"Discover Kinza Lemon 250ml, a premium product that combines high quality with exceptional value. Made to the highest standards of quality and safety to ensure your complete satisfaction every time, its excellent features make it the perfect choice for you"&amp;" and your family. Whether for everyday use or special occasions, it meets and exceeds your expectations. Get it now from Aira Mini Mart and enjoy a pleasant and reliable shopping experience.")</f>
        <v>Discover Kinza Lemon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21" s="56" t="str">
        <f>IF('AYIRA MINI MART FINAL MENU - Pr'!K121="", "", 'AYIRA MINI MART FINAL MENU - Pr'!K121)</f>
        <v/>
      </c>
      <c r="F121" s="56"/>
      <c r="G121" s="56"/>
      <c r="H121" s="56"/>
      <c r="I121" s="56"/>
      <c r="J121" s="56"/>
      <c r="L121" s="56" t="str">
        <f>IF('AYIRA MINI MART FINAL MENU - Pr'!L121="", "", 'AYIRA MINI MART FINAL MENU - Pr'!L121)</f>
        <v/>
      </c>
      <c r="M121" s="56" t="str">
        <f>IF('AYIRA MINI MART FINAL MENU - Pr'!M121="", "", 'AYIRA MINI MART FINAL MENU - Pr'!M121)</f>
        <v/>
      </c>
      <c r="N121" s="56" t="str">
        <f>IF('AYIRA MINI MART FINAL MENU - Pr'!N121="", "", 'AYIRA MINI MART FINAL MENU - Pr'!N121)</f>
        <v/>
      </c>
      <c r="O121" s="57"/>
      <c r="P121" s="57"/>
      <c r="Q121" s="57"/>
      <c r="R121" s="57"/>
      <c r="S121" s="57"/>
      <c r="T121" s="57"/>
      <c r="U121" s="57"/>
      <c r="V121" s="57"/>
      <c r="W121" s="57"/>
      <c r="X121" s="57"/>
      <c r="Y121" s="57"/>
      <c r="Z121" s="57"/>
    </row>
    <row r="122">
      <c r="A122" s="56" t="str">
        <f>IFERROR(__xludf.DUMMYFUNCTION("IF('AYIRA MINI MART FINAL MENU - Pr'!A122="""", """", IF(LEN(IFERROR(TRIM(REGEXREPLACE(TRIM(REGEXEXTRACT('AYIRA MINI MART FINAL MENU - Pr'!A122, ""^[^\x{0600}-\x{06FF}]+"")), ""[-–]+$"", """")), """"))&gt;0, IFERROR(TRIM(REGEXREPLACE(TRIM(REGEXEXTRACT('AYIRA"&amp;" MINI MART FINAL MENU - Pr'!A122, ""^[^\x{0600}-\x{06FF}]+"")), ""[-–]+$"", """")), """"), GOOGLETRANSLATE('AYIRA MINI MART FINAL MENU - Pr'!A122, ""ar"", ""en"")))"),"Kinza Blackcurrant 250ml – Kinza Blackcurrant 250")</f>
        <v>Kinza Blackcurrant 250ml – Kinza Blackcurrant 250</v>
      </c>
      <c r="B122" s="56" t="str">
        <f>IFERROR(__xludf.DUMMYFUNCTION("IF('AYIRA MINI MART FINAL MENU - Pr'!B122="""", """", IF(LEN(IFERROR(TRIM(REGEXREPLACE(TRIM(REGEXEXTRACT('AYIRA MINI MART FINAL MENU - Pr'!B122, ""^[^\x{0600}-\x{06FF}]+"")), ""[-–]+$"", """")), """"))&gt;0, IFERROR(TRIM(REGEXREPLACE(TRIM(REGEXEXTRACT('AYIRA"&amp;" MINI MART FINAL MENU - Pr'!B122, ""^[^\x{0600}-\x{06FF}]+"")), ""[-–]+$"", """")), """"), GOOGLETRANSLATE('AYIRA MINI MART FINAL MENU - Pr'!B122, ""ar"", ""en"")))"),"Carbonated Soft Drinks")</f>
        <v>Carbonated Soft Drinks</v>
      </c>
      <c r="C122" s="58">
        <f>IF('AYIRA MINI MART FINAL MENU - Pr'!C122="", "", 'AYIRA MINI MART FINAL MENU - Pr'!C122)</f>
        <v>2.5</v>
      </c>
      <c r="D122" s="56" t="str">
        <f>IFERROR(__xludf.DUMMYFUNCTION("IF('AYIRA MINI MART FINAL MENU - Pr'!D122="""", """", GOOGLETRANSLATE('AYIRA MINI MART FINAL MENU - Pr'!D122, ""ar"", ""en""))"),"Discover Kinza Blackcurrant 250ml, a premium product that combines high quality with exceptional value. Made to the highest standards of quality and safety to ensure your complete satisfaction every time, its excellent features make it the perfect choice "&amp;"for you and your family. Whether for everyday use or special occasions, it meets and exceeds your expectations. Get it now from Aira Mini Mart and enjoy a pleasant and reliable shopping experience.")</f>
        <v>Discover Kinza Blackcurrant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22" s="56" t="str">
        <f>IF('AYIRA MINI MART FINAL MENU - Pr'!K122="", "", 'AYIRA MINI MART FINAL MENU - Pr'!K122)</f>
        <v/>
      </c>
      <c r="F122" s="56"/>
      <c r="G122" s="56"/>
      <c r="H122" s="56"/>
      <c r="I122" s="56"/>
      <c r="J122" s="56"/>
      <c r="L122" s="56" t="str">
        <f>IF('AYIRA MINI MART FINAL MENU - Pr'!L122="", "", 'AYIRA MINI MART FINAL MENU - Pr'!L122)</f>
        <v/>
      </c>
      <c r="M122" s="56" t="str">
        <f>IF('AYIRA MINI MART FINAL MENU - Pr'!M122="", "", 'AYIRA MINI MART FINAL MENU - Pr'!M122)</f>
        <v/>
      </c>
      <c r="N122" s="56" t="str">
        <f>IF('AYIRA MINI MART FINAL MENU - Pr'!N122="", "", 'AYIRA MINI MART FINAL MENU - Pr'!N122)</f>
        <v/>
      </c>
      <c r="O122" s="57"/>
      <c r="P122" s="57"/>
      <c r="Q122" s="57"/>
      <c r="R122" s="57"/>
      <c r="S122" s="57"/>
      <c r="T122" s="57"/>
      <c r="U122" s="57"/>
      <c r="V122" s="57"/>
      <c r="W122" s="57"/>
      <c r="X122" s="57"/>
      <c r="Y122" s="57"/>
      <c r="Z122" s="57"/>
    </row>
    <row r="123">
      <c r="A123" s="56" t="str">
        <f>IFERROR(__xludf.DUMMYFUNCTION("IF('AYIRA MINI MART FINAL MENU - Pr'!A123="""", """", IF(LEN(IFERROR(TRIM(REGEXREPLACE(TRIM(REGEXEXTRACT('AYIRA MINI MART FINAL MENU - Pr'!A123, ""^[^\x{0600}-\x{06FF}]+"")), ""[-–]+$"", """")), """"))&gt;0, IFERROR(TRIM(REGEXREPLACE(TRIM(REGEXEXTRACT('AYIRA"&amp;" MINI MART FINAL MENU - Pr'!A123, ""^[^\x{0600}-\x{06FF}]+"")), ""[-–]+$"", """")), """"), GOOGLETRANSLATE('AYIRA MINI MART FINAL MENU - Pr'!A123, ""ar"", ""en"")))"),"Kinza Diet Cola 250ml – Kinza")</f>
        <v>Kinza Diet Cola 250ml – Kinza</v>
      </c>
      <c r="B123" s="56" t="str">
        <f>IFERROR(__xludf.DUMMYFUNCTION("IF('AYIRA MINI MART FINAL MENU - Pr'!B123="""", """", IF(LEN(IFERROR(TRIM(REGEXREPLACE(TRIM(REGEXEXTRACT('AYIRA MINI MART FINAL MENU - Pr'!B123, ""^[^\x{0600}-\x{06FF}]+"")), ""[-–]+$"", """")), """"))&gt;0, IFERROR(TRIM(REGEXREPLACE(TRIM(REGEXEXTRACT('AYIRA"&amp;" MINI MART FINAL MENU - Pr'!B123, ""^[^\x{0600}-\x{06FF}]+"")), ""[-–]+$"", """")), """"), GOOGLETRANSLATE('AYIRA MINI MART FINAL MENU - Pr'!B123, ""ar"", ""en"")))"),"Carbonated Soft Drinks")</f>
        <v>Carbonated Soft Drinks</v>
      </c>
      <c r="C123" s="58">
        <f>IF('AYIRA MINI MART FINAL MENU - Pr'!C123="", "", 'AYIRA MINI MART FINAL MENU - Pr'!C123)</f>
        <v>2.5</v>
      </c>
      <c r="D123" s="56" t="str">
        <f>IFERROR(__xludf.DUMMYFUNCTION("IF('AYIRA MINI MART FINAL MENU - Pr'!D123="""", """", GOOGLETRANSLATE('AYIRA MINI MART FINAL MENU - Pr'!D123, ""ar"", ""en""))"),"Enjoy Kinza Diet Cola 250ml, the refreshing soft drink that gives you energy and vitality with every sip. Its delicious taste and unique formula make it the perfect choice to quench your thirst anytime. Ideal for parties, family gatherings, and various oc"&amp;"casions. It features distinctive flavors that make every sip an unforgettable experience. Get it now from Aira Mini Mart at the best prices and highest quality. Our premium drink provides instant refreshment and satisfies your discerning palate whenever y"&amp;"ou need hydration.")</f>
        <v>Enjoy Kinza Diet Cola 250ml, the refreshing soft drink that gives you energy and vitality with every sip. Its delicious taste and unique formula make it the perfect choice to quench your thirst anytime. Ideal for parties, family gatherings, and various occasions. It features distinctive flavors that make every sip an unforgettable experience. Get it now from Aira Mini Mart at the best prices and highest quality. Our premium drink provides instant refreshment and satisfies your discerning palate whenever you need hydration.</v>
      </c>
      <c r="E123" s="56" t="str">
        <f>IF('AYIRA MINI MART FINAL MENU - Pr'!K123="", "", 'AYIRA MINI MART FINAL MENU - Pr'!K123)</f>
        <v/>
      </c>
      <c r="F123" s="56"/>
      <c r="G123" s="56"/>
      <c r="H123" s="56"/>
      <c r="I123" s="56"/>
      <c r="J123" s="56"/>
      <c r="L123" s="56" t="str">
        <f>IF('AYIRA MINI MART FINAL MENU - Pr'!L123="", "", 'AYIRA MINI MART FINAL MENU - Pr'!L123)</f>
        <v/>
      </c>
      <c r="M123" s="56" t="str">
        <f>IF('AYIRA MINI MART FINAL MENU - Pr'!M123="", "", 'AYIRA MINI MART FINAL MENU - Pr'!M123)</f>
        <v/>
      </c>
      <c r="N123" s="56" t="str">
        <f>IF('AYIRA MINI MART FINAL MENU - Pr'!N123="", "", 'AYIRA MINI MART FINAL MENU - Pr'!N123)</f>
        <v/>
      </c>
      <c r="O123" s="57"/>
      <c r="P123" s="57"/>
      <c r="Q123" s="57"/>
      <c r="R123" s="57"/>
      <c r="S123" s="57"/>
      <c r="T123" s="57"/>
      <c r="U123" s="57"/>
      <c r="V123" s="57"/>
      <c r="W123" s="57"/>
      <c r="X123" s="57"/>
      <c r="Y123" s="57"/>
      <c r="Z123" s="57"/>
    </row>
    <row r="124">
      <c r="A124" s="56" t="str">
        <f>IFERROR(__xludf.DUMMYFUNCTION("IF('AYIRA MINI MART FINAL MENU - Pr'!A124="""", """", IF(LEN(IFERROR(TRIM(REGEXREPLACE(TRIM(REGEXEXTRACT('AYIRA MINI MART FINAL MENU - Pr'!A124, ""^[^\x{0600}-\x{06FF}]+"")), ""[-–]+$"", """")), """"))&gt;0, IFERROR(TRIM(REGEXREPLACE(TRIM(REGEXEXTRACT('AYIRA"&amp;" MINI MART FINAL MENU - Pr'!A124, ""^[^\x{0600}-\x{06FF}]+"")), ""[-–]+$"", """")), """"), GOOGLETRANSLATE('AYIRA MINI MART FINAL MENU - Pr'!A124, ""ar"", ""en"")))"),"Kinza Lemon Zero Sugar 250ml – Kinza")</f>
        <v>Kinza Lemon Zero Sugar 250ml – Kinza</v>
      </c>
      <c r="B124" s="56" t="str">
        <f>IFERROR(__xludf.DUMMYFUNCTION("IF('AYIRA MINI MART FINAL MENU - Pr'!B124="""", """", IF(LEN(IFERROR(TRIM(REGEXREPLACE(TRIM(REGEXEXTRACT('AYIRA MINI MART FINAL MENU - Pr'!B124, ""^[^\x{0600}-\x{06FF}]+"")), ""[-–]+$"", """")), """"))&gt;0, IFERROR(TRIM(REGEXREPLACE(TRIM(REGEXEXTRACT('AYIRA"&amp;" MINI MART FINAL MENU - Pr'!B124, ""^[^\x{0600}-\x{06FF}]+"")), ""[-–]+$"", """")), """"), GOOGLETRANSLATE('AYIRA MINI MART FINAL MENU - Pr'!B124, ""ar"", ""en"")))"),"Carbonated Soft Drinks")</f>
        <v>Carbonated Soft Drinks</v>
      </c>
      <c r="C124" s="58">
        <f>IF('AYIRA MINI MART FINAL MENU - Pr'!C124="", "", 'AYIRA MINI MART FINAL MENU - Pr'!C124)</f>
        <v>2.5</v>
      </c>
      <c r="D124" s="56" t="str">
        <f>IFERROR(__xludf.DUMMYFUNCTION("IF('AYIRA MINI MART FINAL MENU - Pr'!D124="""", """", GOOGLETRANSLATE('AYIRA MINI MART FINAL MENU - Pr'!D124, ""ar"", ""en""))"),"Discover Kinza Lemon Zero Sugar 250ml, a premium product that combines high quality with exceptional value. Made to the highest standards of quality and safety to ensure your complete satisfaction every time, its excellent features make it the perfect cho"&amp;"ice for you and your family. Whether for everyday use or special occasions, it meets and exceeds your expectations. Get it now from Aira Mini Mart and enjoy a pleasant and reliable shopping experience.")</f>
        <v>Discover Kinza Lemon Zero Sugar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24" s="56" t="str">
        <f>IF('AYIRA MINI MART FINAL MENU - Pr'!K124="", "", 'AYIRA MINI MART FINAL MENU - Pr'!K124)</f>
        <v/>
      </c>
      <c r="F124" s="56"/>
      <c r="G124" s="56"/>
      <c r="H124" s="56"/>
      <c r="I124" s="56"/>
      <c r="J124" s="56"/>
      <c r="L124" s="56" t="str">
        <f>IF('AYIRA MINI MART FINAL MENU - Pr'!L124="", "", 'AYIRA MINI MART FINAL MENU - Pr'!L124)</f>
        <v/>
      </c>
      <c r="M124" s="56" t="str">
        <f>IF('AYIRA MINI MART FINAL MENU - Pr'!M124="", "", 'AYIRA MINI MART FINAL MENU - Pr'!M124)</f>
        <v/>
      </c>
      <c r="N124" s="56" t="str">
        <f>IF('AYIRA MINI MART FINAL MENU - Pr'!N124="", "", 'AYIRA MINI MART FINAL MENU - Pr'!N124)</f>
        <v/>
      </c>
      <c r="O124" s="57"/>
      <c r="P124" s="57"/>
      <c r="Q124" s="57"/>
      <c r="R124" s="57"/>
      <c r="S124" s="57"/>
      <c r="T124" s="57"/>
      <c r="U124" s="57"/>
      <c r="V124" s="57"/>
      <c r="W124" s="57"/>
      <c r="X124" s="57"/>
      <c r="Y124" s="57"/>
      <c r="Z124" s="57"/>
    </row>
    <row r="125">
      <c r="A125" s="56" t="str">
        <f>IFERROR(__xludf.DUMMYFUNCTION("IF('AYIRA MINI MART FINAL MENU - Pr'!A125="""", """", IF(LEN(IFERROR(TRIM(REGEXREPLACE(TRIM(REGEXEXTRACT('AYIRA MINI MART FINAL MENU - Pr'!A125, ""^[^\x{0600}-\x{06FF}]+"")), ""[-–]+$"", """")), """"))&gt;0, IFERROR(TRIM(REGEXREPLACE(TRIM(REGEXEXTRACT('AYIRA"&amp;" MINI MART FINAL MENU - Pr'!A125, ""^[^\x{0600}-\x{06FF}]+"")), ""[-–]+$"", """")), """"), GOOGLETRANSLATE('AYIRA MINI MART FINAL MENU - Pr'!A125, ""ar"", ""en"")))"),"Fizzy Vimto Blue Raspberry 250ml – Fizzy")</f>
        <v>Fizzy Vimto Blue Raspberry 250ml – Fizzy</v>
      </c>
      <c r="B125" s="56" t="str">
        <f>IFERROR(__xludf.DUMMYFUNCTION("IF('AYIRA MINI MART FINAL MENU - Pr'!B125="""", """", IF(LEN(IFERROR(TRIM(REGEXREPLACE(TRIM(REGEXEXTRACT('AYIRA MINI MART FINAL MENU - Pr'!B125, ""^[^\x{0600}-\x{06FF}]+"")), ""[-–]+$"", """")), """"))&gt;0, IFERROR(TRIM(REGEXREPLACE(TRIM(REGEXEXTRACT('AYIRA"&amp;" MINI MART FINAL MENU - Pr'!B125, ""^[^\x{0600}-\x{06FF}]+"")), ""[-–]+$"", """")), """"), GOOGLETRANSLATE('AYIRA MINI MART FINAL MENU - Pr'!B125, ""ar"", ""en"")))"),"Carbonated Soft Drinks")</f>
        <v>Carbonated Soft Drinks</v>
      </c>
      <c r="C125" s="58">
        <f>IF('AYIRA MINI MART FINAL MENU - Pr'!C125="", "", 'AYIRA MINI MART FINAL MENU - Pr'!C125)</f>
        <v>2.5</v>
      </c>
      <c r="D125" s="56" t="str">
        <f>IFERROR(__xludf.DUMMYFUNCTION("IF('AYIRA MINI MART FINAL MENU - Pr'!D125="""", """", GOOGLETRANSLATE('AYIRA MINI MART FINAL MENU - Pr'!D125, ""ar"", ""en""))"),"Discover Fizzy Vimto Blue Raspberry 250ml, a premium product that combines high quality with great value. Made to the highest standards of quality and safety to ensure your complete satisfaction every time. Its excellent features make it the perfect choic"&amp;"e for you and your family. Whether for everyday use or special occasions, it meets and exceeds your expectations. Get it now from Aira Mini Mart and enjoy a pleasant and reliable shopping experience.")</f>
        <v>Discover Fizzy Vimto Blue Raspberry 250ml,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25" s="56" t="str">
        <f>IF('AYIRA MINI MART FINAL MENU - Pr'!K125="", "", 'AYIRA MINI MART FINAL MENU - Pr'!K125)</f>
        <v/>
      </c>
      <c r="F125" s="56"/>
      <c r="G125" s="56"/>
      <c r="H125" s="56"/>
      <c r="I125" s="56"/>
      <c r="J125" s="56"/>
      <c r="L125" s="56" t="str">
        <f>IF('AYIRA MINI MART FINAL MENU - Pr'!L125="", "", 'AYIRA MINI MART FINAL MENU - Pr'!L125)</f>
        <v/>
      </c>
      <c r="M125" s="56" t="str">
        <f>IF('AYIRA MINI MART FINAL MENU - Pr'!M125="", "", 'AYIRA MINI MART FINAL MENU - Pr'!M125)</f>
        <v/>
      </c>
      <c r="N125" s="56" t="str">
        <f>IF('AYIRA MINI MART FINAL MENU - Pr'!N125="", "", 'AYIRA MINI MART FINAL MENU - Pr'!N125)</f>
        <v/>
      </c>
      <c r="O125" s="57"/>
      <c r="P125" s="57"/>
      <c r="Q125" s="57"/>
      <c r="R125" s="57"/>
      <c r="S125" s="57"/>
      <c r="T125" s="57"/>
      <c r="U125" s="57"/>
      <c r="V125" s="57"/>
      <c r="W125" s="57"/>
      <c r="X125" s="57"/>
      <c r="Y125" s="57"/>
      <c r="Z125" s="57"/>
    </row>
    <row r="126">
      <c r="A126" s="56" t="str">
        <f>IFERROR(__xludf.DUMMYFUNCTION("IF('AYIRA MINI MART FINAL MENU - Pr'!A126="""", """", IF(LEN(IFERROR(TRIM(REGEXREPLACE(TRIM(REGEXEXTRACT('AYIRA MINI MART FINAL MENU - Pr'!A126, ""^[^\x{0600}-\x{06FF}]+"")), ""[-–]+$"", """")), """"))&gt;0, IFERROR(TRIM(REGEXREPLACE(TRIM(REGEXEXTRACT('AYIRA"&amp;" MINI MART FINAL MENU - Pr'!A126, ""^[^\x{0600}-\x{06FF}]+"")), ""[-–]+$"", """")), """"), GOOGLETRANSLATE('AYIRA MINI MART FINAL MENU - Pr'!A126, ""ar"", ""en"")))"),"Nescafé Spanish Latte 225ml")</f>
        <v>Nescafé Spanish Latte 225ml</v>
      </c>
      <c r="B126" s="56" t="str">
        <f>IFERROR(__xludf.DUMMYFUNCTION("IF('AYIRA MINI MART FINAL MENU - Pr'!B126="""", """", IF(LEN(IFERROR(TRIM(REGEXREPLACE(TRIM(REGEXEXTRACT('AYIRA MINI MART FINAL MENU - Pr'!B126, ""^[^\x{0600}-\x{06FF}]+"")), ""[-–]+$"", """")), """"))&gt;0, IFERROR(TRIM(REGEXREPLACE(TRIM(REGEXEXTRACT('AYIRA"&amp;" MINI MART FINAL MENU - Pr'!B126, ""^[^\x{0600}-\x{06FF}]+"")), ""[-–]+$"", """")), """"), GOOGLETRANSLATE('AYIRA MINI MART FINAL MENU - Pr'!B126, ""ar"", ""en"")))"),"Carbonated Soft Drinks")</f>
        <v>Carbonated Soft Drinks</v>
      </c>
      <c r="C126" s="58">
        <f>IF('AYIRA MINI MART FINAL MENU - Pr'!C126="", "", 'AYIRA MINI MART FINAL MENU - Pr'!C126)</f>
        <v>5.5</v>
      </c>
      <c r="D126" s="56" t="str">
        <f>IFERROR(__xludf.DUMMYFUNCTION("IF('AYIRA MINI MART FINAL MENU - Pr'!D126="""", """", GOOGLETRANSLATE('AYIRA MINI MART FINAL MENU - Pr'!D126, ""ar"", ""en""))"),"Discover Nescafé Spanish Latte 225ml, a premium product that combines high quality with exceptional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Nescafé Spanish Latte 225ml,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26" s="56" t="str">
        <f>IF('AYIRA MINI MART FINAL MENU - Pr'!K126="", "", 'AYIRA MINI MART FINAL MENU - Pr'!K126)</f>
        <v/>
      </c>
      <c r="F126" s="56"/>
      <c r="G126" s="56"/>
      <c r="H126" s="56"/>
      <c r="I126" s="56"/>
      <c r="J126" s="56"/>
      <c r="L126" s="56" t="str">
        <f>IF('AYIRA MINI MART FINAL MENU - Pr'!L126="", "", 'AYIRA MINI MART FINAL MENU - Pr'!L126)</f>
        <v/>
      </c>
      <c r="M126" s="56" t="str">
        <f>IF('AYIRA MINI MART FINAL MENU - Pr'!M126="", "", 'AYIRA MINI MART FINAL MENU - Pr'!M126)</f>
        <v/>
      </c>
      <c r="N126" s="56" t="str">
        <f>IF('AYIRA MINI MART FINAL MENU - Pr'!N126="", "", 'AYIRA MINI MART FINAL MENU - Pr'!N126)</f>
        <v/>
      </c>
      <c r="O126" s="57"/>
      <c r="P126" s="57"/>
      <c r="Q126" s="57"/>
      <c r="R126" s="57"/>
      <c r="S126" s="57"/>
      <c r="T126" s="57"/>
      <c r="U126" s="57"/>
      <c r="V126" s="57"/>
      <c r="W126" s="57"/>
      <c r="X126" s="57"/>
      <c r="Y126" s="57"/>
      <c r="Z126" s="57"/>
    </row>
    <row r="127">
      <c r="A127" s="56" t="str">
        <f>IFERROR(__xludf.DUMMYFUNCTION("IF('AYIRA MINI MART FINAL MENU - Pr'!A127="""", """", IF(LEN(IFERROR(TRIM(REGEXREPLACE(TRIM(REGEXEXTRACT('AYIRA MINI MART FINAL MENU - Pr'!A127, ""^[^\x{0600}-\x{06FF}]+"")), ""[-–]+$"", """")), """"))&gt;0, IFERROR(TRIM(REGEXREPLACE(TRIM(REGEXEXTRACT('AYIRA"&amp;" MINI MART FINAL MENU - Pr'!A127, ""^[^\x{0600}-\x{06FF}]+"")), ""[-–]+$"", """")), """"), GOOGLETRANSLATE('AYIRA MINI MART FINAL MENU - Pr'!A127, ""ar"", ""en"")))"),"Nescafé Mocha 225ml")</f>
        <v>Nescafé Mocha 225ml</v>
      </c>
      <c r="B127" s="56" t="str">
        <f>IFERROR(__xludf.DUMMYFUNCTION("IF('AYIRA MINI MART FINAL MENU - Pr'!B127="""", """", IF(LEN(IFERROR(TRIM(REGEXREPLACE(TRIM(REGEXEXTRACT('AYIRA MINI MART FINAL MENU - Pr'!B127, ""^[^\x{0600}-\x{06FF}]+"")), ""[-–]+$"", """")), """"))&gt;0, IFERROR(TRIM(REGEXREPLACE(TRIM(REGEXEXTRACT('AYIRA"&amp;" MINI MART FINAL MENU - Pr'!B127, ""^[^\x{0600}-\x{06FF}]+"")), ""[-–]+$"", """")), """"), GOOGLETRANSLATE('AYIRA MINI MART FINAL MENU - Pr'!B127, ""ar"", ""en"")))"),"Carbonated Soft Drinks")</f>
        <v>Carbonated Soft Drinks</v>
      </c>
      <c r="C127" s="58">
        <f>IF('AYIRA MINI MART FINAL MENU - Pr'!C127="", "", 'AYIRA MINI MART FINAL MENU - Pr'!C127)</f>
        <v>5.5</v>
      </c>
      <c r="D127" s="56" t="str">
        <f>IFERROR(__xludf.DUMMYFUNCTION("IF('AYIRA MINI MART FINAL MENU - Pr'!D127="""", """", GOOGLETRANSLATE('AYIRA MINI MART FINAL MENU - Pr'!D127, ""ar"", ""en""))"),"Discover Nescafé Mocha 225ml, the exceptional product that combines high quality with great value. Made to the highest standards of quality and safety to ensure your complete satisfaction every time. Its superior features make it the perfect choice for yo"&amp;"u and your family. Whether for everyday use or special occasions, it meets and exceeds your expectations. Get it now from Aira Mini Mart and enjoy a pleasant and reliable shopping experience.")</f>
        <v>Discover Nescafé Mocha 225ml, the exceptional product that combines high quality with great value. Made to the highest standards of quality and safety to ensure your complete satisfaction every time. Its superior features make it the perfect choice for you and your family. Whether for everyday use or special occasions, it meets and exceeds your expectations. Get it now from Aira Mini Mart and enjoy a pleasant and reliable shopping experience.</v>
      </c>
      <c r="E127" s="56" t="str">
        <f>IF('AYIRA MINI MART FINAL MENU - Pr'!K127="", "", 'AYIRA MINI MART FINAL MENU - Pr'!K127)</f>
        <v/>
      </c>
      <c r="F127" s="56"/>
      <c r="G127" s="56"/>
      <c r="H127" s="56"/>
      <c r="I127" s="56"/>
      <c r="J127" s="56"/>
      <c r="L127" s="56" t="str">
        <f>IF('AYIRA MINI MART FINAL MENU - Pr'!L127="", "", 'AYIRA MINI MART FINAL MENU - Pr'!L127)</f>
        <v/>
      </c>
      <c r="M127" s="56" t="str">
        <f>IF('AYIRA MINI MART FINAL MENU - Pr'!M127="", "", 'AYIRA MINI MART FINAL MENU - Pr'!M127)</f>
        <v/>
      </c>
      <c r="N127" s="56" t="str">
        <f>IF('AYIRA MINI MART FINAL MENU - Pr'!N127="", "", 'AYIRA MINI MART FINAL MENU - Pr'!N127)</f>
        <v/>
      </c>
      <c r="O127" s="57"/>
      <c r="P127" s="57"/>
      <c r="Q127" s="57"/>
      <c r="R127" s="57"/>
      <c r="S127" s="57"/>
      <c r="T127" s="57"/>
      <c r="U127" s="57"/>
      <c r="V127" s="57"/>
      <c r="W127" s="57"/>
      <c r="X127" s="57"/>
      <c r="Y127" s="57"/>
      <c r="Z127" s="57"/>
    </row>
    <row r="128">
      <c r="A128" s="56" t="str">
        <f>IFERROR(__xludf.DUMMYFUNCTION("IF('AYIRA MINI MART FINAL MENU - Pr'!A128="""", """", IF(LEN(IFERROR(TRIM(REGEXREPLACE(TRIM(REGEXEXTRACT('AYIRA MINI MART FINAL MENU - Pr'!A128, ""^[^\x{0600}-\x{06FF}]+"")), ""[-–]+$"", """")), """"))&gt;0, IFERROR(TRIM(REGEXREPLACE(TRIM(REGEXEXTRACT('AYIRA"&amp;" MINI MART FINAL MENU - Pr'!A128, ""^[^\x{0600}-\x{06FF}]+"")), ""[-–]+$"", """")), """"), GOOGLETRANSLATE('AYIRA MINI MART FINAL MENU - Pr'!A128, ""ar"", ""en"")))"),"Walkers Vitamin Drink 150ml – Walkers")</f>
        <v>Walkers Vitamin Drink 150ml – Walkers</v>
      </c>
      <c r="B128" s="56" t="str">
        <f>IFERROR(__xludf.DUMMYFUNCTION("IF('AYIRA MINI MART FINAL MENU - Pr'!B128="""", """", IF(LEN(IFERROR(TRIM(REGEXREPLACE(TRIM(REGEXEXTRACT('AYIRA MINI MART FINAL MENU - Pr'!B128, ""^[^\x{0600}-\x{06FF}]+"")), ""[-–]+$"", """")), """"))&gt;0, IFERROR(TRIM(REGEXREPLACE(TRIM(REGEXEXTRACT('AYIRA"&amp;" MINI MART FINAL MENU - Pr'!B128, ""^[^\x{0600}-\x{06FF}]+"")), ""[-–]+$"", """")), """"), GOOGLETRANSLATE('AYIRA MINI MART FINAL MENU - Pr'!B128, ""ar"", ""en"")))"),"Carbonated Soft Drinks")</f>
        <v>Carbonated Soft Drinks</v>
      </c>
      <c r="C128" s="58">
        <f>IF('AYIRA MINI MART FINAL MENU - Pr'!C128="", "", 'AYIRA MINI MART FINAL MENU - Pr'!C128)</f>
        <v>6</v>
      </c>
      <c r="D128" s="56" t="str">
        <f>IFERROR(__xludf.DUMMYFUNCTION("IF('AYIRA MINI MART FINAL MENU - Pr'!D128="""", """", GOOGLETRANSLATE('AYIRA MINI MART FINAL MENU - Pr'!D128, ""ar"", ""en""))"),"Discover Walkers Vitamin Drink 150ml, a premium product that combines high quality with great value. Made to the highest standards of quality and safety to ensure your complete satisfaction every time. Its excellent features make it the perfect choice for"&amp;" you and your family. Whether for everyday use or special occasions, it meets and exceeds your expectations. Get it now from Aira Mini Mart and enjoy a pleasant and reliable shopping experience.")</f>
        <v>Discover Walkers Vitamin Drink 150ml,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28" s="56" t="str">
        <f>IF('AYIRA MINI MART FINAL MENU - Pr'!K128="", "", 'AYIRA MINI MART FINAL MENU - Pr'!K128)</f>
        <v/>
      </c>
      <c r="F128" s="56"/>
      <c r="G128" s="56"/>
      <c r="H128" s="56"/>
      <c r="I128" s="56"/>
      <c r="J128" s="56"/>
      <c r="L128" s="56" t="str">
        <f>IF('AYIRA MINI MART FINAL MENU - Pr'!L128="", "", 'AYIRA MINI MART FINAL MENU - Pr'!L128)</f>
        <v/>
      </c>
      <c r="M128" s="56" t="str">
        <f>IF('AYIRA MINI MART FINAL MENU - Pr'!M128="", "", 'AYIRA MINI MART FINAL MENU - Pr'!M128)</f>
        <v/>
      </c>
      <c r="N128" s="56" t="str">
        <f>IF('AYIRA MINI MART FINAL MENU - Pr'!N128="", "", 'AYIRA MINI MART FINAL MENU - Pr'!N128)</f>
        <v/>
      </c>
      <c r="O128" s="57"/>
      <c r="P128" s="57"/>
      <c r="Q128" s="57"/>
      <c r="R128" s="57"/>
      <c r="S128" s="57"/>
      <c r="T128" s="57"/>
      <c r="U128" s="57"/>
      <c r="V128" s="57"/>
      <c r="W128" s="57"/>
      <c r="X128" s="57"/>
      <c r="Y128" s="57"/>
      <c r="Z128" s="57"/>
    </row>
    <row r="129">
      <c r="A129" s="56" t="str">
        <f>IFERROR(__xludf.DUMMYFUNCTION("IF('AYIRA MINI MART FINAL MENU - Pr'!A129="""", """", IF(LEN(IFERROR(TRIM(REGEXREPLACE(TRIM(REGEXEXTRACT('AYIRA MINI MART FINAL MENU - Pr'!A129, ""^[^\x{0600}-\x{06FF}]+"")), ""[-–]+$"", """")), """"))&gt;0, IFERROR(TRIM(REGEXREPLACE(TRIM(REGEXEXTRACT('AYIRA"&amp;" MINI MART FINAL MENU - Pr'!A129, ""^[^\x{0600}-\x{06FF}]+"")), ""[-–]+$"", """")), """"), GOOGLETRANSLATE('AYIRA MINI MART FINAL MENU - Pr'!A129, ""ar"", ""en"")))"),"Oronamin C Drink 120ml – Oronamin C")</f>
        <v>Oronamin C Drink 120ml – Oronamin C</v>
      </c>
      <c r="B129" s="56" t="str">
        <f>IFERROR(__xludf.DUMMYFUNCTION("IF('AYIRA MINI MART FINAL MENU - Pr'!B129="""", """", IF(LEN(IFERROR(TRIM(REGEXREPLACE(TRIM(REGEXEXTRACT('AYIRA MINI MART FINAL MENU - Pr'!B129, ""^[^\x{0600}-\x{06FF}]+"")), ""[-–]+$"", """")), """"))&gt;0, IFERROR(TRIM(REGEXREPLACE(TRIM(REGEXEXTRACT('AYIRA"&amp;" MINI MART FINAL MENU - Pr'!B129, ""^[^\x{0600}-\x{06FF}]+"")), ""[-–]+$"", """")), """"), GOOGLETRANSLATE('AYIRA MINI MART FINAL MENU - Pr'!B129, ""ar"", ""en"")))"),"Carbonated Soft Drinks")</f>
        <v>Carbonated Soft Drinks</v>
      </c>
      <c r="C129" s="58">
        <f>IF('AYIRA MINI MART FINAL MENU - Pr'!C129="", "", 'AYIRA MINI MART FINAL MENU - Pr'!C129)</f>
        <v>6</v>
      </c>
      <c r="D129" s="56" t="str">
        <f>IFERROR(__xludf.DUMMYFUNCTION("IF('AYIRA MINI MART FINAL MENU - Pr'!D129="""", """", GOOGLETRANSLATE('AYIRA MINI MART FINAL MENU - Pr'!D129, ""ar"", ""en""))"),"Discover Oronamin C Drink 120ml, a premium product that combines high quality with exceptional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Oronamin C Drink 120ml,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29" s="56" t="str">
        <f>IF('AYIRA MINI MART FINAL MENU - Pr'!K129="", "", 'AYIRA MINI MART FINAL MENU - Pr'!K129)</f>
        <v/>
      </c>
      <c r="F129" s="56"/>
      <c r="G129" s="56"/>
      <c r="H129" s="56"/>
      <c r="I129" s="56"/>
      <c r="J129" s="56"/>
      <c r="L129" s="56" t="str">
        <f>IF('AYIRA MINI MART FINAL MENU - Pr'!L129="", "", 'AYIRA MINI MART FINAL MENU - Pr'!L129)</f>
        <v/>
      </c>
      <c r="M129" s="56" t="str">
        <f>IF('AYIRA MINI MART FINAL MENU - Pr'!M129="", "", 'AYIRA MINI MART FINAL MENU - Pr'!M129)</f>
        <v/>
      </c>
      <c r="N129" s="56" t="str">
        <f>IF('AYIRA MINI MART FINAL MENU - Pr'!N129="", "", 'AYIRA MINI MART FINAL MENU - Pr'!N129)</f>
        <v/>
      </c>
      <c r="O129" s="57"/>
      <c r="P129" s="57"/>
      <c r="Q129" s="57"/>
      <c r="R129" s="57"/>
      <c r="S129" s="57"/>
      <c r="T129" s="57"/>
      <c r="U129" s="57"/>
      <c r="V129" s="57"/>
      <c r="W129" s="57"/>
      <c r="X129" s="57"/>
      <c r="Y129" s="57"/>
      <c r="Z129" s="57"/>
    </row>
    <row r="130">
      <c r="A130" s="56" t="str">
        <f>IFERROR(__xludf.DUMMYFUNCTION("IF('AYIRA MINI MART FINAL MENU - Pr'!A130="""", """", IF(LEN(IFERROR(TRIM(REGEXREPLACE(TRIM(REGEXEXTRACT('AYIRA MINI MART FINAL MENU - Pr'!A130, ""^[^\x{0600}-\x{06FF}]+"")), ""[-–]+$"", """")), """"))&gt;0, IFERROR(TRIM(REGEXREPLACE(TRIM(REGEXEXTRACT('AYIRA"&amp;" MINI MART FINAL MENU - Pr'!A130, ""^[^\x{0600}-\x{06FF}]+"")), ""[-–]+$"", """")), """"), GOOGLETRANSLATE('AYIRA MINI MART FINAL MENU - Pr'!A130, ""ar"", ""en"")))"),"Rita Passion 240ml – Rita Passion 240")</f>
        <v>Rita Passion 240ml – Rita Passion 240</v>
      </c>
      <c r="B130" s="56" t="str">
        <f>IFERROR(__xludf.DUMMYFUNCTION("IF('AYIRA MINI MART FINAL MENU - Pr'!B130="""", """", IF(LEN(IFERROR(TRIM(REGEXREPLACE(TRIM(REGEXEXTRACT('AYIRA MINI MART FINAL MENU - Pr'!B130, ""^[^\x{0600}-\x{06FF}]+"")), ""[-–]+$"", """")), """"))&gt;0, IFERROR(TRIM(REGEXREPLACE(TRIM(REGEXEXTRACT('AYIRA"&amp;" MINI MART FINAL MENU - Pr'!B130, ""^[^\x{0600}-\x{06FF}]+"")), ""[-–]+$"", """")), """"), GOOGLETRANSLATE('AYIRA MINI MART FINAL MENU - Pr'!B130, ""ar"", ""en"")))"),"Carbonated Soft Drinks")</f>
        <v>Carbonated Soft Drinks</v>
      </c>
      <c r="C130" s="58">
        <f>IF('AYIRA MINI MART FINAL MENU - Pr'!C130="", "", 'AYIRA MINI MART FINAL MENU - Pr'!C130)</f>
        <v>3.5</v>
      </c>
      <c r="D130" s="56" t="str">
        <f>IFERROR(__xludf.DUMMYFUNCTION("IF('AYIRA MINI MART FINAL MENU - Pr'!D130="""", """", GOOGLETRANSLATE('AYIRA MINI MART FINAL MENU - Pr'!D130, ""ar"", ""en""))"),"Discover Rita Passion 240ml, a premium product that combines high quality with exceptional value. Made to the highest standards of quality and safety to ensure your complete satisfaction every time, its excellent features make it the perfect choice for yo"&amp;"u and your family. Whether for everyday use or special occasions, it meets and exceeds your expectations. Get it now from Aira Mini Mart and enjoy a pleasant and reliable shopping experience.")</f>
        <v>Discover Rita Passion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30" s="56" t="str">
        <f>IF('AYIRA MINI MART FINAL MENU - Pr'!K130="", "", 'AYIRA MINI MART FINAL MENU - Pr'!K130)</f>
        <v/>
      </c>
      <c r="F130" s="56"/>
      <c r="G130" s="56"/>
      <c r="H130" s="56"/>
      <c r="I130" s="56"/>
      <c r="J130" s="56"/>
      <c r="L130" s="56" t="str">
        <f>IF('AYIRA MINI MART FINAL MENU - Pr'!L130="", "", 'AYIRA MINI MART FINAL MENU - Pr'!L130)</f>
        <v/>
      </c>
      <c r="M130" s="56" t="str">
        <f>IF('AYIRA MINI MART FINAL MENU - Pr'!M130="", "", 'AYIRA MINI MART FINAL MENU - Pr'!M130)</f>
        <v/>
      </c>
      <c r="N130" s="56" t="str">
        <f>IF('AYIRA MINI MART FINAL MENU - Pr'!N130="", "", 'AYIRA MINI MART FINAL MENU - Pr'!N130)</f>
        <v/>
      </c>
      <c r="O130" s="57"/>
      <c r="P130" s="57"/>
      <c r="Q130" s="57"/>
      <c r="R130" s="57"/>
      <c r="S130" s="57"/>
      <c r="T130" s="57"/>
      <c r="U130" s="57"/>
      <c r="V130" s="57"/>
      <c r="W130" s="57"/>
      <c r="X130" s="57"/>
      <c r="Y130" s="57"/>
      <c r="Z130" s="57"/>
    </row>
    <row r="131">
      <c r="A131" s="56" t="str">
        <f>IFERROR(__xludf.DUMMYFUNCTION("IF('AYIRA MINI MART FINAL MENU - Pr'!A131="""", """", IF(LEN(IFERROR(TRIM(REGEXREPLACE(TRIM(REGEXEXTRACT('AYIRA MINI MART FINAL MENU - Pr'!A131, ""^[^\x{0600}-\x{06FF}]+"")), ""[-–]+$"", """")), """"))&gt;0, IFERROR(TRIM(REGEXREPLACE(TRIM(REGEXEXTRACT('AYIRA"&amp;" MINI MART FINAL MENU - Pr'!A131, ""^[^\x{0600}-\x{06FF}]+"")), ""[-–]+$"", """")), """"), GOOGLETRANSLATE('AYIRA MINI MART FINAL MENU - Pr'!A131, ""ar"", ""en"")))"),"Rita Mojito 240ml – Rita")</f>
        <v>Rita Mojito 240ml – Rita</v>
      </c>
      <c r="B131" s="56" t="str">
        <f>IFERROR(__xludf.DUMMYFUNCTION("IF('AYIRA MINI MART FINAL MENU - Pr'!B131="""", """", IF(LEN(IFERROR(TRIM(REGEXREPLACE(TRIM(REGEXEXTRACT('AYIRA MINI MART FINAL MENU - Pr'!B131, ""^[^\x{0600}-\x{06FF}]+"")), ""[-–]+$"", """")), """"))&gt;0, IFERROR(TRIM(REGEXREPLACE(TRIM(REGEXEXTRACT('AYIRA"&amp;" MINI MART FINAL MENU - Pr'!B131, ""^[^\x{0600}-\x{06FF}]+"")), ""[-–]+$"", """")), """"), GOOGLETRANSLATE('AYIRA MINI MART FINAL MENU - Pr'!B131, ""ar"", ""en"")))"),"Carbonated Soft Drinks")</f>
        <v>Carbonated Soft Drinks</v>
      </c>
      <c r="C131" s="58">
        <f>IF('AYIRA MINI MART FINAL MENU - Pr'!C131="", "", 'AYIRA MINI MART FINAL MENU - Pr'!C131)</f>
        <v>3.5</v>
      </c>
      <c r="D131" s="56" t="str">
        <f>IFERROR(__xludf.DUMMYFUNCTION("IF('AYIRA MINI MART FINAL MENU - Pr'!D131="""", """", GOOGLETRANSLATE('AYIRA MINI MART FINAL MENU - Pr'!D131, ""ar"", ""en""))"),"Enjoy Rita Mojito 240ml, the refreshing sparkling drink that gives you energy and vitality with every sip. Its delicious taste and unique composition make it the perfect choice to quench your thirst anytime. Ideal for parties, family gatherings, and vario"&amp;"us occasions. It boasts distinctive flavors that make every sip an unforgettable experience. Get it now from Aira Mini Mart at the best prices and highest quality. Our signature drink provides instant refreshment and satisfies your discerning palate whene"&amp;"ver you need hydration.")</f>
        <v>Enjoy Rita Mojito 240ml, the refreshing sparkling drink that gives you energy and vitality with every sip. Its delicious taste and unique composition make it the perfect choice to quench your thirst anytime. Ideal for parties, family gatherings, and various occasions. It boasts distinctive flavors that make every sip an unforgettable experience. Get it now from Aira Mini Mart at the best prices and highest quality. Our signature drink provides instant refreshment and satisfies your discerning palate whenever you need hydration.</v>
      </c>
      <c r="E131" s="56" t="str">
        <f>IF('AYIRA MINI MART FINAL MENU - Pr'!K131="", "", 'AYIRA MINI MART FINAL MENU - Pr'!K131)</f>
        <v/>
      </c>
      <c r="F131" s="56"/>
      <c r="G131" s="56"/>
      <c r="H131" s="56"/>
      <c r="I131" s="56"/>
      <c r="J131" s="56"/>
      <c r="L131" s="56" t="str">
        <f>IF('AYIRA MINI MART FINAL MENU - Pr'!L131="", "", 'AYIRA MINI MART FINAL MENU - Pr'!L131)</f>
        <v/>
      </c>
      <c r="M131" s="56" t="str">
        <f>IF('AYIRA MINI MART FINAL MENU - Pr'!M131="", "", 'AYIRA MINI MART FINAL MENU - Pr'!M131)</f>
        <v/>
      </c>
      <c r="N131" s="56" t="str">
        <f>IF('AYIRA MINI MART FINAL MENU - Pr'!N131="", "", 'AYIRA MINI MART FINAL MENU - Pr'!N131)</f>
        <v/>
      </c>
      <c r="O131" s="57"/>
      <c r="P131" s="57"/>
      <c r="Q131" s="57"/>
      <c r="R131" s="57"/>
      <c r="S131" s="57"/>
      <c r="T131" s="57"/>
      <c r="U131" s="57"/>
      <c r="V131" s="57"/>
      <c r="W131" s="57"/>
      <c r="X131" s="57"/>
      <c r="Y131" s="57"/>
      <c r="Z131" s="57"/>
    </row>
    <row r="132">
      <c r="A132" s="56" t="str">
        <f>IFERROR(__xludf.DUMMYFUNCTION("IF('AYIRA MINI MART FINAL MENU - Pr'!A132="""", """", IF(LEN(IFERROR(TRIM(REGEXREPLACE(TRIM(REGEXEXTRACT('AYIRA MINI MART FINAL MENU - Pr'!A132, ""^[^\x{0600}-\x{06FF}]+"")), ""[-–]+$"", """")), """"))&gt;0, IFERROR(TRIM(REGEXREPLACE(TRIM(REGEXEXTRACT('AYIRA"&amp;" MINI MART FINAL MENU - Pr'!A132, ""^[^\x{0600}-\x{06FF}]+"")), ""[-–]+$"", """")), """"), GOOGLETRANSLATE('AYIRA MINI MART FINAL MENU - Pr'!A132, ""ar"", ""en"")))"),"Rita Red Zero Sugar 240ml – Rita Red")</f>
        <v>Rita Red Zero Sugar 240ml – Rita Red</v>
      </c>
      <c r="B132" s="56" t="str">
        <f>IFERROR(__xludf.DUMMYFUNCTION("IF('AYIRA MINI MART FINAL MENU - Pr'!B132="""", """", IF(LEN(IFERROR(TRIM(REGEXREPLACE(TRIM(REGEXEXTRACT('AYIRA MINI MART FINAL MENU - Pr'!B132, ""^[^\x{0600}-\x{06FF}]+"")), ""[-–]+$"", """")), """"))&gt;0, IFERROR(TRIM(REGEXREPLACE(TRIM(REGEXEXTRACT('AYIRA"&amp;" MINI MART FINAL MENU - Pr'!B132, ""^[^\x{0600}-\x{06FF}]+"")), ""[-–]+$"", """")), """"), GOOGLETRANSLATE('AYIRA MINI MART FINAL MENU - Pr'!B132, ""ar"", ""en"")))"),"Carbonated Soft Drinks")</f>
        <v>Carbonated Soft Drinks</v>
      </c>
      <c r="C132" s="58">
        <f>IF('AYIRA MINI MART FINAL MENU - Pr'!C132="", "", 'AYIRA MINI MART FINAL MENU - Pr'!C132)</f>
        <v>3.5</v>
      </c>
      <c r="D132" s="56" t="str">
        <f>IFERROR(__xludf.DUMMYFUNCTION("IF('AYIRA MINI MART FINAL MENU - Pr'!D132="""", """", GOOGLETRANSLATE('AYIRA MINI MART FINAL MENU - Pr'!D132, ""ar"", ""en""))"),"Discover Rita Red Zero Sugar 240ml, a premium product that combines high quality with exceptional value. Made to the highest standards of quality and safety to ensure your complete satisfaction every time, its excellent features make it the perfect choice"&amp;" for you and your family. Whether for everyday use or special occasions, it meets and exceeds your expectations. Get it now from Aira Mini Mart and enjoy a pleasant and reliable shopping experience.")</f>
        <v>Discover Rita Red Zero Sugar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32" s="56" t="str">
        <f>IF('AYIRA MINI MART FINAL MENU - Pr'!K132="", "", 'AYIRA MINI MART FINAL MENU - Pr'!K132)</f>
        <v/>
      </c>
      <c r="F132" s="56"/>
      <c r="G132" s="56"/>
      <c r="H132" s="56"/>
      <c r="I132" s="56"/>
      <c r="J132" s="56"/>
      <c r="L132" s="56" t="str">
        <f>IF('AYIRA MINI MART FINAL MENU - Pr'!L132="", "", 'AYIRA MINI MART FINAL MENU - Pr'!L132)</f>
        <v/>
      </c>
      <c r="M132" s="56" t="str">
        <f>IF('AYIRA MINI MART FINAL MENU - Pr'!M132="", "", 'AYIRA MINI MART FINAL MENU - Pr'!M132)</f>
        <v/>
      </c>
      <c r="N132" s="56" t="str">
        <f>IF('AYIRA MINI MART FINAL MENU - Pr'!N132="", "", 'AYIRA MINI MART FINAL MENU - Pr'!N132)</f>
        <v/>
      </c>
      <c r="O132" s="57"/>
      <c r="P132" s="57"/>
      <c r="Q132" s="57"/>
      <c r="R132" s="57"/>
      <c r="S132" s="57"/>
      <c r="T132" s="57"/>
      <c r="U132" s="57"/>
      <c r="V132" s="57"/>
      <c r="W132" s="57"/>
      <c r="X132" s="57"/>
      <c r="Y132" s="57"/>
      <c r="Z132" s="57"/>
    </row>
    <row r="133">
      <c r="A133" s="56" t="str">
        <f>IFERROR(__xludf.DUMMYFUNCTION("IF('AYIRA MINI MART FINAL MENU - Pr'!A133="""", """", IF(LEN(IFERROR(TRIM(REGEXREPLACE(TRIM(REGEXEXTRACT('AYIRA MINI MART FINAL MENU - Pr'!A133, ""^[^\x{0600}-\x{06FF}]+"")), ""[-–]+$"", """")), """"))&gt;0, IFERROR(TRIM(REGEXREPLACE(TRIM(REGEXEXTRACT('AYIRA"&amp;" MINI MART FINAL MENU - Pr'!A133, ""^[^\x{0600}-\x{06FF}]+"")), ""[-–]+$"", """")), """"), GOOGLETRANSLATE('AYIRA MINI MART FINAL MENU - Pr'!A133, ""ar"", ""en"")))"),"Rita Blue 240ml – Rita Blue 240")</f>
        <v>Rita Blue 240ml – Rita Blue 240</v>
      </c>
      <c r="B133" s="56" t="str">
        <f>IFERROR(__xludf.DUMMYFUNCTION("IF('AYIRA MINI MART FINAL MENU - Pr'!B133="""", """", IF(LEN(IFERROR(TRIM(REGEXREPLACE(TRIM(REGEXEXTRACT('AYIRA MINI MART FINAL MENU - Pr'!B133, ""^[^\x{0600}-\x{06FF}]+"")), ""[-–]+$"", """")), """"))&gt;0, IFERROR(TRIM(REGEXREPLACE(TRIM(REGEXEXTRACT('AYIRA"&amp;" MINI MART FINAL MENU - Pr'!B133, ""^[^\x{0600}-\x{06FF}]+"")), ""[-–]+$"", """")), """"), GOOGLETRANSLATE('AYIRA MINI MART FINAL MENU - Pr'!B133, ""ar"", ""en"")))"),"Carbonated Soft Drinks")</f>
        <v>Carbonated Soft Drinks</v>
      </c>
      <c r="C133" s="58">
        <f>IF('AYIRA MINI MART FINAL MENU - Pr'!C133="", "", 'AYIRA MINI MART FINAL MENU - Pr'!C133)</f>
        <v>3.5</v>
      </c>
      <c r="D133" s="56" t="str">
        <f>IFERROR(__xludf.DUMMYFUNCTION("IF('AYIRA MINI MART FINAL MENU - Pr'!D133="""", """", GOOGLETRANSLATE('AYIRA MINI MART FINAL MENU - Pr'!D133, ""ar"", ""en""))"),"Discover Rita Blue 240ml, a premium product that combines high quality with exceptional value. Made to the highest standards of quality and safety to ensure your complete satisfaction every time, its excellent features make it the perfect choice for you a"&amp;"nd your family. Whether for everyday use or special occasions, it meets and exceeds your expectations. Get it now from Aira Mini Mart and enjoy a pleasant and reliable shopping experience.")</f>
        <v>Discover Rita Blue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33" s="56" t="str">
        <f>IF('AYIRA MINI MART FINAL MENU - Pr'!K133="", "", 'AYIRA MINI MART FINAL MENU - Pr'!K133)</f>
        <v/>
      </c>
      <c r="F133" s="56"/>
      <c r="G133" s="56"/>
      <c r="H133" s="56"/>
      <c r="I133" s="56"/>
      <c r="J133" s="56"/>
      <c r="L133" s="56" t="str">
        <f>IF('AYIRA MINI MART FINAL MENU - Pr'!L133="", "", 'AYIRA MINI MART FINAL MENU - Pr'!L133)</f>
        <v/>
      </c>
      <c r="M133" s="56" t="str">
        <f>IF('AYIRA MINI MART FINAL MENU - Pr'!M133="", "", 'AYIRA MINI MART FINAL MENU - Pr'!M133)</f>
        <v/>
      </c>
      <c r="N133" s="56" t="str">
        <f>IF('AYIRA MINI MART FINAL MENU - Pr'!N133="", "", 'AYIRA MINI MART FINAL MENU - Pr'!N133)</f>
        <v/>
      </c>
      <c r="O133" s="57"/>
      <c r="P133" s="57"/>
      <c r="Q133" s="57"/>
      <c r="R133" s="57"/>
      <c r="S133" s="57"/>
      <c r="T133" s="57"/>
      <c r="U133" s="57"/>
      <c r="V133" s="57"/>
      <c r="W133" s="57"/>
      <c r="X133" s="57"/>
      <c r="Y133" s="57"/>
      <c r="Z133" s="57"/>
    </row>
    <row r="134">
      <c r="A134" s="56" t="str">
        <f>IFERROR(__xludf.DUMMYFUNCTION("IF('AYIRA MINI MART FINAL MENU - Pr'!A134="""", """", IF(LEN(IFERROR(TRIM(REGEXREPLACE(TRIM(REGEXEXTRACT('AYIRA MINI MART FINAL MENU - Pr'!A134, ""^[^\x{0600}-\x{06FF}]+"")), ""[-–]+$"", """")), """"))&gt;0, IFERROR(TRIM(REGEXREPLACE(TRIM(REGEXEXTRACT('AYIRA"&amp;" MINI MART FINAL MENU - Pr'!A134, ""^[^\x{0600}-\x{06FF}]+"")), ""[-–]+$"", """")), """"), GOOGLETRANSLATE('AYIRA MINI MART FINAL MENU - Pr'!A134, ""ar"", ""en"")))"),"Rita Red 240ml – Rita Red 240")</f>
        <v>Rita Red 240ml – Rita Red 240</v>
      </c>
      <c r="B134" s="56" t="str">
        <f>IFERROR(__xludf.DUMMYFUNCTION("IF('AYIRA MINI MART FINAL MENU - Pr'!B134="""", """", IF(LEN(IFERROR(TRIM(REGEXREPLACE(TRIM(REGEXEXTRACT('AYIRA MINI MART FINAL MENU - Pr'!B134, ""^[^\x{0600}-\x{06FF}]+"")), ""[-–]+$"", """")), """"))&gt;0, IFERROR(TRIM(REGEXREPLACE(TRIM(REGEXEXTRACT('AYIRA"&amp;" MINI MART FINAL MENU - Pr'!B134, ""^[^\x{0600}-\x{06FF}]+"")), ""[-–]+$"", """")), """"), GOOGLETRANSLATE('AYIRA MINI MART FINAL MENU - Pr'!B134, ""ar"", ""en"")))"),"Carbonated Soft Drinks")</f>
        <v>Carbonated Soft Drinks</v>
      </c>
      <c r="C134" s="58">
        <f>IF('AYIRA MINI MART FINAL MENU - Pr'!C134="", "", 'AYIRA MINI MART FINAL MENU - Pr'!C134)</f>
        <v>3.5</v>
      </c>
      <c r="D134" s="56" t="str">
        <f>IFERROR(__xludf.DUMMYFUNCTION("IF('AYIRA MINI MART FINAL MENU - Pr'!D134="""", """", GOOGLETRANSLATE('AYIRA MINI MART FINAL MENU - Pr'!D134, ""ar"", ""en""))"),"Discover Rita Red 240ml, a premium product that combines high quality with exceptional value. Made to the highest standards of quality and safety to ensure your complete satisfaction every time. Its excellent features make it the perfect choice for you an"&amp;"d your family. Whether for everyday use or special occasions, it meets and exceeds your expectations. Get it now from Aira Mini Mart and enjoy a pleasant and reliable shopping experience.")</f>
        <v>Discover Rita Red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34" s="56" t="str">
        <f>IF('AYIRA MINI MART FINAL MENU - Pr'!K134="", "", 'AYIRA MINI MART FINAL MENU - Pr'!K134)</f>
        <v/>
      </c>
      <c r="F134" s="56"/>
      <c r="G134" s="56"/>
      <c r="H134" s="56"/>
      <c r="I134" s="56"/>
      <c r="J134" s="56"/>
      <c r="L134" s="56" t="str">
        <f>IF('AYIRA MINI MART FINAL MENU - Pr'!L134="", "", 'AYIRA MINI MART FINAL MENU - Pr'!L134)</f>
        <v/>
      </c>
      <c r="M134" s="56" t="str">
        <f>IF('AYIRA MINI MART FINAL MENU - Pr'!M134="", "", 'AYIRA MINI MART FINAL MENU - Pr'!M134)</f>
        <v/>
      </c>
      <c r="N134" s="56" t="str">
        <f>IF('AYIRA MINI MART FINAL MENU - Pr'!N134="", "", 'AYIRA MINI MART FINAL MENU - Pr'!N134)</f>
        <v/>
      </c>
      <c r="O134" s="57"/>
      <c r="P134" s="57"/>
      <c r="Q134" s="57"/>
      <c r="R134" s="57"/>
      <c r="S134" s="57"/>
      <c r="T134" s="57"/>
      <c r="U134" s="57"/>
      <c r="V134" s="57"/>
      <c r="W134" s="57"/>
      <c r="X134" s="57"/>
      <c r="Y134" s="57"/>
      <c r="Z134" s="57"/>
    </row>
    <row r="135">
      <c r="A135" s="56" t="str">
        <f>IFERROR(__xludf.DUMMYFUNCTION("IF('AYIRA MINI MART FINAL MENU - Pr'!A135="""", """", IF(LEN(IFERROR(TRIM(REGEXREPLACE(TRIM(REGEXEXTRACT('AYIRA MINI MART FINAL MENU - Pr'!A135, ""^[^\x{0600}-\x{06FF}]+"")), ""[-–]+$"", """")), """"))&gt;0, IFERROR(TRIM(REGEXREPLACE(TRIM(REGEXEXTRACT('AYIRA"&amp;" MINI MART FINAL MENU - Pr'!A135, ""^[^\x{0600}-\x{06FF}]+"")), ""[-–]+$"", """")), """"), GOOGLETRANSLATE('AYIRA MINI MART FINAL MENU - Pr'!A135, ""ar"", ""en"")))"),"Rita Berry 240ml – Rita Berry 240")</f>
        <v>Rita Berry 240ml – Rita Berry 240</v>
      </c>
      <c r="B135" s="56" t="str">
        <f>IFERROR(__xludf.DUMMYFUNCTION("IF('AYIRA MINI MART FINAL MENU - Pr'!B135="""", """", IF(LEN(IFERROR(TRIM(REGEXREPLACE(TRIM(REGEXEXTRACT('AYIRA MINI MART FINAL MENU - Pr'!B135, ""^[^\x{0600}-\x{06FF}]+"")), ""[-–]+$"", """")), """"))&gt;0, IFERROR(TRIM(REGEXREPLACE(TRIM(REGEXEXTRACT('AYIRA"&amp;" MINI MART FINAL MENU - Pr'!B135, ""^[^\x{0600}-\x{06FF}]+"")), ""[-–]+$"", """")), """"), GOOGLETRANSLATE('AYIRA MINI MART FINAL MENU - Pr'!B135, ""ar"", ""en"")))"),"Carbonated Soft Drinks")</f>
        <v>Carbonated Soft Drinks</v>
      </c>
      <c r="C135" s="58">
        <f>IF('AYIRA MINI MART FINAL MENU - Pr'!C135="", "", 'AYIRA MINI MART FINAL MENU - Pr'!C135)</f>
        <v>3.5</v>
      </c>
      <c r="D135" s="56" t="str">
        <f>IFERROR(__xludf.DUMMYFUNCTION("IF('AYIRA MINI MART FINAL MENU - Pr'!D135="""", """", GOOGLETRANSLATE('AYIRA MINI MART FINAL MENU - Pr'!D135, ""ar"", ""en""))"),"Discover Rita Berry 240ml, a premium product that combines high quality with exceptional value. Made to the highest standards of quality and safety to ensure your complete satisfaction every time, its excellent features make it the perfect choice for you "&amp;"and your family. Whether for everyday use or special occasions, it meets and exceeds your expectations. Get it now from Aira Mini Mart and enjoy a pleasant and reliable shopping experience.")</f>
        <v>Discover Rita Berry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35" s="56" t="str">
        <f>IF('AYIRA MINI MART FINAL MENU - Pr'!K135="", "", 'AYIRA MINI MART FINAL MENU - Pr'!K135)</f>
        <v/>
      </c>
      <c r="F135" s="56"/>
      <c r="G135" s="56"/>
      <c r="H135" s="56"/>
      <c r="I135" s="56"/>
      <c r="J135" s="56"/>
      <c r="L135" s="56" t="str">
        <f>IF('AYIRA MINI MART FINAL MENU - Pr'!L135="", "", 'AYIRA MINI MART FINAL MENU - Pr'!L135)</f>
        <v/>
      </c>
      <c r="M135" s="56" t="str">
        <f>IF('AYIRA MINI MART FINAL MENU - Pr'!M135="", "", 'AYIRA MINI MART FINAL MENU - Pr'!M135)</f>
        <v/>
      </c>
      <c r="N135" s="56" t="str">
        <f>IF('AYIRA MINI MART FINAL MENU - Pr'!N135="", "", 'AYIRA MINI MART FINAL MENU - Pr'!N135)</f>
        <v/>
      </c>
      <c r="O135" s="57"/>
      <c r="P135" s="57"/>
      <c r="Q135" s="57"/>
      <c r="R135" s="57"/>
      <c r="S135" s="57"/>
      <c r="T135" s="57"/>
      <c r="U135" s="57"/>
      <c r="V135" s="57"/>
      <c r="W135" s="57"/>
      <c r="X135" s="57"/>
      <c r="Y135" s="57"/>
      <c r="Z135" s="57"/>
    </row>
    <row r="136">
      <c r="A136" s="56" t="str">
        <f>IFERROR(__xludf.DUMMYFUNCTION("IF('AYIRA MINI MART FINAL MENU - Pr'!A136="""", """", IF(LEN(IFERROR(TRIM(REGEXREPLACE(TRIM(REGEXEXTRACT('AYIRA MINI MART FINAL MENU - Pr'!A136, ""^[^\x{0600}-\x{06FF}]+"")), ""[-–]+$"", """")), """"))&gt;0, IFERROR(TRIM(REGEXREPLACE(TRIM(REGEXEXTRACT('AYIRA"&amp;" MINI MART FINAL MENU - Pr'!A136, ""^[^\x{0600}-\x{06FF}]+"")), ""[-–]+$"", """")), """"), GOOGLETRANSLATE('AYIRA MINI MART FINAL MENU - Pr'!A136, ""ar"", ""en"")))"),"Rita Pink 240ml – Rita Pink 240")</f>
        <v>Rita Pink 240ml – Rita Pink 240</v>
      </c>
      <c r="B136" s="56" t="str">
        <f>IFERROR(__xludf.DUMMYFUNCTION("IF('AYIRA MINI MART FINAL MENU - Pr'!B136="""", """", IF(LEN(IFERROR(TRIM(REGEXREPLACE(TRIM(REGEXEXTRACT('AYIRA MINI MART FINAL MENU - Pr'!B136, ""^[^\x{0600}-\x{06FF}]+"")), ""[-–]+$"", """")), """"))&gt;0, IFERROR(TRIM(REGEXREPLACE(TRIM(REGEXEXTRACT('AYIRA"&amp;" MINI MART FINAL MENU - Pr'!B136, ""^[^\x{0600}-\x{06FF}]+"")), ""[-–]+$"", """")), """"), GOOGLETRANSLATE('AYIRA MINI MART FINAL MENU - Pr'!B136, ""ar"", ""en"")))"),"Carbonated Soft Drinks")</f>
        <v>Carbonated Soft Drinks</v>
      </c>
      <c r="C136" s="58">
        <f>IF('AYIRA MINI MART FINAL MENU - Pr'!C136="", "", 'AYIRA MINI MART FINAL MENU - Pr'!C136)</f>
        <v>3.5</v>
      </c>
      <c r="D136" s="56" t="str">
        <f>IFERROR(__xludf.DUMMYFUNCTION("IF('AYIRA MINI MART FINAL MENU - Pr'!D136="""", """", GOOGLETRANSLATE('AYIRA MINI MART FINAL MENU - Pr'!D136, ""ar"", ""en""))"),"Discover Rita Pink 240ml, a premium product that combines high quality with exceptional value. Made to the highest standards of quality and safety to ensure your complete satisfaction every time, its excellent features make it the perfect choice for you a"&amp;"nd your family. Whether for everyday use or special occasions, it meets and exceeds your expectations. Get it now from Aira Mini Mart and enjoy a pleasant and reliable shopping experience.")</f>
        <v>Discover Rita Pink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36" s="56" t="str">
        <f>IF('AYIRA MINI MART FINAL MENU - Pr'!K136="", "", 'AYIRA MINI MART FINAL MENU - Pr'!K136)</f>
        <v/>
      </c>
      <c r="F136" s="56"/>
      <c r="G136" s="56"/>
      <c r="H136" s="56"/>
      <c r="I136" s="56"/>
      <c r="J136" s="56"/>
      <c r="L136" s="56" t="str">
        <f>IF('AYIRA MINI MART FINAL MENU - Pr'!L136="", "", 'AYIRA MINI MART FINAL MENU - Pr'!L136)</f>
        <v/>
      </c>
      <c r="M136" s="56" t="str">
        <f>IF('AYIRA MINI MART FINAL MENU - Pr'!M136="", "", 'AYIRA MINI MART FINAL MENU - Pr'!M136)</f>
        <v/>
      </c>
      <c r="N136" s="56" t="str">
        <f>IF('AYIRA MINI MART FINAL MENU - Pr'!N136="", "", 'AYIRA MINI MART FINAL MENU - Pr'!N136)</f>
        <v/>
      </c>
      <c r="O136" s="57"/>
      <c r="P136" s="57"/>
      <c r="Q136" s="57"/>
      <c r="R136" s="57"/>
      <c r="S136" s="57"/>
      <c r="T136" s="57"/>
      <c r="U136" s="57"/>
      <c r="V136" s="57"/>
      <c r="W136" s="57"/>
      <c r="X136" s="57"/>
      <c r="Y136" s="57"/>
      <c r="Z136" s="57"/>
    </row>
    <row r="137">
      <c r="A137" s="56" t="str">
        <f>IFERROR(__xludf.DUMMYFUNCTION("IF('AYIRA MINI MART FINAL MENU - Pr'!A137="""", """", IF(LEN(IFERROR(TRIM(REGEXREPLACE(TRIM(REGEXEXTRACT('AYIRA MINI MART FINAL MENU - Pr'!A137, ""^[^\x{0600}-\x{06FF}]+"")), ""[-–]+$"", """")), """"))&gt;0, IFERROR(TRIM(REGEXREPLACE(TRIM(REGEXEXTRACT('AYIRA"&amp;" MINI MART FINAL MENU - Pr'!A137, ""^[^\x{0600}-\x{06FF}]+"")), ""[-–]+$"", """")), """"), GOOGLETRANSLATE('AYIRA MINI MART FINAL MENU - Pr'!A137, ""ar"", ""en"")))"),"Rita Mixed Berries Sparkling Drink 240ml – Rita")</f>
        <v>Rita Mixed Berries Sparkling Drink 240ml – Rita</v>
      </c>
      <c r="B137" s="56" t="str">
        <f>IFERROR(__xludf.DUMMYFUNCTION("IF('AYIRA MINI MART FINAL MENU - Pr'!B137="""", """", IF(LEN(IFERROR(TRIM(REGEXREPLACE(TRIM(REGEXEXTRACT('AYIRA MINI MART FINAL MENU - Pr'!B137, ""^[^\x{0600}-\x{06FF}]+"")), ""[-–]+$"", """")), """"))&gt;0, IFERROR(TRIM(REGEXREPLACE(TRIM(REGEXEXTRACT('AYIRA"&amp;" MINI MART FINAL MENU - Pr'!B137, ""^[^\x{0600}-\x{06FF}]+"")), ""[-–]+$"", """")), """"), GOOGLETRANSLATE('AYIRA MINI MART FINAL MENU - Pr'!B137, ""ar"", ""en"")))"),"Carbonated Soft Drinks")</f>
        <v>Carbonated Soft Drinks</v>
      </c>
      <c r="C137" s="58">
        <f>IF('AYIRA MINI MART FINAL MENU - Pr'!C137="", "", 'AYIRA MINI MART FINAL MENU - Pr'!C137)</f>
        <v>3.5</v>
      </c>
      <c r="D137" s="56" t="str">
        <f>IFERROR(__xludf.DUMMYFUNCTION("IF('AYIRA MINI MART FINAL MENU - Pr'!D137="""", """", GOOGLETRANSLATE('AYIRA MINI MART FINAL MENU - Pr'!D137, ""ar"", ""en""))"),"Discover Rita Mixed Berries Sparkling Drink 240ml, a premium product that combines high quality with great value. Made to the highest standards of quality and safety to ensure your complete satisfaction every time. Its excellent features make it the perfe"&amp;"ct choice for you and your family. Whether for everyday use or special occasions, it meets and exceeds your expectations. Get it now from Aira Mini Mart and enjoy a pleasant and reliable shopping experience.")</f>
        <v>Discover Rita Mixed Berries Sparkling Drink 240ml,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37" s="56" t="str">
        <f>IF('AYIRA MINI MART FINAL MENU - Pr'!K137="", "", 'AYIRA MINI MART FINAL MENU - Pr'!K137)</f>
        <v/>
      </c>
      <c r="F137" s="56"/>
      <c r="G137" s="56"/>
      <c r="H137" s="56"/>
      <c r="I137" s="56"/>
      <c r="J137" s="56"/>
      <c r="L137" s="56" t="str">
        <f>IF('AYIRA MINI MART FINAL MENU - Pr'!L137="", "", 'AYIRA MINI MART FINAL MENU - Pr'!L137)</f>
        <v/>
      </c>
      <c r="M137" s="56" t="str">
        <f>IF('AYIRA MINI MART FINAL MENU - Pr'!M137="", "", 'AYIRA MINI MART FINAL MENU - Pr'!M137)</f>
        <v/>
      </c>
      <c r="N137" s="56" t="str">
        <f>IF('AYIRA MINI MART FINAL MENU - Pr'!N137="", "", 'AYIRA MINI MART FINAL MENU - Pr'!N137)</f>
        <v/>
      </c>
      <c r="O137" s="57"/>
      <c r="P137" s="57"/>
      <c r="Q137" s="57"/>
      <c r="R137" s="57"/>
      <c r="S137" s="57"/>
      <c r="T137" s="57"/>
      <c r="U137" s="57"/>
      <c r="V137" s="57"/>
      <c r="W137" s="57"/>
      <c r="X137" s="57"/>
      <c r="Y137" s="57"/>
      <c r="Z137" s="57"/>
    </row>
    <row r="138">
      <c r="A138" s="56" t="str">
        <f>IFERROR(__xludf.DUMMYFUNCTION("IF('AYIRA MINI MART FINAL MENU - Pr'!A138="""", """", IF(LEN(IFERROR(TRIM(REGEXREPLACE(TRIM(REGEXEXTRACT('AYIRA MINI MART FINAL MENU - Pr'!A138, ""^[^\x{0600}-\x{06FF}]+"")), ""[-–]+$"", """")), """"))&gt;0, IFERROR(TRIM(REGEXREPLACE(TRIM(REGEXEXTRACT('AYIRA"&amp;" MINI MART FINAL MENU - Pr'!A138, ""^[^\x{0600}-\x{06FF}]+"")), ""[-–]+$"", """")), """"), GOOGLETRANSLATE('AYIRA MINI MART FINAL MENU - Pr'!A138, ""ar"", ""en"")))"),"Power Boss Energy Drink 250ml – Power Boss")</f>
        <v>Power Boss Energy Drink 250ml – Power Boss</v>
      </c>
      <c r="B138" s="56" t="str">
        <f>IFERROR(__xludf.DUMMYFUNCTION("IF('AYIRA MINI MART FINAL MENU - Pr'!B138="""", """", IF(LEN(IFERROR(TRIM(REGEXREPLACE(TRIM(REGEXEXTRACT('AYIRA MINI MART FINAL MENU - Pr'!B138, ""^[^\x{0600}-\x{06FF}]+"")), ""[-–]+$"", """")), """"))&gt;0, IFERROR(TRIM(REGEXREPLACE(TRIM(REGEXEXTRACT('AYIRA"&amp;" MINI MART FINAL MENU - Pr'!B138, ""^[^\x{0600}-\x{06FF}]+"")), ""[-–]+$"", """")), """"), GOOGLETRANSLATE('AYIRA MINI MART FINAL MENU - Pr'!B138, ""ar"", ""en"")))"),"Energy &amp; Sports Drinks")</f>
        <v>Energy &amp; Sports Drinks</v>
      </c>
      <c r="C138" s="58">
        <f>IF('AYIRA MINI MART FINAL MENU - Pr'!C138="", "", 'AYIRA MINI MART FINAL MENU - Pr'!C138)</f>
        <v>5</v>
      </c>
      <c r="D138" s="56" t="str">
        <f>IFERROR(__xludf.DUMMYFUNCTION("IF('AYIRA MINI MART FINAL MENU - Pr'!D138="""", """", GOOGLETRANSLATE('AYIRA MINI MART FINAL MENU - Pr'!D138, ""ar"", ""en""))"),"Fuel your energy with Power Boss Energy Drink 250ml, the preferred energy drink of athletes and professionals. It gives you the focus and energy you need to tackle the day's challenges with maximum efficiency. With a unique formula of caffeine, vitamins, "&amp;"and amino acids, it helps you perform at your peak. Perfect before exercise or during long work hours. Experience the difference with every sip and enjoy unparalleled energy. Available now at Aira Mini Mart at an affordable price and guaranteed quality.")</f>
        <v>Fuel your energy with Power Boss Energy Drink 250ml, the preferred energy drink of athletes and professionals. It gives you the focus and energy you need to tackle the day's challenges with maximum efficiency. With a unique formula of caffeine, vitamins, and amino acids, it helps you perform at your peak. Perfect before exercise or during long work hours. Experience the difference with every sip and enjoy unparalleled energy. Available now at Aira Mini Mart at an affordable price and guaranteed quality.</v>
      </c>
      <c r="E138" s="56" t="str">
        <f>IF('AYIRA MINI MART FINAL MENU - Pr'!K138="", "", 'AYIRA MINI MART FINAL MENU - Pr'!K138)</f>
        <v/>
      </c>
      <c r="F138" s="56"/>
      <c r="G138" s="56"/>
      <c r="H138" s="56"/>
      <c r="I138" s="56"/>
      <c r="J138" s="56"/>
      <c r="L138" s="56" t="str">
        <f>IF('AYIRA MINI MART FINAL MENU - Pr'!L138="", "", 'AYIRA MINI MART FINAL MENU - Pr'!L138)</f>
        <v/>
      </c>
      <c r="M138" s="56" t="str">
        <f>IF('AYIRA MINI MART FINAL MENU - Pr'!M138="", "", 'AYIRA MINI MART FINAL MENU - Pr'!M138)</f>
        <v/>
      </c>
      <c r="N138" s="56" t="str">
        <f>IF('AYIRA MINI MART FINAL MENU - Pr'!N138="", "", 'AYIRA MINI MART FINAL MENU - Pr'!N138)</f>
        <v/>
      </c>
      <c r="O138" s="57"/>
      <c r="P138" s="57"/>
      <c r="Q138" s="57"/>
      <c r="R138" s="57"/>
      <c r="S138" s="57"/>
      <c r="T138" s="57"/>
      <c r="U138" s="57"/>
      <c r="V138" s="57"/>
      <c r="W138" s="57"/>
      <c r="X138" s="57"/>
      <c r="Y138" s="57"/>
      <c r="Z138" s="57"/>
    </row>
    <row r="139">
      <c r="A139" s="56" t="str">
        <f>IFERROR(__xludf.DUMMYFUNCTION("IF('AYIRA MINI MART FINAL MENU - Pr'!A139="""", """", IF(LEN(IFERROR(TRIM(REGEXREPLACE(TRIM(REGEXEXTRACT('AYIRA MINI MART FINAL MENU - Pr'!A139, ""^[^\x{0600}-\x{06FF}]+"")), ""[-–]+$"", """")), """"))&gt;0, IFERROR(TRIM(REGEXREPLACE(TRIM(REGEXEXTRACT('AYIRA"&amp;" MINI MART FINAL MENU - Pr'!A139, ""^[^\x{0600}-\x{06FF}]+"")), ""[-–]+$"", """")), """"), GOOGLETRANSLATE('AYIRA MINI MART FINAL MENU - Pr'!A139, ""ar"", ""en"")))"),"Power Red Energy Drink 250ml – Power Red")</f>
        <v>Power Red Energy Drink 250ml – Power Red</v>
      </c>
      <c r="B139" s="56" t="str">
        <f>IFERROR(__xludf.DUMMYFUNCTION("IF('AYIRA MINI MART FINAL MENU - Pr'!B139="""", """", IF(LEN(IFERROR(TRIM(REGEXREPLACE(TRIM(REGEXEXTRACT('AYIRA MINI MART FINAL MENU - Pr'!B139, ""^[^\x{0600}-\x{06FF}]+"")), ""[-–]+$"", """")), """"))&gt;0, IFERROR(TRIM(REGEXREPLACE(TRIM(REGEXEXTRACT('AYIRA"&amp;" MINI MART FINAL MENU - Pr'!B139, ""^[^\x{0600}-\x{06FF}]+"")), ""[-–]+$"", """")), """"), GOOGLETRANSLATE('AYIRA MINI MART FINAL MENU - Pr'!B139, ""ar"", ""en"")))"),"Energy &amp; Sports Drinks")</f>
        <v>Energy &amp; Sports Drinks</v>
      </c>
      <c r="C139" s="58">
        <f>IF('AYIRA MINI MART FINAL MENU - Pr'!C139="", "", 'AYIRA MINI MART FINAL MENU - Pr'!C139)</f>
        <v>5</v>
      </c>
      <c r="D139" s="56" t="str">
        <f>IFERROR(__xludf.DUMMYFUNCTION("IF('AYIRA MINI MART FINAL MENU - Pr'!D139="""", """", GOOGLETRANSLATE('AYIRA MINI MART FINAL MENU - Pr'!D139, ""ar"", ""en""))"),"Fuel your energy with Power Red Energy Drink 250ml, the preferred energy drink of athletes and professionals. It gives you the focus and energy you need to tackle the day's challenges with peak performance. With a unique blend of caffeine, vitamins, and a"&amp;"mino acids, it helps you perform at your best. Perfect before a workout or during long work hours. Experience the difference with every sip and enjoy unparalleled energy. Available now at Aira Mini Mart at an affordable price and guaranteed quality.")</f>
        <v>Fuel your energy with Power Red Energy Drink 250ml, the preferred energy drink of athletes and professionals. It gives you the focus and energy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guaranteed quality.</v>
      </c>
      <c r="E139" s="56" t="str">
        <f>IF('AYIRA MINI MART FINAL MENU - Pr'!K139="", "", 'AYIRA MINI MART FINAL MENU - Pr'!K139)</f>
        <v/>
      </c>
      <c r="F139" s="56"/>
      <c r="G139" s="56"/>
      <c r="H139" s="56"/>
      <c r="I139" s="56"/>
      <c r="J139" s="56"/>
      <c r="L139" s="56" t="str">
        <f>IF('AYIRA MINI MART FINAL MENU - Pr'!L139="", "", 'AYIRA MINI MART FINAL MENU - Pr'!L139)</f>
        <v/>
      </c>
      <c r="M139" s="56" t="str">
        <f>IF('AYIRA MINI MART FINAL MENU - Pr'!M139="", "", 'AYIRA MINI MART FINAL MENU - Pr'!M139)</f>
        <v/>
      </c>
      <c r="N139" s="56" t="str">
        <f>IF('AYIRA MINI MART FINAL MENU - Pr'!N139="", "", 'AYIRA MINI MART FINAL MENU - Pr'!N139)</f>
        <v/>
      </c>
      <c r="O139" s="57"/>
      <c r="P139" s="57"/>
      <c r="Q139" s="57"/>
      <c r="R139" s="57"/>
      <c r="S139" s="57"/>
      <c r="T139" s="57"/>
      <c r="U139" s="57"/>
      <c r="V139" s="57"/>
      <c r="W139" s="57"/>
      <c r="X139" s="57"/>
      <c r="Y139" s="57"/>
      <c r="Z139" s="57"/>
    </row>
    <row r="140">
      <c r="A140" s="56" t="str">
        <f>IFERROR(__xludf.DUMMYFUNCTION("IF('AYIRA MINI MART FINAL MENU - Pr'!A140="""", """", IF(LEN(IFERROR(TRIM(REGEXREPLACE(TRIM(REGEXEXTRACT('AYIRA MINI MART FINAL MENU - Pr'!A140, ""^[^\x{0600}-\x{06FF}]+"")), ""[-–]+$"", """")), """"))&gt;0, IFERROR(TRIM(REGEXREPLACE(TRIM(REGEXEXTRACT('AYIRA"&amp;" MINI MART FINAL MENU - Pr'!A140, ""^[^\x{0600}-\x{06FF}]+"")), ""[-–]+$"", """")), """"), GOOGLETRANSLATE('AYIRA MINI MART FINAL MENU - Pr'!A140, ""ar"", ""en"")))"),"Boom Boom Energy Drink 250ml – Boom Boom")</f>
        <v>Boom Boom Energy Drink 250ml – Boom Boom</v>
      </c>
      <c r="B140" s="56" t="str">
        <f>IFERROR(__xludf.DUMMYFUNCTION("IF('AYIRA MINI MART FINAL MENU - Pr'!B140="""", """", IF(LEN(IFERROR(TRIM(REGEXREPLACE(TRIM(REGEXEXTRACT('AYIRA MINI MART FINAL MENU - Pr'!B140, ""^[^\x{0600}-\x{06FF}]+"")), ""[-–]+$"", """")), """"))&gt;0, IFERROR(TRIM(REGEXREPLACE(TRIM(REGEXEXTRACT('AYIRA"&amp;" MINI MART FINAL MENU - Pr'!B140, ""^[^\x{0600}-\x{06FF}]+"")), ""[-–]+$"", """")), """"), GOOGLETRANSLATE('AYIRA MINI MART FINAL MENU - Pr'!B140, ""ar"", ""en"")))"),"ENErgy &amp; Sports Drinks")</f>
        <v>ENErgy &amp; Sports Drinks</v>
      </c>
      <c r="C140" s="58">
        <f>IF('AYIRA MINI MART FINAL MENU - Pr'!C140="", "", 'AYIRA MINI MART FINAL MENU - Pr'!C140)</f>
        <v>6</v>
      </c>
      <c r="D140" s="56" t="str">
        <f>IFERROR(__xludf.DUMMYFUNCTION("IF('AYIRA MINI MART FINAL MENU - Pr'!D140="""", """", GOOGLETRANSLATE('AYIRA MINI MART FINAL MENU - Pr'!D140, ""ar"", ""en""))"),"Fuel your energy with Boom Boom Energy Drink 250ml, the favorite energy drink of athletes and professionals. It gives you the focus and energy you need to tackle the day's challenges with peak performance. With a unique blend of caffeine, vitamins, and am"&amp;"ino acids, it helps you perform at your best. Perfect before a workout or during long work hours. Experience the difference with every sip and enjoy unparalleled energy. Available now at Aira Mini Mart at an affordable price and guaranteed quality.")</f>
        <v>Fuel your energy with Boom Boom Energy Drink 250ml, the favorite energy drink of athletes and professionals. It gives you the focus and energy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guaranteed quality.</v>
      </c>
      <c r="E140" s="56" t="str">
        <f>IF('AYIRA MINI MART FINAL MENU - Pr'!K140="", "", 'AYIRA MINI MART FINAL MENU - Pr'!K140)</f>
        <v/>
      </c>
      <c r="F140" s="56"/>
      <c r="G140" s="56"/>
      <c r="H140" s="56"/>
      <c r="I140" s="56"/>
      <c r="J140" s="56"/>
      <c r="L140" s="56" t="str">
        <f>IF('AYIRA MINI MART FINAL MENU - Pr'!L140="", "", 'AYIRA MINI MART FINAL MENU - Pr'!L140)</f>
        <v/>
      </c>
      <c r="M140" s="56" t="str">
        <f>IF('AYIRA MINI MART FINAL MENU - Pr'!M140="", "", 'AYIRA MINI MART FINAL MENU - Pr'!M140)</f>
        <v/>
      </c>
      <c r="N140" s="56" t="str">
        <f>IF('AYIRA MINI MART FINAL MENU - Pr'!N140="", "", 'AYIRA MINI MART FINAL MENU - Pr'!N140)</f>
        <v/>
      </c>
      <c r="O140" s="57"/>
      <c r="P140" s="57"/>
      <c r="Q140" s="57"/>
      <c r="R140" s="57"/>
      <c r="S140" s="57"/>
      <c r="T140" s="57"/>
      <c r="U140" s="57"/>
      <c r="V140" s="57"/>
      <c r="W140" s="57"/>
      <c r="X140" s="57"/>
      <c r="Y140" s="57"/>
      <c r="Z140" s="57"/>
    </row>
    <row r="141">
      <c r="A141" s="56" t="str">
        <f>IFERROR(__xludf.DUMMYFUNCTION("IF('AYIRA MINI MART FINAL MENU - Pr'!A141="""", """", IF(LEN(IFERROR(TRIM(REGEXREPLACE(TRIM(REGEXEXTRACT('AYIRA MINI MART FINAL MENU - Pr'!A141, ""^[^\x{0600}-\x{06FF}]+"")), ""[-–]+$"", """")), """"))&gt;0, IFERROR(TRIM(REGEXREPLACE(TRIM(REGEXEXTRACT('AYIRA"&amp;" MINI MART FINAL MENU - Pr'!A141, ""^[^\x{0600}-\x{06FF}]+"")), ""[-–]+$"", """")), """"), GOOGLETRANSLATE('AYIRA MINI MART FINAL MENU - Pr'!A141, ""ar"", ""en"")))"),"Code Red Energy Drink 250ml – Code Red")</f>
        <v>Code Red Energy Drink 250ml – Code Red</v>
      </c>
      <c r="B141" s="56" t="str">
        <f>IFERROR(__xludf.DUMMYFUNCTION("IF('AYIRA MINI MART FINAL MENU - Pr'!B141="""", """", IF(LEN(IFERROR(TRIM(REGEXREPLACE(TRIM(REGEXEXTRACT('AYIRA MINI MART FINAL MENU - Pr'!B141, ""^[^\x{0600}-\x{06FF}]+"")), ""[-–]+$"", """")), """"))&gt;0, IFERROR(TRIM(REGEXREPLACE(TRIM(REGEXEXTRACT('AYIRA"&amp;" MINI MART FINAL MENU - Pr'!B141, ""^[^\x{0600}-\x{06FF}]+"")), ""[-–]+$"", """")), """"), GOOGLETRANSLATE('AYIRA MINI MART FINAL MENU - Pr'!B141, ""ar"", ""en"")))"),"ENErgy &amp; Sports Drinks")</f>
        <v>ENErgy &amp; Sports Drinks</v>
      </c>
      <c r="C141" s="58">
        <f>IF('AYIRA MINI MART FINAL MENU - Pr'!C141="", "", 'AYIRA MINI MART FINAL MENU - Pr'!C141)</f>
        <v>7.5</v>
      </c>
      <c r="D141" s="56" t="str">
        <f>IFERROR(__xludf.DUMMYFUNCTION("IF('AYIRA MINI MART FINAL MENU - Pr'!D141="""", """", GOOGLETRANSLATE('AYIRA MINI MART FINAL MENU - Pr'!D141, ""ar"", ""en""))"),"Fuel your energy with Code Red Energy Drink 250ml, the preferred energy drink of athletes and professionals. It gives you the focus and energy you need to tackle the day's challenges with peak performance. With a unique blend of caffeine, vitamins, and am"&amp;"ino acids, it helps you perform at your best. Perfect before a workout or during long work hours. Experience the difference with every sip and enjoy unparalleled energy. Available now at Aira Mini Mart at an affordable price and guaranteed quality.")</f>
        <v>Fuel your energy with Code Red Energy Drink 250ml, the preferred energy drink of athletes and professionals. It gives you the focus and energy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guaranteed quality.</v>
      </c>
      <c r="E141" s="56" t="str">
        <f>IF('AYIRA MINI MART FINAL MENU - Pr'!K141="", "", 'AYIRA MINI MART FINAL MENU - Pr'!K141)</f>
        <v/>
      </c>
      <c r="F141" s="56"/>
      <c r="G141" s="56"/>
      <c r="H141" s="56"/>
      <c r="I141" s="56"/>
      <c r="J141" s="56"/>
      <c r="L141" s="56" t="str">
        <f>IF('AYIRA MINI MART FINAL MENU - Pr'!L141="", "", 'AYIRA MINI MART FINAL MENU - Pr'!L141)</f>
        <v/>
      </c>
      <c r="M141" s="56" t="str">
        <f>IF('AYIRA MINI MART FINAL MENU - Pr'!M141="", "", 'AYIRA MINI MART FINAL MENU - Pr'!M141)</f>
        <v/>
      </c>
      <c r="N141" s="56" t="str">
        <f>IF('AYIRA MINI MART FINAL MENU - Pr'!N141="", "", 'AYIRA MINI MART FINAL MENU - Pr'!N141)</f>
        <v/>
      </c>
      <c r="O141" s="57"/>
      <c r="P141" s="57"/>
      <c r="Q141" s="57"/>
      <c r="R141" s="57"/>
      <c r="S141" s="57"/>
      <c r="T141" s="57"/>
      <c r="U141" s="57"/>
      <c r="V141" s="57"/>
      <c r="W141" s="57"/>
      <c r="X141" s="57"/>
      <c r="Y141" s="57"/>
      <c r="Z141" s="57"/>
    </row>
    <row r="142">
      <c r="A142" s="56" t="str">
        <f>IFERROR(__xludf.DUMMYFUNCTION("IF('AYIRA MINI MART FINAL MENU - Pr'!A142="""", """", IF(LEN(IFERROR(TRIM(REGEXREPLACE(TRIM(REGEXEXTRACT('AYIRA MINI MART FINAL MENU - Pr'!A142, ""^[^\x{0600}-\x{06FF}]+"")), ""[-–]+$"", """")), """"))&gt;0, IFERROR(TRIM(REGEXREPLACE(TRIM(REGEXEXTRACT('AYIRA"&amp;" MINI MART FINAL MENU - Pr'!A142, ""^[^\x{0600}-\x{06FF}]+"")), ""[-–]+$"", """")), """"), GOOGLETRANSLATE('AYIRA MINI MART FINAL MENU - Pr'!A142, ""ar"", ""en"")))"),"Speed Energy Drink 250ml – Speed")</f>
        <v>Speed Energy Drink 250ml – Speed</v>
      </c>
      <c r="B142" s="56" t="str">
        <f>IFERROR(__xludf.DUMMYFUNCTION("IF('AYIRA MINI MART FINAL MENU - Pr'!B142="""", """", IF(LEN(IFERROR(TRIM(REGEXREPLACE(TRIM(REGEXEXTRACT('AYIRA MINI MART FINAL MENU - Pr'!B142, ""^[^\x{0600}-\x{06FF}]+"")), ""[-–]+$"", """")), """"))&gt;0, IFERROR(TRIM(REGEXREPLACE(TRIM(REGEXEXTRACT('AYIRA"&amp;" MINI MART FINAL MENU - Pr'!B142, ""^[^\x{0600}-\x{06FF}]+"")), ""[-–]+$"", """")), """"), GOOGLETRANSLATE('AYIRA MINI MART FINAL MENU - Pr'!B142, ""ar"", ""en"")))"),"ENErgy &amp; Sports Drinks")</f>
        <v>ENErgy &amp; Sports Drinks</v>
      </c>
      <c r="C142" s="58">
        <f>IF('AYIRA MINI MART FINAL MENU - Pr'!C142="", "", 'AYIRA MINI MART FINAL MENU - Pr'!C142)</f>
        <v>3</v>
      </c>
      <c r="D142" s="56" t="str">
        <f>IFERROR(__xludf.DUMMYFUNCTION("IF('AYIRA MINI MART FINAL MENU - Pr'!D142="""", """", GOOGLETRANSLATE('AYIRA MINI MART FINAL MENU - Pr'!D142, ""ar"", ""en""))"),"Fuel your energy with Speed ​​Energy Drink 250ml, the preferred energy drink of athletes and professionals. It gives you the focus and energy you need to tackle the day's challenges with maximum efficiency. With a unique formula of caffeine, vitamins, and"&amp;" amino acids, it helps you perform at your peak. Perfect before exercise or during long work hours. Experience the difference with every sip and enjoy unparalleled energy. Available now at Aira Mini Mart at an affordable price and guaranteed quality.")</f>
        <v>Fuel your energy with Speed ​​Energy Drink 250ml, the preferred energy drink of athletes and professionals. It gives you the focus and energy you need to tackle the day's challenges with maximum efficiency. With a unique formula of caffeine, vitamins, and amino acids, it helps you perform at your peak. Perfect before exercise or during long work hours. Experience the difference with every sip and enjoy unparalleled energy. Available now at Aira Mini Mart at an affordable price and guaranteed quality.</v>
      </c>
      <c r="E142" s="56" t="str">
        <f>IF('AYIRA MINI MART FINAL MENU - Pr'!K142="", "", 'AYIRA MINI MART FINAL MENU - Pr'!K142)</f>
        <v/>
      </c>
      <c r="F142" s="56"/>
      <c r="G142" s="56"/>
      <c r="H142" s="56"/>
      <c r="I142" s="56"/>
      <c r="J142" s="56"/>
      <c r="L142" s="56" t="str">
        <f>IF('AYIRA MINI MART FINAL MENU - Pr'!L142="", "", 'AYIRA MINI MART FINAL MENU - Pr'!L142)</f>
        <v/>
      </c>
      <c r="M142" s="56" t="str">
        <f>IF('AYIRA MINI MART FINAL MENU - Pr'!M142="", "", 'AYIRA MINI MART FINAL MENU - Pr'!M142)</f>
        <v/>
      </c>
      <c r="N142" s="56" t="str">
        <f>IF('AYIRA MINI MART FINAL MENU - Pr'!N142="", "", 'AYIRA MINI MART FINAL MENU - Pr'!N142)</f>
        <v/>
      </c>
      <c r="O142" s="57"/>
      <c r="P142" s="57"/>
      <c r="Q142" s="57"/>
      <c r="R142" s="57"/>
      <c r="S142" s="57"/>
      <c r="T142" s="57"/>
      <c r="U142" s="57"/>
      <c r="V142" s="57"/>
      <c r="W142" s="57"/>
      <c r="X142" s="57"/>
      <c r="Y142" s="57"/>
      <c r="Z142" s="57"/>
    </row>
    <row r="143">
      <c r="A143" s="56" t="str">
        <f>IFERROR(__xludf.DUMMYFUNCTION("IF('AYIRA MINI MART FINAL MENU - Pr'!A143="""", """", IF(LEN(IFERROR(TRIM(REGEXREPLACE(TRIM(REGEXEXTRACT('AYIRA MINI MART FINAL MENU - Pr'!A143, ""^[^\x{0600}-\x{06FF}]+"")), ""[-–]+$"", """")), """"))&gt;0, IFERROR(TRIM(REGEXREPLACE(TRIM(REGEXEXTRACT('AYIRA"&amp;" MINI MART FINAL MENU - Pr'!A143, ""^[^\x{0600}-\x{06FF}]+"")), ""[-–]+$"", """")), """"), GOOGLETRANSLATE('AYIRA MINI MART FINAL MENU - Pr'!A143, ""ar"", ""en"")))"),"Rita Red Sparkling Drink 275ml – Rita Red")</f>
        <v>Rita Red Sparkling Drink 275ml – Rita Red</v>
      </c>
      <c r="B143" s="56" t="str">
        <f>IFERROR(__xludf.DUMMYFUNCTION("IF('AYIRA MINI MART FINAL MENU - Pr'!B143="""", """", IF(LEN(IFERROR(TRIM(REGEXREPLACE(TRIM(REGEXEXTRACT('AYIRA MINI MART FINAL MENU - Pr'!B143, ""^[^\x{0600}-\x{06FF}]+"")), ""[-–]+$"", """")), """"))&gt;0, IFERROR(TRIM(REGEXREPLACE(TRIM(REGEXEXTRACT('AYIRA"&amp;" MINI MART FINAL MENU - Pr'!B143, ""^[^\x{0600}-\x{06FF}]+"")), ""[-–]+$"", """")), """"), GOOGLETRANSLATE('AYIRA MINI MART FINAL MENU - Pr'!B143, ""ar"", ""en"")))"),"Carbonated Soft Drinks")</f>
        <v>Carbonated Soft Drinks</v>
      </c>
      <c r="C143" s="58">
        <f>IF('AYIRA MINI MART FINAL MENU - Pr'!C143="", "", 'AYIRA MINI MART FINAL MENU - Pr'!C143)</f>
        <v>4</v>
      </c>
      <c r="D143" s="56" t="str">
        <f>IFERROR(__xludf.DUMMYFUNCTION("IF('AYIRA MINI MART FINAL MENU - Pr'!D143="""", """", GOOGLETRANSLATE('AYIRA MINI MART FINAL MENU - Pr'!D143, ""ar"", ""en""))"),"Discover Rita Red Sparkling Drink 275ml, a premium product that combines high quality with exceptional value. Made to the highest standards of quality and safety to ensure your complete satisfaction every time, its excellent features make it the perfect c"&amp;"hoice for you and your family. Whether for everyday use or special occasions, it meets and exceeds your expectations. Get it now from Aira Mini Mart and enjoy a pleasant and reliable shopping experience.")</f>
        <v>Discover Rita Red Sparkling Drink 275ml,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43" s="56" t="str">
        <f>IF('AYIRA MINI MART FINAL MENU - Pr'!K143="", "", 'AYIRA MINI MART FINAL MENU - Pr'!K143)</f>
        <v/>
      </c>
      <c r="F143" s="56"/>
      <c r="G143" s="56"/>
      <c r="H143" s="56"/>
      <c r="I143" s="56"/>
      <c r="J143" s="56"/>
      <c r="L143" s="56" t="str">
        <f>IF('AYIRA MINI MART FINAL MENU - Pr'!L143="", "", 'AYIRA MINI MART FINAL MENU - Pr'!L143)</f>
        <v/>
      </c>
      <c r="M143" s="56" t="str">
        <f>IF('AYIRA MINI MART FINAL MENU - Pr'!M143="", "", 'AYIRA MINI MART FINAL MENU - Pr'!M143)</f>
        <v/>
      </c>
      <c r="N143" s="56" t="str">
        <f>IF('AYIRA MINI MART FINAL MENU - Pr'!N143="", "", 'AYIRA MINI MART FINAL MENU - Pr'!N143)</f>
        <v/>
      </c>
      <c r="O143" s="57"/>
      <c r="P143" s="57"/>
      <c r="Q143" s="57"/>
      <c r="R143" s="57"/>
      <c r="S143" s="57"/>
      <c r="T143" s="57"/>
      <c r="U143" s="57"/>
      <c r="V143" s="57"/>
      <c r="W143" s="57"/>
      <c r="X143" s="57"/>
      <c r="Y143" s="57"/>
      <c r="Z143" s="57"/>
    </row>
    <row r="144">
      <c r="A144" s="56" t="str">
        <f>IFERROR(__xludf.DUMMYFUNCTION("IF('AYIRA MINI MART FINAL MENU - Pr'!A144="""", """", IF(LEN(IFERROR(TRIM(REGEXREPLACE(TRIM(REGEXEXTRACT('AYIRA MINI MART FINAL MENU - Pr'!A144, ""^[^\x{0600}-\x{06FF}]+"")), ""[-–]+$"", """")), """"))&gt;0, IFERROR(TRIM(REGEXREPLACE(TRIM(REGEXEXTRACT('AYIRA"&amp;" MINI MART FINAL MENU - Pr'!A144, ""^[^\x{0600}-\x{06FF}]+"")), ""[-–]+$"", """")), """"), GOOGLETRANSLATE('AYIRA MINI MART FINAL MENU - Pr'!A144, ""ar"", ""en"")))"),"Rita Lemon &amp; Mint Sparkling Drink 275ml – Rita")</f>
        <v>Rita Lemon &amp; Mint Sparkling Drink 275ml – Rita</v>
      </c>
      <c r="B144" s="56" t="str">
        <f>IFERROR(__xludf.DUMMYFUNCTION("IF('AYIRA MINI MART FINAL MENU - Pr'!B144="""", """", IF(LEN(IFERROR(TRIM(REGEXREPLACE(TRIM(REGEXEXTRACT('AYIRA MINI MART FINAL MENU - Pr'!B144, ""^[^\x{0600}-\x{06FF}]+"")), ""[-–]+$"", """")), """"))&gt;0, IFERROR(TRIM(REGEXREPLACE(TRIM(REGEXEXTRACT('AYIRA"&amp;" MINI MART FINAL MENU - Pr'!B144, ""^[^\x{0600}-\x{06FF}]+"")), ""[-–]+$"", """")), """"), GOOGLETRANSLATE('AYIRA MINI MART FINAL MENU - Pr'!B144, ""ar"", ""en"")))"),"Carbonated Soft Drinks")</f>
        <v>Carbonated Soft Drinks</v>
      </c>
      <c r="C144" s="58">
        <f>IF('AYIRA MINI MART FINAL MENU - Pr'!C144="", "", 'AYIRA MINI MART FINAL MENU - Pr'!C144)</f>
        <v>4</v>
      </c>
      <c r="D144" s="56" t="str">
        <f>IFERROR(__xludf.DUMMYFUNCTION("IF('AYIRA MINI MART FINAL MENU - Pr'!D144="""", """", GOOGLETRANSLATE('AYIRA MINI MART FINAL MENU - Pr'!D144, ""ar"", ""en""))"),"Add a sweet treat to your day with Rita Lemon &amp; Mint Sparkling Drink 275ml, a delicious dessert loved by everyone. Its varied flavors and attractive colors make it suitable for all ages. Perfect as a small treat or a light gift for friends and family. Mad"&amp;"e with high quality ingredients to ensure a great taste in every single serving. Get yours from Aira Mini Mart and spread the joy to your loved ones.")</f>
        <v>Add a sweet treat to your day with Rita Lemon &amp; Mint Sparkling Drink 275ml, a delicious dessert loved by everyone. Its varied flavors and attractive colors make it suitable for all ages. Perfect as a small treat or a light gift for friends and family. Made with high quality ingredients to ensure a great taste in every single serving. Get yours from Aira Mini Mart and spread the joy to your loved ones.</v>
      </c>
      <c r="E144" s="56" t="str">
        <f>IF('AYIRA MINI MART FINAL MENU - Pr'!K144="", "", 'AYIRA MINI MART FINAL MENU - Pr'!K144)</f>
        <v/>
      </c>
      <c r="F144" s="56"/>
      <c r="G144" s="56"/>
      <c r="H144" s="56"/>
      <c r="I144" s="56"/>
      <c r="J144" s="56"/>
      <c r="L144" s="56" t="str">
        <f>IF('AYIRA MINI MART FINAL MENU - Pr'!L144="", "", 'AYIRA MINI MART FINAL MENU - Pr'!L144)</f>
        <v/>
      </c>
      <c r="M144" s="56" t="str">
        <f>IF('AYIRA MINI MART FINAL MENU - Pr'!M144="", "", 'AYIRA MINI MART FINAL MENU - Pr'!M144)</f>
        <v/>
      </c>
      <c r="N144" s="56" t="str">
        <f>IF('AYIRA MINI MART FINAL MENU - Pr'!N144="", "", 'AYIRA MINI MART FINAL MENU - Pr'!N144)</f>
        <v/>
      </c>
      <c r="O144" s="57"/>
      <c r="P144" s="57"/>
      <c r="Q144" s="57"/>
      <c r="R144" s="57"/>
      <c r="S144" s="57"/>
      <c r="T144" s="57"/>
      <c r="U144" s="57"/>
      <c r="V144" s="57"/>
      <c r="W144" s="57"/>
      <c r="X144" s="57"/>
      <c r="Y144" s="57"/>
      <c r="Z144" s="57"/>
    </row>
    <row r="145">
      <c r="A145" s="56" t="str">
        <f>IFERROR(__xludf.DUMMYFUNCTION("IF('AYIRA MINI MART FINAL MENU - Pr'!A145="""", """", IF(LEN(IFERROR(TRIM(REGEXREPLACE(TRIM(REGEXEXTRACT('AYIRA MINI MART FINAL MENU - Pr'!A145, ""^[^\x{0600}-\x{06FF}]+"")), ""[-–]+$"", """")), """"))&gt;0, IFERROR(TRIM(REGEXREPLACE(TRIM(REGEXEXTRACT('AYIRA"&amp;" MINI MART FINAL MENU - Pr'!A145, ""^[^\x{0600}-\x{06FF}]+"")), ""[-–]+$"", """")), """"), GOOGLETRANSLATE('AYIRA MINI MART FINAL MENU - Pr'!A145, ""ar"", ""en"")))"),"Rita Blue Sparkling Drink 275ml – Rita Blue")</f>
        <v>Rita Blue Sparkling Drink 275ml – Rita Blue</v>
      </c>
      <c r="B145" s="56" t="str">
        <f>IFERROR(__xludf.DUMMYFUNCTION("IF('AYIRA MINI MART FINAL MENU - Pr'!B145="""", """", IF(LEN(IFERROR(TRIM(REGEXREPLACE(TRIM(REGEXEXTRACT('AYIRA MINI MART FINAL MENU - Pr'!B145, ""^[^\x{0600}-\x{06FF}]+"")), ""[-–]+$"", """")), """"))&gt;0, IFERROR(TRIM(REGEXREPLACE(TRIM(REGEXEXTRACT('AYIRA"&amp;" MINI MART FINAL MENU - Pr'!B145, ""^[^\x{0600}-\x{06FF}]+"")), ""[-–]+$"", """")), """"), GOOGLETRANSLATE('AYIRA MINI MART FINAL MENU - Pr'!B145, ""ar"", ""en"")))"),"Carbonated Soft Drinks")</f>
        <v>Carbonated Soft Drinks</v>
      </c>
      <c r="C145" s="58">
        <f>IF('AYIRA MINI MART FINAL MENU - Pr'!C145="", "", 'AYIRA MINI MART FINAL MENU - Pr'!C145)</f>
        <v>4</v>
      </c>
      <c r="D145" s="56" t="str">
        <f>IFERROR(__xludf.DUMMYFUNCTION("IF('AYIRA MINI MART FINAL MENU - Pr'!D145="""", """", GOOGLETRANSLATE('AYIRA MINI MART FINAL MENU - Pr'!D145, ""ar"", ""en""))"),"Discover Rita Blue Sparkling Drink 275ml, a premium product that combines high quality with exceptional value. Made to the highest standards of quality and safety to ensure your complete satisfaction every time, its excellent features make it the perfect "&amp;"choice for you and your family. Whether for everyday use or special occasions, it meets and exceeds your expectations. Get it now from Aira Mini Mart and enjoy a pleasant and reliable shopping experience.")</f>
        <v>Discover Rita Blue Sparkling Drink 275ml,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45" s="56" t="str">
        <f>IF('AYIRA MINI MART FINAL MENU - Pr'!K145="", "", 'AYIRA MINI MART FINAL MENU - Pr'!K145)</f>
        <v/>
      </c>
      <c r="F145" s="56"/>
      <c r="G145" s="56"/>
      <c r="H145" s="56"/>
      <c r="I145" s="56"/>
      <c r="J145" s="56"/>
      <c r="L145" s="56" t="str">
        <f>IF('AYIRA MINI MART FINAL MENU - Pr'!L145="", "", 'AYIRA MINI MART FINAL MENU - Pr'!L145)</f>
        <v/>
      </c>
      <c r="M145" s="56" t="str">
        <f>IF('AYIRA MINI MART FINAL MENU - Pr'!M145="", "", 'AYIRA MINI MART FINAL MENU - Pr'!M145)</f>
        <v/>
      </c>
      <c r="N145" s="56" t="str">
        <f>IF('AYIRA MINI MART FINAL MENU - Pr'!N145="", "", 'AYIRA MINI MART FINAL MENU - Pr'!N145)</f>
        <v/>
      </c>
      <c r="O145" s="57"/>
      <c r="P145" s="57"/>
      <c r="Q145" s="57"/>
      <c r="R145" s="57"/>
      <c r="S145" s="57"/>
      <c r="T145" s="57"/>
      <c r="U145" s="57"/>
      <c r="V145" s="57"/>
      <c r="W145" s="57"/>
      <c r="X145" s="57"/>
      <c r="Y145" s="57"/>
      <c r="Z145" s="57"/>
    </row>
    <row r="146">
      <c r="A146" s="56" t="str">
        <f>IFERROR(__xludf.DUMMYFUNCTION("IF('AYIRA MINI MART FINAL MENU - Pr'!A146="""", """", IF(LEN(IFERROR(TRIM(REGEXREPLACE(TRIM(REGEXEXTRACT('AYIRA MINI MART FINAL MENU - Pr'!A146, ""^[^\x{0600}-\x{06FF}]+"")), ""[-–]+$"", """")), """"))&gt;0, IFERROR(TRIM(REGEXREPLACE(TRIM(REGEXEXTRACT('AYIRA"&amp;" MINI MART FINAL MENU - Pr'!A146, ""^[^\x{0600}-\x{06FF}]+"")), ""[-–]+$"", """")), """"), GOOGLETRANSLATE('AYIRA MINI MART FINAL MENU - Pr'!A146, ""ar"", ""en"")))"),"Monster Energy Drink 250ml")</f>
        <v>Monster Energy Drink 250ml</v>
      </c>
      <c r="B146" s="56" t="str">
        <f>IFERROR(__xludf.DUMMYFUNCTION("IF('AYIRA MINI MART FINAL MENU - Pr'!B146="""", """", IF(LEN(IFERROR(TRIM(REGEXREPLACE(TRIM(REGEXEXTRACT('AYIRA MINI MART FINAL MENU - Pr'!B146, ""^[^\x{0600}-\x{06FF}]+"")), ""[-–]+$"", """")), """"))&gt;0, IFERROR(TRIM(REGEXREPLACE(TRIM(REGEXEXTRACT('AYIRA"&amp;" MINI MART FINAL MENU - Pr'!B146, ""^[^\x{0600}-\x{06FF}]+"")), ""[-–]+$"", """")), """"), GOOGLETRANSLATE('AYIRA MINI MART FINAL MENU - Pr'!B146, ""ar"", ""en"")))"),"ENErgy &amp; Sports Drinks")</f>
        <v>ENErgy &amp; Sports Drinks</v>
      </c>
      <c r="C146" s="58">
        <f>IF('AYIRA MINI MART FINAL MENU - Pr'!C146="", "", 'AYIRA MINI MART FINAL MENU - Pr'!C146)</f>
        <v>7</v>
      </c>
      <c r="D146" s="56" t="str">
        <f>IFERROR(__xludf.DUMMYFUNCTION("IF('AYIRA MINI MART FINAL MENU - Pr'!D146="""", """", GOOGLETRANSLATE('AYIRA MINI MART FINAL MENU - Pr'!D146, ""ar"", ""en""))"),"Fuel your energy with Monster, the favorite energy drink of athletes and professionals. It gives you the focus and stamina you need to tackle the day's challenges with peak performance. With a unique blend of caffeine, vitamins, and amino acids, it helps "&amp;"you perform at your best. Perfect before a workout or during long work hours. Experience the difference with every sip and enjoy unparalleled energy. Available now at Aira Mini Mart at an affordable price and guaranteed quality.")</f>
        <v>Fuel your energy with Monster,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guaranteed quality.</v>
      </c>
      <c r="E146" s="56" t="str">
        <f>IF('AYIRA MINI MART FINAL MENU - Pr'!K146="", "", 'AYIRA MINI MART FINAL MENU - Pr'!K146)</f>
        <v/>
      </c>
      <c r="F146" s="56"/>
      <c r="G146" s="56"/>
      <c r="H146" s="56"/>
      <c r="I146" s="56"/>
      <c r="J146" s="56"/>
      <c r="L146" s="56" t="str">
        <f>IF('AYIRA MINI MART FINAL MENU - Pr'!L146="", "", 'AYIRA MINI MART FINAL MENU - Pr'!L146)</f>
        <v/>
      </c>
      <c r="M146" s="56" t="str">
        <f>IF('AYIRA MINI MART FINAL MENU - Pr'!M146="", "", 'AYIRA MINI MART FINAL MENU - Pr'!M146)</f>
        <v/>
      </c>
      <c r="N146" s="56" t="str">
        <f>IF('AYIRA MINI MART FINAL MENU - Pr'!N146="", "", 'AYIRA MINI MART FINAL MENU - Pr'!N146)</f>
        <v/>
      </c>
      <c r="O146" s="57"/>
      <c r="P146" s="57"/>
      <c r="Q146" s="57"/>
      <c r="R146" s="57"/>
      <c r="S146" s="57"/>
      <c r="T146" s="57"/>
      <c r="U146" s="57"/>
      <c r="V146" s="57"/>
      <c r="W146" s="57"/>
      <c r="X146" s="57"/>
      <c r="Y146" s="57"/>
      <c r="Z146" s="57"/>
    </row>
    <row r="147">
      <c r="A147" s="56" t="str">
        <f>IFERROR(__xludf.DUMMYFUNCTION("IF('AYIRA MINI MART FINAL MENU - Pr'!A147="""", """", IF(LEN(IFERROR(TRIM(REGEXREPLACE(TRIM(REGEXEXTRACT('AYIRA MINI MART FINAL MENU - Pr'!A147, ""^[^\x{0600}-\x{06FF}]+"")), ""[-–]+$"", """")), """"))&gt;0, IFERROR(TRIM(REGEXREPLACE(TRIM(REGEXEXTRACT('AYIRA"&amp;" MINI MART FINAL MENU - Pr'!A147, ""^[^\x{0600}-\x{06FF}]+"")), ""[-–]+$"", """")), """"), GOOGLETRANSLATE('AYIRA MINI MART FINAL MENU - Pr'!A147, ""ar"", ""en"")))"),"Red Bull Apricot Strawberry Energy Drink 250ml")</f>
        <v>Red Bull Apricot Strawberry Energy Drink 250ml</v>
      </c>
      <c r="B147" s="56" t="str">
        <f>IFERROR(__xludf.DUMMYFUNCTION("IF('AYIRA MINI MART FINAL MENU - Pr'!B147="""", """", IF(LEN(IFERROR(TRIM(REGEXREPLACE(TRIM(REGEXEXTRACT('AYIRA MINI MART FINAL MENU - Pr'!B147, ""^[^\x{0600}-\x{06FF}]+"")), ""[-–]+$"", """")), """"))&gt;0, IFERROR(TRIM(REGEXREPLACE(TRIM(REGEXEXTRACT('AYIRA"&amp;" MINI MART FINAL MENU - Pr'!B147, ""^[^\x{0600}-\x{06FF}]+"")), ""[-–]+$"", """")), """"), GOOGLETRANSLATE('AYIRA MINI MART FINAL MENU - Pr'!B147, ""ar"", ""en"")))"),"ENErgy &amp; Sports Drinks")</f>
        <v>ENErgy &amp; Sports Drinks</v>
      </c>
      <c r="C147" s="58">
        <f>IF('AYIRA MINI MART FINAL MENU - Pr'!C147="", "", 'AYIRA MINI MART FINAL MENU - Pr'!C147)</f>
        <v>10</v>
      </c>
      <c r="D147" s="56" t="str">
        <f>IFERROR(__xludf.DUMMYFUNCTION("IF('AYIRA MINI MART FINAL MENU - Pr'!D147="""", """", GOOGLETRANSLATE('AYIRA MINI MART FINAL MENU - Pr'!D147,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47" s="56" t="str">
        <f>IF('AYIRA MINI MART FINAL MENU - Pr'!K147="", "", 'AYIRA MINI MART FINAL MENU - Pr'!K147)</f>
        <v/>
      </c>
      <c r="F147" s="56"/>
      <c r="G147" s="56"/>
      <c r="H147" s="56"/>
      <c r="I147" s="56"/>
      <c r="J147" s="56"/>
      <c r="L147" s="56" t="str">
        <f>IF('AYIRA MINI MART FINAL MENU - Pr'!L147="", "", 'AYIRA MINI MART FINAL MENU - Pr'!L147)</f>
        <v/>
      </c>
      <c r="M147" s="56" t="str">
        <f>IF('AYIRA MINI MART FINAL MENU - Pr'!M147="", "", 'AYIRA MINI MART FINAL MENU - Pr'!M147)</f>
        <v/>
      </c>
      <c r="N147" s="56" t="str">
        <f>IF('AYIRA MINI MART FINAL MENU - Pr'!N147="", "", 'AYIRA MINI MART FINAL MENU - Pr'!N147)</f>
        <v/>
      </c>
      <c r="O147" s="57"/>
      <c r="P147" s="57"/>
      <c r="Q147" s="57"/>
      <c r="R147" s="57"/>
      <c r="S147" s="57"/>
      <c r="T147" s="57"/>
      <c r="U147" s="57"/>
      <c r="V147" s="57"/>
      <c r="W147" s="57"/>
      <c r="X147" s="57"/>
      <c r="Y147" s="57"/>
      <c r="Z147" s="57"/>
    </row>
    <row r="148">
      <c r="A148" s="56" t="str">
        <f>IFERROR(__xludf.DUMMYFUNCTION("IF('AYIRA MINI MART FINAL MENU - Pr'!A148="""", """", IF(LEN(IFERROR(TRIM(REGEXREPLACE(TRIM(REGEXEXTRACT('AYIRA MINI MART FINAL MENU - Pr'!A148, ""^[^\x{0600}-\x{06FF}]+"")), ""[-–]+$"", """")), """"))&gt;0, IFERROR(TRIM(REGEXREPLACE(TRIM(REGEXEXTRACT('AYIRA"&amp;" MINI MART FINAL MENU - Pr'!A148, ""^[^\x{0600}-\x{06FF}]+"")), ""[-–]+$"", """")), """"), GOOGLETRANSLATE('AYIRA MINI MART FINAL MENU - Pr'!A148, ""ar"", ""en"")))"),"Shaheem Energy Drink 250ml – Shaheem")</f>
        <v>Shaheem Energy Drink 250ml – Shaheem</v>
      </c>
      <c r="B148" s="56" t="str">
        <f>IFERROR(__xludf.DUMMYFUNCTION("IF('AYIRA MINI MART FINAL MENU - Pr'!B148="""", """", IF(LEN(IFERROR(TRIM(REGEXREPLACE(TRIM(REGEXEXTRACT('AYIRA MINI MART FINAL MENU - Pr'!B148, ""^[^\x{0600}-\x{06FF}]+"")), ""[-–]+$"", """")), """"))&gt;0, IFERROR(TRIM(REGEXREPLACE(TRIM(REGEXEXTRACT('AYIRA"&amp;" MINI MART FINAL MENU - Pr'!B148, ""^[^\x{0600}-\x{06FF}]+"")), ""[-–]+$"", """")), """"), GOOGLETRANSLATE('AYIRA MINI MART FINAL MENU - Pr'!B148, ""ar"", ""en"")))"),"ENErgy &amp; Sports Drinks")</f>
        <v>ENErgy &amp; Sports Drinks</v>
      </c>
      <c r="C148" s="58">
        <f>IF('AYIRA MINI MART FINAL MENU - Pr'!C148="", "", 'AYIRA MINI MART FINAL MENU - Pr'!C148)</f>
        <v>7</v>
      </c>
      <c r="D148" s="56" t="str">
        <f>IFERROR(__xludf.DUMMYFUNCTION("IF('AYIRA MINI MART FINAL MENU - Pr'!D148="""", """", GOOGLETRANSLATE('AYIRA MINI MART FINAL MENU - Pr'!D148, ""ar"", ""en""))"),"Fuel your energy with Shaheem Energy Drink 250ml, the preferred energy drink of athletes and professionals. It gives you the focus and energy you need to tackle the day's challenges with maximum efficiency. With a unique formula of caffeine, vitamins, and"&amp;" amino acids, it helps you perform at your peak. Perfect before exercise or during long work hours. Discover the difference with every sip and experience unparalleled energy. Available now at Aira Mini Mart at an affordable price and guaranteed quality.")</f>
        <v>Fuel your energy with Shaheem Energy Drink 250ml, the preferred energy drink of athletes and professionals. It gives you the focus and energy you need to tackle the day's challenges with maximum efficiency. With a unique formula of caffeine, vitamins, and amino acids, it helps you perform at your peak. Perfect before exercise or during long work hours. Discover the difference with every sip and experience unparalleled energy. Available now at Aira Mini Mart at an affordable price and guaranteed quality.</v>
      </c>
      <c r="E148" s="56" t="str">
        <f>IF('AYIRA MINI MART FINAL MENU - Pr'!K148="", "", 'AYIRA MINI MART FINAL MENU - Pr'!K148)</f>
        <v/>
      </c>
      <c r="F148" s="56"/>
      <c r="G148" s="56"/>
      <c r="H148" s="56"/>
      <c r="I148" s="56"/>
      <c r="J148" s="56"/>
      <c r="L148" s="56" t="str">
        <f>IF('AYIRA MINI MART FINAL MENU - Pr'!L148="", "", 'AYIRA MINI MART FINAL MENU - Pr'!L148)</f>
        <v/>
      </c>
      <c r="M148" s="56" t="str">
        <f>IF('AYIRA MINI MART FINAL MENU - Pr'!M148="", "", 'AYIRA MINI MART FINAL MENU - Pr'!M148)</f>
        <v/>
      </c>
      <c r="N148" s="56" t="str">
        <f>IF('AYIRA MINI MART FINAL MENU - Pr'!N148="", "", 'AYIRA MINI MART FINAL MENU - Pr'!N148)</f>
        <v/>
      </c>
      <c r="O148" s="57"/>
      <c r="P148" s="57"/>
      <c r="Q148" s="57"/>
      <c r="R148" s="57"/>
      <c r="S148" s="57"/>
      <c r="T148" s="57"/>
      <c r="U148" s="57"/>
      <c r="V148" s="57"/>
      <c r="W148" s="57"/>
      <c r="X148" s="57"/>
      <c r="Y148" s="57"/>
      <c r="Z148" s="57"/>
    </row>
    <row r="149">
      <c r="A149" s="56" t="str">
        <f>IFERROR(__xludf.DUMMYFUNCTION("IF('AYIRA MINI MART FINAL MENU - Pr'!A149="""", """", IF(LEN(IFERROR(TRIM(REGEXREPLACE(TRIM(REGEXEXTRACT('AYIRA MINI MART FINAL MENU - Pr'!A149, ""^[^\x{0600}-\x{06FF}]+"")), ""[-–]+$"", """")), """"))&gt;0, IFERROR(TRIM(REGEXREPLACE(TRIM(REGEXEXTRACT('AYIRA"&amp;" MINI MART FINAL MENU - Pr'!A149, ""^[^\x{0600}-\x{06FF}]+"")), ""[-–]+$"", """")), """"), GOOGLETRANSLATE('AYIRA MINI MART FINAL MENU - Pr'!A149, ""ar"", ""en"")))"),"Pran Mango Fruit Drink 250ml – Pran")</f>
        <v>Pran Mango Fruit Drink 250ml – Pran</v>
      </c>
      <c r="B149" s="56" t="str">
        <f>IFERROR(__xludf.DUMMYFUNCTION("IF('AYIRA MINI MART FINAL MENU - Pr'!B149="""", """", IF(LEN(IFERROR(TRIM(REGEXREPLACE(TRIM(REGEXEXTRACT('AYIRA MINI MART FINAL MENU - Pr'!B149, ""^[^\x{0600}-\x{06FF}]+"")), ""[-–]+$"", """")), """"))&gt;0, IFERROR(TRIM(REGEXREPLACE(TRIM(REGEXEXTRACT('AYIRA"&amp;" MINI MART FINAL MENU - Pr'!B149, ""^[^\x{0600}-\x{06FF}]+"")), ""[-–]+$"", """")), """"), GOOGLETRANSLATE('AYIRA MINI MART FINAL MENU - Pr'!B149, ""ar"", ""en"")))"),"Juices &amp; Fruit Drinks")</f>
        <v>Juices &amp; Fruit Drinks</v>
      </c>
      <c r="C149" s="58">
        <f>IF('AYIRA MINI MART FINAL MENU - Pr'!C149="", "", 'AYIRA MINI MART FINAL MENU - Pr'!C149)</f>
        <v>2.5</v>
      </c>
      <c r="D149" s="56" t="str">
        <f>IFERROR(__xludf.DUMMYFUNCTION("IF('AYIRA MINI MART FINAL MENU - Pr'!D149="""", """", GOOGLETRANSLATE('AYIRA MINI MART FINAL MENU - Pr'!D149, ""ar"", ""en""))"),"Discover Pran Mango Fruit Drink 250ml, a premium product that combines high quality with exceptional value. Made to the highest standards of quality and safety to ensure your complete satisfaction every time. Its excellent features make it the perfect cho"&amp;"ice for you and your family. Whether for everyday use or special occasions, it meets and exceeds your expectations. Get it now from Aira Mini Mart and enjoy a pleasant and reliable shopping experience.")</f>
        <v>Discover Pran Mango Fruit Drink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49" s="56" t="str">
        <f>IF('AYIRA MINI MART FINAL MENU - Pr'!K149="", "", 'AYIRA MINI MART FINAL MENU - Pr'!K149)</f>
        <v/>
      </c>
      <c r="F149" s="56"/>
      <c r="G149" s="56"/>
      <c r="H149" s="56"/>
      <c r="I149" s="56"/>
      <c r="J149" s="56"/>
      <c r="L149" s="56" t="str">
        <f>IF('AYIRA MINI MART FINAL MENU - Pr'!L149="", "", 'AYIRA MINI MART FINAL MENU - Pr'!L149)</f>
        <v/>
      </c>
      <c r="M149" s="56" t="str">
        <f>IF('AYIRA MINI MART FINAL MENU - Pr'!M149="", "", 'AYIRA MINI MART FINAL MENU - Pr'!M149)</f>
        <v/>
      </c>
      <c r="N149" s="56" t="str">
        <f>IF('AYIRA MINI MART FINAL MENU - Pr'!N149="", "", 'AYIRA MINI MART FINAL MENU - Pr'!N149)</f>
        <v/>
      </c>
      <c r="O149" s="57"/>
      <c r="P149" s="57"/>
      <c r="Q149" s="57"/>
      <c r="R149" s="57"/>
      <c r="S149" s="57"/>
      <c r="T149" s="57"/>
      <c r="U149" s="57"/>
      <c r="V149" s="57"/>
      <c r="W149" s="57"/>
      <c r="X149" s="57"/>
      <c r="Y149" s="57"/>
      <c r="Z149" s="57"/>
    </row>
    <row r="150">
      <c r="A150" s="56" t="str">
        <f>IFERROR(__xludf.DUMMYFUNCTION("IF('AYIRA MINI MART FINAL MENU - Pr'!A150="""", """", IF(LEN(IFERROR(TRIM(REGEXREPLACE(TRIM(REGEXEXTRACT('AYIRA MINI MART FINAL MENU - Pr'!A150, ""^[^\x{0600}-\x{06FF}]+"")), ""[-–]+$"", """")), """"))&gt;0, IFERROR(TRIM(REGEXREPLACE(TRIM(REGEXEXTRACT('AYIRA"&amp;" MINI MART FINAL MENU - Pr'!A150, ""^[^\x{0600}-\x{06FF}]+"")), ""[-–]+$"", """")), """"), GOOGLETRANSLATE('AYIRA MINI MART FINAL MENU - Pr'!A150, ""ar"", ""en"")))"),"Saba Orange Drink Float 240ml – Saba")</f>
        <v>Saba Orange Drink Float 240ml – Saba</v>
      </c>
      <c r="B150" s="56" t="str">
        <f>IFERROR(__xludf.DUMMYFUNCTION("IF('AYIRA MINI MART FINAL MENU - Pr'!B150="""", """", IF(LEN(IFERROR(TRIM(REGEXREPLACE(TRIM(REGEXEXTRACT('AYIRA MINI MART FINAL MENU - Pr'!B150, ""^[^\x{0600}-\x{06FF}]+"")), ""[-–]+$"", """")), """"))&gt;0, IFERROR(TRIM(REGEXREPLACE(TRIM(REGEXEXTRACT('AYIRA"&amp;" MINI MART FINAL MENU - Pr'!B150, ""^[^\x{0600}-\x{06FF}]+"")), ""[-–]+$"", """")), """"), GOOGLETRANSLATE('AYIRA MINI MART FINAL MENU - Pr'!B150, ""ar"", ""en"")))"),"Juices &amp; Fruit Drinks")</f>
        <v>Juices &amp; Fruit Drinks</v>
      </c>
      <c r="C150" s="58">
        <f>IF('AYIRA MINI MART FINAL MENU - Pr'!C150="", "", 'AYIRA MINI MART FINAL MENU - Pr'!C150)</f>
        <v>2</v>
      </c>
      <c r="D150" s="56" t="str">
        <f>IFERROR(__xludf.DUMMYFUNCTION("IF('AYIRA MINI MART FINAL MENU - Pr'!D150="""", """", GOOGLETRANSLATE('AYIRA MINI MART FINAL MENU - Pr'!D150, ""ar"", ""en""))"),"Discover Saba Orange Drink Float 240ml, a premium product that combines high quality with exceptional value. Made to the highest standards of quality and safety to ensure your complete satisfaction every time, its excellent features make it the perfect ch"&amp;"oice for you and your family. Whether for everyday use or special occasions, it meets and exceeds your expectations. Get it now from Aira Mini Mart and enjoy a pleasant and reliable shopping experience.")</f>
        <v>Discover Saba Orange Drink Float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50" s="56" t="str">
        <f>IF('AYIRA MINI MART FINAL MENU - Pr'!K150="", "", 'AYIRA MINI MART FINAL MENU - Pr'!K150)</f>
        <v/>
      </c>
      <c r="F150" s="56"/>
      <c r="G150" s="56"/>
      <c r="H150" s="56"/>
      <c r="I150" s="56"/>
      <c r="J150" s="56"/>
      <c r="L150" s="56" t="str">
        <f>IF('AYIRA MINI MART FINAL MENU - Pr'!L150="", "", 'AYIRA MINI MART FINAL MENU - Pr'!L150)</f>
        <v/>
      </c>
      <c r="M150" s="56" t="str">
        <f>IF('AYIRA MINI MART FINAL MENU - Pr'!M150="", "", 'AYIRA MINI MART FINAL MENU - Pr'!M150)</f>
        <v/>
      </c>
      <c r="N150" s="56" t="str">
        <f>IF('AYIRA MINI MART FINAL MENU - Pr'!N150="", "", 'AYIRA MINI MART FINAL MENU - Pr'!N150)</f>
        <v/>
      </c>
      <c r="O150" s="57"/>
      <c r="P150" s="57"/>
      <c r="Q150" s="57"/>
      <c r="R150" s="57"/>
      <c r="S150" s="57"/>
      <c r="T150" s="57"/>
      <c r="U150" s="57"/>
      <c r="V150" s="57"/>
      <c r="W150" s="57"/>
      <c r="X150" s="57"/>
      <c r="Y150" s="57"/>
      <c r="Z150" s="57"/>
    </row>
    <row r="151">
      <c r="A151" s="56" t="str">
        <f>IFERROR(__xludf.DUMMYFUNCTION("IF('AYIRA MINI MART FINAL MENU - Pr'!A151="""", """", IF(LEN(IFERROR(TRIM(REGEXREPLACE(TRIM(REGEXEXTRACT('AYIRA MINI MART FINAL MENU - Pr'!A151, ""^[^\x{0600}-\x{06FF}]+"")), ""[-–]+$"", """")), """"))&gt;0, IFERROR(TRIM(REGEXREPLACE(TRIM(REGEXEXTRACT('AYIRA"&amp;" MINI MART FINAL MENU - Pr'!A151, ""^[^\x{0600}-\x{06FF}]+"")), ""[-–]+$"", """")), """"), GOOGLETRANSLATE('AYIRA MINI MART FINAL MENU - Pr'!A151, ""ar"", ""en"")))"),"Saba Peach Drink Float 240ml – Saba")</f>
        <v>Saba Peach Drink Float 240ml – Saba</v>
      </c>
      <c r="B151" s="56" t="str">
        <f>IFERROR(__xludf.DUMMYFUNCTION("IF('AYIRA MINI MART FINAL MENU - Pr'!B151="""", """", IF(LEN(IFERROR(TRIM(REGEXREPLACE(TRIM(REGEXEXTRACT('AYIRA MINI MART FINAL MENU - Pr'!B151, ""^[^\x{0600}-\x{06FF}]+"")), ""[-–]+$"", """")), """"))&gt;0, IFERROR(TRIM(REGEXREPLACE(TRIM(REGEXEXTRACT('AYIRA"&amp;" MINI MART FINAL MENU - Pr'!B151, ""^[^\x{0600}-\x{06FF}]+"")), ""[-–]+$"", """")), """"), GOOGLETRANSLATE('AYIRA MINI MART FINAL MENU - Pr'!B151, ""ar"", ""en"")))"),"Juices &amp; Fruit Drinks")</f>
        <v>Juices &amp; Fruit Drinks</v>
      </c>
      <c r="C151" s="58">
        <f>IF('AYIRA MINI MART FINAL MENU - Pr'!C151="", "", 'AYIRA MINI MART FINAL MENU - Pr'!C151)</f>
        <v>2</v>
      </c>
      <c r="D151" s="56" t="str">
        <f>IFERROR(__xludf.DUMMYFUNCTION("IF('AYIRA MINI MART FINAL MENU - Pr'!D151="""", """", GOOGLETRANSLATE('AYIRA MINI MART FINAL MENU - Pr'!D151, ""ar"", ""en""))"),"Discover Saba Peach Drink Float 240ml, a premium product that combines high quality with exceptional value. Made to the highest standards of quality and safety to ensure your complete satisfaction every time, its excellent features make it the perfect cho"&amp;"ice for you and your family. Whether for everyday use or special occasions, it meets and exceeds your expectations. Get it now from Aira Mini Mart and enjoy a pleasant and reliable shopping experience.")</f>
        <v>Discover Saba Peach Drink Float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51" s="56" t="str">
        <f>IF('AYIRA MINI MART FINAL MENU - Pr'!K151="", "", 'AYIRA MINI MART FINAL MENU - Pr'!K151)</f>
        <v/>
      </c>
      <c r="F151" s="56"/>
      <c r="G151" s="56"/>
      <c r="H151" s="56"/>
      <c r="I151" s="56"/>
      <c r="J151" s="56"/>
      <c r="L151" s="56" t="str">
        <f>IF('AYIRA MINI MART FINAL MENU - Pr'!L151="", "", 'AYIRA MINI MART FINAL MENU - Pr'!L151)</f>
        <v/>
      </c>
      <c r="M151" s="56" t="str">
        <f>IF('AYIRA MINI MART FINAL MENU - Pr'!M151="", "", 'AYIRA MINI MART FINAL MENU - Pr'!M151)</f>
        <v/>
      </c>
      <c r="N151" s="56" t="str">
        <f>IF('AYIRA MINI MART FINAL MENU - Pr'!N151="", "", 'AYIRA MINI MART FINAL MENU - Pr'!N151)</f>
        <v/>
      </c>
      <c r="O151" s="57"/>
      <c r="P151" s="57"/>
      <c r="Q151" s="57"/>
      <c r="R151" s="57"/>
      <c r="S151" s="57"/>
      <c r="T151" s="57"/>
      <c r="U151" s="57"/>
      <c r="V151" s="57"/>
      <c r="W151" s="57"/>
      <c r="X151" s="57"/>
      <c r="Y151" s="57"/>
      <c r="Z151" s="57"/>
    </row>
    <row r="152">
      <c r="A152" s="56" t="str">
        <f>IFERROR(__xludf.DUMMYFUNCTION("IF('AYIRA MINI MART FINAL MENU - Pr'!A152="""", """", IF(LEN(IFERROR(TRIM(REGEXREPLACE(TRIM(REGEXEXTRACT('AYIRA MINI MART FINAL MENU - Pr'!A152, ""^[^\x{0600}-\x{06FF}]+"")), ""[-–]+$"", """")), """"))&gt;0, IFERROR(TRIM(REGEXREPLACE(TRIM(REGEXEXTRACT('AYIRA"&amp;" MINI MART FINAL MENU - Pr'!A152, ""^[^\x{0600}-\x{06FF}]+"")), ""[-–]+$"", """")), """"), GOOGLETRANSLATE('AYIRA MINI MART FINAL MENU - Pr'!A152, ""ar"", ""en"")))"),"Saba Pineapple Drink Float 240ml – Saba")</f>
        <v>Saba Pineapple Drink Float 240ml – Saba</v>
      </c>
      <c r="B152" s="56" t="str">
        <f>IFERROR(__xludf.DUMMYFUNCTION("IF('AYIRA MINI MART FINAL MENU - Pr'!B152="""", """", IF(LEN(IFERROR(TRIM(REGEXREPLACE(TRIM(REGEXEXTRACT('AYIRA MINI MART FINAL MENU - Pr'!B152, ""^[^\x{0600}-\x{06FF}]+"")), ""[-–]+$"", """")), """"))&gt;0, IFERROR(TRIM(REGEXREPLACE(TRIM(REGEXEXTRACT('AYIRA"&amp;" MINI MART FINAL MENU - Pr'!B152, ""^[^\x{0600}-\x{06FF}]+"")), ""[-–]+$"", """")), """"), GOOGLETRANSLATE('AYIRA MINI MART FINAL MENU - Pr'!B152, ""ar"", ""en"")))"),"Juices &amp; Fruit Drinks")</f>
        <v>Juices &amp; Fruit Drinks</v>
      </c>
      <c r="C152" s="58">
        <f>IF('AYIRA MINI MART FINAL MENU - Pr'!C152="", "", 'AYIRA MINI MART FINAL MENU - Pr'!C152)</f>
        <v>2</v>
      </c>
      <c r="D152" s="56" t="str">
        <f>IFERROR(__xludf.DUMMYFUNCTION("IF('AYIRA MINI MART FINAL MENU - Pr'!D152="""", """", GOOGLETRANSLATE('AYIRA MINI MART FINAL MENU - Pr'!D152, ""ar"", ""en""))"),"Discover Saba Pineapple Drink Float 240ml, a premium product that combines high quality with exceptional value. Made to the highest standards of quality and safety to ensure your complete satisfaction every time, its excellent features make it the perfect"&amp;" choice for you and your family. Whether for everyday use or special occasions, it meets and exceeds your expectations. Get it now from Aira Mini Mart and enjoy a pleasant and reliable shopping experience.")</f>
        <v>Discover Saba Pineapple Drink Float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52" s="56" t="str">
        <f>IF('AYIRA MINI MART FINAL MENU - Pr'!K152="", "", 'AYIRA MINI MART FINAL MENU - Pr'!K152)</f>
        <v/>
      </c>
      <c r="F152" s="56"/>
      <c r="G152" s="56"/>
      <c r="H152" s="56"/>
      <c r="I152" s="56"/>
      <c r="J152" s="56"/>
      <c r="L152" s="56" t="str">
        <f>IF('AYIRA MINI MART FINAL MENU - Pr'!L152="", "", 'AYIRA MINI MART FINAL MENU - Pr'!L152)</f>
        <v/>
      </c>
      <c r="M152" s="56" t="str">
        <f>IF('AYIRA MINI MART FINAL MENU - Pr'!M152="", "", 'AYIRA MINI MART FINAL MENU - Pr'!M152)</f>
        <v/>
      </c>
      <c r="N152" s="56" t="str">
        <f>IF('AYIRA MINI MART FINAL MENU - Pr'!N152="", "", 'AYIRA MINI MART FINAL MENU - Pr'!N152)</f>
        <v/>
      </c>
      <c r="O152" s="57"/>
      <c r="P152" s="57"/>
      <c r="Q152" s="57"/>
      <c r="R152" s="57"/>
      <c r="S152" s="57"/>
      <c r="T152" s="57"/>
      <c r="U152" s="57"/>
      <c r="V152" s="57"/>
      <c r="W152" s="57"/>
      <c r="X152" s="57"/>
      <c r="Y152" s="57"/>
      <c r="Z152" s="57"/>
    </row>
    <row r="153">
      <c r="A153" s="56" t="str">
        <f>IFERROR(__xludf.DUMMYFUNCTION("IF('AYIRA MINI MART FINAL MENU - Pr'!A153="""", """", IF(LEN(IFERROR(TRIM(REGEXREPLACE(TRIM(REGEXEXTRACT('AYIRA MINI MART FINAL MENU - Pr'!A153, ""^[^\x{0600}-\x{06FF}]+"")), ""[-–]+$"", """")), """"))&gt;0, IFERROR(TRIM(REGEXREPLACE(TRIM(REGEXEXTRACT('AYIRA"&amp;" MINI MART FINAL MENU - Pr'!A153, ""^[^\x{0600}-\x{06FF}]+"")), ""[-–]+$"", """")), """"), GOOGLETRANSLATE('AYIRA MINI MART FINAL MENU - Pr'!A153, ""ar"", ""en"")))"),"Saba Strawberry &amp; Banana Drink Float 240ml – Saba")</f>
        <v>Saba Strawberry &amp; Banana Drink Float 240ml – Saba</v>
      </c>
      <c r="B153" s="56" t="str">
        <f>IFERROR(__xludf.DUMMYFUNCTION("IF('AYIRA MINI MART FINAL MENU - Pr'!B153="""", """", IF(LEN(IFERROR(TRIM(REGEXREPLACE(TRIM(REGEXEXTRACT('AYIRA MINI MART FINAL MENU - Pr'!B153, ""^[^\x{0600}-\x{06FF}]+"")), ""[-–]+$"", """")), """"))&gt;0, IFERROR(TRIM(REGEXREPLACE(TRIM(REGEXEXTRACT('AYIRA"&amp;" MINI MART FINAL MENU - Pr'!B153, ""^[^\x{0600}-\x{06FF}]+"")), ""[-–]+$"", """")), """"), GOOGLETRANSLATE('AYIRA MINI MART FINAL MENU - Pr'!B153, ""ar"", ""en"")))"),"Juices &amp; Fruit Drinks")</f>
        <v>Juices &amp; Fruit Drinks</v>
      </c>
      <c r="C153" s="58">
        <f>IF('AYIRA MINI MART FINAL MENU - Pr'!C153="", "", 'AYIRA MINI MART FINAL MENU - Pr'!C153)</f>
        <v>2</v>
      </c>
      <c r="D153" s="56" t="str">
        <f>IFERROR(__xludf.DUMMYFUNCTION("IF('AYIRA MINI MART FINAL MENU - Pr'!D153="""", """", GOOGLETRANSLATE('AYIRA MINI MART FINAL MENU - Pr'!D153, ""ar"", ""en""))"),"Discover Saba Strawberry &amp; Banana Drink Float 240ml, a premium product that combines high quality with great value. Made to the highest standards of quality and safety to ensure your complete satisfaction every time. Its excellent features make it the per"&amp;"fect choice for you and your family. Whether for everyday use or special occasions, it meets and exceeds your expectations. Get it now from Aira Mini Mart and enjoy a pleasant and reliable shopping experience.")</f>
        <v>Discover Saba Strawberry &amp; Banana Drink Float 240ml,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53" s="56" t="str">
        <f>IF('AYIRA MINI MART FINAL MENU - Pr'!K153="", "", 'AYIRA MINI MART FINAL MENU - Pr'!K153)</f>
        <v/>
      </c>
      <c r="F153" s="56"/>
      <c r="G153" s="56"/>
      <c r="H153" s="56"/>
      <c r="I153" s="56"/>
      <c r="J153" s="56"/>
      <c r="L153" s="56" t="str">
        <f>IF('AYIRA MINI MART FINAL MENU - Pr'!L153="", "", 'AYIRA MINI MART FINAL MENU - Pr'!L153)</f>
        <v/>
      </c>
      <c r="M153" s="56" t="str">
        <f>IF('AYIRA MINI MART FINAL MENU - Pr'!M153="", "", 'AYIRA MINI MART FINAL MENU - Pr'!M153)</f>
        <v/>
      </c>
      <c r="N153" s="56" t="str">
        <f>IF('AYIRA MINI MART FINAL MENU - Pr'!N153="", "", 'AYIRA MINI MART FINAL MENU - Pr'!N153)</f>
        <v/>
      </c>
      <c r="O153" s="57"/>
      <c r="P153" s="57"/>
      <c r="Q153" s="57"/>
      <c r="R153" s="57"/>
      <c r="S153" s="57"/>
      <c r="T153" s="57"/>
      <c r="U153" s="57"/>
      <c r="V153" s="57"/>
      <c r="W153" s="57"/>
      <c r="X153" s="57"/>
      <c r="Y153" s="57"/>
      <c r="Z153" s="57"/>
    </row>
    <row r="154">
      <c r="A154" s="56" t="str">
        <f>IFERROR(__xludf.DUMMYFUNCTION("IF('AYIRA MINI MART FINAL MENU - Pr'!A154="""", """", IF(LEN(IFERROR(TRIM(REGEXREPLACE(TRIM(REGEXEXTRACT('AYIRA MINI MART FINAL MENU - Pr'!A154, ""^[^\x{0600}-\x{06FF}]+"")), ""[-–]+$"", """")), """"))&gt;0, IFERROR(TRIM(REGEXREPLACE(TRIM(REGEXEXTRACT('AYIRA"&amp;" MINI MART FINAL MENU - Pr'!A154, ""^[^\x{0600}-\x{06FF}]+"")), ""[-–]+$"", """")), """"), GOOGLETRANSLATE('AYIRA MINI MART FINAL MENU - Pr'!A154, ""ar"", ""en"")))"),"Almarai Mango Juice 200ml")</f>
        <v>Almarai Mango Juice 200ml</v>
      </c>
      <c r="B154" s="56" t="str">
        <f>IFERROR(__xludf.DUMMYFUNCTION("IF('AYIRA MINI MART FINAL MENU - Pr'!B154="""", """", IF(LEN(IFERROR(TRIM(REGEXREPLACE(TRIM(REGEXEXTRACT('AYIRA MINI MART FINAL MENU - Pr'!B154, ""^[^\x{0600}-\x{06FF}]+"")), ""[-–]+$"", """")), """"))&gt;0, IFERROR(TRIM(REGEXREPLACE(TRIM(REGEXEXTRACT('AYIRA"&amp;" MINI MART FINAL MENU - Pr'!B154, ""^[^\x{0600}-\x{06FF}]+"")), ""[-–]+$"", """")), """"), GOOGLETRANSLATE('AYIRA MINI MART FINAL MENU - Pr'!B154, ""ar"", ""en"")))"),"Juices &amp; Fruit Drinks")</f>
        <v>Juices &amp; Fruit Drinks</v>
      </c>
      <c r="C154" s="58">
        <f>IF('AYIRA MINI MART FINAL MENU - Pr'!C154="", "", 'AYIRA MINI MART FINAL MENU - Pr'!C154)</f>
        <v>2</v>
      </c>
      <c r="D154" s="56" t="str">
        <f>IFERROR(__xludf.DUMMYFUNCTION("IF('AYIRA MINI MART FINAL MENU - Pr'!D154="""", """", GOOGLETRANSLATE('AYIRA MINI MART FINAL MENU - Pr'!D154, ""ar"", ""en""))"),"Take care of your health with Almarai, a fresh juice rich in vitamins and minerals essential for your body's well-being. Made from the finest, carefully selected fruits, it offers a delicious taste and high nutritional value. It provides natural energy an"&amp;"d boosts your immune system thanks to its rich composition. Perfect for your daily breakfast or as a healthy drink anytime. Order now from Aira Mini Mart and enjoy every drop of this delicious and beneficial juice.")</f>
        <v>Take care of your health with Almarai,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154" s="56" t="str">
        <f>IF('AYIRA MINI MART FINAL MENU - Pr'!K154="", "", 'AYIRA MINI MART FINAL MENU - Pr'!K154)</f>
        <v/>
      </c>
      <c r="F154" s="56"/>
      <c r="G154" s="56"/>
      <c r="H154" s="56"/>
      <c r="I154" s="56"/>
      <c r="J154" s="56"/>
      <c r="L154" s="56" t="str">
        <f>IF('AYIRA MINI MART FINAL MENU - Pr'!L154="", "", 'AYIRA MINI MART FINAL MENU - Pr'!L154)</f>
        <v/>
      </c>
      <c r="M154" s="56" t="str">
        <f>IF('AYIRA MINI MART FINAL MENU - Pr'!M154="", "", 'AYIRA MINI MART FINAL MENU - Pr'!M154)</f>
        <v/>
      </c>
      <c r="N154" s="56" t="str">
        <f>IF('AYIRA MINI MART FINAL MENU - Pr'!N154="", "", 'AYIRA MINI MART FINAL MENU - Pr'!N154)</f>
        <v/>
      </c>
      <c r="O154" s="57"/>
      <c r="P154" s="57"/>
      <c r="Q154" s="57"/>
      <c r="R154" s="57"/>
      <c r="S154" s="57"/>
      <c r="T154" s="57"/>
      <c r="U154" s="57"/>
      <c r="V154" s="57"/>
      <c r="W154" s="57"/>
      <c r="X154" s="57"/>
      <c r="Y154" s="57"/>
      <c r="Z154" s="57"/>
    </row>
    <row r="155">
      <c r="A155" s="56" t="str">
        <f>IFERROR(__xludf.DUMMYFUNCTION("IF('AYIRA MINI MART FINAL MENU - Pr'!A155="""", """", IF(LEN(IFERROR(TRIM(REGEXREPLACE(TRIM(REGEXEXTRACT('AYIRA MINI MART FINAL MENU - Pr'!A155, ""^[^\x{0600}-\x{06FF}]+"")), ""[-–]+$"", """")), """"))&gt;0, IFERROR(TRIM(REGEXREPLACE(TRIM(REGEXEXTRACT('AYIRA"&amp;" MINI MART FINAL MENU - Pr'!A155, ""^[^\x{0600}-\x{06FF}]+"")), ""[-–]+$"", """")), """"), GOOGLETRANSLATE('AYIRA MINI MART FINAL MENU - Pr'!A155, ""ar"", ""en"")))"),"Almarai Mixed Orange Juice 200ml")</f>
        <v>Almarai Mixed Orange Juice 200ml</v>
      </c>
      <c r="B155" s="56" t="str">
        <f>IFERROR(__xludf.DUMMYFUNCTION("IF('AYIRA MINI MART FINAL MENU - Pr'!B155="""", """", IF(LEN(IFERROR(TRIM(REGEXREPLACE(TRIM(REGEXEXTRACT('AYIRA MINI MART FINAL MENU - Pr'!B155, ""^[^\x{0600}-\x{06FF}]+"")), ""[-–]+$"", """")), """"))&gt;0, IFERROR(TRIM(REGEXREPLACE(TRIM(REGEXEXTRACT('AYIRA"&amp;" MINI MART FINAL MENU - Pr'!B155, ""^[^\x{0600}-\x{06FF}]+"")), ""[-–]+$"", """")), """"), GOOGLETRANSLATE('AYIRA MINI MART FINAL MENU - Pr'!B155, ""ar"", ""en"")))"),"Juices &amp; Fruit Drinks")</f>
        <v>Juices &amp; Fruit Drinks</v>
      </c>
      <c r="C155" s="58">
        <f>IF('AYIRA MINI MART FINAL MENU - Pr'!C155="", "", 'AYIRA MINI MART FINAL MENU - Pr'!C155)</f>
        <v>2</v>
      </c>
      <c r="D155" s="56" t="str">
        <f>IFERROR(__xludf.DUMMYFUNCTION("IF('AYIRA MINI MART FINAL MENU - Pr'!D155="""", """", GOOGLETRANSLATE('AYIRA MINI MART FINAL MENU - Pr'!D155, ""ar"", ""en""))"),"Take care of your health with Almarai, a fresh juice rich in vitamins and minerals essential for your body's well-being. Made from the finest, carefully selected fruits, it offers a delicious taste and high nutritional value. It provides natural energy an"&amp;"d boosts your immune system thanks to its rich composition. Perfect for your daily breakfast or as a healthy drink anytime. Order now from Aira Mini Mart and enjoy every drop of this delicious and beneficial juice.")</f>
        <v>Take care of your health with Almarai,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155" s="56" t="str">
        <f>IF('AYIRA MINI MART FINAL MENU - Pr'!K155="", "", 'AYIRA MINI MART FINAL MENU - Pr'!K155)</f>
        <v/>
      </c>
      <c r="F155" s="56"/>
      <c r="G155" s="56"/>
      <c r="H155" s="56"/>
      <c r="I155" s="56"/>
      <c r="J155" s="56"/>
      <c r="L155" s="56" t="str">
        <f>IF('AYIRA MINI MART FINAL MENU - Pr'!L155="", "", 'AYIRA MINI MART FINAL MENU - Pr'!L155)</f>
        <v/>
      </c>
      <c r="M155" s="56" t="str">
        <f>IF('AYIRA MINI MART FINAL MENU - Pr'!M155="", "", 'AYIRA MINI MART FINAL MENU - Pr'!M155)</f>
        <v/>
      </c>
      <c r="N155" s="56" t="str">
        <f>IF('AYIRA MINI MART FINAL MENU - Pr'!N155="", "", 'AYIRA MINI MART FINAL MENU - Pr'!N155)</f>
        <v/>
      </c>
      <c r="O155" s="57"/>
      <c r="P155" s="57"/>
      <c r="Q155" s="57"/>
      <c r="R155" s="57"/>
      <c r="S155" s="57"/>
      <c r="T155" s="57"/>
      <c r="U155" s="57"/>
      <c r="V155" s="57"/>
      <c r="W155" s="57"/>
      <c r="X155" s="57"/>
      <c r="Y155" s="57"/>
      <c r="Z155" s="57"/>
    </row>
    <row r="156">
      <c r="A156" s="56" t="str">
        <f>IFERROR(__xludf.DUMMYFUNCTION("IF('AYIRA MINI MART FINAL MENU - Pr'!A156="""", """", IF(LEN(IFERROR(TRIM(REGEXREPLACE(TRIM(REGEXEXTRACT('AYIRA MINI MART FINAL MENU - Pr'!A156, ""^[^\x{0600}-\x{06FF}]+"")), ""[-–]+$"", """")), """"))&gt;0, IFERROR(TRIM(REGEXREPLACE(TRIM(REGEXEXTRACT('AYIRA"&amp;" MINI MART FINAL MENU - Pr'!A156, ""^[^\x{0600}-\x{06FF}]+"")), ""[-–]+$"", """")), """"), GOOGLETRANSLATE('AYIRA MINI MART FINAL MENU - Pr'!A156, ""ar"", ""en"")))"),"Almarai Lemon &amp; Mint Juice 200ml")</f>
        <v>Almarai Lemon &amp; Mint Juice 200ml</v>
      </c>
      <c r="B156" s="56" t="str">
        <f>IFERROR(__xludf.DUMMYFUNCTION("IF('AYIRA MINI MART FINAL MENU - Pr'!B156="""", """", IF(LEN(IFERROR(TRIM(REGEXREPLACE(TRIM(REGEXEXTRACT('AYIRA MINI MART FINAL MENU - Pr'!B156, ""^[^\x{0600}-\x{06FF}]+"")), ""[-–]+$"", """")), """"))&gt;0, IFERROR(TRIM(REGEXREPLACE(TRIM(REGEXEXTRACT('AYIRA"&amp;" MINI MART FINAL MENU - Pr'!B156, ""^[^\x{0600}-\x{06FF}]+"")), ""[-–]+$"", """")), """"), GOOGLETRANSLATE('AYIRA MINI MART FINAL MENU - Pr'!B156, ""ar"", ""en"")))"),"Juices &amp; Fruit Drinks")</f>
        <v>Juices &amp; Fruit Drinks</v>
      </c>
      <c r="C156" s="58">
        <f>IF('AYIRA MINI MART FINAL MENU - Pr'!C156="", "", 'AYIRA MINI MART FINAL MENU - Pr'!C156)</f>
        <v>2</v>
      </c>
      <c r="D156" s="56" t="str">
        <f>IFERROR(__xludf.DUMMYFUNCTION("IF('AYIRA MINI MART FINAL MENU - Pr'!D156="""", """", GOOGLETRANSLATE('AYIRA MINI MART FINAL MENU - Pr'!D156, ""ar"", ""en""))"),"Take care of your health with Almarai, a fresh juice rich in vitamins and minerals essential for your body's well-being. Made from the finest, carefully selected fruits, it offers a delicious taste and high nutritional value. It provides natural energy an"&amp;"d boosts your immune system thanks to its rich composition. Perfect for your daily breakfast or as a healthy drink anytime. Order now from Aira Mini Mart and enjoy every drop of this delicious and beneficial juice.")</f>
        <v>Take care of your health with Almarai,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156" s="56" t="str">
        <f>IF('AYIRA MINI MART FINAL MENU - Pr'!K156="", "", 'AYIRA MINI MART FINAL MENU - Pr'!K156)</f>
        <v/>
      </c>
      <c r="F156" s="56"/>
      <c r="G156" s="56"/>
      <c r="H156" s="56"/>
      <c r="I156" s="56"/>
      <c r="J156" s="56"/>
      <c r="L156" s="56" t="str">
        <f>IF('AYIRA MINI MART FINAL MENU - Pr'!L156="", "", 'AYIRA MINI MART FINAL MENU - Pr'!L156)</f>
        <v/>
      </c>
      <c r="M156" s="56" t="str">
        <f>IF('AYIRA MINI MART FINAL MENU - Pr'!M156="", "", 'AYIRA MINI MART FINAL MENU - Pr'!M156)</f>
        <v/>
      </c>
      <c r="N156" s="56" t="str">
        <f>IF('AYIRA MINI MART FINAL MENU - Pr'!N156="", "", 'AYIRA MINI MART FINAL MENU - Pr'!N156)</f>
        <v/>
      </c>
      <c r="O156" s="57"/>
      <c r="P156" s="57"/>
      <c r="Q156" s="57"/>
      <c r="R156" s="57"/>
      <c r="S156" s="57"/>
      <c r="T156" s="57"/>
      <c r="U156" s="57"/>
      <c r="V156" s="57"/>
      <c r="W156" s="57"/>
      <c r="X156" s="57"/>
      <c r="Y156" s="57"/>
      <c r="Z156" s="57"/>
    </row>
    <row r="157">
      <c r="A157" s="56" t="str">
        <f>IFERROR(__xludf.DUMMYFUNCTION("IF('AYIRA MINI MART FINAL MENU - Pr'!A157="""", """", IF(LEN(IFERROR(TRIM(REGEXREPLACE(TRIM(REGEXEXTRACT('AYIRA MINI MART FINAL MENU - Pr'!A157, ""^[^\x{0600}-\x{06FF}]+"")), ""[-–]+$"", """")), """"))&gt;0, IFERROR(TRIM(REGEXREPLACE(TRIM(REGEXEXTRACT('AYIRA"&amp;" MINI MART FINAL MENU - Pr'!A157, ""^[^\x{0600}-\x{06FF}]+"")), ""[-–]+$"", """")), """"), GOOGLETRANSLATE('AYIRA MINI MART FINAL MENU - Pr'!A157, ""ar"", ""en"")))"),"Almarai Mixed Berry Juice 200ml")</f>
        <v>Almarai Mixed Berry Juice 200ml</v>
      </c>
      <c r="B157" s="56" t="str">
        <f>IFERROR(__xludf.DUMMYFUNCTION("IF('AYIRA MINI MART FINAL MENU - Pr'!B157="""", """", IF(LEN(IFERROR(TRIM(REGEXREPLACE(TRIM(REGEXEXTRACT('AYIRA MINI MART FINAL MENU - Pr'!B157, ""^[^\x{0600}-\x{06FF}]+"")), ""[-–]+$"", """")), """"))&gt;0, IFERROR(TRIM(REGEXREPLACE(TRIM(REGEXEXTRACT('AYIRA"&amp;" MINI MART FINAL MENU - Pr'!B157, ""^[^\x{0600}-\x{06FF}]+"")), ""[-–]+$"", """")), """"), GOOGLETRANSLATE('AYIRA MINI MART FINAL MENU - Pr'!B157, ""ar"", ""en"")))"),"Juices &amp; Fruit Drinks")</f>
        <v>Juices &amp; Fruit Drinks</v>
      </c>
      <c r="C157" s="58">
        <f>IF('AYIRA MINI MART FINAL MENU - Pr'!C157="", "", 'AYIRA MINI MART FINAL MENU - Pr'!C157)</f>
        <v>2</v>
      </c>
      <c r="D157" s="56" t="str">
        <f>IFERROR(__xludf.DUMMYFUNCTION("IF('AYIRA MINI MART FINAL MENU - Pr'!D157="""", """", GOOGLETRANSLATE('AYIRA MINI MART FINAL MENU - Pr'!D157, ""ar"", ""en""))"),"Take care of your health with Almarai, a fresh juice rich in vitamins and minerals essential for your body's well-being. Made from the finest, carefully selected fruits, it offers a delicious taste and high nutritional value. It provides natural energy an"&amp;"d boosts your immune system thanks to its rich composition. Perfect for your daily breakfast or as a healthy drink anytime. Order now from Aira Mini Mart and enjoy every drop of this delicious and beneficial juice.")</f>
        <v>Take care of your health with Almarai,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157" s="56" t="str">
        <f>IF('AYIRA MINI MART FINAL MENU - Pr'!K157="", "", 'AYIRA MINI MART FINAL MENU - Pr'!K157)</f>
        <v/>
      </c>
      <c r="F157" s="56"/>
      <c r="G157" s="56"/>
      <c r="H157" s="56"/>
      <c r="I157" s="56"/>
      <c r="J157" s="56"/>
      <c r="L157" s="56" t="str">
        <f>IF('AYIRA MINI MART FINAL MENU - Pr'!L157="", "", 'AYIRA MINI MART FINAL MENU - Pr'!L157)</f>
        <v/>
      </c>
      <c r="M157" s="56" t="str">
        <f>IF('AYIRA MINI MART FINAL MENU - Pr'!M157="", "", 'AYIRA MINI MART FINAL MENU - Pr'!M157)</f>
        <v/>
      </c>
      <c r="N157" s="56" t="str">
        <f>IF('AYIRA MINI MART FINAL MENU - Pr'!N157="", "", 'AYIRA MINI MART FINAL MENU - Pr'!N157)</f>
        <v/>
      </c>
      <c r="O157" s="57"/>
      <c r="P157" s="57"/>
      <c r="Q157" s="57"/>
      <c r="R157" s="57"/>
      <c r="S157" s="57"/>
      <c r="T157" s="57"/>
      <c r="U157" s="57"/>
      <c r="V157" s="57"/>
      <c r="W157" s="57"/>
      <c r="X157" s="57"/>
      <c r="Y157" s="57"/>
      <c r="Z157" s="57"/>
    </row>
    <row r="158">
      <c r="A158" s="56" t="str">
        <f>IFERROR(__xludf.DUMMYFUNCTION("IF('AYIRA MINI MART FINAL MENU - Pr'!A158="""", """", IF(LEN(IFERROR(TRIM(REGEXREPLACE(TRIM(REGEXEXTRACT('AYIRA MINI MART FINAL MENU - Pr'!A158, ""^[^\x{0600}-\x{06FF}]+"")), ""[-–]+$"", """")), """"))&gt;0, IFERROR(TRIM(REGEXREPLACE(TRIM(REGEXEXTRACT('AYIRA"&amp;" MINI MART FINAL MENU - Pr'!A158, ""^[^\x{0600}-\x{06FF}]+"")), ""[-–]+$"", """")), """"), GOOGLETRANSLATE('AYIRA MINI MART FINAL MENU - Pr'!A158, ""ar"", ""en"")))"),"Almarai Mixed Apple Juice 200ml")</f>
        <v>Almarai Mixed Apple Juice 200ml</v>
      </c>
      <c r="B158" s="56" t="str">
        <f>IFERROR(__xludf.DUMMYFUNCTION("IF('AYIRA MINI MART FINAL MENU - Pr'!B158="""", """", IF(LEN(IFERROR(TRIM(REGEXREPLACE(TRIM(REGEXEXTRACT('AYIRA MINI MART FINAL MENU - Pr'!B158, ""^[^\x{0600}-\x{06FF}]+"")), ""[-–]+$"", """")), """"))&gt;0, IFERROR(TRIM(REGEXREPLACE(TRIM(REGEXEXTRACT('AYIRA"&amp;" MINI MART FINAL MENU - Pr'!B158, ""^[^\x{0600}-\x{06FF}]+"")), ""[-–]+$"", """")), """"), GOOGLETRANSLATE('AYIRA MINI MART FINAL MENU - Pr'!B158, ""ar"", ""en"")))"),"Juices &amp; Fruit Drinks")</f>
        <v>Juices &amp; Fruit Drinks</v>
      </c>
      <c r="C158" s="58">
        <f>IF('AYIRA MINI MART FINAL MENU - Pr'!C158="", "", 'AYIRA MINI MART FINAL MENU - Pr'!C158)</f>
        <v>2</v>
      </c>
      <c r="D158" s="56" t="str">
        <f>IFERROR(__xludf.DUMMYFUNCTION("IF('AYIRA MINI MART FINAL MENU - Pr'!D158="""", """", GOOGLETRANSLATE('AYIRA MINI MART FINAL MENU - Pr'!D158, ""ar"", ""en""))"),"Take care of your health with Almarai, a fresh juice rich in vitamins and minerals essential for your body's well-being. Made from the finest, carefully selected fruits, it offers a delicious taste and high nutritional value. It provides natural energy an"&amp;"d boosts your immune system thanks to its rich composition. Perfect for your daily breakfast or as a healthy drink anytime. Order now from Aira Mini Mart and enjoy every drop of this delicious and beneficial juice.")</f>
        <v>Take care of your health with Almarai,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158" s="56" t="str">
        <f>IF('AYIRA MINI MART FINAL MENU - Pr'!K158="", "", 'AYIRA MINI MART FINAL MENU - Pr'!K158)</f>
        <v/>
      </c>
      <c r="F158" s="56"/>
      <c r="G158" s="56"/>
      <c r="H158" s="56"/>
      <c r="I158" s="56"/>
      <c r="J158" s="56"/>
      <c r="L158" s="56" t="str">
        <f>IF('AYIRA MINI MART FINAL MENU - Pr'!L158="", "", 'AYIRA MINI MART FINAL MENU - Pr'!L158)</f>
        <v/>
      </c>
      <c r="M158" s="56" t="str">
        <f>IF('AYIRA MINI MART FINAL MENU - Pr'!M158="", "", 'AYIRA MINI MART FINAL MENU - Pr'!M158)</f>
        <v/>
      </c>
      <c r="N158" s="56" t="str">
        <f>IF('AYIRA MINI MART FINAL MENU - Pr'!N158="", "", 'AYIRA MINI MART FINAL MENU - Pr'!N158)</f>
        <v/>
      </c>
      <c r="O158" s="57"/>
      <c r="P158" s="57"/>
      <c r="Q158" s="57"/>
      <c r="R158" s="57"/>
      <c r="S158" s="57"/>
      <c r="T158" s="57"/>
      <c r="U158" s="57"/>
      <c r="V158" s="57"/>
      <c r="W158" s="57"/>
      <c r="X158" s="57"/>
      <c r="Y158" s="57"/>
      <c r="Z158" s="57"/>
    </row>
    <row r="159">
      <c r="A159" s="56" t="str">
        <f>IFERROR(__xludf.DUMMYFUNCTION("IF('AYIRA MINI MART FINAL MENU - Pr'!A159="""", """", IF(LEN(IFERROR(TRIM(REGEXREPLACE(TRIM(REGEXEXTRACT('AYIRA MINI MART FINAL MENU - Pr'!A159, ""^[^\x{0600}-\x{06FF}]+"")), ""[-–]+$"", """")), """"))&gt;0, IFERROR(TRIM(REGEXREPLACE(TRIM(REGEXEXTRACT('AYIRA"&amp;" MINI MART FINAL MENU - Pr'!A159, ""^[^\x{0600}-\x{06FF}]+"")), ""[-–]+$"", """")), """"), GOOGLETRANSLATE('AYIRA MINI MART FINAL MENU - Pr'!A159, ""ar"", ""en"")))"),"Almarai Mixed Fruit Juice 200ml")</f>
        <v>Almarai Mixed Fruit Juice 200ml</v>
      </c>
      <c r="B159" s="56" t="str">
        <f>IFERROR(__xludf.DUMMYFUNCTION("IF('AYIRA MINI MART FINAL MENU - Pr'!B159="""", """", IF(LEN(IFERROR(TRIM(REGEXREPLACE(TRIM(REGEXEXTRACT('AYIRA MINI MART FINAL MENU - Pr'!B159, ""^[^\x{0600}-\x{06FF}]+"")), ""[-–]+$"", """")), """"))&gt;0, IFERROR(TRIM(REGEXREPLACE(TRIM(REGEXEXTRACT('AYIRA"&amp;" MINI MART FINAL MENU - Pr'!B159, ""^[^\x{0600}-\x{06FF}]+"")), ""[-–]+$"", """")), """"), GOOGLETRANSLATE('AYIRA MINI MART FINAL MENU - Pr'!B159, ""ar"", ""en"")))"),"Juices &amp; Fruit Drinks")</f>
        <v>Juices &amp; Fruit Drinks</v>
      </c>
      <c r="C159" s="58">
        <f>IF('AYIRA MINI MART FINAL MENU - Pr'!C159="", "", 'AYIRA MINI MART FINAL MENU - Pr'!C159)</f>
        <v>2</v>
      </c>
      <c r="D159" s="56" t="str">
        <f>IFERROR(__xludf.DUMMYFUNCTION("IF('AYIRA MINI MART FINAL MENU - Pr'!D159="""", """", GOOGLETRANSLATE('AYIRA MINI MART FINAL MENU - Pr'!D159, ""ar"", ""en""))"),"Take care of your health with Almarai, a fresh juice rich in vitamins and minerals essential for your body's well-being. Made from the finest, carefully selected fruits, it offers a delicious taste and high nutritional value. It provides natural energy an"&amp;"d boosts your immune system thanks to its rich composition. Perfect for your daily breakfast or as a healthy drink anytime. Order now from Aira Mini Mart and enjoy every drop of this delicious and beneficial juice.")</f>
        <v>Take care of your health with Almarai,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159" s="56" t="str">
        <f>IF('AYIRA MINI MART FINAL MENU - Pr'!K159="", "", 'AYIRA MINI MART FINAL MENU - Pr'!K159)</f>
        <v/>
      </c>
      <c r="F159" s="56"/>
      <c r="G159" s="56"/>
      <c r="H159" s="56"/>
      <c r="I159" s="56"/>
      <c r="J159" s="56"/>
      <c r="L159" s="56" t="str">
        <f>IF('AYIRA MINI MART FINAL MENU - Pr'!L159="", "", 'AYIRA MINI MART FINAL MENU - Pr'!L159)</f>
        <v/>
      </c>
      <c r="M159" s="56" t="str">
        <f>IF('AYIRA MINI MART FINAL MENU - Pr'!M159="", "", 'AYIRA MINI MART FINAL MENU - Pr'!M159)</f>
        <v/>
      </c>
      <c r="N159" s="56" t="str">
        <f>IF('AYIRA MINI MART FINAL MENU - Pr'!N159="", "", 'AYIRA MINI MART FINAL MENU - Pr'!N159)</f>
        <v/>
      </c>
      <c r="O159" s="57"/>
      <c r="P159" s="57"/>
      <c r="Q159" s="57"/>
      <c r="R159" s="57"/>
      <c r="S159" s="57"/>
      <c r="T159" s="57"/>
      <c r="U159" s="57"/>
      <c r="V159" s="57"/>
      <c r="W159" s="57"/>
      <c r="X159" s="57"/>
      <c r="Y159" s="57"/>
      <c r="Z159" s="57"/>
    </row>
    <row r="160">
      <c r="A160" s="56" t="str">
        <f>IFERROR(__xludf.DUMMYFUNCTION("IF('AYIRA MINI MART FINAL MENU - Pr'!A160="""", """", IF(LEN(IFERROR(TRIM(REGEXREPLACE(TRIM(REGEXEXTRACT('AYIRA MINI MART FINAL MENU - Pr'!A160, ""^[^\x{0600}-\x{06FF}]+"")), ""[-–]+$"", """")), """"))&gt;0, IFERROR(TRIM(REGEXREPLACE(TRIM(REGEXEXTRACT('AYIRA"&amp;" MINI MART FINAL MENU - Pr'!A160, ""^[^\x{0600}-\x{06FF}]+"")), ""[-–]+$"", """")), """"), GOOGLETRANSLATE('AYIRA MINI MART FINAL MENU - Pr'!A160, ""ar"", ""en"")))"),"Ion Supply Drink Pocari Sweat 300ml – Ion Supply")</f>
        <v>Ion Supply Drink Pocari Sweat 300ml – Ion Supply</v>
      </c>
      <c r="B160" s="56" t="str">
        <f>IFERROR(__xludf.DUMMYFUNCTION("IF('AYIRA MINI MART FINAL MENU - Pr'!B160="""", """", IF(LEN(IFERROR(TRIM(REGEXREPLACE(TRIM(REGEXEXTRACT('AYIRA MINI MART FINAL MENU - Pr'!B160, ""^[^\x{0600}-\x{06FF}]+"")), ""[-–]+$"", """")), """"))&gt;0, IFERROR(TRIM(REGEXREPLACE(TRIM(REGEXEXTRACT('AYIRA"&amp;" MINI MART FINAL MENU - Pr'!B160, ""^[^\x{0600}-\x{06FF}]+"")), ""[-–]+$"", """")), """"), GOOGLETRANSLATE('AYIRA MINI MART FINAL MENU - Pr'!B160, ""ar"", ""en"")))"),"ENErgy &amp; Sports Drinks")</f>
        <v>ENErgy &amp; Sports Drinks</v>
      </c>
      <c r="C160" s="58">
        <f>IF('AYIRA MINI MART FINAL MENU - Pr'!C160="", "", 'AYIRA MINI MART FINAL MENU - Pr'!C160)</f>
        <v>3.5</v>
      </c>
      <c r="D160" s="56" t="str">
        <f>IFERROR(__xludf.DUMMYFUNCTION("IF('AYIRA MINI MART FINAL MENU - Pr'!D160="""", """", GOOGLETRANSLATE('AYIRA MINI MART FINAL MENU - Pr'!D160, ""ar"", ""en""))"),"Discover Ion Supply Drink Pocari Sweat 300ml, a premium product that combines high quality with exceptional value. Made to the highest standards of quality and safety to ensure your complete satisfaction every time, its excellent features make it the perf"&amp;"ect choice for you and your family. Whether for everyday use or special occasions, it meets and exceeds your expectations. Get it now from Aira Mini Mart and enjoy a pleasant and reliable shopping experience.")</f>
        <v>Discover Ion Supply Drink Pocari Sweat 300ml,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60" s="56" t="str">
        <f>IF('AYIRA MINI MART FINAL MENU - Pr'!K160="", "", 'AYIRA MINI MART FINAL MENU - Pr'!K160)</f>
        <v/>
      </c>
      <c r="F160" s="56"/>
      <c r="G160" s="56"/>
      <c r="H160" s="56"/>
      <c r="I160" s="56"/>
      <c r="J160" s="56"/>
      <c r="L160" s="56" t="str">
        <f>IF('AYIRA MINI MART FINAL MENU - Pr'!L160="", "", 'AYIRA MINI MART FINAL MENU - Pr'!L160)</f>
        <v/>
      </c>
      <c r="M160" s="56" t="str">
        <f>IF('AYIRA MINI MART FINAL MENU - Pr'!M160="", "", 'AYIRA MINI MART FINAL MENU - Pr'!M160)</f>
        <v/>
      </c>
      <c r="N160" s="56" t="str">
        <f>IF('AYIRA MINI MART FINAL MENU - Pr'!N160="", "", 'AYIRA MINI MART FINAL MENU - Pr'!N160)</f>
        <v/>
      </c>
      <c r="O160" s="57"/>
      <c r="P160" s="57"/>
      <c r="Q160" s="57"/>
      <c r="R160" s="57"/>
      <c r="S160" s="57"/>
      <c r="T160" s="57"/>
      <c r="U160" s="57"/>
      <c r="V160" s="57"/>
      <c r="W160" s="57"/>
      <c r="X160" s="57"/>
      <c r="Y160" s="57"/>
      <c r="Z160" s="57"/>
    </row>
    <row r="161">
      <c r="A161" s="56" t="str">
        <f>IFERROR(__xludf.DUMMYFUNCTION("IF('AYIRA MINI MART FINAL MENU - Pr'!A161="""", """", IF(LEN(IFERROR(TRIM(REGEXREPLACE(TRIM(REGEXEXTRACT('AYIRA MINI MART FINAL MENU - Pr'!A161, ""^[^\x{0600}-\x{06FF}]+"")), ""[-–]+$"", """")), """"))&gt;0, IFERROR(TRIM(REGEXREPLACE(TRIM(REGEXEXTRACT('AYIRA"&amp;" MINI MART FINAL MENU - Pr'!A161, ""^[^\x{0600}-\x{06FF}]+"")), ""[-–]+$"", """")), """"), GOOGLETRANSLATE('AYIRA MINI MART FINAL MENU - Pr'!A161, ""ar"", ""en"")))"),"Naba Coconut Water with Pulp 330ml – Naba")</f>
        <v>Naba Coconut Water with Pulp 330ml – Naba</v>
      </c>
      <c r="B161" s="56" t="str">
        <f>IFERROR(__xludf.DUMMYFUNCTION("IF('AYIRA MINI MART FINAL MENU - Pr'!B161="""", """", IF(LEN(IFERROR(TRIM(REGEXREPLACE(TRIM(REGEXEXTRACT('AYIRA MINI MART FINAL MENU - Pr'!B161, ""^[^\x{0600}-\x{06FF}]+"")), ""[-–]+$"", """")), """"))&gt;0, IFERROR(TRIM(REGEXREPLACE(TRIM(REGEXEXTRACT('AYIRA"&amp;" MINI MART FINAL MENU - Pr'!B161, ""^[^\x{0600}-\x{06FF}]+"")), ""[-–]+$"", """")), """"), GOOGLETRANSLATE('AYIRA MINI MART FINAL MENU - Pr'!B161, ""ar"", ""en"")))"),"Carbonated Soft Drinks")</f>
        <v>Carbonated Soft Drinks</v>
      </c>
      <c r="C161" s="58">
        <f>IF('AYIRA MINI MART FINAL MENU - Pr'!C161="", "", 'AYIRA MINI MART FINAL MENU - Pr'!C161)</f>
        <v>2.5</v>
      </c>
      <c r="D161" s="56" t="str">
        <f>IFERROR(__xludf.DUMMYFUNCTION("IF('AYIRA MINI MART FINAL MENU - Pr'!D161="""", """", GOOGLETRANSLATE('AYIRA MINI MART FINAL MENU - Pr'!D161, ""ar"", ""en""))"),"Drink Naba Coconut Water with Pulp 330ml, pure water that restores your body's natural balance. Sourced from the purest natural sources and bottled to the highest standards of quality and hygiene to ensure it reaches you in perfect condition. Proper hydra"&amp;"tion is essential for a good life, and choosing this water reflects your commitment to your well-being. Make sure to drink enough water daily to maintain your energy and vitality. Aira Mini Mart offers this premium water at competitive prices.")</f>
        <v>Drink Naba Coconut Water with Pulp 330ml,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161" s="56" t="str">
        <f>IF('AYIRA MINI MART FINAL MENU - Pr'!K161="", "", 'AYIRA MINI MART FINAL MENU - Pr'!K161)</f>
        <v/>
      </c>
      <c r="F161" s="56"/>
      <c r="G161" s="56"/>
      <c r="H161" s="56"/>
      <c r="I161" s="56"/>
      <c r="J161" s="56"/>
      <c r="L161" s="56" t="str">
        <f>IF('AYIRA MINI MART FINAL MENU - Pr'!L161="", "", 'AYIRA MINI MART FINAL MENU - Pr'!L161)</f>
        <v/>
      </c>
      <c r="M161" s="56" t="str">
        <f>IF('AYIRA MINI MART FINAL MENU - Pr'!M161="", "", 'AYIRA MINI MART FINAL MENU - Pr'!M161)</f>
        <v/>
      </c>
      <c r="N161" s="56" t="str">
        <f>IF('AYIRA MINI MART FINAL MENU - Pr'!N161="", "", 'AYIRA MINI MART FINAL MENU - Pr'!N161)</f>
        <v/>
      </c>
      <c r="O161" s="57"/>
      <c r="P161" s="57"/>
      <c r="Q161" s="57"/>
      <c r="R161" s="57"/>
      <c r="S161" s="57"/>
      <c r="T161" s="57"/>
      <c r="U161" s="57"/>
      <c r="V161" s="57"/>
      <c r="W161" s="57"/>
      <c r="X161" s="57"/>
      <c r="Y161" s="57"/>
      <c r="Z161" s="57"/>
    </row>
    <row r="162">
      <c r="A162" s="56" t="str">
        <f>IFERROR(__xludf.DUMMYFUNCTION("IF('AYIRA MINI MART FINAL MENU - Pr'!A162="""", """", IF(LEN(IFERROR(TRIM(REGEXREPLACE(TRIM(REGEXEXTRACT('AYIRA MINI MART FINAL MENU - Pr'!A162, ""^[^\x{0600}-\x{06FF}]+"")), ""[-–]+$"", """")), """"))&gt;0, IFERROR(TRIM(REGEXREPLACE(TRIM(REGEXEXTRACT('AYIRA"&amp;" MINI MART FINAL MENU - Pr'!A162, ""^[^\x{0600}-\x{06FF}]+"")), ""[-–]+$"", """")), """"), GOOGLETRANSLATE('AYIRA MINI MART FINAL MENU - Pr'!A162, ""ar"", ""en"")))"),"Non-Alcoholic Malt Beverage Effs Original 330ml – Non-Alcoholic Malt Beverage Effs")</f>
        <v>Non-Alcoholic Malt Beverage Effs Original 330ml – Non-Alcoholic Malt Beverage Effs</v>
      </c>
      <c r="B162" s="56" t="str">
        <f>IFERROR(__xludf.DUMMYFUNCTION("IF('AYIRA MINI MART FINAL MENU - Pr'!B162="""", """", IF(LEN(IFERROR(TRIM(REGEXREPLACE(TRIM(REGEXEXTRACT('AYIRA MINI MART FINAL MENU - Pr'!B162, ""^[^\x{0600}-\x{06FF}]+"")), ""[-–]+$"", """")), """"))&gt;0, IFERROR(TRIM(REGEXREPLACE(TRIM(REGEXEXTRACT('AYIRA"&amp;" MINI MART FINAL MENU - Pr'!B162, ""^[^\x{0600}-\x{06FF}]+"")), ""[-–]+$"", """")), """"), GOOGLETRANSLATE('AYIRA MINI MART FINAL MENU - Pr'!B162, ""ar"", ""en"")))"),"Carbonated Soft Drinks")</f>
        <v>Carbonated Soft Drinks</v>
      </c>
      <c r="C162" s="58">
        <f>IF('AYIRA MINI MART FINAL MENU - Pr'!C162="", "", 'AYIRA MINI MART FINAL MENU - Pr'!C162)</f>
        <v>5</v>
      </c>
      <c r="D162" s="56" t="str">
        <f>IFERROR(__xludf.DUMMYFUNCTION("IF('AYIRA MINI MART FINAL MENU - Pr'!D162="""", """", GOOGLETRANSLATE('AYIRA MINI MART FINAL MENU - Pr'!D162, ""ar"", ""en""))"),"Discover Non-Alcoholic Malt Beverage Effs Original 330ml, a premium product that combines high quality with exceptional value. Manufactured to the highest standards of quality and safety to ensure your complete satisfaction every time, its superior featur"&amp;"es make it the perfect choice for you and your family. Whether for everyday use or special occasions, it meets and exceeds your expectations. Get it now from Aira Mini Mart and enjoy a pleasant and reliable shopping experience.")</f>
        <v>Discover Non-Alcoholic Malt Beverage Effs Original 330ml, a premium product that combines high quality with exceptional value. Manufactured to the highest standards of quality and safety to ensure your complete satisfaction every time, its superior features make it the perfect choice for you and your family. Whether for everyday use or special occasions, it meets and exceeds your expectations. Get it now from Aira Mini Mart and enjoy a pleasant and reliable shopping experience.</v>
      </c>
      <c r="E162" s="56" t="str">
        <f>IF('AYIRA MINI MART FINAL MENU - Pr'!K162="", "", 'AYIRA MINI MART FINAL MENU - Pr'!K162)</f>
        <v/>
      </c>
      <c r="F162" s="56"/>
      <c r="G162" s="56"/>
      <c r="H162" s="56"/>
      <c r="I162" s="56"/>
      <c r="J162" s="56"/>
      <c r="L162" s="56" t="str">
        <f>IF('AYIRA MINI MART FINAL MENU - Pr'!L162="", "", 'AYIRA MINI MART FINAL MENU - Pr'!L162)</f>
        <v/>
      </c>
      <c r="M162" s="56" t="str">
        <f>IF('AYIRA MINI MART FINAL MENU - Pr'!M162="", "", 'AYIRA MINI MART FINAL MENU - Pr'!M162)</f>
        <v/>
      </c>
      <c r="N162" s="56" t="str">
        <f>IF('AYIRA MINI MART FINAL MENU - Pr'!N162="", "", 'AYIRA MINI MART FINAL MENU - Pr'!N162)</f>
        <v/>
      </c>
      <c r="O162" s="57"/>
      <c r="P162" s="57"/>
      <c r="Q162" s="57"/>
      <c r="R162" s="57"/>
      <c r="S162" s="57"/>
      <c r="T162" s="57"/>
      <c r="U162" s="57"/>
      <c r="V162" s="57"/>
      <c r="W162" s="57"/>
      <c r="X162" s="57"/>
      <c r="Y162" s="57"/>
      <c r="Z162" s="57"/>
    </row>
    <row r="163">
      <c r="A163" s="56" t="str">
        <f>IFERROR(__xludf.DUMMYFUNCTION("IF('AYIRA MINI MART FINAL MENU - Pr'!A163="""", """", IF(LEN(IFERROR(TRIM(REGEXREPLACE(TRIM(REGEXEXTRACT('AYIRA MINI MART FINAL MENU - Pr'!A163, ""^[^\x{0600}-\x{06FF}]+"")), ""[-–]+$"", """")), """"))&gt;0, IFERROR(TRIM(REGEXREPLACE(TRIM(REGEXEXTRACT('AYIRA"&amp;" MINI MART FINAL MENU - Pr'!A163, ""^[^\x{0600}-\x{06FF}]+"")), ""[-–]+$"", """")), """"), GOOGLETRANSLATE('AYIRA MINI MART FINAL MENU - Pr'!A163, ""ar"", ""en"")))"),"Sprite Lemon Lime Flavoured 350ml")</f>
        <v>Sprite Lemon Lime Flavoured 350ml</v>
      </c>
      <c r="B163" s="56" t="str">
        <f>IFERROR(__xludf.DUMMYFUNCTION("IF('AYIRA MINI MART FINAL MENU - Pr'!B163="""", """", IF(LEN(IFERROR(TRIM(REGEXREPLACE(TRIM(REGEXEXTRACT('AYIRA MINI MART FINAL MENU - Pr'!B163, ""^[^\x{0600}-\x{06FF}]+"")), ""[-–]+$"", """")), """"))&gt;0, IFERROR(TRIM(REGEXREPLACE(TRIM(REGEXEXTRACT('AYIRA"&amp;" MINI MART FINAL MENU - Pr'!B163, ""^[^\x{0600}-\x{06FF}]+"")), ""[-–]+$"", """")), """"), GOOGLETRANSLATE('AYIRA MINI MART FINAL MENU - Pr'!B163, ""ar"", ""en"")))"),"Carbonated Soft Drinks")</f>
        <v>Carbonated Soft Drinks</v>
      </c>
      <c r="C163" s="58">
        <f>IF('AYIRA MINI MART FINAL MENU - Pr'!C163="", "", 'AYIRA MINI MART FINAL MENU - Pr'!C163)</f>
        <v>3</v>
      </c>
      <c r="D163" s="56" t="str">
        <f>IFERROR(__xludf.DUMMYFUNCTION("IF('AYIRA MINI MART FINAL MENU - Pr'!D163="""", """", GOOGLETRANSLATE('AYIRA MINI MART FINAL MENU - Pr'!D163, ""ar"", ""en""))"),"Enjoy Sprite, the refreshing fizzy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Sprite, the refreshing fizzy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63" s="56" t="str">
        <f>IF('AYIRA MINI MART FINAL MENU - Pr'!K163="", "", 'AYIRA MINI MART FINAL MENU - Pr'!K163)</f>
        <v/>
      </c>
      <c r="F163" s="56"/>
      <c r="G163" s="56"/>
      <c r="H163" s="56"/>
      <c r="I163" s="56"/>
      <c r="J163" s="56"/>
      <c r="L163" s="56" t="str">
        <f>IF('AYIRA MINI MART FINAL MENU - Pr'!L163="", "", 'AYIRA MINI MART FINAL MENU - Pr'!L163)</f>
        <v/>
      </c>
      <c r="M163" s="56" t="str">
        <f>IF('AYIRA MINI MART FINAL MENU - Pr'!M163="", "", 'AYIRA MINI MART FINAL MENU - Pr'!M163)</f>
        <v/>
      </c>
      <c r="N163" s="56" t="str">
        <f>IF('AYIRA MINI MART FINAL MENU - Pr'!N163="", "", 'AYIRA MINI MART FINAL MENU - Pr'!N163)</f>
        <v/>
      </c>
      <c r="O163" s="57"/>
      <c r="P163" s="57"/>
      <c r="Q163" s="57"/>
      <c r="R163" s="57"/>
      <c r="S163" s="57"/>
      <c r="T163" s="57"/>
      <c r="U163" s="57"/>
      <c r="V163" s="57"/>
      <c r="W163" s="57"/>
      <c r="X163" s="57"/>
      <c r="Y163" s="57"/>
      <c r="Z163" s="57"/>
    </row>
    <row r="164">
      <c r="A164" s="56" t="str">
        <f>IFERROR(__xludf.DUMMYFUNCTION("IF('AYIRA MINI MART FINAL MENU - Pr'!A164="""", """", IF(LEN(IFERROR(TRIM(REGEXREPLACE(TRIM(REGEXEXTRACT('AYIRA MINI MART FINAL MENU - Pr'!A164, ""^[^\x{0600}-\x{06FF}]+"")), ""[-–]+$"", """")), """"))&gt;0, IFERROR(TRIM(REGEXREPLACE(TRIM(REGEXEXTRACT('AYIRA"&amp;" MINI MART FINAL MENU - Pr'!A164, ""^[^\x{0600}-\x{06FF}]+"")), ""[-–]+$"", """")), """"), GOOGLETRANSLATE('AYIRA MINI MART FINAL MENU - Pr'!A164, ""ar"", ""en"")))"),"Coca-Cola Original Taste 350ml")</f>
        <v>Coca-Cola Original Taste 350ml</v>
      </c>
      <c r="B164" s="56" t="str">
        <f>IFERROR(__xludf.DUMMYFUNCTION("IF('AYIRA MINI MART FINAL MENU - Pr'!B164="""", """", IF(LEN(IFERROR(TRIM(REGEXREPLACE(TRIM(REGEXEXTRACT('AYIRA MINI MART FINAL MENU - Pr'!B164, ""^[^\x{0600}-\x{06FF}]+"")), ""[-–]+$"", """")), """"))&gt;0, IFERROR(TRIM(REGEXREPLACE(TRIM(REGEXEXTRACT('AYIRA"&amp;" MINI MART FINAL MENU - Pr'!B164, ""^[^\x{0600}-\x{06FF}]+"")), ""[-–]+$"", """")), """"), GOOGLETRANSLATE('AYIRA MINI MART FINAL MENU - Pr'!B164, ""ar"", ""en"")))"),"Carbonated Soft Drinks")</f>
        <v>Carbonated Soft Drinks</v>
      </c>
      <c r="C164" s="58">
        <f>IF('AYIRA MINI MART FINAL MENU - Pr'!C164="", "", 'AYIRA MINI MART FINAL MENU - Pr'!C164)</f>
        <v>3</v>
      </c>
      <c r="D164" s="56" t="str">
        <f>IFERROR(__xludf.DUMMYFUNCTION("IF('AYIRA MINI MART FINAL MENU - Pr'!D164="""", """", GOOGLETRANSLATE('AYIRA MINI MART FINAL MENU - Pr'!D164, ""ar"", ""en""))"),"Enjoy Coca-Cola, the refreshing soft drink that gives you energy and vitality with every sip. Its great taste and unique formula make it the perfect choice to quench your thirst anytime. Ideal for parties, family gatherings, and various occasions. It cont"&amp;"ains distinctive flavors that make every sip an unforgettable experience. Get it now from Aira Mini Mart at the best prices and highest quality. Our premium drink provides instant refreshment and satisfies your discerning palate whenever you need hydratio"&amp;"n.")</f>
        <v>Enjoy Coca-Cola, the refreshing soft drink that gives you energy and vitality with every sip.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instant refreshment and satisfies your discerning palate whenever you need hydration.</v>
      </c>
      <c r="E164" s="56" t="str">
        <f>IF('AYIRA MINI MART FINAL MENU - Pr'!K164="", "", 'AYIRA MINI MART FINAL MENU - Pr'!K164)</f>
        <v/>
      </c>
      <c r="F164" s="56"/>
      <c r="G164" s="56"/>
      <c r="H164" s="56"/>
      <c r="I164" s="56"/>
      <c r="J164" s="56"/>
      <c r="L164" s="56" t="str">
        <f>IF('AYIRA MINI MART FINAL MENU - Pr'!L164="", "", 'AYIRA MINI MART FINAL MENU - Pr'!L164)</f>
        <v/>
      </c>
      <c r="M164" s="56" t="str">
        <f>IF('AYIRA MINI MART FINAL MENU - Pr'!M164="", "", 'AYIRA MINI MART FINAL MENU - Pr'!M164)</f>
        <v/>
      </c>
      <c r="N164" s="56" t="str">
        <f>IF('AYIRA MINI MART FINAL MENU - Pr'!N164="", "", 'AYIRA MINI MART FINAL MENU - Pr'!N164)</f>
        <v/>
      </c>
      <c r="O164" s="57"/>
      <c r="P164" s="57"/>
      <c r="Q164" s="57"/>
      <c r="R164" s="57"/>
      <c r="S164" s="57"/>
      <c r="T164" s="57"/>
      <c r="U164" s="57"/>
      <c r="V164" s="57"/>
      <c r="W164" s="57"/>
      <c r="X164" s="57"/>
      <c r="Y164" s="57"/>
      <c r="Z164" s="57"/>
    </row>
    <row r="165">
      <c r="A165" s="56" t="str">
        <f>IFERROR(__xludf.DUMMYFUNCTION("IF('AYIRA MINI MART FINAL MENU - Pr'!A165="""", """", IF(LEN(IFERROR(TRIM(REGEXREPLACE(TRIM(REGEXEXTRACT('AYIRA MINI MART FINAL MENU - Pr'!A165, ""^[^\x{0600}-\x{06FF}]+"")), ""[-–]+$"", """")), """"))&gt;0, IFERROR(TRIM(REGEXREPLACE(TRIM(REGEXEXTRACT('AYIRA"&amp;" MINI MART FINAL MENU - Pr'!A165, ""^[^\x{0600}-\x{06FF}]+"")), ""[-–]+$"", """")), """"), GOOGLETRANSLATE('AYIRA MINI MART FINAL MENU - Pr'!A165, ""ar"", ""en"")))"),"Coca-Cola Zero Sugar 350ml")</f>
        <v>Coca-Cola Zero Sugar 350ml</v>
      </c>
      <c r="B165" s="56" t="str">
        <f>IFERROR(__xludf.DUMMYFUNCTION("IF('AYIRA MINI MART FINAL MENU - Pr'!B165="""", """", IF(LEN(IFERROR(TRIM(REGEXREPLACE(TRIM(REGEXEXTRACT('AYIRA MINI MART FINAL MENU - Pr'!B165, ""^[^\x{0600}-\x{06FF}]+"")), ""[-–]+$"", """")), """"))&gt;0, IFERROR(TRIM(REGEXREPLACE(TRIM(REGEXEXTRACT('AYIRA"&amp;" MINI MART FINAL MENU - Pr'!B165, ""^[^\x{0600}-\x{06FF}]+"")), ""[-–]+$"", """")), """"), GOOGLETRANSLATE('AYIRA MINI MART FINAL MENU - Pr'!B165, ""ar"", ""en"")))"),"Carbonated Soft Drinks")</f>
        <v>Carbonated Soft Drinks</v>
      </c>
      <c r="C165" s="58">
        <f>IF('AYIRA MINI MART FINAL MENU - Pr'!C165="", "", 'AYIRA MINI MART FINAL MENU - Pr'!C165)</f>
        <v>3</v>
      </c>
      <c r="D165" s="56" t="str">
        <f>IFERROR(__xludf.DUMMYFUNCTION("IF('AYIRA MINI MART FINAL MENU - Pr'!D165="""", """", GOOGLETRANSLATE('AYIRA MINI MART FINAL MENU - Pr'!D165, ""ar"", ""en""))"),"Enjoy Coca-Cola, the refreshing soft drink that gives you energy and vitality with every sip. Its great taste and unique formula make it the perfect choice to quench your thirst anytime. Ideal for parties, family gatherings, and various occasions. It cont"&amp;"ains distinctive flavors that make every sip an unforgettable experience. Get it now from Aira Mini Mart at the best prices and highest quality. Our premium drink provides instant refreshment and satisfies your discerning palate whenever you need hydratio"&amp;"n.")</f>
        <v>Enjoy Coca-Cola, the refreshing soft drink that gives you energy and vitality with every sip.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instant refreshment and satisfies your discerning palate whenever you need hydration.</v>
      </c>
      <c r="E165" s="56" t="str">
        <f>IF('AYIRA MINI MART FINAL MENU - Pr'!K165="", "", 'AYIRA MINI MART FINAL MENU - Pr'!K165)</f>
        <v/>
      </c>
      <c r="F165" s="56"/>
      <c r="G165" s="56"/>
      <c r="H165" s="56"/>
      <c r="I165" s="56"/>
      <c r="J165" s="56"/>
      <c r="L165" s="56" t="str">
        <f>IF('AYIRA MINI MART FINAL MENU - Pr'!L165="", "", 'AYIRA MINI MART FINAL MENU - Pr'!L165)</f>
        <v/>
      </c>
      <c r="M165" s="56" t="str">
        <f>IF('AYIRA MINI MART FINAL MENU - Pr'!M165="", "", 'AYIRA MINI MART FINAL MENU - Pr'!M165)</f>
        <v/>
      </c>
      <c r="N165" s="56" t="str">
        <f>IF('AYIRA MINI MART FINAL MENU - Pr'!N165="", "", 'AYIRA MINI MART FINAL MENU - Pr'!N165)</f>
        <v/>
      </c>
      <c r="O165" s="57"/>
      <c r="P165" s="57"/>
      <c r="Q165" s="57"/>
      <c r="R165" s="57"/>
      <c r="S165" s="57"/>
      <c r="T165" s="57"/>
      <c r="U165" s="57"/>
      <c r="V165" s="57"/>
      <c r="W165" s="57"/>
      <c r="X165" s="57"/>
      <c r="Y165" s="57"/>
      <c r="Z165" s="57"/>
    </row>
    <row r="166">
      <c r="A166" s="56" t="str">
        <f>IFERROR(__xludf.DUMMYFUNCTION("IF('AYIRA MINI MART FINAL MENU - Pr'!A166="""", """", IF(LEN(IFERROR(TRIM(REGEXREPLACE(TRIM(REGEXEXTRACT('AYIRA MINI MART FINAL MENU - Pr'!A166, ""^[^\x{0600}-\x{06FF}]+"")), ""[-–]+$"", """")), """"))&gt;0, IFERROR(TRIM(REGEXREPLACE(TRIM(REGEXEXTRACT('AYIRA"&amp;" MINI MART FINAL MENU - Pr'!A166, ""^[^\x{0600}-\x{06FF}]+"")), ""[-–]+$"", """")), """"), GOOGLETRANSLATE('AYIRA MINI MART FINAL MENU - Pr'!A166, ""ar"", ""en"")))"),"Sprite Lemon &amp; Mint Flavoured 350ml")</f>
        <v>Sprite Lemon &amp; Mint Flavoured 350ml</v>
      </c>
      <c r="B166" s="56" t="str">
        <f>IFERROR(__xludf.DUMMYFUNCTION("IF('AYIRA MINI MART FINAL MENU - Pr'!B166="""", """", IF(LEN(IFERROR(TRIM(REGEXREPLACE(TRIM(REGEXEXTRACT('AYIRA MINI MART FINAL MENU - Pr'!B166, ""^[^\x{0600}-\x{06FF}]+"")), ""[-–]+$"", """")), """"))&gt;0, IFERROR(TRIM(REGEXREPLACE(TRIM(REGEXEXTRACT('AYIRA"&amp;" MINI MART FINAL MENU - Pr'!B166, ""^[^\x{0600}-\x{06FF}]+"")), ""[-–]+$"", """")), """"), GOOGLETRANSLATE('AYIRA MINI MART FINAL MENU - Pr'!B166, ""ar"", ""en"")))"),"Carbonated Soft Drinks")</f>
        <v>Carbonated Soft Drinks</v>
      </c>
      <c r="C166" s="58">
        <f>IF('AYIRA MINI MART FINAL MENU - Pr'!C166="", "", 'AYIRA MINI MART FINAL MENU - Pr'!C166)</f>
        <v>3</v>
      </c>
      <c r="D166" s="56" t="str">
        <f>IFERROR(__xludf.DUMMYFUNCTION("IF('AYIRA MINI MART FINAL MENU - Pr'!D166="""", """", GOOGLETRANSLATE('AYIRA MINI MART FINAL MENU - Pr'!D166, ""ar"", ""en""))"),"Add a sweet moment to your day with Sprite, the delicious treat loved by everyone. Its variety of flavors and vibrant colors make it suitable for all ages. Perfect as a small treat or a light gift for friends and family. Made with high-quality ingredients"&amp;" to ensure great taste in every single piece. Get yours from Aira Mini Mart and spread the joy to those you love.")</f>
        <v>Add a sweet moment to your day with Sprite, the delicious treat loved by everyone. Its variety of flavors and vibrant colors make it suitable for all ages. Perfect as a small treat or a light gift for friends and family. Made with high-quality ingredients to ensure great taste in every single piece. Get yours from Aira Mini Mart and spread the joy to those you love.</v>
      </c>
      <c r="E166" s="56" t="str">
        <f>IF('AYIRA MINI MART FINAL MENU - Pr'!K166="", "", 'AYIRA MINI MART FINAL MENU - Pr'!K166)</f>
        <v/>
      </c>
      <c r="F166" s="56"/>
      <c r="G166" s="56"/>
      <c r="H166" s="56"/>
      <c r="I166" s="56"/>
      <c r="J166" s="56"/>
      <c r="L166" s="56" t="str">
        <f>IF('AYIRA MINI MART FINAL MENU - Pr'!L166="", "", 'AYIRA MINI MART FINAL MENU - Pr'!L166)</f>
        <v/>
      </c>
      <c r="M166" s="56" t="str">
        <f>IF('AYIRA MINI MART FINAL MENU - Pr'!M166="", "", 'AYIRA MINI MART FINAL MENU - Pr'!M166)</f>
        <v/>
      </c>
      <c r="N166" s="56" t="str">
        <f>IF('AYIRA MINI MART FINAL MENU - Pr'!N166="", "", 'AYIRA MINI MART FINAL MENU - Pr'!N166)</f>
        <v/>
      </c>
      <c r="O166" s="57"/>
      <c r="P166" s="57"/>
      <c r="Q166" s="57"/>
      <c r="R166" s="57"/>
      <c r="S166" s="57"/>
      <c r="T166" s="57"/>
      <c r="U166" s="57"/>
      <c r="V166" s="57"/>
      <c r="W166" s="57"/>
      <c r="X166" s="57"/>
      <c r="Y166" s="57"/>
      <c r="Z166" s="57"/>
    </row>
    <row r="167">
      <c r="A167" s="56" t="str">
        <f>IFERROR(__xludf.DUMMYFUNCTION("IF('AYIRA MINI MART FINAL MENU - Pr'!A167="""", """", IF(LEN(IFERROR(TRIM(REGEXREPLACE(TRIM(REGEXEXTRACT('AYIRA MINI MART FINAL MENU - Pr'!A167, ""^[^\x{0600}-\x{06FF}]+"")), ""[-–]+$"", """")), """"))&gt;0, IFERROR(TRIM(REGEXREPLACE(TRIM(REGEXEXTRACT('AYIRA"&amp;" MINI MART FINAL MENU - Pr'!A167, ""^[^\x{0600}-\x{06FF}]+"")), ""[-–]+$"", """")), """"), GOOGLETRANSLATE('AYIRA MINI MART FINAL MENU - Pr'!A167, ""ar"", ""en"")))"),"Fanta Citrus 330ml")</f>
        <v>Fanta Citrus 330ml</v>
      </c>
      <c r="B167" s="56" t="str">
        <f>IFERROR(__xludf.DUMMYFUNCTION("IF('AYIRA MINI MART FINAL MENU - Pr'!B167="""", """", IF(LEN(IFERROR(TRIM(REGEXREPLACE(TRIM(REGEXEXTRACT('AYIRA MINI MART FINAL MENU - Pr'!B167, ""^[^\x{0600}-\x{06FF}]+"")), ""[-–]+$"", """")), """"))&gt;0, IFERROR(TRIM(REGEXREPLACE(TRIM(REGEXEXTRACT('AYIRA"&amp;" MINI MART FINAL MENU - Pr'!B167, ""^[^\x{0600}-\x{06FF}]+"")), ""[-–]+$"", """")), """"), GOOGLETRANSLATE('AYIRA MINI MART FINAL MENU - Pr'!B167, ""ar"", ""en"")))"),"Carbonated Soft Drinks")</f>
        <v>Carbonated Soft Drinks</v>
      </c>
      <c r="C167" s="58">
        <f>IF('AYIRA MINI MART FINAL MENU - Pr'!C167="", "", 'AYIRA MINI MART FINAL MENU - Pr'!C167)</f>
        <v>2.5</v>
      </c>
      <c r="D167" s="56" t="str">
        <f>IFERROR(__xludf.DUMMYFUNCTION("IF('AYIRA MINI MART FINAL MENU - Pr'!D167="""", """", GOOGLETRANSLATE('AYIRA MINI MART FINAL MENU - Pr'!D167, ""ar"", ""en""))"),"Enjoy Fanta, the refreshing soft drink that gives you energy and vitality with every drop. Its delicious taste and unique formula make it the perfect choice to quench your thirst anytime. Ideal for parties, family gatherings, and various occasions. It boa"&amp;"sts distinctive flavors that make every sip an unforgettable experience. Get it now from Aira Mini Mart at the best prices and highest quality. Our premium drink provides instant refreshment and satisfies your discerning palate whenever you need hydration"&amp;".")</f>
        <v>Enjoy Fanta,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67" s="56" t="str">
        <f>IF('AYIRA MINI MART FINAL MENU - Pr'!K167="", "", 'AYIRA MINI MART FINAL MENU - Pr'!K167)</f>
        <v/>
      </c>
      <c r="F167" s="56"/>
      <c r="G167" s="56"/>
      <c r="H167" s="56"/>
      <c r="I167" s="56"/>
      <c r="J167" s="56"/>
      <c r="L167" s="56" t="str">
        <f>IF('AYIRA MINI MART FINAL MENU - Pr'!L167="", "", 'AYIRA MINI MART FINAL MENU - Pr'!L167)</f>
        <v/>
      </c>
      <c r="M167" s="56" t="str">
        <f>IF('AYIRA MINI MART FINAL MENU - Pr'!M167="", "", 'AYIRA MINI MART FINAL MENU - Pr'!M167)</f>
        <v/>
      </c>
      <c r="N167" s="56" t="str">
        <f>IF('AYIRA MINI MART FINAL MENU - Pr'!N167="", "", 'AYIRA MINI MART FINAL MENU - Pr'!N167)</f>
        <v/>
      </c>
      <c r="O167" s="57"/>
      <c r="P167" s="57"/>
      <c r="Q167" s="57"/>
      <c r="R167" s="57"/>
      <c r="S167" s="57"/>
      <c r="T167" s="57"/>
      <c r="U167" s="57"/>
      <c r="V167" s="57"/>
      <c r="W167" s="57"/>
      <c r="X167" s="57"/>
      <c r="Y167" s="57"/>
      <c r="Z167" s="57"/>
    </row>
    <row r="168">
      <c r="A168" s="56" t="str">
        <f>IFERROR(__xludf.DUMMYFUNCTION("IF('AYIRA MINI MART FINAL MENU - Pr'!A168="""", """", IF(LEN(IFERROR(TRIM(REGEXREPLACE(TRIM(REGEXEXTRACT('AYIRA MINI MART FINAL MENU - Pr'!A168, ""^[^\x{0600}-\x{06FF}]+"")), ""[-–]+$"", """")), """"))&gt;0, IFERROR(TRIM(REGEXREPLACE(TRIM(REGEXEXTRACT('AYIRA"&amp;" MINI MART FINAL MENU - Pr'!A168, ""^[^\x{0600}-\x{06FF}]+"")), ""[-–]+$"", """")), """"), GOOGLETRANSLATE('AYIRA MINI MART FINAL MENU - Pr'!A168, ""ar"", ""en"")))"),"Fanta Orange 330ml")</f>
        <v>Fanta Orange 330ml</v>
      </c>
      <c r="B168" s="56" t="str">
        <f>IFERROR(__xludf.DUMMYFUNCTION("IF('AYIRA MINI MART FINAL MENU - Pr'!B168="""", """", IF(LEN(IFERROR(TRIM(REGEXREPLACE(TRIM(REGEXEXTRACT('AYIRA MINI MART FINAL MENU - Pr'!B168, ""^[^\x{0600}-\x{06FF}]+"")), ""[-–]+$"", """")), """"))&gt;0, IFERROR(TRIM(REGEXREPLACE(TRIM(REGEXEXTRACT('AYIRA"&amp;" MINI MART FINAL MENU - Pr'!B168, ""^[^\x{0600}-\x{06FF}]+"")), ""[-–]+$"", """")), """"), GOOGLETRANSLATE('AYIRA MINI MART FINAL MENU - Pr'!B168, ""ar"", ""en"")))"),"Carbonated Soft Drinks")</f>
        <v>Carbonated Soft Drinks</v>
      </c>
      <c r="C168" s="58">
        <f>IF('AYIRA MINI MART FINAL MENU - Pr'!C168="", "", 'AYIRA MINI MART FINAL MENU - Pr'!C168)</f>
        <v>2.5</v>
      </c>
      <c r="D168" s="56" t="str">
        <f>IFERROR(__xludf.DUMMYFUNCTION("IF('AYIRA MINI MART FINAL MENU - Pr'!D168="""", """", GOOGLETRANSLATE('AYIRA MINI MART FINAL MENU - Pr'!D168, ""ar"", ""en""))"),"Enjoy Fanta, the refreshing soft drink that gives you energy and vitality with every drop. Its delicious taste and unique formula make it the perfect choice to quench your thirst anytime. Ideal for parties, family gatherings, and various occasions. It boa"&amp;"sts distinctive flavors that make every sip an unforgettable experience. Get it now from Aira Mini Mart at the best prices and highest quality. Our premium drink provides instant refreshment and satisfies your discerning palate whenever you need hydration"&amp;".")</f>
        <v>Enjoy Fanta,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68" s="56" t="str">
        <f>IF('AYIRA MINI MART FINAL MENU - Pr'!K168="", "", 'AYIRA MINI MART FINAL MENU - Pr'!K168)</f>
        <v/>
      </c>
      <c r="F168" s="56"/>
      <c r="G168" s="56"/>
      <c r="H168" s="56"/>
      <c r="I168" s="56"/>
      <c r="J168" s="56"/>
      <c r="L168" s="56" t="str">
        <f>IF('AYIRA MINI MART FINAL MENU - Pr'!L168="", "", 'AYIRA MINI MART FINAL MENU - Pr'!L168)</f>
        <v/>
      </c>
      <c r="M168" s="56" t="str">
        <f>IF('AYIRA MINI MART FINAL MENU - Pr'!M168="", "", 'AYIRA MINI MART FINAL MENU - Pr'!M168)</f>
        <v/>
      </c>
      <c r="N168" s="56" t="str">
        <f>IF('AYIRA MINI MART FINAL MENU - Pr'!N168="", "", 'AYIRA MINI MART FINAL MENU - Pr'!N168)</f>
        <v/>
      </c>
      <c r="O168" s="57"/>
      <c r="P168" s="57"/>
      <c r="Q168" s="57"/>
      <c r="R168" s="57"/>
      <c r="S168" s="57"/>
      <c r="T168" s="57"/>
      <c r="U168" s="57"/>
      <c r="V168" s="57"/>
      <c r="W168" s="57"/>
      <c r="X168" s="57"/>
      <c r="Y168" s="57"/>
      <c r="Z168" s="57"/>
    </row>
    <row r="169">
      <c r="A169" s="56" t="str">
        <f>IFERROR(__xludf.DUMMYFUNCTION("IF('AYIRA MINI MART FINAL MENU - Pr'!A169="""", """", IF(LEN(IFERROR(TRIM(REGEXREPLACE(TRIM(REGEXEXTRACT('AYIRA MINI MART FINAL MENU - Pr'!A169, ""^[^\x{0600}-\x{06FF}]+"")), ""[-–]+$"", """")), """"))&gt;0, IFERROR(TRIM(REGEXREPLACE(TRIM(REGEXEXTRACT('AYIRA"&amp;" MINI MART FINAL MENU - Pr'!A169, ""^[^\x{0600}-\x{06FF}]+"")), ""[-–]+$"", """")), """"), GOOGLETRANSLATE('AYIRA MINI MART FINAL MENU - Pr'!A169, ""ar"", ""en"")))"),"Fanta Strawberry 330ml")</f>
        <v>Fanta Strawberry 330ml</v>
      </c>
      <c r="B169" s="56" t="str">
        <f>IFERROR(__xludf.DUMMYFUNCTION("IF('AYIRA MINI MART FINAL MENU - Pr'!B169="""", """", IF(LEN(IFERROR(TRIM(REGEXREPLACE(TRIM(REGEXEXTRACT('AYIRA MINI MART FINAL MENU - Pr'!B169, ""^[^\x{0600}-\x{06FF}]+"")), ""[-–]+$"", """")), """"))&gt;0, IFERROR(TRIM(REGEXREPLACE(TRIM(REGEXEXTRACT('AYIRA"&amp;" MINI MART FINAL MENU - Pr'!B169, ""^[^\x{0600}-\x{06FF}]+"")), ""[-–]+$"", """")), """"), GOOGLETRANSLATE('AYIRA MINI MART FINAL MENU - Pr'!B169, ""ar"", ""en"")))"),"Carbonated Soft Drinks")</f>
        <v>Carbonated Soft Drinks</v>
      </c>
      <c r="C169" s="58">
        <f>IF('AYIRA MINI MART FINAL MENU - Pr'!C169="", "", 'AYIRA MINI MART FINAL MENU - Pr'!C169)</f>
        <v>2.5</v>
      </c>
      <c r="D169" s="56" t="str">
        <f>IFERROR(__xludf.DUMMYFUNCTION("IF('AYIRA MINI MART FINAL MENU - Pr'!D169="""", """", GOOGLETRANSLATE('AYIRA MINI MART FINAL MENU - Pr'!D169, ""ar"", ""en""))"),"Enjoy Fanta, the refreshing soft drink that gives you energy and vitality with every drop. Its delicious taste and unique formula make it the perfect choice to quench your thirst anytime. Ideal for parties, family gatherings, and various occasions. It boa"&amp;"sts distinctive flavors that make every sip an unforgettable experience. Get it now from Aira Mini Mart at the best prices and highest quality. Our premium drink provides instant refreshment and satisfies your discerning palate whenever you need hydration"&amp;".")</f>
        <v>Enjoy Fanta,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69" s="56" t="str">
        <f>IF('AYIRA MINI MART FINAL MENU - Pr'!K169="", "", 'AYIRA MINI MART FINAL MENU - Pr'!K169)</f>
        <v/>
      </c>
      <c r="F169" s="56"/>
      <c r="G169" s="56"/>
      <c r="H169" s="56"/>
      <c r="I169" s="56"/>
      <c r="J169" s="56"/>
      <c r="L169" s="56" t="str">
        <f>IF('AYIRA MINI MART FINAL MENU - Pr'!L169="", "", 'AYIRA MINI MART FINAL MENU - Pr'!L169)</f>
        <v/>
      </c>
      <c r="M169" s="56" t="str">
        <f>IF('AYIRA MINI MART FINAL MENU - Pr'!M169="", "", 'AYIRA MINI MART FINAL MENU - Pr'!M169)</f>
        <v/>
      </c>
      <c r="N169" s="56" t="str">
        <f>IF('AYIRA MINI MART FINAL MENU - Pr'!N169="", "", 'AYIRA MINI MART FINAL MENU - Pr'!N169)</f>
        <v/>
      </c>
      <c r="O169" s="57"/>
      <c r="P169" s="57"/>
      <c r="Q169" s="57"/>
      <c r="R169" s="57"/>
      <c r="S169" s="57"/>
      <c r="T169" s="57"/>
      <c r="U169" s="57"/>
      <c r="V169" s="57"/>
      <c r="W169" s="57"/>
      <c r="X169" s="57"/>
      <c r="Y169" s="57"/>
      <c r="Z169" s="57"/>
    </row>
    <row r="170">
      <c r="A170" s="56" t="str">
        <f>IFERROR(__xludf.DUMMYFUNCTION("IF('AYIRA MINI MART FINAL MENU - Pr'!A170="""", """", IF(LEN(IFERROR(TRIM(REGEXREPLACE(TRIM(REGEXEXTRACT('AYIRA MINI MART FINAL MENU - Pr'!A170, ""^[^\x{0600}-\x{06FF}]+"")), ""[-–]+$"", """")), """"))&gt;0, IFERROR(TRIM(REGEXREPLACE(TRIM(REGEXEXTRACT('AYIRA"&amp;" MINI MART FINAL MENU - Pr'!A170, ""^[^\x{0600}-\x{06FF}]+"")), ""[-–]+$"", """")), """"), GOOGLETRANSLATE('AYIRA MINI MART FINAL MENU - Pr'!A170, ""ar"", ""en"")))"),"Thums Up 330ml – Thums Up 330")</f>
        <v>Thums Up 330ml – Thums Up 330</v>
      </c>
      <c r="B170" s="56" t="str">
        <f>IFERROR(__xludf.DUMMYFUNCTION("IF('AYIRA MINI MART FINAL MENU - Pr'!B170="""", """", IF(LEN(IFERROR(TRIM(REGEXREPLACE(TRIM(REGEXEXTRACT('AYIRA MINI MART FINAL MENU - Pr'!B170, ""^[^\x{0600}-\x{06FF}]+"")), ""[-–]+$"", """")), """"))&gt;0, IFERROR(TRIM(REGEXREPLACE(TRIM(REGEXEXTRACT('AYIRA"&amp;" MINI MART FINAL MENU - Pr'!B170, ""^[^\x{0600}-\x{06FF}]+"")), ""[-–]+$"", """")), """"), GOOGLETRANSLATE('AYIRA MINI MART FINAL MENU - Pr'!B170, ""ar"", ""en"")))"),"Carbonated Soft Drinks")</f>
        <v>Carbonated Soft Drinks</v>
      </c>
      <c r="C170" s="58">
        <f>IF('AYIRA MINI MART FINAL MENU - Pr'!C170="", "", 'AYIRA MINI MART FINAL MENU - Pr'!C170)</f>
        <v>2.5</v>
      </c>
      <c r="D170" s="56" t="str">
        <f>IFERROR(__xludf.DUMMYFUNCTION("IF('AYIRA MINI MART FINAL MENU - Pr'!D170="""", """", GOOGLETRANSLATE('AYIRA MINI MART FINAL MENU - Pr'!D170, ""ar"", ""en""))"),"Discover Thums Up 330ml, the exceptional product that combines high quality with great value. Made to the highest standards of quality and safety to ensure your complete satisfaction every time. Its superior features make it the perfect choice for you and"&amp;" your family. Whether for everyday use or special occasions, it meets and exceeds your expectations. Get it now from Aira Mini Mart and enjoy a pleasant and reliable shopping experience.")</f>
        <v>Discover Thums Up 330ml, the exceptional product that combines high quality with great value. Made to the highest standards of quality and safety to ensure your complete satisfaction every time. Its superior features make it the perfect choice for you and your family. Whether for everyday use or special occasions, it meets and exceeds your expectations. Get it now from Aira Mini Mart and enjoy a pleasant and reliable shopping experience.</v>
      </c>
      <c r="E170" s="56" t="str">
        <f>IF('AYIRA MINI MART FINAL MENU - Pr'!K170="", "", 'AYIRA MINI MART FINAL MENU - Pr'!K170)</f>
        <v/>
      </c>
      <c r="F170" s="56"/>
      <c r="G170" s="56"/>
      <c r="H170" s="56"/>
      <c r="I170" s="56"/>
      <c r="J170" s="56"/>
      <c r="L170" s="56" t="str">
        <f>IF('AYIRA MINI MART FINAL MENU - Pr'!L170="", "", 'AYIRA MINI MART FINAL MENU - Pr'!L170)</f>
        <v/>
      </c>
      <c r="M170" s="56" t="str">
        <f>IF('AYIRA MINI MART FINAL MENU - Pr'!M170="", "", 'AYIRA MINI MART FINAL MENU - Pr'!M170)</f>
        <v/>
      </c>
      <c r="N170" s="56" t="str">
        <f>IF('AYIRA MINI MART FINAL MENU - Pr'!N170="", "", 'AYIRA MINI MART FINAL MENU - Pr'!N170)</f>
        <v/>
      </c>
      <c r="O170" s="57"/>
      <c r="P170" s="57"/>
      <c r="Q170" s="57"/>
      <c r="R170" s="57"/>
      <c r="S170" s="57"/>
      <c r="T170" s="57"/>
      <c r="U170" s="57"/>
      <c r="V170" s="57"/>
      <c r="W170" s="57"/>
      <c r="X170" s="57"/>
      <c r="Y170" s="57"/>
      <c r="Z170" s="57"/>
    </row>
    <row r="171">
      <c r="A171" s="56" t="str">
        <f>IFERROR(__xludf.DUMMYFUNCTION("IF('AYIRA MINI MART FINAL MENU - Pr'!A171="""", """", IF(LEN(IFERROR(TRIM(REGEXREPLACE(TRIM(REGEXEXTRACT('AYIRA MINI MART FINAL MENU - Pr'!A171, ""^[^\x{0600}-\x{06FF}]+"")), ""[-–]+$"", """")), """"))&gt;0, IFERROR(TRIM(REGEXREPLACE(TRIM(REGEXEXTRACT('AYIRA"&amp;" MINI MART FINAL MENU - Pr'!A171, ""^[^\x{0600}-\x{06FF}]+"")), ""[-–]+$"", """")), """"), GOOGLETRANSLATE('AYIRA MINI MART FINAL MENU - Pr'!A171, ""ar"", ""en"")))"),"Sprite Zero Calories 330ml")</f>
        <v>Sprite Zero Calories 330ml</v>
      </c>
      <c r="B171" s="56" t="str">
        <f>IFERROR(__xludf.DUMMYFUNCTION("IF('AYIRA MINI MART FINAL MENU - Pr'!B171="""", """", IF(LEN(IFERROR(TRIM(REGEXREPLACE(TRIM(REGEXEXTRACT('AYIRA MINI MART FINAL MENU - Pr'!B171, ""^[^\x{0600}-\x{06FF}]+"")), ""[-–]+$"", """")), """"))&gt;0, IFERROR(TRIM(REGEXREPLACE(TRIM(REGEXEXTRACT('AYIRA"&amp;" MINI MART FINAL MENU - Pr'!B171, ""^[^\x{0600}-\x{06FF}]+"")), ""[-–]+$"", """")), """"), GOOGLETRANSLATE('AYIRA MINI MART FINAL MENU - Pr'!B171, ""ar"", ""en"")))"),"Carbonated Soft Drinks")</f>
        <v>Carbonated Soft Drinks</v>
      </c>
      <c r="C171" s="58">
        <f>IF('AYIRA MINI MART FINAL MENU - Pr'!C171="", "", 'AYIRA MINI MART FINAL MENU - Pr'!C171)</f>
        <v>2.5</v>
      </c>
      <c r="D171" s="56" t="str">
        <f>IFERROR(__xludf.DUMMYFUNCTION("IF('AYIRA MINI MART FINAL MENU - Pr'!D171="""", """", GOOGLETRANSLATE('AYIRA MINI MART FINAL MENU - Pr'!D171, ""ar"", ""en""))"),"Enjoy Sprite, the refreshing fizzy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Sprite, the refreshing fizzy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71" s="56" t="str">
        <f>IF('AYIRA MINI MART FINAL MENU - Pr'!K171="", "", 'AYIRA MINI MART FINAL MENU - Pr'!K171)</f>
        <v/>
      </c>
      <c r="F171" s="56"/>
      <c r="G171" s="56"/>
      <c r="H171" s="56"/>
      <c r="I171" s="56"/>
      <c r="J171" s="56"/>
      <c r="L171" s="56" t="str">
        <f>IF('AYIRA MINI MART FINAL MENU - Pr'!L171="", "", 'AYIRA MINI MART FINAL MENU - Pr'!L171)</f>
        <v/>
      </c>
      <c r="M171" s="56" t="str">
        <f>IF('AYIRA MINI MART FINAL MENU - Pr'!M171="", "", 'AYIRA MINI MART FINAL MENU - Pr'!M171)</f>
        <v/>
      </c>
      <c r="N171" s="56" t="str">
        <f>IF('AYIRA MINI MART FINAL MENU - Pr'!N171="", "", 'AYIRA MINI MART FINAL MENU - Pr'!N171)</f>
        <v/>
      </c>
      <c r="O171" s="57"/>
      <c r="P171" s="57"/>
      <c r="Q171" s="57"/>
      <c r="R171" s="57"/>
      <c r="S171" s="57"/>
      <c r="T171" s="57"/>
      <c r="U171" s="57"/>
      <c r="V171" s="57"/>
      <c r="W171" s="57"/>
      <c r="X171" s="57"/>
      <c r="Y171" s="57"/>
      <c r="Z171" s="57"/>
    </row>
    <row r="172">
      <c r="A172" s="56" t="str">
        <f>IFERROR(__xludf.DUMMYFUNCTION("IF('AYIRA MINI MART FINAL MENU - Pr'!A172="""", """", IF(LEN(IFERROR(TRIM(REGEXREPLACE(TRIM(REGEXEXTRACT('AYIRA MINI MART FINAL MENU - Pr'!A172, ""^[^\x{0600}-\x{06FF}]+"")), ""[-–]+$"", """")), """"))&gt;0, IFERROR(TRIM(REGEXREPLACE(TRIM(REGEXEXTRACT('AYIRA"&amp;" MINI MART FINAL MENU - Pr'!A172, ""^[^\x{0600}-\x{06FF}]+"")), ""[-–]+$"", """")), """"), GOOGLETRANSLATE('AYIRA MINI MART FINAL MENU - Pr'!A172, ""ar"", ""en"")))"),"Coca-Cola Light 330ml")</f>
        <v>Coca-Cola Light 330ml</v>
      </c>
      <c r="B172" s="56" t="str">
        <f>IFERROR(__xludf.DUMMYFUNCTION("IF('AYIRA MINI MART FINAL MENU - Pr'!B172="""", """", IF(LEN(IFERROR(TRIM(REGEXREPLACE(TRIM(REGEXEXTRACT('AYIRA MINI MART FINAL MENU - Pr'!B172, ""^[^\x{0600}-\x{06FF}]+"")), ""[-–]+$"", """")), """"))&gt;0, IFERROR(TRIM(REGEXREPLACE(TRIM(REGEXEXTRACT('AYIRA"&amp;" MINI MART FINAL MENU - Pr'!B172, ""^[^\x{0600}-\x{06FF}]+"")), ""[-–]+$"", """")), """"), GOOGLETRANSLATE('AYIRA MINI MART FINAL MENU - Pr'!B172, ""ar"", ""en"")))"),"Carbonated Soft Drinks")</f>
        <v>Carbonated Soft Drinks</v>
      </c>
      <c r="C172" s="58">
        <f>IF('AYIRA MINI MART FINAL MENU - Pr'!C172="", "", 'AYIRA MINI MART FINAL MENU - Pr'!C172)</f>
        <v>2.5</v>
      </c>
      <c r="D172" s="56" t="str">
        <f>IFERROR(__xludf.DUMMYFUNCTION("IF('AYIRA MINI MART FINAL MENU - Pr'!D172="""", """", GOOGLETRANSLATE('AYIRA MINI MART FINAL MENU - Pr'!D172, ""ar"", ""en""))"),"Enjoy Coca-Cola, the refreshing soft drink that gives you energy and vitality with every sip. Its great taste and unique formula make it the perfect choice to quench your thirst anytime. Ideal for parties, family gatherings, and various occasions. It cont"&amp;"ains distinctive flavors that make every sip an unforgettable experience. Get it now from Aira Mini Mart at the best prices and highest quality. Our premium drink provides instant refreshment and satisfies your discerning palate whenever you need hydratio"&amp;"n.")</f>
        <v>Enjoy Coca-Cola, the refreshing soft drink that gives you energy and vitality with every sip.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instant refreshment and satisfies your discerning palate whenever you need hydration.</v>
      </c>
      <c r="E172" s="56" t="str">
        <f>IF('AYIRA MINI MART FINAL MENU - Pr'!K172="", "", 'AYIRA MINI MART FINAL MENU - Pr'!K172)</f>
        <v/>
      </c>
      <c r="F172" s="56"/>
      <c r="G172" s="56"/>
      <c r="H172" s="56"/>
      <c r="I172" s="56"/>
      <c r="J172" s="56"/>
      <c r="L172" s="56" t="str">
        <f>IF('AYIRA MINI MART FINAL MENU - Pr'!L172="", "", 'AYIRA MINI MART FINAL MENU - Pr'!L172)</f>
        <v/>
      </c>
      <c r="M172" s="56" t="str">
        <f>IF('AYIRA MINI MART FINAL MENU - Pr'!M172="", "", 'AYIRA MINI MART FINAL MENU - Pr'!M172)</f>
        <v/>
      </c>
      <c r="N172" s="56" t="str">
        <f>IF('AYIRA MINI MART FINAL MENU - Pr'!N172="", "", 'AYIRA MINI MART FINAL MENU - Pr'!N172)</f>
        <v/>
      </c>
      <c r="O172" s="57"/>
      <c r="P172" s="57"/>
      <c r="Q172" s="57"/>
      <c r="R172" s="57"/>
      <c r="S172" s="57"/>
      <c r="T172" s="57"/>
      <c r="U172" s="57"/>
      <c r="V172" s="57"/>
      <c r="W172" s="57"/>
      <c r="X172" s="57"/>
      <c r="Y172" s="57"/>
      <c r="Z172" s="57"/>
    </row>
    <row r="173">
      <c r="A173" s="56" t="str">
        <f>IFERROR(__xludf.DUMMYFUNCTION("IF('AYIRA MINI MART FINAL MENU - Pr'!A173="""", """", IF(LEN(IFERROR(TRIM(REGEXREPLACE(TRIM(REGEXEXTRACT('AYIRA MINI MART FINAL MENU - Pr'!A173, ""^[^\x{0600}-\x{06FF}]+"")), ""[-–]+$"", """")), """"))&gt;0, IFERROR(TRIM(REGEXREPLACE(TRIM(REGEXEXTRACT('AYIRA"&amp;" MINI MART FINAL MENU - Pr'!A173, ""^[^\x{0600}-\x{06FF}]+"")), ""[-–]+$"", """")), """"), GOOGLETRANSLATE('AYIRA MINI MART FINAL MENU - Pr'!A173, ""ar"", ""en"")))"),"Schweppes Tonic Water 250ml – Schweppes Tonic")</f>
        <v>Schweppes Tonic Water 250ml – Schweppes Tonic</v>
      </c>
      <c r="B173" s="56" t="str">
        <f>IFERROR(__xludf.DUMMYFUNCTION("IF('AYIRA MINI MART FINAL MENU - Pr'!B173="""", """", IF(LEN(IFERROR(TRIM(REGEXREPLACE(TRIM(REGEXEXTRACT('AYIRA MINI MART FINAL MENU - Pr'!B173, ""^[^\x{0600}-\x{06FF}]+"")), ""[-–]+$"", """")), """"))&gt;0, IFERROR(TRIM(REGEXREPLACE(TRIM(REGEXEXTRACT('AYIRA"&amp;" MINI MART FINAL MENU - Pr'!B173, ""^[^\x{0600}-\x{06FF}]+"")), ""[-–]+$"", """")), """"), GOOGLETRANSLATE('AYIRA MINI MART FINAL MENU - Pr'!B173, ""ar"", ""en"")))"),"Carbonated Soft Drinks")</f>
        <v>Carbonated Soft Drinks</v>
      </c>
      <c r="C173" s="58">
        <f>IF('AYIRA MINI MART FINAL MENU - Pr'!C173="", "", 'AYIRA MINI MART FINAL MENU - Pr'!C173)</f>
        <v>3.5</v>
      </c>
      <c r="D173" s="56" t="str">
        <f>IFERROR(__xludf.DUMMYFUNCTION("IF('AYIRA MINI MART FINAL MENU - Pr'!D173="""", """", GOOGLETRANSLATE('AYIRA MINI MART FINAL MENU - Pr'!D173, ""ar"", ""en""))"),"Drink Schweppes Tonic Water 250ml, the pure water that restores your body's natural balance. Sourced from the purest natural sources and bottled to the highest standards of quality and hygiene to ensure it reaches you in perfect condition. Proper hydratio"&amp;"n is essential for a good life, and choosing this water reflects your commitment to your well-being. Make sure to drink enough water daily to maintain your energy and vitality. Aira Mini Mart offers this excellent water at competitive prices.")</f>
        <v>Drink Schweppes Tonic Water 250ml,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excellent water at competitive prices.</v>
      </c>
      <c r="E173" s="56" t="str">
        <f>IF('AYIRA MINI MART FINAL MENU - Pr'!K173="", "", 'AYIRA MINI MART FINAL MENU - Pr'!K173)</f>
        <v/>
      </c>
      <c r="F173" s="56"/>
      <c r="G173" s="56"/>
      <c r="H173" s="56"/>
      <c r="I173" s="56"/>
      <c r="J173" s="56"/>
      <c r="L173" s="56" t="str">
        <f>IF('AYIRA MINI MART FINAL MENU - Pr'!L173="", "", 'AYIRA MINI MART FINAL MENU - Pr'!L173)</f>
        <v/>
      </c>
      <c r="M173" s="56" t="str">
        <f>IF('AYIRA MINI MART FINAL MENU - Pr'!M173="", "", 'AYIRA MINI MART FINAL MENU - Pr'!M173)</f>
        <v/>
      </c>
      <c r="N173" s="56" t="str">
        <f>IF('AYIRA MINI MART FINAL MENU - Pr'!N173="", "", 'AYIRA MINI MART FINAL MENU - Pr'!N173)</f>
        <v/>
      </c>
      <c r="O173" s="57"/>
      <c r="P173" s="57"/>
      <c r="Q173" s="57"/>
      <c r="R173" s="57"/>
      <c r="S173" s="57"/>
      <c r="T173" s="57"/>
      <c r="U173" s="57"/>
      <c r="V173" s="57"/>
      <c r="W173" s="57"/>
      <c r="X173" s="57"/>
      <c r="Y173" s="57"/>
      <c r="Z173" s="57"/>
    </row>
    <row r="174">
      <c r="A174" s="56" t="str">
        <f>IFERROR(__xludf.DUMMYFUNCTION("IF('AYIRA MINI MART FINAL MENU - Pr'!A174="""", """", IF(LEN(IFERROR(TRIM(REGEXREPLACE(TRIM(REGEXEXTRACT('AYIRA MINI MART FINAL MENU - Pr'!A174, ""^[^\x{0600}-\x{06FF}]+"")), ""[-–]+$"", """")), """"))&gt;0, IFERROR(TRIM(REGEXREPLACE(TRIM(REGEXEXTRACT('AYIRA"&amp;" MINI MART FINAL MENU - Pr'!A174, ""^[^\x{0600}-\x{06FF}]+"")), ""[-–]+$"", """")), """"), GOOGLETRANSLATE('AYIRA MINI MART FINAL MENU - Pr'!A174, ""ar"", ""en"")))"),"Schweppes Ginger Ale 250ml – Schweppes Ginger Ale 250")</f>
        <v>Schweppes Ginger Ale 250ml – Schweppes Ginger Ale 250</v>
      </c>
      <c r="B174" s="56" t="str">
        <f>IFERROR(__xludf.DUMMYFUNCTION("IF('AYIRA MINI MART FINAL MENU - Pr'!B174="""", """", IF(LEN(IFERROR(TRIM(REGEXREPLACE(TRIM(REGEXEXTRACT('AYIRA MINI MART FINAL MENU - Pr'!B174, ""^[^\x{0600}-\x{06FF}]+"")), ""[-–]+$"", """")), """"))&gt;0, IFERROR(TRIM(REGEXREPLACE(TRIM(REGEXEXTRACT('AYIRA"&amp;" MINI MART FINAL MENU - Pr'!B174, ""^[^\x{0600}-\x{06FF}]+"")), ""[-–]+$"", """")), """"), GOOGLETRANSLATE('AYIRA MINI MART FINAL MENU - Pr'!B174, ""ar"", ""en"")))"),"Carbonated Soft Drinks")</f>
        <v>Carbonated Soft Drinks</v>
      </c>
      <c r="C174" s="58">
        <f>IF('AYIRA MINI MART FINAL MENU - Pr'!C174="", "", 'AYIRA MINI MART FINAL MENU - Pr'!C174)</f>
        <v>3.5</v>
      </c>
      <c r="D174" s="56" t="str">
        <f>IFERROR(__xludf.DUMMYFUNCTION("IF('AYIRA MINI MART FINAL MENU - Pr'!D174="""", """", GOOGLETRANSLATE('AYIRA MINI MART FINAL MENU - Pr'!D174, ""ar"", ""en""))"),"Discover Schweppes Ginger Ale 250ml, a premium product that combines high quality with exceptional value. Made to the highest standards of quality and safety to ensure your complete satisfaction every time, its excellent features make it the perfect choic"&amp;"e for you and your family. Whether for everyday use or special occasions, it meets and exceeds your expectations. Get it now from Aira Mini Mart and enjoy a pleasant and reliable shopping experience.")</f>
        <v>Discover Schweppes Ginger Ale 250ml,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74" s="56" t="str">
        <f>IF('AYIRA MINI MART FINAL MENU - Pr'!K174="", "", 'AYIRA MINI MART FINAL MENU - Pr'!K174)</f>
        <v/>
      </c>
      <c r="F174" s="56"/>
      <c r="G174" s="56"/>
      <c r="H174" s="56"/>
      <c r="I174" s="56"/>
      <c r="J174" s="56"/>
      <c r="L174" s="56" t="str">
        <f>IF('AYIRA MINI MART FINAL MENU - Pr'!L174="", "", 'AYIRA MINI MART FINAL MENU - Pr'!L174)</f>
        <v/>
      </c>
      <c r="M174" s="56" t="str">
        <f>IF('AYIRA MINI MART FINAL MENU - Pr'!M174="", "", 'AYIRA MINI MART FINAL MENU - Pr'!M174)</f>
        <v/>
      </c>
      <c r="N174" s="56" t="str">
        <f>IF('AYIRA MINI MART FINAL MENU - Pr'!N174="", "", 'AYIRA MINI MART FINAL MENU - Pr'!N174)</f>
        <v/>
      </c>
      <c r="O174" s="57"/>
      <c r="P174" s="57"/>
      <c r="Q174" s="57"/>
      <c r="R174" s="57"/>
      <c r="S174" s="57"/>
      <c r="T174" s="57"/>
      <c r="U174" s="57"/>
      <c r="V174" s="57"/>
      <c r="W174" s="57"/>
      <c r="X174" s="57"/>
      <c r="Y174" s="57"/>
      <c r="Z174" s="57"/>
    </row>
    <row r="175">
      <c r="A175" s="56" t="str">
        <f>IFERROR(__xludf.DUMMYFUNCTION("IF('AYIRA MINI MART FINAL MENU - Pr'!A175="""", """", IF(LEN(IFERROR(TRIM(REGEXREPLACE(TRIM(REGEXEXTRACT('AYIRA MINI MART FINAL MENU - Pr'!A175, ""^[^\x{0600}-\x{06FF}]+"")), ""[-–]+$"", """")), """"))&gt;0, IFERROR(TRIM(REGEXREPLACE(TRIM(REGEXEXTRACT('AYIRA"&amp;" MINI MART FINAL MENU - Pr'!A175, ""^[^\x{0600}-\x{06FF}]+"")), ""[-–]+$"", """")), """"), GOOGLETRANSLATE('AYIRA MINI MART FINAL MENU - Pr'!A175, ""ar"", ""en"")))"),"Coca-Cola Original Taste 330ml")</f>
        <v>Coca-Cola Original Taste 330ml</v>
      </c>
      <c r="B175" s="56" t="str">
        <f>IFERROR(__xludf.DUMMYFUNCTION("IF('AYIRA MINI MART FINAL MENU - Pr'!B175="""", """", IF(LEN(IFERROR(TRIM(REGEXREPLACE(TRIM(REGEXEXTRACT('AYIRA MINI MART FINAL MENU - Pr'!B175, ""^[^\x{0600}-\x{06FF}]+"")), ""[-–]+$"", """")), """"))&gt;0, IFERROR(TRIM(REGEXREPLACE(TRIM(REGEXEXTRACT('AYIRA"&amp;" MINI MART FINAL MENU - Pr'!B175, ""^[^\x{0600}-\x{06FF}]+"")), ""[-–]+$"", """")), """"), GOOGLETRANSLATE('AYIRA MINI MART FINAL MENU - Pr'!B175, ""ar"", ""en"")))"),"Carbonated Soft Drinks")</f>
        <v>Carbonated Soft Drinks</v>
      </c>
      <c r="C175" s="58">
        <f>IF('AYIRA MINI MART FINAL MENU - Pr'!C175="", "", 'AYIRA MINI MART FINAL MENU - Pr'!C175)</f>
        <v>2.5</v>
      </c>
      <c r="D175" s="56" t="str">
        <f>IFERROR(__xludf.DUMMYFUNCTION("IF('AYIRA MINI MART FINAL MENU - Pr'!D175="""", """", GOOGLETRANSLATE('AYIRA MINI MART FINAL MENU - Pr'!D175, ""ar"", ""en""))"),"Enjoy Coca-Cola, the refreshing soft drink that gives you energy and vitality with every sip. Its great taste and unique formula make it the perfect choice to quench your thirst anytime. Ideal for parties, family gatherings, and various occasions. It cont"&amp;"ains distinctive flavors that make every sip an unforgettable experience. Get it now from Aira Mini Mart at the best prices and highest quality. Our premium drink provides instant refreshment and satisfies your discerning palate whenever you need hydratio"&amp;"n.")</f>
        <v>Enjoy Coca-Cola, the refreshing soft drink that gives you energy and vitality with every sip.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instant refreshment and satisfies your discerning palate whenever you need hydration.</v>
      </c>
      <c r="E175" s="56" t="str">
        <f>IF('AYIRA MINI MART FINAL MENU - Pr'!K175="", "", 'AYIRA MINI MART FINAL MENU - Pr'!K175)</f>
        <v/>
      </c>
      <c r="F175" s="56"/>
      <c r="G175" s="56"/>
      <c r="H175" s="56"/>
      <c r="I175" s="56"/>
      <c r="J175" s="56"/>
      <c r="L175" s="56" t="str">
        <f>IF('AYIRA MINI MART FINAL MENU - Pr'!L175="", "", 'AYIRA MINI MART FINAL MENU - Pr'!L175)</f>
        <v/>
      </c>
      <c r="M175" s="56" t="str">
        <f>IF('AYIRA MINI MART FINAL MENU - Pr'!M175="", "", 'AYIRA MINI MART FINAL MENU - Pr'!M175)</f>
        <v/>
      </c>
      <c r="N175" s="56" t="str">
        <f>IF('AYIRA MINI MART FINAL MENU - Pr'!N175="", "", 'AYIRA MINI MART FINAL MENU - Pr'!N175)</f>
        <v/>
      </c>
      <c r="O175" s="57"/>
      <c r="P175" s="57"/>
      <c r="Q175" s="57"/>
      <c r="R175" s="57"/>
      <c r="S175" s="57"/>
      <c r="T175" s="57"/>
      <c r="U175" s="57"/>
      <c r="V175" s="57"/>
      <c r="W175" s="57"/>
      <c r="X175" s="57"/>
      <c r="Y175" s="57"/>
      <c r="Z175" s="57"/>
    </row>
    <row r="176">
      <c r="A176" s="56" t="str">
        <f>IFERROR(__xludf.DUMMYFUNCTION("IF('AYIRA MINI MART FINAL MENU - Pr'!A176="""", """", IF(LEN(IFERROR(TRIM(REGEXREPLACE(TRIM(REGEXEXTRACT('AYIRA MINI MART FINAL MENU - Pr'!A176, ""^[^\x{0600}-\x{06FF}]+"")), ""[-–]+$"", """")), """"))&gt;0, IFERROR(TRIM(REGEXREPLACE(TRIM(REGEXEXTRACT('AYIRA"&amp;" MINI MART FINAL MENU - Pr'!A176, ""^[^\x{0600}-\x{06FF}]+"")), ""[-–]+$"", """")), """"), GOOGLETRANSLATE('AYIRA MINI MART FINAL MENU - Pr'!A176, ""ar"", ""en"")))"),"Coca-Cola Original Taste 250ml")</f>
        <v>Coca-Cola Original Taste 250ml</v>
      </c>
      <c r="B176" s="56" t="str">
        <f>IFERROR(__xludf.DUMMYFUNCTION("IF('AYIRA MINI MART FINAL MENU - Pr'!B176="""", """", IF(LEN(IFERROR(TRIM(REGEXREPLACE(TRIM(REGEXEXTRACT('AYIRA MINI MART FINAL MENU - Pr'!B176, ""^[^\x{0600}-\x{06FF}]+"")), ""[-–]+$"", """")), """"))&gt;0, IFERROR(TRIM(REGEXREPLACE(TRIM(REGEXEXTRACT('AYIRA"&amp;" MINI MART FINAL MENU - Pr'!B176, ""^[^\x{0600}-\x{06FF}]+"")), ""[-–]+$"", """")), """"), GOOGLETRANSLATE('AYIRA MINI MART FINAL MENU - Pr'!B176, ""ar"", ""en"")))"),"Carbonated Soft Drinks")</f>
        <v>Carbonated Soft Drinks</v>
      </c>
      <c r="C176" s="58">
        <f>IF('AYIRA MINI MART FINAL MENU - Pr'!C176="", "", 'AYIRA MINI MART FINAL MENU - Pr'!C176)</f>
        <v>3</v>
      </c>
      <c r="D176" s="56" t="str">
        <f>IFERROR(__xludf.DUMMYFUNCTION("IF('AYIRA MINI MART FINAL MENU - Pr'!D176="""", """", GOOGLETRANSLATE('AYIRA MINI MART FINAL MENU - Pr'!D176, ""ar"", ""en""))"),"Enjoy Coca-Cola, the refreshing soft drink that gives you energy and vitality with every sip. Its great taste and unique formula make it the perfect choice to quench your thirst anytime. Ideal for parties, family gatherings, and various occasions. It cont"&amp;"ains distinctive flavors that make every sip an unforgettable experience. Get it now from Aira Mini Mart at the best prices and highest quality. Our premium drink provides instant refreshment and satisfies your discerning palate whenever you need hydratio"&amp;"n.")</f>
        <v>Enjoy Coca-Cola, the refreshing soft drink that gives you energy and vitality with every sip.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instant refreshment and satisfies your discerning palate whenever you need hydration.</v>
      </c>
      <c r="E176" s="56" t="str">
        <f>IF('AYIRA MINI MART FINAL MENU - Pr'!K176="", "", 'AYIRA MINI MART FINAL MENU - Pr'!K176)</f>
        <v/>
      </c>
      <c r="F176" s="56"/>
      <c r="G176" s="56"/>
      <c r="H176" s="56"/>
      <c r="I176" s="56"/>
      <c r="J176" s="56"/>
      <c r="L176" s="56" t="str">
        <f>IF('AYIRA MINI MART FINAL MENU - Pr'!L176="", "", 'AYIRA MINI MART FINAL MENU - Pr'!L176)</f>
        <v/>
      </c>
      <c r="M176" s="56" t="str">
        <f>IF('AYIRA MINI MART FINAL MENU - Pr'!M176="", "", 'AYIRA MINI MART FINAL MENU - Pr'!M176)</f>
        <v/>
      </c>
      <c r="N176" s="56" t="str">
        <f>IF('AYIRA MINI MART FINAL MENU - Pr'!N176="", "", 'AYIRA MINI MART FINAL MENU - Pr'!N176)</f>
        <v/>
      </c>
      <c r="O176" s="57"/>
      <c r="P176" s="57"/>
      <c r="Q176" s="57"/>
      <c r="R176" s="57"/>
      <c r="S176" s="57"/>
      <c r="T176" s="57"/>
      <c r="U176" s="57"/>
      <c r="V176" s="57"/>
      <c r="W176" s="57"/>
      <c r="X176" s="57"/>
      <c r="Y176" s="57"/>
      <c r="Z176" s="57"/>
    </row>
    <row r="177">
      <c r="A177" s="56" t="str">
        <f>IFERROR(__xludf.DUMMYFUNCTION("IF('AYIRA MINI MART FINAL MENU - Pr'!A177="""", """", IF(LEN(IFERROR(TRIM(REGEXREPLACE(TRIM(REGEXEXTRACT('AYIRA MINI MART FINAL MENU - Pr'!A177, ""^[^\x{0600}-\x{06FF}]+"")), ""[-–]+$"", """")), """"))&gt;0, IFERROR(TRIM(REGEXREPLACE(TRIM(REGEXEXTRACT('AYIRA"&amp;" MINI MART FINAL MENU - Pr'!A177, ""^[^\x{0600}-\x{06FF}]+"")), ""[-–]+$"", """")), """"), GOOGLETRANSLATE('AYIRA MINI MART FINAL MENU - Pr'!A177, ""ar"", ""en"")))"),"Coca-Cola Original Taste 2.25L")</f>
        <v>Coca-Cola Original Taste 2.25L</v>
      </c>
      <c r="B177" s="56" t="str">
        <f>IFERROR(__xludf.DUMMYFUNCTION("IF('AYIRA MINI MART FINAL MENU - Pr'!B177="""", """", IF(LEN(IFERROR(TRIM(REGEXREPLACE(TRIM(REGEXEXTRACT('AYIRA MINI MART FINAL MENU - Pr'!B177, ""^[^\x{0600}-\x{06FF}]+"")), ""[-–]+$"", """")), """"))&gt;0, IFERROR(TRIM(REGEXREPLACE(TRIM(REGEXEXTRACT('AYIRA"&amp;" MINI MART FINAL MENU - Pr'!B177, ""^[^\x{0600}-\x{06FF}]+"")), ""[-–]+$"", """")), """"), GOOGLETRANSLATE('AYIRA MINI MART FINAL MENU - Pr'!B177, ""ar"", ""en"")))"),"Carbonated Soft Drinks")</f>
        <v>Carbonated Soft Drinks</v>
      </c>
      <c r="C177" s="58">
        <f>IF('AYIRA MINI MART FINAL MENU - Pr'!C177="", "", 'AYIRA MINI MART FINAL MENU - Pr'!C177)</f>
        <v>7.5</v>
      </c>
      <c r="D177" s="56" t="str">
        <f>IFERROR(__xludf.DUMMYFUNCTION("IF('AYIRA MINI MART FINAL MENU - Pr'!D177="""", """", GOOGLETRANSLATE('AYIRA MINI MART FINAL MENU - Pr'!D177, ""ar"", ""en""))"),"Enjoy Coca-Cola, the refreshing soft drink that gives you energy and vitality with every sip. Its great taste and unique formula make it the perfect choice to quench your thirst anytime. Ideal for parties, family gatherings, and various occasions. It cont"&amp;"ains distinctive flavors that make every sip an unforgettable experience. Get it now from Aira Mini Mart at the best prices and highest quality. Our premium drink provides instant refreshment and satisfies your discerning palate whenever you need hydratio"&amp;"n.")</f>
        <v>Enjoy Coca-Cola, the refreshing soft drink that gives you energy and vitality with every sip.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instant refreshment and satisfies your discerning palate whenever you need hydration.</v>
      </c>
      <c r="E177" s="56" t="str">
        <f>IF('AYIRA MINI MART FINAL MENU - Pr'!K177="", "", 'AYIRA MINI MART FINAL MENU - Pr'!K177)</f>
        <v/>
      </c>
      <c r="F177" s="56"/>
      <c r="G177" s="56"/>
      <c r="H177" s="56"/>
      <c r="I177" s="56"/>
      <c r="J177" s="56"/>
      <c r="L177" s="56" t="str">
        <f>IF('AYIRA MINI MART FINAL MENU - Pr'!L177="", "", 'AYIRA MINI MART FINAL MENU - Pr'!L177)</f>
        <v/>
      </c>
      <c r="M177" s="56" t="str">
        <f>IF('AYIRA MINI MART FINAL MENU - Pr'!M177="", "", 'AYIRA MINI MART FINAL MENU - Pr'!M177)</f>
        <v/>
      </c>
      <c r="N177" s="56" t="str">
        <f>IF('AYIRA MINI MART FINAL MENU - Pr'!N177="", "", 'AYIRA MINI MART FINAL MENU - Pr'!N177)</f>
        <v/>
      </c>
      <c r="O177" s="57"/>
      <c r="P177" s="57"/>
      <c r="Q177" s="57"/>
      <c r="R177" s="57"/>
      <c r="S177" s="57"/>
      <c r="T177" s="57"/>
      <c r="U177" s="57"/>
      <c r="V177" s="57"/>
      <c r="W177" s="57"/>
      <c r="X177" s="57"/>
      <c r="Y177" s="57"/>
      <c r="Z177" s="57"/>
    </row>
    <row r="178">
      <c r="A178" s="56" t="str">
        <f>IFERROR(__xludf.DUMMYFUNCTION("IF('AYIRA MINI MART FINAL MENU - Pr'!A178="""", """", IF(LEN(IFERROR(TRIM(REGEXREPLACE(TRIM(REGEXEXTRACT('AYIRA MINI MART FINAL MENU - Pr'!A178, ""^[^\x{0600}-\x{06FF}]+"")), ""[-–]+$"", """")), """"))&gt;0, IFERROR(TRIM(REGEXREPLACE(TRIM(REGEXEXTRACT('AYIRA"&amp;" MINI MART FINAL MENU - Pr'!A178, ""^[^\x{0600}-\x{06FF}]+"")), ""[-–]+$"", """")), """"), GOOGLETRANSLATE('AYIRA MINI MART FINAL MENU - Pr'!A178, ""ar"", ""en"")))"),"Sprite Lemon Lime Flavoured 2.25L")</f>
        <v>Sprite Lemon Lime Flavoured 2.25L</v>
      </c>
      <c r="B178" s="56" t="str">
        <f>IFERROR(__xludf.DUMMYFUNCTION("IF('AYIRA MINI MART FINAL MENU - Pr'!B178="""", """", IF(LEN(IFERROR(TRIM(REGEXREPLACE(TRIM(REGEXEXTRACT('AYIRA MINI MART FINAL MENU - Pr'!B178, ""^[^\x{0600}-\x{06FF}]+"")), ""[-–]+$"", """")), """"))&gt;0, IFERROR(TRIM(REGEXREPLACE(TRIM(REGEXEXTRACT('AYIRA"&amp;" MINI MART FINAL MENU - Pr'!B178, ""^[^\x{0600}-\x{06FF}]+"")), ""[-–]+$"", """")), """"), GOOGLETRANSLATE('AYIRA MINI MART FINAL MENU - Pr'!B178, ""ar"", ""en"")))"),"Carbonated Soft Drinks")</f>
        <v>Carbonated Soft Drinks</v>
      </c>
      <c r="C178" s="58">
        <f>IF('AYIRA MINI MART FINAL MENU - Pr'!C178="", "", 'AYIRA MINI MART FINAL MENU - Pr'!C178)</f>
        <v>7.5</v>
      </c>
      <c r="D178" s="56" t="str">
        <f>IFERROR(__xludf.DUMMYFUNCTION("IF('AYIRA MINI MART FINAL MENU - Pr'!D178="""", """", GOOGLETRANSLATE('AYIRA MINI MART FINAL MENU - Pr'!D178, ""ar"", ""en""))"),"Enjoy Sprite, the refreshing fizzy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Sprite, the refreshing fizzy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78" s="56" t="str">
        <f>IF('AYIRA MINI MART FINAL MENU - Pr'!K178="", "", 'AYIRA MINI MART FINAL MENU - Pr'!K178)</f>
        <v/>
      </c>
      <c r="F178" s="56"/>
      <c r="G178" s="56"/>
      <c r="H178" s="56"/>
      <c r="I178" s="56"/>
      <c r="J178" s="56"/>
      <c r="L178" s="56" t="str">
        <f>IF('AYIRA MINI MART FINAL MENU - Pr'!L178="", "", 'AYIRA MINI MART FINAL MENU - Pr'!L178)</f>
        <v/>
      </c>
      <c r="M178" s="56" t="str">
        <f>IF('AYIRA MINI MART FINAL MENU - Pr'!M178="", "", 'AYIRA MINI MART FINAL MENU - Pr'!M178)</f>
        <v/>
      </c>
      <c r="N178" s="56" t="str">
        <f>IF('AYIRA MINI MART FINAL MENU - Pr'!N178="", "", 'AYIRA MINI MART FINAL MENU - Pr'!N178)</f>
        <v/>
      </c>
      <c r="O178" s="57"/>
      <c r="P178" s="57"/>
      <c r="Q178" s="57"/>
      <c r="R178" s="57"/>
      <c r="S178" s="57"/>
      <c r="T178" s="57"/>
      <c r="U178" s="57"/>
      <c r="V178" s="57"/>
      <c r="W178" s="57"/>
      <c r="X178" s="57"/>
      <c r="Y178" s="57"/>
      <c r="Z178" s="57"/>
    </row>
    <row r="179">
      <c r="A179" s="56" t="str">
        <f>IFERROR(__xludf.DUMMYFUNCTION("IF('AYIRA MINI MART FINAL MENU - Pr'!A179="""", """", IF(LEN(IFERROR(TRIM(REGEXREPLACE(TRIM(REGEXEXTRACT('AYIRA MINI MART FINAL MENU - Pr'!A179, ""^[^\x{0600}-\x{06FF}]+"")), ""[-–]+$"", """")), """"))&gt;0, IFERROR(TRIM(REGEXREPLACE(TRIM(REGEXEXTRACT('AYIRA"&amp;" MINI MART FINAL MENU - Pr'!A179, ""^[^\x{0600}-\x{06FF}]+"")), ""[-–]+$"", """")), """"), GOOGLETRANSLATE('AYIRA MINI MART FINAL MENU - Pr'!A179, ""ar"", ""en"")))"),"Lipton Peach Ice Tea 320ml")</f>
        <v>Lipton Peach Ice Tea 320ml</v>
      </c>
      <c r="B179" s="56" t="str">
        <f>IFERROR(__xludf.DUMMYFUNCTION("IF('AYIRA MINI MART FINAL MENU - Pr'!B179="""", """", IF(LEN(IFERROR(TRIM(REGEXREPLACE(TRIM(REGEXEXTRACT('AYIRA MINI MART FINAL MENU - Pr'!B179, ""^[^\x{0600}-\x{06FF}]+"")), ""[-–]+$"", """")), """"))&gt;0, IFERROR(TRIM(REGEXREPLACE(TRIM(REGEXEXTRACT('AYIRA"&amp;" MINI MART FINAL MENU - Pr'!B179, ""^[^\x{0600}-\x{06FF}]+"")), ""[-–]+$"", """")), """"), GOOGLETRANSLATE('AYIRA MINI MART FINAL MENU - Pr'!B179, ""ar"", ""en"")))"),"Carbonated Soft Drinks")</f>
        <v>Carbonated Soft Drinks</v>
      </c>
      <c r="C179" s="58">
        <f>IF('AYIRA MINI MART FINAL MENU - Pr'!C179="", "", 'AYIRA MINI MART FINAL MENU - Pr'!C179)</f>
        <v>2.5</v>
      </c>
      <c r="D179" s="56" t="str">
        <f>IFERROR(__xludf.DUMMYFUNCTION("IF('AYIRA MINI MART FINAL MENU - Pr'!D179="""", """", GOOGLETRANSLATE('AYIRA MINI MART FINAL MENU - Pr'!D179, ""ar"", ""en""))"),"Discover Lipton, the exceptional product that combines high quality with great value. Made to the highest standards of quality and safety to ensure your complete satisfaction every time. Its superior features make it the perfect choice for you and your fa"&amp;"mily. Whether for everyday use or special occasions, it meets and exceeds your expectations. Get it now from Aira Mini Mart and enjoy a pleasant and reliable shopping experience.")</f>
        <v>Discover Lipton, the exceptional product that combines high quality with great value. Made to the highest standards of quality and safety to ensure your complete satisfaction every time. Its superior features make it the perfect choice for you and your family. Whether for everyday use or special occasions, it meets and exceeds your expectations. Get it now from Aira Mini Mart and enjoy a pleasant and reliable shopping experience.</v>
      </c>
      <c r="E179" s="56" t="str">
        <f>IF('AYIRA MINI MART FINAL MENU - Pr'!K179="", "", 'AYIRA MINI MART FINAL MENU - Pr'!K179)</f>
        <v/>
      </c>
      <c r="F179" s="56"/>
      <c r="G179" s="56"/>
      <c r="H179" s="56"/>
      <c r="I179" s="56"/>
      <c r="J179" s="56"/>
      <c r="L179" s="56" t="str">
        <f>IF('AYIRA MINI MART FINAL MENU - Pr'!L179="", "", 'AYIRA MINI MART FINAL MENU - Pr'!L179)</f>
        <v/>
      </c>
      <c r="M179" s="56" t="str">
        <f>IF('AYIRA MINI MART FINAL MENU - Pr'!M179="", "", 'AYIRA MINI MART FINAL MENU - Pr'!M179)</f>
        <v/>
      </c>
      <c r="N179" s="56" t="str">
        <f>IF('AYIRA MINI MART FINAL MENU - Pr'!N179="", "", 'AYIRA MINI MART FINAL MENU - Pr'!N179)</f>
        <v/>
      </c>
      <c r="O179" s="57"/>
      <c r="P179" s="57"/>
      <c r="Q179" s="57"/>
      <c r="R179" s="57"/>
      <c r="S179" s="57"/>
      <c r="T179" s="57"/>
      <c r="U179" s="57"/>
      <c r="V179" s="57"/>
      <c r="W179" s="57"/>
      <c r="X179" s="57"/>
      <c r="Y179" s="57"/>
      <c r="Z179" s="57"/>
    </row>
    <row r="180">
      <c r="A180" s="56" t="str">
        <f>IFERROR(__xludf.DUMMYFUNCTION("IF('AYIRA MINI MART FINAL MENU - Pr'!A180="""", """", IF(LEN(IFERROR(TRIM(REGEXREPLACE(TRIM(REGEXEXTRACT('AYIRA MINI MART FINAL MENU - Pr'!A180, ""^[^\x{0600}-\x{06FF}]+"")), ""[-–]+$"", """")), """"))&gt;0, IFERROR(TRIM(REGEXREPLACE(TRIM(REGEXEXTRACT('AYIRA"&amp;" MINI MART FINAL MENU - Pr'!A180, ""^[^\x{0600}-\x{06FF}]+"")), ""[-–]+$"", """")), """"), GOOGLETRANSLATE('AYIRA MINI MART FINAL MENU - Pr'!A180, ""ar"", ""en"")))"),"Lipton Zero Sugar Peach Ice Tea 320ml")</f>
        <v>Lipton Zero Sugar Peach Ice Tea 320ml</v>
      </c>
      <c r="B180" s="56" t="str">
        <f>IFERROR(__xludf.DUMMYFUNCTION("IF('AYIRA MINI MART FINAL MENU - Pr'!B180="""", """", IF(LEN(IFERROR(TRIM(REGEXREPLACE(TRIM(REGEXEXTRACT('AYIRA MINI MART FINAL MENU - Pr'!B180, ""^[^\x{0600}-\x{06FF}]+"")), ""[-–]+$"", """")), """"))&gt;0, IFERROR(TRIM(REGEXREPLACE(TRIM(REGEXEXTRACT('AYIRA"&amp;" MINI MART FINAL MENU - Pr'!B180, ""^[^\x{0600}-\x{06FF}]+"")), ""[-–]+$"", """")), """"), GOOGLETRANSLATE('AYIRA MINI MART FINAL MENU - Pr'!B180, ""ar"", ""en"")))"),"Carbonated Soft Drinks")</f>
        <v>Carbonated Soft Drinks</v>
      </c>
      <c r="C180" s="58">
        <f>IF('AYIRA MINI MART FINAL MENU - Pr'!C180="", "", 'AYIRA MINI MART FINAL MENU - Pr'!C180)</f>
        <v>2.5</v>
      </c>
      <c r="D180" s="56" t="str">
        <f>IFERROR(__xludf.DUMMYFUNCTION("IF('AYIRA MINI MART FINAL MENU - Pr'!D180="""", """", GOOGLETRANSLATE('AYIRA MINI MART FINAL MENU - Pr'!D180, ""ar"", ""en""))"),"Discover Lipton, the exceptional product that combines high quality with great value. Made to the highest standards of quality and safety to ensure your complete satisfaction every time. Its superior features make it the perfect choice for you and your fa"&amp;"mily. Whether for everyday use or special occasions, it meets and exceeds your expectations. Get it now from Aira Mini Mart and enjoy a pleasant and reliable shopping experience.")</f>
        <v>Discover Lipton, the exceptional product that combines high quality with great value. Made to the highest standards of quality and safety to ensure your complete satisfaction every time. Its superior features make it the perfect choice for you and your family. Whether for everyday use or special occasions, it meets and exceeds your expectations. Get it now from Aira Mini Mart and enjoy a pleasant and reliable shopping experience.</v>
      </c>
      <c r="E180" s="56" t="str">
        <f>IF('AYIRA MINI MART FINAL MENU - Pr'!K180="", "", 'AYIRA MINI MART FINAL MENU - Pr'!K180)</f>
        <v/>
      </c>
      <c r="F180" s="56"/>
      <c r="G180" s="56"/>
      <c r="H180" s="56"/>
      <c r="I180" s="56"/>
      <c r="J180" s="56"/>
      <c r="L180" s="56" t="str">
        <f>IF('AYIRA MINI MART FINAL MENU - Pr'!L180="", "", 'AYIRA MINI MART FINAL MENU - Pr'!L180)</f>
        <v/>
      </c>
      <c r="M180" s="56" t="str">
        <f>IF('AYIRA MINI MART FINAL MENU - Pr'!M180="", "", 'AYIRA MINI MART FINAL MENU - Pr'!M180)</f>
        <v/>
      </c>
      <c r="N180" s="56" t="str">
        <f>IF('AYIRA MINI MART FINAL MENU - Pr'!N180="", "", 'AYIRA MINI MART FINAL MENU - Pr'!N180)</f>
        <v/>
      </c>
      <c r="O180" s="57"/>
      <c r="P180" s="57"/>
      <c r="Q180" s="57"/>
      <c r="R180" s="57"/>
      <c r="S180" s="57"/>
      <c r="T180" s="57"/>
      <c r="U180" s="57"/>
      <c r="V180" s="57"/>
      <c r="W180" s="57"/>
      <c r="X180" s="57"/>
      <c r="Y180" s="57"/>
      <c r="Z180" s="57"/>
    </row>
    <row r="181">
      <c r="A181" s="56" t="str">
        <f>IFERROR(__xludf.DUMMYFUNCTION("IF('AYIRA MINI MART FINAL MENU - Pr'!A181="""", """", IF(LEN(IFERROR(TRIM(REGEXREPLACE(TRIM(REGEXEXTRACT('AYIRA MINI MART FINAL MENU - Pr'!A181, ""^[^\x{0600}-\x{06FF}]+"")), ""[-–]+$"", """")), """"))&gt;0, IFERROR(TRIM(REGEXREPLACE(TRIM(REGEXEXTRACT('AYIRA"&amp;" MINI MART FINAL MENU - Pr'!A181, ""^[^\x{0600}-\x{06FF}]+"")), ""[-–]+$"", """")), """"), GOOGLETRANSLATE('AYIRA MINI MART FINAL MENU - Pr'!A181, ""ar"", ""en"")))"),"7UP Refreshing Lemon 150ml")</f>
        <v>7UP Refreshing Lemon 150ml</v>
      </c>
      <c r="B181" s="56" t="str">
        <f>IFERROR(__xludf.DUMMYFUNCTION("IF('AYIRA MINI MART FINAL MENU - Pr'!B181="""", """", IF(LEN(IFERROR(TRIM(REGEXREPLACE(TRIM(REGEXEXTRACT('AYIRA MINI MART FINAL MENU - Pr'!B181, ""^[^\x{0600}-\x{06FF}]+"")), ""[-–]+$"", """")), """"))&gt;0, IFERROR(TRIM(REGEXREPLACE(TRIM(REGEXEXTRACT('AYIRA"&amp;" MINI MART FINAL MENU - Pr'!B181, ""^[^\x{0600}-\x{06FF}]+"")), ""[-–]+$"", """")), """"), GOOGLETRANSLATE('AYIRA MINI MART FINAL MENU - Pr'!B181, ""ar"", ""en"")))"),"Carbonated Soft Drinks")</f>
        <v>Carbonated Soft Drinks</v>
      </c>
      <c r="C181" s="58">
        <f>IF('AYIRA MINI MART FINAL MENU - Pr'!C181="", "", 'AYIRA MINI MART FINAL MENU - Pr'!C181)</f>
        <v>2</v>
      </c>
      <c r="D181" s="56" t="str">
        <f>IFERROR(__xludf.DUMMYFUNCTION("IF('AYIRA MINI MART FINAL MENU - Pr'!D181="""", """", GOOGLETRANSLATE('AYIRA MINI MART FINAL MENU - Pr'!D181, ""ar"", ""en""))"),"Enjoy 7UP,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7UP,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81" s="56" t="str">
        <f>IF('AYIRA MINI MART FINAL MENU - Pr'!K181="", "", 'AYIRA MINI MART FINAL MENU - Pr'!K181)</f>
        <v/>
      </c>
      <c r="F181" s="56"/>
      <c r="G181" s="56"/>
      <c r="H181" s="56"/>
      <c r="I181" s="56"/>
      <c r="J181" s="56"/>
      <c r="L181" s="56" t="str">
        <f>IF('AYIRA MINI MART FINAL MENU - Pr'!L181="", "", 'AYIRA MINI MART FINAL MENU - Pr'!L181)</f>
        <v/>
      </c>
      <c r="M181" s="56" t="str">
        <f>IF('AYIRA MINI MART FINAL MENU - Pr'!M181="", "", 'AYIRA MINI MART FINAL MENU - Pr'!M181)</f>
        <v/>
      </c>
      <c r="N181" s="56" t="str">
        <f>IF('AYIRA MINI MART FINAL MENU - Pr'!N181="", "", 'AYIRA MINI MART FINAL MENU - Pr'!N181)</f>
        <v/>
      </c>
      <c r="O181" s="57"/>
      <c r="P181" s="57"/>
      <c r="Q181" s="57"/>
      <c r="R181" s="57"/>
      <c r="S181" s="57"/>
      <c r="T181" s="57"/>
      <c r="U181" s="57"/>
      <c r="V181" s="57"/>
      <c r="W181" s="57"/>
      <c r="X181" s="57"/>
      <c r="Y181" s="57"/>
      <c r="Z181" s="57"/>
    </row>
    <row r="182">
      <c r="A182" s="56" t="str">
        <f>IFERROR(__xludf.DUMMYFUNCTION("IF('AYIRA MINI MART FINAL MENU - Pr'!A182="""", """", IF(LEN(IFERROR(TRIM(REGEXREPLACE(TRIM(REGEXEXTRACT('AYIRA MINI MART FINAL MENU - Pr'!A182, ""^[^\x{0600}-\x{06FF}]+"")), ""[-–]+$"", """")), """"))&gt;0, IFERROR(TRIM(REGEXREPLACE(TRIM(REGEXEXTRACT('AYIRA"&amp;" MINI MART FINAL MENU - Pr'!A182, ""^[^\x{0600}-\x{06FF}]+"")), ""[-–]+$"", """")), """"), GOOGLETRANSLATE('AYIRA MINI MART FINAL MENU - Pr'!A182, ""ar"", ""en"")))"),"Pepsi Great Taste Less Sugar 150ml")</f>
        <v>Pepsi Great Taste Less Sugar 150ml</v>
      </c>
      <c r="B182" s="56" t="str">
        <f>IFERROR(__xludf.DUMMYFUNCTION("IF('AYIRA MINI MART FINAL MENU - Pr'!B182="""", """", IF(LEN(IFERROR(TRIM(REGEXREPLACE(TRIM(REGEXEXTRACT('AYIRA MINI MART FINAL MENU - Pr'!B182, ""^[^\x{0600}-\x{06FF}]+"")), ""[-–]+$"", """")), """"))&gt;0, IFERROR(TRIM(REGEXREPLACE(TRIM(REGEXEXTRACT('AYIRA"&amp;" MINI MART FINAL MENU - Pr'!B182, ""^[^\x{0600}-\x{06FF}]+"")), ""[-–]+$"", """")), """"), GOOGLETRANSLATE('AYIRA MINI MART FINAL MENU - Pr'!B182, ""ar"", ""en"")))"),"Carbonated Soft Drinks")</f>
        <v>Carbonated Soft Drinks</v>
      </c>
      <c r="C182" s="58">
        <f>IF('AYIRA MINI MART FINAL MENU - Pr'!C182="", "", 'AYIRA MINI MART FINAL MENU - Pr'!C182)</f>
        <v>2</v>
      </c>
      <c r="D182" s="56" t="str">
        <f>IFERROR(__xludf.DUMMYFUNCTION("IF('AYIRA MINI MART FINAL MENU - Pr'!D182="""", """", GOOGLETRANSLATE('AYIRA MINI MART FINAL MENU - Pr'!D182, ""ar"", ""en""))"),"Enjoy Pepsi, the refreshing soft drink that gives you energy and vitality with every drop. Its great taste and unique formula make it the perfect choice to quench your thirst anytime. Ideal for parties, family gatherings, and various occasions. It contain"&amp;"s distinctive flavors that make every sip an unforgettable experience. Get it now from Aira Mini Mart at the best prices and highest quality. Our premium drink provides you with instant refreshment and satisfies your discerning taste whenever you need hyd"&amp;"ration.")</f>
        <v>Enjoy Pepsi, the refreshing soft drink that gives you energy and vitality with every drop.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you with instant refreshment and satisfies your discerning taste whenever you need hydration.</v>
      </c>
      <c r="E182" s="56" t="str">
        <f>IF('AYIRA MINI MART FINAL MENU - Pr'!K182="", "", 'AYIRA MINI MART FINAL MENU - Pr'!K182)</f>
        <v/>
      </c>
      <c r="F182" s="56"/>
      <c r="G182" s="56"/>
      <c r="H182" s="56"/>
      <c r="I182" s="56"/>
      <c r="J182" s="56"/>
      <c r="L182" s="56" t="str">
        <f>IF('AYIRA MINI MART FINAL MENU - Pr'!L182="", "", 'AYIRA MINI MART FINAL MENU - Pr'!L182)</f>
        <v/>
      </c>
      <c r="M182" s="56" t="str">
        <f>IF('AYIRA MINI MART FINAL MENU - Pr'!M182="", "", 'AYIRA MINI MART FINAL MENU - Pr'!M182)</f>
        <v/>
      </c>
      <c r="N182" s="56" t="str">
        <f>IF('AYIRA MINI MART FINAL MENU - Pr'!N182="", "", 'AYIRA MINI MART FINAL MENU - Pr'!N182)</f>
        <v/>
      </c>
      <c r="O182" s="57"/>
      <c r="P182" s="57"/>
      <c r="Q182" s="57"/>
      <c r="R182" s="57"/>
      <c r="S182" s="57"/>
      <c r="T182" s="57"/>
      <c r="U182" s="57"/>
      <c r="V182" s="57"/>
      <c r="W182" s="57"/>
      <c r="X182" s="57"/>
      <c r="Y182" s="57"/>
      <c r="Z182" s="57"/>
    </row>
    <row r="183">
      <c r="A183" s="56" t="str">
        <f>IFERROR(__xludf.DUMMYFUNCTION("IF('AYIRA MINI MART FINAL MENU - Pr'!A183="""", """", IF(LEN(IFERROR(TRIM(REGEXREPLACE(TRIM(REGEXEXTRACT('AYIRA MINI MART FINAL MENU - Pr'!A183, ""^[^\x{0600}-\x{06FF}]+"")), ""[-–]+$"", """")), """"))&gt;0, IFERROR(TRIM(REGEXREPLACE(TRIM(REGEXEXTRACT('AYIRA"&amp;" MINI MART FINAL MENU - Pr'!A183, ""^[^\x{0600}-\x{06FF}]+"")), ""[-–]+$"", """")), """"), GOOGLETRANSLATE('AYIRA MINI MART FINAL MENU - Pr'!A183, ""ar"", ""en"")))"),"Mirinda Orange 150ml")</f>
        <v>Mirinda Orange 150ml</v>
      </c>
      <c r="B183" s="56" t="str">
        <f>IFERROR(__xludf.DUMMYFUNCTION("IF('AYIRA MINI MART FINAL MENU - Pr'!B183="""", """", IF(LEN(IFERROR(TRIM(REGEXREPLACE(TRIM(REGEXEXTRACT('AYIRA MINI MART FINAL MENU - Pr'!B183, ""^[^\x{0600}-\x{06FF}]+"")), ""[-–]+$"", """")), """"))&gt;0, IFERROR(TRIM(REGEXREPLACE(TRIM(REGEXEXTRACT('AYIRA"&amp;" MINI MART FINAL MENU - Pr'!B183, ""^[^\x{0600}-\x{06FF}]+"")), ""[-–]+$"", """")), """"), GOOGLETRANSLATE('AYIRA MINI MART FINAL MENU - Pr'!B183, ""ar"", ""en"")))"),"Carbonated Soft Drinks")</f>
        <v>Carbonated Soft Drinks</v>
      </c>
      <c r="C183" s="58">
        <f>IF('AYIRA MINI MART FINAL MENU - Pr'!C183="", "", 'AYIRA MINI MART FINAL MENU - Pr'!C183)</f>
        <v>2</v>
      </c>
      <c r="D183" s="56" t="str">
        <f>IFERROR(__xludf.DUMMYFUNCTION("IF('AYIRA MINI MART FINAL MENU - Pr'!D183="""", """", GOOGLETRANSLATE('AYIRA MINI MART FINAL MENU - Pr'!D183, ""ar"", ""en""))"),"Enjoy Miranda, the refreshing soft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Miranda,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83" s="56" t="str">
        <f>IF('AYIRA MINI MART FINAL MENU - Pr'!K183="", "", 'AYIRA MINI MART FINAL MENU - Pr'!K183)</f>
        <v/>
      </c>
      <c r="F183" s="56"/>
      <c r="G183" s="56"/>
      <c r="H183" s="56"/>
      <c r="I183" s="56"/>
      <c r="J183" s="56"/>
      <c r="L183" s="56" t="str">
        <f>IF('AYIRA MINI MART FINAL MENU - Pr'!L183="", "", 'AYIRA MINI MART FINAL MENU - Pr'!L183)</f>
        <v/>
      </c>
      <c r="M183" s="56" t="str">
        <f>IF('AYIRA MINI MART FINAL MENU - Pr'!M183="", "", 'AYIRA MINI MART FINAL MENU - Pr'!M183)</f>
        <v/>
      </c>
      <c r="N183" s="56" t="str">
        <f>IF('AYIRA MINI MART FINAL MENU - Pr'!N183="", "", 'AYIRA MINI MART FINAL MENU - Pr'!N183)</f>
        <v/>
      </c>
      <c r="O183" s="57"/>
      <c r="P183" s="57"/>
      <c r="Q183" s="57"/>
      <c r="R183" s="57"/>
      <c r="S183" s="57"/>
      <c r="T183" s="57"/>
      <c r="U183" s="57"/>
      <c r="V183" s="57"/>
      <c r="W183" s="57"/>
      <c r="X183" s="57"/>
      <c r="Y183" s="57"/>
      <c r="Z183" s="57"/>
    </row>
    <row r="184">
      <c r="A184" s="56" t="str">
        <f>IFERROR(__xludf.DUMMYFUNCTION("IF('AYIRA MINI MART FINAL MENU - Pr'!A184="""", """", IF(LEN(IFERROR(TRIM(REGEXREPLACE(TRIM(REGEXEXTRACT('AYIRA MINI MART FINAL MENU - Pr'!A184, ""^[^\x{0600}-\x{06FF}]+"")), ""[-–]+$"", """")), """"))&gt;0, IFERROR(TRIM(REGEXREPLACE(TRIM(REGEXEXTRACT('AYIRA"&amp;" MINI MART FINAL MENU - Pr'!A184, ""^[^\x{0600}-\x{06FF}]+"")), ""[-–]+$"", """")), """"), GOOGLETRANSLATE('AYIRA MINI MART FINAL MENU - Pr'!A184, ""ar"", ""en"")))"),"Mountain Dew 150ml")</f>
        <v>Mountain Dew 150ml</v>
      </c>
      <c r="B184" s="56" t="str">
        <f>IFERROR(__xludf.DUMMYFUNCTION("IF('AYIRA MINI MART FINAL MENU - Pr'!B184="""", """", IF(LEN(IFERROR(TRIM(REGEXREPLACE(TRIM(REGEXEXTRACT('AYIRA MINI MART FINAL MENU - Pr'!B184, ""^[^\x{0600}-\x{06FF}]+"")), ""[-–]+$"", """")), """"))&gt;0, IFERROR(TRIM(REGEXREPLACE(TRIM(REGEXEXTRACT('AYIRA"&amp;" MINI MART FINAL MENU - Pr'!B184, ""^[^\x{0600}-\x{06FF}]+"")), ""[-–]+$"", """")), """"), GOOGLETRANSLATE('AYIRA MINI MART FINAL MENU - Pr'!B184, ""ar"", ""en"")))"),"Carbonated Soft Drinks")</f>
        <v>Carbonated Soft Drinks</v>
      </c>
      <c r="C184" s="58">
        <f>IF('AYIRA MINI MART FINAL MENU - Pr'!C184="", "", 'AYIRA MINI MART FINAL MENU - Pr'!C184)</f>
        <v>2</v>
      </c>
      <c r="D184" s="56" t="str">
        <f>IFERROR(__xludf.DUMMYFUNCTION("IF('AYIRA MINI MART FINAL MENU - Pr'!D184="""", """", GOOGLETRANSLATE('AYIRA MINI MART FINAL MENU - Pr'!D184, ""ar"", ""en""))"),"Enjoy Mountain Dew, the refreshing soft drink that gives you energy and vitality with every sip. Its great taste and unique formula make it the perfect choice to quench your thirst anytime. Ideal for parties, family gatherings, and various occasions. It b"&amp;"oasts distinctive flavors that make every sip an unforgettable experience. Get it now from Aira Mini Mart at the best prices and highest quality. Our premium drink provides instant refreshment and satisfies your discerning palate whenever you need hydrati"&amp;"on.")</f>
        <v>Enjoy Mountain Dew, the refreshing soft drink that gives you energy and vitality with every sip.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84" s="56" t="str">
        <f>IF('AYIRA MINI MART FINAL MENU - Pr'!K184="", "", 'AYIRA MINI MART FINAL MENU - Pr'!K184)</f>
        <v/>
      </c>
      <c r="F184" s="56"/>
      <c r="G184" s="56"/>
      <c r="H184" s="56"/>
      <c r="I184" s="56"/>
      <c r="J184" s="56"/>
      <c r="L184" s="56" t="str">
        <f>IF('AYIRA MINI MART FINAL MENU - Pr'!L184="", "", 'AYIRA MINI MART FINAL MENU - Pr'!L184)</f>
        <v/>
      </c>
      <c r="M184" s="56" t="str">
        <f>IF('AYIRA MINI MART FINAL MENU - Pr'!M184="", "", 'AYIRA MINI MART FINAL MENU - Pr'!M184)</f>
        <v/>
      </c>
      <c r="N184" s="56" t="str">
        <f>IF('AYIRA MINI MART FINAL MENU - Pr'!N184="", "", 'AYIRA MINI MART FINAL MENU - Pr'!N184)</f>
        <v/>
      </c>
      <c r="O184" s="57"/>
      <c r="P184" s="57"/>
      <c r="Q184" s="57"/>
      <c r="R184" s="57"/>
      <c r="S184" s="57"/>
      <c r="T184" s="57"/>
      <c r="U184" s="57"/>
      <c r="V184" s="57"/>
      <c r="W184" s="57"/>
      <c r="X184" s="57"/>
      <c r="Y184" s="57"/>
      <c r="Z184" s="57"/>
    </row>
    <row r="185">
      <c r="A185" s="56" t="str">
        <f>IFERROR(__xludf.DUMMYFUNCTION("IF('AYIRA MINI MART FINAL MENU - Pr'!A185="""", """", IF(LEN(IFERROR(TRIM(REGEXREPLACE(TRIM(REGEXEXTRACT('AYIRA MINI MART FINAL MENU - Pr'!A185, ""^[^\x{0600}-\x{06FF}]+"")), ""[-–]+$"", """")), """"))&gt;0, IFERROR(TRIM(REGEXREPLACE(TRIM(REGEXEXTRACT('AYIRA"&amp;" MINI MART FINAL MENU - Pr'!A185, ""^[^\x{0600}-\x{06FF}]+"")), ""[-–]+$"", """")), """"), GOOGLETRANSLATE('AYIRA MINI MART FINAL MENU - Pr'!A185, ""ar"", ""en"")))"),"Spring Water 250ml – Spring")</f>
        <v>Spring Water 250ml – Spring</v>
      </c>
      <c r="B185" s="56" t="str">
        <f>IFERROR(__xludf.DUMMYFUNCTION("IF('AYIRA MINI MART FINAL MENU - Pr'!B185="""", """", IF(LEN(IFERROR(TRIM(REGEXREPLACE(TRIM(REGEXEXTRACT('AYIRA MINI MART FINAL MENU - Pr'!B185, ""^[^\x{0600}-\x{06FF}]+"")), ""[-–]+$"", """")), """"))&gt;0, IFERROR(TRIM(REGEXREPLACE(TRIM(REGEXEXTRACT('AYIRA"&amp;" MINI MART FINAL MENU - Pr'!B185, ""^[^\x{0600}-\x{06FF}]+"")), ""[-–]+$"", """")), """"), GOOGLETRANSLATE('AYIRA MINI MART FINAL MENU - Pr'!B185, ""ar"", ""en"")))"),"Carbonated Soft Drinks")</f>
        <v>Carbonated Soft Drinks</v>
      </c>
      <c r="C185" s="58">
        <f>IF('AYIRA MINI MART FINAL MENU - Pr'!C185="", "", 'AYIRA MINI MART FINAL MENU - Pr'!C185)</f>
        <v>2.5</v>
      </c>
      <c r="D185" s="56" t="str">
        <f>IFERROR(__xludf.DUMMYFUNCTION("IF('AYIRA MINI MART FINAL MENU - Pr'!D185="""", """", GOOGLETRANSLATE('AYIRA MINI MART FINAL MENU - Pr'!D185, ""ar"", ""en""))"),"Drink Spring Water 250ml, pure water that restores your body's natural balance. Extracted from the purest natural sources and bottled to the highest standards of quality and hygiene to ensure it reaches you in perfect condition. Proper hydration is essent"&amp;"ial for a good life, and choosing this water reflects your commitment to your well-being. Make sure to drink enough water daily to maintain your energy and vitality. Aira Mini Mart offers this premium water at competitive prices.")</f>
        <v>Drink Spring Water 250ml, pure water that restores your body's natural balance. Extracted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185" s="56" t="str">
        <f>IF('AYIRA MINI MART FINAL MENU - Pr'!K185="", "", 'AYIRA MINI MART FINAL MENU - Pr'!K185)</f>
        <v/>
      </c>
      <c r="F185" s="56"/>
      <c r="G185" s="56"/>
      <c r="H185" s="56"/>
      <c r="I185" s="56"/>
      <c r="J185" s="56"/>
      <c r="L185" s="56" t="str">
        <f>IF('AYIRA MINI MART FINAL MENU - Pr'!L185="", "", 'AYIRA MINI MART FINAL MENU - Pr'!L185)</f>
        <v/>
      </c>
      <c r="M185" s="56" t="str">
        <f>IF('AYIRA MINI MART FINAL MENU - Pr'!M185="", "", 'AYIRA MINI MART FINAL MENU - Pr'!M185)</f>
        <v/>
      </c>
      <c r="N185" s="56" t="str">
        <f>IF('AYIRA MINI MART FINAL MENU - Pr'!N185="", "", 'AYIRA MINI MART FINAL MENU - Pr'!N185)</f>
        <v/>
      </c>
      <c r="O185" s="57"/>
      <c r="P185" s="57"/>
      <c r="Q185" s="57"/>
      <c r="R185" s="57"/>
      <c r="S185" s="57"/>
      <c r="T185" s="57"/>
      <c r="U185" s="57"/>
      <c r="V185" s="57"/>
      <c r="W185" s="57"/>
      <c r="X185" s="57"/>
      <c r="Y185" s="57"/>
      <c r="Z185" s="57"/>
    </row>
    <row r="186">
      <c r="A186" s="56" t="str">
        <f>IFERROR(__xludf.DUMMYFUNCTION("IF('AYIRA MINI MART FINAL MENU - Pr'!A186="""", """", IF(LEN(IFERROR(TRIM(REGEXREPLACE(TRIM(REGEXEXTRACT('AYIRA MINI MART FINAL MENU - Pr'!A186, ""^[^\x{0600}-\x{06FF}]+"")), ""[-–]+$"", """")), """"))&gt;0, IFERROR(TRIM(REGEXREPLACE(TRIM(REGEXEXTRACT('AYIRA"&amp;" MINI MART FINAL MENU - Pr'!A186, ""^[^\x{0600}-\x{06FF}]+"")), ""[-–]+$"", """")), """"), GOOGLETRANSLATE('AYIRA MINI MART FINAL MENU - Pr'!A186, ""ar"", ""en"")))"),"Canada Dry Club Soda 330ml – Canada Dry Club Soda 330")</f>
        <v>Canada Dry Club Soda 330ml – Canada Dry Club Soda 330</v>
      </c>
      <c r="B186" s="56" t="str">
        <f>IFERROR(__xludf.DUMMYFUNCTION("IF('AYIRA MINI MART FINAL MENU - Pr'!B186="""", """", IF(LEN(IFERROR(TRIM(REGEXREPLACE(TRIM(REGEXEXTRACT('AYIRA MINI MART FINAL MENU - Pr'!B186, ""^[^\x{0600}-\x{06FF}]+"")), ""[-–]+$"", """")), """"))&gt;0, IFERROR(TRIM(REGEXREPLACE(TRIM(REGEXEXTRACT('AYIRA"&amp;" MINI MART FINAL MENU - Pr'!B186, ""^[^\x{0600}-\x{06FF}]+"")), ""[-–]+$"", """")), """"), GOOGLETRANSLATE('AYIRA MINI MART FINAL MENU - Pr'!B186, ""ar"", ""en"")))"),"Carbonated Soft Drinks")</f>
        <v>Carbonated Soft Drinks</v>
      </c>
      <c r="C186" s="58">
        <f>IF('AYIRA MINI MART FINAL MENU - Pr'!C186="", "", 'AYIRA MINI MART FINAL MENU - Pr'!C186)</f>
        <v>2</v>
      </c>
      <c r="D186" s="56" t="str">
        <f>IFERROR(__xludf.DUMMYFUNCTION("IF('AYIRA MINI MART FINAL MENU - Pr'!D186="""", """", GOOGLETRANSLATE('AYIRA MINI MART FINAL MENU - Pr'!D186, ""ar"", ""en""))"),"Enjoy Nada, the refreshing soft drink that gives you energy and vitality with every drop. Its delicious taste and unique formula make it the perfect choice to quench your thirst anytime. Ideal for parties, family gatherings, and various occasions. It boas"&amp;"ts distinctive flavors that make every sip an unforgettable experience. Get it now from Aira Mini Mart at the best prices and highest quality. Our special drink provides instant refreshment and satisfies your discerning palate whenever you need hydration.")</f>
        <v>Enjoy Nada,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special drink provides instant refreshment and satisfies your discerning palate whenever you need hydration.</v>
      </c>
      <c r="E186" s="56" t="str">
        <f>IF('AYIRA MINI MART FINAL MENU - Pr'!K186="", "", 'AYIRA MINI MART FINAL MENU - Pr'!K186)</f>
        <v/>
      </c>
      <c r="F186" s="56"/>
      <c r="G186" s="56"/>
      <c r="H186" s="56"/>
      <c r="I186" s="56"/>
      <c r="J186" s="56"/>
      <c r="L186" s="56" t="str">
        <f>IF('AYIRA MINI MART FINAL MENU - Pr'!L186="", "", 'AYIRA MINI MART FINAL MENU - Pr'!L186)</f>
        <v/>
      </c>
      <c r="M186" s="56" t="str">
        <f>IF('AYIRA MINI MART FINAL MENU - Pr'!M186="", "", 'AYIRA MINI MART FINAL MENU - Pr'!M186)</f>
        <v/>
      </c>
      <c r="N186" s="56" t="str">
        <f>IF('AYIRA MINI MART FINAL MENU - Pr'!N186="", "", 'AYIRA MINI MART FINAL MENU - Pr'!N186)</f>
        <v/>
      </c>
      <c r="O186" s="57"/>
      <c r="P186" s="57"/>
      <c r="Q186" s="57"/>
      <c r="R186" s="57"/>
      <c r="S186" s="57"/>
      <c r="T186" s="57"/>
      <c r="U186" s="57"/>
      <c r="V186" s="57"/>
      <c r="W186" s="57"/>
      <c r="X186" s="57"/>
      <c r="Y186" s="57"/>
      <c r="Z186" s="57"/>
    </row>
    <row r="187">
      <c r="A187" s="56" t="str">
        <f>IFERROR(__xludf.DUMMYFUNCTION("IF('AYIRA MINI MART FINAL MENU - Pr'!A187="""", """", IF(LEN(IFERROR(TRIM(REGEXREPLACE(TRIM(REGEXEXTRACT('AYIRA MINI MART FINAL MENU - Pr'!A187, ""^[^\x{0600}-\x{06FF}]+"")), ""[-–]+$"", """")), """"))&gt;0, IFERROR(TRIM(REGEXREPLACE(TRIM(REGEXEXTRACT('AYIRA"&amp;" MINI MART FINAL MENU - Pr'!A187, ""^[^\x{0600}-\x{06FF}]+"")), ""[-–]+$"", """")), """"), GOOGLETRANSLATE('AYIRA MINI MART FINAL MENU - Pr'!A187, ""ar"", ""en"")))"),"Mirinda Orange 1.25L")</f>
        <v>Mirinda Orange 1.25L</v>
      </c>
      <c r="B187" s="56" t="str">
        <f>IFERROR(__xludf.DUMMYFUNCTION("IF('AYIRA MINI MART FINAL MENU - Pr'!B187="""", """", IF(LEN(IFERROR(TRIM(REGEXREPLACE(TRIM(REGEXEXTRACT('AYIRA MINI MART FINAL MENU - Pr'!B187, ""^[^\x{0600}-\x{06FF}]+"")), ""[-–]+$"", """")), """"))&gt;0, IFERROR(TRIM(REGEXREPLACE(TRIM(REGEXEXTRACT('AYIRA"&amp;" MINI MART FINAL MENU - Pr'!B187, ""^[^\x{0600}-\x{06FF}]+"")), ""[-–]+$"", """")), """"), GOOGLETRANSLATE('AYIRA MINI MART FINAL MENU - Pr'!B187, ""ar"", ""en"")))"),"Carbonated Soft Drinks")</f>
        <v>Carbonated Soft Drinks</v>
      </c>
      <c r="C187" s="58">
        <f>IF('AYIRA MINI MART FINAL MENU - Pr'!C187="", "", 'AYIRA MINI MART FINAL MENU - Pr'!C187)</f>
        <v>4.5</v>
      </c>
      <c r="D187" s="56" t="str">
        <f>IFERROR(__xludf.DUMMYFUNCTION("IF('AYIRA MINI MART FINAL MENU - Pr'!D187="""", """", GOOGLETRANSLATE('AYIRA MINI MART FINAL MENU - Pr'!D187, ""ar"", ""en""))"),"Enjoy Miranda, the refreshing soft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Miranda,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87" s="56" t="str">
        <f>IF('AYIRA MINI MART FINAL MENU - Pr'!K187="", "", 'AYIRA MINI MART FINAL MENU - Pr'!K187)</f>
        <v/>
      </c>
      <c r="F187" s="56"/>
      <c r="G187" s="56"/>
      <c r="H187" s="56"/>
      <c r="I187" s="56"/>
      <c r="J187" s="56"/>
      <c r="L187" s="56" t="str">
        <f>IF('AYIRA MINI MART FINAL MENU - Pr'!L187="", "", 'AYIRA MINI MART FINAL MENU - Pr'!L187)</f>
        <v/>
      </c>
      <c r="M187" s="56" t="str">
        <f>IF('AYIRA MINI MART FINAL MENU - Pr'!M187="", "", 'AYIRA MINI MART FINAL MENU - Pr'!M187)</f>
        <v/>
      </c>
      <c r="N187" s="56" t="str">
        <f>IF('AYIRA MINI MART FINAL MENU - Pr'!N187="", "", 'AYIRA MINI MART FINAL MENU - Pr'!N187)</f>
        <v/>
      </c>
      <c r="O187" s="57"/>
      <c r="P187" s="57"/>
      <c r="Q187" s="57"/>
      <c r="R187" s="57"/>
      <c r="S187" s="57"/>
      <c r="T187" s="57"/>
      <c r="U187" s="57"/>
      <c r="V187" s="57"/>
      <c r="W187" s="57"/>
      <c r="X187" s="57"/>
      <c r="Y187" s="57"/>
      <c r="Z187" s="57"/>
    </row>
    <row r="188">
      <c r="A188" s="56" t="str">
        <f>IFERROR(__xludf.DUMMYFUNCTION("IF('AYIRA MINI MART FINAL MENU - Pr'!A188="""", """", IF(LEN(IFERROR(TRIM(REGEXREPLACE(TRIM(REGEXEXTRACT('AYIRA MINI MART FINAL MENU - Pr'!A188, ""^[^\x{0600}-\x{06FF}]+"")), ""[-–]+$"", """")), """"))&gt;0, IFERROR(TRIM(REGEXREPLACE(TRIM(REGEXEXTRACT('AYIRA"&amp;" MINI MART FINAL MENU - Pr'!A188, ""^[^\x{0600}-\x{06FF}]+"")), ""[-–]+$"", """")), """"), GOOGLETRANSLATE('AYIRA MINI MART FINAL MENU - Pr'!A188, ""ar"", ""en"")))"),"7UP Lemon &amp; Lime Taste 1.25L")</f>
        <v>7UP Lemon &amp; Lime Taste 1.25L</v>
      </c>
      <c r="B188" s="56" t="str">
        <f>IFERROR(__xludf.DUMMYFUNCTION("IF('AYIRA MINI MART FINAL MENU - Pr'!B188="""", """", IF(LEN(IFERROR(TRIM(REGEXREPLACE(TRIM(REGEXEXTRACT('AYIRA MINI MART FINAL MENU - Pr'!B188, ""^[^\x{0600}-\x{06FF}]+"")), ""[-–]+$"", """")), """"))&gt;0, IFERROR(TRIM(REGEXREPLACE(TRIM(REGEXEXTRACT('AYIRA"&amp;" MINI MART FINAL MENU - Pr'!B188, ""^[^\x{0600}-\x{06FF}]+"")), ""[-–]+$"", """")), """"), GOOGLETRANSLATE('AYIRA MINI MART FINAL MENU - Pr'!B188, ""ar"", ""en"")))"),"Carbonated Soft Drinks")</f>
        <v>Carbonated Soft Drinks</v>
      </c>
      <c r="C188" s="58">
        <f>IF('AYIRA MINI MART FINAL MENU - Pr'!C188="", "", 'AYIRA MINI MART FINAL MENU - Pr'!C188)</f>
        <v>4.5</v>
      </c>
      <c r="D188" s="56" t="str">
        <f>IFERROR(__xludf.DUMMYFUNCTION("IF('AYIRA MINI MART FINAL MENU - Pr'!D188="""", """", GOOGLETRANSLATE('AYIRA MINI MART FINAL MENU - Pr'!D188, ""ar"", ""en""))"),"Enjoy 7UP,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7UP,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88" s="56" t="str">
        <f>IF('AYIRA MINI MART FINAL MENU - Pr'!K188="", "", 'AYIRA MINI MART FINAL MENU - Pr'!K188)</f>
        <v/>
      </c>
      <c r="F188" s="56"/>
      <c r="G188" s="56"/>
      <c r="H188" s="56"/>
      <c r="I188" s="56"/>
      <c r="J188" s="56"/>
      <c r="L188" s="56" t="str">
        <f>IF('AYIRA MINI MART FINAL MENU - Pr'!L188="", "", 'AYIRA MINI MART FINAL MENU - Pr'!L188)</f>
        <v/>
      </c>
      <c r="M188" s="56" t="str">
        <f>IF('AYIRA MINI MART FINAL MENU - Pr'!M188="", "", 'AYIRA MINI MART FINAL MENU - Pr'!M188)</f>
        <v/>
      </c>
      <c r="N188" s="56" t="str">
        <f>IF('AYIRA MINI MART FINAL MENU - Pr'!N188="", "", 'AYIRA MINI MART FINAL MENU - Pr'!N188)</f>
        <v/>
      </c>
      <c r="O188" s="57"/>
      <c r="P188" s="57"/>
      <c r="Q188" s="57"/>
      <c r="R188" s="57"/>
      <c r="S188" s="57"/>
      <c r="T188" s="57"/>
      <c r="U188" s="57"/>
      <c r="V188" s="57"/>
      <c r="W188" s="57"/>
      <c r="X188" s="57"/>
      <c r="Y188" s="57"/>
      <c r="Z188" s="57"/>
    </row>
    <row r="189">
      <c r="A189" s="56" t="str">
        <f>IFERROR(__xludf.DUMMYFUNCTION("IF('AYIRA MINI MART FINAL MENU - Pr'!A189="""", """", IF(LEN(IFERROR(TRIM(REGEXREPLACE(TRIM(REGEXEXTRACT('AYIRA MINI MART FINAL MENU - Pr'!A189, ""^[^\x{0600}-\x{06FF}]+"")), ""[-–]+$"", """")), """"))&gt;0, IFERROR(TRIM(REGEXREPLACE(TRIM(REGEXEXTRACT('AYIRA"&amp;" MINI MART FINAL MENU - Pr'!A189, ""^[^\x{0600}-\x{06FF}]+"")), ""[-–]+$"", """")), """"), GOOGLETRANSLATE('AYIRA MINI MART FINAL MENU - Pr'!A189, ""ar"", ""en"")))"),"Coca-Cola Zero Calories 1.25L")</f>
        <v>Coca-Cola Zero Calories 1.25L</v>
      </c>
      <c r="B189" s="56" t="str">
        <f>IFERROR(__xludf.DUMMYFUNCTION("IF('AYIRA MINI MART FINAL MENU - Pr'!B189="""", """", IF(LEN(IFERROR(TRIM(REGEXREPLACE(TRIM(REGEXEXTRACT('AYIRA MINI MART FINAL MENU - Pr'!B189, ""^[^\x{0600}-\x{06FF}]+"")), ""[-–]+$"", """")), """"))&gt;0, IFERROR(TRIM(REGEXREPLACE(TRIM(REGEXEXTRACT('AYIRA"&amp;" MINI MART FINAL MENU - Pr'!B189, ""^[^\x{0600}-\x{06FF}]+"")), ""[-–]+$"", """")), """"), GOOGLETRANSLATE('AYIRA MINI MART FINAL MENU - Pr'!B189, ""ar"", ""en"")))"),"Carbonated Soft Drinks")</f>
        <v>Carbonated Soft Drinks</v>
      </c>
      <c r="C189" s="58">
        <f>IF('AYIRA MINI MART FINAL MENU - Pr'!C189="", "", 'AYIRA MINI MART FINAL MENU - Pr'!C189)</f>
        <v>4.5</v>
      </c>
      <c r="D189" s="56" t="str">
        <f>IFERROR(__xludf.DUMMYFUNCTION("IF('AYIRA MINI MART FINAL MENU - Pr'!D189="""", """", GOOGLETRANSLATE('AYIRA MINI MART FINAL MENU - Pr'!D189, ""ar"", ""en""))"),"Enjoy Coca-Cola, the refreshing soft drink that gives you energy and vitality with every sip. Its great taste and unique formula make it the perfect choice to quench your thirst anytime. Ideal for parties, family gatherings, and various occasions. It cont"&amp;"ains distinctive flavors that make every sip an unforgettable experience. Get it now from Aira Mini Mart at the best prices and highest quality. Our premium drink provides instant refreshment and satisfies your discerning palate whenever you need hydratio"&amp;"n.")</f>
        <v>Enjoy Coca-Cola, the refreshing soft drink that gives you energy and vitality with every sip.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instant refreshment and satisfies your discerning palate whenever you need hydration.</v>
      </c>
      <c r="E189" s="56" t="str">
        <f>IF('AYIRA MINI MART FINAL MENU - Pr'!K189="", "", 'AYIRA MINI MART FINAL MENU - Pr'!K189)</f>
        <v/>
      </c>
      <c r="F189" s="56"/>
      <c r="G189" s="56"/>
      <c r="H189" s="56"/>
      <c r="I189" s="56"/>
      <c r="J189" s="56"/>
      <c r="L189" s="56" t="str">
        <f>IF('AYIRA MINI MART FINAL MENU - Pr'!L189="", "", 'AYIRA MINI MART FINAL MENU - Pr'!L189)</f>
        <v/>
      </c>
      <c r="M189" s="56" t="str">
        <f>IF('AYIRA MINI MART FINAL MENU - Pr'!M189="", "", 'AYIRA MINI MART FINAL MENU - Pr'!M189)</f>
        <v/>
      </c>
      <c r="N189" s="56" t="str">
        <f>IF('AYIRA MINI MART FINAL MENU - Pr'!N189="", "", 'AYIRA MINI MART FINAL MENU - Pr'!N189)</f>
        <v/>
      </c>
      <c r="O189" s="57"/>
      <c r="P189" s="57"/>
      <c r="Q189" s="57"/>
      <c r="R189" s="57"/>
      <c r="S189" s="57"/>
      <c r="T189" s="57"/>
      <c r="U189" s="57"/>
      <c r="V189" s="57"/>
      <c r="W189" s="57"/>
      <c r="X189" s="57"/>
      <c r="Y189" s="57"/>
      <c r="Z189" s="57"/>
    </row>
    <row r="190">
      <c r="A190" s="56" t="str">
        <f>IFERROR(__xludf.DUMMYFUNCTION("IF('AYIRA MINI MART FINAL MENU - Pr'!A190="""", """", IF(LEN(IFERROR(TRIM(REGEXREPLACE(TRIM(REGEXEXTRACT('AYIRA MINI MART FINAL MENU - Pr'!A190, ""^[^\x{0600}-\x{06FF}]+"")), ""[-–]+$"", """")), """"))&gt;0, IFERROR(TRIM(REGEXREPLACE(TRIM(REGEXEXTRACT('AYIRA"&amp;" MINI MART FINAL MENU - Pr'!A190, ""^[^\x{0600}-\x{06FF}]+"")), ""[-–]+$"", """")), """"), GOOGLETRANSLATE('AYIRA MINI MART FINAL MENU - Pr'!A190, ""ar"", ""en"")))"),"Pepsi 2.25L")</f>
        <v>Pepsi 2.25L</v>
      </c>
      <c r="B190" s="56" t="str">
        <f>IFERROR(__xludf.DUMMYFUNCTION("IF('AYIRA MINI MART FINAL MENU - Pr'!B190="""", """", IF(LEN(IFERROR(TRIM(REGEXREPLACE(TRIM(REGEXEXTRACT('AYIRA MINI MART FINAL MENU - Pr'!B190, ""^[^\x{0600}-\x{06FF}]+"")), ""[-–]+$"", """")), """"))&gt;0, IFERROR(TRIM(REGEXREPLACE(TRIM(REGEXEXTRACT('AYIRA"&amp;" MINI MART FINAL MENU - Pr'!B190, ""^[^\x{0600}-\x{06FF}]+"")), ""[-–]+$"", """")), """"), GOOGLETRANSLATE('AYIRA MINI MART FINAL MENU - Pr'!B190, ""ar"", ""en"")))"),"Carbonated Soft Drinks")</f>
        <v>Carbonated Soft Drinks</v>
      </c>
      <c r="C190" s="58">
        <f>IF('AYIRA MINI MART FINAL MENU - Pr'!C190="", "", 'AYIRA MINI MART FINAL MENU - Pr'!C190)</f>
        <v>7.5</v>
      </c>
      <c r="D190" s="56" t="str">
        <f>IFERROR(__xludf.DUMMYFUNCTION("IF('AYIRA MINI MART FINAL MENU - Pr'!D190="""", """", GOOGLETRANSLATE('AYIRA MINI MART FINAL MENU - Pr'!D190, ""ar"", ""en""))"),"Enjoy Pepsi, the refreshing soft drink that gives you energy and vitality with every drop. Its great taste and unique formula make it the perfect choice to quench your thirst anytime. Ideal for parties, family gatherings, and various occasions. It contain"&amp;"s distinctive flavors that make every sip an unforgettable experience. Get it now from Aira Mini Mart at the best prices and highest quality. Our premium drink provides you with instant refreshment and satisfies your discerning taste whenever you need hyd"&amp;"ration.")</f>
        <v>Enjoy Pepsi, the refreshing soft drink that gives you energy and vitality with every drop. Its great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premium drink provides you with instant refreshment and satisfies your discerning taste whenever you need hydration.</v>
      </c>
      <c r="E190" s="56" t="str">
        <f>IF('AYIRA MINI MART FINAL MENU - Pr'!K190="", "", 'AYIRA MINI MART FINAL MENU - Pr'!K190)</f>
        <v/>
      </c>
      <c r="F190" s="56"/>
      <c r="G190" s="56"/>
      <c r="H190" s="56"/>
      <c r="I190" s="56"/>
      <c r="J190" s="56"/>
      <c r="L190" s="56" t="str">
        <f>IF('AYIRA MINI MART FINAL MENU - Pr'!L190="", "", 'AYIRA MINI MART FINAL MENU - Pr'!L190)</f>
        <v/>
      </c>
      <c r="M190" s="56" t="str">
        <f>IF('AYIRA MINI MART FINAL MENU - Pr'!M190="", "", 'AYIRA MINI MART FINAL MENU - Pr'!M190)</f>
        <v/>
      </c>
      <c r="N190" s="56" t="str">
        <f>IF('AYIRA MINI MART FINAL MENU - Pr'!N190="", "", 'AYIRA MINI MART FINAL MENU - Pr'!N190)</f>
        <v/>
      </c>
      <c r="O190" s="57"/>
      <c r="P190" s="57"/>
      <c r="Q190" s="57"/>
      <c r="R190" s="57"/>
      <c r="S190" s="57"/>
      <c r="T190" s="57"/>
      <c r="U190" s="57"/>
      <c r="V190" s="57"/>
      <c r="W190" s="57"/>
      <c r="X190" s="57"/>
      <c r="Y190" s="57"/>
      <c r="Z190" s="57"/>
    </row>
    <row r="191">
      <c r="A191" s="56" t="str">
        <f>IFERROR(__xludf.DUMMYFUNCTION("IF('AYIRA MINI MART FINAL MENU - Pr'!A191="""", """", IF(LEN(IFERROR(TRIM(REGEXREPLACE(TRIM(REGEXEXTRACT('AYIRA MINI MART FINAL MENU - Pr'!A191, ""^[^\x{0600}-\x{06FF}]+"")), ""[-–]+$"", """")), """"))&gt;0, IFERROR(TRIM(REGEXREPLACE(TRIM(REGEXEXTRACT('AYIRA"&amp;" MINI MART FINAL MENU - Pr'!A191, ""^[^\x{0600}-\x{06FF}]+"")), ""[-–]+$"", """")), """"), GOOGLETRANSLATE('AYIRA MINI MART FINAL MENU - Pr'!A191, ""ar"", ""en"")))"),"7UP Lemon &amp; Lime Bubbly 2.25L")</f>
        <v>7UP Lemon &amp; Lime Bubbly 2.25L</v>
      </c>
      <c r="B191" s="56" t="str">
        <f>IFERROR(__xludf.DUMMYFUNCTION("IF('AYIRA MINI MART FINAL MENU - Pr'!B191="""", """", IF(LEN(IFERROR(TRIM(REGEXREPLACE(TRIM(REGEXEXTRACT('AYIRA MINI MART FINAL MENU - Pr'!B191, ""^[^\x{0600}-\x{06FF}]+"")), ""[-–]+$"", """")), """"))&gt;0, IFERROR(TRIM(REGEXREPLACE(TRIM(REGEXEXTRACT('AYIRA"&amp;" MINI MART FINAL MENU - Pr'!B191, ""^[^\x{0600}-\x{06FF}]+"")), ""[-–]+$"", """")), """"), GOOGLETRANSLATE('AYIRA MINI MART FINAL MENU - Pr'!B191, ""ar"", ""en"")))"),"Carbonated Soft Drinks")</f>
        <v>Carbonated Soft Drinks</v>
      </c>
      <c r="C191" s="58">
        <f>IF('AYIRA MINI MART FINAL MENU - Pr'!C191="", "", 'AYIRA MINI MART FINAL MENU - Pr'!C191)</f>
        <v>7.5</v>
      </c>
      <c r="D191" s="56" t="str">
        <f>IFERROR(__xludf.DUMMYFUNCTION("IF('AYIRA MINI MART FINAL MENU - Pr'!D191="""", """", GOOGLETRANSLATE('AYIRA MINI MART FINAL MENU - Pr'!D191, ""ar"", ""en""))"),"Enjoy 7UP,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7UP,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91" s="56" t="str">
        <f>IF('AYIRA MINI MART FINAL MENU - Pr'!K191="", "", 'AYIRA MINI MART FINAL MENU - Pr'!K191)</f>
        <v/>
      </c>
      <c r="F191" s="56"/>
      <c r="G191" s="56"/>
      <c r="H191" s="56"/>
      <c r="I191" s="56"/>
      <c r="J191" s="56"/>
      <c r="L191" s="56" t="str">
        <f>IF('AYIRA MINI MART FINAL MENU - Pr'!L191="", "", 'AYIRA MINI MART FINAL MENU - Pr'!L191)</f>
        <v/>
      </c>
      <c r="M191" s="56" t="str">
        <f>IF('AYIRA MINI MART FINAL MENU - Pr'!M191="", "", 'AYIRA MINI MART FINAL MENU - Pr'!M191)</f>
        <v/>
      </c>
      <c r="N191" s="56" t="str">
        <f>IF('AYIRA MINI MART FINAL MENU - Pr'!N191="", "", 'AYIRA MINI MART FINAL MENU - Pr'!N191)</f>
        <v/>
      </c>
      <c r="O191" s="57"/>
      <c r="P191" s="57"/>
      <c r="Q191" s="57"/>
      <c r="R191" s="57"/>
      <c r="S191" s="57"/>
      <c r="T191" s="57"/>
      <c r="U191" s="57"/>
      <c r="V191" s="57"/>
      <c r="W191" s="57"/>
      <c r="X191" s="57"/>
      <c r="Y191" s="57"/>
      <c r="Z191" s="57"/>
    </row>
    <row r="192">
      <c r="A192" s="56" t="str">
        <f>IFERROR(__xludf.DUMMYFUNCTION("IF('AYIRA MINI MART FINAL MENU - Pr'!A192="""", """", IF(LEN(IFERROR(TRIM(REGEXREPLACE(TRIM(REGEXEXTRACT('AYIRA MINI MART FINAL MENU - Pr'!A192, ""^[^\x{0600}-\x{06FF}]+"")), ""[-–]+$"", """")), """"))&gt;0, IFERROR(TRIM(REGEXREPLACE(TRIM(REGEXEXTRACT('AYIRA"&amp;" MINI MART FINAL MENU - Pr'!A192, ""^[^\x{0600}-\x{06FF}]+"")), ""[-–]+$"", """")), """"), GOOGLETRANSLATE('AYIRA MINI MART FINAL MENU - Pr'!A192, ""ar"", ""en"")))"),"Mirinda Orange 2.25L")</f>
        <v>Mirinda Orange 2.25L</v>
      </c>
      <c r="B192" s="56" t="str">
        <f>IFERROR(__xludf.DUMMYFUNCTION("IF('AYIRA MINI MART FINAL MENU - Pr'!B192="""", """", IF(LEN(IFERROR(TRIM(REGEXREPLACE(TRIM(REGEXEXTRACT('AYIRA MINI MART FINAL MENU - Pr'!B192, ""^[^\x{0600}-\x{06FF}]+"")), ""[-–]+$"", """")), """"))&gt;0, IFERROR(TRIM(REGEXREPLACE(TRIM(REGEXEXTRACT('AYIRA"&amp;" MINI MART FINAL MENU - Pr'!B192, ""^[^\x{0600}-\x{06FF}]+"")), ""[-–]+$"", """")), """"), GOOGLETRANSLATE('AYIRA MINI MART FINAL MENU - Pr'!B192, ""ar"", ""en"")))"),"Carbonated Soft Drinks")</f>
        <v>Carbonated Soft Drinks</v>
      </c>
      <c r="C192" s="58">
        <f>IF('AYIRA MINI MART FINAL MENU - Pr'!C192="", "", 'AYIRA MINI MART FINAL MENU - Pr'!C192)</f>
        <v>7.5</v>
      </c>
      <c r="D192" s="56" t="str">
        <f>IFERROR(__xludf.DUMMYFUNCTION("IF('AYIRA MINI MART FINAL MENU - Pr'!D192="""", """", GOOGLETRANSLATE('AYIRA MINI MART FINAL MENU - Pr'!D192, ""ar"", ""en""))"),"Enjoy Miranda, the refreshing soft drink that gives you energy and vitality with every drop. Its great taste and unique formula make it the perfect choice to quench your thirst anytime. Ideal for parties, family gatherings, and various occasions. It boast"&amp;"s distinctive flavors that make every sip an unforgettable experience. Get it now from Aira Mini Mart at the best prices and highest quality. Our premium drink provides instant refreshment and satisfies your discerning palate whenever you need hydration.")</f>
        <v>Enjoy Miranda,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92" s="56" t="str">
        <f>IF('AYIRA MINI MART FINAL MENU - Pr'!K192="", "", 'AYIRA MINI MART FINAL MENU - Pr'!K192)</f>
        <v/>
      </c>
      <c r="F192" s="56"/>
      <c r="G192" s="56"/>
      <c r="H192" s="56"/>
      <c r="I192" s="56"/>
      <c r="J192" s="56"/>
      <c r="L192" s="56" t="str">
        <f>IF('AYIRA MINI MART FINAL MENU - Pr'!L192="", "", 'AYIRA MINI MART FINAL MENU - Pr'!L192)</f>
        <v/>
      </c>
      <c r="M192" s="56" t="str">
        <f>IF('AYIRA MINI MART FINAL MENU - Pr'!M192="", "", 'AYIRA MINI MART FINAL MENU - Pr'!M192)</f>
        <v/>
      </c>
      <c r="N192" s="56" t="str">
        <f>IF('AYIRA MINI MART FINAL MENU - Pr'!N192="", "", 'AYIRA MINI MART FINAL MENU - Pr'!N192)</f>
        <v/>
      </c>
      <c r="O192" s="57"/>
      <c r="P192" s="57"/>
      <c r="Q192" s="57"/>
      <c r="R192" s="57"/>
      <c r="S192" s="57"/>
      <c r="T192" s="57"/>
      <c r="U192" s="57"/>
      <c r="V192" s="57"/>
      <c r="W192" s="57"/>
      <c r="X192" s="57"/>
      <c r="Y192" s="57"/>
      <c r="Z192" s="57"/>
    </row>
    <row r="193">
      <c r="A193" s="56" t="str">
        <f>IFERROR(__xludf.DUMMYFUNCTION("IF('AYIRA MINI MART FINAL MENU - Pr'!A193="""", """", IF(LEN(IFERROR(TRIM(REGEXREPLACE(TRIM(REGEXEXTRACT('AYIRA MINI MART FINAL MENU - Pr'!A193, ""^[^\x{0600}-\x{06FF}]+"")), ""[-–]+$"", """")), """"))&gt;0, IFERROR(TRIM(REGEXREPLACE(TRIM(REGEXEXTRACT('AYIRA"&amp;" MINI MART FINAL MENU - Pr'!A193, ""^[^\x{0600}-\x{06FF}]+"")), ""[-–]+$"", """")), """"), GOOGLETRANSLATE('AYIRA MINI MART FINAL MENU - Pr'!A193, ""ar"", ""en"")))"),"Mountain Dew 2.25L")</f>
        <v>Mountain Dew 2.25L</v>
      </c>
      <c r="B193" s="56" t="str">
        <f>IFERROR(__xludf.DUMMYFUNCTION("IF('AYIRA MINI MART FINAL MENU - Pr'!B193="""", """", IF(LEN(IFERROR(TRIM(REGEXREPLACE(TRIM(REGEXEXTRACT('AYIRA MINI MART FINAL MENU - Pr'!B193, ""^[^\x{0600}-\x{06FF}]+"")), ""[-–]+$"", """")), """"))&gt;0, IFERROR(TRIM(REGEXREPLACE(TRIM(REGEXEXTRACT('AYIRA"&amp;" MINI MART FINAL MENU - Pr'!B193, ""^[^\x{0600}-\x{06FF}]+"")), ""[-–]+$"", """")), """"), GOOGLETRANSLATE('AYIRA MINI MART FINAL MENU - Pr'!B193, ""ar"", ""en"")))"),"Carbonated Soft Drinks")</f>
        <v>Carbonated Soft Drinks</v>
      </c>
      <c r="C193" s="58">
        <f>IF('AYIRA MINI MART FINAL MENU - Pr'!C193="", "", 'AYIRA MINI MART FINAL MENU - Pr'!C193)</f>
        <v>7.5</v>
      </c>
      <c r="D193" s="56" t="str">
        <f>IFERROR(__xludf.DUMMYFUNCTION("IF('AYIRA MINI MART FINAL MENU - Pr'!D193="""", """", GOOGLETRANSLATE('AYIRA MINI MART FINAL MENU - Pr'!D193, ""ar"", ""en""))"),"Enjoy Mountain Dew, the refreshing soft drink that gives you energy and vitality with every sip. Its great taste and unique formula make it the perfect choice to quench your thirst anytime. Ideal for parties, family gatherings, and various occasions. It b"&amp;"oasts distinctive flavors that make every sip an unforgettable experience. Get it now from Aira Mini Mart at the best prices and highest quality. Our premium drink provides instant refreshment and satisfies your discerning palate whenever you need hydrati"&amp;"on.")</f>
        <v>Enjoy Mountain Dew, the refreshing soft drink that gives you energy and vitality with every sip.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93" s="56" t="str">
        <f>IF('AYIRA MINI MART FINAL MENU - Pr'!K193="", "", 'AYIRA MINI MART FINAL MENU - Pr'!K193)</f>
        <v/>
      </c>
      <c r="F193" s="56"/>
      <c r="G193" s="56"/>
      <c r="H193" s="56"/>
      <c r="I193" s="56"/>
      <c r="J193" s="56"/>
      <c r="L193" s="56" t="str">
        <f>IF('AYIRA MINI MART FINAL MENU - Pr'!L193="", "", 'AYIRA MINI MART FINAL MENU - Pr'!L193)</f>
        <v/>
      </c>
      <c r="M193" s="56" t="str">
        <f>IF('AYIRA MINI MART FINAL MENU - Pr'!M193="", "", 'AYIRA MINI MART FINAL MENU - Pr'!M193)</f>
        <v/>
      </c>
      <c r="N193" s="56" t="str">
        <f>IF('AYIRA MINI MART FINAL MENU - Pr'!N193="", "", 'AYIRA MINI MART FINAL MENU - Pr'!N193)</f>
        <v/>
      </c>
      <c r="O193" s="57"/>
      <c r="P193" s="57"/>
      <c r="Q193" s="57"/>
      <c r="R193" s="57"/>
      <c r="S193" s="57"/>
      <c r="T193" s="57"/>
      <c r="U193" s="57"/>
      <c r="V193" s="57"/>
      <c r="W193" s="57"/>
      <c r="X193" s="57"/>
      <c r="Y193" s="57"/>
      <c r="Z193" s="57"/>
    </row>
    <row r="194">
      <c r="A194" s="56" t="str">
        <f>IFERROR(__xludf.DUMMYFUNCTION("IF('AYIRA MINI MART FINAL MENU - Pr'!A194="""", """", IF(LEN(IFERROR(TRIM(REGEXREPLACE(TRIM(REGEXEXTRACT('AYIRA MINI MART FINAL MENU - Pr'!A194, ""^[^\x{0600}-\x{06FF}]+"")), ""[-–]+$"", """")), """"))&gt;0, IFERROR(TRIM(REGEXREPLACE(TRIM(REGEXEXTRACT('AYIRA"&amp;" MINI MART FINAL MENU - Pr'!A194, ""^[^\x{0600}-\x{06FF}]+"")), ""[-–]+$"", """")), """"), GOOGLETRANSLATE('AYIRA MINI MART FINAL MENU - Pr'!A194, ""ar"", ""en"")))"),"Red Bull The Blue Edition (Blueberry) 250ml")</f>
        <v>Red Bull The Blue Edition (Blueberry) 250ml</v>
      </c>
      <c r="B194" s="56" t="str">
        <f>IFERROR(__xludf.DUMMYFUNCTION("IF('AYIRA MINI MART FINAL MENU - Pr'!B194="""", """", IF(LEN(IFERROR(TRIM(REGEXREPLACE(TRIM(REGEXEXTRACT('AYIRA MINI MART FINAL MENU - Pr'!B194, ""^[^\x{0600}-\x{06FF}]+"")), ""[-–]+$"", """")), """"))&gt;0, IFERROR(TRIM(REGEXREPLACE(TRIM(REGEXEXTRACT('AYIRA"&amp;" MINI MART FINAL MENU - Pr'!B194, ""^[^\x{0600}-\x{06FF}]+"")), ""[-–]+$"", """")), """"), GOOGLETRANSLATE('AYIRA MINI MART FINAL MENU - Pr'!B194, ""ar"", ""en"")))"),"ENErgy &amp; Sports Drinks")</f>
        <v>ENErgy &amp; Sports Drinks</v>
      </c>
      <c r="C194" s="58">
        <f>IF('AYIRA MINI MART FINAL MENU - Pr'!C194="", "", 'AYIRA MINI MART FINAL MENU - Pr'!C194)</f>
        <v>10</v>
      </c>
      <c r="D194" s="56" t="str">
        <f>IFERROR(__xludf.DUMMYFUNCTION("IF('AYIRA MINI MART FINAL MENU - Pr'!D194="""", """", GOOGLETRANSLATE('AYIRA MINI MART FINAL MENU - Pr'!D194,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94" s="56" t="str">
        <f>IF('AYIRA MINI MART FINAL MENU - Pr'!K194="", "", 'AYIRA MINI MART FINAL MENU - Pr'!K194)</f>
        <v/>
      </c>
      <c r="F194" s="56"/>
      <c r="G194" s="56"/>
      <c r="H194" s="56"/>
      <c r="I194" s="56"/>
      <c r="J194" s="56"/>
      <c r="L194" s="56" t="str">
        <f>IF('AYIRA MINI MART FINAL MENU - Pr'!L194="", "", 'AYIRA MINI MART FINAL MENU - Pr'!L194)</f>
        <v/>
      </c>
      <c r="M194" s="56" t="str">
        <f>IF('AYIRA MINI MART FINAL MENU - Pr'!M194="", "", 'AYIRA MINI MART FINAL MENU - Pr'!M194)</f>
        <v/>
      </c>
      <c r="N194" s="56" t="str">
        <f>IF('AYIRA MINI MART FINAL MENU - Pr'!N194="", "", 'AYIRA MINI MART FINAL MENU - Pr'!N194)</f>
        <v/>
      </c>
      <c r="O194" s="57"/>
      <c r="P194" s="57"/>
      <c r="Q194" s="57"/>
      <c r="R194" s="57"/>
      <c r="S194" s="57"/>
      <c r="T194" s="57"/>
      <c r="U194" s="57"/>
      <c r="V194" s="57"/>
      <c r="W194" s="57"/>
      <c r="X194" s="57"/>
      <c r="Y194" s="57"/>
      <c r="Z194" s="57"/>
    </row>
    <row r="195">
      <c r="A195" s="56" t="str">
        <f>IFERROR(__xludf.DUMMYFUNCTION("IF('AYIRA MINI MART FINAL MENU - Pr'!A195="""", """", IF(LEN(IFERROR(TRIM(REGEXREPLACE(TRIM(REGEXEXTRACT('AYIRA MINI MART FINAL MENU - Pr'!A195, ""^[^\x{0600}-\x{06FF}]+"")), ""[-–]+$"", """")), """"))&gt;0, IFERROR(TRIM(REGEXREPLACE(TRIM(REGEXEXTRACT('AYIRA"&amp;" MINI MART FINAL MENU - Pr'!A195, ""^[^\x{0600}-\x{06FF}]+"")), ""[-–]+$"", """")), """"), GOOGLETRANSLATE('AYIRA MINI MART FINAL MENU - Pr'!A195, ""ar"", ""en"")))"),"Red Bull The Red Edition (Watermelon) 250ml")</f>
        <v>Red Bull The Red Edition (Watermelon) 250ml</v>
      </c>
      <c r="B195" s="56" t="str">
        <f>IFERROR(__xludf.DUMMYFUNCTION("IF('AYIRA MINI MART FINAL MENU - Pr'!B195="""", """", IF(LEN(IFERROR(TRIM(REGEXREPLACE(TRIM(REGEXEXTRACT('AYIRA MINI MART FINAL MENU - Pr'!B195, ""^[^\x{0600}-\x{06FF}]+"")), ""[-–]+$"", """")), """"))&gt;0, IFERROR(TRIM(REGEXREPLACE(TRIM(REGEXEXTRACT('AYIRA"&amp;" MINI MART FINAL MENU - Pr'!B195, ""^[^\x{0600}-\x{06FF}]+"")), ""[-–]+$"", """")), """"), GOOGLETRANSLATE('AYIRA MINI MART FINAL MENU - Pr'!B195, ""ar"", ""en"")))"),"ENErgy &amp; Sports Drinks")</f>
        <v>ENErgy &amp; Sports Drinks</v>
      </c>
      <c r="C195" s="58">
        <f>IF('AYIRA MINI MART FINAL MENU - Pr'!C195="", "", 'AYIRA MINI MART FINAL MENU - Pr'!C195)</f>
        <v>10</v>
      </c>
      <c r="D195" s="56" t="str">
        <f>IFERROR(__xludf.DUMMYFUNCTION("IF('AYIRA MINI MART FINAL MENU - Pr'!D195="""", """", GOOGLETRANSLATE('AYIRA MINI MART FINAL MENU - Pr'!D195,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95" s="56" t="str">
        <f>IF('AYIRA MINI MART FINAL MENU - Pr'!K195="", "", 'AYIRA MINI MART FINAL MENU - Pr'!K195)</f>
        <v/>
      </c>
      <c r="F195" s="56"/>
      <c r="G195" s="56"/>
      <c r="H195" s="56"/>
      <c r="I195" s="56"/>
      <c r="J195" s="56"/>
      <c r="L195" s="56" t="str">
        <f>IF('AYIRA MINI MART FINAL MENU - Pr'!L195="", "", 'AYIRA MINI MART FINAL MENU - Pr'!L195)</f>
        <v/>
      </c>
      <c r="M195" s="56" t="str">
        <f>IF('AYIRA MINI MART FINAL MENU - Pr'!M195="", "", 'AYIRA MINI MART FINAL MENU - Pr'!M195)</f>
        <v/>
      </c>
      <c r="N195" s="56" t="str">
        <f>IF('AYIRA MINI MART FINAL MENU - Pr'!N195="", "", 'AYIRA MINI MART FINAL MENU - Pr'!N195)</f>
        <v/>
      </c>
      <c r="O195" s="57"/>
      <c r="P195" s="57"/>
      <c r="Q195" s="57"/>
      <c r="R195" s="57"/>
      <c r="S195" s="57"/>
      <c r="T195" s="57"/>
      <c r="U195" s="57"/>
      <c r="V195" s="57"/>
      <c r="W195" s="57"/>
      <c r="X195" s="57"/>
      <c r="Y195" s="57"/>
      <c r="Z195" s="57"/>
    </row>
    <row r="196">
      <c r="A196" s="56" t="str">
        <f>IFERROR(__xludf.DUMMYFUNCTION("IF('AYIRA MINI MART FINAL MENU - Pr'!A196="""", """", IF(LEN(IFERROR(TRIM(REGEXREPLACE(TRIM(REGEXEXTRACT('AYIRA MINI MART FINAL MENU - Pr'!A196, ""^[^\x{0600}-\x{06FF}]+"")), ""[-–]+$"", """")), """"))&gt;0, IFERROR(TRIM(REGEXREPLACE(TRIM(REGEXEXTRACT('AYIRA"&amp;" MINI MART FINAL MENU - Pr'!A196, ""^[^\x{0600}-\x{06FF}]+"")), ""[-–]+$"", """")), """"), GOOGLETRANSLATE('AYIRA MINI MART FINAL MENU - Pr'!A196, ""ar"", ""en"")))"),"Red Bull The Sea Blue Edition (Cherry &amp; Forest Fruits) 250ml")</f>
        <v>Red Bull The Sea Blue Edition (Cherry &amp; Forest Fruits) 250ml</v>
      </c>
      <c r="B196" s="56" t="str">
        <f>IFERROR(__xludf.DUMMYFUNCTION("IF('AYIRA MINI MART FINAL MENU - Pr'!B196="""", """", IF(LEN(IFERROR(TRIM(REGEXREPLACE(TRIM(REGEXEXTRACT('AYIRA MINI MART FINAL MENU - Pr'!B196, ""^[^\x{0600}-\x{06FF}]+"")), ""[-–]+$"", """")), """"))&gt;0, IFERROR(TRIM(REGEXREPLACE(TRIM(REGEXEXTRACT('AYIRA"&amp;" MINI MART FINAL MENU - Pr'!B196, ""^[^\x{0600}-\x{06FF}]+"")), ""[-–]+$"", """")), """"), GOOGLETRANSLATE('AYIRA MINI MART FINAL MENU - Pr'!B196, ""ar"", ""en"")))"),"ENErgy &amp; Sports Drinks")</f>
        <v>ENErgy &amp; Sports Drinks</v>
      </c>
      <c r="C196" s="58">
        <f>IF('AYIRA MINI MART FINAL MENU - Pr'!C196="", "", 'AYIRA MINI MART FINAL MENU - Pr'!C196)</f>
        <v>10</v>
      </c>
      <c r="D196" s="56" t="str">
        <f>IFERROR(__xludf.DUMMYFUNCTION("IF('AYIRA MINI MART FINAL MENU - Pr'!D196="""", """", GOOGLETRANSLATE('AYIRA MINI MART FINAL MENU - Pr'!D196,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96" s="56" t="str">
        <f>IF('AYIRA MINI MART FINAL MENU - Pr'!K196="", "", 'AYIRA MINI MART FINAL MENU - Pr'!K196)</f>
        <v/>
      </c>
      <c r="F196" s="56"/>
      <c r="G196" s="56"/>
      <c r="H196" s="56"/>
      <c r="I196" s="56"/>
      <c r="J196" s="56"/>
      <c r="L196" s="56" t="str">
        <f>IF('AYIRA MINI MART FINAL MENU - Pr'!L196="", "", 'AYIRA MINI MART FINAL MENU - Pr'!L196)</f>
        <v/>
      </c>
      <c r="M196" s="56" t="str">
        <f>IF('AYIRA MINI MART FINAL MENU - Pr'!M196="", "", 'AYIRA MINI MART FINAL MENU - Pr'!M196)</f>
        <v/>
      </c>
      <c r="N196" s="56" t="str">
        <f>IF('AYIRA MINI MART FINAL MENU - Pr'!N196="", "", 'AYIRA MINI MART FINAL MENU - Pr'!N196)</f>
        <v/>
      </c>
      <c r="O196" s="57"/>
      <c r="P196" s="57"/>
      <c r="Q196" s="57"/>
      <c r="R196" s="57"/>
      <c r="S196" s="57"/>
      <c r="T196" s="57"/>
      <c r="U196" s="57"/>
      <c r="V196" s="57"/>
      <c r="W196" s="57"/>
      <c r="X196" s="57"/>
      <c r="Y196" s="57"/>
      <c r="Z196" s="57"/>
    </row>
    <row r="197">
      <c r="A197" s="56" t="str">
        <f>IFERROR(__xludf.DUMMYFUNCTION("IF('AYIRA MINI MART FINAL MENU - Pr'!A197="""", """", IF(LEN(IFERROR(TRIM(REGEXREPLACE(TRIM(REGEXEXTRACT('AYIRA MINI MART FINAL MENU - Pr'!A197, ""^[^\x{0600}-\x{06FF}]+"")), ""[-–]+$"", """")), """"))&gt;0, IFERROR(TRIM(REGEXREPLACE(TRIM(REGEXEXTRACT('AYIRA"&amp;" MINI MART FINAL MENU - Pr'!A197, ""^[^\x{0600}-\x{06FF}]+"")), ""[-–]+$"", """")), """"), GOOGLETRANSLATE('AYIRA MINI MART FINAL MENU - Pr'!A197, ""ar"", ""en"")))"),"Red Bull The Apricot Edition (Apricot &amp; Strawberry) 250ml")</f>
        <v>Red Bull The Apricot Edition (Apricot &amp; Strawberry) 250ml</v>
      </c>
      <c r="B197" s="56" t="str">
        <f>IFERROR(__xludf.DUMMYFUNCTION("IF('AYIRA MINI MART FINAL MENU - Pr'!B197="""", """", IF(LEN(IFERROR(TRIM(REGEXREPLACE(TRIM(REGEXEXTRACT('AYIRA MINI MART FINAL MENU - Pr'!B197, ""^[^\x{0600}-\x{06FF}]+"")), ""[-–]+$"", """")), """"))&gt;0, IFERROR(TRIM(REGEXREPLACE(TRIM(REGEXEXTRACT('AYIRA"&amp;" MINI MART FINAL MENU - Pr'!B197, ""^[^\x{0600}-\x{06FF}]+"")), ""[-–]+$"", """")), """"), GOOGLETRANSLATE('AYIRA MINI MART FINAL MENU - Pr'!B197, ""ar"", ""en"")))"),"ENErgy &amp; Sports Drinks")</f>
        <v>ENErgy &amp; Sports Drinks</v>
      </c>
      <c r="C197" s="58">
        <f>IF('AYIRA MINI MART FINAL MENU - Pr'!C197="", "", 'AYIRA MINI MART FINAL MENU - Pr'!C197)</f>
        <v>10</v>
      </c>
      <c r="D197" s="56" t="str">
        <f>IFERROR(__xludf.DUMMYFUNCTION("IF('AYIRA MINI MART FINAL MENU - Pr'!D197="""", """", GOOGLETRANSLATE('AYIRA MINI MART FINAL MENU - Pr'!D197,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97" s="56" t="str">
        <f>IF('AYIRA MINI MART FINAL MENU - Pr'!K197="", "", 'AYIRA MINI MART FINAL MENU - Pr'!K197)</f>
        <v/>
      </c>
      <c r="F197" s="56"/>
      <c r="G197" s="56"/>
      <c r="H197" s="56"/>
      <c r="I197" s="56"/>
      <c r="J197" s="56"/>
      <c r="L197" s="56" t="str">
        <f>IF('AYIRA MINI MART FINAL MENU - Pr'!L197="", "", 'AYIRA MINI MART FINAL MENU - Pr'!L197)</f>
        <v/>
      </c>
      <c r="M197" s="56" t="str">
        <f>IF('AYIRA MINI MART FINAL MENU - Pr'!M197="", "", 'AYIRA MINI MART FINAL MENU - Pr'!M197)</f>
        <v/>
      </c>
      <c r="N197" s="56" t="str">
        <f>IF('AYIRA MINI MART FINAL MENU - Pr'!N197="", "", 'AYIRA MINI MART FINAL MENU - Pr'!N197)</f>
        <v/>
      </c>
      <c r="O197" s="57"/>
      <c r="P197" s="57"/>
      <c r="Q197" s="57"/>
      <c r="R197" s="57"/>
      <c r="S197" s="57"/>
      <c r="T197" s="57"/>
      <c r="U197" s="57"/>
      <c r="V197" s="57"/>
      <c r="W197" s="57"/>
      <c r="X197" s="57"/>
      <c r="Y197" s="57"/>
      <c r="Z197" s="57"/>
    </row>
    <row r="198">
      <c r="A198" s="56" t="str">
        <f>IFERROR(__xludf.DUMMYFUNCTION("IF('AYIRA MINI MART FINAL MENU - Pr'!A198="""", """", IF(LEN(IFERROR(TRIM(REGEXREPLACE(TRIM(REGEXEXTRACT('AYIRA MINI MART FINAL MENU - Pr'!A198, ""^[^\x{0600}-\x{06FF}]+"")), ""[-–]+$"", """")), """"))&gt;0, IFERROR(TRIM(REGEXREPLACE(TRIM(REGEXEXTRACT('AYIRA"&amp;" MINI MART FINAL MENU - Pr'!A198, ""^[^\x{0600}-\x{06FF}]+"")), ""[-–]+$"", """")), """"), GOOGLETRANSLATE('AYIRA MINI MART FINAL MENU - Pr'!A198, ""ar"", ""en"")))"),"Red Bull Energy Drink 250ml")</f>
        <v>Red Bull Energy Drink 250ml</v>
      </c>
      <c r="B198" s="56" t="str">
        <f>IFERROR(__xludf.DUMMYFUNCTION("IF('AYIRA MINI MART FINAL MENU - Pr'!B198="""", """", IF(LEN(IFERROR(TRIM(REGEXREPLACE(TRIM(REGEXEXTRACT('AYIRA MINI MART FINAL MENU - Pr'!B198, ""^[^\x{0600}-\x{06FF}]+"")), ""[-–]+$"", """")), """"))&gt;0, IFERROR(TRIM(REGEXREPLACE(TRIM(REGEXEXTRACT('AYIRA"&amp;" MINI MART FINAL MENU - Pr'!B198, ""^[^\x{0600}-\x{06FF}]+"")), ""[-–]+$"", """")), """"), GOOGLETRANSLATE('AYIRA MINI MART FINAL MENU - Pr'!B198, ""ar"", ""en"")))"),"ENErgy &amp; Sports Drinks")</f>
        <v>ENErgy &amp; Sports Drinks</v>
      </c>
      <c r="C198" s="58">
        <f>IF('AYIRA MINI MART FINAL MENU - Pr'!C198="", "", 'AYIRA MINI MART FINAL MENU - Pr'!C198)</f>
        <v>10</v>
      </c>
      <c r="D198" s="56" t="str">
        <f>IFERROR(__xludf.DUMMYFUNCTION("IF('AYIRA MINI MART FINAL MENU - Pr'!D198="""", """", GOOGLETRANSLATE('AYIRA MINI MART FINAL MENU - Pr'!D198,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98" s="56" t="str">
        <f>IF('AYIRA MINI MART FINAL MENU - Pr'!K198="", "", 'AYIRA MINI MART FINAL MENU - Pr'!K198)</f>
        <v/>
      </c>
      <c r="F198" s="56"/>
      <c r="G198" s="56"/>
      <c r="H198" s="56"/>
      <c r="I198" s="56"/>
      <c r="J198" s="56"/>
      <c r="L198" s="56" t="str">
        <f>IF('AYIRA MINI MART FINAL MENU - Pr'!L198="", "", 'AYIRA MINI MART FINAL MENU - Pr'!L198)</f>
        <v/>
      </c>
      <c r="M198" s="56" t="str">
        <f>IF('AYIRA MINI MART FINAL MENU - Pr'!M198="", "", 'AYIRA MINI MART FINAL MENU - Pr'!M198)</f>
        <v/>
      </c>
      <c r="N198" s="56" t="str">
        <f>IF('AYIRA MINI MART FINAL MENU - Pr'!N198="", "", 'AYIRA MINI MART FINAL MENU - Pr'!N198)</f>
        <v/>
      </c>
      <c r="O198" s="57"/>
      <c r="P198" s="57"/>
      <c r="Q198" s="57"/>
      <c r="R198" s="57"/>
      <c r="S198" s="57"/>
      <c r="T198" s="57"/>
      <c r="U198" s="57"/>
      <c r="V198" s="57"/>
      <c r="W198" s="57"/>
      <c r="X198" s="57"/>
      <c r="Y198" s="57"/>
      <c r="Z198" s="57"/>
    </row>
    <row r="199">
      <c r="A199" s="56" t="str">
        <f>IFERROR(__xludf.DUMMYFUNCTION("IF('AYIRA MINI MART FINAL MENU - Pr'!A199="""", """", IF(LEN(IFERROR(TRIM(REGEXREPLACE(TRIM(REGEXEXTRACT('AYIRA MINI MART FINAL MENU - Pr'!A199, ""^[^\x{0600}-\x{06FF}]+"")), ""[-–]+$"", """")), """"))&gt;0, IFERROR(TRIM(REGEXREPLACE(TRIM(REGEXEXTRACT('AYIRA"&amp;" MINI MART FINAL MENU - Pr'!A199, ""^[^\x{0600}-\x{06FF}]+"")), ""[-–]+$"", """")), """"), GOOGLETRANSLATE('AYIRA MINI MART FINAL MENU - Pr'!A199, ""ar"", ""en"")))"),"Red Bull The White Edition (Coconut &amp; Berry) 250ml")</f>
        <v>Red Bull The White Edition (Coconut &amp; Berry) 250ml</v>
      </c>
      <c r="B199" s="56" t="str">
        <f>IFERROR(__xludf.DUMMYFUNCTION("IF('AYIRA MINI MART FINAL MENU - Pr'!B199="""", """", IF(LEN(IFERROR(TRIM(REGEXREPLACE(TRIM(REGEXEXTRACT('AYIRA MINI MART FINAL MENU - Pr'!B199, ""^[^\x{0600}-\x{06FF}]+"")), ""[-–]+$"", """")), """"))&gt;0, IFERROR(TRIM(REGEXREPLACE(TRIM(REGEXEXTRACT('AYIRA"&amp;" MINI MART FINAL MENU - Pr'!B199, ""^[^\x{0600}-\x{06FF}]+"")), ""[-–]+$"", """")), """"), GOOGLETRANSLATE('AYIRA MINI MART FINAL MENU - Pr'!B199, ""ar"", ""en"")))"),"ENErgy &amp; Sports Drinks")</f>
        <v>ENErgy &amp; Sports Drinks</v>
      </c>
      <c r="C199" s="58">
        <f>IF('AYIRA MINI MART FINAL MENU - Pr'!C199="", "", 'AYIRA MINI MART FINAL MENU - Pr'!C199)</f>
        <v>10</v>
      </c>
      <c r="D199" s="56" t="str">
        <f>IFERROR(__xludf.DUMMYFUNCTION("IF('AYIRA MINI MART FINAL MENU - Pr'!D199="""", """", GOOGLETRANSLATE('AYIRA MINI MART FINAL MENU - Pr'!D199,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199" s="56" t="str">
        <f>IF('AYIRA MINI MART FINAL MENU - Pr'!K199="", "", 'AYIRA MINI MART FINAL MENU - Pr'!K199)</f>
        <v/>
      </c>
      <c r="F199" s="56"/>
      <c r="G199" s="56"/>
      <c r="H199" s="56"/>
      <c r="I199" s="56"/>
      <c r="J199" s="56"/>
      <c r="L199" s="56" t="str">
        <f>IF('AYIRA MINI MART FINAL MENU - Pr'!L199="", "", 'AYIRA MINI MART FINAL MENU - Pr'!L199)</f>
        <v/>
      </c>
      <c r="M199" s="56" t="str">
        <f>IF('AYIRA MINI MART FINAL MENU - Pr'!M199="", "", 'AYIRA MINI MART FINAL MENU - Pr'!M199)</f>
        <v/>
      </c>
      <c r="N199" s="56" t="str">
        <f>IF('AYIRA MINI MART FINAL MENU - Pr'!N199="", "", 'AYIRA MINI MART FINAL MENU - Pr'!N199)</f>
        <v/>
      </c>
      <c r="O199" s="57"/>
      <c r="P199" s="57"/>
      <c r="Q199" s="57"/>
      <c r="R199" s="57"/>
      <c r="S199" s="57"/>
      <c r="T199" s="57"/>
      <c r="U199" s="57"/>
      <c r="V199" s="57"/>
      <c r="W199" s="57"/>
      <c r="X199" s="57"/>
      <c r="Y199" s="57"/>
      <c r="Z199" s="57"/>
    </row>
    <row r="200">
      <c r="A200" s="56" t="str">
        <f>IFERROR(__xludf.DUMMYFUNCTION("IF('AYIRA MINI MART FINAL MENU - Pr'!A200="""", """", IF(LEN(IFERROR(TRIM(REGEXREPLACE(TRIM(REGEXEXTRACT('AYIRA MINI MART FINAL MENU - Pr'!A200, ""^[^\x{0600}-\x{06FF}]+"")), ""[-–]+$"", """")), """"))&gt;0, IFERROR(TRIM(REGEXREPLACE(TRIM(REGEXEXTRACT('AYIRA"&amp;" MINI MART FINAL MENU - Pr'!A200, ""^[^\x{0600}-\x{06FF}]+"")), ""[-–]+$"", """")), """"), GOOGLETRANSLATE('AYIRA MINI MART FINAL MENU - Pr'!A200, ""ar"", ""en"")))"),"Red Bull Sugarfree 250ml")</f>
        <v>Red Bull Sugarfree 250ml</v>
      </c>
      <c r="B200" s="56" t="str">
        <f>IFERROR(__xludf.DUMMYFUNCTION("IF('AYIRA MINI MART FINAL MENU - Pr'!B200="""", """", IF(LEN(IFERROR(TRIM(REGEXREPLACE(TRIM(REGEXEXTRACT('AYIRA MINI MART FINAL MENU - Pr'!B200, ""^[^\x{0600}-\x{06FF}]+"")), ""[-–]+$"", """")), """"))&gt;0, IFERROR(TRIM(REGEXREPLACE(TRIM(REGEXEXTRACT('AYIRA"&amp;" MINI MART FINAL MENU - Pr'!B200, ""^[^\x{0600}-\x{06FF}]+"")), ""[-–]+$"", """")), """"), GOOGLETRANSLATE('AYIRA MINI MART FINAL MENU - Pr'!B200, ""ar"", ""en"")))"),"ENErgy &amp; Sports Drinks")</f>
        <v>ENErgy &amp; Sports Drinks</v>
      </c>
      <c r="C200" s="58">
        <f>IF('AYIRA MINI MART FINAL MENU - Pr'!C200="", "", 'AYIRA MINI MART FINAL MENU - Pr'!C200)</f>
        <v>10</v>
      </c>
      <c r="D200" s="56" t="str">
        <f>IFERROR(__xludf.DUMMYFUNCTION("IF('AYIRA MINI MART FINAL MENU - Pr'!D200="""", """", GOOGLETRANSLATE('AYIRA MINI MART FINAL MENU - Pr'!D200, ""ar"", ""en""))"),"Fuel your energy with Red Bull, the favorite energy drink of athletes and professionals. It gives you the focus and stamina you need to tackle the day's challenges with peak performance. With a unique blend of caffeine, vitamins, and amino acids, it helps"&amp;" you perform at your best. Perfect before a workout or during long work hours. Experience the difference with every sip and enjoy unparalleled energy. Available now at Aira Mini Mart at an affordable price and with guaranteed quality.")</f>
        <v>Fuel your energy with Red Bull, the favorite energy drink of athletes and professionals. It gives you the focus and stamina you need to tackle the day's challenges with peak performance. With a unique blend of caffeine, vitamins, and amino acids, it helps you perform at your best. Perfect before a workout or during long work hours. Experience the difference with every sip and enjoy unparalleled energy. Available now at Aira Mini Mart at an affordable price and with guaranteed quality.</v>
      </c>
      <c r="E200" s="56" t="str">
        <f>IF('AYIRA MINI MART FINAL MENU - Pr'!K200="", "", 'AYIRA MINI MART FINAL MENU - Pr'!K200)</f>
        <v/>
      </c>
      <c r="F200" s="56"/>
      <c r="G200" s="56"/>
      <c r="H200" s="56"/>
      <c r="I200" s="56"/>
      <c r="J200" s="56"/>
      <c r="L200" s="56" t="str">
        <f>IF('AYIRA MINI MART FINAL MENU - Pr'!L200="", "", 'AYIRA MINI MART FINAL MENU - Pr'!L200)</f>
        <v/>
      </c>
      <c r="M200" s="56" t="str">
        <f>IF('AYIRA MINI MART FINAL MENU - Pr'!M200="", "", 'AYIRA MINI MART FINAL MENU - Pr'!M200)</f>
        <v/>
      </c>
      <c r="N200" s="56" t="str">
        <f>IF('AYIRA MINI MART FINAL MENU - Pr'!N200="", "", 'AYIRA MINI MART FINAL MENU - Pr'!N200)</f>
        <v/>
      </c>
      <c r="O200" s="57"/>
      <c r="P200" s="57"/>
      <c r="Q200" s="57"/>
      <c r="R200" s="57"/>
      <c r="S200" s="57"/>
      <c r="T200" s="57"/>
      <c r="U200" s="57"/>
      <c r="V200" s="57"/>
      <c r="W200" s="57"/>
      <c r="X200" s="57"/>
      <c r="Y200" s="57"/>
      <c r="Z200" s="57"/>
    </row>
    <row r="201">
      <c r="A201" s="56" t="str">
        <f>IFERROR(__xludf.DUMMYFUNCTION("IF('AYIRA MINI MART FINAL MENU - Pr'!A201="""", """", IF(LEN(IFERROR(TRIM(REGEXREPLACE(TRIM(REGEXEXTRACT('AYIRA MINI MART FINAL MENU - Pr'!A201, ""^[^\x{0600}-\x{06FF}]+"")), ""[-–]+$"", """")), """"))&gt;0, IFERROR(TRIM(REGEXREPLACE(TRIM(REGEXEXTRACT('AYIRA"&amp;" MINI MART FINAL MENU - Pr'!A201, ""^[^\x{0600}-\x{06FF}]+"")), ""[-–]+$"", """")), """"), GOOGLETRANSLATE('AYIRA MINI MART FINAL MENU - Pr'!A201, ""ar"", ""en"")))"),"Baladna Orange Nectar Refreshing Delight 200ml")</f>
        <v>Baladna Orange Nectar Refreshing Delight 200ml</v>
      </c>
      <c r="B201" s="56" t="str">
        <f>IFERROR(__xludf.DUMMYFUNCTION("IF('AYIRA MINI MART FINAL MENU - Pr'!B201="""", """", IF(LEN(IFERROR(TRIM(REGEXREPLACE(TRIM(REGEXEXTRACT('AYIRA MINI MART FINAL MENU - Pr'!B201, ""^[^\x{0600}-\x{06FF}]+"")), ""[-–]+$"", """")), """"))&gt;0, IFERROR(TRIM(REGEXREPLACE(TRIM(REGEXEXTRACT('AYIRA"&amp;" MINI MART FINAL MENU - Pr'!B201, ""^[^\x{0600}-\x{06FF}]+"")), ""[-–]+$"", """")), """"), GOOGLETRANSLATE('AYIRA MINI MART FINAL MENU - Pr'!B201, ""ar"", ""en"")))"),"Juices &amp; Fruit Drinks")</f>
        <v>Juices &amp; Fruit Drinks</v>
      </c>
      <c r="C201" s="58">
        <f>IF('AYIRA MINI MART FINAL MENU - Pr'!C201="", "", 'AYIRA MINI MART FINAL MENU - Pr'!C201)</f>
        <v>2.5</v>
      </c>
      <c r="D201" s="56" t="str">
        <f>IFERROR(__xludf.DUMMYFUNCTION("IF('AYIRA MINI MART FINAL MENU - Pr'!D201="""", """", GOOGLETRANSLATE('AYIRA MINI MART FINAL MENU - Pr'!D201, ""ar"", ""en""))"),"Take care of your health with Baladna Orange Nectar Refreshing Delight 200ml, a fresh juice rich in vitamins and minerals essential for your body's well-being. Made from the finest, carefully selected fruits to give you a delicious taste and high nutritio"&amp;"nal value. It provides natural energy and boosts your immune system thanks to its rich content. Perfect for your daily breakfast or as a healthy drink anytime. Order now from Aira Mini Mart and enjoy every drop of this delicious and beneficial juice.")</f>
        <v>Take care of your health with Baladna Orange Nectar Refreshing Delight 200ml, a fresh juice rich in vitamins and minerals essential for your body's well-being. Made from the finest, carefully selected fruits to give you a delicious taste and high nutritional value. It provides natural energy and boosts your immune system thanks to its rich content. Perfect for your daily breakfast or as a healthy drink anytime. Order now from Aira Mini Mart and enjoy every drop of this delicious and beneficial juice.</v>
      </c>
      <c r="E201" s="56" t="str">
        <f>IF('AYIRA MINI MART FINAL MENU - Pr'!K201="", "", 'AYIRA MINI MART FINAL MENU - Pr'!K201)</f>
        <v/>
      </c>
      <c r="F201" s="56"/>
      <c r="G201" s="56"/>
      <c r="H201" s="56"/>
      <c r="I201" s="56"/>
      <c r="J201" s="56"/>
      <c r="L201" s="56" t="str">
        <f>IF('AYIRA MINI MART FINAL MENU - Pr'!L201="", "", 'AYIRA MINI MART FINAL MENU - Pr'!L201)</f>
        <v/>
      </c>
      <c r="M201" s="56" t="str">
        <f>IF('AYIRA MINI MART FINAL MENU - Pr'!M201="", "", 'AYIRA MINI MART FINAL MENU - Pr'!M201)</f>
        <v/>
      </c>
      <c r="N201" s="56" t="str">
        <f>IF('AYIRA MINI MART FINAL MENU - Pr'!N201="", "", 'AYIRA MINI MART FINAL MENU - Pr'!N201)</f>
        <v/>
      </c>
      <c r="O201" s="57"/>
      <c r="P201" s="57"/>
      <c r="Q201" s="57"/>
      <c r="R201" s="57"/>
      <c r="S201" s="57"/>
      <c r="T201" s="57"/>
      <c r="U201" s="57"/>
      <c r="V201" s="57"/>
      <c r="W201" s="57"/>
      <c r="X201" s="57"/>
      <c r="Y201" s="57"/>
      <c r="Z201" s="57"/>
    </row>
    <row r="202">
      <c r="A202" s="56" t="str">
        <f>IFERROR(__xludf.DUMMYFUNCTION("IF('AYIRA MINI MART FINAL MENU - Pr'!A202="""", """", IF(LEN(IFERROR(TRIM(REGEXREPLACE(TRIM(REGEXEXTRACT('AYIRA MINI MART FINAL MENU - Pr'!A202, ""^[^\x{0600}-\x{06FF}]+"")), ""[-–]+$"", """")), """"))&gt;0, IFERROR(TRIM(REGEXREPLACE(TRIM(REGEXEXTRACT('AYIRA"&amp;" MINI MART FINAL MENU - Pr'!A202, ""^[^\x{0600}-\x{06FF}]+"")), ""[-–]+$"", """")), """"), GOOGLETRANSLATE('AYIRA MINI MART FINAL MENU - Pr'!A202, ""ar"", ""en"")))"),"Baladna Mango Nectar Tropical Indulgence 200ml")</f>
        <v>Baladna Mango Nectar Tropical Indulgence 200ml</v>
      </c>
      <c r="B202" s="56" t="str">
        <f>IFERROR(__xludf.DUMMYFUNCTION("IF('AYIRA MINI MART FINAL MENU - Pr'!B202="""", """", IF(LEN(IFERROR(TRIM(REGEXREPLACE(TRIM(REGEXEXTRACT('AYIRA MINI MART FINAL MENU - Pr'!B202, ""^[^\x{0600}-\x{06FF}]+"")), ""[-–]+$"", """")), """"))&gt;0, IFERROR(TRIM(REGEXREPLACE(TRIM(REGEXEXTRACT('AYIRA"&amp;" MINI MART FINAL MENU - Pr'!B202, ""^[^\x{0600}-\x{06FF}]+"")), ""[-–]+$"", """")), """"), GOOGLETRANSLATE('AYIRA MINI MART FINAL MENU - Pr'!B202, ""ar"", ""en"")))"),"Juices &amp; Fruit Drinks")</f>
        <v>Juices &amp; Fruit Drinks</v>
      </c>
      <c r="C202" s="58">
        <f>IF('AYIRA MINI MART FINAL MENU - Pr'!C202="", "", 'AYIRA MINI MART FINAL MENU - Pr'!C202)</f>
        <v>2.5</v>
      </c>
      <c r="D202" s="56" t="str">
        <f>IFERROR(__xludf.DUMMYFUNCTION("IF('AYIRA MINI MART FINAL MENU - Pr'!D202="""", """", GOOGLETRANSLATE('AYIRA MINI MART FINAL MENU - Pr'!D202, ""ar"", ""en""))"),"Take care of your health with Baladna Mango Nectar Tropical Indulgence 200ml, a fresh juice rich in vitamins and minerals essential for your body's well-being. Made from the finest, carefully selected fruits, it offers a delicious taste and high nutrition"&amp;"al value. It provides natural energy and boosts your immune system thanks to its rich composition. Perfect for your daily breakfast or as a healthy drink anytime. Order now from Aira Mini Mart and enjoy every drop of this delicious and beneficial juice.")</f>
        <v>Take care of your health with Baladna Mango Nectar Tropical Indulgence 200ml,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202" s="56" t="str">
        <f>IF('AYIRA MINI MART FINAL MENU - Pr'!K202="", "", 'AYIRA MINI MART FINAL MENU - Pr'!K202)</f>
        <v/>
      </c>
      <c r="F202" s="56"/>
      <c r="G202" s="56"/>
      <c r="H202" s="56"/>
      <c r="I202" s="56"/>
      <c r="J202" s="56"/>
      <c r="L202" s="56" t="str">
        <f>IF('AYIRA MINI MART FINAL MENU - Pr'!L202="", "", 'AYIRA MINI MART FINAL MENU - Pr'!L202)</f>
        <v/>
      </c>
      <c r="M202" s="56" t="str">
        <f>IF('AYIRA MINI MART FINAL MENU - Pr'!M202="", "", 'AYIRA MINI MART FINAL MENU - Pr'!M202)</f>
        <v/>
      </c>
      <c r="N202" s="56" t="str">
        <f>IF('AYIRA MINI MART FINAL MENU - Pr'!N202="", "", 'AYIRA MINI MART FINAL MENU - Pr'!N202)</f>
        <v/>
      </c>
      <c r="O202" s="57"/>
      <c r="P202" s="57"/>
      <c r="Q202" s="57"/>
      <c r="R202" s="57"/>
      <c r="S202" s="57"/>
      <c r="T202" s="57"/>
      <c r="U202" s="57"/>
      <c r="V202" s="57"/>
      <c r="W202" s="57"/>
      <c r="X202" s="57"/>
      <c r="Y202" s="57"/>
      <c r="Z202" s="57"/>
    </row>
    <row r="203">
      <c r="A203" s="56" t="str">
        <f>IFERROR(__xludf.DUMMYFUNCTION("IF('AYIRA MINI MART FINAL MENU - Pr'!A203="""", """", IF(LEN(IFERROR(TRIM(REGEXREPLACE(TRIM(REGEXEXTRACT('AYIRA MINI MART FINAL MENU - Pr'!A203, ""^[^\x{0600}-\x{06FF}]+"")), ""[-–]+$"", """")), """"))&gt;0, IFERROR(TRIM(REGEXREPLACE(TRIM(REGEXEXTRACT('AYIRA"&amp;" MINI MART FINAL MENU - Pr'!A203, ""^[^\x{0600}-\x{06FF}]+"")), ""[-–]+$"", """")), """"), GOOGLETRANSLATE('AYIRA MINI MART FINAL MENU - Pr'!A203, ""ar"", ""en"")))"),"Baladna Apple Nectar 1.5L")</f>
        <v>Baladna Apple Nectar 1.5L</v>
      </c>
      <c r="B203" s="56" t="str">
        <f>IFERROR(__xludf.DUMMYFUNCTION("IF('AYIRA MINI MART FINAL MENU - Pr'!B203="""", """", IF(LEN(IFERROR(TRIM(REGEXREPLACE(TRIM(REGEXEXTRACT('AYIRA MINI MART FINAL MENU - Pr'!B203, ""^[^\x{0600}-\x{06FF}]+"")), ""[-–]+$"", """")), """"))&gt;0, IFERROR(TRIM(REGEXREPLACE(TRIM(REGEXEXTRACT('AYIRA"&amp;" MINI MART FINAL MENU - Pr'!B203, ""^[^\x{0600}-\x{06FF}]+"")), ""[-–]+$"", """")), """"), GOOGLETRANSLATE('AYIRA MINI MART FINAL MENU - Pr'!B203, ""ar"", ""en"")))"),"Juices &amp; Fruit Drinks")</f>
        <v>Juices &amp; Fruit Drinks</v>
      </c>
      <c r="C203" s="58">
        <f>IF('AYIRA MINI MART FINAL MENU - Pr'!C203="", "", 'AYIRA MINI MART FINAL MENU - Pr'!C203)</f>
        <v>12</v>
      </c>
      <c r="D203" s="56" t="str">
        <f>IFERROR(__xludf.DUMMYFUNCTION("IF('AYIRA MINI MART FINAL MENU - Pr'!D203="""", """", GOOGLETRANSLATE('AYIRA MINI MART FINAL MENU - Pr'!D203, ""ar"", ""en""))"),"Take care of your health with Baladna Apple Nectar 1.5L, a fresh juice packed with essential vitamins and minerals. Made from carefully selected, high-quality fruits for a delicious taste and superior nutritional value. It provides natural energy and boos"&amp;"ts your immune system thanks to its rich composition. Perfect for your daily breakfast or as a healthy drink anytime. Order now from Aira Mini Mart and enjoy every drop of this delicious and nutritious juice.")</f>
        <v>Take care of your health with Baladna Apple Nectar 1.5L,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203" s="56" t="str">
        <f>IF('AYIRA MINI MART FINAL MENU - Pr'!K203="", "", 'AYIRA MINI MART FINAL MENU - Pr'!K203)</f>
        <v/>
      </c>
      <c r="F203" s="56"/>
      <c r="G203" s="56"/>
      <c r="H203" s="56"/>
      <c r="I203" s="56"/>
      <c r="J203" s="56"/>
      <c r="L203" s="56" t="str">
        <f>IF('AYIRA MINI MART FINAL MENU - Pr'!L203="", "", 'AYIRA MINI MART FINAL MENU - Pr'!L203)</f>
        <v/>
      </c>
      <c r="M203" s="56" t="str">
        <f>IF('AYIRA MINI MART FINAL MENU - Pr'!M203="", "", 'AYIRA MINI MART FINAL MENU - Pr'!M203)</f>
        <v/>
      </c>
      <c r="N203" s="56" t="str">
        <f>IF('AYIRA MINI MART FINAL MENU - Pr'!N203="", "", 'AYIRA MINI MART FINAL MENU - Pr'!N203)</f>
        <v/>
      </c>
      <c r="O203" s="57"/>
      <c r="P203" s="57"/>
      <c r="Q203" s="57"/>
      <c r="R203" s="57"/>
      <c r="S203" s="57"/>
      <c r="T203" s="57"/>
      <c r="U203" s="57"/>
      <c r="V203" s="57"/>
      <c r="W203" s="57"/>
      <c r="X203" s="57"/>
      <c r="Y203" s="57"/>
      <c r="Z203" s="57"/>
    </row>
    <row r="204">
      <c r="A204" s="56" t="str">
        <f>IFERROR(__xludf.DUMMYFUNCTION("IF('AYIRA MINI MART FINAL MENU - Pr'!A204="""", """", IF(LEN(IFERROR(TRIM(REGEXREPLACE(TRIM(REGEXEXTRACT('AYIRA MINI MART FINAL MENU - Pr'!A204, ""^[^\x{0600}-\x{06FF}]+"")), ""[-–]+$"", """")), """"))&gt;0, IFERROR(TRIM(REGEXREPLACE(TRIM(REGEXEXTRACT('AYIRA"&amp;" MINI MART FINAL MENU - Pr'!A204, ""^[^\x{0600}-\x{06FF}]+"")), ""[-–]+$"", """")), """"), GOOGLETRANSLATE('AYIRA MINI MART FINAL MENU - Pr'!A204, ""ar"", ""en"")))"),"Baladna Orange Nectar 1.5L")</f>
        <v>Baladna Orange Nectar 1.5L</v>
      </c>
      <c r="B204" s="56" t="str">
        <f>IFERROR(__xludf.DUMMYFUNCTION("IF('AYIRA MINI MART FINAL MENU - Pr'!B204="""", """", IF(LEN(IFERROR(TRIM(REGEXREPLACE(TRIM(REGEXEXTRACT('AYIRA MINI MART FINAL MENU - Pr'!B204, ""^[^\x{0600}-\x{06FF}]+"")), ""[-–]+$"", """")), """"))&gt;0, IFERROR(TRIM(REGEXREPLACE(TRIM(REGEXEXTRACT('AYIRA"&amp;" MINI MART FINAL MENU - Pr'!B204, ""^[^\x{0600}-\x{06FF}]+"")), ""[-–]+$"", """")), """"), GOOGLETRANSLATE('AYIRA MINI MART FINAL MENU - Pr'!B204, ""ar"", ""en"")))"),"Juices &amp; Fruit Drinks")</f>
        <v>Juices &amp; Fruit Drinks</v>
      </c>
      <c r="C204" s="58">
        <f>IF('AYIRA MINI MART FINAL MENU - Pr'!C204="", "", 'AYIRA MINI MART FINAL MENU - Pr'!C204)</f>
        <v>12</v>
      </c>
      <c r="D204" s="56" t="str">
        <f>IFERROR(__xludf.DUMMYFUNCTION("IF('AYIRA MINI MART FINAL MENU - Pr'!D204="""", """", GOOGLETRANSLATE('AYIRA MINI MART FINAL MENU - Pr'!D204, ""ar"", ""en""))"),"Take care of your health with Baladna Orange Nectar 1.5L, a fresh juice packed with essential vitamins and minerals. Made from carefully selected, high-quality fruits for a delicious taste and superior nutritional value. It provides natural energy and boo"&amp;"sts your immune system thanks to its rich composition. Perfect for your daily breakfast or as a healthy drink anytime. Order now from Aira Mini Mart and enjoy every drop of this delicious and nutritious juice.")</f>
        <v>Take care of your health with Baladna Orange Nectar 1.5L,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204" s="56" t="str">
        <f>IF('AYIRA MINI MART FINAL MENU - Pr'!K204="", "", 'AYIRA MINI MART FINAL MENU - Pr'!K204)</f>
        <v/>
      </c>
      <c r="F204" s="56"/>
      <c r="G204" s="56"/>
      <c r="H204" s="56"/>
      <c r="I204" s="56"/>
      <c r="J204" s="56"/>
      <c r="L204" s="56" t="str">
        <f>IF('AYIRA MINI MART FINAL MENU - Pr'!L204="", "", 'AYIRA MINI MART FINAL MENU - Pr'!L204)</f>
        <v/>
      </c>
      <c r="M204" s="56" t="str">
        <f>IF('AYIRA MINI MART FINAL MENU - Pr'!M204="", "", 'AYIRA MINI MART FINAL MENU - Pr'!M204)</f>
        <v/>
      </c>
      <c r="N204" s="56" t="str">
        <f>IF('AYIRA MINI MART FINAL MENU - Pr'!N204="", "", 'AYIRA MINI MART FINAL MENU - Pr'!N204)</f>
        <v/>
      </c>
      <c r="O204" s="57"/>
      <c r="P204" s="57"/>
      <c r="Q204" s="57"/>
      <c r="R204" s="57"/>
      <c r="S204" s="57"/>
      <c r="T204" s="57"/>
      <c r="U204" s="57"/>
      <c r="V204" s="57"/>
      <c r="W204" s="57"/>
      <c r="X204" s="57"/>
      <c r="Y204" s="57"/>
      <c r="Z204" s="57"/>
    </row>
    <row r="205">
      <c r="A205" s="56" t="str">
        <f>IFERROR(__xludf.DUMMYFUNCTION("IF('AYIRA MINI MART FINAL MENU - Pr'!A205="""", """", IF(LEN(IFERROR(TRIM(REGEXREPLACE(TRIM(REGEXEXTRACT('AYIRA MINI MART FINAL MENU - Pr'!A205, ""^[^\x{0600}-\x{06FF}]+"")), ""[-–]+$"", """")), """"))&gt;0, IFERROR(TRIM(REGEXREPLACE(TRIM(REGEXEXTRACT('AYIRA"&amp;" MINI MART FINAL MENU - Pr'!A205, ""^[^\x{0600}-\x{06FF}]+"")), ""[-–]+$"", """")), """"), GOOGLETRANSLATE('AYIRA MINI MART FINAL MENU - Pr'!A205, ""ar"", ""en"")))"),"Baladna Lemon &amp; Mint Drink 1.5L")</f>
        <v>Baladna Lemon &amp; Mint Drink 1.5L</v>
      </c>
      <c r="B205" s="56" t="str">
        <f>IFERROR(__xludf.DUMMYFUNCTION("IF('AYIRA MINI MART FINAL MENU - Pr'!B205="""", """", IF(LEN(IFERROR(TRIM(REGEXREPLACE(TRIM(REGEXEXTRACT('AYIRA MINI MART FINAL MENU - Pr'!B205, ""^[^\x{0600}-\x{06FF}]+"")), ""[-–]+$"", """")), """"))&gt;0, IFERROR(TRIM(REGEXREPLACE(TRIM(REGEXEXTRACT('AYIRA"&amp;" MINI MART FINAL MENU - Pr'!B205, ""^[^\x{0600}-\x{06FF}]+"")), ""[-–]+$"", """")), """"), GOOGLETRANSLATE('AYIRA MINI MART FINAL MENU - Pr'!B205, ""ar"", ""en"")))"),"Juices &amp; Fruit Drinks")</f>
        <v>Juices &amp; Fruit Drinks</v>
      </c>
      <c r="C205" s="58">
        <f>IF('AYIRA MINI MART FINAL MENU - Pr'!C205="", "", 'AYIRA MINI MART FINAL MENU - Pr'!C205)</f>
        <v>12</v>
      </c>
      <c r="D205" s="56" t="str">
        <f>IFERROR(__xludf.DUMMYFUNCTION("IF('AYIRA MINI MART FINAL MENU - Pr'!D205="""", """", GOOGLETRANSLATE('AYIRA MINI MART FINAL MENU - Pr'!D205, ""ar"", ""en""))"),"Add a sweet treat to your day with Baladna Lemon &amp; Mint Drink 1.5L, a delicious dessert loved by everyone. Its varied flavors and attractive colors make it suitable for all ages. Perfect as a small reward or a light gift for friends and family. Made with "&amp;"high-quality ingredients to ensure great taste in every single serving. Get yours from Aira Mini Mart and spread the joy to your loved ones.")</f>
        <v>Add a sweet treat to your day with Baladna Lemon &amp; Mint Drink 1.5L, a delicious dessert loved by everyone. Its varied flavors and attractive colors make it suitable for all ages. Perfect as a small reward or a light gift for friends and family. Made with high-quality ingredients to ensure great taste in every single serving. Get yours from Aira Mini Mart and spread the joy to your loved ones.</v>
      </c>
      <c r="E205" s="56" t="str">
        <f>IF('AYIRA MINI MART FINAL MENU - Pr'!K205="", "", 'AYIRA MINI MART FINAL MENU - Pr'!K205)</f>
        <v/>
      </c>
      <c r="F205" s="56"/>
      <c r="G205" s="56"/>
      <c r="H205" s="56"/>
      <c r="I205" s="56"/>
      <c r="J205" s="56"/>
      <c r="L205" s="56" t="str">
        <f>IF('AYIRA MINI MART FINAL MENU - Pr'!L205="", "", 'AYIRA MINI MART FINAL MENU - Pr'!L205)</f>
        <v/>
      </c>
      <c r="M205" s="56" t="str">
        <f>IF('AYIRA MINI MART FINAL MENU - Pr'!M205="", "", 'AYIRA MINI MART FINAL MENU - Pr'!M205)</f>
        <v/>
      </c>
      <c r="N205" s="56" t="str">
        <f>IF('AYIRA MINI MART FINAL MENU - Pr'!N205="", "", 'AYIRA MINI MART FINAL MENU - Pr'!N205)</f>
        <v/>
      </c>
      <c r="O205" s="57"/>
      <c r="P205" s="57"/>
      <c r="Q205" s="57"/>
      <c r="R205" s="57"/>
      <c r="S205" s="57"/>
      <c r="T205" s="57"/>
      <c r="U205" s="57"/>
      <c r="V205" s="57"/>
      <c r="W205" s="57"/>
      <c r="X205" s="57"/>
      <c r="Y205" s="57"/>
      <c r="Z205" s="57"/>
    </row>
    <row r="206">
      <c r="A206" s="56" t="str">
        <f>IFERROR(__xludf.DUMMYFUNCTION("IF('AYIRA MINI MART FINAL MENU - Pr'!A206="""", """", IF(LEN(IFERROR(TRIM(REGEXREPLACE(TRIM(REGEXEXTRACT('AYIRA MINI MART FINAL MENU - Pr'!A206, ""^[^\x{0600}-\x{06FF}]+"")), ""[-–]+$"", """")), """"))&gt;0, IFERROR(TRIM(REGEXREPLACE(TRIM(REGEXEXTRACT('AYIRA"&amp;" MINI MART FINAL MENU - Pr'!A206, ""^[^\x{0600}-\x{06FF}]+"")), ""[-–]+$"", """")), """"), GOOGLETRANSLATE('AYIRA MINI MART FINAL MENU - Pr'!A206, ""ar"", ""en"")))"),"Almarai Mango Nectar 1.4L")</f>
        <v>Almarai Mango Nectar 1.4L</v>
      </c>
      <c r="B206" s="56" t="str">
        <f>IFERROR(__xludf.DUMMYFUNCTION("IF('AYIRA MINI MART FINAL MENU - Pr'!B206="""", """", IF(LEN(IFERROR(TRIM(REGEXREPLACE(TRIM(REGEXEXTRACT('AYIRA MINI MART FINAL MENU - Pr'!B206, ""^[^\x{0600}-\x{06FF}]+"")), ""[-–]+$"", """")), """"))&gt;0, IFERROR(TRIM(REGEXREPLACE(TRIM(REGEXEXTRACT('AYIRA"&amp;" MINI MART FINAL MENU - Pr'!B206, ""^[^\x{0600}-\x{06FF}]+"")), ""[-–]+$"", """")), """"), GOOGLETRANSLATE('AYIRA MINI MART FINAL MENU - Pr'!B206, ""ar"", ""en"")))"),"Juices &amp; Fruit Drinks")</f>
        <v>Juices &amp; Fruit Drinks</v>
      </c>
      <c r="C206" s="58">
        <f>IF('AYIRA MINI MART FINAL MENU - Pr'!C206="", "", 'AYIRA MINI MART FINAL MENU - Pr'!C206)</f>
        <v>12</v>
      </c>
      <c r="D206" s="56" t="str">
        <f>IFERROR(__xludf.DUMMYFUNCTION("IF('AYIRA MINI MART FINAL MENU - Pr'!D206="""", """", GOOGLETRANSLATE('AYIRA MINI MART FINAL MENU - Pr'!D206, ""ar"", ""en""))"),"Take care of your health with Almarai, a fresh juice rich in vitamins and minerals essential for your body's well-being. Made from the finest, carefully selected fruits, it offers a delicious taste and high nutritional value. It provides natural energy an"&amp;"d boosts your immune system thanks to its rich composition. Perfect for your daily breakfast or as a healthy drink anytime. Order now from Aira Mini Mart and enjoy every drop of this delicious and beneficial juice.")</f>
        <v>Take care of your health with Almarai,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206" s="56" t="str">
        <f>IF('AYIRA MINI MART FINAL MENU - Pr'!K206="", "", 'AYIRA MINI MART FINAL MENU - Pr'!K206)</f>
        <v/>
      </c>
      <c r="F206" s="56"/>
      <c r="G206" s="56"/>
      <c r="H206" s="56"/>
      <c r="I206" s="56"/>
      <c r="J206" s="56"/>
      <c r="L206" s="56" t="str">
        <f>IF('AYIRA MINI MART FINAL MENU - Pr'!L206="", "", 'AYIRA MINI MART FINAL MENU - Pr'!L206)</f>
        <v/>
      </c>
      <c r="M206" s="56" t="str">
        <f>IF('AYIRA MINI MART FINAL MENU - Pr'!M206="", "", 'AYIRA MINI MART FINAL MENU - Pr'!M206)</f>
        <v/>
      </c>
      <c r="N206" s="56" t="str">
        <f>IF('AYIRA MINI MART FINAL MENU - Pr'!N206="", "", 'AYIRA MINI MART FINAL MENU - Pr'!N206)</f>
        <v/>
      </c>
      <c r="O206" s="57"/>
      <c r="P206" s="57"/>
      <c r="Q206" s="57"/>
      <c r="R206" s="57"/>
      <c r="S206" s="57"/>
      <c r="T206" s="57"/>
      <c r="U206" s="57"/>
      <c r="V206" s="57"/>
      <c r="W206" s="57"/>
      <c r="X206" s="57"/>
      <c r="Y206" s="57"/>
      <c r="Z206" s="57"/>
    </row>
    <row r="207">
      <c r="A207" s="56" t="str">
        <f>IFERROR(__xludf.DUMMYFUNCTION("IF('AYIRA MINI MART FINAL MENU - Pr'!A207="""", """", IF(LEN(IFERROR(TRIM(REGEXREPLACE(TRIM(REGEXEXTRACT('AYIRA MINI MART FINAL MENU - Pr'!A207, ""^[^\x{0600}-\x{06FF}]+"")), ""[-–]+$"", """")), """"))&gt;0, IFERROR(TRIM(REGEXREPLACE(TRIM(REGEXEXTRACT('AYIRA"&amp;" MINI MART FINAL MENU - Pr'!A207, ""^[^\x{0600}-\x{06FF}]+"")), ""[-–]+$"", """")), """"), GOOGLETRANSLATE('AYIRA MINI MART FINAL MENU - Pr'!A207, ""ar"", ""en"")))"),"Almarai Mixed Fruit Nectar 1.4L")</f>
        <v>Almarai Mixed Fruit Nectar 1.4L</v>
      </c>
      <c r="B207" s="56" t="str">
        <f>IFERROR(__xludf.DUMMYFUNCTION("IF('AYIRA MINI MART FINAL MENU - Pr'!B207="""", """", IF(LEN(IFERROR(TRIM(REGEXREPLACE(TRIM(REGEXEXTRACT('AYIRA MINI MART FINAL MENU - Pr'!B207, ""^[^\x{0600}-\x{06FF}]+"")), ""[-–]+$"", """")), """"))&gt;0, IFERROR(TRIM(REGEXREPLACE(TRIM(REGEXEXTRACT('AYIRA"&amp;" MINI MART FINAL MENU - Pr'!B207, ""^[^\x{0600}-\x{06FF}]+"")), ""[-–]+$"", """")), """"), GOOGLETRANSLATE('AYIRA MINI MART FINAL MENU - Pr'!B207, ""ar"", ""en"")))"),"Juices &amp; Fruit Drinks")</f>
        <v>Juices &amp; Fruit Drinks</v>
      </c>
      <c r="C207" s="58">
        <f>IF('AYIRA MINI MART FINAL MENU - Pr'!C207="", "", 'AYIRA MINI MART FINAL MENU - Pr'!C207)</f>
        <v>12</v>
      </c>
      <c r="D207" s="56" t="str">
        <f>IFERROR(__xludf.DUMMYFUNCTION("IF('AYIRA MINI MART FINAL MENU - Pr'!D207="""", """", GOOGLETRANSLATE('AYIRA MINI MART FINAL MENU - Pr'!D207, ""ar"", ""en""))"),"Take care of your health with Almarai, a fresh juice rich in vitamins and minerals essential for your body's well-being. Made from the finest, carefully selected fruits, it offers a delicious taste and high nutritional value. It provides natural energy an"&amp;"d boosts your immune system thanks to its rich composition. Perfect for your daily breakfast or as a healthy drink anytime. Order now from Aira Mini Mart and enjoy every drop of this delicious and beneficial juice.")</f>
        <v>Take care of your health with Almarai,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207" s="56" t="str">
        <f>IF('AYIRA MINI MART FINAL MENU - Pr'!K207="", "", 'AYIRA MINI MART FINAL MENU - Pr'!K207)</f>
        <v/>
      </c>
      <c r="F207" s="56"/>
      <c r="G207" s="56"/>
      <c r="H207" s="56"/>
      <c r="I207" s="56"/>
      <c r="J207" s="56"/>
      <c r="L207" s="56" t="str">
        <f>IF('AYIRA MINI MART FINAL MENU - Pr'!L207="", "", 'AYIRA MINI MART FINAL MENU - Pr'!L207)</f>
        <v/>
      </c>
      <c r="M207" s="56" t="str">
        <f>IF('AYIRA MINI MART FINAL MENU - Pr'!M207="", "", 'AYIRA MINI MART FINAL MENU - Pr'!M207)</f>
        <v/>
      </c>
      <c r="N207" s="56" t="str">
        <f>IF('AYIRA MINI MART FINAL MENU - Pr'!N207="", "", 'AYIRA MINI MART FINAL MENU - Pr'!N207)</f>
        <v/>
      </c>
      <c r="O207" s="57"/>
      <c r="P207" s="57"/>
      <c r="Q207" s="57"/>
      <c r="R207" s="57"/>
      <c r="S207" s="57"/>
      <c r="T207" s="57"/>
      <c r="U207" s="57"/>
      <c r="V207" s="57"/>
      <c r="W207" s="57"/>
      <c r="X207" s="57"/>
      <c r="Y207" s="57"/>
      <c r="Z207" s="57"/>
    </row>
    <row r="208">
      <c r="A208" s="56" t="str">
        <f>IFERROR(__xludf.DUMMYFUNCTION("IF('AYIRA MINI MART FINAL MENU - Pr'!A208="""", """", IF(LEN(IFERROR(TRIM(REGEXREPLACE(TRIM(REGEXEXTRACT('AYIRA MINI MART FINAL MENU - Pr'!A208, ""^[^\x{0600}-\x{06FF}]+"")), ""[-–]+$"", """")), """"))&gt;0, IFERROR(TRIM(REGEXREPLACE(TRIM(REGEXEXTRACT('AYIRA"&amp;" MINI MART FINAL MENU - Pr'!A208, ""^[^\x{0600}-\x{06FF}]+"")), ""[-–]+$"", """")), """"), GOOGLETRANSLATE('AYIRA MINI MART FINAL MENU - Pr'!A208, ""ar"", ""en"")))"),"Almarai Mixed Berry Nectar 1.4L")</f>
        <v>Almarai Mixed Berry Nectar 1.4L</v>
      </c>
      <c r="B208" s="56" t="str">
        <f>IFERROR(__xludf.DUMMYFUNCTION("IF('AYIRA MINI MART FINAL MENU - Pr'!B208="""", """", IF(LEN(IFERROR(TRIM(REGEXREPLACE(TRIM(REGEXEXTRACT('AYIRA MINI MART FINAL MENU - Pr'!B208, ""^[^\x{0600}-\x{06FF}]+"")), ""[-–]+$"", """")), """"))&gt;0, IFERROR(TRIM(REGEXREPLACE(TRIM(REGEXEXTRACT('AYIRA"&amp;" MINI MART FINAL MENU - Pr'!B208, ""^[^\x{0600}-\x{06FF}]+"")), ""[-–]+$"", """")), """"), GOOGLETRANSLATE('AYIRA MINI MART FINAL MENU - Pr'!B208, ""ar"", ""en"")))"),"Juices &amp; Fruit Drinks")</f>
        <v>Juices &amp; Fruit Drinks</v>
      </c>
      <c r="C208" s="58">
        <f>IF('AYIRA MINI MART FINAL MENU - Pr'!C208="", "", 'AYIRA MINI MART FINAL MENU - Pr'!C208)</f>
        <v>12</v>
      </c>
      <c r="D208" s="56" t="str">
        <f>IFERROR(__xludf.DUMMYFUNCTION("IF('AYIRA MINI MART FINAL MENU - Pr'!D208="""", """", GOOGLETRANSLATE('AYIRA MINI MART FINAL MENU - Pr'!D208, ""ar"", ""en""))"),"Take care of your health with Almarai, a fresh juice rich in vitamins and minerals essential for your body's well-being. Made from the finest, carefully selected fruits, it offers a delicious taste and high nutritional value. It provides natural energy an"&amp;"d boosts your immune system thanks to its rich composition. Perfect for your daily breakfast or as a healthy drink anytime. Order now from Aira Mini Mart and enjoy every drop of this delicious and beneficial juice.")</f>
        <v>Take care of your health with Almarai,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208" s="56" t="str">
        <f>IF('AYIRA MINI MART FINAL MENU - Pr'!K208="", "", 'AYIRA MINI MART FINAL MENU - Pr'!K208)</f>
        <v/>
      </c>
      <c r="F208" s="56"/>
      <c r="G208" s="56"/>
      <c r="H208" s="56"/>
      <c r="I208" s="56"/>
      <c r="J208" s="56"/>
      <c r="L208" s="56" t="str">
        <f>IF('AYIRA MINI MART FINAL MENU - Pr'!L208="", "", 'AYIRA MINI MART FINAL MENU - Pr'!L208)</f>
        <v/>
      </c>
      <c r="M208" s="56" t="str">
        <f>IF('AYIRA MINI MART FINAL MENU - Pr'!M208="", "", 'AYIRA MINI MART FINAL MENU - Pr'!M208)</f>
        <v/>
      </c>
      <c r="N208" s="56" t="str">
        <f>IF('AYIRA MINI MART FINAL MENU - Pr'!N208="", "", 'AYIRA MINI MART FINAL MENU - Pr'!N208)</f>
        <v/>
      </c>
      <c r="O208" s="57"/>
      <c r="P208" s="57"/>
      <c r="Q208" s="57"/>
      <c r="R208" s="57"/>
      <c r="S208" s="57"/>
      <c r="T208" s="57"/>
      <c r="U208" s="57"/>
      <c r="V208" s="57"/>
      <c r="W208" s="57"/>
      <c r="X208" s="57"/>
      <c r="Y208" s="57"/>
      <c r="Z208" s="57"/>
    </row>
    <row r="209">
      <c r="A209" s="56" t="str">
        <f>IFERROR(__xludf.DUMMYFUNCTION("IF('AYIRA MINI MART FINAL MENU - Pr'!A209="""", """", IF(LEN(IFERROR(TRIM(REGEXREPLACE(TRIM(REGEXEXTRACT('AYIRA MINI MART FINAL MENU - Pr'!A209, ""^[^\x{0600}-\x{06FF}]+"")), ""[-–]+$"", """")), """"))&gt;0, IFERROR(TRIM(REGEXREPLACE(TRIM(REGEXEXTRACT('AYIRA"&amp;" MINI MART FINAL MENU - Pr'!A209, ""^[^\x{0600}-\x{06FF}]+"")), ""[-–]+$"", """")), """"), GOOGLETRANSLATE('AYIRA MINI MART FINAL MENU - Pr'!A209, ""ar"", ""en"")))"),"Baladna Apple Nectar Refreshing Delight 200ml")</f>
        <v>Baladna Apple Nectar Refreshing Delight 200ml</v>
      </c>
      <c r="B209" s="56" t="str">
        <f>IFERROR(__xludf.DUMMYFUNCTION("IF('AYIRA MINI MART FINAL MENU - Pr'!B209="""", """", IF(LEN(IFERROR(TRIM(REGEXREPLACE(TRIM(REGEXEXTRACT('AYIRA MINI MART FINAL MENU - Pr'!B209, ""^[^\x{0600}-\x{06FF}]+"")), ""[-–]+$"", """")), """"))&gt;0, IFERROR(TRIM(REGEXREPLACE(TRIM(REGEXEXTRACT('AYIRA"&amp;" MINI MART FINAL MENU - Pr'!B209, ""^[^\x{0600}-\x{06FF}]+"")), ""[-–]+$"", """")), """"), GOOGLETRANSLATE('AYIRA MINI MART FINAL MENU - Pr'!B209, ""ar"", ""en"")))"),"Juices &amp; Fruit Drinks")</f>
        <v>Juices &amp; Fruit Drinks</v>
      </c>
      <c r="C209" s="58">
        <f>IF('AYIRA MINI MART FINAL MENU - Pr'!C209="", "", 'AYIRA MINI MART FINAL MENU - Pr'!C209)</f>
        <v>2.5</v>
      </c>
      <c r="D209" s="56" t="str">
        <f>IFERROR(__xludf.DUMMYFUNCTION("IF('AYIRA MINI MART FINAL MENU - Pr'!D209="""", """", GOOGLETRANSLATE('AYIRA MINI MART FINAL MENU - Pr'!D209, ""ar"", ""en""))"),"Take care of your health with Baladna Apple Nectar Refreshing Delight 200ml, a fresh juice rich in vitamins and minerals essential for your body's well-being. Made from the finest, carefully selected fruits, it offers a delicious taste and high nutritiona"&amp;"l value. It provides natural energy and boosts your immune system thanks to its rich composition. Perfect for your daily breakfast or as a healthy drink anytime. Order now from Aira Mini Mart and enjoy every drop of this delicious and beneficial juice.")</f>
        <v>Take care of your health with Baladna Apple Nectar Refreshing Delight 200ml, a fresh juice rich in vitamins and minerals essential for your body's well-being. Made from the finest, carefully selected fruits, it offers a delicious taste and high nutritional value. It provides natural energy and boosts your immune system thanks to its rich composition. Perfect for your daily breakfast or as a healthy drink anytime. Order now from Aira Mini Mart and enjoy every drop of this delicious and beneficial juice.</v>
      </c>
      <c r="E209" s="56" t="str">
        <f>IF('AYIRA MINI MART FINAL MENU - Pr'!K209="", "", 'AYIRA MINI MART FINAL MENU - Pr'!K209)</f>
        <v/>
      </c>
      <c r="F209" s="56"/>
      <c r="G209" s="56"/>
      <c r="H209" s="56"/>
      <c r="I209" s="56"/>
      <c r="J209" s="56"/>
      <c r="L209" s="56" t="str">
        <f>IF('AYIRA MINI MART FINAL MENU - Pr'!L209="", "", 'AYIRA MINI MART FINAL MENU - Pr'!L209)</f>
        <v/>
      </c>
      <c r="M209" s="56" t="str">
        <f>IF('AYIRA MINI MART FINAL MENU - Pr'!M209="", "", 'AYIRA MINI MART FINAL MENU - Pr'!M209)</f>
        <v/>
      </c>
      <c r="N209" s="56" t="str">
        <f>IF('AYIRA MINI MART FINAL MENU - Pr'!N209="", "", 'AYIRA MINI MART FINAL MENU - Pr'!N209)</f>
        <v/>
      </c>
      <c r="O209" s="57"/>
      <c r="P209" s="57"/>
      <c r="Q209" s="57"/>
      <c r="R209" s="57"/>
      <c r="S209" s="57"/>
      <c r="T209" s="57"/>
      <c r="U209" s="57"/>
      <c r="V209" s="57"/>
      <c r="W209" s="57"/>
      <c r="X209" s="57"/>
      <c r="Y209" s="57"/>
      <c r="Z209" s="57"/>
    </row>
    <row r="210">
      <c r="A210" s="56" t="str">
        <f>IFERROR(__xludf.DUMMYFUNCTION("IF('AYIRA MINI MART FINAL MENU - Pr'!A210="""", """", IF(LEN(IFERROR(TRIM(REGEXREPLACE(TRIM(REGEXEXTRACT('AYIRA MINI MART FINAL MENU - Pr'!A210, ""^[^\x{0600}-\x{06FF}]+"")), ""[-–]+$"", """")), """"))&gt;0, IFERROR(TRIM(REGEXREPLACE(TRIM(REGEXEXTRACT('AYIRA"&amp;" MINI MART FINAL MENU - Pr'!A210, ""^[^\x{0600}-\x{06FF}]+"")), ""[-–]+$"", """")), """"), GOOGLETRANSLATE('AYIRA MINI MART FINAL MENU - Pr'!A210, ""ar"", ""en"")))"),"Dabur Glucose-D Energy Powder – Vitamin D &amp; Calcium (500g) – Dabur Glucose-D Energy")</f>
        <v>Dabur Glucose-D Energy Powder – Vitamin D &amp; Calcium (500g) – Dabur Glucose-D Energy</v>
      </c>
      <c r="B210" s="56" t="str">
        <f>IFERROR(__xludf.DUMMYFUNCTION("IF('AYIRA MINI MART FINAL MENU - Pr'!B210="""", """", IF(LEN(IFERROR(TRIM(REGEXREPLACE(TRIM(REGEXEXTRACT('AYIRA MINI MART FINAL MENU - Pr'!B210, ""^[^\x{0600}-\x{06FF}]+"")), ""[-–]+$"", """")), """"))&gt;0, IFERROR(TRIM(REGEXREPLACE(TRIM(REGEXEXTRACT('AYIRA"&amp;" MINI MART FINAL MENU - Pr'!B210, ""^[^\x{0600}-\x{06FF}]+"")), ""[-–]+$"", """")), """"), GOOGLETRANSLATE('AYIRA MINI MART FINAL MENU - Pr'!B210, ""ar"", ""en"")))"),"ENErgy &amp; Sports Drinks")</f>
        <v>ENErgy &amp; Sports Drinks</v>
      </c>
      <c r="C210" s="58">
        <f>IF('AYIRA MINI MART FINAL MENU - Pr'!C210="", "", 'AYIRA MINI MART FINAL MENU - Pr'!C210)</f>
        <v>0</v>
      </c>
      <c r="D210" s="56" t="str">
        <f>IFERROR(__xludf.DUMMYFUNCTION("IF('AYIRA MINI MART FINAL MENU - Pr'!D210="""", """", GOOGLETRANSLATE('AYIRA MINI MART FINAL MENU - Pr'!D210, ""ar"", ""en""))"),"Discover Dabur Glucose-D Energy Powder – Vitamin D &amp; Calcium (500g), a premium product that combines high quality with exceptional value. Manufactured to the highest standards of quality and safety to ensure your complete satisfaction every time, its exce"&amp;"llent features make it the perfect choice for you and your family. Whether for everyday use or special occasions, it meets and exceeds your expectations. Get it now from Aira Mini Mart and enjoy a pleasant and reliable shopping experience.")</f>
        <v>Discover Dabur Glucose-D Energy Powder – Vitamin D &amp; Calcium (500g), a premium product that combines high quality with exceptional value. Manufactured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210" s="56" t="str">
        <f>IF('AYIRA MINI MART FINAL MENU - Pr'!K210="", "", 'AYIRA MINI MART FINAL MENU - Pr'!K210)</f>
        <v/>
      </c>
      <c r="F210" s="56"/>
      <c r="G210" s="56"/>
      <c r="H210" s="56"/>
      <c r="I210" s="56"/>
      <c r="J210" s="56"/>
      <c r="L210" s="56" t="str">
        <f>IF('AYIRA MINI MART FINAL MENU - Pr'!L210="", "", 'AYIRA MINI MART FINAL MENU - Pr'!L210)</f>
        <v/>
      </c>
      <c r="M210" s="56" t="str">
        <f>IF('AYIRA MINI MART FINAL MENU - Pr'!M210="", "", 'AYIRA MINI MART FINAL MENU - Pr'!M210)</f>
        <v/>
      </c>
      <c r="N210" s="56" t="str">
        <f>IF('AYIRA MINI MART FINAL MENU - Pr'!N210="", "", 'AYIRA MINI MART FINAL MENU - Pr'!N210)</f>
        <v/>
      </c>
      <c r="O210" s="57"/>
      <c r="P210" s="57"/>
      <c r="Q210" s="57"/>
      <c r="R210" s="57"/>
      <c r="S210" s="57"/>
      <c r="T210" s="57"/>
      <c r="U210" s="57"/>
      <c r="V210" s="57"/>
      <c r="W210" s="57"/>
      <c r="X210" s="57"/>
      <c r="Y210" s="57"/>
      <c r="Z210" s="57"/>
    </row>
    <row r="211">
      <c r="A211" s="56" t="str">
        <f>IFERROR(__xludf.DUMMYFUNCTION("IF('AYIRA MINI MART FINAL MENU - Pr'!A211="""", """", IF(LEN(IFERROR(TRIM(REGEXREPLACE(TRIM(REGEXEXTRACT('AYIRA MINI MART FINAL MENU - Pr'!A211, ""^[^\x{0600}-\x{06FF}]+"")), ""[-–]+$"", """")), """"))&gt;0, IFERROR(TRIM(REGEXREPLACE(TRIM(REGEXEXTRACT('AYIRA"&amp;" MINI MART FINAL MENU - Pr'!A211, ""^[^\x{0600}-\x{06FF}]+"")), ""[-–]+$"", """")), """"), GOOGLETRANSLATE('AYIRA MINI MART FINAL MENU - Pr'!A211, ""ar"", ""en"")))"),"Dabur Glucose Orange Flavoured Energy Powder – Vitamin C &amp; Calcium (500g) – Dabur Glucose")</f>
        <v>Dabur Glucose Orange Flavoured Energy Powder – Vitamin C &amp; Calcium (500g) – Dabur Glucose</v>
      </c>
      <c r="B211" s="56" t="str">
        <f>IFERROR(__xludf.DUMMYFUNCTION("IF('AYIRA MINI MART FINAL MENU - Pr'!B211="""", """", IF(LEN(IFERROR(TRIM(REGEXREPLACE(TRIM(REGEXEXTRACT('AYIRA MINI MART FINAL MENU - Pr'!B211, ""^[^\x{0600}-\x{06FF}]+"")), ""[-–]+$"", """")), """"))&gt;0, IFERROR(TRIM(REGEXREPLACE(TRIM(REGEXEXTRACT('AYIRA"&amp;" MINI MART FINAL MENU - Pr'!B211, ""^[^\x{0600}-\x{06FF}]+"")), ""[-–]+$"", """")), """"), GOOGLETRANSLATE('AYIRA MINI MART FINAL MENU - Pr'!B211, ""ar"", ""en"")))"),"ENErgy &amp; Sports Drinks")</f>
        <v>ENErgy &amp; Sports Drinks</v>
      </c>
      <c r="C211" s="58">
        <f>IF('AYIRA MINI MART FINAL MENU - Pr'!C211="", "", 'AYIRA MINI MART FINAL MENU - Pr'!C211)</f>
        <v>0</v>
      </c>
      <c r="D211" s="56" t="str">
        <f>IFERROR(__xludf.DUMMYFUNCTION("IF('AYIRA MINI MART FINAL MENU - Pr'!D211="""", """", GOOGLETRANSLATE('AYIRA MINI MART FINAL MENU - Pr'!D211, ""ar"", ""en""))"),"Discover Vitamin C, the exceptional product that combines high quality with great value. Manufactured to the highest standards of quality and safety to ensure your complete satisfaction every time. Its superior properties make it the perfect choice for yo"&amp;"u and your family. Whether for everyday use or special occasions, it meets and exceeds your expectations. Get it now from Aira Mini Mart and enjoy a pleasant and reliable shopping experience.")</f>
        <v>Discover Vitamin C, the exceptional product that combines high quality with great value. Manufactured to the highest standards of quality and safety to ensure your complete satisfaction every time. Its superior properties make it the perfect choice for you and your family. Whether for everyday use or special occasions, it meets and exceeds your expectations. Get it now from Aira Mini Mart and enjoy a pleasant and reliable shopping experience.</v>
      </c>
      <c r="E211" s="56" t="str">
        <f>IF('AYIRA MINI MART FINAL MENU - Pr'!K211="", "", 'AYIRA MINI MART FINAL MENU - Pr'!K211)</f>
        <v/>
      </c>
      <c r="F211" s="56"/>
      <c r="G211" s="56"/>
      <c r="H211" s="56"/>
      <c r="I211" s="56"/>
      <c r="J211" s="56"/>
      <c r="L211" s="56" t="str">
        <f>IF('AYIRA MINI MART FINAL MENU - Pr'!L211="", "", 'AYIRA MINI MART FINAL MENU - Pr'!L211)</f>
        <v/>
      </c>
      <c r="M211" s="56" t="str">
        <f>IF('AYIRA MINI MART FINAL MENU - Pr'!M211="", "", 'AYIRA MINI MART FINAL MENU - Pr'!M211)</f>
        <v/>
      </c>
      <c r="N211" s="56" t="str">
        <f>IF('AYIRA MINI MART FINAL MENU - Pr'!N211="", "", 'AYIRA MINI MART FINAL MENU - Pr'!N211)</f>
        <v/>
      </c>
      <c r="O211" s="57"/>
      <c r="P211" s="57"/>
      <c r="Q211" s="57"/>
      <c r="R211" s="57"/>
      <c r="S211" s="57"/>
      <c r="T211" s="57"/>
      <c r="U211" s="57"/>
      <c r="V211" s="57"/>
      <c r="W211" s="57"/>
      <c r="X211" s="57"/>
      <c r="Y211" s="57"/>
      <c r="Z211" s="57"/>
    </row>
    <row r="212">
      <c r="A212" s="56" t="str">
        <f>IFERROR(__xludf.DUMMYFUNCTION("IF('AYIRA MINI MART FINAL MENU - Pr'!A212="""", """", IF(LEN(IFERROR(TRIM(REGEXREPLACE(TRIM(REGEXEXTRACT('AYIRA MINI MART FINAL MENU - Pr'!A212, ""^[^\x{0600}-\x{06FF}]+"")), ""[-–]+$"", """")), """"))&gt;0, IFERROR(TRIM(REGEXREPLACE(TRIM(REGEXEXTRACT('AYIRA"&amp;" MINI MART FINAL MENU - Pr'!A212, ""^[^\x{0600}-\x{06FF}]+"")), ""[-–]+$"", """")), """"), GOOGLETRANSLATE('AYIRA MINI MART FINAL MENU - Pr'!A212, ""ar"", ""en"")))"),"Tang Orange Instant Drink Powder 375g")</f>
        <v>Tang Orange Instant Drink Powder 375g</v>
      </c>
      <c r="B212" s="56" t="str">
        <f>IFERROR(__xludf.DUMMYFUNCTION("IF('AYIRA MINI MART FINAL MENU - Pr'!B212="""", """", IF(LEN(IFERROR(TRIM(REGEXREPLACE(TRIM(REGEXEXTRACT('AYIRA MINI MART FINAL MENU - Pr'!B212, ""^[^\x{0600}-\x{06FF}]+"")), ""[-–]+$"", """")), """"))&gt;0, IFERROR(TRIM(REGEXREPLACE(TRIM(REGEXEXTRACT('AYIRA"&amp;" MINI MART FINAL MENU - Pr'!B212, ""^[^\x{0600}-\x{06FF}]+"")), ""[-–]+$"", """")), """"), GOOGLETRANSLATE('AYIRA MINI MART FINAL MENU - Pr'!B212, ""ar"", ""en"")))"),"Carbonated Soft Drinks")</f>
        <v>Carbonated Soft Drinks</v>
      </c>
      <c r="C212" s="58">
        <f>IF('AYIRA MINI MART FINAL MENU - Pr'!C212="", "", 'AYIRA MINI MART FINAL MENU - Pr'!C212)</f>
        <v>12</v>
      </c>
      <c r="D212" s="56" t="str">
        <f>IFERROR(__xludf.DUMMYFUNCTION("IF('AYIRA MINI MART FINAL MENU - Pr'!D212="""", """", GOOGLETRANSLATE('AYIRA MINI MART FINAL MENU - Pr'!D212, ""ar"", ""en""))"),"Discover Tang Orange Instant Drink Powder 375g, a premium product that combines high quality with great value. Made to the highest standards of quality and safety to ensure your complete satisfaction every time. Its excellent features make it the perfect "&amp;"choice for you and your family. Whether for everyday use or special occasions, it meets and exceeds your expectations. Get it now from Aira Mini Mart and enjoy a pleasant and reliable shopping experience.")</f>
        <v>Discover Tang Orange Instant Drink Powder 375g,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212" s="56" t="str">
        <f>IF('AYIRA MINI MART FINAL MENU - Pr'!K212="", "", 'AYIRA MINI MART FINAL MENU - Pr'!K212)</f>
        <v/>
      </c>
      <c r="F212" s="56"/>
      <c r="G212" s="56"/>
      <c r="H212" s="56"/>
      <c r="I212" s="56"/>
      <c r="J212" s="56"/>
      <c r="L212" s="56" t="str">
        <f>IF('AYIRA MINI MART FINAL MENU - Pr'!L212="", "", 'AYIRA MINI MART FINAL MENU - Pr'!L212)</f>
        <v/>
      </c>
      <c r="M212" s="56" t="str">
        <f>IF('AYIRA MINI MART FINAL MENU - Pr'!M212="", "", 'AYIRA MINI MART FINAL MENU - Pr'!M212)</f>
        <v/>
      </c>
      <c r="N212" s="56" t="str">
        <f>IF('AYIRA MINI MART FINAL MENU - Pr'!N212="", "", 'AYIRA MINI MART FINAL MENU - Pr'!N212)</f>
        <v/>
      </c>
      <c r="O212" s="57"/>
      <c r="P212" s="57"/>
      <c r="Q212" s="57"/>
      <c r="R212" s="57"/>
      <c r="S212" s="57"/>
      <c r="T212" s="57"/>
      <c r="U212" s="57"/>
      <c r="V212" s="57"/>
      <c r="W212" s="57"/>
      <c r="X212" s="57"/>
      <c r="Y212" s="57"/>
      <c r="Z212" s="57"/>
    </row>
    <row r="213">
      <c r="A213" s="56" t="str">
        <f>IFERROR(__xludf.DUMMYFUNCTION("IF('AYIRA MINI MART FINAL MENU - Pr'!A213="""", """", IF(LEN(IFERROR(TRIM(REGEXREPLACE(TRIM(REGEXEXTRACT('AYIRA MINI MART FINAL MENU - Pr'!A213, ""^[^\x{0600}-\x{06FF}]+"")), ""[-–]+$"", """")), """"))&gt;0, IFERROR(TRIM(REGEXREPLACE(TRIM(REGEXEXTRACT('AYIRA"&amp;" MINI MART FINAL MENU - Pr'!A213, ""^[^\x{0600}-\x{06FF}]+"")), ""[-–]+$"", """")), """"), GOOGLETRANSLATE('AYIRA MINI MART FINAL MENU - Pr'!A213, ""ar"", ""en"")))"),"Rani Float Pineapple 240ml – Rani Float")</f>
        <v>Rani Float Pineapple 240ml – Rani Float</v>
      </c>
      <c r="B213" s="56" t="str">
        <f>IFERROR(__xludf.DUMMYFUNCTION("IF('AYIRA MINI MART FINAL MENU - Pr'!B213="""", """", IF(LEN(IFERROR(TRIM(REGEXREPLACE(TRIM(REGEXEXTRACT('AYIRA MINI MART FINAL MENU - Pr'!B213, ""^[^\x{0600}-\x{06FF}]+"")), ""[-–]+$"", """")), """"))&gt;0, IFERROR(TRIM(REGEXREPLACE(TRIM(REGEXEXTRACT('AYIRA"&amp;" MINI MART FINAL MENU - Pr'!B213, ""^[^\x{0600}-\x{06FF}]+"")), ""[-–]+$"", """")), """"), GOOGLETRANSLATE('AYIRA MINI MART FINAL MENU - Pr'!B213, ""ar"", ""en"")))"),"Juices &amp; Fruit Drinks")</f>
        <v>Juices &amp; Fruit Drinks</v>
      </c>
      <c r="C213" s="58">
        <f>IF('AYIRA MINI MART FINAL MENU - Pr'!C213="", "", 'AYIRA MINI MART FINAL MENU - Pr'!C213)</f>
        <v>2</v>
      </c>
      <c r="D213" s="56" t="str">
        <f>IFERROR(__xludf.DUMMYFUNCTION("IF('AYIRA MINI MART FINAL MENU - Pr'!D213="""", """", GOOGLETRANSLATE('AYIRA MINI MART FINAL MENU - Pr'!D213, ""ar"", ""en""))"),"Discover Rani Float Pineapple 240ml, a premium product that combines high quality with exceptional value. Made to the highest standards of quality and safety to ensure your complete satisfaction every time, its excellent features make it the perfect choic"&amp;"e for you and your family. Whether for everyday use or special occasions, it meets and exceeds your expectations. Get it now from Aira Mini Mart and enjoy a pleasant and reliable shopping experience.")</f>
        <v>Discover Rani Float Pineapple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213" s="56" t="str">
        <f>IF('AYIRA MINI MART FINAL MENU - Pr'!K213="", "", 'AYIRA MINI MART FINAL MENU - Pr'!K213)</f>
        <v/>
      </c>
      <c r="F213" s="56"/>
      <c r="G213" s="56"/>
      <c r="H213" s="56"/>
      <c r="I213" s="56"/>
      <c r="J213" s="56"/>
      <c r="L213" s="56" t="str">
        <f>IF('AYIRA MINI MART FINAL MENU - Pr'!L213="", "", 'AYIRA MINI MART FINAL MENU - Pr'!L213)</f>
        <v/>
      </c>
      <c r="M213" s="56" t="str">
        <f>IF('AYIRA MINI MART FINAL MENU - Pr'!M213="", "", 'AYIRA MINI MART FINAL MENU - Pr'!M213)</f>
        <v/>
      </c>
      <c r="N213" s="56" t="str">
        <f>IF('AYIRA MINI MART FINAL MENU - Pr'!N213="", "", 'AYIRA MINI MART FINAL MENU - Pr'!N213)</f>
        <v/>
      </c>
      <c r="O213" s="57"/>
      <c r="P213" s="57"/>
      <c r="Q213" s="57"/>
      <c r="R213" s="57"/>
      <c r="S213" s="57"/>
      <c r="T213" s="57"/>
      <c r="U213" s="57"/>
      <c r="V213" s="57"/>
      <c r="W213" s="57"/>
      <c r="X213" s="57"/>
      <c r="Y213" s="57"/>
      <c r="Z213" s="57"/>
    </row>
    <row r="214">
      <c r="A214" s="56" t="str">
        <f>IFERROR(__xludf.DUMMYFUNCTION("IF('AYIRA MINI MART FINAL MENU - Pr'!A214="""", """", IF(LEN(IFERROR(TRIM(REGEXREPLACE(TRIM(REGEXEXTRACT('AYIRA MINI MART FINAL MENU - Pr'!A214, ""^[^\x{0600}-\x{06FF}]+"")), ""[-–]+$"", """")), """"))&gt;0, IFERROR(TRIM(REGEXREPLACE(TRIM(REGEXEXTRACT('AYIRA"&amp;" MINI MART FINAL MENU - Pr'!A214, ""^[^\x{0600}-\x{06FF}]+"")), ""[-–]+$"", """")), """"), GOOGLETRANSLATE('AYIRA MINI MART FINAL MENU - Pr'!A214, ""ar"", ""en"")))"),"Rani Float Orange 240ml – Rani Float")</f>
        <v>Rani Float Orange 240ml – Rani Float</v>
      </c>
      <c r="B214" s="56" t="str">
        <f>IFERROR(__xludf.DUMMYFUNCTION("IF('AYIRA MINI MART FINAL MENU - Pr'!B214="""", """", IF(LEN(IFERROR(TRIM(REGEXREPLACE(TRIM(REGEXEXTRACT('AYIRA MINI MART FINAL MENU - Pr'!B214, ""^[^\x{0600}-\x{06FF}]+"")), ""[-–]+$"", """")), """"))&gt;0, IFERROR(TRIM(REGEXREPLACE(TRIM(REGEXEXTRACT('AYIRA"&amp;" MINI MART FINAL MENU - Pr'!B214, ""^[^\x{0600}-\x{06FF}]+"")), ""[-–]+$"", """")), """"), GOOGLETRANSLATE('AYIRA MINI MART FINAL MENU - Pr'!B214, ""ar"", ""en"")))"),"Carbonated Soft Drinks")</f>
        <v>Carbonated Soft Drinks</v>
      </c>
      <c r="C214" s="58">
        <f>IF('AYIRA MINI MART FINAL MENU - Pr'!C214="", "", 'AYIRA MINI MART FINAL MENU - Pr'!C214)</f>
        <v>2</v>
      </c>
      <c r="D214" s="56" t="str">
        <f>IFERROR(__xludf.DUMMYFUNCTION("IF('AYIRA MINI MART FINAL MENU - Pr'!D214="""", """", GOOGLETRANSLATE('AYIRA MINI MART FINAL MENU - Pr'!D214, ""ar"", ""en""))"),"Discover Rani Float Orange 240ml, a premium product that combines high quality with exceptional value. Made to the highest standards of quality and safety to ensure your complete satisfaction every time, its excellent features make it the perfect choice f"&amp;"or you and your family. Whether for everyday use or special occasions, it meets and exceeds your expectations. Get it now from Aira Mini Mart and enjoy a pleasant and reliable shopping experience.")</f>
        <v>Discover Rani Float Orange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214" s="56" t="str">
        <f>IF('AYIRA MINI MART FINAL MENU - Pr'!K214="", "", 'AYIRA MINI MART FINAL MENU - Pr'!K214)</f>
        <v/>
      </c>
      <c r="F214" s="56"/>
      <c r="G214" s="56"/>
      <c r="H214" s="56"/>
      <c r="I214" s="56"/>
      <c r="J214" s="56"/>
      <c r="L214" s="56" t="str">
        <f>IF('AYIRA MINI MART FINAL MENU - Pr'!L214="", "", 'AYIRA MINI MART FINAL MENU - Pr'!L214)</f>
        <v/>
      </c>
      <c r="M214" s="56" t="str">
        <f>IF('AYIRA MINI MART FINAL MENU - Pr'!M214="", "", 'AYIRA MINI MART FINAL MENU - Pr'!M214)</f>
        <v/>
      </c>
      <c r="N214" s="56" t="str">
        <f>IF('AYIRA MINI MART FINAL MENU - Pr'!N214="", "", 'AYIRA MINI MART FINAL MENU - Pr'!N214)</f>
        <v/>
      </c>
      <c r="O214" s="57"/>
      <c r="P214" s="57"/>
      <c r="Q214" s="57"/>
      <c r="R214" s="57"/>
      <c r="S214" s="57"/>
      <c r="T214" s="57"/>
      <c r="U214" s="57"/>
      <c r="V214" s="57"/>
      <c r="W214" s="57"/>
      <c r="X214" s="57"/>
      <c r="Y214" s="57"/>
      <c r="Z214" s="57"/>
    </row>
    <row r="215">
      <c r="A215" s="56" t="str">
        <f>IFERROR(__xludf.DUMMYFUNCTION("IF('AYIRA MINI MART FINAL MENU - Pr'!A215="""", """", IF(LEN(IFERROR(TRIM(REGEXREPLACE(TRIM(REGEXEXTRACT('AYIRA MINI MART FINAL MENU - Pr'!A215, ""^[^\x{0600}-\x{06FF}]+"")), ""[-–]+$"", """")), """"))&gt;0, IFERROR(TRIM(REGEXREPLACE(TRIM(REGEXEXTRACT('AYIRA"&amp;" MINI MART FINAL MENU - Pr'!A215, ""^[^\x{0600}-\x{06FF}]+"")), ""[-–]+$"", """")), """"), GOOGLETRANSLATE('AYIRA MINI MART FINAL MENU - Pr'!A215, ""ar"", ""en"")))"),"Rani Float Cocktail 240ml – Rani Float Cocktail 240")</f>
        <v>Rani Float Cocktail 240ml – Rani Float Cocktail 240</v>
      </c>
      <c r="B215" s="56" t="str">
        <f>IFERROR(__xludf.DUMMYFUNCTION("IF('AYIRA MINI MART FINAL MENU - Pr'!B215="""", """", IF(LEN(IFERROR(TRIM(REGEXREPLACE(TRIM(REGEXEXTRACT('AYIRA MINI MART FINAL MENU - Pr'!B215, ""^[^\x{0600}-\x{06FF}]+"")), ""[-–]+$"", """")), """"))&gt;0, IFERROR(TRIM(REGEXREPLACE(TRIM(REGEXEXTRACT('AYIRA"&amp;" MINI MART FINAL MENU - Pr'!B215, ""^[^\x{0600}-\x{06FF}]+"")), ""[-–]+$"", """")), """"), GOOGLETRANSLATE('AYIRA MINI MART FINAL MENU - Pr'!B215, ""ar"", ""en"")))"),"Juices &amp; Fruit Drinks")</f>
        <v>Juices &amp; Fruit Drinks</v>
      </c>
      <c r="C215" s="58">
        <f>IF('AYIRA MINI MART FINAL MENU - Pr'!C215="", "", 'AYIRA MINI MART FINAL MENU - Pr'!C215)</f>
        <v>2</v>
      </c>
      <c r="D215" s="56" t="str">
        <f>IFERROR(__xludf.DUMMYFUNCTION("IF('AYIRA MINI MART FINAL MENU - Pr'!D215="""", """", GOOGLETRANSLATE('AYIRA MINI MART FINAL MENU - Pr'!D215, ""ar"", ""en""))"),"Discover Rani Float Cocktail 240ml, a premium product that combines high quality with exceptional value. Made to the highest standards of quality and safety to ensure your complete satisfaction every time, its excellent features make it the perfect choice"&amp;" for you and your family. Whether for everyday use or special occasions, it meets and exceeds your expectations. Get it now from Aira Mini Mart and enjoy a pleasant and reliable shopping experience.")</f>
        <v>Discover Rani Float Cocktail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215" s="56" t="str">
        <f>IF('AYIRA MINI MART FINAL MENU - Pr'!K215="", "", 'AYIRA MINI MART FINAL MENU - Pr'!K215)</f>
        <v/>
      </c>
      <c r="F215" s="56"/>
      <c r="G215" s="56"/>
      <c r="H215" s="56"/>
      <c r="I215" s="56"/>
      <c r="J215" s="56"/>
      <c r="L215" s="56" t="str">
        <f>IF('AYIRA MINI MART FINAL MENU - Pr'!L215="", "", 'AYIRA MINI MART FINAL MENU - Pr'!L215)</f>
        <v/>
      </c>
      <c r="M215" s="56" t="str">
        <f>IF('AYIRA MINI MART FINAL MENU - Pr'!M215="", "", 'AYIRA MINI MART FINAL MENU - Pr'!M215)</f>
        <v/>
      </c>
      <c r="N215" s="56" t="str">
        <f>IF('AYIRA MINI MART FINAL MENU - Pr'!N215="", "", 'AYIRA MINI MART FINAL MENU - Pr'!N215)</f>
        <v/>
      </c>
      <c r="O215" s="57"/>
      <c r="P215" s="57"/>
      <c r="Q215" s="57"/>
      <c r="R215" s="57"/>
      <c r="S215" s="57"/>
      <c r="T215" s="57"/>
      <c r="U215" s="57"/>
      <c r="V215" s="57"/>
      <c r="W215" s="57"/>
      <c r="X215" s="57"/>
      <c r="Y215" s="57"/>
      <c r="Z215" s="57"/>
    </row>
    <row r="216">
      <c r="A216" s="56" t="str">
        <f>IFERROR(__xludf.DUMMYFUNCTION("IF('AYIRA MINI MART FINAL MENU - Pr'!A216="""", """", IF(LEN(IFERROR(TRIM(REGEXREPLACE(TRIM(REGEXEXTRACT('AYIRA MINI MART FINAL MENU - Pr'!A216, ""^[^\x{0600}-\x{06FF}]+"")), ""[-–]+$"", """")), """"))&gt;0, IFERROR(TRIM(REGEXREPLACE(TRIM(REGEXEXTRACT('AYIRA"&amp;" MINI MART FINAL MENU - Pr'!A216, ""^[^\x{0600}-\x{06FF}]+"")), ""[-–]+$"", """")), """"), GOOGLETRANSLATE('AYIRA MINI MART FINAL MENU - Pr'!A216, ""ar"", ""en"")))"),"Rani Float Green Apple 238ml – Rani Float Green")</f>
        <v>Rani Float Green Apple 238ml – Rani Float Green</v>
      </c>
      <c r="B216" s="56" t="str">
        <f>IFERROR(__xludf.DUMMYFUNCTION("IF('AYIRA MINI MART FINAL MENU - Pr'!B216="""", """", IF(LEN(IFERROR(TRIM(REGEXREPLACE(TRIM(REGEXEXTRACT('AYIRA MINI MART FINAL MENU - Pr'!B216, ""^[^\x{0600}-\x{06FF}]+"")), ""[-–]+$"", """")), """"))&gt;0, IFERROR(TRIM(REGEXREPLACE(TRIM(REGEXEXTRACT('AYIRA"&amp;" MINI MART FINAL MENU - Pr'!B216, ""^[^\x{0600}-\x{06FF}]+"")), ""[-–]+$"", """")), """"), GOOGLETRANSLATE('AYIRA MINI MART FINAL MENU - Pr'!B216, ""ar"", ""en"")))"),"Juices &amp; Fruit Drinks")</f>
        <v>Juices &amp; Fruit Drinks</v>
      </c>
      <c r="C216" s="58">
        <f>IF('AYIRA MINI MART FINAL MENU - Pr'!C216="", "", 'AYIRA MINI MART FINAL MENU - Pr'!C216)</f>
        <v>2</v>
      </c>
      <c r="D216" s="56" t="str">
        <f>IFERROR(__xludf.DUMMYFUNCTION("IF('AYIRA MINI MART FINAL MENU - Pr'!D216="""", """", GOOGLETRANSLATE('AYIRA MINI MART FINAL MENU - Pr'!D216, ""ar"", ""en""))"),"Discover Rani Float Green Apple 238ml, a premium product that combines high quality with exceptional value. Made to the highest standards of quality and safety to ensure your complete satisfaction every time. Its excellent features make it the perfect cho"&amp;"ice for you and your family. Whether for everyday use or special occasions, it meets and exceeds your expectations. Get it now from Aira Mini Mart and enjoy a pleasant and reliable shopping experience.")</f>
        <v>Discover Rani Float Green Apple 238ml,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216" s="56" t="str">
        <f>IF('AYIRA MINI MART FINAL MENU - Pr'!K216="", "", 'AYIRA MINI MART FINAL MENU - Pr'!K216)</f>
        <v/>
      </c>
      <c r="F216" s="56"/>
      <c r="G216" s="56"/>
      <c r="H216" s="56"/>
      <c r="I216" s="56"/>
      <c r="J216" s="56"/>
      <c r="L216" s="56" t="str">
        <f>IF('AYIRA MINI MART FINAL MENU - Pr'!L216="", "", 'AYIRA MINI MART FINAL MENU - Pr'!L216)</f>
        <v/>
      </c>
      <c r="M216" s="56" t="str">
        <f>IF('AYIRA MINI MART FINAL MENU - Pr'!M216="", "", 'AYIRA MINI MART FINAL MENU - Pr'!M216)</f>
        <v/>
      </c>
      <c r="N216" s="56" t="str">
        <f>IF('AYIRA MINI MART FINAL MENU - Pr'!N216="", "", 'AYIRA MINI MART FINAL MENU - Pr'!N216)</f>
        <v/>
      </c>
      <c r="O216" s="57"/>
      <c r="P216" s="57"/>
      <c r="Q216" s="57"/>
      <c r="R216" s="57"/>
      <c r="S216" s="57"/>
      <c r="T216" s="57"/>
      <c r="U216" s="57"/>
      <c r="V216" s="57"/>
      <c r="W216" s="57"/>
      <c r="X216" s="57"/>
      <c r="Y216" s="57"/>
      <c r="Z216" s="57"/>
    </row>
    <row r="217">
      <c r="A217" s="56" t="str">
        <f>IFERROR(__xludf.DUMMYFUNCTION("IF('AYIRA MINI MART FINAL MENU - Pr'!A217="""", """", IF(LEN(IFERROR(TRIM(REGEXREPLACE(TRIM(REGEXEXTRACT('AYIRA MINI MART FINAL MENU - Pr'!A217, ""^[^\x{0600}-\x{06FF}]+"")), ""[-–]+$"", """")), """"))&gt;0, IFERROR(TRIM(REGEXREPLACE(TRIM(REGEXEXTRACT('AYIRA"&amp;" MINI MART FINAL MENU - Pr'!A217, ""^[^\x{0600}-\x{06FF}]+"")), ""[-–]+$"", """")), """"), GOOGLETRANSLATE('AYIRA MINI MART FINAL MENU - Pr'!A217, ""ar"", ""en"")))"),"Rani Float Peach 240ml – Rani Float")</f>
        <v>Rani Float Peach 240ml – Rani Float</v>
      </c>
      <c r="B217" s="56" t="str">
        <f>IFERROR(__xludf.DUMMYFUNCTION("IF('AYIRA MINI MART FINAL MENU - Pr'!B217="""", """", IF(LEN(IFERROR(TRIM(REGEXREPLACE(TRIM(REGEXEXTRACT('AYIRA MINI MART FINAL MENU - Pr'!B217, ""^[^\x{0600}-\x{06FF}]+"")), ""[-–]+$"", """")), """"))&gt;0, IFERROR(TRIM(REGEXREPLACE(TRIM(REGEXEXTRACT('AYIRA"&amp;" MINI MART FINAL MENU - Pr'!B217, ""^[^\x{0600}-\x{06FF}]+"")), ""[-–]+$"", """")), """"), GOOGLETRANSLATE('AYIRA MINI MART FINAL MENU - Pr'!B217, ""ar"", ""en"")))"),"Juices &amp; Fruit Drinks")</f>
        <v>Juices &amp; Fruit Drinks</v>
      </c>
      <c r="C217" s="58">
        <f>IF('AYIRA MINI MART FINAL MENU - Pr'!C217="", "", 'AYIRA MINI MART FINAL MENU - Pr'!C217)</f>
        <v>2</v>
      </c>
      <c r="D217" s="56" t="str">
        <f>IFERROR(__xludf.DUMMYFUNCTION("IF('AYIRA MINI MART FINAL MENU - Pr'!D217="""", """", GOOGLETRANSLATE('AYIRA MINI MART FINAL MENU - Pr'!D217, ""ar"", ""en""))"),"Discover Rani Float Peach 240ml, a premium product that combines high quality with exceptional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Rani Float Peach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217" s="56" t="str">
        <f>IF('AYIRA MINI MART FINAL MENU - Pr'!K217="", "", 'AYIRA MINI MART FINAL MENU - Pr'!K217)</f>
        <v/>
      </c>
      <c r="F217" s="56"/>
      <c r="G217" s="56"/>
      <c r="H217" s="56"/>
      <c r="I217" s="56"/>
      <c r="J217" s="56"/>
      <c r="L217" s="56" t="str">
        <f>IF('AYIRA MINI MART FINAL MENU - Pr'!L217="", "", 'AYIRA MINI MART FINAL MENU - Pr'!L217)</f>
        <v/>
      </c>
      <c r="M217" s="56" t="str">
        <f>IF('AYIRA MINI MART FINAL MENU - Pr'!M217="", "", 'AYIRA MINI MART FINAL MENU - Pr'!M217)</f>
        <v/>
      </c>
      <c r="N217" s="56" t="str">
        <f>IF('AYIRA MINI MART FINAL MENU - Pr'!N217="", "", 'AYIRA MINI MART FINAL MENU - Pr'!N217)</f>
        <v/>
      </c>
      <c r="O217" s="57"/>
      <c r="P217" s="57"/>
      <c r="Q217" s="57"/>
      <c r="R217" s="57"/>
      <c r="S217" s="57"/>
      <c r="T217" s="57"/>
      <c r="U217" s="57"/>
      <c r="V217" s="57"/>
      <c r="W217" s="57"/>
      <c r="X217" s="57"/>
      <c r="Y217" s="57"/>
      <c r="Z217" s="57"/>
    </row>
    <row r="218">
      <c r="A218" s="56" t="str">
        <f>IFERROR(__xludf.DUMMYFUNCTION("IF('AYIRA MINI MART FINAL MENU - Pr'!A218="""", """", IF(LEN(IFERROR(TRIM(REGEXREPLACE(TRIM(REGEXEXTRACT('AYIRA MINI MART FINAL MENU - Pr'!A218, ""^[^\x{0600}-\x{06FF}]+"")), ""[-–]+$"", """")), """"))&gt;0, IFERROR(TRIM(REGEXREPLACE(TRIM(REGEXEXTRACT('AYIRA"&amp;" MINI MART FINAL MENU - Pr'!A218, ""^[^\x{0600}-\x{06FF}]+"")), ""[-–]+$"", """")), """"), GOOGLETRANSLATE('AYIRA MINI MART FINAL MENU - Pr'!A218, ""ar"", ""en"")))"),"Rani Float Guava 240ml – Rani Float")</f>
        <v>Rani Float Guava 240ml – Rani Float</v>
      </c>
      <c r="B218" s="56" t="str">
        <f>IFERROR(__xludf.DUMMYFUNCTION("IF('AYIRA MINI MART FINAL MENU - Pr'!B218="""", """", IF(LEN(IFERROR(TRIM(REGEXREPLACE(TRIM(REGEXEXTRACT('AYIRA MINI MART FINAL MENU - Pr'!B218, ""^[^\x{0600}-\x{06FF}]+"")), ""[-–]+$"", """")), """"))&gt;0, IFERROR(TRIM(REGEXREPLACE(TRIM(REGEXEXTRACT('AYIRA"&amp;" MINI MART FINAL MENU - Pr'!B218, ""^[^\x{0600}-\x{06FF}]+"")), ""[-–]+$"", """")), """"), GOOGLETRANSLATE('AYIRA MINI MART FINAL MENU - Pr'!B218, ""ar"", ""en"")))"),"Juices &amp; Fruit Drinks")</f>
        <v>Juices &amp; Fruit Drinks</v>
      </c>
      <c r="C218" s="58">
        <f>IF('AYIRA MINI MART FINAL MENU - Pr'!C218="", "", 'AYIRA MINI MART FINAL MENU - Pr'!C218)</f>
        <v>2</v>
      </c>
      <c r="D218" s="56" t="str">
        <f>IFERROR(__xludf.DUMMYFUNCTION("IF('AYIRA MINI MART FINAL MENU - Pr'!D218="""", """", GOOGLETRANSLATE('AYIRA MINI MART FINAL MENU - Pr'!D218, ""ar"", ""en""))"),"Discover Rani Float Guava 240ml, a premium product that combines high quality with exceptional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Rani Float Guava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218" s="56" t="str">
        <f>IF('AYIRA MINI MART FINAL MENU - Pr'!K218="", "", 'AYIRA MINI MART FINAL MENU - Pr'!K218)</f>
        <v/>
      </c>
      <c r="F218" s="56"/>
      <c r="G218" s="56"/>
      <c r="H218" s="56"/>
      <c r="I218" s="56"/>
      <c r="J218" s="56"/>
      <c r="L218" s="56" t="str">
        <f>IF('AYIRA MINI MART FINAL MENU - Pr'!L218="", "", 'AYIRA MINI MART FINAL MENU - Pr'!L218)</f>
        <v/>
      </c>
      <c r="M218" s="56" t="str">
        <f>IF('AYIRA MINI MART FINAL MENU - Pr'!M218="", "", 'AYIRA MINI MART FINAL MENU - Pr'!M218)</f>
        <v/>
      </c>
      <c r="N218" s="56" t="str">
        <f>IF('AYIRA MINI MART FINAL MENU - Pr'!N218="", "", 'AYIRA MINI MART FINAL MENU - Pr'!N218)</f>
        <v/>
      </c>
      <c r="O218" s="57"/>
      <c r="P218" s="57"/>
      <c r="Q218" s="57"/>
      <c r="R218" s="57"/>
      <c r="S218" s="57"/>
      <c r="T218" s="57"/>
      <c r="U218" s="57"/>
      <c r="V218" s="57"/>
      <c r="W218" s="57"/>
      <c r="X218" s="57"/>
      <c r="Y218" s="57"/>
      <c r="Z218" s="57"/>
    </row>
    <row r="219">
      <c r="A219" s="56" t="str">
        <f>IFERROR(__xludf.DUMMYFUNCTION("IF('AYIRA MINI MART FINAL MENU - Pr'!A219="""", """", IF(LEN(IFERROR(TRIM(REGEXREPLACE(TRIM(REGEXEXTRACT('AYIRA MINI MART FINAL MENU - Pr'!A219, ""^[^\x{0600}-\x{06FF}]+"")), ""[-–]+$"", """")), """"))&gt;0, IFERROR(TRIM(REGEXREPLACE(TRIM(REGEXEXTRACT('AYIRA"&amp;" MINI MART FINAL MENU - Pr'!A219, ""^[^\x{0600}-\x{06FF}]+"")), ""[-–]+$"", """")), """"), GOOGLETRANSLATE('AYIRA MINI MART FINAL MENU - Pr'!A219, ""ar"", ""en"")))"),"Rani Float Pineapple Coconut 240ml – Rani Float")</f>
        <v>Rani Float Pineapple Coconut 240ml – Rani Float</v>
      </c>
      <c r="B219" s="56" t="str">
        <f>IFERROR(__xludf.DUMMYFUNCTION("IF('AYIRA MINI MART FINAL MENU - Pr'!B219="""", """", IF(LEN(IFERROR(TRIM(REGEXREPLACE(TRIM(REGEXEXTRACT('AYIRA MINI MART FINAL MENU - Pr'!B219, ""^[^\x{0600}-\x{06FF}]+"")), ""[-–]+$"", """")), """"))&gt;0, IFERROR(TRIM(REGEXREPLACE(TRIM(REGEXEXTRACT('AYIRA"&amp;" MINI MART FINAL MENU - Pr'!B219, ""^[^\x{0600}-\x{06FF}]+"")), ""[-–]+$"", """")), """"), GOOGLETRANSLATE('AYIRA MINI MART FINAL MENU - Pr'!B219, ""ar"", ""en"")))"),"Juices &amp; Fruit Drinks")</f>
        <v>Juices &amp; Fruit Drinks</v>
      </c>
      <c r="C219" s="58">
        <f>IF('AYIRA MINI MART FINAL MENU - Pr'!C219="", "", 'AYIRA MINI MART FINAL MENU - Pr'!C219)</f>
        <v>2</v>
      </c>
      <c r="D219" s="56" t="str">
        <f>IFERROR(__xludf.DUMMYFUNCTION("IF('AYIRA MINI MART FINAL MENU - Pr'!D219="""", """", GOOGLETRANSLATE('AYIRA MINI MART FINAL MENU - Pr'!D219, ""ar"", ""en""))"),"Choose Rani Float Pineapple Coconut 240ml, a natural nut rich in protein and healthy fats essential for your body. Made from the finest, carefully selected nuts to ensure the highest levels of purity and taste. It's the perfect healthy and nutritious snac"&amp;"k between meals. Supports heart health and provides the energy you need. Available at Aira Mini Mart with the highest quality and best prices.")</f>
        <v>Choose Rani Float Pineapple Coconut 240ml, a natural nut rich in protein and healthy fats essential for your body. Made from the finest, carefully selected nuts to ensure the highest levels of purity and taste. It's the perfect healthy and nutritious snack between meals. Supports heart health and provides the energy you need. Available at Aira Mini Mart with the highest quality and best prices.</v>
      </c>
      <c r="E219" s="56" t="str">
        <f>IF('AYIRA MINI MART FINAL MENU - Pr'!K219="", "", 'AYIRA MINI MART FINAL MENU - Pr'!K219)</f>
        <v/>
      </c>
      <c r="F219" s="56"/>
      <c r="G219" s="56"/>
      <c r="H219" s="56"/>
      <c r="I219" s="56"/>
      <c r="J219" s="56"/>
      <c r="L219" s="56" t="str">
        <f>IF('AYIRA MINI MART FINAL MENU - Pr'!L219="", "", 'AYIRA MINI MART FINAL MENU - Pr'!L219)</f>
        <v/>
      </c>
      <c r="M219" s="56" t="str">
        <f>IF('AYIRA MINI MART FINAL MENU - Pr'!M219="", "", 'AYIRA MINI MART FINAL MENU - Pr'!M219)</f>
        <v/>
      </c>
      <c r="N219" s="56" t="str">
        <f>IF('AYIRA MINI MART FINAL MENU - Pr'!N219="", "", 'AYIRA MINI MART FINAL MENU - Pr'!N219)</f>
        <v/>
      </c>
      <c r="O219" s="57"/>
      <c r="P219" s="57"/>
      <c r="Q219" s="57"/>
      <c r="R219" s="57"/>
      <c r="S219" s="57"/>
      <c r="T219" s="57"/>
      <c r="U219" s="57"/>
      <c r="V219" s="57"/>
      <c r="W219" s="57"/>
      <c r="X219" s="57"/>
      <c r="Y219" s="57"/>
      <c r="Z219" s="57"/>
    </row>
    <row r="220">
      <c r="A220" s="56" t="str">
        <f>IFERROR(__xludf.DUMMYFUNCTION("IF('AYIRA MINI MART FINAL MENU - Pr'!A220="""", """", IF(LEN(IFERROR(TRIM(REGEXREPLACE(TRIM(REGEXEXTRACT('AYIRA MINI MART FINAL MENU - Pr'!A220, ""^[^\x{0600}-\x{06FF}]+"")), ""[-–]+$"", """")), """"))&gt;0, IFERROR(TRIM(REGEXREPLACE(TRIM(REGEXEXTRACT('AYIRA"&amp;" MINI MART FINAL MENU - Pr'!A220, ""^[^\x{0600}-\x{06FF}]+"")), ""[-–]+$"", """")), """"), GOOGLETRANSLATE('AYIRA MINI MART FINAL MENU - Pr'!A220, ""ar"", ""en"")))"),"Rani Guava Juice 1.4L – Rani")</f>
        <v>Rani Guava Juice 1.4L – Rani</v>
      </c>
      <c r="B220" s="56" t="str">
        <f>IFERROR(__xludf.DUMMYFUNCTION("IF('AYIRA MINI MART FINAL MENU - Pr'!B220="""", """", IF(LEN(IFERROR(TRIM(REGEXREPLACE(TRIM(REGEXEXTRACT('AYIRA MINI MART FINAL MENU - Pr'!B220, ""^[^\x{0600}-\x{06FF}]+"")), ""[-–]+$"", """")), """"))&gt;0, IFERROR(TRIM(REGEXREPLACE(TRIM(REGEXEXTRACT('AYIRA"&amp;" MINI MART FINAL MENU - Pr'!B220, ""^[^\x{0600}-\x{06FF}]+"")), ""[-–]+$"", """")), """"), GOOGLETRANSLATE('AYIRA MINI MART FINAL MENU - Pr'!B220, ""ar"", ""en"")))"),"Juices &amp; Fruit Drinks")</f>
        <v>Juices &amp; Fruit Drinks</v>
      </c>
      <c r="C220" s="58">
        <f>IF('AYIRA MINI MART FINAL MENU - Pr'!C220="", "", 'AYIRA MINI MART FINAL MENU - Pr'!C220)</f>
        <v>5.5</v>
      </c>
      <c r="D220" s="56" t="str">
        <f>IFERROR(__xludf.DUMMYFUNCTION("IF('AYIRA MINI MART FINAL MENU - Pr'!D220="""", """", GOOGLETRANSLATE('AYIRA MINI MART FINAL MENU - Pr'!D220, ""ar"", ""en""))"),"Take care of your health with Rani Guava Juice 1.4L, a fresh juice packed with essential vitamins and minerals. Made from carefully selected, high-quality fruits for a delicious taste and superior nutritional value. It provides natural energy and boosts y"&amp;"our immune system thanks to its rich composition. Perfect for your daily breakfast or as a healthy drink anytime. Order now from Aira Mini Mart and enjoy every drop of this delicious and nutritious juice.")</f>
        <v>Take care of your health with Rani Guava Juice 1.4L,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220" s="56" t="str">
        <f>IF('AYIRA MINI MART FINAL MENU - Pr'!K220="", "", 'AYIRA MINI MART FINAL MENU - Pr'!K220)</f>
        <v/>
      </c>
      <c r="F220" s="56"/>
      <c r="G220" s="56"/>
      <c r="H220" s="56"/>
      <c r="I220" s="56"/>
      <c r="J220" s="56"/>
      <c r="L220" s="56" t="str">
        <f>IF('AYIRA MINI MART FINAL MENU - Pr'!L220="", "", 'AYIRA MINI MART FINAL MENU - Pr'!L220)</f>
        <v/>
      </c>
      <c r="M220" s="56" t="str">
        <f>IF('AYIRA MINI MART FINAL MENU - Pr'!M220="", "", 'AYIRA MINI MART FINAL MENU - Pr'!M220)</f>
        <v/>
      </c>
      <c r="N220" s="56" t="str">
        <f>IF('AYIRA MINI MART FINAL MENU - Pr'!N220="", "", 'AYIRA MINI MART FINAL MENU - Pr'!N220)</f>
        <v/>
      </c>
      <c r="O220" s="57"/>
      <c r="P220" s="57"/>
      <c r="Q220" s="57"/>
      <c r="R220" s="57"/>
      <c r="S220" s="57"/>
      <c r="T220" s="57"/>
      <c r="U220" s="57"/>
      <c r="V220" s="57"/>
      <c r="W220" s="57"/>
      <c r="X220" s="57"/>
      <c r="Y220" s="57"/>
      <c r="Z220" s="57"/>
    </row>
    <row r="221">
      <c r="A221" s="56" t="str">
        <f>IFERROR(__xludf.DUMMYFUNCTION("IF('AYIRA MINI MART FINAL MENU - Pr'!A221="""", """", IF(LEN(IFERROR(TRIM(REGEXREPLACE(TRIM(REGEXEXTRACT('AYIRA MINI MART FINAL MENU - Pr'!A221, ""^[^\x{0600}-\x{06FF}]+"")), ""[-–]+$"", """")), """"))&gt;0, IFERROR(TRIM(REGEXREPLACE(TRIM(REGEXEXTRACT('AYIRA"&amp;" MINI MART FINAL MENU - Pr'!A221, ""^[^\x{0600}-\x{06FF}]+"")), ""[-–]+$"", """")), """"), GOOGLETRANSLATE('AYIRA MINI MART FINAL MENU - Pr'!A221, ""ar"", ""en"")))"),"Rani Apple Juice 1.4L – Rani")</f>
        <v>Rani Apple Juice 1.4L – Rani</v>
      </c>
      <c r="B221" s="56" t="str">
        <f>IFERROR(__xludf.DUMMYFUNCTION("IF('AYIRA MINI MART FINAL MENU - Pr'!B221="""", """", IF(LEN(IFERROR(TRIM(REGEXREPLACE(TRIM(REGEXEXTRACT('AYIRA MINI MART FINAL MENU - Pr'!B221, ""^[^\x{0600}-\x{06FF}]+"")), ""[-–]+$"", """")), """"))&gt;0, IFERROR(TRIM(REGEXREPLACE(TRIM(REGEXEXTRACT('AYIRA"&amp;" MINI MART FINAL MENU - Pr'!B221, ""^[^\x{0600}-\x{06FF}]+"")), ""[-–]+$"", """")), """"), GOOGLETRANSLATE('AYIRA MINI MART FINAL MENU - Pr'!B221, ""ar"", ""en"")))"),"Juices &amp; Fruit Drinks")</f>
        <v>Juices &amp; Fruit Drinks</v>
      </c>
      <c r="C221" s="58">
        <f>IF('AYIRA MINI MART FINAL MENU - Pr'!C221="", "", 'AYIRA MINI MART FINAL MENU - Pr'!C221)</f>
        <v>5.5</v>
      </c>
      <c r="D221" s="56" t="str">
        <f>IFERROR(__xludf.DUMMYFUNCTION("IF('AYIRA MINI MART FINAL MENU - Pr'!D221="""", """", GOOGLETRANSLATE('AYIRA MINI MART FINAL MENU - Pr'!D221, ""ar"", ""en""))"),"Take care of your health with Rani Apple Juice 1.4L, a fresh juice packed with essential vitamins and minerals. Made from carefully selected, high-quality fruits for a delicious taste and superior nutritional value. It provides natural energy and boosts y"&amp;"our immune system thanks to its rich composition. Perfect for your daily breakfast or as a healthy drink anytime. Order now from Aira Mini Mart and enjoy every drop of this delicious and nutritious juice.")</f>
        <v>Take care of your health with Rani Apple Juice 1.4L,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221" s="56" t="str">
        <f>IF('AYIRA MINI MART FINAL MENU - Pr'!K221="", "", 'AYIRA MINI MART FINAL MENU - Pr'!K221)</f>
        <v/>
      </c>
      <c r="F221" s="56"/>
      <c r="G221" s="56"/>
      <c r="H221" s="56"/>
      <c r="I221" s="56"/>
      <c r="J221" s="56"/>
      <c r="L221" s="56" t="str">
        <f>IF('AYIRA MINI MART FINAL MENU - Pr'!L221="", "", 'AYIRA MINI MART FINAL MENU - Pr'!L221)</f>
        <v/>
      </c>
      <c r="M221" s="56" t="str">
        <f>IF('AYIRA MINI MART FINAL MENU - Pr'!M221="", "", 'AYIRA MINI MART FINAL MENU - Pr'!M221)</f>
        <v/>
      </c>
      <c r="N221" s="56" t="str">
        <f>IF('AYIRA MINI MART FINAL MENU - Pr'!N221="", "", 'AYIRA MINI MART FINAL MENU - Pr'!N221)</f>
        <v/>
      </c>
      <c r="O221" s="57"/>
      <c r="P221" s="57"/>
      <c r="Q221" s="57"/>
      <c r="R221" s="57"/>
      <c r="S221" s="57"/>
      <c r="T221" s="57"/>
      <c r="U221" s="57"/>
      <c r="V221" s="57"/>
      <c r="W221" s="57"/>
      <c r="X221" s="57"/>
      <c r="Y221" s="57"/>
      <c r="Z221" s="57"/>
    </row>
    <row r="222">
      <c r="A222" s="56" t="str">
        <f>IFERROR(__xludf.DUMMYFUNCTION("IF('AYIRA MINI MART FINAL MENU - Pr'!A222="""", """", IF(LEN(IFERROR(TRIM(REGEXREPLACE(TRIM(REGEXEXTRACT('AYIRA MINI MART FINAL MENU - Pr'!A222, ""^[^\x{0600}-\x{06FF}]+"")), ""[-–]+$"", """")), """"))&gt;0, IFERROR(TRIM(REGEXREPLACE(TRIM(REGEXEXTRACT('AYIRA"&amp;" MINI MART FINAL MENU - Pr'!A222, ""^[^\x{0600}-\x{06FF}]+"")), ""[-–]+$"", """")), """"), GOOGLETRANSLATE('AYIRA MINI MART FINAL MENU - Pr'!A222, ""ar"", ""en"")))"),"Rani Mango Juice 1.4L – Rani")</f>
        <v>Rani Mango Juice 1.4L – Rani</v>
      </c>
      <c r="B222" s="56" t="str">
        <f>IFERROR(__xludf.DUMMYFUNCTION("IF('AYIRA MINI MART FINAL MENU - Pr'!B222="""", """", IF(LEN(IFERROR(TRIM(REGEXREPLACE(TRIM(REGEXEXTRACT('AYIRA MINI MART FINAL MENU - Pr'!B222, ""^[^\x{0600}-\x{06FF}]+"")), ""[-–]+$"", """")), """"))&gt;0, IFERROR(TRIM(REGEXREPLACE(TRIM(REGEXEXTRACT('AYIRA"&amp;" MINI MART FINAL MENU - Pr'!B222, ""^[^\x{0600}-\x{06FF}]+"")), ""[-–]+$"", """")), """"), GOOGLETRANSLATE('AYIRA MINI MART FINAL MENU - Pr'!B222, ""ar"", ""en"")))"),"Juices &amp; Fruit Drinks")</f>
        <v>Juices &amp; Fruit Drinks</v>
      </c>
      <c r="C222" s="58">
        <f>IF('AYIRA MINI MART FINAL MENU - Pr'!C222="", "", 'AYIRA MINI MART FINAL MENU - Pr'!C222)</f>
        <v>5.5</v>
      </c>
      <c r="D222" s="56" t="str">
        <f>IFERROR(__xludf.DUMMYFUNCTION("IF('AYIRA MINI MART FINAL MENU - Pr'!D222="""", """", GOOGLETRANSLATE('AYIRA MINI MART FINAL MENU - Pr'!D222, ""ar"", ""en""))"),"Take care of your health with Rani Mango Juice 1.4L, a fresh juice packed with essential vitamins and minerals. Made from carefully selected, high-quality fruits for a delicious taste and superior nutritional value. It provides natural energy and boosts y"&amp;"our immune system thanks to its rich composition. Perfect for your daily breakfast or as a healthy drink anytime. Order now from Aira Mini Mart and enjoy every drop of this delicious and nutritious juice.")</f>
        <v>Take care of your health with Rani Mango Juice 1.4L,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222" s="56" t="str">
        <f>IF('AYIRA MINI MART FINAL MENU - Pr'!K222="", "", 'AYIRA MINI MART FINAL MENU - Pr'!K222)</f>
        <v/>
      </c>
      <c r="F222" s="56"/>
      <c r="G222" s="56"/>
      <c r="H222" s="56"/>
      <c r="I222" s="56"/>
      <c r="J222" s="56"/>
      <c r="L222" s="56" t="str">
        <f>IF('AYIRA MINI MART FINAL MENU - Pr'!L222="", "", 'AYIRA MINI MART FINAL MENU - Pr'!L222)</f>
        <v/>
      </c>
      <c r="M222" s="56" t="str">
        <f>IF('AYIRA MINI MART FINAL MENU - Pr'!M222="", "", 'AYIRA MINI MART FINAL MENU - Pr'!M222)</f>
        <v/>
      </c>
      <c r="N222" s="56" t="str">
        <f>IF('AYIRA MINI MART FINAL MENU - Pr'!N222="", "", 'AYIRA MINI MART FINAL MENU - Pr'!N222)</f>
        <v/>
      </c>
      <c r="O222" s="57"/>
      <c r="P222" s="57"/>
      <c r="Q222" s="57"/>
      <c r="R222" s="57"/>
      <c r="S222" s="57"/>
      <c r="T222" s="57"/>
      <c r="U222" s="57"/>
      <c r="V222" s="57"/>
      <c r="W222" s="57"/>
      <c r="X222" s="57"/>
      <c r="Y222" s="57"/>
      <c r="Z222" s="57"/>
    </row>
    <row r="223">
      <c r="A223" s="56" t="str">
        <f>IFERROR(__xludf.DUMMYFUNCTION("IF('AYIRA MINI MART FINAL MENU - Pr'!A223="""", """", IF(LEN(IFERROR(TRIM(REGEXREPLACE(TRIM(REGEXEXTRACT('AYIRA MINI MART FINAL MENU - Pr'!A223, ""^[^\x{0600}-\x{06FF}]+"")), ""[-–]+$"", """")), """"))&gt;0, IFERROR(TRIM(REGEXREPLACE(TRIM(REGEXEXTRACT('AYIRA"&amp;" MINI MART FINAL MENU - Pr'!A223, ""^[^\x{0600}-\x{06FF}]+"")), ""[-–]+$"", """")), """"), GOOGLETRANSLATE('AYIRA MINI MART FINAL MENU - Pr'!A223, ""ar"", ""en"")))"),"Rani Orange Juice 1.4L – Rani")</f>
        <v>Rani Orange Juice 1.4L – Rani</v>
      </c>
      <c r="B223" s="56" t="str">
        <f>IFERROR(__xludf.DUMMYFUNCTION("IF('AYIRA MINI MART FINAL MENU - Pr'!B223="""", """", IF(LEN(IFERROR(TRIM(REGEXREPLACE(TRIM(REGEXEXTRACT('AYIRA MINI MART FINAL MENU - Pr'!B223, ""^[^\x{0600}-\x{06FF}]+"")), ""[-–]+$"", """")), """"))&gt;0, IFERROR(TRIM(REGEXREPLACE(TRIM(REGEXEXTRACT('AYIRA"&amp;" MINI MART FINAL MENU - Pr'!B223, ""^[^\x{0600}-\x{06FF}]+"")), ""[-–]+$"", """")), """"), GOOGLETRANSLATE('AYIRA MINI MART FINAL MENU - Pr'!B223, ""ar"", ""en"")))"),"Juices &amp; Fruit Drinks")</f>
        <v>Juices &amp; Fruit Drinks</v>
      </c>
      <c r="C223" s="58">
        <f>IF('AYIRA MINI MART FINAL MENU - Pr'!C223="", "", 'AYIRA MINI MART FINAL MENU - Pr'!C223)</f>
        <v>5.5</v>
      </c>
      <c r="D223" s="56" t="str">
        <f>IFERROR(__xludf.DUMMYFUNCTION("IF('AYIRA MINI MART FINAL MENU - Pr'!D223="""", """", GOOGLETRANSLATE('AYIRA MINI MART FINAL MENU - Pr'!D223, ""ar"", ""en""))"),"Take care of your health with Rani Orange Juice 1.4L, a fresh juice packed with essential vitamins and minerals. Made from carefully selected, high-quality fruits for a delicious taste and superior nutritional value. It provides natural energy and boosts "&amp;"your immune system thanks to its rich composition. Perfect for your daily breakfast or as a healthy drink anytime. Order now from Aira Mini Mart and enjoy every drop of this delicious and nutritious juice.")</f>
        <v>Take care of your health with Rani Orange Juice 1.4L,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223" s="56" t="str">
        <f>IF('AYIRA MINI MART FINAL MENU - Pr'!K223="", "", 'AYIRA MINI MART FINAL MENU - Pr'!K223)</f>
        <v/>
      </c>
      <c r="F223" s="56"/>
      <c r="G223" s="56"/>
      <c r="H223" s="56"/>
      <c r="I223" s="56"/>
      <c r="J223" s="56"/>
      <c r="L223" s="56" t="str">
        <f>IF('AYIRA MINI MART FINAL MENU - Pr'!L223="", "", 'AYIRA MINI MART FINAL MENU - Pr'!L223)</f>
        <v/>
      </c>
      <c r="M223" s="56" t="str">
        <f>IF('AYIRA MINI MART FINAL MENU - Pr'!M223="", "", 'AYIRA MINI MART FINAL MENU - Pr'!M223)</f>
        <v/>
      </c>
      <c r="N223" s="56" t="str">
        <f>IF('AYIRA MINI MART FINAL MENU - Pr'!N223="", "", 'AYIRA MINI MART FINAL MENU - Pr'!N223)</f>
        <v/>
      </c>
      <c r="O223" s="57"/>
      <c r="P223" s="57"/>
      <c r="Q223" s="57"/>
      <c r="R223" s="57"/>
      <c r="S223" s="57"/>
      <c r="T223" s="57"/>
      <c r="U223" s="57"/>
      <c r="V223" s="57"/>
      <c r="W223" s="57"/>
      <c r="X223" s="57"/>
      <c r="Y223" s="57"/>
      <c r="Z223" s="57"/>
    </row>
    <row r="224">
      <c r="A224" s="56" t="str">
        <f>IFERROR(__xludf.DUMMYFUNCTION("IF('AYIRA MINI MART FINAL MENU - Pr'!A224="""", """", IF(LEN(IFERROR(TRIM(REGEXREPLACE(TRIM(REGEXEXTRACT('AYIRA MINI MART FINAL MENU - Pr'!A224, ""^[^\x{0600}-\x{06FF}]+"")), ""[-–]+$"", """")), """"))&gt;0, IFERROR(TRIM(REGEXREPLACE(TRIM(REGEXEXTRACT('AYIRA"&amp;" MINI MART FINAL MENU - Pr'!A224, ""^[^\x{0600}-\x{06FF}]+"")), ""[-–]+$"", """")), """"), GOOGLETRANSLATE('AYIRA MINI MART FINAL MENU - Pr'!A224, ""ar"", ""en"")))"),"Rani Pineapple Juice 1.4L – Rani")</f>
        <v>Rani Pineapple Juice 1.4L – Rani</v>
      </c>
      <c r="B224" s="56" t="str">
        <f>IFERROR(__xludf.DUMMYFUNCTION("IF('AYIRA MINI MART FINAL MENU - Pr'!B224="""", """", IF(LEN(IFERROR(TRIM(REGEXREPLACE(TRIM(REGEXEXTRACT('AYIRA MINI MART FINAL MENU - Pr'!B224, ""^[^\x{0600}-\x{06FF}]+"")), ""[-–]+$"", """")), """"))&gt;0, IFERROR(TRIM(REGEXREPLACE(TRIM(REGEXEXTRACT('AYIRA"&amp;" MINI MART FINAL MENU - Pr'!B224, ""^[^\x{0600}-\x{06FF}]+"")), ""[-–]+$"", """")), """"), GOOGLETRANSLATE('AYIRA MINI MART FINAL MENU - Pr'!B224, ""ar"", ""en"")))"),"Juices &amp; Fruit Drinks")</f>
        <v>Juices &amp; Fruit Drinks</v>
      </c>
      <c r="C224" s="58">
        <f>IF('AYIRA MINI MART FINAL MENU - Pr'!C224="", "", 'AYIRA MINI MART FINAL MENU - Pr'!C224)</f>
        <v>5.5</v>
      </c>
      <c r="D224" s="56" t="str">
        <f>IFERROR(__xludf.DUMMYFUNCTION("IF('AYIRA MINI MART FINAL MENU - Pr'!D224="""", """", GOOGLETRANSLATE('AYIRA MINI MART FINAL MENU - Pr'!D224, ""ar"", ""en""))"),"Take care of your health with Rani Pineapple Juice 1.4L, a fresh juice packed with essential vitamins and minerals. Made from carefully selected, high-quality fruits for a delicious taste and superior nutritional value. It provides natural energy and boos"&amp;"ts your immune system thanks to its rich composition. Perfect for your daily breakfast or as a healthy drink anytime. Order now from Aira Mini Mart and enjoy every drop of this delicious and nutritious juice.")</f>
        <v>Take care of your health with Rani Pineapple Juice 1.4L,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224" s="56" t="str">
        <f>IF('AYIRA MINI MART FINAL MENU - Pr'!K224="", "", 'AYIRA MINI MART FINAL MENU - Pr'!K224)</f>
        <v/>
      </c>
      <c r="F224" s="56"/>
      <c r="G224" s="56"/>
      <c r="H224" s="56"/>
      <c r="I224" s="56"/>
      <c r="J224" s="56"/>
      <c r="L224" s="56" t="str">
        <f>IF('AYIRA MINI MART FINAL MENU - Pr'!L224="", "", 'AYIRA MINI MART FINAL MENU - Pr'!L224)</f>
        <v/>
      </c>
      <c r="M224" s="56" t="str">
        <f>IF('AYIRA MINI MART FINAL MENU - Pr'!M224="", "", 'AYIRA MINI MART FINAL MENU - Pr'!M224)</f>
        <v/>
      </c>
      <c r="N224" s="56" t="str">
        <f>IF('AYIRA MINI MART FINAL MENU - Pr'!N224="", "", 'AYIRA MINI MART FINAL MENU - Pr'!N224)</f>
        <v/>
      </c>
      <c r="O224" s="57"/>
      <c r="P224" s="57"/>
      <c r="Q224" s="57"/>
      <c r="R224" s="57"/>
      <c r="S224" s="57"/>
      <c r="T224" s="57"/>
      <c r="U224" s="57"/>
      <c r="V224" s="57"/>
      <c r="W224" s="57"/>
      <c r="X224" s="57"/>
      <c r="Y224" s="57"/>
      <c r="Z224" s="57"/>
    </row>
    <row r="225">
      <c r="A225" s="56" t="str">
        <f>IFERROR(__xludf.DUMMYFUNCTION("IF('AYIRA MINI MART FINAL MENU - Pr'!A225="""", """", IF(LEN(IFERROR(TRIM(REGEXREPLACE(TRIM(REGEXEXTRACT('AYIRA MINI MART FINAL MENU - Pr'!A225, ""^[^\x{0600}-\x{06FF}]+"")), ""[-–]+$"", """")), """"))&gt;0, IFERROR(TRIM(REGEXREPLACE(TRIM(REGEXEXTRACT('AYIRA"&amp;" MINI MART FINAL MENU - Pr'!A225, ""^[^\x{0600}-\x{06FF}]+"")), ""[-–]+$"", """")), """"), GOOGLETRANSLATE('AYIRA MINI MART FINAL MENU - Pr'!A225, ""ar"", ""en"")))"),"Rani Peach Juice 1.4L – Rani")</f>
        <v>Rani Peach Juice 1.4L – Rani</v>
      </c>
      <c r="B225" s="56" t="str">
        <f>IFERROR(__xludf.DUMMYFUNCTION("IF('AYIRA MINI MART FINAL MENU - Pr'!B225="""", """", IF(LEN(IFERROR(TRIM(REGEXREPLACE(TRIM(REGEXEXTRACT('AYIRA MINI MART FINAL MENU - Pr'!B225, ""^[^\x{0600}-\x{06FF}]+"")), ""[-–]+$"", """")), """"))&gt;0, IFERROR(TRIM(REGEXREPLACE(TRIM(REGEXEXTRACT('AYIRA"&amp;" MINI MART FINAL MENU - Pr'!B225, ""^[^\x{0600}-\x{06FF}]+"")), ""[-–]+$"", """")), """"), GOOGLETRANSLATE('AYIRA MINI MART FINAL MENU - Pr'!B225, ""ar"", ""en"")))"),"Juices &amp; Fruit Drinks")</f>
        <v>Juices &amp; Fruit Drinks</v>
      </c>
      <c r="C225" s="58">
        <f>IF('AYIRA MINI MART FINAL MENU - Pr'!C225="", "", 'AYIRA MINI MART FINAL MENU - Pr'!C225)</f>
        <v>5.5</v>
      </c>
      <c r="D225" s="56" t="str">
        <f>IFERROR(__xludf.DUMMYFUNCTION("IF('AYIRA MINI MART FINAL MENU - Pr'!D225="""", """", GOOGLETRANSLATE('AYIRA MINI MART FINAL MENU - Pr'!D225, ""ar"", ""en""))"),"Take care of your health with Rani Peach Juice 1.4L, a fresh juice packed with essential vitamins and minerals. Made from carefully selected, high-quality fruits for a delicious taste and superior nutritional value. It provides natural energy and boosts y"&amp;"our immune system thanks to its rich composition. Perfect for your daily breakfast or as a healthy drink anytime. Order now from Aira Mini Mart and enjoy every drop of this delicious and nutritious juice.")</f>
        <v>Take care of your health with Rani Peach Juice 1.4L,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225" s="56" t="str">
        <f>IF('AYIRA MINI MART FINAL MENU - Pr'!K225="", "", 'AYIRA MINI MART FINAL MENU - Pr'!K225)</f>
        <v/>
      </c>
      <c r="F225" s="56"/>
      <c r="G225" s="56"/>
      <c r="H225" s="56"/>
      <c r="I225" s="56"/>
      <c r="J225" s="56"/>
      <c r="L225" s="56" t="str">
        <f>IF('AYIRA MINI MART FINAL MENU - Pr'!L225="", "", 'AYIRA MINI MART FINAL MENU - Pr'!L225)</f>
        <v/>
      </c>
      <c r="M225" s="56" t="str">
        <f>IF('AYIRA MINI MART FINAL MENU - Pr'!M225="", "", 'AYIRA MINI MART FINAL MENU - Pr'!M225)</f>
        <v/>
      </c>
      <c r="N225" s="56" t="str">
        <f>IF('AYIRA MINI MART FINAL MENU - Pr'!N225="", "", 'AYIRA MINI MART FINAL MENU - Pr'!N225)</f>
        <v/>
      </c>
      <c r="O225" s="57"/>
      <c r="P225" s="57"/>
      <c r="Q225" s="57"/>
      <c r="R225" s="57"/>
      <c r="S225" s="57"/>
      <c r="T225" s="57"/>
      <c r="U225" s="57"/>
      <c r="V225" s="57"/>
      <c r="W225" s="57"/>
      <c r="X225" s="57"/>
      <c r="Y225" s="57"/>
      <c r="Z225" s="57"/>
    </row>
    <row r="226">
      <c r="A226" s="56" t="str">
        <f>IFERROR(__xludf.DUMMYFUNCTION("IF('AYIRA MINI MART FINAL MENU - Pr'!A226="""", """", IF(LEN(IFERROR(TRIM(REGEXREPLACE(TRIM(REGEXEXTRACT('AYIRA MINI MART FINAL MENU - Pr'!A226, ""^[^\x{0600}-\x{06FF}]+"")), ""[-–]+$"", """")), """"))&gt;0, IFERROR(TRIM(REGEXREPLACE(TRIM(REGEXEXTRACT('AYIRA"&amp;" MINI MART FINAL MENU - Pr'!A226, ""^[^\x{0600}-\x{06FF}]+"")), ""[-–]+$"", """")), """"), GOOGLETRANSLATE('AYIRA MINI MART FINAL MENU - Pr'!A226, ""ar"", ""en"")))"),"Rani Pomegranate Juice 1.4L – Rani Pomegranate")</f>
        <v>Rani Pomegranate Juice 1.4L – Rani Pomegranate</v>
      </c>
      <c r="B226" s="56" t="str">
        <f>IFERROR(__xludf.DUMMYFUNCTION("IF('AYIRA MINI MART FINAL MENU - Pr'!B226="""", """", IF(LEN(IFERROR(TRIM(REGEXREPLACE(TRIM(REGEXEXTRACT('AYIRA MINI MART FINAL MENU - Pr'!B226, ""^[^\x{0600}-\x{06FF}]+"")), ""[-–]+$"", """")), """"))&gt;0, IFERROR(TRIM(REGEXREPLACE(TRIM(REGEXEXTRACT('AYIRA"&amp;" MINI MART FINAL MENU - Pr'!B226, ""^[^\x{0600}-\x{06FF}]+"")), ""[-–]+$"", """")), """"), GOOGLETRANSLATE('AYIRA MINI MART FINAL MENU - Pr'!B226, ""ar"", ""en"")))"),"Juices &amp; Fruit Drinks")</f>
        <v>Juices &amp; Fruit Drinks</v>
      </c>
      <c r="C226" s="58">
        <f>IF('AYIRA MINI MART FINAL MENU - Pr'!C226="", "", 'AYIRA MINI MART FINAL MENU - Pr'!C226)</f>
        <v>5.5</v>
      </c>
      <c r="D226" s="56" t="str">
        <f>IFERROR(__xludf.DUMMYFUNCTION("IF('AYIRA MINI MART FINAL MENU - Pr'!D226="""", """", GOOGLETRANSLATE('AYIRA MINI MART FINAL MENU - Pr'!D226, ""ar"", ""en""))"),"Take care of your health with Rani Pomegranate Juice 1.4L, a fresh juice packed with essential vitamins and minerals. Made from carefully selected, high-quality fruits for a delicious taste and superior nutritional value. It provides natural energy and bo"&amp;"osts your immune system thanks to its rich content. Perfect for your daily breakfast or as a healthy drink anytime. Order now from Aira Mini Mart and enjoy every drop of this delicious and nutritious juice.")</f>
        <v>Take care of your health with Rani Pomegranate Juice 1.4L, a fresh juice packed with essential vitamins and minerals. Made from carefully selected, high-quality fruits for a delicious taste and superior nutritional value. It provides natural energy and boosts your immune system thanks to its rich content. Perfect for your daily breakfast or as a healthy drink anytime. Order now from Aira Mini Mart and enjoy every drop of this delicious and nutritious juice.</v>
      </c>
      <c r="E226" s="56" t="str">
        <f>IF('AYIRA MINI MART FINAL MENU - Pr'!K226="", "", 'AYIRA MINI MART FINAL MENU - Pr'!K226)</f>
        <v/>
      </c>
      <c r="F226" s="56"/>
      <c r="G226" s="56"/>
      <c r="H226" s="56"/>
      <c r="I226" s="56"/>
      <c r="J226" s="56"/>
      <c r="L226" s="56" t="str">
        <f>IF('AYIRA MINI MART FINAL MENU - Pr'!L226="", "", 'AYIRA MINI MART FINAL MENU - Pr'!L226)</f>
        <v/>
      </c>
      <c r="M226" s="56" t="str">
        <f>IF('AYIRA MINI MART FINAL MENU - Pr'!M226="", "", 'AYIRA MINI MART FINAL MENU - Pr'!M226)</f>
        <v/>
      </c>
      <c r="N226" s="56" t="str">
        <f>IF('AYIRA MINI MART FINAL MENU - Pr'!N226="", "", 'AYIRA MINI MART FINAL MENU - Pr'!N226)</f>
        <v/>
      </c>
      <c r="O226" s="57"/>
      <c r="P226" s="57"/>
      <c r="Q226" s="57"/>
      <c r="R226" s="57"/>
      <c r="S226" s="57"/>
      <c r="T226" s="57"/>
      <c r="U226" s="57"/>
      <c r="V226" s="57"/>
      <c r="W226" s="57"/>
      <c r="X226" s="57"/>
      <c r="Y226" s="57"/>
      <c r="Z226" s="57"/>
    </row>
    <row r="227">
      <c r="A227" s="56" t="str">
        <f>IFERROR(__xludf.DUMMYFUNCTION("IF('AYIRA MINI MART FINAL MENU - Pr'!A227="""", """", IF(LEN(IFERROR(TRIM(REGEXREPLACE(TRIM(REGEXEXTRACT('AYIRA MINI MART FINAL MENU - Pr'!A227, ""^[^\x{0600}-\x{06FF}]+"")), ""[-–]+$"", """")), """"))&gt;0, IFERROR(TRIM(REGEXREPLACE(TRIM(REGEXEXTRACT('AYIRA"&amp;" MINI MART FINAL MENU - Pr'!A227, ""^[^\x{0600}-\x{06FF}]+"")), ""[-–]+$"", """")), """"), GOOGLETRANSLATE('AYIRA MINI MART FINAL MENU - Pr'!A227, ""ar"", ""en"")))"),"Rani Carrot Orange Juice 1.4L – Rani Carrot")</f>
        <v>Rani Carrot Orange Juice 1.4L – Rani Carrot</v>
      </c>
      <c r="B227" s="56" t="str">
        <f>IFERROR(__xludf.DUMMYFUNCTION("IF('AYIRA MINI MART FINAL MENU - Pr'!B227="""", """", IF(LEN(IFERROR(TRIM(REGEXREPLACE(TRIM(REGEXEXTRACT('AYIRA MINI MART FINAL MENU - Pr'!B227, ""^[^\x{0600}-\x{06FF}]+"")), ""[-–]+$"", """")), """"))&gt;0, IFERROR(TRIM(REGEXREPLACE(TRIM(REGEXEXTRACT('AYIRA"&amp;" MINI MART FINAL MENU - Pr'!B227, ""^[^\x{0600}-\x{06FF}]+"")), ""[-–]+$"", """")), """"), GOOGLETRANSLATE('AYIRA MINI MART FINAL MENU - Pr'!B227, ""ar"", ""en"")))"),"Juices &amp; Fruit Drinks")</f>
        <v>Juices &amp; Fruit Drinks</v>
      </c>
      <c r="C227" s="58">
        <f>IF('AYIRA MINI MART FINAL MENU - Pr'!C227="", "", 'AYIRA MINI MART FINAL MENU - Pr'!C227)</f>
        <v>5.5</v>
      </c>
      <c r="D227" s="56" t="str">
        <f>IFERROR(__xludf.DUMMYFUNCTION("IF('AYIRA MINI MART FINAL MENU - Pr'!D227="""", """", GOOGLETRANSLATE('AYIRA MINI MART FINAL MENU - Pr'!D227, ""ar"", ""en""))"),"Take care of your health with Rani Carrot Orange Juice 1.4L, a fresh juice packed with essential vitamins and minerals. Made from carefully selected, high-quality fruits for a delicious taste and superior nutritional value. It provides natural energy and "&amp;"boosts your immune system thanks to its rich composition. Perfect for your daily breakfast or as a healthy drink anytime. Order now from Aira Mini Mart and enjoy every drop of this delicious and nutritious juice.")</f>
        <v>Take care of your health with Rani Carrot Orange Juice 1.4L,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227" s="56" t="str">
        <f>IF('AYIRA MINI MART FINAL MENU - Pr'!K227="", "", 'AYIRA MINI MART FINAL MENU - Pr'!K227)</f>
        <v/>
      </c>
      <c r="F227" s="56"/>
      <c r="G227" s="56"/>
      <c r="H227" s="56"/>
      <c r="I227" s="56"/>
      <c r="J227" s="56"/>
      <c r="L227" s="56" t="str">
        <f>IF('AYIRA MINI MART FINAL MENU - Pr'!L227="", "", 'AYIRA MINI MART FINAL MENU - Pr'!L227)</f>
        <v/>
      </c>
      <c r="M227" s="56" t="str">
        <f>IF('AYIRA MINI MART FINAL MENU - Pr'!M227="", "", 'AYIRA MINI MART FINAL MENU - Pr'!M227)</f>
        <v/>
      </c>
      <c r="N227" s="56" t="str">
        <f>IF('AYIRA MINI MART FINAL MENU - Pr'!N227="", "", 'AYIRA MINI MART FINAL MENU - Pr'!N227)</f>
        <v/>
      </c>
      <c r="O227" s="57"/>
      <c r="P227" s="57"/>
      <c r="Q227" s="57"/>
      <c r="R227" s="57"/>
      <c r="S227" s="57"/>
      <c r="T227" s="57"/>
      <c r="U227" s="57"/>
      <c r="V227" s="57"/>
      <c r="W227" s="57"/>
      <c r="X227" s="57"/>
      <c r="Y227" s="57"/>
      <c r="Z227" s="57"/>
    </row>
    <row r="228">
      <c r="A228" s="56" t="str">
        <f>IFERROR(__xludf.DUMMYFUNCTION("IF('AYIRA MINI MART FINAL MENU - Pr'!A228="""", """", IF(LEN(IFERROR(TRIM(REGEXREPLACE(TRIM(REGEXEXTRACT('AYIRA MINI MART FINAL MENU - Pr'!A228, ""^[^\x{0600}-\x{06FF}]+"")), ""[-–]+$"", """")), """"))&gt;0, IFERROR(TRIM(REGEXREPLACE(TRIM(REGEXEXTRACT('AYIRA"&amp;" MINI MART FINAL MENU - Pr'!A228, ""^[^\x{0600}-\x{06FF}]+"")), ""[-–]+$"", """")), """"), GOOGLETRANSLATE('AYIRA MINI MART FINAL MENU - Pr'!A228, ""ar"", ""en"")))"),"SNICKERS Ice Cream Stick 73.5g")</f>
        <v>SNICKERS Ice Cream Stick 73.5g</v>
      </c>
      <c r="B228" s="56" t="str">
        <f>IFERROR(__xludf.DUMMYFUNCTION("IF('AYIRA MINI MART FINAL MENU - Pr'!B228="""", """", IF(LEN(IFERROR(TRIM(REGEXREPLACE(TRIM(REGEXEXTRACT('AYIRA MINI MART FINAL MENU - Pr'!B228, ""^[^\x{0600}-\x{06FF}]+"")), ""[-–]+$"", """")), """"))&gt;0, IFERROR(TRIM(REGEXREPLACE(TRIM(REGEXEXTRACT('AYIRA"&amp;" MINI MART FINAL MENU - Pr'!B228, ""^[^\x{0600}-\x{06FF}]+"")), ""[-–]+$"", """")), """"), GOOGLETRANSLATE('AYIRA MINI MART FINAL MENU - Pr'!B228, ""ar"", ""en"")))"),"Ice Cream |")</f>
        <v>Ice Cream |</v>
      </c>
      <c r="C228" s="58">
        <f>IF('AYIRA MINI MART FINAL MENU - Pr'!C228="", "", 'AYIRA MINI MART FINAL MENU - Pr'!C228)</f>
        <v>4.5</v>
      </c>
      <c r="D228" s="56" t="str">
        <f>IFERROR(__xludf.DUMMYFUNCTION("IF('AYIRA MINI MART FINAL MENU - Pr'!D228="""", """", GOOGLETRANSLATE('AYIRA MINI MART FINAL MENU - Pr'!D228, ""ar"", ""en""))"),"Cool down on hot days with Snickers, the delicious ice cream that transports you to a world of refreshment and enjoyment. It boasts a wonderful flavor and a smooth, creamy texture that melts in your mouth, leaving a delightful and unforgettable aftertaste"&amp;". Perfect for kids and adults alike, it's a great light treat any time of day. Discover the secret to its unique taste and make it a part of your sunny day. Aira Mini Mart offers it fresh and preserved to the highest standards.")</f>
        <v>Cool down on hot days with Snickers, the delicious ice cream that transports you to a world of refreshment and enjoyment. It boasts a wonderful flavor and a smooth, creamy texture that melts in your mouth, leaving a delightful and unforgettable aftertaste. Perfect for kids and adults alike, it's a great light treat any time of day. Discover the secret to its unique taste and make it a part of your sunny day. Aira Mini Mart offers it fresh and preserved to the highest standards.</v>
      </c>
      <c r="E228" s="56" t="str">
        <f>IF('AYIRA MINI MART FINAL MENU - Pr'!K228="", "", 'AYIRA MINI MART FINAL MENU - Pr'!K228)</f>
        <v/>
      </c>
      <c r="F228" s="56"/>
      <c r="G228" s="56"/>
      <c r="H228" s="56"/>
      <c r="I228" s="56"/>
      <c r="J228" s="56"/>
      <c r="L228" s="56" t="str">
        <f>IF('AYIRA MINI MART FINAL MENU - Pr'!L228="", "", 'AYIRA MINI MART FINAL MENU - Pr'!L228)</f>
        <v/>
      </c>
      <c r="M228" s="56" t="str">
        <f>IF('AYIRA MINI MART FINAL MENU - Pr'!M228="", "", 'AYIRA MINI MART FINAL MENU - Pr'!M228)</f>
        <v/>
      </c>
      <c r="N228" s="56" t="str">
        <f>IF('AYIRA MINI MART FINAL MENU - Pr'!N228="", "", 'AYIRA MINI MART FINAL MENU - Pr'!N228)</f>
        <v/>
      </c>
      <c r="O228" s="57"/>
      <c r="P228" s="57"/>
      <c r="Q228" s="57"/>
      <c r="R228" s="57"/>
      <c r="S228" s="57"/>
      <c r="T228" s="57"/>
      <c r="U228" s="57"/>
      <c r="V228" s="57"/>
      <c r="W228" s="57"/>
      <c r="X228" s="57"/>
      <c r="Y228" s="57"/>
      <c r="Z228" s="57"/>
    </row>
    <row r="229">
      <c r="A229" s="56" t="str">
        <f>IFERROR(__xludf.DUMMYFUNCTION("IF('AYIRA MINI MART FINAL MENU - Pr'!A229="""", """", IF(LEN(IFERROR(TRIM(REGEXREPLACE(TRIM(REGEXEXTRACT('AYIRA MINI MART FINAL MENU - Pr'!A229, ""^[^\x{0600}-\x{06FF}]+"")), ""[-–]+$"", """")), """"))&gt;0, IFERROR(TRIM(REGEXREPLACE(TRIM(REGEXEXTRACT('AYIRA"&amp;" MINI MART FINAL MENU - Pr'!A229, ""^[^\x{0600}-\x{06FF}]+"")), ""[-–]+$"", """")), """"), GOOGLETRANSLATE('AYIRA MINI MART FINAL MENU - Pr'!A229, ""ar"", ""en"")))"),"SNICKERS White Ice Cream Bar 41g")</f>
        <v>SNICKERS White Ice Cream Bar 41g</v>
      </c>
      <c r="B229" s="56" t="str">
        <f>IFERROR(__xludf.DUMMYFUNCTION("IF('AYIRA MINI MART FINAL MENU - Pr'!B229="""", """", IF(LEN(IFERROR(TRIM(REGEXREPLACE(TRIM(REGEXEXTRACT('AYIRA MINI MART FINAL MENU - Pr'!B229, ""^[^\x{0600}-\x{06FF}]+"")), ""[-–]+$"", """")), """"))&gt;0, IFERROR(TRIM(REGEXREPLACE(TRIM(REGEXEXTRACT('AYIRA"&amp;" MINI MART FINAL MENU - Pr'!B229, ""^[^\x{0600}-\x{06FF}]+"")), ""[-–]+$"", """")), """"), GOOGLETRANSLATE('AYIRA MINI MART FINAL MENU - Pr'!B229, ""ar"", ""en"")))"),"Ice Cream |")</f>
        <v>Ice Cream |</v>
      </c>
      <c r="C229" s="58">
        <f>IF('AYIRA MINI MART FINAL MENU - Pr'!C229="", "", 'AYIRA MINI MART FINAL MENU - Pr'!C229)</f>
        <v>4.5</v>
      </c>
      <c r="D229" s="56" t="str">
        <f>IFERROR(__xludf.DUMMYFUNCTION("IF('AYIRA MINI MART FINAL MENU - Pr'!D229="""", """", GOOGLETRANSLATE('AYIRA MINI MART FINAL MENU - Pr'!D229, ""ar"", ""en""))"),"Cool down on hot days with Snickers, the delicious ice cream that transports you to a world of refreshment and enjoyment. It boasts a wonderful flavor and a smooth, creamy texture that melts in your mouth, leaving a delightful and unforgettable aftertaste"&amp;". Perfect for kids and adults alike, it's a great light treat any time of day. Discover the secret to its unique taste and make it a part of your sunny day. Aira Mini Mart offers it fresh and preserved to the highest standards.")</f>
        <v>Cool down on hot days with Snickers, the delicious ice cream that transports you to a world of refreshment and enjoyment. It boasts a wonderful flavor and a smooth, creamy texture that melts in your mouth, leaving a delightful and unforgettable aftertaste. Perfect for kids and adults alike, it's a great light treat any time of day. Discover the secret to its unique taste and make it a part of your sunny day. Aira Mini Mart offers it fresh and preserved to the highest standards.</v>
      </c>
      <c r="E229" s="56" t="str">
        <f>IF('AYIRA MINI MART FINAL MENU - Pr'!K229="", "", 'AYIRA MINI MART FINAL MENU - Pr'!K229)</f>
        <v/>
      </c>
      <c r="F229" s="56"/>
      <c r="G229" s="56"/>
      <c r="H229" s="56"/>
      <c r="I229" s="56"/>
      <c r="J229" s="56"/>
      <c r="L229" s="56" t="str">
        <f>IF('AYIRA MINI MART FINAL MENU - Pr'!L229="", "", 'AYIRA MINI MART FINAL MENU - Pr'!L229)</f>
        <v/>
      </c>
      <c r="M229" s="56" t="str">
        <f>IF('AYIRA MINI MART FINAL MENU - Pr'!M229="", "", 'AYIRA MINI MART FINAL MENU - Pr'!M229)</f>
        <v/>
      </c>
      <c r="N229" s="56" t="str">
        <f>IF('AYIRA MINI MART FINAL MENU - Pr'!N229="", "", 'AYIRA MINI MART FINAL MENU - Pr'!N229)</f>
        <v/>
      </c>
      <c r="O229" s="57"/>
      <c r="P229" s="57"/>
      <c r="Q229" s="57"/>
      <c r="R229" s="57"/>
      <c r="S229" s="57"/>
      <c r="T229" s="57"/>
      <c r="U229" s="57"/>
      <c r="V229" s="57"/>
      <c r="W229" s="57"/>
      <c r="X229" s="57"/>
      <c r="Y229" s="57"/>
      <c r="Z229" s="57"/>
    </row>
    <row r="230">
      <c r="A230" s="56" t="str">
        <f>IFERROR(__xludf.DUMMYFUNCTION("IF('AYIRA MINI MART FINAL MENU - Pr'!A230="""", """", IF(LEN(IFERROR(TRIM(REGEXREPLACE(TRIM(REGEXEXTRACT('AYIRA MINI MART FINAL MENU - Pr'!A230, ""^[^\x{0600}-\x{06FF}]+"")), ""[-–]+$"", """")), """"))&gt;0, IFERROR(TRIM(REGEXREPLACE(TRIM(REGEXEXTRACT('AYIRA"&amp;" MINI MART FINAL MENU - Pr'!A230, ""^[^\x{0600}-\x{06FF}]+"")), ""[-–]+$"", """")), """"), GOOGLETRANSLATE('AYIRA MINI MART FINAL MENU - Pr'!A230, ""ar"", ""en"")))"),"DANDY 50-50 Ice Cream 100ml")</f>
        <v>DANDY 50-50 Ice Cream 100ml</v>
      </c>
      <c r="B230" s="56" t="str">
        <f>IFERROR(__xludf.DUMMYFUNCTION("IF('AYIRA MINI MART FINAL MENU - Pr'!B230="""", """", IF(LEN(IFERROR(TRIM(REGEXREPLACE(TRIM(REGEXEXTRACT('AYIRA MINI MART FINAL MENU - Pr'!B230, ""^[^\x{0600}-\x{06FF}]+"")), ""[-–]+$"", """")), """"))&gt;0, IFERROR(TRIM(REGEXREPLACE(TRIM(REGEXEXTRACT('AYIRA"&amp;" MINI MART FINAL MENU - Pr'!B230, ""^[^\x{0600}-\x{06FF}]+"")), ""[-–]+$"", """")), """"), GOOGLETRANSLATE('AYIRA MINI MART FINAL MENU - Pr'!B230, ""ar"", ""en"")))"),"Ice Cream |")</f>
        <v>Ice Cream |</v>
      </c>
      <c r="C230" s="58">
        <f>IF('AYIRA MINI MART FINAL MENU - Pr'!C230="", "", 'AYIRA MINI MART FINAL MENU - Pr'!C230)</f>
        <v>3.5</v>
      </c>
      <c r="D230" s="56" t="str">
        <f>IFERROR(__xludf.DUMMYFUNCTION("IF('AYIRA MINI MART FINAL MENU - Pr'!D230="""", """", GOOGLETRANSLATE('AYIRA MINI MART FINAL MENU - Pr'!D230,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230" s="56" t="str">
        <f>IF('AYIRA MINI MART FINAL MENU - Pr'!K230="", "", 'AYIRA MINI MART FINAL MENU - Pr'!K230)</f>
        <v/>
      </c>
      <c r="F230" s="56"/>
      <c r="G230" s="56"/>
      <c r="H230" s="56"/>
      <c r="I230" s="56"/>
      <c r="J230" s="56"/>
      <c r="L230" s="56" t="str">
        <f>IF('AYIRA MINI MART FINAL MENU - Pr'!L230="", "", 'AYIRA MINI MART FINAL MENU - Pr'!L230)</f>
        <v/>
      </c>
      <c r="M230" s="56" t="str">
        <f>IF('AYIRA MINI MART FINAL MENU - Pr'!M230="", "", 'AYIRA MINI MART FINAL MENU - Pr'!M230)</f>
        <v/>
      </c>
      <c r="N230" s="56" t="str">
        <f>IF('AYIRA MINI MART FINAL MENU - Pr'!N230="", "", 'AYIRA MINI MART FINAL MENU - Pr'!N230)</f>
        <v/>
      </c>
      <c r="O230" s="57"/>
      <c r="P230" s="57"/>
      <c r="Q230" s="57"/>
      <c r="R230" s="57"/>
      <c r="S230" s="57"/>
      <c r="T230" s="57"/>
      <c r="U230" s="57"/>
      <c r="V230" s="57"/>
      <c r="W230" s="57"/>
      <c r="X230" s="57"/>
      <c r="Y230" s="57"/>
      <c r="Z230" s="57"/>
    </row>
    <row r="231">
      <c r="A231" s="56" t="str">
        <f>IFERROR(__xludf.DUMMYFUNCTION("IF('AYIRA MINI MART FINAL MENU - Pr'!A231="""", """", IF(LEN(IFERROR(TRIM(REGEXREPLACE(TRIM(REGEXEXTRACT('AYIRA MINI MART FINAL MENU - Pr'!A231, ""^[^\x{0600}-\x{06FF}]+"")), ""[-–]+$"", """")), """"))&gt;0, IFERROR(TRIM(REGEXREPLACE(TRIM(REGEXEXTRACT('AYIRA"&amp;" MINI MART FINAL MENU - Pr'!A231, ""^[^\x{0600}-\x{06FF}]+"")), ""[-–]+$"", """")), """"), GOOGLETRANSLATE('AYIRA MINI MART FINAL MENU - Pr'!A231, ""ar"", ""en"")))"),"DANDY Peanut Delight Ice Cream 100ml")</f>
        <v>DANDY Peanut Delight Ice Cream 100ml</v>
      </c>
      <c r="B231" s="56" t="str">
        <f>IFERROR(__xludf.DUMMYFUNCTION("IF('AYIRA MINI MART FINAL MENU - Pr'!B231="""", """", IF(LEN(IFERROR(TRIM(REGEXREPLACE(TRIM(REGEXEXTRACT('AYIRA MINI MART FINAL MENU - Pr'!B231, ""^[^\x{0600}-\x{06FF}]+"")), ""[-–]+$"", """")), """"))&gt;0, IFERROR(TRIM(REGEXREPLACE(TRIM(REGEXEXTRACT('AYIRA"&amp;" MINI MART FINAL MENU - Pr'!B231, ""^[^\x{0600}-\x{06FF}]+"")), ""[-–]+$"", """")), """"), GOOGLETRANSLATE('AYIRA MINI MART FINAL MENU - Pr'!B231, ""ar"", ""en"")))"),"Ice Cream |")</f>
        <v>Ice Cream |</v>
      </c>
      <c r="C231" s="58">
        <f>IF('AYIRA MINI MART FINAL MENU - Pr'!C231="", "", 'AYIRA MINI MART FINAL MENU - Pr'!C231)</f>
        <v>3.5</v>
      </c>
      <c r="D231" s="56" t="str">
        <f>IFERROR(__xludf.DUMMYFUNCTION("IF('AYIRA MINI MART FINAL MENU - Pr'!D231="""", """", GOOGLETRANSLATE('AYIRA MINI MART FINAL MENU - Pr'!D231,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231" s="56" t="str">
        <f>IF('AYIRA MINI MART FINAL MENU - Pr'!K231="", "", 'AYIRA MINI MART FINAL MENU - Pr'!K231)</f>
        <v/>
      </c>
      <c r="F231" s="56"/>
      <c r="G231" s="56"/>
      <c r="H231" s="56"/>
      <c r="I231" s="56"/>
      <c r="J231" s="56"/>
      <c r="L231" s="56" t="str">
        <f>IF('AYIRA MINI MART FINAL MENU - Pr'!L231="", "", 'AYIRA MINI MART FINAL MENU - Pr'!L231)</f>
        <v/>
      </c>
      <c r="M231" s="56" t="str">
        <f>IF('AYIRA MINI MART FINAL MENU - Pr'!M231="", "", 'AYIRA MINI MART FINAL MENU - Pr'!M231)</f>
        <v/>
      </c>
      <c r="N231" s="56" t="str">
        <f>IF('AYIRA MINI MART FINAL MENU - Pr'!N231="", "", 'AYIRA MINI MART FINAL MENU - Pr'!N231)</f>
        <v/>
      </c>
      <c r="O231" s="57"/>
      <c r="P231" s="57"/>
      <c r="Q231" s="57"/>
      <c r="R231" s="57"/>
      <c r="S231" s="57"/>
      <c r="T231" s="57"/>
      <c r="U231" s="57"/>
      <c r="V231" s="57"/>
      <c r="W231" s="57"/>
      <c r="X231" s="57"/>
      <c r="Y231" s="57"/>
      <c r="Z231" s="57"/>
    </row>
    <row r="232">
      <c r="A232" s="56" t="str">
        <f>IFERROR(__xludf.DUMMYFUNCTION("IF('AYIRA MINI MART FINAL MENU - Pr'!A232="""", """", IF(LEN(IFERROR(TRIM(REGEXREPLACE(TRIM(REGEXEXTRACT('AYIRA MINI MART FINAL MENU - Pr'!A232, ""^[^\x{0600}-\x{06FF}]+"")), ""[-–]+$"", """")), """"))&gt;0, IFERROR(TRIM(REGEXREPLACE(TRIM(REGEXEXTRACT('AYIRA"&amp;" MINI MART FINAL MENU - Pr'!A232, ""^[^\x{0600}-\x{06FF}]+"")), ""[-–]+$"", """")), """"), GOOGLETRANSLATE('AYIRA MINI MART FINAL MENU - Pr'!A232, ""ar"", ""en"")))"),"DANDY Almond Delight Ice Cream 100ml")</f>
        <v>DANDY Almond Delight Ice Cream 100ml</v>
      </c>
      <c r="B232" s="56" t="str">
        <f>IFERROR(__xludf.DUMMYFUNCTION("IF('AYIRA MINI MART FINAL MENU - Pr'!B232="""", """", IF(LEN(IFERROR(TRIM(REGEXREPLACE(TRIM(REGEXEXTRACT('AYIRA MINI MART FINAL MENU - Pr'!B232, ""^[^\x{0600}-\x{06FF}]+"")), ""[-–]+$"", """")), """"))&gt;0, IFERROR(TRIM(REGEXREPLACE(TRIM(REGEXEXTRACT('AYIRA"&amp;" MINI MART FINAL MENU - Pr'!B232, ""^[^\x{0600}-\x{06FF}]+"")), ""[-–]+$"", """")), """"), GOOGLETRANSLATE('AYIRA MINI MART FINAL MENU - Pr'!B232, ""ar"", ""en"")))"),"Ice Cream |")</f>
        <v>Ice Cream |</v>
      </c>
      <c r="C232" s="58">
        <f>IF('AYIRA MINI MART FINAL MENU - Pr'!C232="", "", 'AYIRA MINI MART FINAL MENU - Pr'!C232)</f>
        <v>3.5</v>
      </c>
      <c r="D232" s="56" t="str">
        <f>IFERROR(__xludf.DUMMYFUNCTION("IF('AYIRA MINI MART FINAL MENU - Pr'!D232="""", """", GOOGLETRANSLATE('AYIRA MINI MART FINAL MENU - Pr'!D232,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232" s="56" t="str">
        <f>IF('AYIRA MINI MART FINAL MENU - Pr'!K232="", "", 'AYIRA MINI MART FINAL MENU - Pr'!K232)</f>
        <v/>
      </c>
      <c r="F232" s="56"/>
      <c r="G232" s="56"/>
      <c r="H232" s="56"/>
      <c r="I232" s="56"/>
      <c r="J232" s="56"/>
      <c r="L232" s="56" t="str">
        <f>IF('AYIRA MINI MART FINAL MENU - Pr'!L232="", "", 'AYIRA MINI MART FINAL MENU - Pr'!L232)</f>
        <v/>
      </c>
      <c r="M232" s="56" t="str">
        <f>IF('AYIRA MINI MART FINAL MENU - Pr'!M232="", "", 'AYIRA MINI MART FINAL MENU - Pr'!M232)</f>
        <v/>
      </c>
      <c r="N232" s="56" t="str">
        <f>IF('AYIRA MINI MART FINAL MENU - Pr'!N232="", "", 'AYIRA MINI MART FINAL MENU - Pr'!N232)</f>
        <v/>
      </c>
      <c r="O232" s="57"/>
      <c r="P232" s="57"/>
      <c r="Q232" s="57"/>
      <c r="R232" s="57"/>
      <c r="S232" s="57"/>
      <c r="T232" s="57"/>
      <c r="U232" s="57"/>
      <c r="V232" s="57"/>
      <c r="W232" s="57"/>
      <c r="X232" s="57"/>
      <c r="Y232" s="57"/>
      <c r="Z232" s="57"/>
    </row>
    <row r="233">
      <c r="A233" s="56" t="str">
        <f>IFERROR(__xludf.DUMMYFUNCTION("IF('AYIRA MINI MART FINAL MENU - Pr'!A233="""", """", IF(LEN(IFERROR(TRIM(REGEXREPLACE(TRIM(REGEXEXTRACT('AYIRA MINI MART FINAL MENU - Pr'!A233, ""^[^\x{0600}-\x{06FF}]+"")), ""[-–]+$"", """")), """"))&gt;0, IFERROR(TRIM(REGEXREPLACE(TRIM(REGEXEXTRACT('AYIRA"&amp;" MINI MART FINAL MENU - Pr'!A233, ""^[^\x{0600}-\x{06FF}]+"")), ""[-–]+$"", """")), """"), GOOGLETRANSLATE('AYIRA MINI MART FINAL MENU - Pr'!A233, ""ar"", ""en"")))"),"DANDY Ice Cream Sandwich 100ml")</f>
        <v>DANDY Ice Cream Sandwich 100ml</v>
      </c>
      <c r="B233" s="56" t="str">
        <f>IFERROR(__xludf.DUMMYFUNCTION("IF('AYIRA MINI MART FINAL MENU - Pr'!B233="""", """", IF(LEN(IFERROR(TRIM(REGEXREPLACE(TRIM(REGEXEXTRACT('AYIRA MINI MART FINAL MENU - Pr'!B233, ""^[^\x{0600}-\x{06FF}]+"")), ""[-–]+$"", """")), """"))&gt;0, IFERROR(TRIM(REGEXREPLACE(TRIM(REGEXEXTRACT('AYIRA"&amp;" MINI MART FINAL MENU - Pr'!B233, ""^[^\x{0600}-\x{06FF}]+"")), ""[-–]+$"", """")), """"), GOOGLETRANSLATE('AYIRA MINI MART FINAL MENU - Pr'!B233, ""ar"", ""en"")))"),"Ice Cream |")</f>
        <v>Ice Cream |</v>
      </c>
      <c r="C233" s="58">
        <f>IF('AYIRA MINI MART FINAL MENU - Pr'!C233="", "", 'AYIRA MINI MART FINAL MENU - Pr'!C233)</f>
        <v>2.5</v>
      </c>
      <c r="D233" s="56" t="str">
        <f>IFERROR(__xludf.DUMMYFUNCTION("IF('AYIRA MINI MART FINAL MENU - Pr'!D233="""", """", GOOGLETRANSLATE('AYIRA MINI MART FINAL MENU - Pr'!D233,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233" s="56" t="str">
        <f>IF('AYIRA MINI MART FINAL MENU - Pr'!K233="", "", 'AYIRA MINI MART FINAL MENU - Pr'!K233)</f>
        <v/>
      </c>
      <c r="F233" s="56"/>
      <c r="G233" s="56"/>
      <c r="H233" s="56"/>
      <c r="I233" s="56"/>
      <c r="J233" s="56"/>
      <c r="L233" s="56" t="str">
        <f>IF('AYIRA MINI MART FINAL MENU - Pr'!L233="", "", 'AYIRA MINI MART FINAL MENU - Pr'!L233)</f>
        <v/>
      </c>
      <c r="M233" s="56" t="str">
        <f>IF('AYIRA MINI MART FINAL MENU - Pr'!M233="", "", 'AYIRA MINI MART FINAL MENU - Pr'!M233)</f>
        <v/>
      </c>
      <c r="N233" s="56" t="str">
        <f>IF('AYIRA MINI MART FINAL MENU - Pr'!N233="", "", 'AYIRA MINI MART FINAL MENU - Pr'!N233)</f>
        <v/>
      </c>
      <c r="O233" s="57"/>
      <c r="P233" s="57"/>
      <c r="Q233" s="57"/>
      <c r="R233" s="57"/>
      <c r="S233" s="57"/>
      <c r="T233" s="57"/>
      <c r="U233" s="57"/>
      <c r="V233" s="57"/>
      <c r="W233" s="57"/>
      <c r="X233" s="57"/>
      <c r="Y233" s="57"/>
      <c r="Z233" s="57"/>
    </row>
    <row r="234">
      <c r="A234" s="56" t="str">
        <f>IFERROR(__xludf.DUMMYFUNCTION("IF('AYIRA MINI MART FINAL MENU - Pr'!A234="""", """", IF(LEN(IFERROR(TRIM(REGEXREPLACE(TRIM(REGEXEXTRACT('AYIRA MINI MART FINAL MENU - Pr'!A234, ""^[^\x{0600}-\x{06FF}]+"")), ""[-–]+$"", """")), """"))&gt;0, IFERROR(TRIM(REGEXREPLACE(TRIM(REGEXEXTRACT('AYIRA"&amp;" MINI MART FINAL MENU - Pr'!A234, ""^[^\x{0600}-\x{06FF}]+"")), ""[-–]+$"", """")), """"), GOOGLETRANSLATE('AYIRA MINI MART FINAL MENU - Pr'!A234, ""ar"", ""en"")))"),"GALAXY Ice Cream Cone 110ml")</f>
        <v>GALAXY Ice Cream Cone 110ml</v>
      </c>
      <c r="B234" s="56" t="str">
        <f>IFERROR(__xludf.DUMMYFUNCTION("IF('AYIRA MINI MART FINAL MENU - Pr'!B234="""", """", IF(LEN(IFERROR(TRIM(REGEXREPLACE(TRIM(REGEXEXTRACT('AYIRA MINI MART FINAL MENU - Pr'!B234, ""^[^\x{0600}-\x{06FF}]+"")), ""[-–]+$"", """")), """"))&gt;0, IFERROR(TRIM(REGEXREPLACE(TRIM(REGEXEXTRACT('AYIRA"&amp;" MINI MART FINAL MENU - Pr'!B234, ""^[^\x{0600}-\x{06FF}]+"")), ""[-–]+$"", """")), """"), GOOGLETRANSLATE('AYIRA MINI MART FINAL MENU - Pr'!B234, ""ar"", ""en"")))"),"Ice Cream |")</f>
        <v>Ice Cream |</v>
      </c>
      <c r="C234" s="58">
        <f>IF('AYIRA MINI MART FINAL MENU - Pr'!C234="", "", 'AYIRA MINI MART FINAL MENU - Pr'!C234)</f>
        <v>7</v>
      </c>
      <c r="D234" s="56" t="str">
        <f>IFERROR(__xludf.DUMMYFUNCTION("IF('AYIRA MINI MART FINAL MENU - Pr'!D234="""", """", GOOGLETRANSLATE('AYIRA MINI MART FINAL MENU - Pr'!D234, ""ar"", ""en""))"),"Cool down on hot days with GALAXY Ice Cream Cone 110ml, a delicious treat that will transport you to a world of refreshment and enjoyment. It boasts a wonderful flavor and a smooth, creamy texture that melts in your mouth, leaving a delightful and unforge"&amp;"ttable aftertaste. Perfect for children and adults alike, it's a great light dessert any time of day. Discover the secret to its unique taste and make it a part of your sunny day. Aira Mini Mart offers it fresh and preserved to the highest standards.")</f>
        <v>Cool down on hot days with GALAXY Ice Cream Cone 110ml, a delicious treat that will transport you to a world of refreshment and enjoyment. It boasts a wonderful flavor and a smooth, creamy texture that melts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34" s="56" t="str">
        <f>IF('AYIRA MINI MART FINAL MENU - Pr'!K234="", "", 'AYIRA MINI MART FINAL MENU - Pr'!K234)</f>
        <v/>
      </c>
      <c r="F234" s="56"/>
      <c r="G234" s="56"/>
      <c r="H234" s="56"/>
      <c r="I234" s="56"/>
      <c r="J234" s="56"/>
      <c r="L234" s="56" t="str">
        <f>IF('AYIRA MINI MART FINAL MENU - Pr'!L234="", "", 'AYIRA MINI MART FINAL MENU - Pr'!L234)</f>
        <v/>
      </c>
      <c r="M234" s="56" t="str">
        <f>IF('AYIRA MINI MART FINAL MENU - Pr'!M234="", "", 'AYIRA MINI MART FINAL MENU - Pr'!M234)</f>
        <v/>
      </c>
      <c r="N234" s="56" t="str">
        <f>IF('AYIRA MINI MART FINAL MENU - Pr'!N234="", "", 'AYIRA MINI MART FINAL MENU - Pr'!N234)</f>
        <v/>
      </c>
      <c r="O234" s="57"/>
      <c r="P234" s="57"/>
      <c r="Q234" s="57"/>
      <c r="R234" s="57"/>
      <c r="S234" s="57"/>
      <c r="T234" s="57"/>
      <c r="U234" s="57"/>
      <c r="V234" s="57"/>
      <c r="W234" s="57"/>
      <c r="X234" s="57"/>
      <c r="Y234" s="57"/>
      <c r="Z234" s="57"/>
    </row>
    <row r="235">
      <c r="A235" s="56" t="str">
        <f>IFERROR(__xludf.DUMMYFUNCTION("IF('AYIRA MINI MART FINAL MENU - Pr'!A235="""", """", IF(LEN(IFERROR(TRIM(REGEXREPLACE(TRIM(REGEXEXTRACT('AYIRA MINI MART FINAL MENU - Pr'!A235, ""^[^\x{0600}-\x{06FF}]+"")), ""[-–]+$"", """")), """"))&gt;0, IFERROR(TRIM(REGEXREPLACE(TRIM(REGEXEXTRACT('AYIRA"&amp;" MINI MART FINAL MENU - Pr'!A235, ""^[^\x{0600}-\x{06FF}]+"")), ""[-–]+$"", """")), """"), GOOGLETRANSLATE('AYIRA MINI MART FINAL MENU - Pr'!A235, ""ar"", ""en"")))"),"GALAXY Ice Cream Heart 54.6g")</f>
        <v>GALAXY Ice Cream Heart 54.6g</v>
      </c>
      <c r="B235" s="56" t="str">
        <f>IFERROR(__xludf.DUMMYFUNCTION("IF('AYIRA MINI MART FINAL MENU - Pr'!B235="""", """", IF(LEN(IFERROR(TRIM(REGEXREPLACE(TRIM(REGEXEXTRACT('AYIRA MINI MART FINAL MENU - Pr'!B235, ""^[^\x{0600}-\x{06FF}]+"")), ""[-–]+$"", """")), """"))&gt;0, IFERROR(TRIM(REGEXREPLACE(TRIM(REGEXEXTRACT('AYIRA"&amp;" MINI MART FINAL MENU - Pr'!B235, ""^[^\x{0600}-\x{06FF}]+"")), ""[-–]+$"", """")), """"), GOOGLETRANSLATE('AYIRA MINI MART FINAL MENU - Pr'!B235, ""ar"", ""en"")))"),"Ice Cream |")</f>
        <v>Ice Cream |</v>
      </c>
      <c r="C235" s="58">
        <f>IF('AYIRA MINI MART FINAL MENU - Pr'!C235="", "", 'AYIRA MINI MART FINAL MENU - Pr'!C235)</f>
        <v>6</v>
      </c>
      <c r="D235" s="56" t="str">
        <f>IFERROR(__xludf.DUMMYFUNCTION("IF('AYIRA MINI MART FINAL MENU - Pr'!D235="""", """", GOOGLETRANSLATE('AYIRA MINI MART FINAL MENU - Pr'!D235, ""ar"", ""en""))"),"Cool down on hot days with GALAXY Ice Cream Heart 54.6g, a delicious ice cream that will transport you to a world of refreshment and enjoyment. It boasts a wonderful flavor and a smooth, creamy texture that melts in your mouth, leaving a delightful and un"&amp;"forgettable aftertaste. Perfect for children and adults alike, it's a great light treat any time of day. Discover the secret to its unique taste and make it a part of your sunny day. Aira Mini Mart offers it fresh and preserved to the highest standards.")</f>
        <v>Cool down on hot days with GALAXY Ice Cream Heart 54.6g, a delicious ice cream that will transport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35" s="56" t="str">
        <f>IF('AYIRA MINI MART FINAL MENU - Pr'!K235="", "", 'AYIRA MINI MART FINAL MENU - Pr'!K235)</f>
        <v/>
      </c>
      <c r="F235" s="56"/>
      <c r="G235" s="56"/>
      <c r="H235" s="56"/>
      <c r="I235" s="56"/>
      <c r="J235" s="56"/>
      <c r="L235" s="56" t="str">
        <f>IF('AYIRA MINI MART FINAL MENU - Pr'!L235="", "", 'AYIRA MINI MART FINAL MENU - Pr'!L235)</f>
        <v/>
      </c>
      <c r="M235" s="56" t="str">
        <f>IF('AYIRA MINI MART FINAL MENU - Pr'!M235="", "", 'AYIRA MINI MART FINAL MENU - Pr'!M235)</f>
        <v/>
      </c>
      <c r="N235" s="56" t="str">
        <f>IF('AYIRA MINI MART FINAL MENU - Pr'!N235="", "", 'AYIRA MINI MART FINAL MENU - Pr'!N235)</f>
        <v/>
      </c>
      <c r="O235" s="57"/>
      <c r="P235" s="57"/>
      <c r="Q235" s="57"/>
      <c r="R235" s="57"/>
      <c r="S235" s="57"/>
      <c r="T235" s="57"/>
      <c r="U235" s="57"/>
      <c r="V235" s="57"/>
      <c r="W235" s="57"/>
      <c r="X235" s="57"/>
      <c r="Y235" s="57"/>
      <c r="Z235" s="57"/>
    </row>
    <row r="236">
      <c r="A236" s="56" t="str">
        <f>IFERROR(__xludf.DUMMYFUNCTION("IF('AYIRA MINI MART FINAL MENU - Pr'!A236="""", """", IF(LEN(IFERROR(TRIM(REGEXREPLACE(TRIM(REGEXEXTRACT('AYIRA MINI MART FINAL MENU - Pr'!A236, ""^[^\x{0600}-\x{06FF}]+"")), ""[-–]+$"", """")), """"))&gt;0, IFERROR(TRIM(REGEXREPLACE(TRIM(REGEXEXTRACT('AYIRA"&amp;" MINI MART FINAL MENU - Pr'!A236, ""^[^\x{0600}-\x{06FF}]+"")), ""[-–]+$"", """")), """"), GOOGLETRANSLATE('AYIRA MINI MART FINAL MENU - Pr'!A236, ""ar"", ""en"")))"),"KDD Chocolate Ice Cream Silver Cones 100ml")</f>
        <v>KDD Chocolate Ice Cream Silver Cones 100ml</v>
      </c>
      <c r="B236" s="56" t="str">
        <f>IFERROR(__xludf.DUMMYFUNCTION("IF('AYIRA MINI MART FINAL MENU - Pr'!B236="""", """", IF(LEN(IFERROR(TRIM(REGEXREPLACE(TRIM(REGEXEXTRACT('AYIRA MINI MART FINAL MENU - Pr'!B236, ""^[^\x{0600}-\x{06FF}]+"")), ""[-–]+$"", """")), """"))&gt;0, IFERROR(TRIM(REGEXREPLACE(TRIM(REGEXEXTRACT('AYIRA"&amp;" MINI MART FINAL MENU - Pr'!B236, ""^[^\x{0600}-\x{06FF}]+"")), ""[-–]+$"", """")), """"), GOOGLETRANSLATE('AYIRA MINI MART FINAL MENU - Pr'!B236, ""ar"", ""en"")))"),"Ice Cream |")</f>
        <v>Ice Cream |</v>
      </c>
      <c r="C236" s="58">
        <f>IF('AYIRA MINI MART FINAL MENU - Pr'!C236="", "", 'AYIRA MINI MART FINAL MENU - Pr'!C236)</f>
        <v>2.5</v>
      </c>
      <c r="D236" s="56" t="str">
        <f>IFERROR(__xludf.DUMMYFUNCTION("IF('AYIRA MINI MART FINAL MENU - Pr'!D236="""", """", GOOGLETRANSLATE('AYIRA MINI MART FINAL MENU - Pr'!D236,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236" s="56" t="str">
        <f>IF('AYIRA MINI MART FINAL MENU - Pr'!K236="", "", 'AYIRA MINI MART FINAL MENU - Pr'!K236)</f>
        <v/>
      </c>
      <c r="F236" s="56"/>
      <c r="G236" s="56"/>
      <c r="H236" s="56"/>
      <c r="I236" s="56"/>
      <c r="J236" s="56"/>
      <c r="L236" s="56" t="str">
        <f>IF('AYIRA MINI MART FINAL MENU - Pr'!L236="", "", 'AYIRA MINI MART FINAL MENU - Pr'!L236)</f>
        <v/>
      </c>
      <c r="M236" s="56" t="str">
        <f>IF('AYIRA MINI MART FINAL MENU - Pr'!M236="", "", 'AYIRA MINI MART FINAL MENU - Pr'!M236)</f>
        <v/>
      </c>
      <c r="N236" s="56" t="str">
        <f>IF('AYIRA MINI MART FINAL MENU - Pr'!N236="", "", 'AYIRA MINI MART FINAL MENU - Pr'!N236)</f>
        <v/>
      </c>
      <c r="O236" s="57"/>
      <c r="P236" s="57"/>
      <c r="Q236" s="57"/>
      <c r="R236" s="57"/>
      <c r="S236" s="57"/>
      <c r="T236" s="57"/>
      <c r="U236" s="57"/>
      <c r="V236" s="57"/>
      <c r="W236" s="57"/>
      <c r="X236" s="57"/>
      <c r="Y236" s="57"/>
      <c r="Z236" s="57"/>
    </row>
    <row r="237">
      <c r="A237" s="56" t="str">
        <f>IFERROR(__xludf.DUMMYFUNCTION("IF('AYIRA MINI MART FINAL MENU - Pr'!A237="""", """", IF(LEN(IFERROR(TRIM(REGEXREPLACE(TRIM(REGEXEXTRACT('AYIRA MINI MART FINAL MENU - Pr'!A237, ""^[^\x{0600}-\x{06FF}]+"")), ""[-–]+$"", """")), """"))&gt;0, IFERROR(TRIM(REGEXREPLACE(TRIM(REGEXEXTRACT('AYIRA"&amp;" MINI MART FINAL MENU - Pr'!A237, ""^[^\x{0600}-\x{06FF}]+"")), ""[-–]+$"", """")), """"), GOOGLETRANSLATE('AYIRA MINI MART FINAL MENU - Pr'!A237, ""ar"", ""en"")))"),"KDD Orange Ice Cream Lollies 62.5ml")</f>
        <v>KDD Orange Ice Cream Lollies 62.5ml</v>
      </c>
      <c r="B237" s="56" t="str">
        <f>IFERROR(__xludf.DUMMYFUNCTION("IF('AYIRA MINI MART FINAL MENU - Pr'!B237="""", """", IF(LEN(IFERROR(TRIM(REGEXREPLACE(TRIM(REGEXEXTRACT('AYIRA MINI MART FINAL MENU - Pr'!B237, ""^[^\x{0600}-\x{06FF}]+"")), ""[-–]+$"", """")), """"))&gt;0, IFERROR(TRIM(REGEXREPLACE(TRIM(REGEXEXTRACT('AYIRA"&amp;" MINI MART FINAL MENU - Pr'!B237, ""^[^\x{0600}-\x{06FF}]+"")), ""[-–]+$"", """")), """"), GOOGLETRANSLATE('AYIRA MINI MART FINAL MENU - Pr'!B237, ""ar"", ""en"")))"),"Ice Cream |")</f>
        <v>Ice Cream |</v>
      </c>
      <c r="C237" s="58">
        <f>IF('AYIRA MINI MART FINAL MENU - Pr'!C237="", "", 'AYIRA MINI MART FINAL MENU - Pr'!C237)</f>
        <v>1</v>
      </c>
      <c r="D237" s="56" t="str">
        <f>IFERROR(__xludf.DUMMYFUNCTION("IF('AYIRA MINI MART FINAL MENU - Pr'!D237="""", """", GOOGLETRANSLATE('AYIRA MINI MART FINAL MENU - Pr'!D237,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237" s="56" t="str">
        <f>IF('AYIRA MINI MART FINAL MENU - Pr'!K237="", "", 'AYIRA MINI MART FINAL MENU - Pr'!K237)</f>
        <v/>
      </c>
      <c r="F237" s="56"/>
      <c r="G237" s="56"/>
      <c r="H237" s="56"/>
      <c r="I237" s="56"/>
      <c r="J237" s="56"/>
      <c r="L237" s="56" t="str">
        <f>IF('AYIRA MINI MART FINAL MENU - Pr'!L237="", "", 'AYIRA MINI MART FINAL MENU - Pr'!L237)</f>
        <v/>
      </c>
      <c r="M237" s="56" t="str">
        <f>IF('AYIRA MINI MART FINAL MENU - Pr'!M237="", "", 'AYIRA MINI MART FINAL MENU - Pr'!M237)</f>
        <v/>
      </c>
      <c r="N237" s="56" t="str">
        <f>IF('AYIRA MINI MART FINAL MENU - Pr'!N237="", "", 'AYIRA MINI MART FINAL MENU - Pr'!N237)</f>
        <v/>
      </c>
      <c r="O237" s="57"/>
      <c r="P237" s="57"/>
      <c r="Q237" s="57"/>
      <c r="R237" s="57"/>
      <c r="S237" s="57"/>
      <c r="T237" s="57"/>
      <c r="U237" s="57"/>
      <c r="V237" s="57"/>
      <c r="W237" s="57"/>
      <c r="X237" s="57"/>
      <c r="Y237" s="57"/>
      <c r="Z237" s="57"/>
    </row>
    <row r="238">
      <c r="A238" s="56" t="str">
        <f>IFERROR(__xludf.DUMMYFUNCTION("IF('AYIRA MINI MART FINAL MENU - Pr'!A238="""", """", IF(LEN(IFERROR(TRIM(REGEXREPLACE(TRIM(REGEXEXTRACT('AYIRA MINI MART FINAL MENU - Pr'!A238, ""^[^\x{0600}-\x{06FF}]+"")), ""[-–]+$"", """")), """"))&gt;0, IFERROR(TRIM(REGEXREPLACE(TRIM(REGEXEXTRACT('AYIRA"&amp;" MINI MART FINAL MENU - Pr'!A238, ""^[^\x{0600}-\x{06FF}]+"")), ""[-–]+$"", """")), """"), GOOGLETRANSLATE('AYIRA MINI MART FINAL MENU - Pr'!A238, ""ar"", ""en"")))"),"KDD Vanilla Ice Cream Gold Cone 100cc")</f>
        <v>KDD Vanilla Ice Cream Gold Cone 100cc</v>
      </c>
      <c r="B238" s="56" t="str">
        <f>IFERROR(__xludf.DUMMYFUNCTION("IF('AYIRA MINI MART FINAL MENU - Pr'!B238="""", """", IF(LEN(IFERROR(TRIM(REGEXREPLACE(TRIM(REGEXEXTRACT('AYIRA MINI MART FINAL MENU - Pr'!B238, ""^[^\x{0600}-\x{06FF}]+"")), ""[-–]+$"", """")), """"))&gt;0, IFERROR(TRIM(REGEXREPLACE(TRIM(REGEXEXTRACT('AYIRA"&amp;" MINI MART FINAL MENU - Pr'!B238, ""^[^\x{0600}-\x{06FF}]+"")), ""[-–]+$"", """")), """"), GOOGLETRANSLATE('AYIRA MINI MART FINAL MENU - Pr'!B238, ""ar"", ""en"")))"),"Ice Cream |")</f>
        <v>Ice Cream |</v>
      </c>
      <c r="C238" s="58">
        <f>IF('AYIRA MINI MART FINAL MENU - Pr'!C238="", "", 'AYIRA MINI MART FINAL MENU - Pr'!C238)</f>
        <v>2.5</v>
      </c>
      <c r="D238" s="56" t="str">
        <f>IFERROR(__xludf.DUMMYFUNCTION("IF('AYIRA MINI MART FINAL MENU - Pr'!D238="""", """", GOOGLETRANSLATE('AYIRA MINI MART FINAL MENU - Pr'!D238,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238" s="56" t="str">
        <f>IF('AYIRA MINI MART FINAL MENU - Pr'!K238="", "", 'AYIRA MINI MART FINAL MENU - Pr'!K238)</f>
        <v/>
      </c>
      <c r="F238" s="56"/>
      <c r="G238" s="56"/>
      <c r="H238" s="56"/>
      <c r="I238" s="56"/>
      <c r="J238" s="56"/>
      <c r="L238" s="56" t="str">
        <f>IF('AYIRA MINI MART FINAL MENU - Pr'!L238="", "", 'AYIRA MINI MART FINAL MENU - Pr'!L238)</f>
        <v/>
      </c>
      <c r="M238" s="56" t="str">
        <f>IF('AYIRA MINI MART FINAL MENU - Pr'!M238="", "", 'AYIRA MINI MART FINAL MENU - Pr'!M238)</f>
        <v/>
      </c>
      <c r="N238" s="56" t="str">
        <f>IF('AYIRA MINI MART FINAL MENU - Pr'!N238="", "", 'AYIRA MINI MART FINAL MENU - Pr'!N238)</f>
        <v/>
      </c>
      <c r="O238" s="57"/>
      <c r="P238" s="57"/>
      <c r="Q238" s="57"/>
      <c r="R238" s="57"/>
      <c r="S238" s="57"/>
      <c r="T238" s="57"/>
      <c r="U238" s="57"/>
      <c r="V238" s="57"/>
      <c r="W238" s="57"/>
      <c r="X238" s="57"/>
      <c r="Y238" s="57"/>
      <c r="Z238" s="57"/>
    </row>
    <row r="239">
      <c r="A239" s="56" t="str">
        <f>IFERROR(__xludf.DUMMYFUNCTION("IF('AYIRA MINI MART FINAL MENU - Pr'!A239="""", """", IF(LEN(IFERROR(TRIM(REGEXREPLACE(TRIM(REGEXEXTRACT('AYIRA MINI MART FINAL MENU - Pr'!A239, ""^[^\x{0600}-\x{06FF}]+"")), ""[-–]+$"", """")), """"))&gt;0, IFERROR(TRIM(REGEXREPLACE(TRIM(REGEXEXTRACT('AYIRA"&amp;" MINI MART FINAL MENU - Pr'!A239, ""^[^\x{0600}-\x{06FF}]+"")), ""[-–]+$"", """")), """"), GOOGLETRANSLATE('AYIRA MINI MART FINAL MENU - Pr'!A239, ""ar"", ""en"")))"),"IGLOO Chocobar Chocolate Stick 55ml")</f>
        <v>IGLOO Chocobar Chocolate Stick 55ml</v>
      </c>
      <c r="B239" s="56" t="str">
        <f>IFERROR(__xludf.DUMMYFUNCTION("IF('AYIRA MINI MART FINAL MENU - Pr'!B239="""", """", IF(LEN(IFERROR(TRIM(REGEXREPLACE(TRIM(REGEXEXTRACT('AYIRA MINI MART FINAL MENU - Pr'!B239, ""^[^\x{0600}-\x{06FF}]+"")), ""[-–]+$"", """")), """"))&gt;0, IFERROR(TRIM(REGEXREPLACE(TRIM(REGEXEXTRACT('AYIRA"&amp;" MINI MART FINAL MENU - Pr'!B239, ""^[^\x{0600}-\x{06FF}]+"")), ""[-–]+$"", """")), """"), GOOGLETRANSLATE('AYIRA MINI MART FINAL MENU - Pr'!B239, ""ar"", ""en"")))"),"Ice Cream |")</f>
        <v>Ice Cream |</v>
      </c>
      <c r="C239" s="56">
        <f>IF('AYIRA MINI MART FINAL MENU - Pr'!C239="", "", 'AYIRA MINI MART FINAL MENU - Pr'!C239)</f>
        <v>1.5</v>
      </c>
      <c r="D239" s="56" t="str">
        <f>IFERROR(__xludf.DUMMYFUNCTION("IF('AYIRA MINI MART FINAL MENU - Pr'!D239="""", """", GOOGLETRANSLATE('AYIRA MINI MART FINAL MENU - Pr'!D239, ""ar"", ""en""))"),"Indulge your senses with IGLOO Chocobar Chocolate Stick 55ml, a luxurious chocolate that combines rich taste with a perfect texture. Made from the finest selected cocoa beans, it delivers an exceptional dessert experience every time. Whether you're lookin"&amp;"g for a special gift or want to treat yourself, this chocolate is the perfect choice. Savor every piece and immerse yourself in a world of smoothness and sweetness. Get yours from Aira Mini Mart and experience moments of pure delight.")</f>
        <v>Indulge your senses with IGLOO Chocobar Chocolate Stick 55ml, a luxurious chocolate that combines rich taste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239" s="56" t="str">
        <f>IF('AYIRA MINI MART FINAL MENU - Pr'!K239="", "", 'AYIRA MINI MART FINAL MENU - Pr'!K239)</f>
        <v/>
      </c>
      <c r="F239" s="56"/>
      <c r="G239" s="56"/>
      <c r="H239" s="56"/>
      <c r="I239" s="56"/>
      <c r="J239" s="56"/>
      <c r="L239" s="56" t="str">
        <f>IF('AYIRA MINI MART FINAL MENU - Pr'!L239="", "", 'AYIRA MINI MART FINAL MENU - Pr'!L239)</f>
        <v/>
      </c>
      <c r="M239" s="56" t="str">
        <f>IF('AYIRA MINI MART FINAL MENU - Pr'!M239="", "", 'AYIRA MINI MART FINAL MENU - Pr'!M239)</f>
        <v/>
      </c>
      <c r="N239" s="56" t="str">
        <f>IF('AYIRA MINI MART FINAL MENU - Pr'!N239="", "", 'AYIRA MINI MART FINAL MENU - Pr'!N239)</f>
        <v/>
      </c>
      <c r="O239" s="57"/>
      <c r="P239" s="57"/>
      <c r="Q239" s="57"/>
      <c r="R239" s="57"/>
      <c r="S239" s="57"/>
      <c r="T239" s="57"/>
      <c r="U239" s="57"/>
      <c r="V239" s="57"/>
      <c r="W239" s="57"/>
      <c r="X239" s="57"/>
      <c r="Y239" s="57"/>
      <c r="Z239" s="57"/>
    </row>
    <row r="240">
      <c r="A240" s="56" t="str">
        <f>IFERROR(__xludf.DUMMYFUNCTION("IF('AYIRA MINI MART FINAL MENU - Pr'!A240="""", """", IF(LEN(IFERROR(TRIM(REGEXREPLACE(TRIM(REGEXEXTRACT('AYIRA MINI MART FINAL MENU - Pr'!A240, ""^[^\x{0600}-\x{06FF}]+"")), ""[-–]+$"", """")), """"))&gt;0, IFERROR(TRIM(REGEXREPLACE(TRIM(REGEXEXTRACT('AYIRA"&amp;" MINI MART FINAL MENU - Pr'!A240, ""^[^\x{0600}-\x{06FF}]+"")), ""[-–]+$"", """")), """"), GOOGLETRANSLATE('AYIRA MINI MART FINAL MENU - Pr'!A240, ""ar"", ""en"")))"),"DANDY Bonbon Ice Cream Tub 238ml")</f>
        <v>DANDY Bonbon Ice Cream Tub 238ml</v>
      </c>
      <c r="B240" s="56" t="str">
        <f>IFERROR(__xludf.DUMMYFUNCTION("IF('AYIRA MINI MART FINAL MENU - Pr'!B240="""", """", IF(LEN(IFERROR(TRIM(REGEXREPLACE(TRIM(REGEXEXTRACT('AYIRA MINI MART FINAL MENU - Pr'!B240, ""^[^\x{0600}-\x{06FF}]+"")), ""[-–]+$"", """")), """"))&gt;0, IFERROR(TRIM(REGEXREPLACE(TRIM(REGEXEXTRACT('AYIRA"&amp;" MINI MART FINAL MENU - Pr'!B240, ""^[^\x{0600}-\x{06FF}]+"")), ""[-–]+$"", """")), """"), GOOGLETRANSLATE('AYIRA MINI MART FINAL MENU - Pr'!B240, ""ar"", ""en"")))"),"Ice Cream |")</f>
        <v>Ice Cream |</v>
      </c>
      <c r="C240" s="56">
        <f>IF('AYIRA MINI MART FINAL MENU - Pr'!C240="", "", 'AYIRA MINI MART FINAL MENU - Pr'!C240)</f>
        <v>12</v>
      </c>
      <c r="D240" s="56" t="str">
        <f>IFERROR(__xludf.DUMMYFUNCTION("IF('AYIRA MINI MART FINAL MENU - Pr'!D240="""", """", GOOGLETRANSLATE('AYIRA MINI MART FINAL MENU - Pr'!D240,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240" s="56" t="str">
        <f>IF('AYIRA MINI MART FINAL MENU - Pr'!K240="", "", 'AYIRA MINI MART FINAL MENU - Pr'!K240)</f>
        <v/>
      </c>
      <c r="F240" s="56"/>
      <c r="G240" s="56"/>
      <c r="H240" s="56"/>
      <c r="I240" s="56"/>
      <c r="J240" s="56"/>
      <c r="L240" s="56" t="str">
        <f>IF('AYIRA MINI MART FINAL MENU - Pr'!L240="", "", 'AYIRA MINI MART FINAL MENU - Pr'!L240)</f>
        <v/>
      </c>
      <c r="M240" s="56" t="str">
        <f>IF('AYIRA MINI MART FINAL MENU - Pr'!M240="", "", 'AYIRA MINI MART FINAL MENU - Pr'!M240)</f>
        <v/>
      </c>
      <c r="N240" s="56" t="str">
        <f>IF('AYIRA MINI MART FINAL MENU - Pr'!N240="", "", 'AYIRA MINI MART FINAL MENU - Pr'!N240)</f>
        <v/>
      </c>
      <c r="O240" s="57"/>
      <c r="P240" s="57"/>
      <c r="Q240" s="57"/>
      <c r="R240" s="57"/>
      <c r="S240" s="57"/>
      <c r="T240" s="57"/>
      <c r="U240" s="57"/>
      <c r="V240" s="57"/>
      <c r="W240" s="57"/>
      <c r="X240" s="57"/>
      <c r="Y240" s="57"/>
      <c r="Z240" s="57"/>
    </row>
    <row r="241">
      <c r="A241" s="56" t="str">
        <f>IFERROR(__xludf.DUMMYFUNCTION("IF('AYIRA MINI MART FINAL MENU - Pr'!A241="""", """", IF(LEN(IFERROR(TRIM(REGEXREPLACE(TRIM(REGEXEXTRACT('AYIRA MINI MART FINAL MENU - Pr'!A241, ""^[^\x{0600}-\x{06FF}]+"")), ""[-–]+$"", """")), """"))&gt;0, IFERROR(TRIM(REGEXREPLACE(TRIM(REGEXEXTRACT('AYIRA"&amp;" MINI MART FINAL MENU - Pr'!A241, ""^[^\x{0600}-\x{06FF}]+"")), ""[-–]+$"", """")), """"), GOOGLETRANSLATE('AYIRA MINI MART FINAL MENU - Pr'!A241, ""ar"", ""en"")))"),"Kulfi Stick Ice Cream (Saudi) – Kulfi")</f>
        <v>Kulfi Stick Ice Cream (Saudi) – Kulfi</v>
      </c>
      <c r="B241" s="56" t="str">
        <f>IFERROR(__xludf.DUMMYFUNCTION("IF('AYIRA MINI MART FINAL MENU - Pr'!B241="""", """", IF(LEN(IFERROR(TRIM(REGEXREPLACE(TRIM(REGEXEXTRACT('AYIRA MINI MART FINAL MENU - Pr'!B241, ""^[^\x{0600}-\x{06FF}]+"")), ""[-–]+$"", """")), """"))&gt;0, IFERROR(TRIM(REGEXREPLACE(TRIM(REGEXEXTRACT('AYIRA"&amp;" MINI MART FINAL MENU - Pr'!B241, ""^[^\x{0600}-\x{06FF}]+"")), ""[-–]+$"", """")), """"), GOOGLETRANSLATE('AYIRA MINI MART FINAL MENU - Pr'!B241, ""ar"", ""en"")))"),"Ice Cream |")</f>
        <v>Ice Cream |</v>
      </c>
      <c r="C241" s="56">
        <f>IF('AYIRA MINI MART FINAL MENU - Pr'!C241="", "", 'AYIRA MINI MART FINAL MENU - Pr'!C241)</f>
        <v>2.5</v>
      </c>
      <c r="D241" s="56" t="str">
        <f>IFERROR(__xludf.DUMMYFUNCTION("IF('AYIRA MINI MART FINAL MENU - Pr'!D241="""", """", GOOGLETRANSLATE('AYIRA MINI MART FINAL MENU - Pr'!D241, ""ar"", ""en""))"),"Cool down on hot days with Kulfi Stick Ice Cream (Saudi Arabia), a delicious treat that transports you to a world of refreshment and enjoyment. Its wonderful flavor and smooth, creamy texture melt in your mouth, leaving a delightful and unforgettable afte"&amp;"rtaste. Perfect for children and adults alike, it's a great light dessert any time of day. Discover the secret to its unique taste and make it a part of your sunny day. Available fresh and preserved to the highest standards at Aira Mini Mart.")</f>
        <v>Cool down on hot days with Kulfi Stick Ice Cream (Saudi Arabia),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Available fresh and preserved to the highest standards at Aira Mini Mart.</v>
      </c>
      <c r="E241" s="56" t="str">
        <f>IF('AYIRA MINI MART FINAL MENU - Pr'!K241="", "", 'AYIRA MINI MART FINAL MENU - Pr'!K241)</f>
        <v/>
      </c>
      <c r="F241" s="56"/>
      <c r="G241" s="56"/>
      <c r="H241" s="56"/>
      <c r="I241" s="56"/>
      <c r="J241" s="56"/>
      <c r="L241" s="56" t="str">
        <f>IF('AYIRA MINI MART FINAL MENU - Pr'!L241="", "", 'AYIRA MINI MART FINAL MENU - Pr'!L241)</f>
        <v/>
      </c>
      <c r="M241" s="56" t="str">
        <f>IF('AYIRA MINI MART FINAL MENU - Pr'!M241="", "", 'AYIRA MINI MART FINAL MENU - Pr'!M241)</f>
        <v/>
      </c>
      <c r="N241" s="56" t="str">
        <f>IF('AYIRA MINI MART FINAL MENU - Pr'!N241="", "", 'AYIRA MINI MART FINAL MENU - Pr'!N241)</f>
        <v/>
      </c>
      <c r="O241" s="57"/>
      <c r="P241" s="57"/>
      <c r="Q241" s="57"/>
      <c r="R241" s="57"/>
      <c r="S241" s="57"/>
      <c r="T241" s="57"/>
      <c r="U241" s="57"/>
      <c r="V241" s="57"/>
      <c r="W241" s="57"/>
      <c r="X241" s="57"/>
      <c r="Y241" s="57"/>
      <c r="Z241" s="57"/>
    </row>
    <row r="242">
      <c r="A242" s="56" t="str">
        <f>IFERROR(__xludf.DUMMYFUNCTION("IF('AYIRA MINI MART FINAL MENU - Pr'!A242="""", """", IF(LEN(IFERROR(TRIM(REGEXREPLACE(TRIM(REGEXEXTRACT('AYIRA MINI MART FINAL MENU - Pr'!A242, ""^[^\x{0600}-\x{06FF}]+"")), ""[-–]+$"", """")), """"))&gt;0, IFERROR(TRIM(REGEXREPLACE(TRIM(REGEXEXTRACT('AYIRA"&amp;" MINI MART FINAL MENU - Pr'!A242, ""^[^\x{0600}-\x{06FF}]+"")), ""[-–]+$"", """")), """"), GOOGLETRANSLATE('AYIRA MINI MART FINAL MENU - Pr'!A242, ""ar"", ""en"")))"),"Vanilla Sandwich Semi Ice Milk")</f>
        <v>Vanilla Sandwich Semi Ice Milk</v>
      </c>
      <c r="B242" s="56" t="str">
        <f>IFERROR(__xludf.DUMMYFUNCTION("IF('AYIRA MINI MART FINAL MENU - Pr'!B242="""", """", IF(LEN(IFERROR(TRIM(REGEXREPLACE(TRIM(REGEXEXTRACT('AYIRA MINI MART FINAL MENU - Pr'!B242, ""^[^\x{0600}-\x{06FF}]+"")), ""[-–]+$"", """")), """"))&gt;0, IFERROR(TRIM(REGEXREPLACE(TRIM(REGEXEXTRACT('AYIRA"&amp;" MINI MART FINAL MENU - Pr'!B242, ""^[^\x{0600}-\x{06FF}]+"")), ""[-–]+$"", """")), """"), GOOGLETRANSLATE('AYIRA MINI MART FINAL MENU - Pr'!B242, ""ar"", ""en"")))"),"Ice Cream |")</f>
        <v>Ice Cream |</v>
      </c>
      <c r="C242" s="58">
        <f>IF('AYIRA MINI MART FINAL MENU - Pr'!C242="", "", 'AYIRA MINI MART FINAL MENU - Pr'!C242)</f>
        <v>2.5</v>
      </c>
      <c r="D242" s="56" t="str">
        <f>IFERROR(__xludf.DUMMYFUNCTION("IF('AYIRA MINI MART FINAL MENU - Pr'!D242="""", """", GOOGLETRANSLATE('AYIRA MINI MART FINAL MENU - Pr'!D242, ""ar"", ""en""))"),"Cool down on hot days with Vanilla Sandwich Semi Ice Milk, a delicious ice cream that transports you to a world of refreshment and enjoyment. It boasts a wonderful flavor and a smooth, creamy texture that melts in your mouth, leaving a delightful and unfo"&amp;"rgettable aftertaste. Perfect for both children and adults, it makes a great light treat any time of day. Discover the secret to its unique taste and make it a part of your sunny day. Aira Mini Mart offers it fresh and preserved to the highest standards.")</f>
        <v>Cool down on hot days with Vanilla Sandwich Semi Ice Milk, a delicious ice cream that transports you to a world of refreshment and enjoyment. It boasts a wonderful flavor and a smooth, creamy texture that melts in your mouth, leaving a delightful and unforgettable aftertaste. Perfect for both children and adults, it makes a great light treat any time of day. Discover the secret to its unique taste and make it a part of your sunny day. Aira Mini Mart offers it fresh and preserved to the highest standards.</v>
      </c>
      <c r="E242" s="56" t="str">
        <f>IF('AYIRA MINI MART FINAL MENU - Pr'!K242="", "", 'AYIRA MINI MART FINAL MENU - Pr'!K242)</f>
        <v/>
      </c>
      <c r="F242" s="56"/>
      <c r="G242" s="56"/>
      <c r="H242" s="56"/>
      <c r="I242" s="56"/>
      <c r="J242" s="56"/>
      <c r="L242" s="56" t="str">
        <f>IF('AYIRA MINI MART FINAL MENU - Pr'!L242="", "", 'AYIRA MINI MART FINAL MENU - Pr'!L242)</f>
        <v/>
      </c>
      <c r="M242" s="56" t="str">
        <f>IF('AYIRA MINI MART FINAL MENU - Pr'!M242="", "", 'AYIRA MINI MART FINAL MENU - Pr'!M242)</f>
        <v/>
      </c>
      <c r="N242" s="56" t="str">
        <f>IF('AYIRA MINI MART FINAL MENU - Pr'!N242="", "", 'AYIRA MINI MART FINAL MENU - Pr'!N242)</f>
        <v/>
      </c>
      <c r="O242" s="57"/>
      <c r="P242" s="57"/>
      <c r="Q242" s="57"/>
      <c r="R242" s="57"/>
      <c r="S242" s="57"/>
      <c r="T242" s="57"/>
      <c r="U242" s="57"/>
      <c r="V242" s="57"/>
      <c r="W242" s="57"/>
      <c r="X242" s="57"/>
      <c r="Y242" s="57"/>
      <c r="Z242" s="57"/>
    </row>
    <row r="243">
      <c r="A243" s="56" t="str">
        <f>IFERROR(__xludf.DUMMYFUNCTION("IF('AYIRA MINI MART FINAL MENU - Pr'!A243="""", """", IF(LEN(IFERROR(TRIM(REGEXREPLACE(TRIM(REGEXEXTRACT('AYIRA MINI MART FINAL MENU - Pr'!A243, ""^[^\x{0600}-\x{06FF}]+"")), ""[-–]+$"", """")), """"))&gt;0, IFERROR(TRIM(REGEXREPLACE(TRIM(REGEXEXTRACT('AYIRA"&amp;" MINI MART FINAL MENU - Pr'!A243, ""^[^\x{0600}-\x{06FF}]+"")), ""[-–]+$"", """")), """"), GOOGLETRANSLATE('AYIRA MINI MART FINAL MENU - Pr'!A243, ""ar"", ""en"")))"),"Sandwich Coffee Ice Cream (Saudi)")</f>
        <v>Sandwich Coffee Ice Cream (Saudi)</v>
      </c>
      <c r="B243" s="56" t="str">
        <f>IFERROR(__xludf.DUMMYFUNCTION("IF('AYIRA MINI MART FINAL MENU - Pr'!B243="""", """", IF(LEN(IFERROR(TRIM(REGEXREPLACE(TRIM(REGEXEXTRACT('AYIRA MINI MART FINAL MENU - Pr'!B243, ""^[^\x{0600}-\x{06FF}]+"")), ""[-–]+$"", """")), """"))&gt;0, IFERROR(TRIM(REGEXREPLACE(TRIM(REGEXEXTRACT('AYIRA"&amp;" MINI MART FINAL MENU - Pr'!B243, ""^[^\x{0600}-\x{06FF}]+"")), ""[-–]+$"", """")), """"), GOOGLETRANSLATE('AYIRA MINI MART FINAL MENU - Pr'!B243, ""ar"", ""en"")))"),"Ice Cream |")</f>
        <v>Ice Cream |</v>
      </c>
      <c r="C243" s="58">
        <f>IF('AYIRA MINI MART FINAL MENU - Pr'!C243="", "", 'AYIRA MINI MART FINAL MENU - Pr'!C243)</f>
        <v>2.5</v>
      </c>
      <c r="D243" s="56" t="str">
        <f>IFERROR(__xludf.DUMMYFUNCTION("IF('AYIRA MINI MART FINAL MENU - Pr'!D243="""", """", GOOGLETRANSLATE('AYIRA MINI MART FINAL MENU - Pr'!D243, ""ar"", ""en""))"),"Cool down on hot days with Sandwich Coffee Ice Cream (Saudi), a delicious ice cream that transports you to a world of refreshment and enjoyment. It boasts a wonderful flavor and a smooth, creamy texture that melts in your mouth, leaving a delightful and u"&amp;"nforgettable impression. Perfect for both children and adults, it makes a great light dessert any time of day. Discover the secret to its unique taste and make it a part of your sunny day. Aira Mini Mart offers it fresh and preserved to the highest standa"&amp;"rds.")</f>
        <v>Cool down on hot days with Sandwich Coffee Ice Cream (Saudi), a delicious ice cream that transports you to a world of refreshment and enjoyment. It boasts a wonderful flavor and a smooth, creamy texture that melts in your mouth, leaving a delightful and unforgettable impression. Perfect for both children and adults, it makes a great light dessert any time of day. Discover the secret to its unique taste and make it a part of your sunny day. Aira Mini Mart offers it fresh and preserved to the highest standards.</v>
      </c>
      <c r="E243" s="56" t="str">
        <f>IF('AYIRA MINI MART FINAL MENU - Pr'!K243="", "", 'AYIRA MINI MART FINAL MENU - Pr'!K243)</f>
        <v/>
      </c>
      <c r="F243" s="56"/>
      <c r="G243" s="56"/>
      <c r="H243" s="56"/>
      <c r="I243" s="56"/>
      <c r="J243" s="56"/>
      <c r="L243" s="56" t="str">
        <f>IF('AYIRA MINI MART FINAL MENU - Pr'!L243="", "", 'AYIRA MINI MART FINAL MENU - Pr'!L243)</f>
        <v/>
      </c>
      <c r="M243" s="56" t="str">
        <f>IF('AYIRA MINI MART FINAL MENU - Pr'!M243="", "", 'AYIRA MINI MART FINAL MENU - Pr'!M243)</f>
        <v/>
      </c>
      <c r="N243" s="56" t="str">
        <f>IF('AYIRA MINI MART FINAL MENU - Pr'!N243="", "", 'AYIRA MINI MART FINAL MENU - Pr'!N243)</f>
        <v/>
      </c>
      <c r="O243" s="57"/>
      <c r="P243" s="57"/>
      <c r="Q243" s="57"/>
      <c r="R243" s="57"/>
      <c r="S243" s="57"/>
      <c r="T243" s="57"/>
      <c r="U243" s="57"/>
      <c r="V243" s="57"/>
      <c r="W243" s="57"/>
      <c r="X243" s="57"/>
      <c r="Y243" s="57"/>
      <c r="Z243" s="57"/>
    </row>
    <row r="244">
      <c r="A244" s="56" t="str">
        <f>IFERROR(__xludf.DUMMYFUNCTION("IF('AYIRA MINI MART FINAL MENU - Pr'!A244="""", """", IF(LEN(IFERROR(TRIM(REGEXREPLACE(TRIM(REGEXEXTRACT('AYIRA MINI MART FINAL MENU - Pr'!A244, ""^[^\x{0600}-\x{06FF}]+"")), ""[-–]+$"", """")), """"))&gt;0, IFERROR(TRIM(REGEXREPLACE(TRIM(REGEXEXTRACT('AYIRA"&amp;" MINI MART FINAL MENU - Pr'!A244, ""^[^\x{0600}-\x{06FF}]+"")), ""[-–]+$"", """")), """"), GOOGLETRANSLATE('AYIRA MINI MART FINAL MENU - Pr'!A244, ""ar"", ""en"")))"),"Strawberry Sandwich Semi Ice Milk (Saudia)")</f>
        <v>Strawberry Sandwich Semi Ice Milk (Saudia)</v>
      </c>
      <c r="B244" s="56" t="str">
        <f>IFERROR(__xludf.DUMMYFUNCTION("IF('AYIRA MINI MART FINAL MENU - Pr'!B244="""", """", IF(LEN(IFERROR(TRIM(REGEXREPLACE(TRIM(REGEXEXTRACT('AYIRA MINI MART FINAL MENU - Pr'!B244, ""^[^\x{0600}-\x{06FF}]+"")), ""[-–]+$"", """")), """"))&gt;0, IFERROR(TRIM(REGEXREPLACE(TRIM(REGEXEXTRACT('AYIRA"&amp;" MINI MART FINAL MENU - Pr'!B244, ""^[^\x{0600}-\x{06FF}]+"")), ""[-–]+$"", """")), """"), GOOGLETRANSLATE('AYIRA MINI MART FINAL MENU - Pr'!B244, ""ar"", ""en"")))"),"Ice Cream |")</f>
        <v>Ice Cream |</v>
      </c>
      <c r="C244" s="58">
        <f>IF('AYIRA MINI MART FINAL MENU - Pr'!C244="", "", 'AYIRA MINI MART FINAL MENU - Pr'!C244)</f>
        <v>2.5</v>
      </c>
      <c r="D244" s="56" t="str">
        <f>IFERROR(__xludf.DUMMYFUNCTION("IF('AYIRA MINI MART FINAL MENU - Pr'!D244="""", """", GOOGLETRANSLATE('AYIRA MINI MART FINAL MENU - Pr'!D244, ""ar"", ""en""))"),"Cool down on hot days with Saudia, the delicious ice cream that transports you to a world of refreshment and enjoyment. It boasts a wonderful flavor and a smooth, creamy texture that melts in your mouth, leaving a delightful and unforgettable aftertaste. "&amp;"Perfect for children and adults alike, it's a great light treat any time of day. Discover the secret to its unique taste and make it a part of your sunny day. Aira Mini Mart offers it fresh and preserved to the highest standards.")</f>
        <v>Cool down on hot days with Saudia,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44" s="56" t="str">
        <f>IF('AYIRA MINI MART FINAL MENU - Pr'!K244="", "", 'AYIRA MINI MART FINAL MENU - Pr'!K244)</f>
        <v/>
      </c>
      <c r="F244" s="56"/>
      <c r="G244" s="56"/>
      <c r="H244" s="56"/>
      <c r="I244" s="56"/>
      <c r="J244" s="56"/>
      <c r="L244" s="56" t="str">
        <f>IF('AYIRA MINI MART FINAL MENU - Pr'!L244="", "", 'AYIRA MINI MART FINAL MENU - Pr'!L244)</f>
        <v/>
      </c>
      <c r="M244" s="56" t="str">
        <f>IF('AYIRA MINI MART FINAL MENU - Pr'!M244="", "", 'AYIRA MINI MART FINAL MENU - Pr'!M244)</f>
        <v/>
      </c>
      <c r="N244" s="56" t="str">
        <f>IF('AYIRA MINI MART FINAL MENU - Pr'!N244="", "", 'AYIRA MINI MART FINAL MENU - Pr'!N244)</f>
        <v/>
      </c>
      <c r="O244" s="57"/>
      <c r="P244" s="57"/>
      <c r="Q244" s="57"/>
      <c r="R244" s="57"/>
      <c r="S244" s="57"/>
      <c r="T244" s="57"/>
      <c r="U244" s="57"/>
      <c r="V244" s="57"/>
      <c r="W244" s="57"/>
      <c r="X244" s="57"/>
      <c r="Y244" s="57"/>
      <c r="Z244" s="57"/>
    </row>
    <row r="245">
      <c r="A245" s="56" t="str">
        <f>IFERROR(__xludf.DUMMYFUNCTION("IF('AYIRA MINI MART FINAL MENU - Pr'!A245="""", """", IF(LEN(IFERROR(TRIM(REGEXREPLACE(TRIM(REGEXEXTRACT('AYIRA MINI MART FINAL MENU - Pr'!A245, ""^[^\x{0600}-\x{06FF}]+"")), ""[-–]+$"", """")), """"))&gt;0, IFERROR(TRIM(REGEXREPLACE(TRIM(REGEXEXTRACT('AYIRA"&amp;" MINI MART FINAL MENU - Pr'!A245, ""^[^\x{0600}-\x{06FF}]+"")), ""[-–]+$"", """")), """"), GOOGLETRANSLATE('AYIRA MINI MART FINAL MENU - Pr'!A245, ""ar"", ""en"")))"),"Vanilla Semi Ice Milk Covered with Chocolate Coating (Saudia)")</f>
        <v>Vanilla Semi Ice Milk Covered with Chocolate Coating (Saudia)</v>
      </c>
      <c r="B245" s="56" t="str">
        <f>IFERROR(__xludf.DUMMYFUNCTION("IF('AYIRA MINI MART FINAL MENU - Pr'!B245="""", """", IF(LEN(IFERROR(TRIM(REGEXREPLACE(TRIM(REGEXEXTRACT('AYIRA MINI MART FINAL MENU - Pr'!B245, ""^[^\x{0600}-\x{06FF}]+"")), ""[-–]+$"", """")), """"))&gt;0, IFERROR(TRIM(REGEXREPLACE(TRIM(REGEXEXTRACT('AYIRA"&amp;" MINI MART FINAL MENU - Pr'!B245, ""^[^\x{0600}-\x{06FF}]+"")), ""[-–]+$"", """")), """"), GOOGLETRANSLATE('AYIRA MINI MART FINAL MENU - Pr'!B245, ""ar"", ""en"")))"),"Ice Cream |")</f>
        <v>Ice Cream |</v>
      </c>
      <c r="C245" s="58">
        <f>IF('AYIRA MINI MART FINAL MENU - Pr'!C245="", "", 'AYIRA MINI MART FINAL MENU - Pr'!C245)</f>
        <v>1.75</v>
      </c>
      <c r="D245" s="56" t="str">
        <f>IFERROR(__xludf.DUMMYFUNCTION("IF('AYIRA MINI MART FINAL MENU - Pr'!D245="""", """", GOOGLETRANSLATE('AYIRA MINI MART FINAL MENU - Pr'!D245, ""ar"", ""en""))"),"Cool down on hot days with Saudia, the delicious ice cream that transports you to a world of refreshment and enjoyment. It boasts a wonderful flavor and a smooth, creamy texture that melts in your mouth, leaving a delightful and unforgettable aftertaste. "&amp;"Perfect for children and adults alike, it's a great light treat any time of day. Discover the secret to its unique taste and make it a part of your sunny day. Aira Mini Mart offers it fresh and preserved to the highest standards.")</f>
        <v>Cool down on hot days with Saudia,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45" s="56" t="str">
        <f>IF('AYIRA MINI MART FINAL MENU - Pr'!K245="", "", 'AYIRA MINI MART FINAL MENU - Pr'!K245)</f>
        <v/>
      </c>
      <c r="F245" s="56"/>
      <c r="G245" s="56"/>
      <c r="H245" s="56"/>
      <c r="I245" s="56"/>
      <c r="J245" s="56"/>
      <c r="L245" s="56" t="str">
        <f>IF('AYIRA MINI MART FINAL MENU - Pr'!L245="", "", 'AYIRA MINI MART FINAL MENU - Pr'!L245)</f>
        <v/>
      </c>
      <c r="M245" s="56" t="str">
        <f>IF('AYIRA MINI MART FINAL MENU - Pr'!M245="", "", 'AYIRA MINI MART FINAL MENU - Pr'!M245)</f>
        <v/>
      </c>
      <c r="N245" s="56" t="str">
        <f>IF('AYIRA MINI MART FINAL MENU - Pr'!N245="", "", 'AYIRA MINI MART FINAL MENU - Pr'!N245)</f>
        <v/>
      </c>
      <c r="O245" s="57"/>
      <c r="P245" s="57"/>
      <c r="Q245" s="57"/>
      <c r="R245" s="57"/>
      <c r="S245" s="57"/>
      <c r="T245" s="57"/>
      <c r="U245" s="57"/>
      <c r="V245" s="57"/>
      <c r="W245" s="57"/>
      <c r="X245" s="57"/>
      <c r="Y245" s="57"/>
      <c r="Z245" s="57"/>
    </row>
    <row r="246">
      <c r="A246" s="56" t="str">
        <f>IFERROR(__xludf.DUMMYFUNCTION("IF('AYIRA MINI MART FINAL MENU - Pr'!A246="""", """", IF(LEN(IFERROR(TRIM(REGEXREPLACE(TRIM(REGEXEXTRACT('AYIRA MINI MART FINAL MENU - Pr'!A246, ""^[^\x{0600}-\x{06FF}]+"")), ""[-–]+$"", """")), """"))&gt;0, IFERROR(TRIM(REGEXREPLACE(TRIM(REGEXEXTRACT('AYIRA"&amp;" MINI MART FINAL MENU - Pr'!A246, ""^[^\x{0600}-\x{06FF}]+"")), ""[-–]+$"", """")), """"), GOOGLETRANSLATE('AYIRA MINI MART FINAL MENU - Pr'!A246, ""ar"", ""en"")))"),"Saudi Mango Stick – Saudi")</f>
        <v>Saudi Mango Stick – Saudi</v>
      </c>
      <c r="B246" s="56" t="str">
        <f>IFERROR(__xludf.DUMMYFUNCTION("IF('AYIRA MINI MART FINAL MENU - Pr'!B246="""", """", IF(LEN(IFERROR(TRIM(REGEXREPLACE(TRIM(REGEXEXTRACT('AYIRA MINI MART FINAL MENU - Pr'!B246, ""^[^\x{0600}-\x{06FF}]+"")), ""[-–]+$"", """")), """"))&gt;0, IFERROR(TRIM(REGEXREPLACE(TRIM(REGEXEXTRACT('AYIRA"&amp;" MINI MART FINAL MENU - Pr'!B246, ""^[^\x{0600}-\x{06FF}]+"")), ""[-–]+$"", """")), """"), GOOGLETRANSLATE('AYIRA MINI MART FINAL MENU - Pr'!B246, ""ar"", ""en"")))"),"Ice Cream |")</f>
        <v>Ice Cream |</v>
      </c>
      <c r="C246" s="58">
        <f>IF('AYIRA MINI MART FINAL MENU - Pr'!C246="", "", 'AYIRA MINI MART FINAL MENU - Pr'!C246)</f>
        <v>1.5</v>
      </c>
      <c r="D246" s="56" t="str">
        <f>IFERROR(__xludf.DUMMYFUNCTION("IF('AYIRA MINI MART FINAL MENU - Pr'!D246="""", """", GOOGLETRANSLATE('AYIRA MINI MART FINAL MENU - Pr'!D246, ""ar"", ""en""))"),"Cool down on hot days with Saudi Mango Sticks, delicious ice creams that transport you to a world of refreshment and enjoyment. They boast a wonderful flavor and a smooth, creamy texture that melts in your mouth, leaving a delightful and unforgettable aft"&amp;"ertaste. Perfect for both children and adults, they make a great light treat any time of day. Discover the secret to their unique taste and make them a part of your sunny day. Aira Mini Mart offers them fresh and preserved to the highest standards.")</f>
        <v>Cool down on hot days with Saudi Mango Sticks, delicious ice creams that transport you to a world of refreshment and enjoyment. They boast a wonderful flavor and a smooth, creamy texture that melts in your mouth, leaving a delightful and unforgettable aftertaste. Perfect for both children and adults, they make a great light treat any time of day. Discover the secret to their unique taste and make them a part of your sunny day. Aira Mini Mart offers them fresh and preserved to the highest standards.</v>
      </c>
      <c r="E246" s="56" t="str">
        <f>IF('AYIRA MINI MART FINAL MENU - Pr'!K246="", "", 'AYIRA MINI MART FINAL MENU - Pr'!K246)</f>
        <v/>
      </c>
      <c r="F246" s="56"/>
      <c r="G246" s="56"/>
      <c r="H246" s="56"/>
      <c r="I246" s="56"/>
      <c r="J246" s="56"/>
      <c r="L246" s="56" t="str">
        <f>IF('AYIRA MINI MART FINAL MENU - Pr'!L246="", "", 'AYIRA MINI MART FINAL MENU - Pr'!L246)</f>
        <v/>
      </c>
      <c r="M246" s="56" t="str">
        <f>IF('AYIRA MINI MART FINAL MENU - Pr'!M246="", "", 'AYIRA MINI MART FINAL MENU - Pr'!M246)</f>
        <v/>
      </c>
      <c r="N246" s="56" t="str">
        <f>IF('AYIRA MINI MART FINAL MENU - Pr'!N246="", "", 'AYIRA MINI MART FINAL MENU - Pr'!N246)</f>
        <v/>
      </c>
      <c r="O246" s="57"/>
      <c r="P246" s="57"/>
      <c r="Q246" s="57"/>
      <c r="R246" s="57"/>
      <c r="S246" s="57"/>
      <c r="T246" s="57"/>
      <c r="U246" s="57"/>
      <c r="V246" s="57"/>
      <c r="W246" s="57"/>
      <c r="X246" s="57"/>
      <c r="Y246" s="57"/>
      <c r="Z246" s="57"/>
    </row>
    <row r="247">
      <c r="A247" s="56" t="str">
        <f>IFERROR(__xludf.DUMMYFUNCTION("IF('AYIRA MINI MART FINAL MENU - Pr'!A247="""", """", IF(LEN(IFERROR(TRIM(REGEXREPLACE(TRIM(REGEXEXTRACT('AYIRA MINI MART FINAL MENU - Pr'!A247, ""^[^\x{0600}-\x{06FF}]+"")), ""[-–]+$"", """")), """"))&gt;0, IFERROR(TRIM(REGEXREPLACE(TRIM(REGEXEXTRACT('AYIRA"&amp;" MINI MART FINAL MENU - Pr'!A247, ""^[^\x{0600}-\x{06FF}]+"")), ""[-–]+$"", """")), """"), GOOGLETRANSLATE('AYIRA MINI MART FINAL MENU - Pr'!A247, ""ar"", ""en"")))"),"Lemon Mint Ice Lolly")</f>
        <v>Lemon Mint Ice Lolly</v>
      </c>
      <c r="B247" s="56" t="str">
        <f>IFERROR(__xludf.DUMMYFUNCTION("IF('AYIRA MINI MART FINAL MENU - Pr'!B247="""", """", IF(LEN(IFERROR(TRIM(REGEXREPLACE(TRIM(REGEXEXTRACT('AYIRA MINI MART FINAL MENU - Pr'!B247, ""^[^\x{0600}-\x{06FF}]+"")), ""[-–]+$"", """")), """"))&gt;0, IFERROR(TRIM(REGEXREPLACE(TRIM(REGEXEXTRACT('AYIRA"&amp;" MINI MART FINAL MENU - Pr'!B247, ""^[^\x{0600}-\x{06FF}]+"")), ""[-–]+$"", """")), """"), GOOGLETRANSLATE('AYIRA MINI MART FINAL MENU - Pr'!B247, ""ar"", ""en"")))"),"Ice Cream |")</f>
        <v>Ice Cream |</v>
      </c>
      <c r="C247" s="58">
        <f>IF('AYIRA MINI MART FINAL MENU - Pr'!C247="", "", 'AYIRA MINI MART FINAL MENU - Pr'!C247)</f>
        <v>1.5</v>
      </c>
      <c r="D247" s="56" t="str">
        <f>IFERROR(__xludf.DUMMYFUNCTION("IF('AYIRA MINI MART FINAL MENU - Pr'!D247="""", """", GOOGLETRANSLATE('AYIRA MINI MART FINAL MENU - Pr'!D247, ""ar"", ""en""))"),"Add a sweet touch to your day with Lemon Mint Ice Lolly, a delicious treat loved by everyone. Its variety of flavors and vibrant colors make it suitable for all ages. Perfect as a small treat or a light gift for friends and family. Made with high-quality "&amp;"ingredients to ensure a great taste in every single piece. Get yours from Aira Mini Mart and spread the joy to your loved ones.")</f>
        <v>Add a sweet touch to your day with Lemon Mint Ice Lolly, a delicious treat loved by everyone. Its variety of flavors and vibrant colors make it suitable for all ages. Perfect as a small treat or a light gift for friends and family. Made with high-quality ingredients to ensure a great taste in every single piece. Get yours from Aira Mini Mart and spread the joy to your loved ones.</v>
      </c>
      <c r="E247" s="56" t="str">
        <f>IF('AYIRA MINI MART FINAL MENU - Pr'!K247="", "", 'AYIRA MINI MART FINAL MENU - Pr'!K247)</f>
        <v/>
      </c>
      <c r="F247" s="56"/>
      <c r="G247" s="56"/>
      <c r="H247" s="56"/>
      <c r="I247" s="56"/>
      <c r="J247" s="56"/>
      <c r="L247" s="56" t="str">
        <f>IF('AYIRA MINI MART FINAL MENU - Pr'!L247="", "", 'AYIRA MINI MART FINAL MENU - Pr'!L247)</f>
        <v/>
      </c>
      <c r="M247" s="56" t="str">
        <f>IF('AYIRA MINI MART FINAL MENU - Pr'!M247="", "", 'AYIRA MINI MART FINAL MENU - Pr'!M247)</f>
        <v/>
      </c>
      <c r="N247" s="56" t="str">
        <f>IF('AYIRA MINI MART FINAL MENU - Pr'!N247="", "", 'AYIRA MINI MART FINAL MENU - Pr'!N247)</f>
        <v/>
      </c>
      <c r="O247" s="57"/>
      <c r="P247" s="57"/>
      <c r="Q247" s="57"/>
      <c r="R247" s="57"/>
      <c r="S247" s="57"/>
      <c r="T247" s="57"/>
      <c r="U247" s="57"/>
      <c r="V247" s="57"/>
      <c r="W247" s="57"/>
      <c r="X247" s="57"/>
      <c r="Y247" s="57"/>
      <c r="Z247" s="57"/>
    </row>
    <row r="248">
      <c r="A248" s="56" t="str">
        <f>IFERROR(__xludf.DUMMYFUNCTION("IF('AYIRA MINI MART FINAL MENU - Pr'!A248="""", """", IF(LEN(IFERROR(TRIM(REGEXREPLACE(TRIM(REGEXEXTRACT('AYIRA MINI MART FINAL MENU - Pr'!A248, ""^[^\x{0600}-\x{06FF}]+"")), ""[-–]+$"", """")), """"))&gt;0, IFERROR(TRIM(REGEXREPLACE(TRIM(REGEXEXTRACT('AYIRA"&amp;" MINI MART FINAL MENU - Pr'!A248, ""^[^\x{0600}-\x{06FF}]+"")), ""[-–]+$"", """")), """"), GOOGLETRANSLATE('AYIRA MINI MART FINAL MENU - Pr'!A248, ""ar"", ""en"")))"),"Chocolate Sandwich Semi Ice Milk")</f>
        <v>Chocolate Sandwich Semi Ice Milk</v>
      </c>
      <c r="B248" s="56" t="str">
        <f>IFERROR(__xludf.DUMMYFUNCTION("IF('AYIRA MINI MART FINAL MENU - Pr'!B248="""", """", IF(LEN(IFERROR(TRIM(REGEXREPLACE(TRIM(REGEXEXTRACT('AYIRA MINI MART FINAL MENU - Pr'!B248, ""^[^\x{0600}-\x{06FF}]+"")), ""[-–]+$"", """")), """"))&gt;0, IFERROR(TRIM(REGEXREPLACE(TRIM(REGEXEXTRACT('AYIRA"&amp;" MINI MART FINAL MENU - Pr'!B248, ""^[^\x{0600}-\x{06FF}]+"")), ""[-–]+$"", """")), """"), GOOGLETRANSLATE('AYIRA MINI MART FINAL MENU - Pr'!B248, ""ar"", ""en"")))"),"Ice Cream |")</f>
        <v>Ice Cream |</v>
      </c>
      <c r="C248" s="58">
        <f>IF('AYIRA MINI MART FINAL MENU - Pr'!C248="", "", 'AYIRA MINI MART FINAL MENU - Pr'!C248)</f>
        <v>2.5</v>
      </c>
      <c r="D248" s="56" t="str">
        <f>IFERROR(__xludf.DUMMYFUNCTION("IF('AYIRA MINI MART FINAL MENU - Pr'!D248="""", """", GOOGLETRANSLATE('AYIRA MINI MART FINAL MENU - Pr'!D248, ""ar"", ""en""))"),"Cool down on hot days with Chocolate Sandwich Semi-Ice Milk, a delicious ice cream that transports you to a world of refreshment and enjoyment. Its wonderful flavor and smooth, creamy texture melt in your mouth, leaving a delightful and unforgettable afte"&amp;"rtaste. Perfect for children and adults alike, it's a great light treat any time of day. Discover the secret to its unique taste and make it a part of your sunny day. Aira Mini Mart offers it fresh and preserved to the highest standards.")</f>
        <v>Cool down on hot days with Chocolate Sandwich Semi-Ice Milk, a delicious ice cream that transports you to a world of refreshment and enjoyment. Its wonderful flavor and smooth, creamy texture melt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48" s="56" t="str">
        <f>IF('AYIRA MINI MART FINAL MENU - Pr'!K248="", "", 'AYIRA MINI MART FINAL MENU - Pr'!K248)</f>
        <v/>
      </c>
      <c r="F248" s="56"/>
      <c r="G248" s="56"/>
      <c r="H248" s="56"/>
      <c r="I248" s="56"/>
      <c r="J248" s="56"/>
      <c r="L248" s="56" t="str">
        <f>IF('AYIRA MINI MART FINAL MENU - Pr'!L248="", "", 'AYIRA MINI MART FINAL MENU - Pr'!L248)</f>
        <v/>
      </c>
      <c r="M248" s="56" t="str">
        <f>IF('AYIRA MINI MART FINAL MENU - Pr'!M248="", "", 'AYIRA MINI MART FINAL MENU - Pr'!M248)</f>
        <v/>
      </c>
      <c r="N248" s="56" t="str">
        <f>IF('AYIRA MINI MART FINAL MENU - Pr'!N248="", "", 'AYIRA MINI MART FINAL MENU - Pr'!N248)</f>
        <v/>
      </c>
      <c r="O248" s="57"/>
      <c r="P248" s="57"/>
      <c r="Q248" s="57"/>
      <c r="R248" s="57"/>
      <c r="S248" s="57"/>
      <c r="T248" s="57"/>
      <c r="U248" s="57"/>
      <c r="V248" s="57"/>
      <c r="W248" s="57"/>
      <c r="X248" s="57"/>
      <c r="Y248" s="57"/>
      <c r="Z248" s="57"/>
    </row>
    <row r="249">
      <c r="A249" s="56" t="str">
        <f>IFERROR(__xludf.DUMMYFUNCTION("IF('AYIRA MINI MART FINAL MENU - Pr'!A249="""", """", IF(LEN(IFERROR(TRIM(REGEXREPLACE(TRIM(REGEXEXTRACT('AYIRA MINI MART FINAL MENU - Pr'!A249, ""^[^\x{0600}-\x{06FF}]+"")), ""[-–]+$"", """")), """"))&gt;0, IFERROR(TRIM(REGEXREPLACE(TRIM(REGEXEXTRACT('AYIRA"&amp;" MINI MART FINAL MENU - Pr'!A249, ""^[^\x{0600}-\x{06FF}]+"")), ""[-–]+$"", """")), """"), GOOGLETRANSLATE('AYIRA MINI MART FINAL MENU - Pr'!A249, ""ar"", ""en"")))"),"Cola PushUp (Saudia)")</f>
        <v>Cola PushUp (Saudia)</v>
      </c>
      <c r="B249" s="56" t="str">
        <f>IFERROR(__xludf.DUMMYFUNCTION("IF('AYIRA MINI MART FINAL MENU - Pr'!B249="""", """", IF(LEN(IFERROR(TRIM(REGEXREPLACE(TRIM(REGEXEXTRACT('AYIRA MINI MART FINAL MENU - Pr'!B249, ""^[^\x{0600}-\x{06FF}]+"")), ""[-–]+$"", """")), """"))&gt;0, IFERROR(TRIM(REGEXREPLACE(TRIM(REGEXEXTRACT('AYIRA"&amp;" MINI MART FINAL MENU - Pr'!B249, ""^[^\x{0600}-\x{06FF}]+"")), ""[-–]+$"", """")), """"), GOOGLETRANSLATE('AYIRA MINI MART FINAL MENU - Pr'!B249, ""ar"", ""en"")))"),"Ice Cream |")</f>
        <v>Ice Cream |</v>
      </c>
      <c r="C249" s="58">
        <f>IF('AYIRA MINI MART FINAL MENU - Pr'!C249="", "", 'AYIRA MINI MART FINAL MENU - Pr'!C249)</f>
        <v>2</v>
      </c>
      <c r="D249" s="56" t="str">
        <f>IFERROR(__xludf.DUMMYFUNCTION("IF('AYIRA MINI MART FINAL MENU - Pr'!D249="""", """", GOOGLETRANSLATE('AYIRA MINI MART FINAL MENU - Pr'!D249, ""ar"", ""en""))"),"Enjoy Saudia, the refreshing soft drink that gives you energy and vitality with every drop. Its delicious taste and unique formula make it the perfect choice to quench your thirst anytime. Ideal for parties, family gatherings, and various occasions. It bo"&amp;"asts distinctive flavors that make every sip an unforgettable experience. Get it now from Aira Mini Mart at the best prices and highest quality. Our premium drink provides instant refreshment and satisfies your discerning palate whenever you need hydratio"&amp;"n.")</f>
        <v>Enjoy Saudia,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249" s="56" t="str">
        <f>IF('AYIRA MINI MART FINAL MENU - Pr'!K249="", "", 'AYIRA MINI MART FINAL MENU - Pr'!K249)</f>
        <v/>
      </c>
      <c r="F249" s="56"/>
      <c r="G249" s="56"/>
      <c r="H249" s="56"/>
      <c r="I249" s="56"/>
      <c r="J249" s="56"/>
      <c r="L249" s="56" t="str">
        <f>IF('AYIRA MINI MART FINAL MENU - Pr'!L249="", "", 'AYIRA MINI MART FINAL MENU - Pr'!L249)</f>
        <v/>
      </c>
      <c r="M249" s="56" t="str">
        <f>IF('AYIRA MINI MART FINAL MENU - Pr'!M249="", "", 'AYIRA MINI MART FINAL MENU - Pr'!M249)</f>
        <v/>
      </c>
      <c r="N249" s="56" t="str">
        <f>IF('AYIRA MINI MART FINAL MENU - Pr'!N249="", "", 'AYIRA MINI MART FINAL MENU - Pr'!N249)</f>
        <v/>
      </c>
      <c r="O249" s="57"/>
      <c r="P249" s="57"/>
      <c r="Q249" s="57"/>
      <c r="R249" s="57"/>
      <c r="S249" s="57"/>
      <c r="T249" s="57"/>
      <c r="U249" s="57"/>
      <c r="V249" s="57"/>
      <c r="W249" s="57"/>
      <c r="X249" s="57"/>
      <c r="Y249" s="57"/>
      <c r="Z249" s="57"/>
    </row>
    <row r="250">
      <c r="A250" s="56" t="str">
        <f>IFERROR(__xludf.DUMMYFUNCTION("IF('AYIRA MINI MART FINAL MENU - Pr'!A250="""", """", IF(LEN(IFERROR(TRIM(REGEXREPLACE(TRIM(REGEXEXTRACT('AYIRA MINI MART FINAL MENU - Pr'!A250, ""^[^\x{0600}-\x{06FF}]+"")), ""[-–]+$"", """")), """"))&gt;0, IFERROR(TRIM(REGEXREPLACE(TRIM(REGEXEXTRACT('AYIRA"&amp;" MINI MART FINAL MENU - Pr'!A250, ""^[^\x{0600}-\x{06FF}]+"")), ""[-–]+$"", """")), """"), GOOGLETRANSLATE('AYIRA MINI MART FINAL MENU - Pr'!A250, ""ar"", ""en"")))"),"Orange Push Up (Saudia)")</f>
        <v>Orange Push Up (Saudia)</v>
      </c>
      <c r="B250" s="56" t="str">
        <f>IFERROR(__xludf.DUMMYFUNCTION("IF('AYIRA MINI MART FINAL MENU - Pr'!B250="""", """", IF(LEN(IFERROR(TRIM(REGEXREPLACE(TRIM(REGEXEXTRACT('AYIRA MINI MART FINAL MENU - Pr'!B250, ""^[^\x{0600}-\x{06FF}]+"")), ""[-–]+$"", """")), """"))&gt;0, IFERROR(TRIM(REGEXREPLACE(TRIM(REGEXEXTRACT('AYIRA"&amp;" MINI MART FINAL MENU - Pr'!B250, ""^[^\x{0600}-\x{06FF}]+"")), ""[-–]+$"", """")), """"), GOOGLETRANSLATE('AYIRA MINI MART FINAL MENU - Pr'!B250, ""ar"", ""en"")))"),"Ice Cream |")</f>
        <v>Ice Cream |</v>
      </c>
      <c r="C250" s="58">
        <f>IF('AYIRA MINI MART FINAL MENU - Pr'!C250="", "", 'AYIRA MINI MART FINAL MENU - Pr'!C250)</f>
        <v>2</v>
      </c>
      <c r="D250" s="56" t="str">
        <f>IFERROR(__xludf.DUMMYFUNCTION("IF('AYIRA MINI MART FINAL MENU - Pr'!D250="""", """", GOOGLETRANSLATE('AYIRA MINI MART FINAL MENU - Pr'!D250, ""ar"", ""en""))"),"Cool down on hot days with Saudia, the delicious ice cream that transports you to a world of refreshment and enjoyment. It boasts a wonderful flavor and a smooth, creamy texture that melts in your mouth, leaving a delightful and unforgettable aftertaste. "&amp;"Perfect for children and adults alike, it's a great light treat any time of day. Discover the secret to its unique taste and make it a part of your sunny day. Aira Mini Mart offers it fresh and preserved to the highest standards.")</f>
        <v>Cool down on hot days with Saudia,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50" s="56" t="str">
        <f>IF('AYIRA MINI MART FINAL MENU - Pr'!K250="", "", 'AYIRA MINI MART FINAL MENU - Pr'!K250)</f>
        <v/>
      </c>
      <c r="F250" s="56"/>
      <c r="G250" s="56"/>
      <c r="H250" s="56"/>
      <c r="I250" s="56"/>
      <c r="J250" s="56"/>
      <c r="L250" s="56" t="str">
        <f>IF('AYIRA MINI MART FINAL MENU - Pr'!L250="", "", 'AYIRA MINI MART FINAL MENU - Pr'!L250)</f>
        <v/>
      </c>
      <c r="M250" s="56" t="str">
        <f>IF('AYIRA MINI MART FINAL MENU - Pr'!M250="", "", 'AYIRA MINI MART FINAL MENU - Pr'!M250)</f>
        <v/>
      </c>
      <c r="N250" s="56" t="str">
        <f>IF('AYIRA MINI MART FINAL MENU - Pr'!N250="", "", 'AYIRA MINI MART FINAL MENU - Pr'!N250)</f>
        <v/>
      </c>
      <c r="O250" s="57"/>
      <c r="P250" s="57"/>
      <c r="Q250" s="57"/>
      <c r="R250" s="57"/>
      <c r="S250" s="57"/>
      <c r="T250" s="57"/>
      <c r="U250" s="57"/>
      <c r="V250" s="57"/>
      <c r="W250" s="57"/>
      <c r="X250" s="57"/>
      <c r="Y250" s="57"/>
      <c r="Z250" s="57"/>
    </row>
    <row r="251">
      <c r="A251" s="56" t="str">
        <f>IFERROR(__xludf.DUMMYFUNCTION("IF('AYIRA MINI MART FINAL MENU - Pr'!A251="""", """", IF(LEN(IFERROR(TRIM(REGEXREPLACE(TRIM(REGEXEXTRACT('AYIRA MINI MART FINAL MENU - Pr'!A251, ""^[^\x{0600}-\x{06FF}]+"")), ""[-–]+$"", """")), """"))&gt;0, IFERROR(TRIM(REGEXREPLACE(TRIM(REGEXEXTRACT('AYIRA"&amp;" MINI MART FINAL MENU - Pr'!A251, ""^[^\x{0600}-\x{06FF}]+"")), ""[-–]+$"", """")), """"), GOOGLETRANSLATE('AYIRA MINI MART FINAL MENU - Pr'!A251, ""ar"", ""en"")))"),"Bamboo Strawberry Push Up")</f>
        <v>Bamboo Strawberry Push Up</v>
      </c>
      <c r="B251" s="56" t="str">
        <f>IFERROR(__xludf.DUMMYFUNCTION("IF('AYIRA MINI MART FINAL MENU - Pr'!B251="""", """", IF(LEN(IFERROR(TRIM(REGEXREPLACE(TRIM(REGEXEXTRACT('AYIRA MINI MART FINAL MENU - Pr'!B251, ""^[^\x{0600}-\x{06FF}]+"")), ""[-–]+$"", """")), """"))&gt;0, IFERROR(TRIM(REGEXREPLACE(TRIM(REGEXEXTRACT('AYIRA"&amp;" MINI MART FINAL MENU - Pr'!B251, ""^[^\x{0600}-\x{06FF}]+"")), ""[-–]+$"", """")), """"), GOOGLETRANSLATE('AYIRA MINI MART FINAL MENU - Pr'!B251, ""ar"", ""en"")))"),"Ice Cream |")</f>
        <v>Ice Cream |</v>
      </c>
      <c r="C251" s="58">
        <f>IF('AYIRA MINI MART FINAL MENU - Pr'!C251="", "", 'AYIRA MINI MART FINAL MENU - Pr'!C251)</f>
        <v>2</v>
      </c>
      <c r="D251" s="56" t="str">
        <f>IFERROR(__xludf.DUMMYFUNCTION("IF('AYIRA MINI MART FINAL MENU - Pr'!D251="""", """", GOOGLETRANSLATE('AYIRA MINI MART FINAL MENU - Pr'!D251, ""ar"", ""en""))"),"Cool down on hot days with Bamboo, the delicious ice cream that transports you to a world of refreshment and enjoyment. It boasts a wonderful flavor and a smooth, creamy texture that melts in your mouth, leaving a delightful and unforgettable aftertaste. "&amp;"Perfect for children and adults alike, it's a great light treat any time of day. Discover the secret to its unique taste and make it a part of your sunny day. Aira Mini Mart offers it fresh and preserved to the highest standards.")</f>
        <v>Cool down on hot days with Bamboo,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51" s="56" t="str">
        <f>IF('AYIRA MINI MART FINAL MENU - Pr'!K251="", "", 'AYIRA MINI MART FINAL MENU - Pr'!K251)</f>
        <v/>
      </c>
      <c r="F251" s="56"/>
      <c r="G251" s="56"/>
      <c r="H251" s="56"/>
      <c r="I251" s="56"/>
      <c r="J251" s="56"/>
      <c r="L251" s="56" t="str">
        <f>IF('AYIRA MINI MART FINAL MENU - Pr'!L251="", "", 'AYIRA MINI MART FINAL MENU - Pr'!L251)</f>
        <v/>
      </c>
      <c r="M251" s="56" t="str">
        <f>IF('AYIRA MINI MART FINAL MENU - Pr'!M251="", "", 'AYIRA MINI MART FINAL MENU - Pr'!M251)</f>
        <v/>
      </c>
      <c r="N251" s="56" t="str">
        <f>IF('AYIRA MINI MART FINAL MENU - Pr'!N251="", "", 'AYIRA MINI MART FINAL MENU - Pr'!N251)</f>
        <v/>
      </c>
      <c r="O251" s="57"/>
      <c r="P251" s="57"/>
      <c r="Q251" s="57"/>
      <c r="R251" s="57"/>
      <c r="S251" s="57"/>
      <c r="T251" s="57"/>
      <c r="U251" s="57"/>
      <c r="V251" s="57"/>
      <c r="W251" s="57"/>
      <c r="X251" s="57"/>
      <c r="Y251" s="57"/>
      <c r="Z251" s="57"/>
    </row>
    <row r="252">
      <c r="A252" s="56" t="str">
        <f>IFERROR(__xludf.DUMMYFUNCTION("IF('AYIRA MINI MART FINAL MENU - Pr'!A252="""", """", IF(LEN(IFERROR(TRIM(REGEXREPLACE(TRIM(REGEXEXTRACT('AYIRA MINI MART FINAL MENU - Pr'!A252, ""^[^\x{0600}-\x{06FF}]+"")), ""[-–]+$"", """")), """"))&gt;0, IFERROR(TRIM(REGEXREPLACE(TRIM(REGEXEXTRACT('AYIRA"&amp;" MINI MART FINAL MENU - Pr'!A252, ""^[^\x{0600}-\x{06FF}]+"")), ""[-–]+$"", """")), """"), GOOGLETRANSLATE('AYIRA MINI MART FINAL MENU - Pr'!A252, ""ar"", ""en"")))"),"Chocolate Semi Ice Milk with Cone Biscuits")</f>
        <v>Chocolate Semi Ice Milk with Cone Biscuits</v>
      </c>
      <c r="B252" s="56" t="str">
        <f>IFERROR(__xludf.DUMMYFUNCTION("IF('AYIRA MINI MART FINAL MENU - Pr'!B252="""", """", IF(LEN(IFERROR(TRIM(REGEXREPLACE(TRIM(REGEXEXTRACT('AYIRA MINI MART FINAL MENU - Pr'!B252, ""^[^\x{0600}-\x{06FF}]+"")), ""[-–]+$"", """")), """"))&gt;0, IFERROR(TRIM(REGEXREPLACE(TRIM(REGEXEXTRACT('AYIRA"&amp;" MINI MART FINAL MENU - Pr'!B252, ""^[^\x{0600}-\x{06FF}]+"")), ""[-–]+$"", """")), """"), GOOGLETRANSLATE('AYIRA MINI MART FINAL MENU - Pr'!B252, ""ar"", ""en"")))"),"Ice Cream |")</f>
        <v>Ice Cream |</v>
      </c>
      <c r="C252" s="58">
        <f>IF('AYIRA MINI MART FINAL MENU - Pr'!C252="", "", 'AYIRA MINI MART FINAL MENU - Pr'!C252)</f>
        <v>1.5</v>
      </c>
      <c r="D252" s="56" t="str">
        <f>IFERROR(__xludf.DUMMYFUNCTION("IF('AYIRA MINI MART FINAL MENU - Pr'!D252="""", """", GOOGLETRANSLATE('AYIRA MINI MART FINAL MENU - Pr'!D252, ""ar"", ""en""))"),"Cool down on hot days with Chocolate Semi-Ice Milk with Cone Biscuits, a delicious ice cream that transports you to a world of refreshment and enjoyment. Its wonderful flavor and smooth, creamy texture melt in your mouth, leaving a delightful and unforget"&amp;"table aftertaste. Perfect for children and adults alike, it's a great light treat any time of day. Discover the secret to its unique taste and make it a part of your sunny day. Aira Mini Mart offers it fresh and preserved to the highest standards.")</f>
        <v>Cool down on hot days with Chocolate Semi-Ice Milk with Cone Biscuits, a delicious ice cream that transports you to a world of refreshment and enjoyment. Its wonderful flavor and smooth, creamy texture melt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52" s="56" t="str">
        <f>IF('AYIRA MINI MART FINAL MENU - Pr'!K252="", "", 'AYIRA MINI MART FINAL MENU - Pr'!K252)</f>
        <v/>
      </c>
      <c r="F252" s="56"/>
      <c r="G252" s="56"/>
      <c r="H252" s="56"/>
      <c r="I252" s="56"/>
      <c r="J252" s="56"/>
      <c r="L252" s="56" t="str">
        <f>IF('AYIRA MINI MART FINAL MENU - Pr'!L252="", "", 'AYIRA MINI MART FINAL MENU - Pr'!L252)</f>
        <v/>
      </c>
      <c r="M252" s="56" t="str">
        <f>IF('AYIRA MINI MART FINAL MENU - Pr'!M252="", "", 'AYIRA MINI MART FINAL MENU - Pr'!M252)</f>
        <v/>
      </c>
      <c r="N252" s="56" t="str">
        <f>IF('AYIRA MINI MART FINAL MENU - Pr'!N252="", "", 'AYIRA MINI MART FINAL MENU - Pr'!N252)</f>
        <v/>
      </c>
      <c r="O252" s="57"/>
      <c r="P252" s="57"/>
      <c r="Q252" s="57"/>
      <c r="R252" s="57"/>
      <c r="S252" s="57"/>
      <c r="T252" s="57"/>
      <c r="U252" s="57"/>
      <c r="V252" s="57"/>
      <c r="W252" s="57"/>
      <c r="X252" s="57"/>
      <c r="Y252" s="57"/>
      <c r="Z252" s="57"/>
    </row>
    <row r="253">
      <c r="A253" s="56" t="str">
        <f>IFERROR(__xludf.DUMMYFUNCTION("IF('AYIRA MINI MART FINAL MENU - Pr'!A253="""", """", IF(LEN(IFERROR(TRIM(REGEXREPLACE(TRIM(REGEXEXTRACT('AYIRA MINI MART FINAL MENU - Pr'!A253, ""^[^\x{0600}-\x{06FF}]+"")), ""[-–]+$"", """")), """"))&gt;0, IFERROR(TRIM(REGEXREPLACE(TRIM(REGEXEXTRACT('AYIRA"&amp;" MINI MART FINAL MENU - Pr'!A253, ""^[^\x{0600}-\x{06FF}]+"")), ""[-–]+$"", """")), """"), GOOGLETRANSLATE('AYIRA MINI MART FINAL MENU - Pr'!A253, ""ar"", ""en"")))"),"Semi Ice Milk with Cotton Candy – Semi")</f>
        <v>Semi Ice Milk with Cotton Candy – Semi</v>
      </c>
      <c r="B253" s="56" t="str">
        <f>IFERROR(__xludf.DUMMYFUNCTION("IF('AYIRA MINI MART FINAL MENU - Pr'!B253="""", """", IF(LEN(IFERROR(TRIM(REGEXREPLACE(TRIM(REGEXEXTRACT('AYIRA MINI MART FINAL MENU - Pr'!B253, ""^[^\x{0600}-\x{06FF}]+"")), ""[-–]+$"", """")), """"))&gt;0, IFERROR(TRIM(REGEXREPLACE(TRIM(REGEXEXTRACT('AYIRA"&amp;" MINI MART FINAL MENU - Pr'!B253, ""^[^\x{0600}-\x{06FF}]+"")), ""[-–]+$"", """")), """"), GOOGLETRANSLATE('AYIRA MINI MART FINAL MENU - Pr'!B253, ""ar"", ""en"")))"),"Ice Cream |")</f>
        <v>Ice Cream |</v>
      </c>
      <c r="C253" s="58">
        <f>IF('AYIRA MINI MART FINAL MENU - Pr'!C253="", "", 'AYIRA MINI MART FINAL MENU - Pr'!C253)</f>
        <v>3</v>
      </c>
      <c r="D253" s="56" t="str">
        <f>IFERROR(__xludf.DUMMYFUNCTION("IF('AYIRA MINI MART FINAL MENU - Pr'!D253="""", """", GOOGLETRANSLATE('AYIRA MINI MART FINAL MENU - Pr'!D253, ""ar"", ""en""))"),"Cool down on hot days with Semi Ice Milk with Cotton Candy, a delicious ice cream that transports you to a world of refreshment and enjoyment. It boasts a wonderful flavor and a smooth, creamy texture that melts in your mouth, leaving a delightful and unf"&amp;"orgettable aftertaste. Perfect for children and adults alike, it's a great light treat any time of day. Discover the secret to its unique taste and make it a part of your sunny day. Aira Mini Mart offers it fresh and preserved to the highest standards.")</f>
        <v>Cool down on hot days with Semi Ice Milk with Cotton Candy, a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53" s="56" t="str">
        <f>IF('AYIRA MINI MART FINAL MENU - Pr'!K253="", "", 'AYIRA MINI MART FINAL MENU - Pr'!K253)</f>
        <v/>
      </c>
      <c r="F253" s="56"/>
      <c r="G253" s="56"/>
      <c r="H253" s="56"/>
      <c r="I253" s="56"/>
      <c r="J253" s="56"/>
      <c r="L253" s="56" t="str">
        <f>IF('AYIRA MINI MART FINAL MENU - Pr'!L253="", "", 'AYIRA MINI MART FINAL MENU - Pr'!L253)</f>
        <v/>
      </c>
      <c r="M253" s="56" t="str">
        <f>IF('AYIRA MINI MART FINAL MENU - Pr'!M253="", "", 'AYIRA MINI MART FINAL MENU - Pr'!M253)</f>
        <v/>
      </c>
      <c r="N253" s="56" t="str">
        <f>IF('AYIRA MINI MART FINAL MENU - Pr'!N253="", "", 'AYIRA MINI MART FINAL MENU - Pr'!N253)</f>
        <v/>
      </c>
      <c r="O253" s="57"/>
      <c r="P253" s="57"/>
      <c r="Q253" s="57"/>
      <c r="R253" s="57"/>
      <c r="S253" s="57"/>
      <c r="T253" s="57"/>
      <c r="U253" s="57"/>
      <c r="V253" s="57"/>
      <c r="W253" s="57"/>
      <c r="X253" s="57"/>
      <c r="Y253" s="57"/>
      <c r="Z253" s="57"/>
    </row>
    <row r="254">
      <c r="A254" s="56" t="str">
        <f>IFERROR(__xludf.DUMMYFUNCTION("IF('AYIRA MINI MART FINAL MENU - Pr'!A254="""", """", IF(LEN(IFERROR(TRIM(REGEXREPLACE(TRIM(REGEXEXTRACT('AYIRA MINI MART FINAL MENU - Pr'!A254, ""^[^\x{0600}-\x{06FF}]+"")), ""[-–]+$"", """")), """"))&gt;0, IFERROR(TRIM(REGEXREPLACE(TRIM(REGEXEXTRACT('AYIRA"&amp;" MINI MART FINAL MENU - Pr'!A254, ""^[^\x{0600}-\x{06FF}]+"")), ""[-–]+$"", """")), """"), GOOGLETRANSLATE('AYIRA MINI MART FINAL MENU - Pr'!A254, ""ar"", ""en"")))"),"Chocolate Semi Ice Milk Covered with Chocolate Coating")</f>
        <v>Chocolate Semi Ice Milk Covered with Chocolate Coating</v>
      </c>
      <c r="B254" s="56" t="str">
        <f>IFERROR(__xludf.DUMMYFUNCTION("IF('AYIRA MINI MART FINAL MENU - Pr'!B254="""", """", IF(LEN(IFERROR(TRIM(REGEXREPLACE(TRIM(REGEXEXTRACT('AYIRA MINI MART FINAL MENU - Pr'!B254, ""^[^\x{0600}-\x{06FF}]+"")), ""[-–]+$"", """")), """"))&gt;0, IFERROR(TRIM(REGEXREPLACE(TRIM(REGEXEXTRACT('AYIRA"&amp;" MINI MART FINAL MENU - Pr'!B254, ""^[^\x{0600}-\x{06FF}]+"")), ""[-–]+$"", """")), """"), GOOGLETRANSLATE('AYIRA MINI MART FINAL MENU - Pr'!B254, ""ar"", ""en"")))"),"Ice Cream |")</f>
        <v>Ice Cream |</v>
      </c>
      <c r="C254" s="58">
        <f>IF('AYIRA MINI MART FINAL MENU - Pr'!C254="", "", 'AYIRA MINI MART FINAL MENU - Pr'!C254)</f>
        <v>1.5</v>
      </c>
      <c r="D254" s="56" t="str">
        <f>IFERROR(__xludf.DUMMYFUNCTION("IF('AYIRA MINI MART FINAL MENU - Pr'!D254="""", """", GOOGLETRANSLATE('AYIRA MINI MART FINAL MENU - Pr'!D254, ""ar"", ""en""))"),"Cool down on hot days with Chocolate Semi-Ice Milk Covered with Chocolate Coating, a delicious ice cream that transports you to a world of refreshment and enjoyment. It boasts a wonderful flavor and a smooth, creamy texture that melts in your mouth, leavi"&amp;"ng a delightful and unforgettable impression. Perfect for children and adults alike, it's a great light treat any time of day. Discover the secret to its unique taste and make it a part of your sunny day. Aira Mini Mart offers it fresh and preserved to th"&amp;"e highest standards.")</f>
        <v>Cool down on hot days with Chocolate Semi-Ice Milk Covered with Chocolate Coating, a delicious ice cream that transports you to a world of refreshment and enjoyment. It boasts a wonderful flavor and a smooth, creamy texture that melts in your mouth, leaving a delightful and unforgettable impression. Perfect for children and adults alike, it's a great light treat any time of day. Discover the secret to its unique taste and make it a part of your sunny day. Aira Mini Mart offers it fresh and preserved to the highest standards.</v>
      </c>
      <c r="E254" s="56" t="str">
        <f>IF('AYIRA MINI MART FINAL MENU - Pr'!K254="", "", 'AYIRA MINI MART FINAL MENU - Pr'!K254)</f>
        <v/>
      </c>
      <c r="F254" s="56"/>
      <c r="G254" s="56"/>
      <c r="H254" s="56"/>
      <c r="I254" s="56"/>
      <c r="J254" s="56"/>
      <c r="L254" s="56" t="str">
        <f>IF('AYIRA MINI MART FINAL MENU - Pr'!L254="", "", 'AYIRA MINI MART FINAL MENU - Pr'!L254)</f>
        <v/>
      </c>
      <c r="M254" s="56" t="str">
        <f>IF('AYIRA MINI MART FINAL MENU - Pr'!M254="", "", 'AYIRA MINI MART FINAL MENU - Pr'!M254)</f>
        <v/>
      </c>
      <c r="N254" s="56" t="str">
        <f>IF('AYIRA MINI MART FINAL MENU - Pr'!N254="", "", 'AYIRA MINI MART FINAL MENU - Pr'!N254)</f>
        <v/>
      </c>
      <c r="O254" s="57"/>
      <c r="P254" s="57"/>
      <c r="Q254" s="57"/>
      <c r="R254" s="57"/>
      <c r="S254" s="57"/>
      <c r="T254" s="57"/>
      <c r="U254" s="57"/>
      <c r="V254" s="57"/>
      <c r="W254" s="57"/>
      <c r="X254" s="57"/>
      <c r="Y254" s="57"/>
      <c r="Z254" s="57"/>
    </row>
    <row r="255">
      <c r="A255" s="56" t="str">
        <f>IFERROR(__xludf.DUMMYFUNCTION("IF('AYIRA MINI MART FINAL MENU - Pr'!A255="""", """", IF(LEN(IFERROR(TRIM(REGEXREPLACE(TRIM(REGEXEXTRACT('AYIRA MINI MART FINAL MENU - Pr'!A255, ""^[^\x{0600}-\x{06FF}]+"")), ""[-–]+$"", """")), """"))&gt;0, IFERROR(TRIM(REGEXREPLACE(TRIM(REGEXEXTRACT('AYIRA"&amp;" MINI MART FINAL MENU - Pr'!A255, ""^[^\x{0600}-\x{06FF}]+"")), ""[-–]+$"", """")), """"), GOOGLETRANSLATE('AYIRA MINI MART FINAL MENU - Pr'!A255, ""ar"", ""en"")))"),"Oreo Stick with Oreo Cookie Pieces 64g")</f>
        <v>Oreo Stick with Oreo Cookie Pieces 64g</v>
      </c>
      <c r="B255" s="56" t="str">
        <f>IFERROR(__xludf.DUMMYFUNCTION("IF('AYIRA MINI MART FINAL MENU - Pr'!B255="""", """", IF(LEN(IFERROR(TRIM(REGEXREPLACE(TRIM(REGEXEXTRACT('AYIRA MINI MART FINAL MENU - Pr'!B255, ""^[^\x{0600}-\x{06FF}]+"")), ""[-–]+$"", """")), """"))&gt;0, IFERROR(TRIM(REGEXREPLACE(TRIM(REGEXEXTRACT('AYIRA"&amp;" MINI MART FINAL MENU - Pr'!B255, ""^[^\x{0600}-\x{06FF}]+"")), ""[-–]+$"", """")), """"), GOOGLETRANSLATE('AYIRA MINI MART FINAL MENU - Pr'!B255, ""ar"", ""en"")))"),"Ice Cream |")</f>
        <v>Ice Cream |</v>
      </c>
      <c r="C255" s="58">
        <f>IF('AYIRA MINI MART FINAL MENU - Pr'!C255="", "", 'AYIRA MINI MART FINAL MENU - Pr'!C255)</f>
        <v>10</v>
      </c>
      <c r="D255" s="56" t="str">
        <f>IFERROR(__xludf.DUMMYFUNCTION("IF('AYIRA MINI MART FINAL MENU - Pr'!D255="""", """", GOOGLETRANSLATE('AYIRA MINI MART FINAL MENU - Pr'!D255, ""ar"", ""en""))"),"Cool down on hot days with Oreo, the delicious ice cream that transports you to a world of refreshment and enjoyment. It boasts a wonderful flavor and a smooth, creamy texture that melts in your mouth, leaving a delightful and unforgettable aftertaste. Pe"&amp;"rfect for children and adults alike, it's a great light treat any time of day. Discover the secret to its unique taste and make it a part of your sunny day. Aira Mini Mart offers it fresh and preserved to the highest standards.")</f>
        <v>Cool down on hot days with Oreo,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55" s="56" t="str">
        <f>IF('AYIRA MINI MART FINAL MENU - Pr'!K255="", "", 'AYIRA MINI MART FINAL MENU - Pr'!K255)</f>
        <v/>
      </c>
      <c r="F255" s="56"/>
      <c r="G255" s="56"/>
      <c r="H255" s="56"/>
      <c r="I255" s="56"/>
      <c r="J255" s="56"/>
      <c r="L255" s="56" t="str">
        <f>IF('AYIRA MINI MART FINAL MENU - Pr'!L255="", "", 'AYIRA MINI MART FINAL MENU - Pr'!L255)</f>
        <v/>
      </c>
      <c r="M255" s="56" t="str">
        <f>IF('AYIRA MINI MART FINAL MENU - Pr'!M255="", "", 'AYIRA MINI MART FINAL MENU - Pr'!M255)</f>
        <v/>
      </c>
      <c r="N255" s="56" t="str">
        <f>IF('AYIRA MINI MART FINAL MENU - Pr'!N255="", "", 'AYIRA MINI MART FINAL MENU - Pr'!N255)</f>
        <v/>
      </c>
      <c r="O255" s="57"/>
      <c r="P255" s="57"/>
      <c r="Q255" s="57"/>
      <c r="R255" s="57"/>
      <c r="S255" s="57"/>
      <c r="T255" s="57"/>
      <c r="U255" s="57"/>
      <c r="V255" s="57"/>
      <c r="W255" s="57"/>
      <c r="X255" s="57"/>
      <c r="Y255" s="57"/>
      <c r="Z255" s="57"/>
    </row>
    <row r="256">
      <c r="A256" s="56" t="str">
        <f>IFERROR(__xludf.DUMMYFUNCTION("IF('AYIRA MINI MART FINAL MENU - Pr'!A256="""", """", IF(LEN(IFERROR(TRIM(REGEXREPLACE(TRIM(REGEXEXTRACT('AYIRA MINI MART FINAL MENU - Pr'!A256, ""^[^\x{0600}-\x{06FF}]+"")), ""[-–]+$"", """")), """"))&gt;0, IFERROR(TRIM(REGEXREPLACE(TRIM(REGEXEXTRACT('AYIRA"&amp;" MINI MART FINAL MENU - Pr'!A256, ""^[^\x{0600}-\x{06FF}]+"")), ""[-–]+$"", """")), """"), GOOGLETRANSLATE('AYIRA MINI MART FINAL MENU - Pr'!A256, ""ar"", ""en"")))"),"Oreo Cone with Oreo Cookie Pieces 110ml")</f>
        <v>Oreo Cone with Oreo Cookie Pieces 110ml</v>
      </c>
      <c r="B256" s="56" t="str">
        <f>IFERROR(__xludf.DUMMYFUNCTION("IF('AYIRA MINI MART FINAL MENU - Pr'!B256="""", """", IF(LEN(IFERROR(TRIM(REGEXREPLACE(TRIM(REGEXEXTRACT('AYIRA MINI MART FINAL MENU - Pr'!B256, ""^[^\x{0600}-\x{06FF}]+"")), ""[-–]+$"", """")), """"))&gt;0, IFERROR(TRIM(REGEXREPLACE(TRIM(REGEXEXTRACT('AYIRA"&amp;" MINI MART FINAL MENU - Pr'!B256, ""^[^\x{0600}-\x{06FF}]+"")), ""[-–]+$"", """")), """"), GOOGLETRANSLATE('AYIRA MINI MART FINAL MENU - Pr'!B256, ""ar"", ""en"")))"),"Ice Cream |")</f>
        <v>Ice Cream |</v>
      </c>
      <c r="C256" s="58">
        <f>IF('AYIRA MINI MART FINAL MENU - Pr'!C256="", "", 'AYIRA MINI MART FINAL MENU - Pr'!C256)</f>
        <v>7.5</v>
      </c>
      <c r="D256" s="56" t="str">
        <f>IFERROR(__xludf.DUMMYFUNCTION("IF('AYIRA MINI MART FINAL MENU - Pr'!D256="""", """", GOOGLETRANSLATE('AYIRA MINI MART FINAL MENU - Pr'!D256, ""ar"", ""en""))"),"Cool down on hot days with Oreo, the delicious ice cream that transports you to a world of refreshment and enjoyment. It boasts a wonderful flavor and a smooth, creamy texture that melts in your mouth, leaving a delightful and unforgettable aftertaste. Pe"&amp;"rfect for children and adults alike, it's a great light treat any time of day. Discover the secret to its unique taste and make it a part of your sunny day. Aira Mini Mart offers it fresh and preserved to the highest standards.")</f>
        <v>Cool down on hot days with Oreo,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56" s="56" t="str">
        <f>IF('AYIRA MINI MART FINAL MENU - Pr'!K256="", "", 'AYIRA MINI MART FINAL MENU - Pr'!K256)</f>
        <v/>
      </c>
      <c r="F256" s="56"/>
      <c r="G256" s="56"/>
      <c r="H256" s="56"/>
      <c r="I256" s="56"/>
      <c r="J256" s="56"/>
      <c r="L256" s="56" t="str">
        <f>IF('AYIRA MINI MART FINAL MENU - Pr'!L256="", "", 'AYIRA MINI MART FINAL MENU - Pr'!L256)</f>
        <v/>
      </c>
      <c r="M256" s="56" t="str">
        <f>IF('AYIRA MINI MART FINAL MENU - Pr'!M256="", "", 'AYIRA MINI MART FINAL MENU - Pr'!M256)</f>
        <v/>
      </c>
      <c r="N256" s="56" t="str">
        <f>IF('AYIRA MINI MART FINAL MENU - Pr'!N256="", "", 'AYIRA MINI MART FINAL MENU - Pr'!N256)</f>
        <v/>
      </c>
      <c r="O256" s="57"/>
      <c r="P256" s="57"/>
      <c r="Q256" s="57"/>
      <c r="R256" s="57"/>
      <c r="S256" s="57"/>
      <c r="T256" s="57"/>
      <c r="U256" s="57"/>
      <c r="V256" s="57"/>
      <c r="W256" s="57"/>
      <c r="X256" s="57"/>
      <c r="Y256" s="57"/>
      <c r="Z256" s="57"/>
    </row>
    <row r="257">
      <c r="A257" s="56" t="str">
        <f>IFERROR(__xludf.DUMMYFUNCTION("IF('AYIRA MINI MART FINAL MENU - Pr'!A257="""", """", IF(LEN(IFERROR(TRIM(REGEXREPLACE(TRIM(REGEXEXTRACT('AYIRA MINI MART FINAL MENU - Pr'!A257, ""^[^\x{0600}-\x{06FF}]+"")), ""[-–]+$"", """")), """"))&gt;0, IFERROR(TRIM(REGEXREPLACE(TRIM(REGEXEXTRACT('AYIRA"&amp;" MINI MART FINAL MENU - Pr'!A257, ""^[^\x{0600}-\x{06FF}]+"")), ""[-–]+$"", """")), """"), GOOGLETRANSLATE('AYIRA MINI MART FINAL MENU - Pr'!A257, ""ar"", ""en"")))"),"Oreo Sandwich with Oreo Cookie Pieces 135ml")</f>
        <v>Oreo Sandwich with Oreo Cookie Pieces 135ml</v>
      </c>
      <c r="B257" s="56" t="str">
        <f>IFERROR(__xludf.DUMMYFUNCTION("IF('AYIRA MINI MART FINAL MENU - Pr'!B257="""", """", IF(LEN(IFERROR(TRIM(REGEXREPLACE(TRIM(REGEXEXTRACT('AYIRA MINI MART FINAL MENU - Pr'!B257, ""^[^\x{0600}-\x{06FF}]+"")), ""[-–]+$"", """")), """"))&gt;0, IFERROR(TRIM(REGEXREPLACE(TRIM(REGEXEXTRACT('AYIRA"&amp;" MINI MART FINAL MENU - Pr'!B257, ""^[^\x{0600}-\x{06FF}]+"")), ""[-–]+$"", """")), """"), GOOGLETRANSLATE('AYIRA MINI MART FINAL MENU - Pr'!B257, ""ar"", ""en"")))"),"Ice Cream |")</f>
        <v>Ice Cream |</v>
      </c>
      <c r="C257" s="58">
        <f>IF('AYIRA MINI MART FINAL MENU - Pr'!C257="", "", 'AYIRA MINI MART FINAL MENU - Pr'!C257)</f>
        <v>10</v>
      </c>
      <c r="D257" s="56" t="str">
        <f>IFERROR(__xludf.DUMMYFUNCTION("IF('AYIRA MINI MART FINAL MENU - Pr'!D257="""", """", GOOGLETRANSLATE('AYIRA MINI MART FINAL MENU - Pr'!D257, ""ar"", ""en""))"),"Cool down on hot days with Oreo, the delicious ice cream that transports you to a world of refreshment and enjoyment. It boasts a wonderful flavor and a smooth, creamy texture that melts in your mouth, leaving a delightful and unforgettable aftertaste. Pe"&amp;"rfect for children and adults alike, it's a great light treat any time of day. Discover the secret to its unique taste and make it a part of your sunny day. Aira Mini Mart offers it fresh and preserved to the highest standards.")</f>
        <v>Cool down on hot days with Oreo,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57" s="56" t="str">
        <f>IF('AYIRA MINI MART FINAL MENU - Pr'!K257="", "", 'AYIRA MINI MART FINAL MENU - Pr'!K257)</f>
        <v/>
      </c>
      <c r="F257" s="56"/>
      <c r="G257" s="56"/>
      <c r="H257" s="56"/>
      <c r="I257" s="56"/>
      <c r="J257" s="56"/>
      <c r="L257" s="56" t="str">
        <f>IF('AYIRA MINI MART FINAL MENU - Pr'!L257="", "", 'AYIRA MINI MART FINAL MENU - Pr'!L257)</f>
        <v/>
      </c>
      <c r="M257" s="56" t="str">
        <f>IF('AYIRA MINI MART FINAL MENU - Pr'!M257="", "", 'AYIRA MINI MART FINAL MENU - Pr'!M257)</f>
        <v/>
      </c>
      <c r="N257" s="56" t="str">
        <f>IF('AYIRA MINI MART FINAL MENU - Pr'!N257="", "", 'AYIRA MINI MART FINAL MENU - Pr'!N257)</f>
        <v/>
      </c>
      <c r="O257" s="57"/>
      <c r="P257" s="57"/>
      <c r="Q257" s="57"/>
      <c r="R257" s="57"/>
      <c r="S257" s="57"/>
      <c r="T257" s="57"/>
      <c r="U257" s="57"/>
      <c r="V257" s="57"/>
      <c r="W257" s="57"/>
      <c r="X257" s="57"/>
      <c r="Y257" s="57"/>
      <c r="Z257" s="57"/>
    </row>
    <row r="258">
      <c r="A258" s="56" t="str">
        <f>IFERROR(__xludf.DUMMYFUNCTION("IF('AYIRA MINI MART FINAL MENU - Pr'!A258="""", """", IF(LEN(IFERROR(TRIM(REGEXREPLACE(TRIM(REGEXEXTRACT('AYIRA MINI MART FINAL MENU - Pr'!A258, ""^[^\x{0600}-\x{06FF}]+"")), ""[-–]+$"", """")), """"))&gt;0, IFERROR(TRIM(REGEXREPLACE(TRIM(REGEXEXTRACT('AYIRA"&amp;" MINI MART FINAL MENU - Pr'!A258, ""^[^\x{0600}-\x{06FF}]+"")), ""[-–]+$"", """")), """"), GOOGLETRANSLATE('AYIRA MINI MART FINAL MENU - Pr'!A258, ""ar"", ""en"")))"),"Ice Cream Kunafa")</f>
        <v>Ice Cream Kunafa</v>
      </c>
      <c r="B258" s="56" t="str">
        <f>IFERROR(__xludf.DUMMYFUNCTION("IF('AYIRA MINI MART FINAL MENU - Pr'!B258="""", """", IF(LEN(IFERROR(TRIM(REGEXREPLACE(TRIM(REGEXEXTRACT('AYIRA MINI MART FINAL MENU - Pr'!B258, ""^[^\x{0600}-\x{06FF}]+"")), ""[-–]+$"", """")), """"))&gt;0, IFERROR(TRIM(REGEXREPLACE(TRIM(REGEXEXTRACT('AYIRA"&amp;" MINI MART FINAL MENU - Pr'!B258, ""^[^\x{0600}-\x{06FF}]+"")), ""[-–]+$"", """")), """"), GOOGLETRANSLATE('AYIRA MINI MART FINAL MENU - Pr'!B258, ""ar"", ""en"")))"),"Ice Cream |")</f>
        <v>Ice Cream |</v>
      </c>
      <c r="C258" s="58">
        <f>IF('AYIRA MINI MART FINAL MENU - Pr'!C258="", "", 'AYIRA MINI MART FINAL MENU - Pr'!C258)</f>
        <v>9.5</v>
      </c>
      <c r="D258" s="56" t="str">
        <f>IFERROR(__xludf.DUMMYFUNCTION("IF('AYIRA MINI MART FINAL MENU - Pr'!D258="""", """", GOOGLETRANSLATE('AYIRA MINI MART FINAL MENU - Pr'!D258, ""ar"", ""en""))"),"Cool down on hot days with Ice Cream Kunafa, a delicious treat that transports you to a world of refreshment and enjoyment. Its wonderful flavor and smooth, creamy texture melt in your mouth, leaving a delightful and unforgettable aftertaste. Perfect for "&amp;"children and adults alike, it's a great light dessert any time of day. Discover the secret to its unique taste and make it a part of your sunny day. Aira Mini Mart offers it fresh and preserved to the highest standards.")</f>
        <v>Cool down on hot days with Ice Cream Kunafa,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58" s="56" t="str">
        <f>IF('AYIRA MINI MART FINAL MENU - Pr'!K258="", "", 'AYIRA MINI MART FINAL MENU - Pr'!K258)</f>
        <v/>
      </c>
      <c r="F258" s="56"/>
      <c r="G258" s="56"/>
      <c r="H258" s="56"/>
      <c r="I258" s="56"/>
      <c r="J258" s="56"/>
      <c r="L258" s="56" t="str">
        <f>IF('AYIRA MINI MART FINAL MENU - Pr'!L258="", "", 'AYIRA MINI MART FINAL MENU - Pr'!L258)</f>
        <v/>
      </c>
      <c r="M258" s="56" t="str">
        <f>IF('AYIRA MINI MART FINAL MENU - Pr'!M258="", "", 'AYIRA MINI MART FINAL MENU - Pr'!M258)</f>
        <v/>
      </c>
      <c r="N258" s="56" t="str">
        <f>IF('AYIRA MINI MART FINAL MENU - Pr'!N258="", "", 'AYIRA MINI MART FINAL MENU - Pr'!N258)</f>
        <v/>
      </c>
      <c r="O258" s="57"/>
      <c r="P258" s="57"/>
      <c r="Q258" s="57"/>
      <c r="R258" s="57"/>
      <c r="S258" s="57"/>
      <c r="T258" s="57"/>
      <c r="U258" s="57"/>
      <c r="V258" s="57"/>
      <c r="W258" s="57"/>
      <c r="X258" s="57"/>
      <c r="Y258" s="57"/>
      <c r="Z258" s="57"/>
    </row>
    <row r="259">
      <c r="A259" s="56" t="str">
        <f>IFERROR(__xludf.DUMMYFUNCTION("IF('AYIRA MINI MART FINAL MENU - Pr'!A259="""", """", IF(LEN(IFERROR(TRIM(REGEXREPLACE(TRIM(REGEXEXTRACT('AYIRA MINI MART FINAL MENU - Pr'!A259, ""^[^\x{0600}-\x{06FF}]+"")), ""[-–]+$"", """")), """"))&gt;0, IFERROR(TRIM(REGEXREPLACE(TRIM(REGEXEXTRACT('AYIRA"&amp;" MINI MART FINAL MENU - Pr'!A259, ""^[^\x{0600}-\x{06FF}]+"")), ""[-–]+$"", """")), """"), GOOGLETRANSLATE('AYIRA MINI MART FINAL MENU - Pr'!A259, ""ar"", ""en"")))"),"Mango Propotious Ice Cream")</f>
        <v>Mango Propotious Ice Cream</v>
      </c>
      <c r="B259" s="56" t="str">
        <f>IFERROR(__xludf.DUMMYFUNCTION("IF('AYIRA MINI MART FINAL MENU - Pr'!B259="""", """", IF(LEN(IFERROR(TRIM(REGEXREPLACE(TRIM(REGEXEXTRACT('AYIRA MINI MART FINAL MENU - Pr'!B259, ""^[^\x{0600}-\x{06FF}]+"")), ""[-–]+$"", """")), """"))&gt;0, IFERROR(TRIM(REGEXREPLACE(TRIM(REGEXEXTRACT('AYIRA"&amp;" MINI MART FINAL MENU - Pr'!B259, ""^[^\x{0600}-\x{06FF}]+"")), ""[-–]+$"", """")), """"), GOOGLETRANSLATE('AYIRA MINI MART FINAL MENU - Pr'!B259, ""ar"", ""en"")))"),"Ice Cream |")</f>
        <v>Ice Cream |</v>
      </c>
      <c r="C259" s="58">
        <f>IF('AYIRA MINI MART FINAL MENU - Pr'!C259="", "", 'AYIRA MINI MART FINAL MENU - Pr'!C259)</f>
        <v>20</v>
      </c>
      <c r="D259" s="56" t="str">
        <f>IFERROR(__xludf.DUMMYFUNCTION("IF('AYIRA MINI MART FINAL MENU - Pr'!D259="""", """", GOOGLETRANSLATE('AYIRA MINI MART FINAL MENU - Pr'!D259, ""ar"", ""en""))"),"Cool down on hot days with Mango Propotious Ice Cream, a delicious treat that will transport you to a world of refreshment and enjoyment. Its wonderful flavor and smooth, creamy texture melt in your mouth, leaving a delightful and unforgettable aftertaste"&amp;". Perfect for both children and adults, it's a great light dessert any time of day. Discover the secret to its unique taste and make it a part of your sunny day. Available fresh and preserved to the highest standards at Aira Mini Mart.")</f>
        <v>Cool down on hot days with Mango Propotious Ice Cream, a delicious treat that will transport you to a world of refreshment and enjoyment. Its wonderful flavor and smooth, creamy texture melt in your mouth, leaving a delightful and unforgettable aftertaste. Perfect for both children and adults, it's a great light dessert any time of day. Discover the secret to its unique taste and make it a part of your sunny day. Available fresh and preserved to the highest standards at Aira Mini Mart.</v>
      </c>
      <c r="E259" s="56" t="str">
        <f>IF('AYIRA MINI MART FINAL MENU - Pr'!K259="", "", 'AYIRA MINI MART FINAL MENU - Pr'!K259)</f>
        <v/>
      </c>
      <c r="F259" s="56"/>
      <c r="G259" s="56"/>
      <c r="H259" s="56"/>
      <c r="I259" s="56"/>
      <c r="J259" s="56"/>
      <c r="L259" s="56" t="str">
        <f>IF('AYIRA MINI MART FINAL MENU - Pr'!L259="", "", 'AYIRA MINI MART FINAL MENU - Pr'!L259)</f>
        <v/>
      </c>
      <c r="M259" s="56" t="str">
        <f>IF('AYIRA MINI MART FINAL MENU - Pr'!M259="", "", 'AYIRA MINI MART FINAL MENU - Pr'!M259)</f>
        <v/>
      </c>
      <c r="N259" s="56" t="str">
        <f>IF('AYIRA MINI MART FINAL MENU - Pr'!N259="", "", 'AYIRA MINI MART FINAL MENU - Pr'!N259)</f>
        <v/>
      </c>
      <c r="O259" s="57"/>
      <c r="P259" s="57"/>
      <c r="Q259" s="57"/>
      <c r="R259" s="57"/>
      <c r="S259" s="57"/>
      <c r="T259" s="57"/>
      <c r="U259" s="57"/>
      <c r="V259" s="57"/>
      <c r="W259" s="57"/>
      <c r="X259" s="57"/>
      <c r="Y259" s="57"/>
      <c r="Z259" s="57"/>
    </row>
    <row r="260">
      <c r="A260" s="56" t="str">
        <f>IFERROR(__xludf.DUMMYFUNCTION("IF('AYIRA MINI MART FINAL MENU - Pr'!A260="""", """", IF(LEN(IFERROR(TRIM(REGEXREPLACE(TRIM(REGEXEXTRACT('AYIRA MINI MART FINAL MENU - Pr'!A260, ""^[^\x{0600}-\x{06FF}]+"")), ""[-–]+$"", """")), """"))&gt;0, IFERROR(TRIM(REGEXREPLACE(TRIM(REGEXEXTRACT('AYIRA"&amp;" MINI MART FINAL MENU - Pr'!A260, ""^[^\x{0600}-\x{06FF}]+"")), ""[-–]+$"", """")), """"), GOOGLETRANSLATE('AYIRA MINI MART FINAL MENU - Pr'!A260, ""ar"", ""en"")))"),"Dairy Vanilla Ice Cream Decorated with Chocolate – Dairy")</f>
        <v>Dairy Vanilla Ice Cream Decorated with Chocolate – Dairy</v>
      </c>
      <c r="B260" s="56" t="str">
        <f>IFERROR(__xludf.DUMMYFUNCTION("IF('AYIRA MINI MART FINAL MENU - Pr'!B260="""", """", IF(LEN(IFERROR(TRIM(REGEXREPLACE(TRIM(REGEXEXTRACT('AYIRA MINI MART FINAL MENU - Pr'!B260, ""^[^\x{0600}-\x{06FF}]+"")), ""[-–]+$"", """")), """"))&gt;0, IFERROR(TRIM(REGEXREPLACE(TRIM(REGEXEXTRACT('AYIRA"&amp;" MINI MART FINAL MENU - Pr'!B260, ""^[^\x{0600}-\x{06FF}]+"")), ""[-–]+$"", """")), """"), GOOGLETRANSLATE('AYIRA MINI MART FINAL MENU - Pr'!B260, ""ar"", ""en"")))"),"Ice Cream |")</f>
        <v>Ice Cream |</v>
      </c>
      <c r="C260" s="58">
        <f>IF('AYIRA MINI MART FINAL MENU - Pr'!C260="", "", 'AYIRA MINI MART FINAL MENU - Pr'!C260)</f>
        <v>5</v>
      </c>
      <c r="D260" s="56" t="str">
        <f>IFERROR(__xludf.DUMMYFUNCTION("IF('AYIRA MINI MART FINAL MENU - Pr'!D260="""", """", GOOGLETRANSLATE('AYIRA MINI MART FINAL MENU - Pr'!D260, ""ar"", ""en""))"),"Cool down on hot days with Dairy Vanilla Ice Cream Decorated with Chocolate, a delicious treat that transports you to a world of refreshment and enjoyment. Its wonderful flavor and smooth, creamy texture melt in your mouth, leaving a delightful and unforg"&amp;"ettable aftertaste. Perfect for children and adults alike, it's a great light dessert any time of day. Discover the secret to its unique taste and make it a part of your sunny day. Aira Mini Mart offers it fresh and preserved to the highest standards.")</f>
        <v>Cool down on hot days with Dairy Vanilla Ice Cream Decorated with Chocolate,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60" s="56" t="str">
        <f>IF('AYIRA MINI MART FINAL MENU - Pr'!K260="", "", 'AYIRA MINI MART FINAL MENU - Pr'!K260)</f>
        <v/>
      </c>
      <c r="F260" s="56"/>
      <c r="G260" s="56"/>
      <c r="H260" s="56"/>
      <c r="I260" s="56"/>
      <c r="J260" s="56"/>
      <c r="L260" s="56" t="str">
        <f>IF('AYIRA MINI MART FINAL MENU - Pr'!L260="", "", 'AYIRA MINI MART FINAL MENU - Pr'!L260)</f>
        <v/>
      </c>
      <c r="M260" s="56" t="str">
        <f>IF('AYIRA MINI MART FINAL MENU - Pr'!M260="", "", 'AYIRA MINI MART FINAL MENU - Pr'!M260)</f>
        <v/>
      </c>
      <c r="N260" s="56" t="str">
        <f>IF('AYIRA MINI MART FINAL MENU - Pr'!N260="", "", 'AYIRA MINI MART FINAL MENU - Pr'!N260)</f>
        <v/>
      </c>
      <c r="O260" s="57"/>
      <c r="P260" s="57"/>
      <c r="Q260" s="57"/>
      <c r="R260" s="57"/>
      <c r="S260" s="57"/>
      <c r="T260" s="57"/>
      <c r="U260" s="57"/>
      <c r="V260" s="57"/>
      <c r="W260" s="57"/>
      <c r="X260" s="57"/>
      <c r="Y260" s="57"/>
      <c r="Z260" s="57"/>
    </row>
    <row r="261">
      <c r="A261" s="56" t="str">
        <f>IFERROR(__xludf.DUMMYFUNCTION("IF('AYIRA MINI MART FINAL MENU - Pr'!A261="""", """", IF(LEN(IFERROR(TRIM(REGEXREPLACE(TRIM(REGEXEXTRACT('AYIRA MINI MART FINAL MENU - Pr'!A261, ""^[^\x{0600}-\x{06FF}]+"")), ""[-–]+$"", """")), """"))&gt;0, IFERROR(TRIM(REGEXREPLACE(TRIM(REGEXEXTRACT('AYIRA"&amp;" MINI MART FINAL MENU - Pr'!A261, ""^[^\x{0600}-\x{06FF}]+"")), ""[-–]+$"", """")), """"), GOOGLETRANSLATE('AYIRA MINI MART FINAL MENU - Pr'!A261, ""ar"", ""en"")))"),"Cappuccino Vanilla Ice Cream – Cappuccino")</f>
        <v>Cappuccino Vanilla Ice Cream – Cappuccino</v>
      </c>
      <c r="B261" s="56" t="str">
        <f>IFERROR(__xludf.DUMMYFUNCTION("IF('AYIRA MINI MART FINAL MENU - Pr'!B261="""", """", IF(LEN(IFERROR(TRIM(REGEXREPLACE(TRIM(REGEXEXTRACT('AYIRA MINI MART FINAL MENU - Pr'!B261, ""^[^\x{0600}-\x{06FF}]+"")), ""[-–]+$"", """")), """"))&gt;0, IFERROR(TRIM(REGEXREPLACE(TRIM(REGEXEXTRACT('AYIRA"&amp;" MINI MART FINAL MENU - Pr'!B261, ""^[^\x{0600}-\x{06FF}]+"")), ""[-–]+$"", """")), """"), GOOGLETRANSLATE('AYIRA MINI MART FINAL MENU - Pr'!B261, ""ar"", ""en"")))"),"Ice Cream |")</f>
        <v>Ice Cream |</v>
      </c>
      <c r="C261" s="58">
        <f>IF('AYIRA MINI MART FINAL MENU - Pr'!C261="", "", 'AYIRA MINI MART FINAL MENU - Pr'!C261)</f>
        <v>5</v>
      </c>
      <c r="D261" s="56" t="str">
        <f>IFERROR(__xludf.DUMMYFUNCTION("IF('AYIRA MINI MART FINAL MENU - Pr'!D261="""", """", GOOGLETRANSLATE('AYIRA MINI MART FINAL MENU - Pr'!D261, ""ar"", ""en""))"),"Cool down on hot days with Cappuccino Vanilla Ice Cream, a delicious treat that will transport you to a world of refreshment and enjoyment. Its wonderful flavor and smooth, creamy texture melt in your mouth, leaving a delightful and unforgettable aftertas"&amp;"te. Perfect for children and adults alike, it's a great light dessert any time of day. Discover the secret to its unique taste and make it a part of your sunny day. Aira Mini Mart offers it fresh and preserved to the highest standards.")</f>
        <v>Cool down on hot days with Cappuccino Vanilla Ice Cream,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61" s="56" t="str">
        <f>IF('AYIRA MINI MART FINAL MENU - Pr'!K261="", "", 'AYIRA MINI MART FINAL MENU - Pr'!K261)</f>
        <v/>
      </c>
      <c r="F261" s="56"/>
      <c r="G261" s="56"/>
      <c r="H261" s="56"/>
      <c r="I261" s="56"/>
      <c r="J261" s="56"/>
      <c r="L261" s="56" t="str">
        <f>IF('AYIRA MINI MART FINAL MENU - Pr'!L261="", "", 'AYIRA MINI MART FINAL MENU - Pr'!L261)</f>
        <v/>
      </c>
      <c r="M261" s="56" t="str">
        <f>IF('AYIRA MINI MART FINAL MENU - Pr'!M261="", "", 'AYIRA MINI MART FINAL MENU - Pr'!M261)</f>
        <v/>
      </c>
      <c r="N261" s="56" t="str">
        <f>IF('AYIRA MINI MART FINAL MENU - Pr'!N261="", "", 'AYIRA MINI MART FINAL MENU - Pr'!N261)</f>
        <v/>
      </c>
      <c r="O261" s="57"/>
      <c r="P261" s="57"/>
      <c r="Q261" s="57"/>
      <c r="R261" s="57"/>
      <c r="S261" s="57"/>
      <c r="T261" s="57"/>
      <c r="U261" s="57"/>
      <c r="V261" s="57"/>
      <c r="W261" s="57"/>
      <c r="X261" s="57"/>
      <c r="Y261" s="57"/>
      <c r="Z261" s="57"/>
    </row>
    <row r="262">
      <c r="A262" s="56" t="str">
        <f>IFERROR(__xludf.DUMMYFUNCTION("IF('AYIRA MINI MART FINAL MENU - Pr'!A262="""", """", IF(LEN(IFERROR(TRIM(REGEXREPLACE(TRIM(REGEXEXTRACT('AYIRA MINI MART FINAL MENU - Pr'!A262, ""^[^\x{0600}-\x{06FF}]+"")), ""[-–]+$"", """")), """"))&gt;0, IFERROR(TRIM(REGEXREPLACE(TRIM(REGEXEXTRACT('AYIRA"&amp;" MINI MART FINAL MENU - Pr'!A262, ""^[^\x{0600}-\x{06FF}]+"")), ""[-–]+$"", """")), """"), GOOGLETRANSLATE('AYIRA MINI MART FINAL MENU - Pr'!A262, ""ar"", ""en"")))"),"Dairy Saffron Ice Cream – Dairy Saffron")</f>
        <v>Dairy Saffron Ice Cream – Dairy Saffron</v>
      </c>
      <c r="B262" s="56" t="str">
        <f>IFERROR(__xludf.DUMMYFUNCTION("IF('AYIRA MINI MART FINAL MENU - Pr'!B262="""", """", IF(LEN(IFERROR(TRIM(REGEXREPLACE(TRIM(REGEXEXTRACT('AYIRA MINI MART FINAL MENU - Pr'!B262, ""^[^\x{0600}-\x{06FF}]+"")), ""[-–]+$"", """")), """"))&gt;0, IFERROR(TRIM(REGEXREPLACE(TRIM(REGEXEXTRACT('AYIRA"&amp;" MINI MART FINAL MENU - Pr'!B262, ""^[^\x{0600}-\x{06FF}]+"")), ""[-–]+$"", """")), """"), GOOGLETRANSLATE('AYIRA MINI MART FINAL MENU - Pr'!B262, ""ar"", ""en"")))"),"Ice Cream |")</f>
        <v>Ice Cream |</v>
      </c>
      <c r="C262" s="58">
        <f>IF('AYIRA MINI MART FINAL MENU - Pr'!C262="", "", 'AYIRA MINI MART FINAL MENU - Pr'!C262)</f>
        <v>5</v>
      </c>
      <c r="D262" s="56" t="str">
        <f>IFERROR(__xludf.DUMMYFUNCTION("IF('AYIRA MINI MART FINAL MENU - Pr'!D262="""", """", GOOGLETRANSLATE('AYIRA MINI MART FINAL MENU - Pr'!D262, ""ar"", ""en""))"),"Cool down on hot days with Dairy Saffron Ice Cream, a delicious treat that transports you to a world of refreshment and enjoyment. Its wonderful flavor and smooth, creamy texture melt in your mouth, leaving a delightful and unforgettable aftertaste. Perfe"&amp;"ct for children and adults alike, it's a great light dessert any time of day. Discover the secret to its unique taste and make it a part of your sunny day. Aira Mini Mart offers it fresh and preserved to the highest standards.")</f>
        <v>Cool down on hot days with Dairy Saffron Ice Cream,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62" s="56" t="str">
        <f>IF('AYIRA MINI MART FINAL MENU - Pr'!K262="", "", 'AYIRA MINI MART FINAL MENU - Pr'!K262)</f>
        <v/>
      </c>
      <c r="F262" s="56"/>
      <c r="G262" s="56"/>
      <c r="H262" s="56"/>
      <c r="I262" s="56"/>
      <c r="J262" s="56"/>
      <c r="L262" s="56" t="str">
        <f>IF('AYIRA MINI MART FINAL MENU - Pr'!L262="", "", 'AYIRA MINI MART FINAL MENU - Pr'!L262)</f>
        <v/>
      </c>
      <c r="M262" s="56" t="str">
        <f>IF('AYIRA MINI MART FINAL MENU - Pr'!M262="", "", 'AYIRA MINI MART FINAL MENU - Pr'!M262)</f>
        <v/>
      </c>
      <c r="N262" s="56" t="str">
        <f>IF('AYIRA MINI MART FINAL MENU - Pr'!N262="", "", 'AYIRA MINI MART FINAL MENU - Pr'!N262)</f>
        <v/>
      </c>
      <c r="O262" s="57"/>
      <c r="P262" s="57"/>
      <c r="Q262" s="57"/>
      <c r="R262" s="57"/>
      <c r="S262" s="57"/>
      <c r="T262" s="57"/>
      <c r="U262" s="57"/>
      <c r="V262" s="57"/>
      <c r="W262" s="57"/>
      <c r="X262" s="57"/>
      <c r="Y262" s="57"/>
      <c r="Z262" s="57"/>
    </row>
    <row r="263">
      <c r="A263" s="56" t="str">
        <f>IFERROR(__xludf.DUMMYFUNCTION("IF('AYIRA MINI MART FINAL MENU - Pr'!A263="""", """", IF(LEN(IFERROR(TRIM(REGEXREPLACE(TRIM(REGEXEXTRACT('AYIRA MINI MART FINAL MENU - Pr'!A263, ""^[^\x{0600}-\x{06FF}]+"")), ""[-–]+$"", """")), """"))&gt;0, IFERROR(TRIM(REGEXREPLACE(TRIM(REGEXEXTRACT('AYIRA"&amp;" MINI MART FINAL MENU - Pr'!A263, ""^[^\x{0600}-\x{06FF}]+"")), ""[-–]+$"", """")), """"), GOOGLETRANSLATE('AYIRA MINI MART FINAL MENU - Pr'!A263, ""ar"", ""en"")))"),"Strawberry &amp; Vanilla Ice Cream")</f>
        <v>Strawberry &amp; Vanilla Ice Cream</v>
      </c>
      <c r="B263" s="56" t="str">
        <f>IFERROR(__xludf.DUMMYFUNCTION("IF('AYIRA MINI MART FINAL MENU - Pr'!B263="""", """", IF(LEN(IFERROR(TRIM(REGEXREPLACE(TRIM(REGEXEXTRACT('AYIRA MINI MART FINAL MENU - Pr'!B263, ""^[^\x{0600}-\x{06FF}]+"")), ""[-–]+$"", """")), """"))&gt;0, IFERROR(TRIM(REGEXREPLACE(TRIM(REGEXEXTRACT('AYIRA"&amp;" MINI MART FINAL MENU - Pr'!B263, ""^[^\x{0600}-\x{06FF}]+"")), ""[-–]+$"", """")), """"), GOOGLETRANSLATE('AYIRA MINI MART FINAL MENU - Pr'!B263, ""ar"", ""en"")))"),"Ice Cream |")</f>
        <v>Ice Cream |</v>
      </c>
      <c r="C263" s="58">
        <f>IF('AYIRA MINI MART FINAL MENU - Pr'!C263="", "", 'AYIRA MINI MART FINAL MENU - Pr'!C263)</f>
        <v>5</v>
      </c>
      <c r="D263" s="56" t="str">
        <f>IFERROR(__xludf.DUMMYFUNCTION("IF('AYIRA MINI MART FINAL MENU - Pr'!D263="""", """", GOOGLETRANSLATE('AYIRA MINI MART FINAL MENU - Pr'!D263, ""ar"", ""en""))"),"Cool down on hot days with Strawberry &amp; Vanilla Ice Cream, a delicious treat that will transport you to a world of refreshment and enjoyment. Its wonderful flavor and smooth, creamy texture melt in your mouth, leaving a delightful and unforgettable aftert"&amp;"aste. Perfect for both children and adults, it's a great light dessert any time of day. Discover the secret to its unique taste and make it a part of your sunny day. Aira Mini Mart offers it fresh and preserved to the highest standards.")</f>
        <v>Cool down on hot days with Strawberry &amp; Vanilla Ice Cream, a delicious treat that will transport you to a world of refreshment and enjoyment. Its wonderful flavor and smooth, creamy texture melt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263" s="56" t="str">
        <f>IF('AYIRA MINI MART FINAL MENU - Pr'!K263="", "", 'AYIRA MINI MART FINAL MENU - Pr'!K263)</f>
        <v/>
      </c>
      <c r="F263" s="56"/>
      <c r="G263" s="56"/>
      <c r="H263" s="56"/>
      <c r="I263" s="56"/>
      <c r="J263" s="56"/>
      <c r="L263" s="56" t="str">
        <f>IF('AYIRA MINI MART FINAL MENU - Pr'!L263="", "", 'AYIRA MINI MART FINAL MENU - Pr'!L263)</f>
        <v/>
      </c>
      <c r="M263" s="56" t="str">
        <f>IF('AYIRA MINI MART FINAL MENU - Pr'!M263="", "", 'AYIRA MINI MART FINAL MENU - Pr'!M263)</f>
        <v/>
      </c>
      <c r="N263" s="56" t="str">
        <f>IF('AYIRA MINI MART FINAL MENU - Pr'!N263="", "", 'AYIRA MINI MART FINAL MENU - Pr'!N263)</f>
        <v/>
      </c>
      <c r="O263" s="57"/>
      <c r="P263" s="57"/>
      <c r="Q263" s="57"/>
      <c r="R263" s="57"/>
      <c r="S263" s="57"/>
      <c r="T263" s="57"/>
      <c r="U263" s="57"/>
      <c r="V263" s="57"/>
      <c r="W263" s="57"/>
      <c r="X263" s="57"/>
      <c r="Y263" s="57"/>
      <c r="Z263" s="57"/>
    </row>
    <row r="264">
      <c r="A264" s="56" t="str">
        <f>IFERROR(__xludf.DUMMYFUNCTION("IF('AYIRA MINI MART FINAL MENU - Pr'!A264="""", """", IF(LEN(IFERROR(TRIM(REGEXREPLACE(TRIM(REGEXEXTRACT('AYIRA MINI MART FINAL MENU - Pr'!A264, ""^[^\x{0600}-\x{06FF}]+"")), ""[-–]+$"", """")), """"))&gt;0, IFERROR(TRIM(REGEXREPLACE(TRIM(REGEXEXTRACT('AYIRA"&amp;" MINI MART FINAL MENU - Pr'!A264, ""^[^\x{0600}-\x{06FF}]+"")), ""[-–]+$"", """")), """"), GOOGLETRANSLATE('AYIRA MINI MART FINAL MENU - Pr'!A264, ""ar"", ""en"")))"),"Duet Raspberry &amp; Vanilla Ice Cream 65ml – Duet Raspberry &amp;")</f>
        <v>Duet Raspberry &amp; Vanilla Ice Cream 65ml – Duet Raspberry &amp;</v>
      </c>
      <c r="B264" s="56" t="str">
        <f>IFERROR(__xludf.DUMMYFUNCTION("IF('AYIRA MINI MART FINAL MENU - Pr'!B264="""", """", IF(LEN(IFERROR(TRIM(REGEXREPLACE(TRIM(REGEXEXTRACT('AYIRA MINI MART FINAL MENU - Pr'!B264, ""^[^\x{0600}-\x{06FF}]+"")), ""[-–]+$"", """")), """"))&gt;0, IFERROR(TRIM(REGEXREPLACE(TRIM(REGEXEXTRACT('AYIRA"&amp;" MINI MART FINAL MENU - Pr'!B264, ""^[^\x{0600}-\x{06FF}]+"")), ""[-–]+$"", """")), """"), GOOGLETRANSLATE('AYIRA MINI MART FINAL MENU - Pr'!B264, ""ar"", ""en"")))"),"Ice Cream |")</f>
        <v>Ice Cream |</v>
      </c>
      <c r="C264" s="58">
        <f>IF('AYIRA MINI MART FINAL MENU - Pr'!C264="", "", 'AYIRA MINI MART FINAL MENU - Pr'!C264)</f>
        <v>2.5</v>
      </c>
      <c r="D264" s="56" t="str">
        <f>IFERROR(__xludf.DUMMYFUNCTION("IF('AYIRA MINI MART FINAL MENU - Pr'!D264="""", """", GOOGLETRANSLATE('AYIRA MINI MART FINAL MENU - Pr'!D264, ""ar"", ""en""))"),"Cool down on hot days with Duet Raspberry &amp; Vanilla Ice Cream 65ml, a delicious treat that will transport you to a world of refreshment and enjoyment. Its wonderful flavor and smooth, creamy texture melt in your mouth, leaving a delightful and unforgettab"&amp;"le aftertaste. Perfect for children and adults alike, it's a great light dessert any time of day. Discover the secret to its unique taste and make it a part of your sunny day. Aira Mini Mart offers it fresh and preserved to the highest standards.")</f>
        <v>Cool down on hot days with Duet Raspberry &amp; Vanilla Ice Cream 65ml,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64" s="56" t="str">
        <f>IF('AYIRA MINI MART FINAL MENU - Pr'!K264="", "", 'AYIRA MINI MART FINAL MENU - Pr'!K264)</f>
        <v/>
      </c>
      <c r="F264" s="56"/>
      <c r="G264" s="56"/>
      <c r="H264" s="56"/>
      <c r="I264" s="56"/>
      <c r="J264" s="56"/>
      <c r="L264" s="56" t="str">
        <f>IF('AYIRA MINI MART FINAL MENU - Pr'!L264="", "", 'AYIRA MINI MART FINAL MENU - Pr'!L264)</f>
        <v/>
      </c>
      <c r="M264" s="56" t="str">
        <f>IF('AYIRA MINI MART FINAL MENU - Pr'!M264="", "", 'AYIRA MINI MART FINAL MENU - Pr'!M264)</f>
        <v/>
      </c>
      <c r="N264" s="56" t="str">
        <f>IF('AYIRA MINI MART FINAL MENU - Pr'!N264="", "", 'AYIRA MINI MART FINAL MENU - Pr'!N264)</f>
        <v/>
      </c>
      <c r="O264" s="57"/>
      <c r="P264" s="57"/>
      <c r="Q264" s="57"/>
      <c r="R264" s="57"/>
      <c r="S264" s="57"/>
      <c r="T264" s="57"/>
      <c r="U264" s="57"/>
      <c r="V264" s="57"/>
      <c r="W264" s="57"/>
      <c r="X264" s="57"/>
      <c r="Y264" s="57"/>
      <c r="Z264" s="57"/>
    </row>
    <row r="265">
      <c r="A265" s="56" t="str">
        <f>IFERROR(__xludf.DUMMYFUNCTION("IF('AYIRA MINI MART FINAL MENU - Pr'!A265="""", """", IF(LEN(IFERROR(TRIM(REGEXREPLACE(TRIM(REGEXEXTRACT('AYIRA MINI MART FINAL MENU - Pr'!A265, ""^[^\x{0600}-\x{06FF}]+"")), ""[-–]+$"", """")), """"))&gt;0, IFERROR(TRIM(REGEXREPLACE(TRIM(REGEXEXTRACT('AYIRA"&amp;" MINI MART FINAL MENU - Pr'!A265, ""^[^\x{0600}-\x{06FF}]+"")), ""[-–]+$"", """")), """"), GOOGLETRANSLATE('AYIRA MINI MART FINAL MENU - Pr'!A265, ""ar"", ""en"")))"),"Duet Mango &amp; Vanilla Ice Cream 65ml – Duet")</f>
        <v>Duet Mango &amp; Vanilla Ice Cream 65ml – Duet</v>
      </c>
      <c r="B265" s="56" t="str">
        <f>IFERROR(__xludf.DUMMYFUNCTION("IF('AYIRA MINI MART FINAL MENU - Pr'!B265="""", """", IF(LEN(IFERROR(TRIM(REGEXREPLACE(TRIM(REGEXEXTRACT('AYIRA MINI MART FINAL MENU - Pr'!B265, ""^[^\x{0600}-\x{06FF}]+"")), ""[-–]+$"", """")), """"))&gt;0, IFERROR(TRIM(REGEXREPLACE(TRIM(REGEXEXTRACT('AYIRA"&amp;" MINI MART FINAL MENU - Pr'!B265, ""^[^\x{0600}-\x{06FF}]+"")), ""[-–]+$"", """")), """"), GOOGLETRANSLATE('AYIRA MINI MART FINAL MENU - Pr'!B265, ""ar"", ""en"")))"),"Ice Cream |")</f>
        <v>Ice Cream |</v>
      </c>
      <c r="C265" s="58">
        <f>IF('AYIRA MINI MART FINAL MENU - Pr'!C265="", "", 'AYIRA MINI MART FINAL MENU - Pr'!C265)</f>
        <v>2.5</v>
      </c>
      <c r="D265" s="56" t="str">
        <f>IFERROR(__xludf.DUMMYFUNCTION("IF('AYIRA MINI MART FINAL MENU - Pr'!D265="""", """", GOOGLETRANSLATE('AYIRA MINI MART FINAL MENU - Pr'!D265, ""ar"", ""en""))"),"Cool down on hot days with Duet Mango &amp; Vanilla Ice Cream 65ml, a delicious ice cream that transports you to a world of refreshment and pleasure. It boasts a wonderful flavor and a smooth, creamy texture that melts in your mouth, leaving a delightful and "&amp;"unforgettable aftertaste. Perfect for children and adults alike, it's a great light treat any time of day. Discover the secret to its unique taste and make it a part of your sunny day. Aira Mini Mart offers it fresh and preserved to the highest standards.")</f>
        <v>Cool down on hot days with Duet Mango &amp; Vanilla Ice Cream 65ml, a delicious ice cream that transports you to a world of refreshment and pleasure.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65" s="56" t="str">
        <f>IF('AYIRA MINI MART FINAL MENU - Pr'!K265="", "", 'AYIRA MINI MART FINAL MENU - Pr'!K265)</f>
        <v/>
      </c>
      <c r="F265" s="56"/>
      <c r="G265" s="56"/>
      <c r="H265" s="56"/>
      <c r="I265" s="56"/>
      <c r="J265" s="56"/>
      <c r="L265" s="56" t="str">
        <f>IF('AYIRA MINI MART FINAL MENU - Pr'!L265="", "", 'AYIRA MINI MART FINAL MENU - Pr'!L265)</f>
        <v/>
      </c>
      <c r="M265" s="56" t="str">
        <f>IF('AYIRA MINI MART FINAL MENU - Pr'!M265="", "", 'AYIRA MINI MART FINAL MENU - Pr'!M265)</f>
        <v/>
      </c>
      <c r="N265" s="56" t="str">
        <f>IF('AYIRA MINI MART FINAL MENU - Pr'!N265="", "", 'AYIRA MINI MART FINAL MENU - Pr'!N265)</f>
        <v/>
      </c>
      <c r="O265" s="57"/>
      <c r="P265" s="57"/>
      <c r="Q265" s="57"/>
      <c r="R265" s="57"/>
      <c r="S265" s="57"/>
      <c r="T265" s="57"/>
      <c r="U265" s="57"/>
      <c r="V265" s="57"/>
      <c r="W265" s="57"/>
      <c r="X265" s="57"/>
      <c r="Y265" s="57"/>
      <c r="Z265" s="57"/>
    </row>
    <row r="266">
      <c r="A266" s="56" t="str">
        <f>IFERROR(__xludf.DUMMYFUNCTION("IF('AYIRA MINI MART FINAL MENU - Pr'!A266="""", """", IF(LEN(IFERROR(TRIM(REGEXREPLACE(TRIM(REGEXEXTRACT('AYIRA MINI MART FINAL MENU - Pr'!A266, ""^[^\x{0600}-\x{06FF}]+"")), ""[-–]+$"", """")), """"))&gt;0, IFERROR(TRIM(REGEXREPLACE(TRIM(REGEXEXTRACT('AYIRA"&amp;" MINI MART FINAL MENU - Pr'!A266, ""^[^\x{0600}-\x{06FF}]+"")), ""[-–]+$"", """")), """"), GOOGLETRANSLATE('AYIRA MINI MART FINAL MENU - Pr'!A266, ""ar"", ""en"")))"),"Balou Balou Vanilla Ice Cream 69g – Balou Balou")</f>
        <v>Balou Balou Vanilla Ice Cream 69g – Balou Balou</v>
      </c>
      <c r="B266" s="56" t="str">
        <f>IFERROR(__xludf.DUMMYFUNCTION("IF('AYIRA MINI MART FINAL MENU - Pr'!B266="""", """", IF(LEN(IFERROR(TRIM(REGEXREPLACE(TRIM(REGEXEXTRACT('AYIRA MINI MART FINAL MENU - Pr'!B266, ""^[^\x{0600}-\x{06FF}]+"")), ""[-–]+$"", """")), """"))&gt;0, IFERROR(TRIM(REGEXREPLACE(TRIM(REGEXEXTRACT('AYIRA"&amp;" MINI MART FINAL MENU - Pr'!B266, ""^[^\x{0600}-\x{06FF}]+"")), ""[-–]+$"", """")), """"), GOOGLETRANSLATE('AYIRA MINI MART FINAL MENU - Pr'!B266, ""ar"", ""en"")))"),"Ice Cream |")</f>
        <v>Ice Cream |</v>
      </c>
      <c r="C266" s="58">
        <f>IF('AYIRA MINI MART FINAL MENU - Pr'!C266="", "", 'AYIRA MINI MART FINAL MENU - Pr'!C266)</f>
        <v>3.5</v>
      </c>
      <c r="D266" s="56" t="str">
        <f>IFERROR(__xludf.DUMMYFUNCTION("IF('AYIRA MINI MART FINAL MENU - Pr'!D266="""", """", GOOGLETRANSLATE('AYIRA MINI MART FINAL MENU - Pr'!D266, ""ar"", ""en""))"),"Cool down on hot days with Balou Balou Vanilla Ice Cream 69g, a delicious treat that will transport you to a world of refreshment and enjoyment. Its wonderful flavor and smooth, creamy texture melt in your mouth, leaving a delightful and unforgettable aft"&amp;"ertaste. Perfect for children and adults alike, it's a great light dessert any time of day. Discover the secret to its unique taste and make it a part of your sunny day. Aira Mini Mart offers it fresh and preserved to the highest standards.")</f>
        <v>Cool down on hot days with Balou Balou Vanilla Ice Cream 69g,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66" s="56" t="str">
        <f>IF('AYIRA MINI MART FINAL MENU - Pr'!K266="", "", 'AYIRA MINI MART FINAL MENU - Pr'!K266)</f>
        <v/>
      </c>
      <c r="F266" s="56"/>
      <c r="G266" s="56"/>
      <c r="H266" s="56"/>
      <c r="I266" s="56"/>
      <c r="J266" s="56"/>
      <c r="L266" s="56" t="str">
        <f>IF('AYIRA MINI MART FINAL MENU - Pr'!L266="", "", 'AYIRA MINI MART FINAL MENU - Pr'!L266)</f>
        <v/>
      </c>
      <c r="M266" s="56" t="str">
        <f>IF('AYIRA MINI MART FINAL MENU - Pr'!M266="", "", 'AYIRA MINI MART FINAL MENU - Pr'!M266)</f>
        <v/>
      </c>
      <c r="N266" s="56" t="str">
        <f>IF('AYIRA MINI MART FINAL MENU - Pr'!N266="", "", 'AYIRA MINI MART FINAL MENU - Pr'!N266)</f>
        <v/>
      </c>
      <c r="O266" s="57"/>
      <c r="P266" s="57"/>
      <c r="Q266" s="57"/>
      <c r="R266" s="57"/>
      <c r="S266" s="57"/>
      <c r="T266" s="57"/>
      <c r="U266" s="57"/>
      <c r="V266" s="57"/>
      <c r="W266" s="57"/>
      <c r="X266" s="57"/>
      <c r="Y266" s="57"/>
      <c r="Z266" s="57"/>
    </row>
    <row r="267">
      <c r="A267" s="56" t="str">
        <f>IFERROR(__xludf.DUMMYFUNCTION("IF('AYIRA MINI MART FINAL MENU - Pr'!A267="""", """", IF(LEN(IFERROR(TRIM(REGEXREPLACE(TRIM(REGEXEXTRACT('AYIRA MINI MART FINAL MENU - Pr'!A267, ""^[^\x{0600}-\x{06FF}]+"")), ""[-–]+$"", """")), """"))&gt;0, IFERROR(TRIM(REGEXREPLACE(TRIM(REGEXEXTRACT('AYIRA"&amp;" MINI MART FINAL MENU - Pr'!A267, ""^[^\x{0600}-\x{06FF}]+"")), ""[-–]+$"", """")), """"), GOOGLETRANSLATE('AYIRA MINI MART FINAL MENU - Pr'!A267, ""ar"", ""en"")))"),"Cookies &amp; Cream Ice Cream 75g – Cookies &amp;")</f>
        <v>Cookies &amp; Cream Ice Cream 75g – Cookies &amp;</v>
      </c>
      <c r="B267" s="56" t="str">
        <f>IFERROR(__xludf.DUMMYFUNCTION("IF('AYIRA MINI MART FINAL MENU - Pr'!B267="""", """", IF(LEN(IFERROR(TRIM(REGEXREPLACE(TRIM(REGEXEXTRACT('AYIRA MINI MART FINAL MENU - Pr'!B267, ""^[^\x{0600}-\x{06FF}]+"")), ""[-–]+$"", """")), """"))&gt;0, IFERROR(TRIM(REGEXREPLACE(TRIM(REGEXEXTRACT('AYIRA"&amp;" MINI MART FINAL MENU - Pr'!B267, ""^[^\x{0600}-\x{06FF}]+"")), ""[-–]+$"", """")), """"), GOOGLETRANSLATE('AYIRA MINI MART FINAL MENU - Pr'!B267, ""ar"", ""en"")))"),"Ice Cream |")</f>
        <v>Ice Cream |</v>
      </c>
      <c r="C267" s="58">
        <f>IF('AYIRA MINI MART FINAL MENU - Pr'!C267="", "", 'AYIRA MINI MART FINAL MENU - Pr'!C267)</f>
        <v>3.5</v>
      </c>
      <c r="D267" s="56" t="str">
        <f>IFERROR(__xludf.DUMMYFUNCTION("IF('AYIRA MINI MART FINAL MENU - Pr'!D267="""", """", GOOGLETRANSLATE('AYIRA MINI MART FINAL MENU - Pr'!D267, ""ar"", ""en""))"),"Cool down on hot days with Cookies &amp; Cream Ice Cream 75g, a delicious treat that will transport you to a world of refreshment and enjoyment. It boasts a wonderful flavor and a smooth, creamy texture that melts in your mouth, leaving a delightful and unfor"&amp;"gettable aftertaste. Perfect for both children and adults, it's a great light dessert any time of day. Discover the secret to its unique taste and make it a part of your sunny day. Aira Mini Mart offers it fresh and preserved to the highest standards.")</f>
        <v>Cool down on hot days with Cookies &amp; Cream Ice Cream 75g,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267" s="56" t="str">
        <f>IF('AYIRA MINI MART FINAL MENU - Pr'!K267="", "", 'AYIRA MINI MART FINAL MENU - Pr'!K267)</f>
        <v/>
      </c>
      <c r="F267" s="56"/>
      <c r="G267" s="56"/>
      <c r="H267" s="56"/>
      <c r="I267" s="56"/>
      <c r="J267" s="56"/>
      <c r="L267" s="56" t="str">
        <f>IF('AYIRA MINI MART FINAL MENU - Pr'!L267="", "", 'AYIRA MINI MART FINAL MENU - Pr'!L267)</f>
        <v/>
      </c>
      <c r="M267" s="56" t="str">
        <f>IF('AYIRA MINI MART FINAL MENU - Pr'!M267="", "", 'AYIRA MINI MART FINAL MENU - Pr'!M267)</f>
        <v/>
      </c>
      <c r="N267" s="56" t="str">
        <f>IF('AYIRA MINI MART FINAL MENU - Pr'!N267="", "", 'AYIRA MINI MART FINAL MENU - Pr'!N267)</f>
        <v/>
      </c>
      <c r="O267" s="57"/>
      <c r="P267" s="57"/>
      <c r="Q267" s="57"/>
      <c r="R267" s="57"/>
      <c r="S267" s="57"/>
      <c r="T267" s="57"/>
      <c r="U267" s="57"/>
      <c r="V267" s="57"/>
      <c r="W267" s="57"/>
      <c r="X267" s="57"/>
      <c r="Y267" s="57"/>
      <c r="Z267" s="57"/>
    </row>
    <row r="268">
      <c r="A268" s="56" t="str">
        <f>IFERROR(__xludf.DUMMYFUNCTION("IF('AYIRA MINI MART FINAL MENU - Pr'!A268="""", """", IF(LEN(IFERROR(TRIM(REGEXREPLACE(TRIM(REGEXEXTRACT('AYIRA MINI MART FINAL MENU - Pr'!A268, ""^[^\x{0600}-\x{06FF}]+"")), ""[-–]+$"", """")), """"))&gt;0, IFERROR(TRIM(REGEXREPLACE(TRIM(REGEXEXTRACT('AYIRA"&amp;" MINI MART FINAL MENU - Pr'!A268, ""^[^\x{0600}-\x{06FF}]+"")), ""[-–]+$"", """")), """"), GOOGLETRANSLATE('AYIRA MINI MART FINAL MENU - Pr'!A268, ""ar"", ""en"")))"),"Iceland Luna Panna Cotta Aromatic with Chocolate Topping – Iceland Luna Panna Cotta Aromatic with")</f>
        <v>Iceland Luna Panna Cotta Aromatic with Chocolate Topping – Iceland Luna Panna Cotta Aromatic with</v>
      </c>
      <c r="B268" s="56" t="str">
        <f>IFERROR(__xludf.DUMMYFUNCTION("IF('AYIRA MINI MART FINAL MENU - Pr'!B268="""", """", IF(LEN(IFERROR(TRIM(REGEXREPLACE(TRIM(REGEXEXTRACT('AYIRA MINI MART FINAL MENU - Pr'!B268, ""^[^\x{0600}-\x{06FF}]+"")), ""[-–]+$"", """")), """"))&gt;0, IFERROR(TRIM(REGEXREPLACE(TRIM(REGEXEXTRACT('AYIRA"&amp;" MINI MART FINAL MENU - Pr'!B268, ""^[^\x{0600}-\x{06FF}]+"")), ""[-–]+$"", """")), """"), GOOGLETRANSLATE('AYIRA MINI MART FINAL MENU - Pr'!B268, ""ar"", ""en"")))"),"Ice Cream |")</f>
        <v>Ice Cream |</v>
      </c>
      <c r="C268" s="58">
        <f>IF('AYIRA MINI MART FINAL MENU - Pr'!C268="", "", 'AYIRA MINI MART FINAL MENU - Pr'!C268)</f>
        <v>5.5</v>
      </c>
      <c r="D268" s="56" t="str">
        <f>IFERROR(__xludf.DUMMYFUNCTION("IF('AYIRA MINI MART FINAL MENU - Pr'!D268="""", """", GOOGLETRANSLATE('AYIRA MINI MART FINAL MENU - Pr'!D268, ""ar"", ""en""))"),"Indulge your senses with Iceland Luna Panna Cotta Aromatic with Chocolate Topping, a luxurious chocolate that blends rich flavor with perfect texture. Made from the finest selected cocoa beans, it delivers an exceptional dessert experience every time. Whe"&amp;"ther you're looking for a special gift or want to treat yourself, this chocolate is the perfect choice. Savor every piece and immerse yourself in a world of smoothness and sweetness. Get yours from Aira Mini Mart and experience moments of pure delight.")</f>
        <v>Indulge your senses with Iceland Luna Panna Cotta Aromatic with Chocolate Topping, a luxurious chocolate that blends rich flavor with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268" s="56" t="str">
        <f>IF('AYIRA MINI MART FINAL MENU - Pr'!K268="", "", 'AYIRA MINI MART FINAL MENU - Pr'!K268)</f>
        <v/>
      </c>
      <c r="F268" s="56"/>
      <c r="G268" s="56"/>
      <c r="H268" s="56"/>
      <c r="I268" s="56"/>
      <c r="J268" s="56"/>
      <c r="L268" s="56" t="str">
        <f>IF('AYIRA MINI MART FINAL MENU - Pr'!L268="", "", 'AYIRA MINI MART FINAL MENU - Pr'!L268)</f>
        <v/>
      </c>
      <c r="M268" s="56" t="str">
        <f>IF('AYIRA MINI MART FINAL MENU - Pr'!M268="", "", 'AYIRA MINI MART FINAL MENU - Pr'!M268)</f>
        <v/>
      </c>
      <c r="N268" s="56" t="str">
        <f>IF('AYIRA MINI MART FINAL MENU - Pr'!N268="", "", 'AYIRA MINI MART FINAL MENU - Pr'!N268)</f>
        <v/>
      </c>
      <c r="O268" s="57"/>
      <c r="P268" s="57"/>
      <c r="Q268" s="57"/>
      <c r="R268" s="57"/>
      <c r="S268" s="57"/>
      <c r="T268" s="57"/>
      <c r="U268" s="57"/>
      <c r="V268" s="57"/>
      <c r="W268" s="57"/>
      <c r="X268" s="57"/>
      <c r="Y268" s="57"/>
      <c r="Z268" s="57"/>
    </row>
    <row r="269">
      <c r="A269" s="56" t="str">
        <f>IFERROR(__xludf.DUMMYFUNCTION("IF('AYIRA MINI MART FINAL MENU - Pr'!A269="""", """", IF(LEN(IFERROR(TRIM(REGEXREPLACE(TRIM(REGEXEXTRACT('AYIRA MINI MART FINAL MENU - Pr'!A269, ""^[^\x{0600}-\x{06FF}]+"")), ""[-–]+$"", """")), """"))&gt;0, IFERROR(TRIM(REGEXREPLACE(TRIM(REGEXEXTRACT('AYIRA"&amp;" MINI MART FINAL MENU - Pr'!A269, ""^[^\x{0600}-\x{06FF}]+"")), ""[-–]+$"", """")), """"), GOOGLETRANSLATE('AYIRA MINI MART FINAL MENU - Pr'!A269, ""ar"", ""en"")))"),"Iceland Luna Hazelnut Chocolate and Panna Cotta – Iceland Luna")</f>
        <v>Iceland Luna Hazelnut Chocolate and Panna Cotta – Iceland Luna</v>
      </c>
      <c r="B269" s="56" t="str">
        <f>IFERROR(__xludf.DUMMYFUNCTION("IF('AYIRA MINI MART FINAL MENU - Pr'!B269="""", """", IF(LEN(IFERROR(TRIM(REGEXREPLACE(TRIM(REGEXEXTRACT('AYIRA MINI MART FINAL MENU - Pr'!B269, ""^[^\x{0600}-\x{06FF}]+"")), ""[-–]+$"", """")), """"))&gt;0, IFERROR(TRIM(REGEXREPLACE(TRIM(REGEXEXTRACT('AYIRA"&amp;" MINI MART FINAL MENU - Pr'!B269, ""^[^\x{0600}-\x{06FF}]+"")), ""[-–]+$"", """")), """"), GOOGLETRANSLATE('AYIRA MINI MART FINAL MENU - Pr'!B269, ""ar"", ""en"")))"),"Ice Cream |")</f>
        <v>Ice Cream |</v>
      </c>
      <c r="C269" s="58">
        <f>IF('AYIRA MINI MART FINAL MENU - Pr'!C269="", "", 'AYIRA MINI MART FINAL MENU - Pr'!C269)</f>
        <v>4.5</v>
      </c>
      <c r="D269" s="56" t="str">
        <f>IFERROR(__xludf.DUMMYFUNCTION("IF('AYIRA MINI MART FINAL MENU - Pr'!D269="""", """", GOOGLETRANSLATE('AYIRA MINI MART FINAL MENU - Pr'!D269, ""ar"", ""en""))"),"Indulge your senses with Iceland Luna Hazelnut Chocolate and Panna Cotta, a luxurious chocolate that blends rich flavor with a perfect texture. Made from the finest selected cocoa beans, it delivers an exceptional dessert experience every time. Whether yo"&amp;"u're looking for a special gift or want to treat yourself, this chocolate is the perfect choice. Savor every piece and immerse yourself in a world of smoothness and sweetness. Get yours from Aira Mini Mart and experience moments of pure delight.")</f>
        <v>Indulge your senses with Iceland Luna Hazelnut Chocolate and Panna Cotta,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269" s="56" t="str">
        <f>IF('AYIRA MINI MART FINAL MENU - Pr'!K269="", "", 'AYIRA MINI MART FINAL MENU - Pr'!K269)</f>
        <v/>
      </c>
      <c r="F269" s="56"/>
      <c r="G269" s="56"/>
      <c r="H269" s="56"/>
      <c r="I269" s="56"/>
      <c r="J269" s="56"/>
      <c r="L269" s="56" t="str">
        <f>IF('AYIRA MINI MART FINAL MENU - Pr'!L269="", "", 'AYIRA MINI MART FINAL MENU - Pr'!L269)</f>
        <v/>
      </c>
      <c r="M269" s="56" t="str">
        <f>IF('AYIRA MINI MART FINAL MENU - Pr'!M269="", "", 'AYIRA MINI MART FINAL MENU - Pr'!M269)</f>
        <v/>
      </c>
      <c r="N269" s="56" t="str">
        <f>IF('AYIRA MINI MART FINAL MENU - Pr'!N269="", "", 'AYIRA MINI MART FINAL MENU - Pr'!N269)</f>
        <v/>
      </c>
      <c r="O269" s="57"/>
      <c r="P269" s="57"/>
      <c r="Q269" s="57"/>
      <c r="R269" s="57"/>
      <c r="S269" s="57"/>
      <c r="T269" s="57"/>
      <c r="U269" s="57"/>
      <c r="V269" s="57"/>
      <c r="W269" s="57"/>
      <c r="X269" s="57"/>
      <c r="Y269" s="57"/>
      <c r="Z269" s="57"/>
    </row>
    <row r="270">
      <c r="A270" s="56" t="str">
        <f>IFERROR(__xludf.DUMMYFUNCTION("IF('AYIRA MINI MART FINAL MENU - Pr'!A270="""", """", IF(LEN(IFERROR(TRIM(REGEXREPLACE(TRIM(REGEXEXTRACT('AYIRA MINI MART FINAL MENU - Pr'!A270, ""^[^\x{0600}-\x{06FF}]+"")), ""[-–]+$"", """")), """"))&gt;0, IFERROR(TRIM(REGEXREPLACE(TRIM(REGEXEXTRACT('AYIRA"&amp;" MINI MART FINAL MENU - Pr'!A270, ""^[^\x{0600}-\x{06FF}]+"")), ""[-–]+$"", """")), """"), GOOGLETRANSLATE('AYIRA MINI MART FINAL MENU - Pr'!A270, ""ar"", ""en"")))"),"Plombir Vanilla Ice Cream 15% – Plombir")</f>
        <v>Plombir Vanilla Ice Cream 15% – Plombir</v>
      </c>
      <c r="B270" s="56" t="str">
        <f>IFERROR(__xludf.DUMMYFUNCTION("IF('AYIRA MINI MART FINAL MENU - Pr'!B270="""", """", IF(LEN(IFERROR(TRIM(REGEXREPLACE(TRIM(REGEXEXTRACT('AYIRA MINI MART FINAL MENU - Pr'!B270, ""^[^\x{0600}-\x{06FF}]+"")), ""[-–]+$"", """")), """"))&gt;0, IFERROR(TRIM(REGEXREPLACE(TRIM(REGEXEXTRACT('AYIRA"&amp;" MINI MART FINAL MENU - Pr'!B270, ""^[^\x{0600}-\x{06FF}]+"")), ""[-–]+$"", """")), """"), GOOGLETRANSLATE('AYIRA MINI MART FINAL MENU - Pr'!B270, ""ar"", ""en"")))"),"Ice Cream |")</f>
        <v>Ice Cream |</v>
      </c>
      <c r="C270" s="58">
        <f>IF('AYIRA MINI MART FINAL MENU - Pr'!C270="", "", 'AYIRA MINI MART FINAL MENU - Pr'!C270)</f>
        <v>4.5</v>
      </c>
      <c r="D270" s="56" t="str">
        <f>IFERROR(__xludf.DUMMYFUNCTION("IF('AYIRA MINI MART FINAL MENU - Pr'!D270="""", """", GOOGLETRANSLATE('AYIRA MINI MART FINAL MENU - Pr'!D270, ""ar"", ""en""))"),"Cool down on hot days with Plombir Vanilla Ice Cream 15%, a delicious ice cream that transports you to a world of refreshment and enjoyment. It boasts a wonderful flavor and a smooth, creamy texture that melts in your mouth, leaving a delightful and unfor"&amp;"gettable aftertaste. Perfect for children and adults alike, it's a great light treat any time of day. Discover the secret to its unique taste and make it a part of your sunny day. Aira Mini Mart offers it fresh and preserved to the highest standards.")</f>
        <v>Cool down on hot days with Plombir Vanilla Ice Cream 15%, a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70" s="56" t="str">
        <f>IF('AYIRA MINI MART FINAL MENU - Pr'!K270="", "", 'AYIRA MINI MART FINAL MENU - Pr'!K270)</f>
        <v/>
      </c>
      <c r="F270" s="56"/>
      <c r="G270" s="56"/>
      <c r="H270" s="56"/>
      <c r="I270" s="56"/>
      <c r="J270" s="56"/>
      <c r="L270" s="56" t="str">
        <f>IF('AYIRA MINI MART FINAL MENU - Pr'!L270="", "", 'AYIRA MINI MART FINAL MENU - Pr'!L270)</f>
        <v/>
      </c>
      <c r="M270" s="56" t="str">
        <f>IF('AYIRA MINI MART FINAL MENU - Pr'!M270="", "", 'AYIRA MINI MART FINAL MENU - Pr'!M270)</f>
        <v/>
      </c>
      <c r="N270" s="56" t="str">
        <f>IF('AYIRA MINI MART FINAL MENU - Pr'!N270="", "", 'AYIRA MINI MART FINAL MENU - Pr'!N270)</f>
        <v/>
      </c>
      <c r="O270" s="57"/>
      <c r="P270" s="57"/>
      <c r="Q270" s="57"/>
      <c r="R270" s="57"/>
      <c r="S270" s="57"/>
      <c r="T270" s="57"/>
      <c r="U270" s="57"/>
      <c r="V270" s="57"/>
      <c r="W270" s="57"/>
      <c r="X270" s="57"/>
      <c r="Y270" s="57"/>
      <c r="Z270" s="57"/>
    </row>
    <row r="271">
      <c r="A271" s="56" t="str">
        <f>IFERROR(__xludf.DUMMYFUNCTION("IF('AYIRA MINI MART FINAL MENU - Pr'!A271="""", """", IF(LEN(IFERROR(TRIM(REGEXREPLACE(TRIM(REGEXEXTRACT('AYIRA MINI MART FINAL MENU - Pr'!A271, ""^[^\x{0600}-\x{06FF}]+"")), ""[-–]+$"", """")), """"))&gt;0, IFERROR(TRIM(REGEXREPLACE(TRIM(REGEXEXTRACT('AYIRA"&amp;" MINI MART FINAL MENU - Pr'!A271, ""^[^\x{0600}-\x{06FF}]+"")), ""[-–]+$"", """")), """"), GOOGLETRANSLATE('AYIRA MINI MART FINAL MENU - Pr'!A271, ""ar"", ""en"")))"),"Penguin Vanilla Ice Cream – Penguin")</f>
        <v>Penguin Vanilla Ice Cream – Penguin</v>
      </c>
      <c r="B271" s="56" t="str">
        <f>IFERROR(__xludf.DUMMYFUNCTION("IF('AYIRA MINI MART FINAL MENU - Pr'!B271="""", """", IF(LEN(IFERROR(TRIM(REGEXREPLACE(TRIM(REGEXEXTRACT('AYIRA MINI MART FINAL MENU - Pr'!B271, ""^[^\x{0600}-\x{06FF}]+"")), ""[-–]+$"", """")), """"))&gt;0, IFERROR(TRIM(REGEXREPLACE(TRIM(REGEXEXTRACT('AYIRA"&amp;" MINI MART FINAL MENU - Pr'!B271, ""^[^\x{0600}-\x{06FF}]+"")), ""[-–]+$"", """")), """"), GOOGLETRANSLATE('AYIRA MINI MART FINAL MENU - Pr'!B271, ""ar"", ""en"")))"),"Ice Cream |")</f>
        <v>Ice Cream |</v>
      </c>
      <c r="C271" s="58">
        <f>IF('AYIRA MINI MART FINAL MENU - Pr'!C271="", "", 'AYIRA MINI MART FINAL MENU - Pr'!C271)</f>
        <v>3.5</v>
      </c>
      <c r="D271" s="56" t="str">
        <f>IFERROR(__xludf.DUMMYFUNCTION("IF('AYIRA MINI MART FINAL MENU - Pr'!D271="""", """", GOOGLETRANSLATE('AYIRA MINI MART FINAL MENU - Pr'!D271, ""ar"", ""en""))"),"Cool down on hot days with Penguin Vanilla Ice Cream, a delicious treat that will transport you to a world of refreshment and enjoyment. Its wonderful flavor and smooth, creamy texture melt in your mouth, leaving a delightful and unforgettable aftertaste."&amp;" Perfect for both children and adults, it's a great light dessert any time of day. Discover the secret to its unique taste and make it a part of your sunny day. Aira Mini Mart offers it fresh and preserved to the highest standards.")</f>
        <v>Cool down on hot days with Penguin Vanilla Ice Cream, a delicious treat that will transport you to a world of refreshment and enjoyment. Its wonderful flavor and smooth, creamy texture melt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271" s="56" t="str">
        <f>IF('AYIRA MINI MART FINAL MENU - Pr'!K271="", "", 'AYIRA MINI MART FINAL MENU - Pr'!K271)</f>
        <v/>
      </c>
      <c r="F271" s="56"/>
      <c r="G271" s="56"/>
      <c r="H271" s="56"/>
      <c r="I271" s="56"/>
      <c r="J271" s="56"/>
      <c r="L271" s="56" t="str">
        <f>IF('AYIRA MINI MART FINAL MENU - Pr'!L271="", "", 'AYIRA MINI MART FINAL MENU - Pr'!L271)</f>
        <v/>
      </c>
      <c r="M271" s="56" t="str">
        <f>IF('AYIRA MINI MART FINAL MENU - Pr'!M271="", "", 'AYIRA MINI MART FINAL MENU - Pr'!M271)</f>
        <v/>
      </c>
      <c r="N271" s="56" t="str">
        <f>IF('AYIRA MINI MART FINAL MENU - Pr'!N271="", "", 'AYIRA MINI MART FINAL MENU - Pr'!N271)</f>
        <v/>
      </c>
      <c r="O271" s="57"/>
      <c r="P271" s="57"/>
      <c r="Q271" s="57"/>
      <c r="R271" s="57"/>
      <c r="S271" s="57"/>
      <c r="T271" s="57"/>
      <c r="U271" s="57"/>
      <c r="V271" s="57"/>
      <c r="W271" s="57"/>
      <c r="X271" s="57"/>
      <c r="Y271" s="57"/>
      <c r="Z271" s="57"/>
    </row>
    <row r="272">
      <c r="A272" s="56" t="str">
        <f>IFERROR(__xludf.DUMMYFUNCTION("IF('AYIRA MINI MART FINAL MENU - Pr'!A272="""", """", IF(LEN(IFERROR(TRIM(REGEXREPLACE(TRIM(REGEXEXTRACT('AYIRA MINI MART FINAL MENU - Pr'!A272, ""^[^\x{0600}-\x{06FF}]+"")), ""[-–]+$"", """")), """"))&gt;0, IFERROR(TRIM(REGEXREPLACE(TRIM(REGEXEXTRACT('AYIRA"&amp;" MINI MART FINAL MENU - Pr'!A272, ""^[^\x{0600}-\x{06FF}]+"")), ""[-–]+$"", """")), """"), GOOGLETRANSLATE('AYIRA MINI MART FINAL MENU - Pr'!A272, ""ar"", ""en"")))"),"Iceland Vanilla Ice Cream – Iceland")</f>
        <v>Iceland Vanilla Ice Cream – Iceland</v>
      </c>
      <c r="B272" s="56" t="str">
        <f>IFERROR(__xludf.DUMMYFUNCTION("IF('AYIRA MINI MART FINAL MENU - Pr'!B272="""", """", IF(LEN(IFERROR(TRIM(REGEXREPLACE(TRIM(REGEXEXTRACT('AYIRA MINI MART FINAL MENU - Pr'!B272, ""^[^\x{0600}-\x{06FF}]+"")), ""[-–]+$"", """")), """"))&gt;0, IFERROR(TRIM(REGEXREPLACE(TRIM(REGEXEXTRACT('AYIRA"&amp;" MINI MART FINAL MENU - Pr'!B272, ""^[^\x{0600}-\x{06FF}]+"")), ""[-–]+$"", """")), """"), GOOGLETRANSLATE('AYIRA MINI MART FINAL MENU - Pr'!B272, ""ar"", ""en"")))"),"Ice Cream |")</f>
        <v>Ice Cream |</v>
      </c>
      <c r="C272" s="58">
        <f>IF('AYIRA MINI MART FINAL MENU - Pr'!C272="", "", 'AYIRA MINI MART FINAL MENU - Pr'!C272)</f>
        <v>3.5</v>
      </c>
      <c r="D272" s="56" t="str">
        <f>IFERROR(__xludf.DUMMYFUNCTION("IF('AYIRA MINI MART FINAL MENU - Pr'!D272="""", """", GOOGLETRANSLATE('AYIRA MINI MART FINAL MENU - Pr'!D272, ""ar"", ""en""))"),"Cool down on hot days with Iceland Vanilla Ice Cream, a delicious treat that transports you to a world of refreshment and enjoyment. Its wonderful flavor and smooth, creamy texture melt in your mouth, leaving a delightful and unforgettable aftertaste. Per"&amp;"fect for children and adults alike, it's a great light dessert any time of day. Discover the secret to its unique taste and make it a part of your sunny day. Aira Mini Mart offers it fresh and preserved to the highest standards.")</f>
        <v>Cool down on hot days with Iceland Vanilla Ice Cream,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72" s="56" t="str">
        <f>IF('AYIRA MINI MART FINAL MENU - Pr'!K272="", "", 'AYIRA MINI MART FINAL MENU - Pr'!K272)</f>
        <v/>
      </c>
      <c r="F272" s="56"/>
      <c r="G272" s="56"/>
      <c r="H272" s="56"/>
      <c r="I272" s="56"/>
      <c r="J272" s="56"/>
      <c r="L272" s="56" t="str">
        <f>IF('AYIRA MINI MART FINAL MENU - Pr'!L272="", "", 'AYIRA MINI MART FINAL MENU - Pr'!L272)</f>
        <v/>
      </c>
      <c r="M272" s="56" t="str">
        <f>IF('AYIRA MINI MART FINAL MENU - Pr'!M272="", "", 'AYIRA MINI MART FINAL MENU - Pr'!M272)</f>
        <v/>
      </c>
      <c r="N272" s="56" t="str">
        <f>IF('AYIRA MINI MART FINAL MENU - Pr'!N272="", "", 'AYIRA MINI MART FINAL MENU - Pr'!N272)</f>
        <v/>
      </c>
      <c r="O272" s="57"/>
      <c r="P272" s="57"/>
      <c r="Q272" s="57"/>
      <c r="R272" s="57"/>
      <c r="S272" s="57"/>
      <c r="T272" s="57"/>
      <c r="U272" s="57"/>
      <c r="V272" s="57"/>
      <c r="W272" s="57"/>
      <c r="X272" s="57"/>
      <c r="Y272" s="57"/>
      <c r="Z272" s="57"/>
    </row>
    <row r="273">
      <c r="A273" s="56" t="str">
        <f>IFERROR(__xludf.DUMMYFUNCTION("IF('AYIRA MINI MART FINAL MENU - Pr'!A273="""", """", IF(LEN(IFERROR(TRIM(REGEXREPLACE(TRIM(REGEXEXTRACT('AYIRA MINI MART FINAL MENU - Pr'!A273, ""^[^\x{0600}-\x{06FF}]+"")), ""[-–]+$"", """")), """"))&gt;0, IFERROR(TRIM(REGEXREPLACE(TRIM(REGEXEXTRACT('AYIRA"&amp;" MINI MART FINAL MENU - Pr'!A273, ""^[^\x{0600}-\x{06FF}]+"")), ""[-–]+$"", """")), """"), GOOGLETRANSLATE('AYIRA MINI MART FINAL MENU - Pr'!A273, ""ar"", ""en"")))"),"Bonetto Vanilla Ice Cream – Ronetto")</f>
        <v>Bonetto Vanilla Ice Cream – Ronetto</v>
      </c>
      <c r="B273" s="56" t="str">
        <f>IFERROR(__xludf.DUMMYFUNCTION("IF('AYIRA MINI MART FINAL MENU - Pr'!B273="""", """", IF(LEN(IFERROR(TRIM(REGEXREPLACE(TRIM(REGEXEXTRACT('AYIRA MINI MART FINAL MENU - Pr'!B273, ""^[^\x{0600}-\x{06FF}]+"")), ""[-–]+$"", """")), """"))&gt;0, IFERROR(TRIM(REGEXREPLACE(TRIM(REGEXEXTRACT('AYIRA"&amp;" MINI MART FINAL MENU - Pr'!B273, ""^[^\x{0600}-\x{06FF}]+"")), ""[-–]+$"", """")), """"), GOOGLETRANSLATE('AYIRA MINI MART FINAL MENU - Pr'!B273, ""ar"", ""en"")))"),"Ice Cream |")</f>
        <v>Ice Cream |</v>
      </c>
      <c r="C273" s="58">
        <f>IF('AYIRA MINI MART FINAL MENU - Pr'!C273="", "", 'AYIRA MINI MART FINAL MENU - Pr'!C273)</f>
        <v>3.5</v>
      </c>
      <c r="D273" s="56" t="str">
        <f>IFERROR(__xludf.DUMMYFUNCTION("IF('AYIRA MINI MART FINAL MENU - Pr'!D273="""", """", GOOGLETRANSLATE('AYIRA MINI MART FINAL MENU - Pr'!D273, ""ar"", ""en""))"),"Cool down on hot days with Ronetto Vanilla Ice Cream, a delicious treat that transports you to a world of refreshment and enjoyment. Its wonderful flavor and smooth, creamy texture melt in your mouth, leaving a delightful and unforgettable aftertaste. Per"&amp;"fect for children and adults alike, it's a great light dessert any time of day. Discover the secret to its unique taste and make it a part of your sunny day. Available fresh and preserved to the highest standards at Aira Mini Mart.")</f>
        <v>Cool down on hot days with Ronetto Vanilla Ice Cream,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Available fresh and preserved to the highest standards at Aira Mini Mart.</v>
      </c>
      <c r="E273" s="56" t="str">
        <f>IF('AYIRA MINI MART FINAL MENU - Pr'!K273="", "", 'AYIRA MINI MART FINAL MENU - Pr'!K273)</f>
        <v/>
      </c>
      <c r="F273" s="56"/>
      <c r="G273" s="56"/>
      <c r="H273" s="56"/>
      <c r="I273" s="56"/>
      <c r="J273" s="56"/>
      <c r="L273" s="56" t="str">
        <f>IF('AYIRA MINI MART FINAL MENU - Pr'!L273="", "", 'AYIRA MINI MART FINAL MENU - Pr'!L273)</f>
        <v/>
      </c>
      <c r="M273" s="56" t="str">
        <f>IF('AYIRA MINI MART FINAL MENU - Pr'!M273="", "", 'AYIRA MINI MART FINAL MENU - Pr'!M273)</f>
        <v/>
      </c>
      <c r="N273" s="56" t="str">
        <f>IF('AYIRA MINI MART FINAL MENU - Pr'!N273="", "", 'AYIRA MINI MART FINAL MENU - Pr'!N273)</f>
        <v/>
      </c>
      <c r="O273" s="57"/>
      <c r="P273" s="57"/>
      <c r="Q273" s="57"/>
      <c r="R273" s="57"/>
      <c r="S273" s="57"/>
      <c r="T273" s="57"/>
      <c r="U273" s="57"/>
      <c r="V273" s="57"/>
      <c r="W273" s="57"/>
      <c r="X273" s="57"/>
      <c r="Y273" s="57"/>
      <c r="Z273" s="57"/>
    </row>
    <row r="274">
      <c r="A274" s="56" t="str">
        <f>IFERROR(__xludf.DUMMYFUNCTION("IF('AYIRA MINI MART FINAL MENU - Pr'!A274="""", """", IF(LEN(IFERROR(TRIM(REGEXREPLACE(TRIM(REGEXEXTRACT('AYIRA MINI MART FINAL MENU - Pr'!A274, ""^[^\x{0600}-\x{06FF}]+"")), ""[-–]+$"", """")), """"))&gt;0, IFERROR(TRIM(REGEXREPLACE(TRIM(REGEXEXTRACT('AYIRA"&amp;" MINI MART FINAL MENU - Pr'!A274, ""^[^\x{0600}-\x{06FF}]+"")), ""[-–]+$"", """")), """"), GOOGLETRANSLATE('AYIRA MINI MART FINAL MENU - Pr'!A274, ""ar"", ""en"")))"),"Delisimo Hazelnut Plombir Ice Cream 500g – Delisimo")</f>
        <v>Delisimo Hazelnut Plombir Ice Cream 500g – Delisimo</v>
      </c>
      <c r="B274" s="56" t="str">
        <f>IFERROR(__xludf.DUMMYFUNCTION("IF('AYIRA MINI MART FINAL MENU - Pr'!B274="""", """", IF(LEN(IFERROR(TRIM(REGEXREPLACE(TRIM(REGEXEXTRACT('AYIRA MINI MART FINAL MENU - Pr'!B274, ""^[^\x{0600}-\x{06FF}]+"")), ""[-–]+$"", """")), """"))&gt;0, IFERROR(TRIM(REGEXREPLACE(TRIM(REGEXEXTRACT('AYIRA"&amp;" MINI MART FINAL MENU - Pr'!B274, ""^[^\x{0600}-\x{06FF}]+"")), ""[-–]+$"", """")), """"), GOOGLETRANSLATE('AYIRA MINI MART FINAL MENU - Pr'!B274, ""ar"", ""en"")))"),"Ice Cream |")</f>
        <v>Ice Cream |</v>
      </c>
      <c r="C274" s="56" t="str">
        <f>IF('AYIRA MINI MART FINAL MENU - Pr'!C274="", "", 'AYIRA MINI MART FINAL MENU - Pr'!C274)</f>
        <v/>
      </c>
      <c r="D274" s="56" t="str">
        <f>IFERROR(__xludf.DUMMYFUNCTION("IF('AYIRA MINI MART FINAL MENU - Pr'!D274="""", """", GOOGLETRANSLATE('AYIRA MINI MART FINAL MENU - Pr'!D274, ""ar"", ""en""))"),"Cool down on hot days with Delisimo Hazelnut Plombir Ice Cream 500g, a delicious treat that will transport you to a world of refreshment and enjoyment. Its wonderful flavor and smooth, creamy texture melt in your mouth, leaving a delightful and unforgetta"&amp;"ble aftertaste. Perfect for children and adults alike, it's a great light dessert any time of day. Discover the secret to its unique taste and make it a part of your sunny day. Delisimo Hazelnut Plombir Ice Cream is available fresh and preserved to the hi"&amp;"ghest standards at Aira Mini Mart.")</f>
        <v>Cool down on hot days with Delisimo Hazelnut Plombir Ice Cream 500g,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Delisimo Hazelnut Plombir Ice Cream is available fresh and preserved to the highest standards at Aira Mini Mart.</v>
      </c>
      <c r="E274" s="56" t="str">
        <f>IF('AYIRA MINI MART FINAL MENU - Pr'!K274="", "", 'AYIRA MINI MART FINAL MENU - Pr'!K274)</f>
        <v/>
      </c>
      <c r="F274" s="56"/>
      <c r="G274" s="56"/>
      <c r="H274" s="56"/>
      <c r="I274" s="56"/>
      <c r="J274" s="56"/>
      <c r="L274" s="56" t="str">
        <f>IF('AYIRA MINI MART FINAL MENU - Pr'!L274="", "", 'AYIRA MINI MART FINAL MENU - Pr'!L274)</f>
        <v/>
      </c>
      <c r="M274" s="56" t="str">
        <f>IF('AYIRA MINI MART FINAL MENU - Pr'!M274="", "", 'AYIRA MINI MART FINAL MENU - Pr'!M274)</f>
        <v/>
      </c>
      <c r="N274" s="56" t="str">
        <f>IF('AYIRA MINI MART FINAL MENU - Pr'!N274="", "", 'AYIRA MINI MART FINAL MENU - Pr'!N274)</f>
        <v/>
      </c>
      <c r="O274" s="57"/>
      <c r="P274" s="57"/>
      <c r="Q274" s="57"/>
      <c r="R274" s="57"/>
      <c r="S274" s="57"/>
      <c r="T274" s="57"/>
      <c r="U274" s="57"/>
      <c r="V274" s="57"/>
      <c r="W274" s="57"/>
      <c r="X274" s="57"/>
      <c r="Y274" s="57"/>
      <c r="Z274" s="57"/>
    </row>
    <row r="275">
      <c r="A275" s="56" t="str">
        <f>IFERROR(__xludf.DUMMYFUNCTION("IF('AYIRA MINI MART FINAL MENU - Pr'!A275="""", """", IF(LEN(IFERROR(TRIM(REGEXREPLACE(TRIM(REGEXEXTRACT('AYIRA MINI MART FINAL MENU - Pr'!A275, ""^[^\x{0600}-\x{06FF}]+"")), ""[-–]+$"", """")), """"))&gt;0, IFERROR(TRIM(REGEXREPLACE(TRIM(REGEXEXTRACT('AYIRA"&amp;" MINI MART FINAL MENU - Pr'!A275, ""^[^\x{0600}-\x{06FF}]+"")), ""[-–]+$"", """")), """"), GOOGLETRANSLATE('AYIRA MINI MART FINAL MENU - Pr'!A275, ""ar"", ""en"")))"),"Oazis Ice Cream – Oazis")</f>
        <v>Oazis Ice Cream – Oazis</v>
      </c>
      <c r="B275" s="56" t="str">
        <f>IFERROR(__xludf.DUMMYFUNCTION("IF('AYIRA MINI MART FINAL MENU - Pr'!B275="""", """", IF(LEN(IFERROR(TRIM(REGEXREPLACE(TRIM(REGEXEXTRACT('AYIRA MINI MART FINAL MENU - Pr'!B275, ""^[^\x{0600}-\x{06FF}]+"")), ""[-–]+$"", """")), """"))&gt;0, IFERROR(TRIM(REGEXREPLACE(TRIM(REGEXEXTRACT('AYIRA"&amp;" MINI MART FINAL MENU - Pr'!B275, ""^[^\x{0600}-\x{06FF}]+"")), ""[-–]+$"", """")), """"), GOOGLETRANSLATE('AYIRA MINI MART FINAL MENU - Pr'!B275, ""ar"", ""en"")))"),"Ice Cream |")</f>
        <v>Ice Cream |</v>
      </c>
      <c r="C275" s="58">
        <f>IF('AYIRA MINI MART FINAL MENU - Pr'!C275="", "", 'AYIRA MINI MART FINAL MENU - Pr'!C275)</f>
        <v>3.5</v>
      </c>
      <c r="D275" s="56" t="str">
        <f>IFERROR(__xludf.DUMMYFUNCTION("IF('AYIRA MINI MART FINAL MENU - Pr'!D275="""", """", GOOGLETRANSLATE('AYIRA MINI MART FINAL MENU - Pr'!D275, ""ar"", ""en""))"),"Cool down on hot days with Oazis Ice Cream, a delicious treat that will transport you to a world of refreshment and enjoyment. Its wonderful flavor and smooth, creamy texture melt in your mouth, leaving a delightful and unforgettable aftertaste. Perfect f"&amp;"or children and adults alike, it's a great light dessert any time of day. Discover the secret to its unique taste and make it a part of your sunny day. Aira Mini Mart offers it fresh and preserved to the highest standards.")</f>
        <v>Cool down on hot days with Oazis Ice Cream,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75" s="56" t="str">
        <f>IF('AYIRA MINI MART FINAL MENU - Pr'!K275="", "", 'AYIRA MINI MART FINAL MENU - Pr'!K275)</f>
        <v/>
      </c>
      <c r="F275" s="56"/>
      <c r="G275" s="56"/>
      <c r="H275" s="56"/>
      <c r="I275" s="56"/>
      <c r="J275" s="56"/>
      <c r="L275" s="56" t="str">
        <f>IF('AYIRA MINI MART FINAL MENU - Pr'!L275="", "", 'AYIRA MINI MART FINAL MENU - Pr'!L275)</f>
        <v/>
      </c>
      <c r="M275" s="56" t="str">
        <f>IF('AYIRA MINI MART FINAL MENU - Pr'!M275="", "", 'AYIRA MINI MART FINAL MENU - Pr'!M275)</f>
        <v/>
      </c>
      <c r="N275" s="56" t="str">
        <f>IF('AYIRA MINI MART FINAL MENU - Pr'!N275="", "", 'AYIRA MINI MART FINAL MENU - Pr'!N275)</f>
        <v/>
      </c>
      <c r="O275" s="57"/>
      <c r="P275" s="57"/>
      <c r="Q275" s="57"/>
      <c r="R275" s="57"/>
      <c r="S275" s="57"/>
      <c r="T275" s="57"/>
      <c r="U275" s="57"/>
      <c r="V275" s="57"/>
      <c r="W275" s="57"/>
      <c r="X275" s="57"/>
      <c r="Y275" s="57"/>
      <c r="Z275" s="57"/>
    </row>
    <row r="276">
      <c r="A276" s="56" t="str">
        <f>IFERROR(__xludf.DUMMYFUNCTION("IF('AYIRA MINI MART FINAL MENU - Pr'!A276="""", """", IF(LEN(IFERROR(TRIM(REGEXREPLACE(TRIM(REGEXEXTRACT('AYIRA MINI MART FINAL MENU - Pr'!A276, ""^[^\x{0600}-\x{06FF}]+"")), ""[-–]+$"", """")), """"))&gt;0, IFERROR(TRIM(REGEXREPLACE(TRIM(REGEXEXTRACT('AYIRA"&amp;" MINI MART FINAL MENU - Pr'!A276, ""^[^\x{0600}-\x{06FF}]+"")), ""[-–]+$"", """")), """"), GOOGLETRANSLATE('AYIRA MINI MART FINAL MENU - Pr'!A276, ""ar"", ""en"")))"),"Apple Fruity Ice")</f>
        <v>Apple Fruity Ice</v>
      </c>
      <c r="B276" s="56" t="str">
        <f>IFERROR(__xludf.DUMMYFUNCTION("IF('AYIRA MINI MART FINAL MENU - Pr'!B276="""", """", IF(LEN(IFERROR(TRIM(REGEXREPLACE(TRIM(REGEXEXTRACT('AYIRA MINI MART FINAL MENU - Pr'!B276, ""^[^\x{0600}-\x{06FF}]+"")), ""[-–]+$"", """")), """"))&gt;0, IFERROR(TRIM(REGEXREPLACE(TRIM(REGEXEXTRACT('AYIRA"&amp;" MINI MART FINAL MENU - Pr'!B276, ""^[^\x{0600}-\x{06FF}]+"")), ""[-–]+$"", """")), """"), GOOGLETRANSLATE('AYIRA MINI MART FINAL MENU - Pr'!B276, ""ar"", ""en"")))"),"Ice Cream |")</f>
        <v>Ice Cream |</v>
      </c>
      <c r="C276" s="56" t="str">
        <f>IF('AYIRA MINI MART FINAL MENU - Pr'!C276="", "", 'AYIRA MINI MART FINAL MENU - Pr'!C276)</f>
        <v/>
      </c>
      <c r="D276" s="56" t="str">
        <f>IFERROR(__xludf.DUMMYFUNCTION("IF('AYIRA MINI MART FINAL MENU - Pr'!D276="""", """", GOOGLETRANSLATE('AYIRA MINI MART FINAL MENU - Pr'!D276, ""ar"", ""en""))"),"Cool down on hot days with Apple Fruity Ice, a delicious treat that will transport you to a world of refreshment and enjoyment. Its wonderful flavor and smooth, creamy texture melt in your mouth, leaving a delightful and unforgettable aftertaste. Perfect "&amp;"for children and adults alike, it's a great light dessert any time of day. Discover the secret to its unique taste and make it a part of your sunny day. Aira Mini Mart offers it fresh and preserved to the highest standards.")</f>
        <v>Cool down on hot days with Apple Fruity Ice,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76" s="56" t="str">
        <f>IF('AYIRA MINI MART FINAL MENU - Pr'!K276="", "", 'AYIRA MINI MART FINAL MENU - Pr'!K276)</f>
        <v/>
      </c>
      <c r="F276" s="56"/>
      <c r="G276" s="56"/>
      <c r="H276" s="56"/>
      <c r="I276" s="56"/>
      <c r="J276" s="56"/>
      <c r="L276" s="56" t="str">
        <f>IF('AYIRA MINI MART FINAL MENU - Pr'!L276="", "", 'AYIRA MINI MART FINAL MENU - Pr'!L276)</f>
        <v/>
      </c>
      <c r="M276" s="56" t="str">
        <f>IF('AYIRA MINI MART FINAL MENU - Pr'!M276="", "", 'AYIRA MINI MART FINAL MENU - Pr'!M276)</f>
        <v/>
      </c>
      <c r="N276" s="56" t="str">
        <f>IF('AYIRA MINI MART FINAL MENU - Pr'!N276="", "", 'AYIRA MINI MART FINAL MENU - Pr'!N276)</f>
        <v/>
      </c>
      <c r="O276" s="57"/>
      <c r="P276" s="57"/>
      <c r="Q276" s="57"/>
      <c r="R276" s="57"/>
      <c r="S276" s="57"/>
      <c r="T276" s="57"/>
      <c r="U276" s="57"/>
      <c r="V276" s="57"/>
      <c r="W276" s="57"/>
      <c r="X276" s="57"/>
      <c r="Y276" s="57"/>
      <c r="Z276" s="57"/>
    </row>
    <row r="277">
      <c r="A277" s="56" t="str">
        <f>IFERROR(__xludf.DUMMYFUNCTION("IF('AYIRA MINI MART FINAL MENU - Pr'!A277="""", """", IF(LEN(IFERROR(TRIM(REGEXREPLACE(TRIM(REGEXEXTRACT('AYIRA MINI MART FINAL MENU - Pr'!A277, ""^[^\x{0600}-\x{06FF}]+"")), ""[-–]+$"", """")), """"))&gt;0, IFERROR(TRIM(REGEXREPLACE(TRIM(REGEXEXTRACT('AYIRA"&amp;" MINI MART FINAL MENU - Pr'!A277, ""^[^\x{0600}-\x{06FF}]+"")), ""[-–]+$"", """")), """"), GOOGLETRANSLATE('AYIRA MINI MART FINAL MENU - Pr'!A277, ""ar"", ""en"")))"),"Oreo Sandwich with Cookie Pieces 80g")</f>
        <v>Oreo Sandwich with Cookie Pieces 80g</v>
      </c>
      <c r="B277" s="56" t="str">
        <f>IFERROR(__xludf.DUMMYFUNCTION("IF('AYIRA MINI MART FINAL MENU - Pr'!B277="""", """", IF(LEN(IFERROR(TRIM(REGEXREPLACE(TRIM(REGEXEXTRACT('AYIRA MINI MART FINAL MENU - Pr'!B277, ""^[^\x{0600}-\x{06FF}]+"")), ""[-–]+$"", """")), """"))&gt;0, IFERROR(TRIM(REGEXREPLACE(TRIM(REGEXEXTRACT('AYIRA"&amp;" MINI MART FINAL MENU - Pr'!B277, ""^[^\x{0600}-\x{06FF}]+"")), ""[-–]+$"", """")), """"), GOOGLETRANSLATE('AYIRA MINI MART FINAL MENU - Pr'!B277, ""ar"", ""en"")))"),"Ice Cream |")</f>
        <v>Ice Cream |</v>
      </c>
      <c r="C277" s="58">
        <f>IF('AYIRA MINI MART FINAL MENU - Pr'!C277="", "", 'AYIRA MINI MART FINAL MENU - Pr'!C277)</f>
        <v>10</v>
      </c>
      <c r="D277" s="56" t="str">
        <f>IFERROR(__xludf.DUMMYFUNCTION("IF('AYIRA MINI MART FINAL MENU - Pr'!D277="""", """", GOOGLETRANSLATE('AYIRA MINI MART FINAL MENU - Pr'!D277, ""ar"", ""en""))"),"Cool down on hot days with Oreo, the delicious ice cream that transports you to a world of refreshment and enjoyment. It boasts a wonderful flavor and a smooth, creamy texture that melts in your mouth, leaving a delightful and unforgettable aftertaste. Pe"&amp;"rfect for children and adults alike, it's a great light treat any time of day. Discover the secret to its unique taste and make it a part of your sunny day. Aira Mini Mart offers it fresh and preserved to the highest standards.")</f>
        <v>Cool down on hot days with Oreo,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77" s="56" t="str">
        <f>IF('AYIRA MINI MART FINAL MENU - Pr'!K277="", "", 'AYIRA MINI MART FINAL MENU - Pr'!K277)</f>
        <v/>
      </c>
      <c r="F277" s="56"/>
      <c r="G277" s="56"/>
      <c r="H277" s="56"/>
      <c r="I277" s="56"/>
      <c r="J277" s="56"/>
      <c r="L277" s="56" t="str">
        <f>IF('AYIRA MINI MART FINAL MENU - Pr'!L277="", "", 'AYIRA MINI MART FINAL MENU - Pr'!L277)</f>
        <v/>
      </c>
      <c r="M277" s="56" t="str">
        <f>IF('AYIRA MINI MART FINAL MENU - Pr'!M277="", "", 'AYIRA MINI MART FINAL MENU - Pr'!M277)</f>
        <v/>
      </c>
      <c r="N277" s="56" t="str">
        <f>IF('AYIRA MINI MART FINAL MENU - Pr'!N277="", "", 'AYIRA MINI MART FINAL MENU - Pr'!N277)</f>
        <v/>
      </c>
      <c r="O277" s="57"/>
      <c r="P277" s="57"/>
      <c r="Q277" s="57"/>
      <c r="R277" s="57"/>
      <c r="S277" s="57"/>
      <c r="T277" s="57"/>
      <c r="U277" s="57"/>
      <c r="V277" s="57"/>
      <c r="W277" s="57"/>
      <c r="X277" s="57"/>
      <c r="Y277" s="57"/>
      <c r="Z277" s="57"/>
    </row>
    <row r="278">
      <c r="A278" s="56" t="str">
        <f>IFERROR(__xludf.DUMMYFUNCTION("IF('AYIRA MINI MART FINAL MENU - Pr'!A278="""", """", IF(LEN(IFERROR(TRIM(REGEXREPLACE(TRIM(REGEXEXTRACT('AYIRA MINI MART FINAL MENU - Pr'!A278, ""^[^\x{0600}-\x{06FF}]+"")), ""[-–]+$"", """")), """"))&gt;0, IFERROR(TRIM(REGEXREPLACE(TRIM(REGEXEXTRACT('AYIRA"&amp;" MINI MART FINAL MENU - Pr'!A278, ""^[^\x{0600}-\x{06FF}]+"")), ""[-–]+$"", """")), """"), GOOGLETRANSLATE('AYIRA MINI MART FINAL MENU - Pr'!A278, ""ar"", ""en"")))"),"Contetteria Raffaello Ice Cream 47g – Contetteria")</f>
        <v>Contetteria Raffaello Ice Cream 47g – Contetteria</v>
      </c>
      <c r="B278" s="56" t="str">
        <f>IFERROR(__xludf.DUMMYFUNCTION("IF('AYIRA MINI MART FINAL MENU - Pr'!B278="""", """", IF(LEN(IFERROR(TRIM(REGEXREPLACE(TRIM(REGEXEXTRACT('AYIRA MINI MART FINAL MENU - Pr'!B278, ""^[^\x{0600}-\x{06FF}]+"")), ""[-–]+$"", """")), """"))&gt;0, IFERROR(TRIM(REGEXREPLACE(TRIM(REGEXEXTRACT('AYIRA"&amp;" MINI MART FINAL MENU - Pr'!B278, ""^[^\x{0600}-\x{06FF}]+"")), ""[-–]+$"", """")), """"), GOOGLETRANSLATE('AYIRA MINI MART FINAL MENU - Pr'!B278, ""ar"", ""en"")))"),"Ice Cream |")</f>
        <v>Ice Cream |</v>
      </c>
      <c r="C278" s="58">
        <f>IF('AYIRA MINI MART FINAL MENU - Pr'!C278="", "", 'AYIRA MINI MART FINAL MENU - Pr'!C278)</f>
        <v>10</v>
      </c>
      <c r="D278" s="56" t="str">
        <f>IFERROR(__xludf.DUMMYFUNCTION("IF('AYIRA MINI MART FINAL MENU - Pr'!D278="""", """", GOOGLETRANSLATE('AYIRA MINI MART FINAL MENU - Pr'!D278, ""ar"", ""en""))"),"Cool down on hot days with Contetteria Raffaello Ice Cream 47g, a delicious treat that will transport you to a world of refreshment and enjoyment. Its wonderful flavor and smooth, creamy texture melt in your mouth, leaving a delightful and unforgettable a"&amp;"ftertaste. Perfect for children and adults alike, it's a great light dessert any time of day. Discover the secret to its unique taste and make it a part of your sunny day. Aira Mini Mart offers it fresh and preserved to the highest standards.")</f>
        <v>Cool down on hot days with Contetteria Raffaello Ice Cream 47g,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278" s="56" t="str">
        <f>IF('AYIRA MINI MART FINAL MENU - Pr'!K278="", "", 'AYIRA MINI MART FINAL MENU - Pr'!K278)</f>
        <v/>
      </c>
      <c r="F278" s="56"/>
      <c r="G278" s="56"/>
      <c r="H278" s="56"/>
      <c r="I278" s="56"/>
      <c r="J278" s="56"/>
      <c r="L278" s="56" t="str">
        <f>IF('AYIRA MINI MART FINAL MENU - Pr'!L278="", "", 'AYIRA MINI MART FINAL MENU - Pr'!L278)</f>
        <v/>
      </c>
      <c r="M278" s="56" t="str">
        <f>IF('AYIRA MINI MART FINAL MENU - Pr'!M278="", "", 'AYIRA MINI MART FINAL MENU - Pr'!M278)</f>
        <v/>
      </c>
      <c r="N278" s="56" t="str">
        <f>IF('AYIRA MINI MART FINAL MENU - Pr'!N278="", "", 'AYIRA MINI MART FINAL MENU - Pr'!N278)</f>
        <v/>
      </c>
      <c r="O278" s="57"/>
      <c r="P278" s="57"/>
      <c r="Q278" s="57"/>
      <c r="R278" s="57"/>
      <c r="S278" s="57"/>
      <c r="T278" s="57"/>
      <c r="U278" s="57"/>
      <c r="V278" s="57"/>
      <c r="W278" s="57"/>
      <c r="X278" s="57"/>
      <c r="Y278" s="57"/>
      <c r="Z278" s="57"/>
    </row>
    <row r="279">
      <c r="A279" s="56" t="str">
        <f>IFERROR(__xludf.DUMMYFUNCTION("IF('AYIRA MINI MART FINAL MENU - Pr'!A279="""", """", IF(LEN(IFERROR(TRIM(REGEXREPLACE(TRIM(REGEXEXTRACT('AYIRA MINI MART FINAL MENU - Pr'!A279, ""^[^\x{0600}-\x{06FF}]+"")), ""[-–]+$"", """")), """"))&gt;0, IFERROR(TRIM(REGEXREPLACE(TRIM(REGEXEXTRACT('AYIRA"&amp;" MINI MART FINAL MENU - Pr'!A279, ""^[^\x{0600}-\x{06FF}]+"")), ""[-–]+$"", """")), """"), GOOGLETRANSLATE('AYIRA MINI MART FINAL MENU - Pr'!A279, ""ar"", ""en"")))"),"Oreo Stick with Oreo Cookie Pieces 64g")</f>
        <v>Oreo Stick with Oreo Cookie Pieces 64g</v>
      </c>
      <c r="B279" s="56" t="str">
        <f>IFERROR(__xludf.DUMMYFUNCTION("IF('AYIRA MINI MART FINAL MENU - Pr'!B279="""", """", IF(LEN(IFERROR(TRIM(REGEXREPLACE(TRIM(REGEXEXTRACT('AYIRA MINI MART FINAL MENU - Pr'!B279, ""^[^\x{0600}-\x{06FF}]+"")), ""[-–]+$"", """")), """"))&gt;0, IFERROR(TRIM(REGEXREPLACE(TRIM(REGEXEXTRACT('AYIRA"&amp;" MINI MART FINAL MENU - Pr'!B279, ""^[^\x{0600}-\x{06FF}]+"")), ""[-–]+$"", """")), """"), GOOGLETRANSLATE('AYIRA MINI MART FINAL MENU - Pr'!B279, ""ar"", ""en"")))"),"Ice Cream |")</f>
        <v>Ice Cream |</v>
      </c>
      <c r="C279" s="58">
        <f>IF('AYIRA MINI MART FINAL MENU - Pr'!C279="", "", 'AYIRA MINI MART FINAL MENU - Pr'!C279)</f>
        <v>10</v>
      </c>
      <c r="D279" s="56" t="str">
        <f>IFERROR(__xludf.DUMMYFUNCTION("IF('AYIRA MINI MART FINAL MENU - Pr'!D279="""", """", GOOGLETRANSLATE('AYIRA MINI MART FINAL MENU - Pr'!D279, ""ar"", ""en""))"),"Cool down on hot days with Oreo, the delicious ice cream that transports you to a world of refreshment and enjoyment. It boasts a wonderful flavor and a smooth, creamy texture that melts in your mouth, leaving a delightful and unforgettable aftertaste. Pe"&amp;"rfect for children and adults alike, it's a great light treat any time of day. Discover the secret to its unique taste and make it a part of your sunny day. Aira Mini Mart offers it fresh and preserved to the highest standards.")</f>
        <v>Cool down on hot days with Oreo,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79" s="56" t="str">
        <f>IF('AYIRA MINI MART FINAL MENU - Pr'!K279="", "", 'AYIRA MINI MART FINAL MENU - Pr'!K279)</f>
        <v/>
      </c>
      <c r="F279" s="56"/>
      <c r="G279" s="56"/>
      <c r="H279" s="56"/>
      <c r="I279" s="56"/>
      <c r="J279" s="56"/>
      <c r="L279" s="56" t="str">
        <f>IF('AYIRA MINI MART FINAL MENU - Pr'!L279="", "", 'AYIRA MINI MART FINAL MENU - Pr'!L279)</f>
        <v/>
      </c>
      <c r="M279" s="56" t="str">
        <f>IF('AYIRA MINI MART FINAL MENU - Pr'!M279="", "", 'AYIRA MINI MART FINAL MENU - Pr'!M279)</f>
        <v/>
      </c>
      <c r="N279" s="56" t="str">
        <f>IF('AYIRA MINI MART FINAL MENU - Pr'!N279="", "", 'AYIRA MINI MART FINAL MENU - Pr'!N279)</f>
        <v/>
      </c>
      <c r="O279" s="57"/>
      <c r="P279" s="57"/>
      <c r="Q279" s="57"/>
      <c r="R279" s="57"/>
      <c r="S279" s="57"/>
      <c r="T279" s="57"/>
      <c r="U279" s="57"/>
      <c r="V279" s="57"/>
      <c r="W279" s="57"/>
      <c r="X279" s="57"/>
      <c r="Y279" s="57"/>
      <c r="Z279" s="57"/>
    </row>
    <row r="280">
      <c r="A280" s="56" t="str">
        <f>IFERROR(__xludf.DUMMYFUNCTION("IF('AYIRA MINI MART FINAL MENU - Pr'!A280="""", """", IF(LEN(IFERROR(TRIM(REGEXREPLACE(TRIM(REGEXEXTRACT('AYIRA MINI MART FINAL MENU - Pr'!A280, ""^[^\x{0600}-\x{06FF}]+"")), ""[-–]+$"", """")), """"))&gt;0, IFERROR(TRIM(REGEXREPLACE(TRIM(REGEXEXTRACT('AYIRA"&amp;" MINI MART FINAL MENU - Pr'!A280, ""^[^\x{0600}-\x{06FF}]+"")), ""[-–]+$"", """")), """"), GOOGLETRANSLATE('AYIRA MINI MART FINAL MENU - Pr'!A280, ""ar"", ""en"")))"),"KitKat Ice Cream 90ml")</f>
        <v>KitKat Ice Cream 90ml</v>
      </c>
      <c r="B280" s="56" t="str">
        <f>IFERROR(__xludf.DUMMYFUNCTION("IF('AYIRA MINI MART FINAL MENU - Pr'!B280="""", """", IF(LEN(IFERROR(TRIM(REGEXREPLACE(TRIM(REGEXEXTRACT('AYIRA MINI MART FINAL MENU - Pr'!B280, ""^[^\x{0600}-\x{06FF}]+"")), ""[-–]+$"", """")), """"))&gt;0, IFERROR(TRIM(REGEXREPLACE(TRIM(REGEXEXTRACT('AYIRA"&amp;" MINI MART FINAL MENU - Pr'!B280, ""^[^\x{0600}-\x{06FF}]+"")), ""[-–]+$"", """")), """"), GOOGLETRANSLATE('AYIRA MINI MART FINAL MENU - Pr'!B280, ""ar"", ""en"")))"),"Ice Cream |")</f>
        <v>Ice Cream |</v>
      </c>
      <c r="C280" s="58">
        <f>IF('AYIRA MINI MART FINAL MENU - Pr'!C280="", "", 'AYIRA MINI MART FINAL MENU - Pr'!C280)</f>
        <v>8.5</v>
      </c>
      <c r="D280" s="56" t="str">
        <f>IFERROR(__xludf.DUMMYFUNCTION("IF('AYIRA MINI MART FINAL MENU - Pr'!D280="""", """", GOOGLETRANSLATE('AYIRA MINI MART FINAL MENU - Pr'!D280, ""ar"", ""en""))"),"Cool down on hot days with Kit Kat, the delicious ice cream that transports you to a world of refreshment and enjoyment. It boasts a wonderful flavor and a smooth, creamy texture that melts in your mouth, leaving a delightful and unforgettable aftertaste."&amp;" Perfect for children and adults alike, it makes a great light treat any time of day. Discover the secret to its unique taste and make it a part of your sunny day. Aira Mini Mart offers it fresh and preserved to the highest standards.")</f>
        <v>Cool down on hot days with Kit Kat, the delicious ice cream that transports you to a world of refreshment and enjoyment. It boasts a wonderful flavor and a smooth, creamy texture that melts in your mouth, leaving a delightful and unforgettable aftertaste. Perfect for children and adults alike, it makes a great light treat any time of day. Discover the secret to its unique taste and make it a part of your sunny day. Aira Mini Mart offers it fresh and preserved to the highest standards.</v>
      </c>
      <c r="E280" s="56" t="str">
        <f>IF('AYIRA MINI MART FINAL MENU - Pr'!K280="", "", 'AYIRA MINI MART FINAL MENU - Pr'!K280)</f>
        <v/>
      </c>
      <c r="F280" s="56"/>
      <c r="G280" s="56"/>
      <c r="H280" s="56"/>
      <c r="I280" s="56"/>
      <c r="J280" s="56"/>
      <c r="L280" s="56" t="str">
        <f>IF('AYIRA MINI MART FINAL MENU - Pr'!L280="", "", 'AYIRA MINI MART FINAL MENU - Pr'!L280)</f>
        <v/>
      </c>
      <c r="M280" s="56" t="str">
        <f>IF('AYIRA MINI MART FINAL MENU - Pr'!M280="", "", 'AYIRA MINI MART FINAL MENU - Pr'!M280)</f>
        <v/>
      </c>
      <c r="N280" s="56" t="str">
        <f>IF('AYIRA MINI MART FINAL MENU - Pr'!N280="", "", 'AYIRA MINI MART FINAL MENU - Pr'!N280)</f>
        <v/>
      </c>
      <c r="O280" s="57"/>
      <c r="P280" s="57"/>
      <c r="Q280" s="57"/>
      <c r="R280" s="57"/>
      <c r="S280" s="57"/>
      <c r="T280" s="57"/>
      <c r="U280" s="57"/>
      <c r="V280" s="57"/>
      <c r="W280" s="57"/>
      <c r="X280" s="57"/>
      <c r="Y280" s="57"/>
      <c r="Z280" s="57"/>
    </row>
    <row r="281">
      <c r="A281" s="56" t="str">
        <f>IFERROR(__xludf.DUMMYFUNCTION("IF('AYIRA MINI MART FINAL MENU - Pr'!A281="""", """", IF(LEN(IFERROR(TRIM(REGEXREPLACE(TRIM(REGEXEXTRACT('AYIRA MINI MART FINAL MENU - Pr'!A281, ""^[^\x{0600}-\x{06FF}]+"")), ""[-–]+$"", """")), """"))&gt;0, IFERROR(TRIM(REGEXREPLACE(TRIM(REGEXEXTRACT('AYIRA"&amp;" MINI MART FINAL MENU - Pr'!A281, ""^[^\x{0600}-\x{06FF}]+"")), ""[-–]+$"", """")), """"), GOOGLETRANSLATE('AYIRA MINI MART FINAL MENU - Pr'!A281, ""ar"", ""en"")))"),"Cadbury Dairy Milk Ice Cream 90ml")</f>
        <v>Cadbury Dairy Milk Ice Cream 90ml</v>
      </c>
      <c r="B281" s="56" t="str">
        <f>IFERROR(__xludf.DUMMYFUNCTION("IF('AYIRA MINI MART FINAL MENU - Pr'!B281="""", """", IF(LEN(IFERROR(TRIM(REGEXREPLACE(TRIM(REGEXEXTRACT('AYIRA MINI MART FINAL MENU - Pr'!B281, ""^[^\x{0600}-\x{06FF}]+"")), ""[-–]+$"", """")), """"))&gt;0, IFERROR(TRIM(REGEXREPLACE(TRIM(REGEXEXTRACT('AYIRA"&amp;" MINI MART FINAL MENU - Pr'!B281, ""^[^\x{0600}-\x{06FF}]+"")), ""[-–]+$"", """")), """"), GOOGLETRANSLATE('AYIRA MINI MART FINAL MENU - Pr'!B281, ""ar"", ""en"")))"),"Ice Cream |")</f>
        <v>Ice Cream |</v>
      </c>
      <c r="C281" s="58">
        <f>IF('AYIRA MINI MART FINAL MENU - Pr'!C281="", "", 'AYIRA MINI MART FINAL MENU - Pr'!C281)</f>
        <v>10</v>
      </c>
      <c r="D281" s="56" t="str">
        <f>IFERROR(__xludf.DUMMYFUNCTION("IF('AYIRA MINI MART FINAL MENU - Pr'!D281="""", """", GOOGLETRANSLATE('AYIRA MINI MART FINAL MENU - Pr'!D281, ""ar"", ""en""))"),"Cool down on hot days with Cadbury ice cream, a delicious treat that transports you to a world of refreshment and enjoyment. Its wonderful flavor and smooth, creamy texture melt in your mouth, leaving a delightful and unforgettable aftertaste. Perfect for"&amp;" children and adults alike, it's a great light dessert any time of day. Discover the secret to its distinctive taste and make it a part of your sunny day. Available fresh and preserved to the highest standards at Aira Mini Mart.")</f>
        <v>Cool down on hot days with Cadbury ice cream,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distinctive taste and make it a part of your sunny day. Available fresh and preserved to the highest standards at Aira Mini Mart.</v>
      </c>
      <c r="E281" s="56" t="str">
        <f>IF('AYIRA MINI MART FINAL MENU - Pr'!K281="", "", 'AYIRA MINI MART FINAL MENU - Pr'!K281)</f>
        <v/>
      </c>
      <c r="F281" s="56"/>
      <c r="G281" s="56"/>
      <c r="H281" s="56"/>
      <c r="I281" s="56"/>
      <c r="J281" s="56"/>
      <c r="L281" s="56" t="str">
        <f>IF('AYIRA MINI MART FINAL MENU - Pr'!L281="", "", 'AYIRA MINI MART FINAL MENU - Pr'!L281)</f>
        <v/>
      </c>
      <c r="M281" s="56" t="str">
        <f>IF('AYIRA MINI MART FINAL MENU - Pr'!M281="", "", 'AYIRA MINI MART FINAL MENU - Pr'!M281)</f>
        <v/>
      </c>
      <c r="N281" s="56" t="str">
        <f>IF('AYIRA MINI MART FINAL MENU - Pr'!N281="", "", 'AYIRA MINI MART FINAL MENU - Pr'!N281)</f>
        <v/>
      </c>
      <c r="O281" s="57"/>
      <c r="P281" s="57"/>
      <c r="Q281" s="57"/>
      <c r="R281" s="57"/>
      <c r="S281" s="57"/>
      <c r="T281" s="57"/>
      <c r="U281" s="57"/>
      <c r="V281" s="57"/>
      <c r="W281" s="57"/>
      <c r="X281" s="57"/>
      <c r="Y281" s="57"/>
      <c r="Z281" s="57"/>
    </row>
    <row r="282">
      <c r="A282" s="56" t="str">
        <f>IFERROR(__xludf.DUMMYFUNCTION("IF('AYIRA MINI MART FINAL MENU - Pr'!A282="""", """", IF(LEN(IFERROR(TRIM(REGEXREPLACE(TRIM(REGEXEXTRACT('AYIRA MINI MART FINAL MENU - Pr'!A282, ""^[^\x{0600}-\x{06FF}]+"")), ""[-–]+$"", """")), """"))&gt;0, IFERROR(TRIM(REGEXREPLACE(TRIM(REGEXEXTRACT('AYIRA"&amp;" MINI MART FINAL MENU - Pr'!A282, ""^[^\x{0600}-\x{06FF}]+"")), ""[-–]+$"", """")), """"), GOOGLETRANSLATE('AYIRA MINI MART FINAL MENU - Pr'!A282, ""ar"", ""en"")))"),"Ferrero Rocher Classic Ice Cream 50g")</f>
        <v>Ferrero Rocher Classic Ice Cream 50g</v>
      </c>
      <c r="B282" s="56" t="str">
        <f>IFERROR(__xludf.DUMMYFUNCTION("IF('AYIRA MINI MART FINAL MENU - Pr'!B282="""", """", IF(LEN(IFERROR(TRIM(REGEXREPLACE(TRIM(REGEXEXTRACT('AYIRA MINI MART FINAL MENU - Pr'!B282, ""^[^\x{0600}-\x{06FF}]+"")), ""[-–]+$"", """")), """"))&gt;0, IFERROR(TRIM(REGEXREPLACE(TRIM(REGEXEXTRACT('AYIRA"&amp;" MINI MART FINAL MENU - Pr'!B282, ""^[^\x{0600}-\x{06FF}]+"")), ""[-–]+$"", """")), """"), GOOGLETRANSLATE('AYIRA MINI MART FINAL MENU - Pr'!B282, ""ar"", ""en"")))"),"Ice Cream |")</f>
        <v>Ice Cream |</v>
      </c>
      <c r="C282" s="58">
        <f>IF('AYIRA MINI MART FINAL MENU - Pr'!C282="", "", 'AYIRA MINI MART FINAL MENU - Pr'!C282)</f>
        <v>10</v>
      </c>
      <c r="D282" s="56" t="str">
        <f>IFERROR(__xludf.DUMMYFUNCTION("IF('AYIRA MINI MART FINAL MENU - Pr'!D282="""", """", GOOGLETRANSLATE('AYIRA MINI MART FINAL MENU - Pr'!D282, ""ar"", ""en""))"),"Cool down on hot days with Ferrero, the delicious ice cream that transports you to a world of refreshment and pleasure. It boasts a wonderful flavor and a smooth, creamy texture that melts in your mouth, leaving a delightful and unforgettable aftertaste. "&amp;"Perfect for children and adults alike, it's a great light treat any time of day. Discover the secret to its unique taste and make it a part of your sunny day. Aira Mini Mart offers it fresh and preserved to the highest standards.")</f>
        <v>Cool down on hot days with Ferrero, the delicious ice cream that transports you to a world of refreshment and pleasure.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82" s="56" t="str">
        <f>IF('AYIRA MINI MART FINAL MENU - Pr'!K282="", "", 'AYIRA MINI MART FINAL MENU - Pr'!K282)</f>
        <v/>
      </c>
      <c r="F282" s="56"/>
      <c r="G282" s="56"/>
      <c r="H282" s="56"/>
      <c r="I282" s="56"/>
      <c r="J282" s="56"/>
      <c r="L282" s="56" t="str">
        <f>IF('AYIRA MINI MART FINAL MENU - Pr'!L282="", "", 'AYIRA MINI MART FINAL MENU - Pr'!L282)</f>
        <v/>
      </c>
      <c r="M282" s="56" t="str">
        <f>IF('AYIRA MINI MART FINAL MENU - Pr'!M282="", "", 'AYIRA MINI MART FINAL MENU - Pr'!M282)</f>
        <v/>
      </c>
      <c r="N282" s="56" t="str">
        <f>IF('AYIRA MINI MART FINAL MENU - Pr'!N282="", "", 'AYIRA MINI MART FINAL MENU - Pr'!N282)</f>
        <v/>
      </c>
      <c r="O282" s="57"/>
      <c r="P282" s="57"/>
      <c r="Q282" s="57"/>
      <c r="R282" s="57"/>
      <c r="S282" s="57"/>
      <c r="T282" s="57"/>
      <c r="U282" s="57"/>
      <c r="V282" s="57"/>
      <c r="W282" s="57"/>
      <c r="X282" s="57"/>
      <c r="Y282" s="57"/>
      <c r="Z282" s="57"/>
    </row>
    <row r="283">
      <c r="A283" s="56" t="str">
        <f>IFERROR(__xludf.DUMMYFUNCTION("IF('AYIRA MINI MART FINAL MENU - Pr'!A283="""", """", IF(LEN(IFERROR(TRIM(REGEXREPLACE(TRIM(REGEXEXTRACT('AYIRA MINI MART FINAL MENU - Pr'!A283, ""^[^\x{0600}-\x{06FF}]+"")), ""[-–]+$"", """")), """"))&gt;0, IFERROR(TRIM(REGEXREPLACE(TRIM(REGEXEXTRACT('AYIRA"&amp;" MINI MART FINAL MENU - Pr'!A283, ""^[^\x{0600}-\x{06FF}]+"")), ""[-–]+$"", """")), """"), GOOGLETRANSLATE('AYIRA MINI MART FINAL MENU - Pr'!A283, ""ar"", ""en"")))"),"Toblerone Ice Cream 65g")</f>
        <v>Toblerone Ice Cream 65g</v>
      </c>
      <c r="B283" s="56" t="str">
        <f>IFERROR(__xludf.DUMMYFUNCTION("IF('AYIRA MINI MART FINAL MENU - Pr'!B283="""", """", IF(LEN(IFERROR(TRIM(REGEXREPLACE(TRIM(REGEXEXTRACT('AYIRA MINI MART FINAL MENU - Pr'!B283, ""^[^\x{0600}-\x{06FF}]+"")), ""[-–]+$"", """")), """"))&gt;0, IFERROR(TRIM(REGEXREPLACE(TRIM(REGEXEXTRACT('AYIRA"&amp;" MINI MART FINAL MENU - Pr'!B283, ""^[^\x{0600}-\x{06FF}]+"")), ""[-–]+$"", """")), """"), GOOGLETRANSLATE('AYIRA MINI MART FINAL MENU - Pr'!B283, ""ar"", ""en"")))"),"Ice Cream |")</f>
        <v>Ice Cream |</v>
      </c>
      <c r="C283" s="58">
        <f>IF('AYIRA MINI MART FINAL MENU - Pr'!C283="", "", 'AYIRA MINI MART FINAL MENU - Pr'!C283)</f>
        <v>9.5</v>
      </c>
      <c r="D283" s="56" t="str">
        <f>IFERROR(__xludf.DUMMYFUNCTION("IF('AYIRA MINI MART FINAL MENU - Pr'!D283="""", """", GOOGLETRANSLATE('AYIRA MINI MART FINAL MENU - Pr'!D283, ""ar"", ""en""))"),"Cool down on hot days with Toblerone, the delicious ice cream that transports you to a world of refreshment and enjoyment. It boasts a wonderful flavor and a smooth, creamy texture that melts in your mouth, leaving a delightful and unforgettable aftertast"&amp;"e. Perfect for children and adults alike, it's a great light treat any time of day. Discover the secret to its unique taste and make it a part of your sunny day. Aira Mini Mart offers it fresh and preserved to the highest standards.")</f>
        <v>Cool down on hot days with Toblerone,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83" s="56" t="str">
        <f>IF('AYIRA MINI MART FINAL MENU - Pr'!K283="", "", 'AYIRA MINI MART FINAL MENU - Pr'!K283)</f>
        <v/>
      </c>
      <c r="F283" s="56"/>
      <c r="G283" s="56"/>
      <c r="H283" s="56"/>
      <c r="I283" s="56"/>
      <c r="J283" s="56"/>
      <c r="L283" s="56" t="str">
        <f>IF('AYIRA MINI MART FINAL MENU - Pr'!L283="", "", 'AYIRA MINI MART FINAL MENU - Pr'!L283)</f>
        <v/>
      </c>
      <c r="M283" s="56" t="str">
        <f>IF('AYIRA MINI MART FINAL MENU - Pr'!M283="", "", 'AYIRA MINI MART FINAL MENU - Pr'!M283)</f>
        <v/>
      </c>
      <c r="N283" s="56" t="str">
        <f>IF('AYIRA MINI MART FINAL MENU - Pr'!N283="", "", 'AYIRA MINI MART FINAL MENU - Pr'!N283)</f>
        <v/>
      </c>
      <c r="O283" s="57"/>
      <c r="P283" s="57"/>
      <c r="Q283" s="57"/>
      <c r="R283" s="57"/>
      <c r="S283" s="57"/>
      <c r="T283" s="57"/>
      <c r="U283" s="57"/>
      <c r="V283" s="57"/>
      <c r="W283" s="57"/>
      <c r="X283" s="57"/>
      <c r="Y283" s="57"/>
      <c r="Z283" s="57"/>
    </row>
    <row r="284">
      <c r="A284" s="56" t="str">
        <f>IFERROR(__xludf.DUMMYFUNCTION("IF('AYIRA MINI MART FINAL MENU - Pr'!A284="""", """", IF(LEN(IFERROR(TRIM(REGEXREPLACE(TRIM(REGEXEXTRACT('AYIRA MINI MART FINAL MENU - Pr'!A284, ""^[^\x{0600}-\x{06FF}]+"")), ""[-–]+$"", """")), """"))&gt;0, IFERROR(TRIM(REGEXREPLACE(TRIM(REGEXEXTRACT('AYIRA"&amp;" MINI MART FINAL MENU - Pr'!A284, ""^[^\x{0600}-\x{06FF}]+"")), ""[-–]+$"", """")), """"), GOOGLETRANSLATE('AYIRA MINI MART FINAL MENU - Pr'!A284, ""ar"", ""en"")))"),"BR Baskin-Robbins Cotton Candy 120ml – BR Baskin-Robbins")</f>
        <v>BR Baskin-Robbins Cotton Candy 120ml – BR Baskin-Robbins</v>
      </c>
      <c r="B284" s="56" t="str">
        <f>IFERROR(__xludf.DUMMYFUNCTION("IF('AYIRA MINI MART FINAL MENU - Pr'!B284="""", """", IF(LEN(IFERROR(TRIM(REGEXREPLACE(TRIM(REGEXEXTRACT('AYIRA MINI MART FINAL MENU - Pr'!B284, ""^[^\x{0600}-\x{06FF}]+"")), ""[-–]+$"", """")), """"))&gt;0, IFERROR(TRIM(REGEXREPLACE(TRIM(REGEXEXTRACT('AYIRA"&amp;" MINI MART FINAL MENU - Pr'!B284, ""^[^\x{0600}-\x{06FF}]+"")), ""[-–]+$"", """")), """"), GOOGLETRANSLATE('AYIRA MINI MART FINAL MENU - Pr'!B284, ""ar"", ""en"")))"),"Ice Cream |")</f>
        <v>Ice Cream |</v>
      </c>
      <c r="C284" s="58">
        <f>IF('AYIRA MINI MART FINAL MENU - Pr'!C284="", "", 'AYIRA MINI MART FINAL MENU - Pr'!C284)</f>
        <v>10</v>
      </c>
      <c r="D284" s="56" t="str">
        <f>IFERROR(__xludf.DUMMYFUNCTION("IF('AYIRA MINI MART FINAL MENU - Pr'!D284="""", """", GOOGLETRANSLATE('AYIRA MINI MART FINAL MENU - Pr'!D284, ""ar"", ""en""))"),"Add a sweet moment to your day with BR Baskin-Robbins Cotton Candy 120ml, a delicious treat loved by everyone. Its variety of flavors and attractive colors make it suitable for all ages. Perfect as a small treat or a light gift for friends and family. Mad"&amp;"e with high quality ingredients to ensure a great taste in every piece. Get yours from Aira Mini Mart and spread the joy to your loved ones.")</f>
        <v>Add a sweet moment to your day with BR Baskin-Robbins Cotton Candy 120ml, a delicious treat loved by everyone. Its variety of flavors and attractive colors make it suitable for all ages. Perfect as a small treat or a light gift for friends and family. Made with high quality ingredients to ensure a great taste in every piece. Get yours from Aira Mini Mart and spread the joy to your loved ones.</v>
      </c>
      <c r="E284" s="56" t="str">
        <f>IF('AYIRA MINI MART FINAL MENU - Pr'!K284="", "", 'AYIRA MINI MART FINAL MENU - Pr'!K284)</f>
        <v/>
      </c>
      <c r="F284" s="56"/>
      <c r="G284" s="56"/>
      <c r="H284" s="56"/>
      <c r="I284" s="56"/>
      <c r="J284" s="56"/>
      <c r="L284" s="56" t="str">
        <f>IF('AYIRA MINI MART FINAL MENU - Pr'!L284="", "", 'AYIRA MINI MART FINAL MENU - Pr'!L284)</f>
        <v/>
      </c>
      <c r="M284" s="56" t="str">
        <f>IF('AYIRA MINI MART FINAL MENU - Pr'!M284="", "", 'AYIRA MINI MART FINAL MENU - Pr'!M284)</f>
        <v/>
      </c>
      <c r="N284" s="56" t="str">
        <f>IF('AYIRA MINI MART FINAL MENU - Pr'!N284="", "", 'AYIRA MINI MART FINAL MENU - Pr'!N284)</f>
        <v/>
      </c>
      <c r="O284" s="57"/>
      <c r="P284" s="57"/>
      <c r="Q284" s="57"/>
      <c r="R284" s="57"/>
      <c r="S284" s="57"/>
      <c r="T284" s="57"/>
      <c r="U284" s="57"/>
      <c r="V284" s="57"/>
      <c r="W284" s="57"/>
      <c r="X284" s="57"/>
      <c r="Y284" s="57"/>
      <c r="Z284" s="57"/>
    </row>
    <row r="285">
      <c r="A285" s="56" t="str">
        <f>IFERROR(__xludf.DUMMYFUNCTION("IF('AYIRA MINI MART FINAL MENU - Pr'!A285="""", """", IF(LEN(IFERROR(TRIM(REGEXREPLACE(TRIM(REGEXEXTRACT('AYIRA MINI MART FINAL MENU - Pr'!A285, ""^[^\x{0600}-\x{06FF}]+"")), ""[-–]+$"", """")), """"))&gt;0, IFERROR(TRIM(REGEXREPLACE(TRIM(REGEXEXTRACT('AYIRA"&amp;" MINI MART FINAL MENU - Pr'!A285, ""^[^\x{0600}-\x{06FF}]+"")), ""[-–]+$"", """")), """"), GOOGLETRANSLATE('AYIRA MINI MART FINAL MENU - Pr'!A285, ""ar"", ""en"")))"),"Kinder Bueno Ice Cream 62g")</f>
        <v>Kinder Bueno Ice Cream 62g</v>
      </c>
      <c r="B285" s="56" t="str">
        <f>IFERROR(__xludf.DUMMYFUNCTION("IF('AYIRA MINI MART FINAL MENU - Pr'!B285="""", """", IF(LEN(IFERROR(TRIM(REGEXREPLACE(TRIM(REGEXEXTRACT('AYIRA MINI MART FINAL MENU - Pr'!B285, ""^[^\x{0600}-\x{06FF}]+"")), ""[-–]+$"", """")), """"))&gt;0, IFERROR(TRIM(REGEXREPLACE(TRIM(REGEXEXTRACT('AYIRA"&amp;" MINI MART FINAL MENU - Pr'!B285, ""^[^\x{0600}-\x{06FF}]+"")), ""[-–]+$"", """")), """"), GOOGLETRANSLATE('AYIRA MINI MART FINAL MENU - Pr'!B285, ""ar"", ""en"")))"),"Ice Cream |")</f>
        <v>Ice Cream |</v>
      </c>
      <c r="C285" s="58">
        <f>IF('AYIRA MINI MART FINAL MENU - Pr'!C285="", "", 'AYIRA MINI MART FINAL MENU - Pr'!C285)</f>
        <v>10</v>
      </c>
      <c r="D285" s="56" t="str">
        <f>IFERROR(__xludf.DUMMYFUNCTION("IF('AYIRA MINI MART FINAL MENU - Pr'!D285="""", """", GOOGLETRANSLATE('AYIRA MINI MART FINAL MENU - Pr'!D285, ""ar"", ""en""))"),"Cool down on hot days with Kinder, the delicious ice cream that transports you to a world of refreshment and delight. Its wonderful flavor and smooth, creamy texture melt in your mouth, leaving a delicious and unforgettable aftertaste. Perfect for childre"&amp;"n and adults alike, it's a great light treat any time of day. Discover the secret to its unique taste and make it a part of your sunny day. Available fresh and preserved to the highest standards at Aira Mini Mart.")</f>
        <v>Cool down on hot days with Kinder, the delicious ice cream that transports you to a world of refreshment and delight. Its wonderful flavor and smooth, creamy texture melt in your mouth, leaving a delicious and unforgettable aftertaste. Perfect for children and adults alike, it's a great light treat any time of day. Discover the secret to its unique taste and make it a part of your sunny day. Available fresh and preserved to the highest standards at Aira Mini Mart.</v>
      </c>
      <c r="E285" s="56" t="str">
        <f>IF('AYIRA MINI MART FINAL MENU - Pr'!K285="", "", 'AYIRA MINI MART FINAL MENU - Pr'!K285)</f>
        <v/>
      </c>
      <c r="F285" s="56"/>
      <c r="G285" s="56"/>
      <c r="H285" s="56"/>
      <c r="I285" s="56"/>
      <c r="J285" s="56"/>
      <c r="L285" s="56" t="str">
        <f>IF('AYIRA MINI MART FINAL MENU - Pr'!L285="", "", 'AYIRA MINI MART FINAL MENU - Pr'!L285)</f>
        <v/>
      </c>
      <c r="M285" s="56" t="str">
        <f>IF('AYIRA MINI MART FINAL MENU - Pr'!M285="", "", 'AYIRA MINI MART FINAL MENU - Pr'!M285)</f>
        <v/>
      </c>
      <c r="N285" s="56" t="str">
        <f>IF('AYIRA MINI MART FINAL MENU - Pr'!N285="", "", 'AYIRA MINI MART FINAL MENU - Pr'!N285)</f>
        <v/>
      </c>
      <c r="O285" s="57"/>
      <c r="P285" s="57"/>
      <c r="Q285" s="57"/>
      <c r="R285" s="57"/>
      <c r="S285" s="57"/>
      <c r="T285" s="57"/>
      <c r="U285" s="57"/>
      <c r="V285" s="57"/>
      <c r="W285" s="57"/>
      <c r="X285" s="57"/>
      <c r="Y285" s="57"/>
      <c r="Z285" s="57"/>
    </row>
    <row r="286">
      <c r="A286" s="56" t="str">
        <f>IFERROR(__xludf.DUMMYFUNCTION("IF('AYIRA MINI MART FINAL MENU - Pr'!A286="""", """", IF(LEN(IFERROR(TRIM(REGEXREPLACE(TRIM(REGEXEXTRACT('AYIRA MINI MART FINAL MENU - Pr'!A286, ""^[^\x{0600}-\x{06FF}]+"")), ""[-–]+$"", """")), """"))&gt;0, IFERROR(TRIM(REGEXREPLACE(TRIM(REGEXEXTRACT('AYIRA"&amp;" MINI MART FINAL MENU - Pr'!A286, ""^[^\x{0600}-\x{06FF}]+"")), ""[-–]+$"", """")), """"), GOOGLETRANSLATE('AYIRA MINI MART FINAL MENU - Pr'!A286, ""ar"", ""en"")))"),"BR Baskin-Robbins Pralines ’n Cream 120ml – BR Baskin-Robbins Pralines ’n")</f>
        <v>BR Baskin-Robbins Pralines ’n Cream 120ml – BR Baskin-Robbins Pralines ’n</v>
      </c>
      <c r="B286" s="56" t="str">
        <f>IFERROR(__xludf.DUMMYFUNCTION("IF('AYIRA MINI MART FINAL MENU - Pr'!B286="""", """", IF(LEN(IFERROR(TRIM(REGEXREPLACE(TRIM(REGEXEXTRACT('AYIRA MINI MART FINAL MENU - Pr'!B286, ""^[^\x{0600}-\x{06FF}]+"")), ""[-–]+$"", """")), """"))&gt;0, IFERROR(TRIM(REGEXREPLACE(TRIM(REGEXEXTRACT('AYIRA"&amp;" MINI MART FINAL MENU - Pr'!B286, ""^[^\x{0600}-\x{06FF}]+"")), ""[-–]+$"", """")), """"), GOOGLETRANSLATE('AYIRA MINI MART FINAL MENU - Pr'!B286, ""ar"", ""en"")))"),"Ice Cream |")</f>
        <v>Ice Cream |</v>
      </c>
      <c r="C286" s="58">
        <f>IF('AYIRA MINI MART FINAL MENU - Pr'!C286="", "", 'AYIRA MINI MART FINAL MENU - Pr'!C286)</f>
        <v>10</v>
      </c>
      <c r="D286" s="56" t="str">
        <f>IFERROR(__xludf.DUMMYFUNCTION("IF('AYIRA MINI MART FINAL MENU - Pr'!D286="""", """", GOOGLETRANSLATE('AYIRA MINI MART FINAL MENU - Pr'!D286, ""ar"", ""en""))"),"Cool down on hot days with BR Baskin-Robbins Pralines 'n Cream 120ml, a delicious ice cream that will transport you to a world of refreshment and pleasure. It boasts a wonderful flavor and a smooth, creamy texture that melts in your mouth, leaving a delig"&amp;"htful and unforgettable aftertaste. Perfect for children and adults alike, it makes a great light treat any time of day. Discover the secret to its unique taste and make it a part of your sunny day. Aira Mini Mart offers it fresh and preserved to the high"&amp;"est standards.")</f>
        <v>Cool down on hot days with BR Baskin-Robbins Pralines 'n Cream 120ml, a delicious ice cream that will transport you to a world of refreshment and pleasure. It boasts a wonderful flavor and a smooth, creamy texture that melts in your mouth, leaving a delightful and unforgettable aftertaste. Perfect for children and adults alike, it makes a great light treat any time of day. Discover the secret to its unique taste and make it a part of your sunny day. Aira Mini Mart offers it fresh and preserved to the highest standards.</v>
      </c>
      <c r="E286" s="56" t="str">
        <f>IF('AYIRA MINI MART FINAL MENU - Pr'!K286="", "", 'AYIRA MINI MART FINAL MENU - Pr'!K286)</f>
        <v/>
      </c>
      <c r="F286" s="56"/>
      <c r="G286" s="56"/>
      <c r="H286" s="56"/>
      <c r="I286" s="56"/>
      <c r="J286" s="56"/>
      <c r="L286" s="56" t="str">
        <f>IF('AYIRA MINI MART FINAL MENU - Pr'!L286="", "", 'AYIRA MINI MART FINAL MENU - Pr'!L286)</f>
        <v/>
      </c>
      <c r="M286" s="56" t="str">
        <f>IF('AYIRA MINI MART FINAL MENU - Pr'!M286="", "", 'AYIRA MINI MART FINAL MENU - Pr'!M286)</f>
        <v/>
      </c>
      <c r="N286" s="56" t="str">
        <f>IF('AYIRA MINI MART FINAL MENU - Pr'!N286="", "", 'AYIRA MINI MART FINAL MENU - Pr'!N286)</f>
        <v/>
      </c>
      <c r="O286" s="57"/>
      <c r="P286" s="57"/>
      <c r="Q286" s="57"/>
      <c r="R286" s="57"/>
      <c r="S286" s="57"/>
      <c r="T286" s="57"/>
      <c r="U286" s="57"/>
      <c r="V286" s="57"/>
      <c r="W286" s="57"/>
      <c r="X286" s="57"/>
      <c r="Y286" s="57"/>
      <c r="Z286" s="57"/>
    </row>
    <row r="287">
      <c r="A287" s="56" t="str">
        <f>IFERROR(__xludf.DUMMYFUNCTION("IF('AYIRA MINI MART FINAL MENU - Pr'!A287="""", """", IF(LEN(IFERROR(TRIM(REGEXREPLACE(TRIM(REGEXEXTRACT('AYIRA MINI MART FINAL MENU - Pr'!A287, ""^[^\x{0600}-\x{06FF}]+"")), ""[-–]+$"", """")), """"))&gt;0, IFERROR(TRIM(REGEXREPLACE(TRIM(REGEXEXTRACT('AYIRA"&amp;" MINI MART FINAL MENU - Pr'!A287, ""^[^\x{0600}-\x{06FF}]+"")), ""[-–]+$"", """")), """"), GOOGLETRANSLATE('AYIRA MINI MART FINAL MENU - Pr'!A287, ""ar"", ""en"")))"),"Igloo Kulfi Alphonso Mango 65ml")</f>
        <v>Igloo Kulfi Alphonso Mango 65ml</v>
      </c>
      <c r="B287" s="56" t="str">
        <f>IFERROR(__xludf.DUMMYFUNCTION("IF('AYIRA MINI MART FINAL MENU - Pr'!B287="""", """", IF(LEN(IFERROR(TRIM(REGEXREPLACE(TRIM(REGEXEXTRACT('AYIRA MINI MART FINAL MENU - Pr'!B287, ""^[^\x{0600}-\x{06FF}]+"")), ""[-–]+$"", """")), """"))&gt;0, IFERROR(TRIM(REGEXREPLACE(TRIM(REGEXEXTRACT('AYIRA"&amp;" MINI MART FINAL MENU - Pr'!B287, ""^[^\x{0600}-\x{06FF}]+"")), ""[-–]+$"", """")), """"), GOOGLETRANSLATE('AYIRA MINI MART FINAL MENU - Pr'!B287, ""ar"", ""en"")))"),"Ice Cream |")</f>
        <v>Ice Cream |</v>
      </c>
      <c r="C287" s="58">
        <f>IF('AYIRA MINI MART FINAL MENU - Pr'!C287="", "", 'AYIRA MINI MART FINAL MENU - Pr'!C287)</f>
        <v>3</v>
      </c>
      <c r="D287" s="56" t="str">
        <f>IFERROR(__xludf.DUMMYFUNCTION("IF('AYIRA MINI MART FINAL MENU - Pr'!D287="""", """", GOOGLETRANSLATE('AYIRA MINI MART FINAL MENU - Pr'!D287, ""ar"", ""en""))"),"Cool down on hot days with Igloo Kulfi Alphonso Mango 65ml, a delicious ice cream that transports you to a world of refreshment and pleasure. Its wonderful flavor and smooth, creamy texture melt in your mouth, leaving a delightful and unforgettable aftert"&amp;"aste. Perfect for children and adults alike, it's a great light treat any time of day. Discover the secret to its unique taste and make it a part of your sunny day. Aira Mini Mart offers it fresh and preserved to the highest standards.")</f>
        <v>Cool down on hot days with Igloo Kulfi Alphonso Mango 65ml, a delicious ice cream that transports you to a world of refreshment and pleasure. Its wonderful flavor and smooth, creamy texture melt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87" s="56" t="str">
        <f>IF('AYIRA MINI MART FINAL MENU - Pr'!K287="", "", 'AYIRA MINI MART FINAL MENU - Pr'!K287)</f>
        <v/>
      </c>
      <c r="F287" s="56"/>
      <c r="G287" s="56"/>
      <c r="H287" s="56"/>
      <c r="I287" s="56"/>
      <c r="J287" s="56"/>
      <c r="L287" s="56" t="str">
        <f>IF('AYIRA MINI MART FINAL MENU - Pr'!L287="", "", 'AYIRA MINI MART FINAL MENU - Pr'!L287)</f>
        <v/>
      </c>
      <c r="M287" s="56" t="str">
        <f>IF('AYIRA MINI MART FINAL MENU - Pr'!M287="", "", 'AYIRA MINI MART FINAL MENU - Pr'!M287)</f>
        <v/>
      </c>
      <c r="N287" s="56" t="str">
        <f>IF('AYIRA MINI MART FINAL MENU - Pr'!N287="", "", 'AYIRA MINI MART FINAL MENU - Pr'!N287)</f>
        <v/>
      </c>
      <c r="O287" s="57"/>
      <c r="P287" s="57"/>
      <c r="Q287" s="57"/>
      <c r="R287" s="57"/>
      <c r="S287" s="57"/>
      <c r="T287" s="57"/>
      <c r="U287" s="57"/>
      <c r="V287" s="57"/>
      <c r="W287" s="57"/>
      <c r="X287" s="57"/>
      <c r="Y287" s="57"/>
      <c r="Z287" s="57"/>
    </row>
    <row r="288">
      <c r="A288" s="56" t="str">
        <f>IFERROR(__xludf.DUMMYFUNCTION("IF('AYIRA MINI MART FINAL MENU - Pr'!A288="""", """", IF(LEN(IFERROR(TRIM(REGEXREPLACE(TRIM(REGEXEXTRACT('AYIRA MINI MART FINAL MENU - Pr'!A288, ""^[^\x{0600}-\x{06FF}]+"")), ""[-–]+$"", """")), """"))&gt;0, IFERROR(TRIM(REGEXREPLACE(TRIM(REGEXEXTRACT('AYIRA"&amp;" MINI MART FINAL MENU - Pr'!A288, ""^[^\x{0600}-\x{06FF}]+"")), ""[-–]+$"", """")), """"), GOOGLETRANSLATE('AYIRA MINI MART FINAL MENU - Pr'!A288, ""ar"", ""en"")))"),"Igloo Kulfi Creamy Pista 65ml")</f>
        <v>Igloo Kulfi Creamy Pista 65ml</v>
      </c>
      <c r="B288" s="56" t="str">
        <f>IFERROR(__xludf.DUMMYFUNCTION("IF('AYIRA MINI MART FINAL MENU - Pr'!B288="""", """", IF(LEN(IFERROR(TRIM(REGEXREPLACE(TRIM(REGEXEXTRACT('AYIRA MINI MART FINAL MENU - Pr'!B288, ""^[^\x{0600}-\x{06FF}]+"")), ""[-–]+$"", """")), """"))&gt;0, IFERROR(TRIM(REGEXREPLACE(TRIM(REGEXEXTRACT('AYIRA"&amp;" MINI MART FINAL MENU - Pr'!B288, ""^[^\x{0600}-\x{06FF}]+"")), ""[-–]+$"", """")), """"), GOOGLETRANSLATE('AYIRA MINI MART FINAL MENU - Pr'!B288, ""ar"", ""en"")))"),"Ice Cream |")</f>
        <v>Ice Cream |</v>
      </c>
      <c r="C288" s="58">
        <f>IF('AYIRA MINI MART FINAL MENU - Pr'!C288="", "", 'AYIRA MINI MART FINAL MENU - Pr'!C288)</f>
        <v>3</v>
      </c>
      <c r="D288" s="56" t="str">
        <f>IFERROR(__xludf.DUMMYFUNCTION("IF('AYIRA MINI MART FINAL MENU - Pr'!D288="""", """", GOOGLETRANSLATE('AYIRA MINI MART FINAL MENU - Pr'!D288, ""ar"", ""en""))"),"Cool down on hot days with Igloo Kulfi Creamy Pista 65ml, a delicious ice cream that will transport you to a world of refreshment and enjoyment. It boasts a wonderful flavor and a smooth, creamy texture that melts in your mouth, leaving a delightful and u"&amp;"nforgettable aftertaste. Perfect for children and adults alike, it's a great light treat any time of day. Discover the secret to its unique taste and make it a part of your sunny day. Aira Mini Mart offers it fresh and preserved to the highest standards.")</f>
        <v>Cool down on hot days with Igloo Kulfi Creamy Pista 65ml, a delicious ice cream that will transport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88" s="56" t="str">
        <f>IF('AYIRA MINI MART FINAL MENU - Pr'!K288="", "", 'AYIRA MINI MART FINAL MENU - Pr'!K288)</f>
        <v/>
      </c>
      <c r="F288" s="56"/>
      <c r="G288" s="56"/>
      <c r="H288" s="56"/>
      <c r="I288" s="56"/>
      <c r="J288" s="56"/>
      <c r="L288" s="56" t="str">
        <f>IF('AYIRA MINI MART FINAL MENU - Pr'!L288="", "", 'AYIRA MINI MART FINAL MENU - Pr'!L288)</f>
        <v/>
      </c>
      <c r="M288" s="56" t="str">
        <f>IF('AYIRA MINI MART FINAL MENU - Pr'!M288="", "", 'AYIRA MINI MART FINAL MENU - Pr'!M288)</f>
        <v/>
      </c>
      <c r="N288" s="56" t="str">
        <f>IF('AYIRA MINI MART FINAL MENU - Pr'!N288="", "", 'AYIRA MINI MART FINAL MENU - Pr'!N288)</f>
        <v/>
      </c>
      <c r="O288" s="57"/>
      <c r="P288" s="57"/>
      <c r="Q288" s="57"/>
      <c r="R288" s="57"/>
      <c r="S288" s="57"/>
      <c r="T288" s="57"/>
      <c r="U288" s="57"/>
      <c r="V288" s="57"/>
      <c r="W288" s="57"/>
      <c r="X288" s="57"/>
      <c r="Y288" s="57"/>
      <c r="Z288" s="57"/>
    </row>
    <row r="289">
      <c r="A289" s="56" t="str">
        <f>IFERROR(__xludf.DUMMYFUNCTION("IF('AYIRA MINI MART FINAL MENU - Pr'!A289="""", """", IF(LEN(IFERROR(TRIM(REGEXREPLACE(TRIM(REGEXEXTRACT('AYIRA MINI MART FINAL MENU - Pr'!A289, ""^[^\x{0600}-\x{06FF}]+"")), ""[-–]+$"", """")), """"))&gt;0, IFERROR(TRIM(REGEXREPLACE(TRIM(REGEXEXTRACT('AYIRA"&amp;" MINI MART FINAL MENU - Pr'!A289, ""^[^\x{0600}-\x{06FF}]+"")), ""[-–]+$"", """")), """"), GOOGLETRANSLATE('AYIRA MINI MART FINAL MENU - Pr'!A289, ""ar"", ""en"")))"),"Igloo Traditional Malai Kulfi Pistachio &amp; Cashew 85g")</f>
        <v>Igloo Traditional Malai Kulfi Pistachio &amp; Cashew 85g</v>
      </c>
      <c r="B289" s="56" t="str">
        <f>IFERROR(__xludf.DUMMYFUNCTION("IF('AYIRA MINI MART FINAL MENU - Pr'!B289="""", """", IF(LEN(IFERROR(TRIM(REGEXREPLACE(TRIM(REGEXEXTRACT('AYIRA MINI MART FINAL MENU - Pr'!B289, ""^[^\x{0600}-\x{06FF}]+"")), ""[-–]+$"", """")), """"))&gt;0, IFERROR(TRIM(REGEXREPLACE(TRIM(REGEXEXTRACT('AYIRA"&amp;" MINI MART FINAL MENU - Pr'!B289, ""^[^\x{0600}-\x{06FF}]+"")), ""[-–]+$"", """")), """"), GOOGLETRANSLATE('AYIRA MINI MART FINAL MENU - Pr'!B289, ""ar"", ""en"")))"),"Ice Cream |")</f>
        <v>Ice Cream |</v>
      </c>
      <c r="C289" s="58">
        <f>IF('AYIRA MINI MART FINAL MENU - Pr'!C289="", "", 'AYIRA MINI MART FINAL MENU - Pr'!C289)</f>
        <v>3.5</v>
      </c>
      <c r="D289" s="56" t="str">
        <f>IFERROR(__xludf.DUMMYFUNCTION("IF('AYIRA MINI MART FINAL MENU - Pr'!D289="""", """", GOOGLETRANSLATE('AYIRA MINI MART FINAL MENU - Pr'!D289, ""ar"", ""en""))"),"Choose Igloo Traditional Malai Kulfi Pistachio &amp; Cashew 85g, a natural nut rich in protein and healthy fats essential for your body. Made from the finest, carefully selected nuts to ensure the highest purity and taste. A perfect healthy and nutritious sna"&amp;"ck between meals. Supports heart health and provides the energy you need. Available at Aira Mini Mart with the highest quality and best prices.")</f>
        <v>Choose Igloo Traditional Malai Kulfi Pistachio &amp; Cashew 85g, a natural nut rich in protein and healthy fats essential for your body. Made from the finest, carefully selected nuts to ensure the highest purity and taste. A perfect healthy and nutritious snack between meals. Supports heart health and provides the energy you need. Available at Aira Mini Mart with the highest quality and best prices.</v>
      </c>
      <c r="E289" s="56" t="str">
        <f>IF('AYIRA MINI MART FINAL MENU - Pr'!K289="", "", 'AYIRA MINI MART FINAL MENU - Pr'!K289)</f>
        <v/>
      </c>
      <c r="F289" s="56"/>
      <c r="G289" s="56"/>
      <c r="H289" s="56"/>
      <c r="I289" s="56"/>
      <c r="J289" s="56"/>
      <c r="L289" s="56" t="str">
        <f>IF('AYIRA MINI MART FINAL MENU - Pr'!L289="", "", 'AYIRA MINI MART FINAL MENU - Pr'!L289)</f>
        <v/>
      </c>
      <c r="M289" s="56" t="str">
        <f>IF('AYIRA MINI MART FINAL MENU - Pr'!M289="", "", 'AYIRA MINI MART FINAL MENU - Pr'!M289)</f>
        <v/>
      </c>
      <c r="N289" s="56" t="str">
        <f>IF('AYIRA MINI MART FINAL MENU - Pr'!N289="", "", 'AYIRA MINI MART FINAL MENU - Pr'!N289)</f>
        <v/>
      </c>
      <c r="O289" s="57"/>
      <c r="P289" s="57"/>
      <c r="Q289" s="57"/>
      <c r="R289" s="57"/>
      <c r="S289" s="57"/>
      <c r="T289" s="57"/>
      <c r="U289" s="57"/>
      <c r="V289" s="57"/>
      <c r="W289" s="57"/>
      <c r="X289" s="57"/>
      <c r="Y289" s="57"/>
      <c r="Z289" s="57"/>
    </row>
    <row r="290">
      <c r="A290" s="56" t="str">
        <f>IFERROR(__xludf.DUMMYFUNCTION("IF('AYIRA MINI MART FINAL MENU - Pr'!A290="""", """", IF(LEN(IFERROR(TRIM(REGEXREPLACE(TRIM(REGEXEXTRACT('AYIRA MINI MART FINAL MENU - Pr'!A290, ""^[^\x{0600}-\x{06FF}]+"")), ""[-–]+$"", """")), """"))&gt;0, IFERROR(TRIM(REGEXREPLACE(TRIM(REGEXEXTRACT('AYIRA"&amp;" MINI MART FINAL MENU - Pr'!A290, ""^[^\x{0600}-\x{06FF}]+"")), ""[-–]+$"", """")), """"), GOOGLETRANSLATE('AYIRA MINI MART FINAL MENU - Pr'!A290, ""ar"", ""en"")))"),"Igloo Kulfi Royal Kesari 65ml")</f>
        <v>Igloo Kulfi Royal Kesari 65ml</v>
      </c>
      <c r="B290" s="56" t="str">
        <f>IFERROR(__xludf.DUMMYFUNCTION("IF('AYIRA MINI MART FINAL MENU - Pr'!B290="""", """", IF(LEN(IFERROR(TRIM(REGEXREPLACE(TRIM(REGEXEXTRACT('AYIRA MINI MART FINAL MENU - Pr'!B290, ""^[^\x{0600}-\x{06FF}]+"")), ""[-–]+$"", """")), """"))&gt;0, IFERROR(TRIM(REGEXREPLACE(TRIM(REGEXEXTRACT('AYIRA"&amp;" MINI MART FINAL MENU - Pr'!B290, ""^[^\x{0600}-\x{06FF}]+"")), ""[-–]+$"", """")), """"), GOOGLETRANSLATE('AYIRA MINI MART FINAL MENU - Pr'!B290, ""ar"", ""en"")))"),"Ice Cream |")</f>
        <v>Ice Cream |</v>
      </c>
      <c r="C290" s="58">
        <f>IF('AYIRA MINI MART FINAL MENU - Pr'!C290="", "", 'AYIRA MINI MART FINAL MENU - Pr'!C290)</f>
        <v>3</v>
      </c>
      <c r="D290" s="56" t="str">
        <f>IFERROR(__xludf.DUMMYFUNCTION("IF('AYIRA MINI MART FINAL MENU - Pr'!D290="""", """", GOOGLETRANSLATE('AYIRA MINI MART FINAL MENU - Pr'!D290, ""ar"", ""en""))"),"Cool down on hot days with Igloo Kulfi Royal Kesari 65ml, a delicious ice cream that transports you to a world of refreshment and pleasure. Its wonderful flavor and smooth, creamy texture melt in your mouth, leaving a delightful and unforgettable aftertas"&amp;"te. Perfect for children and adults alike, it's a great light treat any time of day. Discover the secret to its unique taste and make it a part of your sunny day. Aira Mini Mart offers it fresh and preserved to the highest standards.")</f>
        <v>Cool down on hot days with Igloo Kulfi Royal Kesari 65ml, a delicious ice cream that transports you to a world of refreshment and pleasure. Its wonderful flavor and smooth, creamy texture melt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90" s="56" t="str">
        <f>IF('AYIRA MINI MART FINAL MENU - Pr'!K290="", "", 'AYIRA MINI MART FINAL MENU - Pr'!K290)</f>
        <v/>
      </c>
      <c r="F290" s="56"/>
      <c r="G290" s="56"/>
      <c r="H290" s="56"/>
      <c r="I290" s="56"/>
      <c r="J290" s="56"/>
      <c r="L290" s="56" t="str">
        <f>IF('AYIRA MINI MART FINAL MENU - Pr'!L290="", "", 'AYIRA MINI MART FINAL MENU - Pr'!L290)</f>
        <v/>
      </c>
      <c r="M290" s="56" t="str">
        <f>IF('AYIRA MINI MART FINAL MENU - Pr'!M290="", "", 'AYIRA MINI MART FINAL MENU - Pr'!M290)</f>
        <v/>
      </c>
      <c r="N290" s="56" t="str">
        <f>IF('AYIRA MINI MART FINAL MENU - Pr'!N290="", "", 'AYIRA MINI MART FINAL MENU - Pr'!N290)</f>
        <v/>
      </c>
      <c r="O290" s="57"/>
      <c r="P290" s="57"/>
      <c r="Q290" s="57"/>
      <c r="R290" s="57"/>
      <c r="S290" s="57"/>
      <c r="T290" s="57"/>
      <c r="U290" s="57"/>
      <c r="V290" s="57"/>
      <c r="W290" s="57"/>
      <c r="X290" s="57"/>
      <c r="Y290" s="57"/>
      <c r="Z290" s="57"/>
    </row>
    <row r="291">
      <c r="A291" s="56" t="str">
        <f>IFERROR(__xludf.DUMMYFUNCTION("IF('AYIRA MINI MART FINAL MENU - Pr'!A291="""", """", IF(LEN(IFERROR(TRIM(REGEXREPLACE(TRIM(REGEXEXTRACT('AYIRA MINI MART FINAL MENU - Pr'!A291, ""^[^\x{0600}-\x{06FF}]+"")), ""[-–]+$"", """")), """"))&gt;0, IFERROR(TRIM(REGEXREPLACE(TRIM(REGEXEXTRACT('AYIRA"&amp;" MINI MART FINAL MENU - Pr'!A291, ""^[^\x{0600}-\x{06FF}]+"")), ""[-–]+$"", """")), """"), GOOGLETRANSLATE('AYIRA MINI MART FINAL MENU - Pr'!A291, ""ar"", ""en"")))"),"Igloo Push Up Semi-Milk")</f>
        <v>Igloo Push Up Semi-Milk</v>
      </c>
      <c r="B291" s="56" t="str">
        <f>IFERROR(__xludf.DUMMYFUNCTION("IF('AYIRA MINI MART FINAL MENU - Pr'!B291="""", """", IF(LEN(IFERROR(TRIM(REGEXREPLACE(TRIM(REGEXEXTRACT('AYIRA MINI MART FINAL MENU - Pr'!B291, ""^[^\x{0600}-\x{06FF}]+"")), ""[-–]+$"", """")), """"))&gt;0, IFERROR(TRIM(REGEXREPLACE(TRIM(REGEXEXTRACT('AYIRA"&amp;" MINI MART FINAL MENU - Pr'!B291, ""^[^\x{0600}-\x{06FF}]+"")), ""[-–]+$"", """")), """"), GOOGLETRANSLATE('AYIRA MINI MART FINAL MENU - Pr'!B291, ""ar"", ""en"")))"),"Ice Cream |")</f>
        <v>Ice Cream |</v>
      </c>
      <c r="C291" s="58">
        <f>IF('AYIRA MINI MART FINAL MENU - Pr'!C291="", "", 'AYIRA MINI MART FINAL MENU - Pr'!C291)</f>
        <v>3.5</v>
      </c>
      <c r="D291" s="56" t="str">
        <f>IFERROR(__xludf.DUMMYFUNCTION("IF('AYIRA MINI MART FINAL MENU - Pr'!D291="""", """", GOOGLETRANSLATE('AYIRA MINI MART FINAL MENU - Pr'!D291, ""ar"", ""en""))"),"Cool down on hot days with Igloo Push Up Semi-Milk, a delicious ice cream that will transport you to a world of refreshment and enjoyment. It boasts a wonderful flavor and a smooth, creamy texture that melts in your mouth, leaving a delightful and unforge"&amp;"ttable aftertaste. Perfect for both children and adults, it makes a great light treat any time of day. Discover the secret to its unique taste and make it a part of your sunny day. Aira Mini Mart offers it fresh and preserved to the highest standards.")</f>
        <v>Cool down on hot days with Igloo Push Up Semi-Milk, a delicious ice cream that will transport you to a world of refreshment and enjoyment. It boasts a wonderful flavor and a smooth, creamy texture that melts in your mouth, leaving a delightful and unforgettable aftertaste. Perfect for both children and adults, it makes a great light treat any time of day. Discover the secret to its unique taste and make it a part of your sunny day. Aira Mini Mart offers it fresh and preserved to the highest standards.</v>
      </c>
      <c r="E291" s="56" t="str">
        <f>IF('AYIRA MINI MART FINAL MENU - Pr'!K291="", "", 'AYIRA MINI MART FINAL MENU - Pr'!K291)</f>
        <v/>
      </c>
      <c r="F291" s="56"/>
      <c r="G291" s="56"/>
      <c r="H291" s="56"/>
      <c r="I291" s="56"/>
      <c r="J291" s="56"/>
      <c r="L291" s="56" t="str">
        <f>IF('AYIRA MINI MART FINAL MENU - Pr'!L291="", "", 'AYIRA MINI MART FINAL MENU - Pr'!L291)</f>
        <v/>
      </c>
      <c r="M291" s="56" t="str">
        <f>IF('AYIRA MINI MART FINAL MENU - Pr'!M291="", "", 'AYIRA MINI MART FINAL MENU - Pr'!M291)</f>
        <v/>
      </c>
      <c r="N291" s="56" t="str">
        <f>IF('AYIRA MINI MART FINAL MENU - Pr'!N291="", "", 'AYIRA MINI MART FINAL MENU - Pr'!N291)</f>
        <v/>
      </c>
      <c r="O291" s="57"/>
      <c r="P291" s="57"/>
      <c r="Q291" s="57"/>
      <c r="R291" s="57"/>
      <c r="S291" s="57"/>
      <c r="T291" s="57"/>
      <c r="U291" s="57"/>
      <c r="V291" s="57"/>
      <c r="W291" s="57"/>
      <c r="X291" s="57"/>
      <c r="Y291" s="57"/>
      <c r="Z291" s="57"/>
    </row>
    <row r="292">
      <c r="A292" s="56" t="str">
        <f>IFERROR(__xludf.DUMMYFUNCTION("IF('AYIRA MINI MART FINAL MENU - Pr'!A292="""", """", IF(LEN(IFERROR(TRIM(REGEXREPLACE(TRIM(REGEXEXTRACT('AYIRA MINI MART FINAL MENU - Pr'!A292, ""^[^\x{0600}-\x{06FF}]+"")), ""[-–]+$"", """")), """"))&gt;0, IFERROR(TRIM(REGEXREPLACE(TRIM(REGEXEXTRACT('AYIRA"&amp;" MINI MART FINAL MENU - Pr'!A292, ""^[^\x{0600}-\x{06FF}]+"")), ""[-–]+$"", """")), """"), GOOGLETRANSLATE('AYIRA MINI MART FINAL MENU - Pr'!A292, ""ar"", ""en"")))"),"Dairy Sarin Ice Cream 90g – Dairy Sarin")</f>
        <v>Dairy Sarin Ice Cream 90g – Dairy Sarin</v>
      </c>
      <c r="B292" s="56" t="str">
        <f>IFERROR(__xludf.DUMMYFUNCTION("IF('AYIRA MINI MART FINAL MENU - Pr'!B292="""", """", IF(LEN(IFERROR(TRIM(REGEXREPLACE(TRIM(REGEXEXTRACT('AYIRA MINI MART FINAL MENU - Pr'!B292, ""^[^\x{0600}-\x{06FF}]+"")), ""[-–]+$"", """")), """"))&gt;0, IFERROR(TRIM(REGEXREPLACE(TRIM(REGEXEXTRACT('AYIRA"&amp;" MINI MART FINAL MENU - Pr'!B292, ""^[^\x{0600}-\x{06FF}]+"")), ""[-–]+$"", """")), """"), GOOGLETRANSLATE('AYIRA MINI MART FINAL MENU - Pr'!B292, ""ar"", ""en"")))"),"Ice Cream |")</f>
        <v>Ice Cream |</v>
      </c>
      <c r="C292" s="58">
        <f>IF('AYIRA MINI MART FINAL MENU - Pr'!C292="", "", 'AYIRA MINI MART FINAL MENU - Pr'!C292)</f>
        <v>4.5</v>
      </c>
      <c r="D292" s="56" t="str">
        <f>IFERROR(__xludf.DUMMYFUNCTION("IF('AYIRA MINI MART FINAL MENU - Pr'!D292="""", """", GOOGLETRANSLATE('AYIRA MINI MART FINAL MENU - Pr'!D292, ""ar"", ""en""))"),"Cool down on hot days with Dairy Sarin Ice Cream 90g, a delicious treat that will transport you to a world of refreshment and enjoyment. It boasts a wonderful flavor and a smooth, creamy texture that melts in your mouth, leaving a delightful and unforgett"&amp;"able aftertaste. Perfect for both children and adults, it's a great light dessert any time of day. Discover the secret to its unique taste and make it a part of your sunny day. Aira Mini Mart offers it fresh and preserved to the highest standards.")</f>
        <v>Cool down on hot days with Dairy Sarin Ice Cream 90g,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292" s="56" t="str">
        <f>IF('AYIRA MINI MART FINAL MENU - Pr'!K292="", "", 'AYIRA MINI MART FINAL MENU - Pr'!K292)</f>
        <v/>
      </c>
      <c r="F292" s="56"/>
      <c r="G292" s="56"/>
      <c r="H292" s="56"/>
      <c r="I292" s="56"/>
      <c r="J292" s="56"/>
      <c r="L292" s="56" t="str">
        <f>IF('AYIRA MINI MART FINAL MENU - Pr'!L292="", "", 'AYIRA MINI MART FINAL MENU - Pr'!L292)</f>
        <v/>
      </c>
      <c r="M292" s="56" t="str">
        <f>IF('AYIRA MINI MART FINAL MENU - Pr'!M292="", "", 'AYIRA MINI MART FINAL MENU - Pr'!M292)</f>
        <v/>
      </c>
      <c r="N292" s="56" t="str">
        <f>IF('AYIRA MINI MART FINAL MENU - Pr'!N292="", "", 'AYIRA MINI MART FINAL MENU - Pr'!N292)</f>
        <v/>
      </c>
      <c r="O292" s="57"/>
      <c r="P292" s="57"/>
      <c r="Q292" s="57"/>
      <c r="R292" s="57"/>
      <c r="S292" s="57"/>
      <c r="T292" s="57"/>
      <c r="U292" s="57"/>
      <c r="V292" s="57"/>
      <c r="W292" s="57"/>
      <c r="X292" s="57"/>
      <c r="Y292" s="57"/>
      <c r="Z292" s="57"/>
    </row>
    <row r="293">
      <c r="A293" s="56" t="str">
        <f>IFERROR(__xludf.DUMMYFUNCTION("IF('AYIRA MINI MART FINAL MENU - Pr'!A293="""", """", IF(LEN(IFERROR(TRIM(REGEXREPLACE(TRIM(REGEXEXTRACT('AYIRA MINI MART FINAL MENU - Pr'!A293, ""^[^\x{0600}-\x{06FF}]+"")), ""[-–]+$"", """")), """"))&gt;0, IFERROR(TRIM(REGEXREPLACE(TRIM(REGEXEXTRACT('AYIRA"&amp;" MINI MART FINAL MENU - Pr'!A293, ""^[^\x{0600}-\x{06FF}]+"")), ""[-–]+$"", """")), """"), GOOGLETRANSLATE('AYIRA MINI MART FINAL MENU - Pr'!A293, ""ar"", ""en"")))"),"Igloo Big 3 in 1 Ice Cream 58g")</f>
        <v>Igloo Big 3 in 1 Ice Cream 58g</v>
      </c>
      <c r="B293" s="56" t="str">
        <f>IFERROR(__xludf.DUMMYFUNCTION("IF('AYIRA MINI MART FINAL MENU - Pr'!B293="""", """", IF(LEN(IFERROR(TRIM(REGEXREPLACE(TRIM(REGEXEXTRACT('AYIRA MINI MART FINAL MENU - Pr'!B293, ""^[^\x{0600}-\x{06FF}]+"")), ""[-–]+$"", """")), """"))&gt;0, IFERROR(TRIM(REGEXREPLACE(TRIM(REGEXEXTRACT('AYIRA"&amp;" MINI MART FINAL MENU - Pr'!B293, ""^[^\x{0600}-\x{06FF}]+"")), ""[-–]+$"", """")), """"), GOOGLETRANSLATE('AYIRA MINI MART FINAL MENU - Pr'!B293, ""ar"", ""en"")))"),"Ice Cream |")</f>
        <v>Ice Cream |</v>
      </c>
      <c r="C293" s="58">
        <f>IF('AYIRA MINI MART FINAL MENU - Pr'!C293="", "", 'AYIRA MINI MART FINAL MENU - Pr'!C293)</f>
        <v>2</v>
      </c>
      <c r="D293" s="56" t="str">
        <f>IFERROR(__xludf.DUMMYFUNCTION("IF('AYIRA MINI MART FINAL MENU - Pr'!D293="""", """", GOOGLETRANSLATE('AYIRA MINI MART FINAL MENU - Pr'!D293, ""ar"", ""en""))"),"Cool down on hot days with Igloo Big 3 in 1 Ice Cream 58g, a delicious treat that will transport you to a world of refreshment and enjoyment. It boasts a wonderful flavor and a smooth, creamy texture that melts in your mouth, leaving a delightful and unfo"&amp;"rgettable aftertaste. Perfect for both children and adults, it's a great light dessert any time of day. Discover the secret to its unique taste and make it a part of your sunny day. Aira Mini Mart offers it fresh and preserved to the highest standards.")</f>
        <v>Cool down on hot days with Igloo Big 3 in 1 Ice Cream 58g,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293" s="56" t="str">
        <f>IF('AYIRA MINI MART FINAL MENU - Pr'!K293="", "", 'AYIRA MINI MART FINAL MENU - Pr'!K293)</f>
        <v/>
      </c>
      <c r="F293" s="56"/>
      <c r="G293" s="56"/>
      <c r="H293" s="56"/>
      <c r="I293" s="56"/>
      <c r="J293" s="56"/>
      <c r="L293" s="56" t="str">
        <f>IF('AYIRA MINI MART FINAL MENU - Pr'!L293="", "", 'AYIRA MINI MART FINAL MENU - Pr'!L293)</f>
        <v/>
      </c>
      <c r="M293" s="56" t="str">
        <f>IF('AYIRA MINI MART FINAL MENU - Pr'!M293="", "", 'AYIRA MINI MART FINAL MENU - Pr'!M293)</f>
        <v/>
      </c>
      <c r="N293" s="56" t="str">
        <f>IF('AYIRA MINI MART FINAL MENU - Pr'!N293="", "", 'AYIRA MINI MART FINAL MENU - Pr'!N293)</f>
        <v/>
      </c>
      <c r="O293" s="57"/>
      <c r="P293" s="57"/>
      <c r="Q293" s="57"/>
      <c r="R293" s="57"/>
      <c r="S293" s="57"/>
      <c r="T293" s="57"/>
      <c r="U293" s="57"/>
      <c r="V293" s="57"/>
      <c r="W293" s="57"/>
      <c r="X293" s="57"/>
      <c r="Y293" s="57"/>
      <c r="Z293" s="57"/>
    </row>
    <row r="294">
      <c r="A294" s="56" t="str">
        <f>IFERROR(__xludf.DUMMYFUNCTION("IF('AYIRA MINI MART FINAL MENU - Pr'!A294="""", """", IF(LEN(IFERROR(TRIM(REGEXREPLACE(TRIM(REGEXEXTRACT('AYIRA MINI MART FINAL MENU - Pr'!A294, ""^[^\x{0600}-\x{06FF}]+"")), ""[-–]+$"", """")), """"))&gt;0, IFERROR(TRIM(REGEXREPLACE(TRIM(REGEXEXTRACT('AYIRA"&amp;" MINI MART FINAL MENU - Pr'!A294, ""^[^\x{0600}-\x{06FF}]+"")), ""[-–]+$"", """")), """"), GOOGLETRANSLATE('AYIRA MINI MART FINAL MENU - Pr'!A294, ""ar"", ""en"")))"),"Igloo Hyperloop Ice Cream 68g")</f>
        <v>Igloo Hyperloop Ice Cream 68g</v>
      </c>
      <c r="B294" s="56" t="str">
        <f>IFERROR(__xludf.DUMMYFUNCTION("IF('AYIRA MINI MART FINAL MENU - Pr'!B294="""", """", IF(LEN(IFERROR(TRIM(REGEXREPLACE(TRIM(REGEXEXTRACT('AYIRA MINI MART FINAL MENU - Pr'!B294, ""^[^\x{0600}-\x{06FF}]+"")), ""[-–]+$"", """")), """"))&gt;0, IFERROR(TRIM(REGEXREPLACE(TRIM(REGEXEXTRACT('AYIRA"&amp;" MINI MART FINAL MENU - Pr'!B294, ""^[^\x{0600}-\x{06FF}]+"")), ""[-–]+$"", """")), """"), GOOGLETRANSLATE('AYIRA MINI MART FINAL MENU - Pr'!B294, ""ar"", ""en"")))"),"Ice Cream |")</f>
        <v>Ice Cream |</v>
      </c>
      <c r="C294" s="58">
        <f>IF('AYIRA MINI MART FINAL MENU - Pr'!C294="", "", 'AYIRA MINI MART FINAL MENU - Pr'!C294)</f>
        <v>2.5</v>
      </c>
      <c r="D294" s="56" t="str">
        <f>IFERROR(__xludf.DUMMYFUNCTION("IF('AYIRA MINI MART FINAL MENU - Pr'!D294="""", """", GOOGLETRANSLATE('AYIRA MINI MART FINAL MENU - Pr'!D294, ""ar"", ""en""))"),"Cool down on hot days with Igloo Hyperloop Ice Cream 68g, a delicious treat that will transport you to a world of refreshment and enjoyment. It boasts a wonderful flavor and a smooth, creamy texture that melts in your mouth, leaving a delightful and unfor"&amp;"gettable aftertaste. Perfect for both children and adults, it's a great light dessert any time of day. Discover the secret to its unique taste and make it a part of your sunny day. Aira Mini Mart offers it fresh and preserved to the highest standards.")</f>
        <v>Cool down on hot days with Igloo Hyperloop Ice Cream 68g,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294" s="56" t="str">
        <f>IF('AYIRA MINI MART FINAL MENU - Pr'!K294="", "", 'AYIRA MINI MART FINAL MENU - Pr'!K294)</f>
        <v/>
      </c>
      <c r="F294" s="56"/>
      <c r="G294" s="56"/>
      <c r="H294" s="56"/>
      <c r="I294" s="56"/>
      <c r="J294" s="56"/>
      <c r="L294" s="56" t="str">
        <f>IF('AYIRA MINI MART FINAL MENU - Pr'!L294="", "", 'AYIRA MINI MART FINAL MENU - Pr'!L294)</f>
        <v/>
      </c>
      <c r="M294" s="56" t="str">
        <f>IF('AYIRA MINI MART FINAL MENU - Pr'!M294="", "", 'AYIRA MINI MART FINAL MENU - Pr'!M294)</f>
        <v/>
      </c>
      <c r="N294" s="56" t="str">
        <f>IF('AYIRA MINI MART FINAL MENU - Pr'!N294="", "", 'AYIRA MINI MART FINAL MENU - Pr'!N294)</f>
        <v/>
      </c>
      <c r="O294" s="57"/>
      <c r="P294" s="57"/>
      <c r="Q294" s="57"/>
      <c r="R294" s="57"/>
      <c r="S294" s="57"/>
      <c r="T294" s="57"/>
      <c r="U294" s="57"/>
      <c r="V294" s="57"/>
      <c r="W294" s="57"/>
      <c r="X294" s="57"/>
      <c r="Y294" s="57"/>
      <c r="Z294" s="57"/>
    </row>
    <row r="295">
      <c r="A295" s="56" t="str">
        <f>IFERROR(__xludf.DUMMYFUNCTION("IF('AYIRA MINI MART FINAL MENU - Pr'!A295="""", """", IF(LEN(IFERROR(TRIM(REGEXREPLACE(TRIM(REGEXEXTRACT('AYIRA MINI MART FINAL MENU - Pr'!A295, ""^[^\x{0600}-\x{06FF}]+"")), ""[-–]+$"", """")), """"))&gt;0, IFERROR(TRIM(REGEXREPLACE(TRIM(REGEXEXTRACT('AYIRA"&amp;" MINI MART FINAL MENU - Pr'!A295, ""^[^\x{0600}-\x{06FF}]+"")), ""[-–]+$"", """")), """"), GOOGLETRANSLATE('AYIRA MINI MART FINAL MENU - Pr'!A295, ""ar"", ""en"")))"),"Igloo Vanilla Sandwich Evens 55g")</f>
        <v>Igloo Vanilla Sandwich Evens 55g</v>
      </c>
      <c r="B295" s="56" t="str">
        <f>IFERROR(__xludf.DUMMYFUNCTION("IF('AYIRA MINI MART FINAL MENU - Pr'!B295="""", """", IF(LEN(IFERROR(TRIM(REGEXREPLACE(TRIM(REGEXEXTRACT('AYIRA MINI MART FINAL MENU - Pr'!B295, ""^[^\x{0600}-\x{06FF}]+"")), ""[-–]+$"", """")), """"))&gt;0, IFERROR(TRIM(REGEXREPLACE(TRIM(REGEXEXTRACT('AYIRA"&amp;" MINI MART FINAL MENU - Pr'!B295, ""^[^\x{0600}-\x{06FF}]+"")), ""[-–]+$"", """")), """"), GOOGLETRANSLATE('AYIRA MINI MART FINAL MENU - Pr'!B295, ""ar"", ""en"")))"),"Ice Cream |")</f>
        <v>Ice Cream |</v>
      </c>
      <c r="C295" s="58">
        <f>IF('AYIRA MINI MART FINAL MENU - Pr'!C295="", "", 'AYIRA MINI MART FINAL MENU - Pr'!C295)</f>
        <v>2.5</v>
      </c>
      <c r="D295" s="56" t="str">
        <f>IFERROR(__xludf.DUMMYFUNCTION("IF('AYIRA MINI MART FINAL MENU - Pr'!D295="""", """", GOOGLETRANSLATE('AYIRA MINI MART FINAL MENU - Pr'!D295, ""ar"", ""en""))"),"Cool down on hot days with Igloo Vanilla Sandwich Evens 55g, delicious ice creams that transport you to a world of refreshment and enjoyment. They boast a wonderful flavor and a smooth, creamy texture that melts in your mouth, leaving a delightful and unf"&amp;"orgettable aftertaste. Perfect for both children and adults, they make a great light treat any time of day. Discover the secret to their unique taste and make them a part of your sunny day. Aira Mini Mart offers them fresh and preserved to the highest sta"&amp;"ndards.")</f>
        <v>Cool down on hot days with Igloo Vanilla Sandwich Evens 55g, delicious ice creams that transport you to a world of refreshment and enjoyment. They boast a wonderful flavor and a smooth, creamy texture that melts in your mouth, leaving a delightful and unforgettable aftertaste. Perfect for both children and adults, they make a great light treat any time of day. Discover the secret to their unique taste and make them a part of your sunny day. Aira Mini Mart offers them fresh and preserved to the highest standards.</v>
      </c>
      <c r="E295" s="56" t="str">
        <f>IF('AYIRA MINI MART FINAL MENU - Pr'!K295="", "", 'AYIRA MINI MART FINAL MENU - Pr'!K295)</f>
        <v/>
      </c>
      <c r="F295" s="56"/>
      <c r="G295" s="56"/>
      <c r="H295" s="56"/>
      <c r="I295" s="56"/>
      <c r="J295" s="56"/>
      <c r="L295" s="56" t="str">
        <f>IF('AYIRA MINI MART FINAL MENU - Pr'!L295="", "", 'AYIRA MINI MART FINAL MENU - Pr'!L295)</f>
        <v/>
      </c>
      <c r="M295" s="56" t="str">
        <f>IF('AYIRA MINI MART FINAL MENU - Pr'!M295="", "", 'AYIRA MINI MART FINAL MENU - Pr'!M295)</f>
        <v/>
      </c>
      <c r="N295" s="56" t="str">
        <f>IF('AYIRA MINI MART FINAL MENU - Pr'!N295="", "", 'AYIRA MINI MART FINAL MENU - Pr'!N295)</f>
        <v/>
      </c>
      <c r="O295" s="57"/>
      <c r="P295" s="57"/>
      <c r="Q295" s="57"/>
      <c r="R295" s="57"/>
      <c r="S295" s="57"/>
      <c r="T295" s="57"/>
      <c r="U295" s="57"/>
      <c r="V295" s="57"/>
      <c r="W295" s="57"/>
      <c r="X295" s="57"/>
      <c r="Y295" s="57"/>
      <c r="Z295" s="57"/>
    </row>
    <row r="296">
      <c r="A296" s="56" t="str">
        <f>IFERROR(__xludf.DUMMYFUNCTION("IF('AYIRA MINI MART FINAL MENU - Pr'!A296="""", """", IF(LEN(IFERROR(TRIM(REGEXREPLACE(TRIM(REGEXEXTRACT('AYIRA MINI MART FINAL MENU - Pr'!A296, ""^[^\x{0600}-\x{06FF}]+"")), ""[-–]+$"", """")), """"))&gt;0, IFERROR(TRIM(REGEXREPLACE(TRIM(REGEXEXTRACT('AYIRA"&amp;" MINI MART FINAL MENU - Pr'!A296, ""^[^\x{0600}-\x{06FF}]+"")), ""[-–]+$"", """")), """"), GOOGLETRANSLATE('AYIRA MINI MART FINAL MENU - Pr'!A296, ""ar"", ""en"")))"),"Ice Pop Blue Raspberry 54g – Ice Pop Blue Raspberry 54")</f>
        <v>Ice Pop Blue Raspberry 54g – Ice Pop Blue Raspberry 54</v>
      </c>
      <c r="B296" s="56" t="str">
        <f>IFERROR(__xludf.DUMMYFUNCTION("IF('AYIRA MINI MART FINAL MENU - Pr'!B296="""", """", IF(LEN(IFERROR(TRIM(REGEXREPLACE(TRIM(REGEXEXTRACT('AYIRA MINI MART FINAL MENU - Pr'!B296, ""^[^\x{0600}-\x{06FF}]+"")), ""[-–]+$"", """")), """"))&gt;0, IFERROR(TRIM(REGEXREPLACE(TRIM(REGEXEXTRACT('AYIRA"&amp;" MINI MART FINAL MENU - Pr'!B296, ""^[^\x{0600}-\x{06FF}]+"")), ""[-–]+$"", """")), """"), GOOGLETRANSLATE('AYIRA MINI MART FINAL MENU - Pr'!B296, ""ar"", ""en"")))"),"Ice Cream |")</f>
        <v>Ice Cream |</v>
      </c>
      <c r="C296" s="58">
        <f>IF('AYIRA MINI MART FINAL MENU - Pr'!C296="", "", 'AYIRA MINI MART FINAL MENU - Pr'!C296)</f>
        <v>1.5</v>
      </c>
      <c r="D296" s="56" t="str">
        <f>IFERROR(__xludf.DUMMYFUNCTION("IF('AYIRA MINI MART FINAL MENU - Pr'!D296="""", """", GOOGLETRANSLATE('AYIRA MINI MART FINAL MENU - Pr'!D296, ""ar"", ""en""))"),"Cool down on hot days with Ice Pop Blue Raspberry 54g, a delicious ice cream that will transport you to a world of refreshment and enjoyment. It boasts a wonderful flavor and a smooth, creamy texture that melts in your mouth, leaving a delightful and unfo"&amp;"rgettable aftertaste. Perfect for both children and adults, it's a great light treat any time of day. Discover the secret to its unique taste and make it a part of your sunny day. Aira Mini Mart offers it fresh and preserved to the highest standards.")</f>
        <v>Cool down on hot days with Ice Pop Blue Raspberry 54g, a delicious ice cream that will transport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296" s="56" t="str">
        <f>IF('AYIRA MINI MART FINAL MENU - Pr'!K296="", "", 'AYIRA MINI MART FINAL MENU - Pr'!K296)</f>
        <v/>
      </c>
      <c r="F296" s="56"/>
      <c r="G296" s="56"/>
      <c r="H296" s="56"/>
      <c r="I296" s="56"/>
      <c r="J296" s="56"/>
      <c r="L296" s="56" t="str">
        <f>IF('AYIRA MINI MART FINAL MENU - Pr'!L296="", "", 'AYIRA MINI MART FINAL MENU - Pr'!L296)</f>
        <v/>
      </c>
      <c r="M296" s="56" t="str">
        <f>IF('AYIRA MINI MART FINAL MENU - Pr'!M296="", "", 'AYIRA MINI MART FINAL MENU - Pr'!M296)</f>
        <v/>
      </c>
      <c r="N296" s="56" t="str">
        <f>IF('AYIRA MINI MART FINAL MENU - Pr'!N296="", "", 'AYIRA MINI MART FINAL MENU - Pr'!N296)</f>
        <v/>
      </c>
      <c r="O296" s="57"/>
      <c r="P296" s="57"/>
      <c r="Q296" s="57"/>
      <c r="R296" s="57"/>
      <c r="S296" s="57"/>
      <c r="T296" s="57"/>
      <c r="U296" s="57"/>
      <c r="V296" s="57"/>
      <c r="W296" s="57"/>
      <c r="X296" s="57"/>
      <c r="Y296" s="57"/>
      <c r="Z296" s="57"/>
    </row>
    <row r="297">
      <c r="A297" s="56" t="str">
        <f>IFERROR(__xludf.DUMMYFUNCTION("IF('AYIRA MINI MART FINAL MENU - Pr'!A297="""", """", IF(LEN(IFERROR(TRIM(REGEXREPLACE(TRIM(REGEXEXTRACT('AYIRA MINI MART FINAL MENU - Pr'!A297, ""^[^\x{0600}-\x{06FF}]+"")), ""[-–]+$"", """")), """"))&gt;0, IFERROR(TRIM(REGEXREPLACE(TRIM(REGEXEXTRACT('AYIRA"&amp;" MINI MART FINAL MENU - Pr'!A297, ""^[^\x{0600}-\x{06FF}]+"")), ""[-–]+$"", """")), """"), GOOGLETRANSLATE('AYIRA MINI MART FINAL MENU - Pr'!A297, ""ar"", ""en"")))"),"Semi-Ice Milk Vanilla 44g – Semi-Ice")</f>
        <v>Semi-Ice Milk Vanilla 44g – Semi-Ice</v>
      </c>
      <c r="B297" s="56" t="str">
        <f>IFERROR(__xludf.DUMMYFUNCTION("IF('AYIRA MINI MART FINAL MENU - Pr'!B297="""", """", IF(LEN(IFERROR(TRIM(REGEXREPLACE(TRIM(REGEXEXTRACT('AYIRA MINI MART FINAL MENU - Pr'!B297, ""^[^\x{0600}-\x{06FF}]+"")), ""[-–]+$"", """")), """"))&gt;0, IFERROR(TRIM(REGEXREPLACE(TRIM(REGEXEXTRACT('AYIRA"&amp;" MINI MART FINAL MENU - Pr'!B297, ""^[^\x{0600}-\x{06FF}]+"")), ""[-–]+$"", """")), """"), GOOGLETRANSLATE('AYIRA MINI MART FINAL MENU - Pr'!B297, ""ar"", ""en"")))"),"Ice Cream |")</f>
        <v>Ice Cream |</v>
      </c>
      <c r="C297" s="58">
        <f>IF('AYIRA MINI MART FINAL MENU - Pr'!C297="", "", 'AYIRA MINI MART FINAL MENU - Pr'!C297)</f>
        <v>1.5</v>
      </c>
      <c r="D297" s="56" t="str">
        <f>IFERROR(__xludf.DUMMYFUNCTION("IF('AYIRA MINI MART FINAL MENU - Pr'!D297="""", """", GOOGLETRANSLATE('AYIRA MINI MART FINAL MENU - Pr'!D297, ""ar"", ""en""))"),"Cool down on hot days with Semi-Ice Milk Vanilla 44g, a delicious ice cream that transports you to a world of refreshment and enjoyment. It boasts a wonderful flavor and a smooth, creamy texture that melts in your mouth, leaving a delightful and unforgett"&amp;"able aftertaste. Perfect for children and adults alike, it's a great light treat any time of day. Discover the secret to its unique taste and make it a part of your sunny day. Aira Mini Mart offers it fresh and preserved to the highest standards.")</f>
        <v>Cool down on hot days with Semi-Ice Milk Vanilla 44g, a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97" s="56" t="str">
        <f>IF('AYIRA MINI MART FINAL MENU - Pr'!K297="", "", 'AYIRA MINI MART FINAL MENU - Pr'!K297)</f>
        <v/>
      </c>
      <c r="F297" s="56"/>
      <c r="G297" s="56"/>
      <c r="H297" s="56"/>
      <c r="I297" s="56"/>
      <c r="J297" s="56"/>
      <c r="L297" s="56" t="str">
        <f>IF('AYIRA MINI MART FINAL MENU - Pr'!L297="", "", 'AYIRA MINI MART FINAL MENU - Pr'!L297)</f>
        <v/>
      </c>
      <c r="M297" s="56" t="str">
        <f>IF('AYIRA MINI MART FINAL MENU - Pr'!M297="", "", 'AYIRA MINI MART FINAL MENU - Pr'!M297)</f>
        <v/>
      </c>
      <c r="N297" s="56" t="str">
        <f>IF('AYIRA MINI MART FINAL MENU - Pr'!N297="", "", 'AYIRA MINI MART FINAL MENU - Pr'!N297)</f>
        <v/>
      </c>
      <c r="O297" s="57"/>
      <c r="P297" s="57"/>
      <c r="Q297" s="57"/>
      <c r="R297" s="57"/>
      <c r="S297" s="57"/>
      <c r="T297" s="57"/>
      <c r="U297" s="57"/>
      <c r="V297" s="57"/>
      <c r="W297" s="57"/>
      <c r="X297" s="57"/>
      <c r="Y297" s="57"/>
      <c r="Z297" s="57"/>
    </row>
    <row r="298">
      <c r="A298" s="56" t="str">
        <f>IFERROR(__xludf.DUMMYFUNCTION("IF('AYIRA MINI MART FINAL MENU - Pr'!A298="""", """", IF(LEN(IFERROR(TRIM(REGEXREPLACE(TRIM(REGEXEXTRACT('AYIRA MINI MART FINAL MENU - Pr'!A298, ""^[^\x{0600}-\x{06FF}]+"")), ""[-–]+$"", """")), """"))&gt;0, IFERROR(TRIM(REGEXREPLACE(TRIM(REGEXEXTRACT('AYIRA"&amp;" MINI MART FINAL MENU - Pr'!A298, ""^[^\x{0600}-\x{06FF}]+"")), ""[-–]+$"", """")), """"), GOOGLETRANSLATE('AYIRA MINI MART FINAL MENU - Pr'!A298, ""ar"", ""en"")))"),"Dairy Fruity Spiral 5g – Dairy Fruity Spiral 5")</f>
        <v>Dairy Fruity Spiral 5g – Dairy Fruity Spiral 5</v>
      </c>
      <c r="B298" s="56" t="str">
        <f>IFERROR(__xludf.DUMMYFUNCTION("IF('AYIRA MINI MART FINAL MENU - Pr'!B298="""", """", IF(LEN(IFERROR(TRIM(REGEXREPLACE(TRIM(REGEXEXTRACT('AYIRA MINI MART FINAL MENU - Pr'!B298, ""^[^\x{0600}-\x{06FF}]+"")), ""[-–]+$"", """")), """"))&gt;0, IFERROR(TRIM(REGEXREPLACE(TRIM(REGEXEXTRACT('AYIRA"&amp;" MINI MART FINAL MENU - Pr'!B298, ""^[^\x{0600}-\x{06FF}]+"")), ""[-–]+$"", """")), """"), GOOGLETRANSLATE('AYIRA MINI MART FINAL MENU - Pr'!B298, ""ar"", ""en"")))"),"Ice Cream |")</f>
        <v>Ice Cream |</v>
      </c>
      <c r="C298" s="58">
        <f>IF('AYIRA MINI MART FINAL MENU - Pr'!C298="", "", 'AYIRA MINI MART FINAL MENU - Pr'!C298)</f>
        <v>3.5</v>
      </c>
      <c r="D298" s="56" t="str">
        <f>IFERROR(__xludf.DUMMYFUNCTION("IF('AYIRA MINI MART FINAL MENU - Pr'!D298="""", """", GOOGLETRANSLATE('AYIRA MINI MART FINAL MENU - Pr'!D298, ""ar"", ""en""))"),"Cool down on hot days with Dairy Fruity Spiral 5g, a delicious ice cream that transports you to a world of refreshment and enjoyment. It boasts a wonderful flavor and a smooth, creamy texture that melts in your mouth, leaving a delightful and unforgettabl"&amp;"e aftertaste. Perfect for children and adults alike, it's a great light treat any time of day. Discover the secret to its unique taste and make it a part of your sunny day. Aira Mini Mart offers it fresh and preserved to the highest standards.")</f>
        <v>Cool down on hot days with Dairy Fruity Spiral 5g, a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298" s="56" t="str">
        <f>IF('AYIRA MINI MART FINAL MENU - Pr'!K298="", "", 'AYIRA MINI MART FINAL MENU - Pr'!K298)</f>
        <v/>
      </c>
      <c r="F298" s="56"/>
      <c r="G298" s="56"/>
      <c r="H298" s="56"/>
      <c r="I298" s="56"/>
      <c r="J298" s="56"/>
      <c r="L298" s="56" t="str">
        <f>IF('AYIRA MINI MART FINAL MENU - Pr'!L298="", "", 'AYIRA MINI MART FINAL MENU - Pr'!L298)</f>
        <v/>
      </c>
      <c r="M298" s="56" t="str">
        <f>IF('AYIRA MINI MART FINAL MENU - Pr'!M298="", "", 'AYIRA MINI MART FINAL MENU - Pr'!M298)</f>
        <v/>
      </c>
      <c r="N298" s="56" t="str">
        <f>IF('AYIRA MINI MART FINAL MENU - Pr'!N298="", "", 'AYIRA MINI MART FINAL MENU - Pr'!N298)</f>
        <v/>
      </c>
      <c r="O298" s="57"/>
      <c r="P298" s="57"/>
      <c r="Q298" s="57"/>
      <c r="R298" s="57"/>
      <c r="S298" s="57"/>
      <c r="T298" s="57"/>
      <c r="U298" s="57"/>
      <c r="V298" s="57"/>
      <c r="W298" s="57"/>
      <c r="X298" s="57"/>
      <c r="Y298" s="57"/>
      <c r="Z298" s="57"/>
    </row>
    <row r="299">
      <c r="A299" s="56" t="str">
        <f>IFERROR(__xludf.DUMMYFUNCTION("IF('AYIRA MINI MART FINAL MENU - Pr'!A299="""", """", IF(LEN(IFERROR(TRIM(REGEXREPLACE(TRIM(REGEXEXTRACT('AYIRA MINI MART FINAL MENU - Pr'!A299, ""^[^\x{0600}-\x{06FF}]+"")), ""[-–]+$"", """")), """"))&gt;0, IFERROR(TRIM(REGEXREPLACE(TRIM(REGEXEXTRACT('AYIRA"&amp;" MINI MART FINAL MENU - Pr'!A299, ""^[^\x{0600}-\x{06FF}]+"")), ""[-–]+$"", """")), """"), GOOGLETRANSLATE('AYIRA MINI MART FINAL MENU - Pr'!A299, ""ar"", ""en"")))"),"Dandy Swirly Ice Cream 80ml")</f>
        <v>Dandy Swirly Ice Cream 80ml</v>
      </c>
      <c r="B299" s="56" t="str">
        <f>IFERROR(__xludf.DUMMYFUNCTION("IF('AYIRA MINI MART FINAL MENU - Pr'!B299="""", """", IF(LEN(IFERROR(TRIM(REGEXREPLACE(TRIM(REGEXEXTRACT('AYIRA MINI MART FINAL MENU - Pr'!B299, ""^[^\x{0600}-\x{06FF}]+"")), ""[-–]+$"", """")), """"))&gt;0, IFERROR(TRIM(REGEXREPLACE(TRIM(REGEXEXTRACT('AYIRA"&amp;" MINI MART FINAL MENU - Pr'!B299, ""^[^\x{0600}-\x{06FF}]+"")), ""[-–]+$"", """")), """"), GOOGLETRANSLATE('AYIRA MINI MART FINAL MENU - Pr'!B299, ""ar"", ""en"")))"),"Ice Cream |")</f>
        <v>Ice Cream |</v>
      </c>
      <c r="C299" s="58">
        <f>IF('AYIRA MINI MART FINAL MENU - Pr'!C299="", "", 'AYIRA MINI MART FINAL MENU - Pr'!C299)</f>
        <v>1.5</v>
      </c>
      <c r="D299" s="56" t="str">
        <f>IFERROR(__xludf.DUMMYFUNCTION("IF('AYIRA MINI MART FINAL MENU - Pr'!D299="""", """", GOOGLETRANSLATE('AYIRA MINI MART FINAL MENU - Pr'!D299,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299" s="56" t="str">
        <f>IF('AYIRA MINI MART FINAL MENU - Pr'!K299="", "", 'AYIRA MINI MART FINAL MENU - Pr'!K299)</f>
        <v/>
      </c>
      <c r="F299" s="56"/>
      <c r="G299" s="56"/>
      <c r="H299" s="56"/>
      <c r="I299" s="56"/>
      <c r="J299" s="56"/>
      <c r="L299" s="56" t="str">
        <f>IF('AYIRA MINI MART FINAL MENU - Pr'!L299="", "", 'AYIRA MINI MART FINAL MENU - Pr'!L299)</f>
        <v/>
      </c>
      <c r="M299" s="56" t="str">
        <f>IF('AYIRA MINI MART FINAL MENU - Pr'!M299="", "", 'AYIRA MINI MART FINAL MENU - Pr'!M299)</f>
        <v/>
      </c>
      <c r="N299" s="56" t="str">
        <f>IF('AYIRA MINI MART FINAL MENU - Pr'!N299="", "", 'AYIRA MINI MART FINAL MENU - Pr'!N299)</f>
        <v/>
      </c>
      <c r="O299" s="57"/>
      <c r="P299" s="57"/>
      <c r="Q299" s="57"/>
      <c r="R299" s="57"/>
      <c r="S299" s="57"/>
      <c r="T299" s="57"/>
      <c r="U299" s="57"/>
      <c r="V299" s="57"/>
      <c r="W299" s="57"/>
      <c r="X299" s="57"/>
      <c r="Y299" s="57"/>
      <c r="Z299" s="57"/>
    </row>
    <row r="300">
      <c r="A300" s="56" t="str">
        <f>IFERROR(__xludf.DUMMYFUNCTION("IF('AYIRA MINI MART FINAL MENU - Pr'!A300="""", """", IF(LEN(IFERROR(TRIM(REGEXREPLACE(TRIM(REGEXEXTRACT('AYIRA MINI MART FINAL MENU - Pr'!A300, ""^[^\x{0600}-\x{06FF}]+"")), ""[-–]+$"", """")), """"))&gt;0, IFERROR(TRIM(REGEXREPLACE(TRIM(REGEXEXTRACT('AYIRA"&amp;" MINI MART FINAL MENU - Pr'!A300, ""^[^\x{0600}-\x{06FF}]+"")), ""[-–]+$"", """")), """"), GOOGLETRANSLATE('AYIRA MINI MART FINAL MENU - Pr'!A300, ""ar"", ""en"")))"),"Dandy Peanut Delight Ice Cream 100ml")</f>
        <v>Dandy Peanut Delight Ice Cream 100ml</v>
      </c>
      <c r="B300" s="56" t="str">
        <f>IFERROR(__xludf.DUMMYFUNCTION("IF('AYIRA MINI MART FINAL MENU - Pr'!B300="""", """", IF(LEN(IFERROR(TRIM(REGEXREPLACE(TRIM(REGEXEXTRACT('AYIRA MINI MART FINAL MENU - Pr'!B300, ""^[^\x{0600}-\x{06FF}]+"")), ""[-–]+$"", """")), """"))&gt;0, IFERROR(TRIM(REGEXREPLACE(TRIM(REGEXEXTRACT('AYIRA"&amp;" MINI MART FINAL MENU - Pr'!B300, ""^[^\x{0600}-\x{06FF}]+"")), ""[-–]+$"", """")), """"), GOOGLETRANSLATE('AYIRA MINI MART FINAL MENU - Pr'!B300, ""ar"", ""en"")))"),"Ice Cream |")</f>
        <v>Ice Cream |</v>
      </c>
      <c r="C300" s="58">
        <f>IF('AYIRA MINI MART FINAL MENU - Pr'!C300="", "", 'AYIRA MINI MART FINAL MENU - Pr'!C300)</f>
        <v>3.5</v>
      </c>
      <c r="D300" s="56" t="str">
        <f>IFERROR(__xludf.DUMMYFUNCTION("IF('AYIRA MINI MART FINAL MENU - Pr'!D300="""", """", GOOGLETRANSLATE('AYIRA MINI MART FINAL MENU - Pr'!D300,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300" s="56" t="str">
        <f>IF('AYIRA MINI MART FINAL MENU - Pr'!K300="", "", 'AYIRA MINI MART FINAL MENU - Pr'!K300)</f>
        <v/>
      </c>
      <c r="F300" s="56"/>
      <c r="G300" s="56"/>
      <c r="H300" s="56"/>
      <c r="I300" s="56"/>
      <c r="J300" s="56"/>
      <c r="L300" s="56" t="str">
        <f>IF('AYIRA MINI MART FINAL MENU - Pr'!L300="", "", 'AYIRA MINI MART FINAL MENU - Pr'!L300)</f>
        <v/>
      </c>
      <c r="M300" s="56" t="str">
        <f>IF('AYIRA MINI MART FINAL MENU - Pr'!M300="", "", 'AYIRA MINI MART FINAL MENU - Pr'!M300)</f>
        <v/>
      </c>
      <c r="N300" s="56" t="str">
        <f>IF('AYIRA MINI MART FINAL MENU - Pr'!N300="", "", 'AYIRA MINI MART FINAL MENU - Pr'!N300)</f>
        <v/>
      </c>
      <c r="O300" s="57"/>
      <c r="P300" s="57"/>
      <c r="Q300" s="57"/>
      <c r="R300" s="57"/>
      <c r="S300" s="57"/>
      <c r="T300" s="57"/>
      <c r="U300" s="57"/>
      <c r="V300" s="57"/>
      <c r="W300" s="57"/>
      <c r="X300" s="57"/>
      <c r="Y300" s="57"/>
      <c r="Z300" s="57"/>
    </row>
    <row r="301">
      <c r="A301" s="56" t="str">
        <f>IFERROR(__xludf.DUMMYFUNCTION("IF('AYIRA MINI MART FINAL MENU - Pr'!A301="""", """", IF(LEN(IFERROR(TRIM(REGEXREPLACE(TRIM(REGEXEXTRACT('AYIRA MINI MART FINAL MENU - Pr'!A301, ""^[^\x{0600}-\x{06FF}]+"")), ""[-–]+$"", """")), """"))&gt;0, IFERROR(TRIM(REGEXREPLACE(TRIM(REGEXEXTRACT('AYIRA"&amp;" MINI MART FINAL MENU - Pr'!A301, ""^[^\x{0600}-\x{06FF}]+"")), ""[-–]+$"", """")), """"), GOOGLETRANSLATE('AYIRA MINI MART FINAL MENU - Pr'!A301, ""ar"", ""en"")))"),"Dandy Choco Nuts Ice Cream 85ml")</f>
        <v>Dandy Choco Nuts Ice Cream 85ml</v>
      </c>
      <c r="B301" s="56" t="str">
        <f>IFERROR(__xludf.DUMMYFUNCTION("IF('AYIRA MINI MART FINAL MENU - Pr'!B301="""", """", IF(LEN(IFERROR(TRIM(REGEXREPLACE(TRIM(REGEXEXTRACT('AYIRA MINI MART FINAL MENU - Pr'!B301, ""^[^\x{0600}-\x{06FF}]+"")), ""[-–]+$"", """")), """"))&gt;0, IFERROR(TRIM(REGEXREPLACE(TRIM(REGEXEXTRACT('AYIRA"&amp;" MINI MART FINAL MENU - Pr'!B301, ""^[^\x{0600}-\x{06FF}]+"")), ""[-–]+$"", """")), """"), GOOGLETRANSLATE('AYIRA MINI MART FINAL MENU - Pr'!B301, ""ar"", ""en"")))"),"Ice Cream |")</f>
        <v>Ice Cream |</v>
      </c>
      <c r="C301" s="58">
        <f>IF('AYIRA MINI MART FINAL MENU - Pr'!C301="", "", 'AYIRA MINI MART FINAL MENU - Pr'!C301)</f>
        <v>3</v>
      </c>
      <c r="D301" s="56" t="str">
        <f>IFERROR(__xludf.DUMMYFUNCTION("IF('AYIRA MINI MART FINAL MENU - Pr'!D301="""", """", GOOGLETRANSLATE('AYIRA MINI MART FINAL MENU - Pr'!D301,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301" s="56" t="str">
        <f>IF('AYIRA MINI MART FINAL MENU - Pr'!K301="", "", 'AYIRA MINI MART FINAL MENU - Pr'!K301)</f>
        <v/>
      </c>
      <c r="F301" s="56"/>
      <c r="G301" s="56"/>
      <c r="H301" s="56"/>
      <c r="I301" s="56"/>
      <c r="J301" s="56"/>
      <c r="L301" s="56" t="str">
        <f>IF('AYIRA MINI MART FINAL MENU - Pr'!L301="", "", 'AYIRA MINI MART FINAL MENU - Pr'!L301)</f>
        <v/>
      </c>
      <c r="M301" s="56" t="str">
        <f>IF('AYIRA MINI MART FINAL MENU - Pr'!M301="", "", 'AYIRA MINI MART FINAL MENU - Pr'!M301)</f>
        <v/>
      </c>
      <c r="N301" s="56" t="str">
        <f>IF('AYIRA MINI MART FINAL MENU - Pr'!N301="", "", 'AYIRA MINI MART FINAL MENU - Pr'!N301)</f>
        <v/>
      </c>
      <c r="O301" s="57"/>
      <c r="P301" s="57"/>
      <c r="Q301" s="57"/>
      <c r="R301" s="57"/>
      <c r="S301" s="57"/>
      <c r="T301" s="57"/>
      <c r="U301" s="57"/>
      <c r="V301" s="57"/>
      <c r="W301" s="57"/>
      <c r="X301" s="57"/>
      <c r="Y301" s="57"/>
      <c r="Z301" s="57"/>
    </row>
    <row r="302">
      <c r="A302" s="56" t="str">
        <f>IFERROR(__xludf.DUMMYFUNCTION("IF('AYIRA MINI MART FINAL MENU - Pr'!A302="""", """", IF(LEN(IFERROR(TRIM(REGEXREPLACE(TRIM(REGEXEXTRACT('AYIRA MINI MART FINAL MENU - Pr'!A302, ""^[^\x{0600}-\x{06FF}]+"")), ""[-–]+$"", """")), """"))&gt;0, IFERROR(TRIM(REGEXREPLACE(TRIM(REGEXEXTRACT('AYIRA"&amp;" MINI MART FINAL MENU - Pr'!A302, ""^[^\x{0600}-\x{06FF}]+"")), ""[-–]+$"", """")), """"), GOOGLETRANSLATE('AYIRA MINI MART FINAL MENU - Pr'!A302, ""ar"", ""en"")))"),"Dandy Almond Delight Ice Cream 100ml")</f>
        <v>Dandy Almond Delight Ice Cream 100ml</v>
      </c>
      <c r="B302" s="56" t="str">
        <f>IFERROR(__xludf.DUMMYFUNCTION("IF('AYIRA MINI MART FINAL MENU - Pr'!B302="""", """", IF(LEN(IFERROR(TRIM(REGEXREPLACE(TRIM(REGEXEXTRACT('AYIRA MINI MART FINAL MENU - Pr'!B302, ""^[^\x{0600}-\x{06FF}]+"")), ""[-–]+$"", """")), """"))&gt;0, IFERROR(TRIM(REGEXREPLACE(TRIM(REGEXEXTRACT('AYIRA"&amp;" MINI MART FINAL MENU - Pr'!B302, ""^[^\x{0600}-\x{06FF}]+"")), ""[-–]+$"", """")), """"), GOOGLETRANSLATE('AYIRA MINI MART FINAL MENU - Pr'!B302, ""ar"", ""en"")))"),"Ice Cream |")</f>
        <v>Ice Cream |</v>
      </c>
      <c r="C302" s="58">
        <f>IF('AYIRA MINI MART FINAL MENU - Pr'!C302="", "", 'AYIRA MINI MART FINAL MENU - Pr'!C302)</f>
        <v>3.5</v>
      </c>
      <c r="D302" s="56" t="str">
        <f>IFERROR(__xludf.DUMMYFUNCTION("IF('AYIRA MINI MART FINAL MENU - Pr'!D302="""", """", GOOGLETRANSLATE('AYIRA MINI MART FINAL MENU - Pr'!D302,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302" s="56" t="str">
        <f>IF('AYIRA MINI MART FINAL MENU - Pr'!K302="", "", 'AYIRA MINI MART FINAL MENU - Pr'!K302)</f>
        <v/>
      </c>
      <c r="F302" s="56"/>
      <c r="G302" s="56"/>
      <c r="H302" s="56"/>
      <c r="I302" s="56"/>
      <c r="J302" s="56"/>
      <c r="L302" s="56" t="str">
        <f>IF('AYIRA MINI MART FINAL MENU - Pr'!L302="", "", 'AYIRA MINI MART FINAL MENU - Pr'!L302)</f>
        <v/>
      </c>
      <c r="M302" s="56" t="str">
        <f>IF('AYIRA MINI MART FINAL MENU - Pr'!M302="", "", 'AYIRA MINI MART FINAL MENU - Pr'!M302)</f>
        <v/>
      </c>
      <c r="N302" s="56" t="str">
        <f>IF('AYIRA MINI MART FINAL MENU - Pr'!N302="", "", 'AYIRA MINI MART FINAL MENU - Pr'!N302)</f>
        <v/>
      </c>
      <c r="O302" s="57"/>
      <c r="P302" s="57"/>
      <c r="Q302" s="57"/>
      <c r="R302" s="57"/>
      <c r="S302" s="57"/>
      <c r="T302" s="57"/>
      <c r="U302" s="57"/>
      <c r="V302" s="57"/>
      <c r="W302" s="57"/>
      <c r="X302" s="57"/>
      <c r="Y302" s="57"/>
      <c r="Z302" s="57"/>
    </row>
    <row r="303">
      <c r="A303" s="56" t="str">
        <f>IFERROR(__xludf.DUMMYFUNCTION("IF('AYIRA MINI MART FINAL MENU - Pr'!A303="""", """", IF(LEN(IFERROR(TRIM(REGEXREPLACE(TRIM(REGEXEXTRACT('AYIRA MINI MART FINAL MENU - Pr'!A303, ""^[^\x{0600}-\x{06FF}]+"")), ""[-–]+$"", """")), """"))&gt;0, IFERROR(TRIM(REGEXREPLACE(TRIM(REGEXEXTRACT('AYIRA"&amp;" MINI MART FINAL MENU - Pr'!A303, ""^[^\x{0600}-\x{06FF}]+"")), ""[-–]+$"", """")), """"), GOOGLETRANSLATE('AYIRA MINI MART FINAL MENU - Pr'!A303, ""ar"", ""en"")))"),"Dandy 50-50 Ice Cream 100ml")</f>
        <v>Dandy 50-50 Ice Cream 100ml</v>
      </c>
      <c r="B303" s="56" t="str">
        <f>IFERROR(__xludf.DUMMYFUNCTION("IF('AYIRA MINI MART FINAL MENU - Pr'!B303="""", """", IF(LEN(IFERROR(TRIM(REGEXREPLACE(TRIM(REGEXEXTRACT('AYIRA MINI MART FINAL MENU - Pr'!B303, ""^[^\x{0600}-\x{06FF}]+"")), ""[-–]+$"", """")), """"))&gt;0, IFERROR(TRIM(REGEXREPLACE(TRIM(REGEXEXTRACT('AYIRA"&amp;" MINI MART FINAL MENU - Pr'!B303, ""^[^\x{0600}-\x{06FF}]+"")), ""[-–]+$"", """")), """"), GOOGLETRANSLATE('AYIRA MINI MART FINAL MENU - Pr'!B303, ""ar"", ""en"")))"),"Ice Cream |")</f>
        <v>Ice Cream |</v>
      </c>
      <c r="C303" s="58">
        <f>IF('AYIRA MINI MART FINAL MENU - Pr'!C303="", "", 'AYIRA MINI MART FINAL MENU - Pr'!C303)</f>
        <v>3.5</v>
      </c>
      <c r="D303" s="56" t="str">
        <f>IFERROR(__xludf.DUMMYFUNCTION("IF('AYIRA MINI MART FINAL MENU - Pr'!D303="""", """", GOOGLETRANSLATE('AYIRA MINI MART FINAL MENU - Pr'!D303,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303" s="56" t="str">
        <f>IF('AYIRA MINI MART FINAL MENU - Pr'!K303="", "", 'AYIRA MINI MART FINAL MENU - Pr'!K303)</f>
        <v/>
      </c>
      <c r="F303" s="56"/>
      <c r="G303" s="56"/>
      <c r="H303" s="56"/>
      <c r="I303" s="56"/>
      <c r="J303" s="56"/>
      <c r="L303" s="56" t="str">
        <f>IF('AYIRA MINI MART FINAL MENU - Pr'!L303="", "", 'AYIRA MINI MART FINAL MENU - Pr'!L303)</f>
        <v/>
      </c>
      <c r="M303" s="56" t="str">
        <f>IF('AYIRA MINI MART FINAL MENU - Pr'!M303="", "", 'AYIRA MINI MART FINAL MENU - Pr'!M303)</f>
        <v/>
      </c>
      <c r="N303" s="56" t="str">
        <f>IF('AYIRA MINI MART FINAL MENU - Pr'!N303="", "", 'AYIRA MINI MART FINAL MENU - Pr'!N303)</f>
        <v/>
      </c>
      <c r="O303" s="57"/>
      <c r="P303" s="57"/>
      <c r="Q303" s="57"/>
      <c r="R303" s="57"/>
      <c r="S303" s="57"/>
      <c r="T303" s="57"/>
      <c r="U303" s="57"/>
      <c r="V303" s="57"/>
      <c r="W303" s="57"/>
      <c r="X303" s="57"/>
      <c r="Y303" s="57"/>
      <c r="Z303" s="57"/>
    </row>
    <row r="304">
      <c r="A304" s="56" t="str">
        <f>IFERROR(__xludf.DUMMYFUNCTION("IF('AYIRA MINI MART FINAL MENU - Pr'!A304="""", """", IF(LEN(IFERROR(TRIM(REGEXREPLACE(TRIM(REGEXEXTRACT('AYIRA MINI MART FINAL MENU - Pr'!A304, ""^[^\x{0600}-\x{06FF}]+"")), ""[-–]+$"", """")), """"))&gt;0, IFERROR(TRIM(REGEXREPLACE(TRIM(REGEXEXTRACT('AYIRA"&amp;" MINI MART FINAL MENU - Pr'!A304, ""^[^\x{0600}-\x{06FF}]+"")), ""[-–]+$"", """")), """"), GOOGLETRANSLATE('AYIRA MINI MART FINAL MENU - Pr'!A304, ""ar"", ""en"")))"),"Dandy Choco Bar Ice Cream 60ml")</f>
        <v>Dandy Choco Bar Ice Cream 60ml</v>
      </c>
      <c r="B304" s="56" t="str">
        <f>IFERROR(__xludf.DUMMYFUNCTION("IF('AYIRA MINI MART FINAL MENU - Pr'!B304="""", """", IF(LEN(IFERROR(TRIM(REGEXREPLACE(TRIM(REGEXEXTRACT('AYIRA MINI MART FINAL MENU - Pr'!B304, ""^[^\x{0600}-\x{06FF}]+"")), ""[-–]+$"", """")), """"))&gt;0, IFERROR(TRIM(REGEXREPLACE(TRIM(REGEXEXTRACT('AYIRA"&amp;" MINI MART FINAL MENU - Pr'!B304, ""^[^\x{0600}-\x{06FF}]+"")), ""[-–]+$"", """")), """"), GOOGLETRANSLATE('AYIRA MINI MART FINAL MENU - Pr'!B304, ""ar"", ""en"")))"),"Ice Cream |")</f>
        <v>Ice Cream |</v>
      </c>
      <c r="C304" s="58">
        <f>IF('AYIRA MINI MART FINAL MENU - Pr'!C304="", "", 'AYIRA MINI MART FINAL MENU - Pr'!C304)</f>
        <v>2</v>
      </c>
      <c r="D304" s="56" t="str">
        <f>IFERROR(__xludf.DUMMYFUNCTION("IF('AYIRA MINI MART FINAL MENU - Pr'!D304="""", """", GOOGLETRANSLATE('AYIRA MINI MART FINAL MENU - Pr'!D304,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304" s="56" t="str">
        <f>IF('AYIRA MINI MART FINAL MENU - Pr'!K304="", "", 'AYIRA MINI MART FINAL MENU - Pr'!K304)</f>
        <v/>
      </c>
      <c r="F304" s="56"/>
      <c r="G304" s="56"/>
      <c r="H304" s="56"/>
      <c r="I304" s="56"/>
      <c r="J304" s="56"/>
      <c r="L304" s="56" t="str">
        <f>IF('AYIRA MINI MART FINAL MENU - Pr'!L304="", "", 'AYIRA MINI MART FINAL MENU - Pr'!L304)</f>
        <v/>
      </c>
      <c r="M304" s="56" t="str">
        <f>IF('AYIRA MINI MART FINAL MENU - Pr'!M304="", "", 'AYIRA MINI MART FINAL MENU - Pr'!M304)</f>
        <v/>
      </c>
      <c r="N304" s="56" t="str">
        <f>IF('AYIRA MINI MART FINAL MENU - Pr'!N304="", "", 'AYIRA MINI MART FINAL MENU - Pr'!N304)</f>
        <v/>
      </c>
      <c r="O304" s="57"/>
      <c r="P304" s="57"/>
      <c r="Q304" s="57"/>
      <c r="R304" s="57"/>
      <c r="S304" s="57"/>
      <c r="T304" s="57"/>
      <c r="U304" s="57"/>
      <c r="V304" s="57"/>
      <c r="W304" s="57"/>
      <c r="X304" s="57"/>
      <c r="Y304" s="57"/>
      <c r="Z304" s="57"/>
    </row>
    <row r="305">
      <c r="A305" s="56" t="str">
        <f>IFERROR(__xludf.DUMMYFUNCTION("IF('AYIRA MINI MART FINAL MENU - Pr'!A305="""", """", IF(LEN(IFERROR(TRIM(REGEXREPLACE(TRIM(REGEXEXTRACT('AYIRA MINI MART FINAL MENU - Pr'!A305, ""^[^\x{0600}-\x{06FF}]+"")), ""[-–]+$"", """")), """"))&gt;0, IFERROR(TRIM(REGEXREPLACE(TRIM(REGEXEXTRACT('AYIRA"&amp;" MINI MART FINAL MENU - Pr'!A305, ""^[^\x{0600}-\x{06FF}]+"")), ""[-–]+$"", """")), """"), GOOGLETRANSLATE('AYIRA MINI MART FINAL MENU - Pr'!A305, ""ar"", ""en"")))"),"Dandy Stack Up Ice Cream 80ml")</f>
        <v>Dandy Stack Up Ice Cream 80ml</v>
      </c>
      <c r="B305" s="56" t="str">
        <f>IFERROR(__xludf.DUMMYFUNCTION("IF('AYIRA MINI MART FINAL MENU - Pr'!B305="""", """", IF(LEN(IFERROR(TRIM(REGEXREPLACE(TRIM(REGEXEXTRACT('AYIRA MINI MART FINAL MENU - Pr'!B305, ""^[^\x{0600}-\x{06FF}]+"")), ""[-–]+$"", """")), """"))&gt;0, IFERROR(TRIM(REGEXREPLACE(TRIM(REGEXEXTRACT('AYIRA"&amp;" MINI MART FINAL MENU - Pr'!B305, ""^[^\x{0600}-\x{06FF}]+"")), ""[-–]+$"", """")), """"), GOOGLETRANSLATE('AYIRA MINI MART FINAL MENU - Pr'!B305, ""ar"", ""en"")))"),"Ice Cream |")</f>
        <v>Ice Cream |</v>
      </c>
      <c r="C305" s="58">
        <f>IF('AYIRA MINI MART FINAL MENU - Pr'!C305="", "", 'AYIRA MINI MART FINAL MENU - Pr'!C305)</f>
        <v>1.5</v>
      </c>
      <c r="D305" s="56" t="str">
        <f>IFERROR(__xludf.DUMMYFUNCTION("IF('AYIRA MINI MART FINAL MENU - Pr'!D305="""", """", GOOGLETRANSLATE('AYIRA MINI MART FINAL MENU - Pr'!D305,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305" s="56" t="str">
        <f>IF('AYIRA MINI MART FINAL MENU - Pr'!K305="", "", 'AYIRA MINI MART FINAL MENU - Pr'!K305)</f>
        <v/>
      </c>
      <c r="F305" s="56"/>
      <c r="G305" s="56"/>
      <c r="H305" s="56"/>
      <c r="I305" s="56"/>
      <c r="J305" s="56"/>
      <c r="L305" s="56" t="str">
        <f>IF('AYIRA MINI MART FINAL MENU - Pr'!L305="", "", 'AYIRA MINI MART FINAL MENU - Pr'!L305)</f>
        <v/>
      </c>
      <c r="M305" s="56" t="str">
        <f>IF('AYIRA MINI MART FINAL MENU - Pr'!M305="", "", 'AYIRA MINI MART FINAL MENU - Pr'!M305)</f>
        <v/>
      </c>
      <c r="N305" s="56" t="str">
        <f>IF('AYIRA MINI MART FINAL MENU - Pr'!N305="", "", 'AYIRA MINI MART FINAL MENU - Pr'!N305)</f>
        <v/>
      </c>
      <c r="O305" s="57"/>
      <c r="P305" s="57"/>
      <c r="Q305" s="57"/>
      <c r="R305" s="57"/>
      <c r="S305" s="57"/>
      <c r="T305" s="57"/>
      <c r="U305" s="57"/>
      <c r="V305" s="57"/>
      <c r="W305" s="57"/>
      <c r="X305" s="57"/>
      <c r="Y305" s="57"/>
      <c r="Z305" s="57"/>
    </row>
    <row r="306">
      <c r="A306" s="56" t="str">
        <f>IFERROR(__xludf.DUMMYFUNCTION("IF('AYIRA MINI MART FINAL MENU - Pr'!A306="""", """", IF(LEN(IFERROR(TRIM(REGEXREPLACE(TRIM(REGEXEXTRACT('AYIRA MINI MART FINAL MENU - Pr'!A306, ""^[^\x{0600}-\x{06FF}]+"")), ""[-–]+$"", """")), """"))&gt;0, IFERROR(TRIM(REGEXREPLACE(TRIM(REGEXEXTRACT('AYIRA"&amp;" MINI MART FINAL MENU - Pr'!A306, ""^[^\x{0600}-\x{06FF}]+"")), ""[-–]+$"", """")), """"), GOOGLETRANSLATE('AYIRA MINI MART FINAL MENU - Pr'!A306, ""ar"", ""en"")))"),"Daity Sarin Ice Cream 90ml – Daity Sarin")</f>
        <v>Daity Sarin Ice Cream 90ml – Daity Sarin</v>
      </c>
      <c r="B306" s="56" t="str">
        <f>IFERROR(__xludf.DUMMYFUNCTION("IF('AYIRA MINI MART FINAL MENU - Pr'!B306="""", """", IF(LEN(IFERROR(TRIM(REGEXREPLACE(TRIM(REGEXEXTRACT('AYIRA MINI MART FINAL MENU - Pr'!B306, ""^[^\x{0600}-\x{06FF}]+"")), ""[-–]+$"", """")), """"))&gt;0, IFERROR(TRIM(REGEXREPLACE(TRIM(REGEXEXTRACT('AYIRA"&amp;" MINI MART FINAL MENU - Pr'!B306, ""^[^\x{0600}-\x{06FF}]+"")), ""[-–]+$"", """")), """"), GOOGLETRANSLATE('AYIRA MINI MART FINAL MENU - Pr'!B306, ""ar"", ""en"")))"),"Ice Cream |")</f>
        <v>Ice Cream |</v>
      </c>
      <c r="C306" s="58">
        <f>IF('AYIRA MINI MART FINAL MENU - Pr'!C306="", "", 'AYIRA MINI MART FINAL MENU - Pr'!C306)</f>
        <v>5</v>
      </c>
      <c r="D306" s="56" t="str">
        <f>IFERROR(__xludf.DUMMYFUNCTION("IF('AYIRA MINI MART FINAL MENU - Pr'!D306="""", """", GOOGLETRANSLATE('AYIRA MINI MART FINAL MENU - Pr'!D306, ""ar"", ""en""))"),"Cool down on hot days with Daity Sarin Ice Cream 90ml, a delicious treat that transports you to a world of refreshment and enjoyment. Its wonderful flavor and smooth, creamy texture melt in your mouth, leaving a delightful and unforgettable aftertaste. Pe"&amp;"rfect for children and adults alike, it's a great light dessert any time of day. Discover the secret to its unique taste and make it a part of your sunny day. Available fresh and preserved to the highest standards at Aira Mini Mart.")</f>
        <v>Cool down on hot days with Daity Sarin Ice Cream 90ml,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Available fresh and preserved to the highest standards at Aira Mini Mart.</v>
      </c>
      <c r="E306" s="56" t="str">
        <f>IF('AYIRA MINI MART FINAL MENU - Pr'!K306="", "", 'AYIRA MINI MART FINAL MENU - Pr'!K306)</f>
        <v/>
      </c>
      <c r="F306" s="56"/>
      <c r="G306" s="56"/>
      <c r="H306" s="56"/>
      <c r="I306" s="56"/>
      <c r="J306" s="56"/>
      <c r="L306" s="56" t="str">
        <f>IF('AYIRA MINI MART FINAL MENU - Pr'!L306="", "", 'AYIRA MINI MART FINAL MENU - Pr'!L306)</f>
        <v/>
      </c>
      <c r="M306" s="56" t="str">
        <f>IF('AYIRA MINI MART FINAL MENU - Pr'!M306="", "", 'AYIRA MINI MART FINAL MENU - Pr'!M306)</f>
        <v/>
      </c>
      <c r="N306" s="56" t="str">
        <f>IF('AYIRA MINI MART FINAL MENU - Pr'!N306="", "", 'AYIRA MINI MART FINAL MENU - Pr'!N306)</f>
        <v/>
      </c>
      <c r="O306" s="57"/>
      <c r="P306" s="57"/>
      <c r="Q306" s="57"/>
      <c r="R306" s="57"/>
      <c r="S306" s="57"/>
      <c r="T306" s="57"/>
      <c r="U306" s="57"/>
      <c r="V306" s="57"/>
      <c r="W306" s="57"/>
      <c r="X306" s="57"/>
      <c r="Y306" s="57"/>
      <c r="Z306" s="57"/>
    </row>
    <row r="307">
      <c r="A307" s="56" t="str">
        <f>IFERROR(__xludf.DUMMYFUNCTION("IF('AYIRA MINI MART FINAL MENU - Pr'!A307="""", """", IF(LEN(IFERROR(TRIM(REGEXREPLACE(TRIM(REGEXEXTRACT('AYIRA MINI MART FINAL MENU - Pr'!A307, ""^[^\x{0600}-\x{06FF}]+"")), ""[-–]+$"", """")), """"))&gt;0, IFERROR(TRIM(REGEXREPLACE(TRIM(REGEXEXTRACT('AYIRA"&amp;" MINI MART FINAL MENU - Pr'!A307, ""^[^\x{0600}-\x{06FF}]+"")), ""[-–]+$"", """")), """"), GOOGLETRANSLATE('AYIRA MINI MART FINAL MENU - Pr'!A307, ""ar"", ""en"")))"),"Daity Amiral Ice Cream 80g – Daity Amiral")</f>
        <v>Daity Amiral Ice Cream 80g – Daity Amiral</v>
      </c>
      <c r="B307" s="56" t="str">
        <f>IFERROR(__xludf.DUMMYFUNCTION("IF('AYIRA MINI MART FINAL MENU - Pr'!B307="""", """", IF(LEN(IFERROR(TRIM(REGEXREPLACE(TRIM(REGEXEXTRACT('AYIRA MINI MART FINAL MENU - Pr'!B307, ""^[^\x{0600}-\x{06FF}]+"")), ""[-–]+$"", """")), """"))&gt;0, IFERROR(TRIM(REGEXREPLACE(TRIM(REGEXEXTRACT('AYIRA"&amp;" MINI MART FINAL MENU - Pr'!B307, ""^[^\x{0600}-\x{06FF}]+"")), ""[-–]+$"", """")), """"), GOOGLETRANSLATE('AYIRA MINI MART FINAL MENU - Pr'!B307, ""ar"", ""en"")))"),"Ice Cream |")</f>
        <v>Ice Cream |</v>
      </c>
      <c r="C307" s="58">
        <f>IF('AYIRA MINI MART FINAL MENU - Pr'!C307="", "", 'AYIRA MINI MART FINAL MENU - Pr'!C307)</f>
        <v>5</v>
      </c>
      <c r="D307" s="56" t="str">
        <f>IFERROR(__xludf.DUMMYFUNCTION("IF('AYIRA MINI MART FINAL MENU - Pr'!D307="""", """", GOOGLETRANSLATE('AYIRA MINI MART FINAL MENU - Pr'!D307, ""ar"", ""en""))"),"Cool down on hot days with Daity Amiral Ice Cream 80g, a delicious treat that will transport you to a world of refreshment and enjoyment. Its wonderful flavor and smooth, creamy texture melt in your mouth, leaving a delightful and unforgettable aftertaste"&amp;". Perfect for children and adults alike, it's a great light dessert any time of day. Discover the secret to its unique taste and make it a part of your sunny day. Aira Mini Mart offers it fresh and preserved to the highest standards.")</f>
        <v>Cool down on hot days with Daity Amiral Ice Cream 80g,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07" s="56" t="str">
        <f>IF('AYIRA MINI MART FINAL MENU - Pr'!K307="", "", 'AYIRA MINI MART FINAL MENU - Pr'!K307)</f>
        <v/>
      </c>
      <c r="F307" s="56"/>
      <c r="G307" s="56"/>
      <c r="H307" s="56"/>
      <c r="I307" s="56"/>
      <c r="J307" s="56"/>
      <c r="L307" s="56" t="str">
        <f>IF('AYIRA MINI MART FINAL MENU - Pr'!L307="", "", 'AYIRA MINI MART FINAL MENU - Pr'!L307)</f>
        <v/>
      </c>
      <c r="M307" s="56" t="str">
        <f>IF('AYIRA MINI MART FINAL MENU - Pr'!M307="", "", 'AYIRA MINI MART FINAL MENU - Pr'!M307)</f>
        <v/>
      </c>
      <c r="N307" s="56" t="str">
        <f>IF('AYIRA MINI MART FINAL MENU - Pr'!N307="", "", 'AYIRA MINI MART FINAL MENU - Pr'!N307)</f>
        <v/>
      </c>
      <c r="O307" s="57"/>
      <c r="P307" s="57"/>
      <c r="Q307" s="57"/>
      <c r="R307" s="57"/>
      <c r="S307" s="57"/>
      <c r="T307" s="57"/>
      <c r="U307" s="57"/>
      <c r="V307" s="57"/>
      <c r="W307" s="57"/>
      <c r="X307" s="57"/>
      <c r="Y307" s="57"/>
      <c r="Z307" s="57"/>
    </row>
    <row r="308">
      <c r="A308" s="56" t="str">
        <f>IFERROR(__xludf.DUMMYFUNCTION("IF('AYIRA MINI MART FINAL MENU - Pr'!A308="""", """", IF(LEN(IFERROR(TRIM(REGEXREPLACE(TRIM(REGEXEXTRACT('AYIRA MINI MART FINAL MENU - Pr'!A308, ""^[^\x{0600}-\x{06FF}]+"")), ""[-–]+$"", """")), """"))&gt;0, IFERROR(TRIM(REGEXREPLACE(TRIM(REGEXEXTRACT('AYIRA"&amp;" MINI MART FINAL MENU - Pr'!A308, ""^[^\x{0600}-\x{06FF}]+"")), ""[-–]+$"", """")), """"), GOOGLETRANSLATE('AYIRA MINI MART FINAL MENU - Pr'!A308, ""ar"", ""en"")))"),"Dandy Sandwich Ice Cream 100ml")</f>
        <v>Dandy Sandwich Ice Cream 100ml</v>
      </c>
      <c r="B308" s="56" t="str">
        <f>IFERROR(__xludf.DUMMYFUNCTION("IF('AYIRA MINI MART FINAL MENU - Pr'!B308="""", """", IF(LEN(IFERROR(TRIM(REGEXREPLACE(TRIM(REGEXEXTRACT('AYIRA MINI MART FINAL MENU - Pr'!B308, ""^[^\x{0600}-\x{06FF}]+"")), ""[-–]+$"", """")), """"))&gt;0, IFERROR(TRIM(REGEXREPLACE(TRIM(REGEXEXTRACT('AYIRA"&amp;" MINI MART FINAL MENU - Pr'!B308, ""^[^\x{0600}-\x{06FF}]+"")), ""[-–]+$"", """")), """"), GOOGLETRANSLATE('AYIRA MINI MART FINAL MENU - Pr'!B308, ""ar"", ""en"")))"),"Ice Cream |")</f>
        <v>Ice Cream |</v>
      </c>
      <c r="C308" s="58">
        <f>IF('AYIRA MINI MART FINAL MENU - Pr'!C308="", "", 'AYIRA MINI MART FINAL MENU - Pr'!C308)</f>
        <v>2.5</v>
      </c>
      <c r="D308" s="56" t="str">
        <f>IFERROR(__xludf.DUMMYFUNCTION("IF('AYIRA MINI MART FINAL MENU - Pr'!D308="""", """", GOOGLETRANSLATE('AYIRA MINI MART FINAL MENU - Pr'!D308,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308" s="56" t="str">
        <f>IF('AYIRA MINI MART FINAL MENU - Pr'!K308="", "", 'AYIRA MINI MART FINAL MENU - Pr'!K308)</f>
        <v/>
      </c>
      <c r="F308" s="56"/>
      <c r="G308" s="56"/>
      <c r="H308" s="56"/>
      <c r="I308" s="56"/>
      <c r="J308" s="56"/>
      <c r="L308" s="56" t="str">
        <f>IF('AYIRA MINI MART FINAL MENU - Pr'!L308="", "", 'AYIRA MINI MART FINAL MENU - Pr'!L308)</f>
        <v/>
      </c>
      <c r="M308" s="56" t="str">
        <f>IF('AYIRA MINI MART FINAL MENU - Pr'!M308="", "", 'AYIRA MINI MART FINAL MENU - Pr'!M308)</f>
        <v/>
      </c>
      <c r="N308" s="56" t="str">
        <f>IF('AYIRA MINI MART FINAL MENU - Pr'!N308="", "", 'AYIRA MINI MART FINAL MENU - Pr'!N308)</f>
        <v/>
      </c>
      <c r="O308" s="57"/>
      <c r="P308" s="57"/>
      <c r="Q308" s="57"/>
      <c r="R308" s="57"/>
      <c r="S308" s="57"/>
      <c r="T308" s="57"/>
      <c r="U308" s="57"/>
      <c r="V308" s="57"/>
      <c r="W308" s="57"/>
      <c r="X308" s="57"/>
      <c r="Y308" s="57"/>
      <c r="Z308" s="57"/>
    </row>
    <row r="309">
      <c r="A309" s="56" t="str">
        <f>IFERROR(__xludf.DUMMYFUNCTION("IF('AYIRA MINI MART FINAL MENU - Pr'!A309="""", """", IF(LEN(IFERROR(TRIM(REGEXREPLACE(TRIM(REGEXEXTRACT('AYIRA MINI MART FINAL MENU - Pr'!A309, ""^[^\x{0600}-\x{06FF}]+"")), ""[-–]+$"", """")), """"))&gt;0, IFERROR(TRIM(REGEXREPLACE(TRIM(REGEXEXTRACT('AYIRA"&amp;" MINI MART FINAL MENU - Pr'!A309, ""^[^\x{0600}-\x{06FF}]+"")), ""[-–]+$"", """")), """"), GOOGLETRANSLATE('AYIRA MINI MART FINAL MENU - Pr'!A309, ""ar"", ""en"")))"),"Dandy Trio Ice Cream 80ml")</f>
        <v>Dandy Trio Ice Cream 80ml</v>
      </c>
      <c r="B309" s="56" t="str">
        <f>IFERROR(__xludf.DUMMYFUNCTION("IF('AYIRA MINI MART FINAL MENU - Pr'!B309="""", """", IF(LEN(IFERROR(TRIM(REGEXREPLACE(TRIM(REGEXEXTRACT('AYIRA MINI MART FINAL MENU - Pr'!B309, ""^[^\x{0600}-\x{06FF}]+"")), ""[-–]+$"", """")), """"))&gt;0, IFERROR(TRIM(REGEXREPLACE(TRIM(REGEXEXTRACT('AYIRA"&amp;" MINI MART FINAL MENU - Pr'!B309, ""^[^\x{0600}-\x{06FF}]+"")), ""[-–]+$"", """")), """"), GOOGLETRANSLATE('AYIRA MINI MART FINAL MENU - Pr'!B309, ""ar"", ""en"")))"),"Ice Cream |")</f>
        <v>Ice Cream |</v>
      </c>
      <c r="C309" s="58">
        <f>IF('AYIRA MINI MART FINAL MENU - Pr'!C309="", "", 'AYIRA MINI MART FINAL MENU - Pr'!C309)</f>
        <v>1.5</v>
      </c>
      <c r="D309" s="56" t="str">
        <f>IFERROR(__xludf.DUMMYFUNCTION("IF('AYIRA MINI MART FINAL MENU - Pr'!D309="""", """", GOOGLETRANSLATE('AYIRA MINI MART FINAL MENU - Pr'!D309, ""ar"", ""en""))"),"Cool down on hot days with Dandy, the delicious ice cream that transports you to a world of refreshment and enjoyment. It boasts a wonderful flavor and a smooth, creamy texture that melts in your mouth, leaving a delightful and unforgettable aftertaste. P"&amp;"erfect for children and adults alike, it's a great light treat any time of day. Discover the secret to its unique taste and make it a part of your sunny day. Available fresh and preserved to the highest standards at Aira Mini Mart.")</f>
        <v>Cool down on hot days with Dandy,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Available fresh and preserved to the highest standards at Aira Mini Mart.</v>
      </c>
      <c r="E309" s="56" t="str">
        <f>IF('AYIRA MINI MART FINAL MENU - Pr'!K309="", "", 'AYIRA MINI MART FINAL MENU - Pr'!K309)</f>
        <v/>
      </c>
      <c r="F309" s="56"/>
      <c r="G309" s="56"/>
      <c r="H309" s="56"/>
      <c r="I309" s="56"/>
      <c r="J309" s="56"/>
      <c r="L309" s="56" t="str">
        <f>IF('AYIRA MINI MART FINAL MENU - Pr'!L309="", "", 'AYIRA MINI MART FINAL MENU - Pr'!L309)</f>
        <v/>
      </c>
      <c r="M309" s="56" t="str">
        <f>IF('AYIRA MINI MART FINAL MENU - Pr'!M309="", "", 'AYIRA MINI MART FINAL MENU - Pr'!M309)</f>
        <v/>
      </c>
      <c r="N309" s="56" t="str">
        <f>IF('AYIRA MINI MART FINAL MENU - Pr'!N309="", "", 'AYIRA MINI MART FINAL MENU - Pr'!N309)</f>
        <v/>
      </c>
      <c r="O309" s="57"/>
      <c r="P309" s="57"/>
      <c r="Q309" s="57"/>
      <c r="R309" s="57"/>
      <c r="S309" s="57"/>
      <c r="T309" s="57"/>
      <c r="U309" s="57"/>
      <c r="V309" s="57"/>
      <c r="W309" s="57"/>
      <c r="X309" s="57"/>
      <c r="Y309" s="57"/>
      <c r="Z309" s="57"/>
    </row>
    <row r="310">
      <c r="A310" s="56" t="str">
        <f>IFERROR(__xludf.DUMMYFUNCTION("IF('AYIRA MINI MART FINAL MENU - Pr'!A310="""", """", IF(LEN(IFERROR(TRIM(REGEXREPLACE(TRIM(REGEXEXTRACT('AYIRA MINI MART FINAL MENU - Pr'!A310, ""^[^\x{0600}-\x{06FF}]+"")), ""[-–]+$"", """")), """"))&gt;0, IFERROR(TRIM(REGEXREPLACE(TRIM(REGEXEXTRACT('AYIRA"&amp;" MINI MART FINAL MENU - Pr'!A310, ""^[^\x{0600}-\x{06FF}]+"")), ""[-–]+$"", """")), """"), GOOGLETRANSLATE('AYIRA MINI MART FINAL MENU - Pr'!A310, ""ar"", ""en"")))"),"KDD Vanilla Ice Cream Biscuit Sandwich 77ml")</f>
        <v>KDD Vanilla Ice Cream Biscuit Sandwich 77ml</v>
      </c>
      <c r="B310" s="56" t="str">
        <f>IFERROR(__xludf.DUMMYFUNCTION("IF('AYIRA MINI MART FINAL MENU - Pr'!B310="""", """", IF(LEN(IFERROR(TRIM(REGEXREPLACE(TRIM(REGEXEXTRACT('AYIRA MINI MART FINAL MENU - Pr'!B310, ""^[^\x{0600}-\x{06FF}]+"")), ""[-–]+$"", """")), """"))&gt;0, IFERROR(TRIM(REGEXREPLACE(TRIM(REGEXEXTRACT('AYIRA"&amp;" MINI MART FINAL MENU - Pr'!B310, ""^[^\x{0600}-\x{06FF}]+"")), ""[-–]+$"", """")), """"), GOOGLETRANSLATE('AYIRA MINI MART FINAL MENU - Pr'!B310, ""ar"", ""en"")))"),"Ice Cream |")</f>
        <v>Ice Cream |</v>
      </c>
      <c r="C310" s="58">
        <f>IF('AYIRA MINI MART FINAL MENU - Pr'!C310="", "", 'AYIRA MINI MART FINAL MENU - Pr'!C310)</f>
        <v>1</v>
      </c>
      <c r="D310" s="56" t="str">
        <f>IFERROR(__xludf.DUMMYFUNCTION("IF('AYIRA MINI MART FINAL MENU - Pr'!D310="""", """", GOOGLETRANSLATE('AYIRA MINI MART FINAL MENU - Pr'!D310,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10" s="56" t="str">
        <f>IF('AYIRA MINI MART FINAL MENU - Pr'!K310="", "", 'AYIRA MINI MART FINAL MENU - Pr'!K310)</f>
        <v/>
      </c>
      <c r="F310" s="56"/>
      <c r="G310" s="56"/>
      <c r="H310" s="56"/>
      <c r="I310" s="56"/>
      <c r="J310" s="56"/>
      <c r="L310" s="56" t="str">
        <f>IF('AYIRA MINI MART FINAL MENU - Pr'!L310="", "", 'AYIRA MINI MART FINAL MENU - Pr'!L310)</f>
        <v/>
      </c>
      <c r="M310" s="56" t="str">
        <f>IF('AYIRA MINI MART FINAL MENU - Pr'!M310="", "", 'AYIRA MINI MART FINAL MENU - Pr'!M310)</f>
        <v/>
      </c>
      <c r="N310" s="56" t="str">
        <f>IF('AYIRA MINI MART FINAL MENU - Pr'!N310="", "", 'AYIRA MINI MART FINAL MENU - Pr'!N310)</f>
        <v/>
      </c>
      <c r="O310" s="57"/>
      <c r="P310" s="57"/>
      <c r="Q310" s="57"/>
      <c r="R310" s="57"/>
      <c r="S310" s="57"/>
      <c r="T310" s="57"/>
      <c r="U310" s="57"/>
      <c r="V310" s="57"/>
      <c r="W310" s="57"/>
      <c r="X310" s="57"/>
      <c r="Y310" s="57"/>
      <c r="Z310" s="57"/>
    </row>
    <row r="311">
      <c r="A311" s="56" t="str">
        <f>IFERROR(__xludf.DUMMYFUNCTION("IF('AYIRA MINI MART FINAL MENU - Pr'!A311="""", """", IF(LEN(IFERROR(TRIM(REGEXREPLACE(TRIM(REGEXEXTRACT('AYIRA MINI MART FINAL MENU - Pr'!A311, ""^[^\x{0600}-\x{06FF}]+"")), ""[-–]+$"", """")), """"))&gt;0, IFERROR(TRIM(REGEXREPLACE(TRIM(REGEXEXTRACT('AYIRA"&amp;" MINI MART FINAL MENU - Pr'!A311, ""^[^\x{0600}-\x{06FF}]+"")), ""[-–]+$"", """")), """"), GOOGLETRANSLATE('AYIRA MINI MART FINAL MENU - Pr'!A311, ""ar"", ""en"")))"),"KDD Lulu Ice Cream – Chocolate &amp; Nougat 100ml")</f>
        <v>KDD Lulu Ice Cream – Chocolate &amp; Nougat 100ml</v>
      </c>
      <c r="B311" s="56" t="str">
        <f>IFERROR(__xludf.DUMMYFUNCTION("IF('AYIRA MINI MART FINAL MENU - Pr'!B311="""", """", IF(LEN(IFERROR(TRIM(REGEXREPLACE(TRIM(REGEXEXTRACT('AYIRA MINI MART FINAL MENU - Pr'!B311, ""^[^\x{0600}-\x{06FF}]+"")), ""[-–]+$"", """")), """"))&gt;0, IFERROR(TRIM(REGEXREPLACE(TRIM(REGEXEXTRACT('AYIRA"&amp;" MINI MART FINAL MENU - Pr'!B311, ""^[^\x{0600}-\x{06FF}]+"")), ""[-–]+$"", """")), """"), GOOGLETRANSLATE('AYIRA MINI MART FINAL MENU - Pr'!B311, ""ar"", ""en"")))"),"Ice Cream |")</f>
        <v>Ice Cream |</v>
      </c>
      <c r="C311" s="58">
        <f>IF('AYIRA MINI MART FINAL MENU - Pr'!C311="", "", 'AYIRA MINI MART FINAL MENU - Pr'!C311)</f>
        <v>3.5</v>
      </c>
      <c r="D311" s="56" t="str">
        <f>IFERROR(__xludf.DUMMYFUNCTION("IF('AYIRA MINI MART FINAL MENU - Pr'!D311="""", """", GOOGLETRANSLATE('AYIRA MINI MART FINAL MENU - Pr'!D311,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11" s="56" t="str">
        <f>IF('AYIRA MINI MART FINAL MENU - Pr'!K311="", "", 'AYIRA MINI MART FINAL MENU - Pr'!K311)</f>
        <v/>
      </c>
      <c r="F311" s="56"/>
      <c r="G311" s="56"/>
      <c r="H311" s="56"/>
      <c r="I311" s="56"/>
      <c r="J311" s="56"/>
      <c r="L311" s="56" t="str">
        <f>IF('AYIRA MINI MART FINAL MENU - Pr'!L311="", "", 'AYIRA MINI MART FINAL MENU - Pr'!L311)</f>
        <v/>
      </c>
      <c r="M311" s="56" t="str">
        <f>IF('AYIRA MINI MART FINAL MENU - Pr'!M311="", "", 'AYIRA MINI MART FINAL MENU - Pr'!M311)</f>
        <v/>
      </c>
      <c r="N311" s="56" t="str">
        <f>IF('AYIRA MINI MART FINAL MENU - Pr'!N311="", "", 'AYIRA MINI MART FINAL MENU - Pr'!N311)</f>
        <v/>
      </c>
      <c r="O311" s="57"/>
      <c r="P311" s="57"/>
      <c r="Q311" s="57"/>
      <c r="R311" s="57"/>
      <c r="S311" s="57"/>
      <c r="T311" s="57"/>
      <c r="U311" s="57"/>
      <c r="V311" s="57"/>
      <c r="W311" s="57"/>
      <c r="X311" s="57"/>
      <c r="Y311" s="57"/>
      <c r="Z311" s="57"/>
    </row>
    <row r="312">
      <c r="A312" s="56" t="str">
        <f>IFERROR(__xludf.DUMMYFUNCTION("IF('AYIRA MINI MART FINAL MENU - Pr'!A312="""", """", IF(LEN(IFERROR(TRIM(REGEXREPLACE(TRIM(REGEXEXTRACT('AYIRA MINI MART FINAL MENU - Pr'!A312, ""^[^\x{0600}-\x{06FF}]+"")), ""[-–]+$"", """")), """"))&gt;0, IFERROR(TRIM(REGEXREPLACE(TRIM(REGEXEXTRACT('AYIRA"&amp;" MINI MART FINAL MENU - Pr'!A312, ""^[^\x{0600}-\x{06FF}]+"")), ""[-–]+$"", """")), """"), GOOGLETRANSLATE('AYIRA MINI MART FINAL MENU - Pr'!A312, ""ar"", ""en"")))"),"KDD Orange Lolly Water Ice 62.5g")</f>
        <v>KDD Orange Lolly Water Ice 62.5g</v>
      </c>
      <c r="B312" s="56" t="str">
        <f>IFERROR(__xludf.DUMMYFUNCTION("IF('AYIRA MINI MART FINAL MENU - Pr'!B312="""", """", IF(LEN(IFERROR(TRIM(REGEXREPLACE(TRIM(REGEXEXTRACT('AYIRA MINI MART FINAL MENU - Pr'!B312, ""^[^\x{0600}-\x{06FF}]+"")), ""[-–]+$"", """")), """"))&gt;0, IFERROR(TRIM(REGEXREPLACE(TRIM(REGEXEXTRACT('AYIRA"&amp;" MINI MART FINAL MENU - Pr'!B312, ""^[^\x{0600}-\x{06FF}]+"")), ""[-–]+$"", """")), """"), GOOGLETRANSLATE('AYIRA MINI MART FINAL MENU - Pr'!B312, ""ar"", ""en"")))"),"Ice Cream |")</f>
        <v>Ice Cream |</v>
      </c>
      <c r="C312" s="58">
        <f>IF('AYIRA MINI MART FINAL MENU - Pr'!C312="", "", 'AYIRA MINI MART FINAL MENU - Pr'!C312)</f>
        <v>1</v>
      </c>
      <c r="D312" s="56" t="str">
        <f>IFERROR(__xludf.DUMMYFUNCTION("IF('AYIRA MINI MART FINAL MENU - Pr'!D312="""", """", GOOGLETRANSLATE('AYIRA MINI MART FINAL MENU - Pr'!D312, ""ar"", ""en""))"),"Drink KDD, the pure water that restores your body's natural balance. Sourced from the purest natural sources and bottled to the highest standards of quality and hygiene to ensure it reaches you in perfect condition. Proper hydration is essential for a goo"&amp;"d life, and choosing this water reflects your commitment to your well-being. Make sure to drink enough water daily to maintain your energy and vitality. Aira Mini Mart offers this premium water at competitive prices.")</f>
        <v>Drink KDD,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312" s="56" t="str">
        <f>IF('AYIRA MINI MART FINAL MENU - Pr'!K312="", "", 'AYIRA MINI MART FINAL MENU - Pr'!K312)</f>
        <v/>
      </c>
      <c r="F312" s="56"/>
      <c r="G312" s="56"/>
      <c r="H312" s="56"/>
      <c r="I312" s="56"/>
      <c r="J312" s="56"/>
      <c r="L312" s="56" t="str">
        <f>IF('AYIRA MINI MART FINAL MENU - Pr'!L312="", "", 'AYIRA MINI MART FINAL MENU - Pr'!L312)</f>
        <v/>
      </c>
      <c r="M312" s="56" t="str">
        <f>IF('AYIRA MINI MART FINAL MENU - Pr'!M312="", "", 'AYIRA MINI MART FINAL MENU - Pr'!M312)</f>
        <v/>
      </c>
      <c r="N312" s="56" t="str">
        <f>IF('AYIRA MINI MART FINAL MENU - Pr'!N312="", "", 'AYIRA MINI MART FINAL MENU - Pr'!N312)</f>
        <v/>
      </c>
      <c r="O312" s="57"/>
      <c r="P312" s="57"/>
      <c r="Q312" s="57"/>
      <c r="R312" s="57"/>
      <c r="S312" s="57"/>
      <c r="T312" s="57"/>
      <c r="U312" s="57"/>
      <c r="V312" s="57"/>
      <c r="W312" s="57"/>
      <c r="X312" s="57"/>
      <c r="Y312" s="57"/>
      <c r="Z312" s="57"/>
    </row>
    <row r="313">
      <c r="A313" s="56" t="str">
        <f>IFERROR(__xludf.DUMMYFUNCTION("IF('AYIRA MINI MART FINAL MENU - Pr'!A313="""", """", IF(LEN(IFERROR(TRIM(REGEXREPLACE(TRIM(REGEXEXTRACT('AYIRA MINI MART FINAL MENU - Pr'!A313, ""^[^\x{0600}-\x{06FF}]+"")), ""[-–]+$"", """")), """"))&gt;0, IFERROR(TRIM(REGEXREPLACE(TRIM(REGEXEXTRACT('AYIRA"&amp;" MINI MART FINAL MENU - Pr'!A313, ""^[^\x{0600}-\x{06FF}]+"")), ""[-–]+$"", """")), """"), GOOGLETRANSLATE('AYIRA MINI MART FINAL MENU - Pr'!A313, ""ar"", ""en"")))"),"KDD Vanilla Almond Ice Cream 95g")</f>
        <v>KDD Vanilla Almond Ice Cream 95g</v>
      </c>
      <c r="B313" s="56" t="str">
        <f>IFERROR(__xludf.DUMMYFUNCTION("IF('AYIRA MINI MART FINAL MENU - Pr'!B313="""", """", IF(LEN(IFERROR(TRIM(REGEXREPLACE(TRIM(REGEXEXTRACT('AYIRA MINI MART FINAL MENU - Pr'!B313, ""^[^\x{0600}-\x{06FF}]+"")), ""[-–]+$"", """")), """"))&gt;0, IFERROR(TRIM(REGEXREPLACE(TRIM(REGEXEXTRACT('AYIRA"&amp;" MINI MART FINAL MENU - Pr'!B313, ""^[^\x{0600}-\x{06FF}]+"")), ""[-–]+$"", """")), """"), GOOGLETRANSLATE('AYIRA MINI MART FINAL MENU - Pr'!B313, ""ar"", ""en"")))"),"Ice Cream |")</f>
        <v>Ice Cream |</v>
      </c>
      <c r="C313" s="58">
        <f>IF('AYIRA MINI MART FINAL MENU - Pr'!C313="", "", 'AYIRA MINI MART FINAL MENU - Pr'!C313)</f>
        <v>3</v>
      </c>
      <c r="D313" s="56" t="str">
        <f>IFERROR(__xludf.DUMMYFUNCTION("IF('AYIRA MINI MART FINAL MENU - Pr'!D313="""", """", GOOGLETRANSLATE('AYIRA MINI MART FINAL MENU - Pr'!D313,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13" s="56" t="str">
        <f>IF('AYIRA MINI MART FINAL MENU - Pr'!K313="", "", 'AYIRA MINI MART FINAL MENU - Pr'!K313)</f>
        <v/>
      </c>
      <c r="F313" s="56"/>
      <c r="G313" s="56"/>
      <c r="H313" s="56"/>
      <c r="I313" s="56"/>
      <c r="J313" s="56"/>
      <c r="L313" s="56" t="str">
        <f>IF('AYIRA MINI MART FINAL MENU - Pr'!L313="", "", 'AYIRA MINI MART FINAL MENU - Pr'!L313)</f>
        <v/>
      </c>
      <c r="M313" s="56" t="str">
        <f>IF('AYIRA MINI MART FINAL MENU - Pr'!M313="", "", 'AYIRA MINI MART FINAL MENU - Pr'!M313)</f>
        <v/>
      </c>
      <c r="N313" s="56" t="str">
        <f>IF('AYIRA MINI MART FINAL MENU - Pr'!N313="", "", 'AYIRA MINI MART FINAL MENU - Pr'!N313)</f>
        <v/>
      </c>
      <c r="O313" s="57"/>
      <c r="P313" s="57"/>
      <c r="Q313" s="57"/>
      <c r="R313" s="57"/>
      <c r="S313" s="57"/>
      <c r="T313" s="57"/>
      <c r="U313" s="57"/>
      <c r="V313" s="57"/>
      <c r="W313" s="57"/>
      <c r="X313" s="57"/>
      <c r="Y313" s="57"/>
      <c r="Z313" s="57"/>
    </row>
    <row r="314">
      <c r="A314" s="56" t="str">
        <f>IFERROR(__xludf.DUMMYFUNCTION("IF('AYIRA MINI MART FINAL MENU - Pr'!A314="""", """", IF(LEN(IFERROR(TRIM(REGEXREPLACE(TRIM(REGEXEXTRACT('AYIRA MINI MART FINAL MENU - Pr'!A314, ""^[^\x{0600}-\x{06FF}]+"")), ""[-–]+$"", """")), """"))&gt;0, IFERROR(TRIM(REGEXREPLACE(TRIM(REGEXEXTRACT('AYIRA"&amp;" MINI MART FINAL MENU - Pr'!A314, ""^[^\x{0600}-\x{06FF}]+"")), ""[-–]+$"", """")), """"), GOOGLETRANSLATE('AYIRA MINI MART FINAL MENU - Pr'!A314, ""ar"", ""en"")))"),"KDD Choco Rico Ice Cream 62.5g")</f>
        <v>KDD Choco Rico Ice Cream 62.5g</v>
      </c>
      <c r="B314" s="56" t="str">
        <f>IFERROR(__xludf.DUMMYFUNCTION("IF('AYIRA MINI MART FINAL MENU - Pr'!B314="""", """", IF(LEN(IFERROR(TRIM(REGEXREPLACE(TRIM(REGEXEXTRACT('AYIRA MINI MART FINAL MENU - Pr'!B314, ""^[^\x{0600}-\x{06FF}]+"")), ""[-–]+$"", """")), """"))&gt;0, IFERROR(TRIM(REGEXREPLACE(TRIM(REGEXEXTRACT('AYIRA"&amp;" MINI MART FINAL MENU - Pr'!B314, ""^[^\x{0600}-\x{06FF}]+"")), ""[-–]+$"", """")), """"), GOOGLETRANSLATE('AYIRA MINI MART FINAL MENU - Pr'!B314, ""ar"", ""en"")))"),"Ice Cream |")</f>
        <v>Ice Cream |</v>
      </c>
      <c r="C314" s="58">
        <f>IF('AYIRA MINI MART FINAL MENU - Pr'!C314="", "", 'AYIRA MINI MART FINAL MENU - Pr'!C314)</f>
        <v>1.5</v>
      </c>
      <c r="D314" s="56" t="str">
        <f>IFERROR(__xludf.DUMMYFUNCTION("IF('AYIRA MINI MART FINAL MENU - Pr'!D314="""", """", GOOGLETRANSLATE('AYIRA MINI MART FINAL MENU - Pr'!D314,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14" s="56" t="str">
        <f>IF('AYIRA MINI MART FINAL MENU - Pr'!K314="", "", 'AYIRA MINI MART FINAL MENU - Pr'!K314)</f>
        <v/>
      </c>
      <c r="F314" s="56"/>
      <c r="G314" s="56"/>
      <c r="H314" s="56"/>
      <c r="I314" s="56"/>
      <c r="J314" s="56"/>
      <c r="L314" s="56" t="str">
        <f>IF('AYIRA MINI MART FINAL MENU - Pr'!L314="", "", 'AYIRA MINI MART FINAL MENU - Pr'!L314)</f>
        <v/>
      </c>
      <c r="M314" s="56" t="str">
        <f>IF('AYIRA MINI MART FINAL MENU - Pr'!M314="", "", 'AYIRA MINI MART FINAL MENU - Pr'!M314)</f>
        <v/>
      </c>
      <c r="N314" s="56" t="str">
        <f>IF('AYIRA MINI MART FINAL MENU - Pr'!N314="", "", 'AYIRA MINI MART FINAL MENU - Pr'!N314)</f>
        <v/>
      </c>
      <c r="O314" s="57"/>
      <c r="P314" s="57"/>
      <c r="Q314" s="57"/>
      <c r="R314" s="57"/>
      <c r="S314" s="57"/>
      <c r="T314" s="57"/>
      <c r="U314" s="57"/>
      <c r="V314" s="57"/>
      <c r="W314" s="57"/>
      <c r="X314" s="57"/>
      <c r="Y314" s="57"/>
      <c r="Z314" s="57"/>
    </row>
    <row r="315">
      <c r="A315" s="56" t="str">
        <f>IFERROR(__xludf.DUMMYFUNCTION("IF('AYIRA MINI MART FINAL MENU - Pr'!A315="""", """", IF(LEN(IFERROR(TRIM(REGEXREPLACE(TRIM(REGEXEXTRACT('AYIRA MINI MART FINAL MENU - Pr'!A315, ""^[^\x{0600}-\x{06FF}]+"")), ""[-–]+$"", """")), """"))&gt;0, IFERROR(TRIM(REGEXREPLACE(TRIM(REGEXEXTRACT('AYIRA"&amp;" MINI MART FINAL MENU - Pr'!A315, ""^[^\x{0600}-\x{06FF}]+"")), ""[-–]+$"", """")), """"), GOOGLETRANSLATE('AYIRA MINI MART FINAL MENU - Pr'!A315, ""ar"", ""en"")))"),"KDD Strawberry Ice Cream 100g")</f>
        <v>KDD Strawberry Ice Cream 100g</v>
      </c>
      <c r="B315" s="56" t="str">
        <f>IFERROR(__xludf.DUMMYFUNCTION("IF('AYIRA MINI MART FINAL MENU - Pr'!B315="""", """", IF(LEN(IFERROR(TRIM(REGEXREPLACE(TRIM(REGEXEXTRACT('AYIRA MINI MART FINAL MENU - Pr'!B315, ""^[^\x{0600}-\x{06FF}]+"")), ""[-–]+$"", """")), """"))&gt;0, IFERROR(TRIM(REGEXREPLACE(TRIM(REGEXEXTRACT('AYIRA"&amp;" MINI MART FINAL MENU - Pr'!B315, ""^[^\x{0600}-\x{06FF}]+"")), ""[-–]+$"", """")), """"), GOOGLETRANSLATE('AYIRA MINI MART FINAL MENU - Pr'!B315, ""ar"", ""en"")))"),"Ice Cream |")</f>
        <v>Ice Cream |</v>
      </c>
      <c r="C315" s="58">
        <f>IF('AYIRA MINI MART FINAL MENU - Pr'!C315="", "", 'AYIRA MINI MART FINAL MENU - Pr'!C315)</f>
        <v>1.5</v>
      </c>
      <c r="D315" s="56" t="str">
        <f>IFERROR(__xludf.DUMMYFUNCTION("IF('AYIRA MINI MART FINAL MENU - Pr'!D315="""", """", GOOGLETRANSLATE('AYIRA MINI MART FINAL MENU - Pr'!D315,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15" s="56" t="str">
        <f>IF('AYIRA MINI MART FINAL MENU - Pr'!K315="", "", 'AYIRA MINI MART FINAL MENU - Pr'!K315)</f>
        <v/>
      </c>
      <c r="F315" s="56"/>
      <c r="G315" s="56"/>
      <c r="H315" s="56"/>
      <c r="I315" s="56"/>
      <c r="J315" s="56"/>
      <c r="L315" s="56" t="str">
        <f>IF('AYIRA MINI MART FINAL MENU - Pr'!L315="", "", 'AYIRA MINI MART FINAL MENU - Pr'!L315)</f>
        <v/>
      </c>
      <c r="M315" s="56" t="str">
        <f>IF('AYIRA MINI MART FINAL MENU - Pr'!M315="", "", 'AYIRA MINI MART FINAL MENU - Pr'!M315)</f>
        <v/>
      </c>
      <c r="N315" s="56" t="str">
        <f>IF('AYIRA MINI MART FINAL MENU - Pr'!N315="", "", 'AYIRA MINI MART FINAL MENU - Pr'!N315)</f>
        <v/>
      </c>
      <c r="O315" s="57"/>
      <c r="P315" s="57"/>
      <c r="Q315" s="57"/>
      <c r="R315" s="57"/>
      <c r="S315" s="57"/>
      <c r="T315" s="57"/>
      <c r="U315" s="57"/>
      <c r="V315" s="57"/>
      <c r="W315" s="57"/>
      <c r="X315" s="57"/>
      <c r="Y315" s="57"/>
      <c r="Z315" s="57"/>
    </row>
    <row r="316">
      <c r="A316" s="56" t="str">
        <f>IFERROR(__xludf.DUMMYFUNCTION("IF('AYIRA MINI MART FINAL MENU - Pr'!A316="""", """", IF(LEN(IFERROR(TRIM(REGEXREPLACE(TRIM(REGEXEXTRACT('AYIRA MINI MART FINAL MENU - Pr'!A316, ""^[^\x{0600}-\x{06FF}]+"")), ""[-–]+$"", """")), """"))&gt;0, IFERROR(TRIM(REGEXREPLACE(TRIM(REGEXEXTRACT('AYIRA"&amp;" MINI MART FINAL MENU - Pr'!A316, ""^[^\x{0600}-\x{06FF}]+"")), ""[-–]+$"", """")), """"), GOOGLETRANSLATE('AYIRA MINI MART FINAL MENU - Pr'!A316, ""ar"", ""en"")))"),"KDD Blitz Vanilla Ice Cream with Raspberry 62.5g")</f>
        <v>KDD Blitz Vanilla Ice Cream with Raspberry 62.5g</v>
      </c>
      <c r="B316" s="56" t="str">
        <f>IFERROR(__xludf.DUMMYFUNCTION("IF('AYIRA MINI MART FINAL MENU - Pr'!B316="""", """", IF(LEN(IFERROR(TRIM(REGEXREPLACE(TRIM(REGEXEXTRACT('AYIRA MINI MART FINAL MENU - Pr'!B316, ""^[^\x{0600}-\x{06FF}]+"")), ""[-–]+$"", """")), """"))&gt;0, IFERROR(TRIM(REGEXREPLACE(TRIM(REGEXEXTRACT('AYIRA"&amp;" MINI MART FINAL MENU - Pr'!B316, ""^[^\x{0600}-\x{06FF}]+"")), ""[-–]+$"", """")), """"), GOOGLETRANSLATE('AYIRA MINI MART FINAL MENU - Pr'!B316, ""ar"", ""en"")))"),"Ice Cream |")</f>
        <v>Ice Cream |</v>
      </c>
      <c r="C316" s="58">
        <f>IF('AYIRA MINI MART FINAL MENU - Pr'!C316="", "", 'AYIRA MINI MART FINAL MENU - Pr'!C316)</f>
        <v>1.5</v>
      </c>
      <c r="D316" s="56" t="str">
        <f>IFERROR(__xludf.DUMMYFUNCTION("IF('AYIRA MINI MART FINAL MENU - Pr'!D316="""", """", GOOGLETRANSLATE('AYIRA MINI MART FINAL MENU - Pr'!D316,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16" s="56" t="str">
        <f>IF('AYIRA MINI MART FINAL MENU - Pr'!K316="", "", 'AYIRA MINI MART FINAL MENU - Pr'!K316)</f>
        <v/>
      </c>
      <c r="F316" s="56"/>
      <c r="G316" s="56"/>
      <c r="H316" s="56"/>
      <c r="I316" s="56"/>
      <c r="J316" s="56"/>
      <c r="L316" s="56" t="str">
        <f>IF('AYIRA MINI MART FINAL MENU - Pr'!L316="", "", 'AYIRA MINI MART FINAL MENU - Pr'!L316)</f>
        <v/>
      </c>
      <c r="M316" s="56" t="str">
        <f>IF('AYIRA MINI MART FINAL MENU - Pr'!M316="", "", 'AYIRA MINI MART FINAL MENU - Pr'!M316)</f>
        <v/>
      </c>
      <c r="N316" s="56" t="str">
        <f>IF('AYIRA MINI MART FINAL MENU - Pr'!N316="", "", 'AYIRA MINI MART FINAL MENU - Pr'!N316)</f>
        <v/>
      </c>
      <c r="O316" s="57"/>
      <c r="P316" s="57"/>
      <c r="Q316" s="57"/>
      <c r="R316" s="57"/>
      <c r="S316" s="57"/>
      <c r="T316" s="57"/>
      <c r="U316" s="57"/>
      <c r="V316" s="57"/>
      <c r="W316" s="57"/>
      <c r="X316" s="57"/>
      <c r="Y316" s="57"/>
      <c r="Z316" s="57"/>
    </row>
    <row r="317">
      <c r="A317" s="56" t="str">
        <f>IFERROR(__xludf.DUMMYFUNCTION("IF('AYIRA MINI MART FINAL MENU - Pr'!A317="""", """", IF(LEN(IFERROR(TRIM(REGEXREPLACE(TRIM(REGEXEXTRACT('AYIRA MINI MART FINAL MENU - Pr'!A317, ""^[^\x{0600}-\x{06FF}]+"")), ""[-–]+$"", """")), """"))&gt;0, IFERROR(TRIM(REGEXREPLACE(TRIM(REGEXEXTRACT('AYIRA"&amp;" MINI MART FINAL MENU - Pr'!A317, ""^[^\x{0600}-\x{06FF}]+"")), ""[-–]+$"", """")), """"), GOOGLETRANSLATE('AYIRA MINI MART FINAL MENU - Pr'!A317, ""ar"", ""en"")))"),"KDD Chocolate Ice Cream 100g")</f>
        <v>KDD Chocolate Ice Cream 100g</v>
      </c>
      <c r="B317" s="56" t="str">
        <f>IFERROR(__xludf.DUMMYFUNCTION("IF('AYIRA MINI MART FINAL MENU - Pr'!B317="""", """", IF(LEN(IFERROR(TRIM(REGEXREPLACE(TRIM(REGEXEXTRACT('AYIRA MINI MART FINAL MENU - Pr'!B317, ""^[^\x{0600}-\x{06FF}]+"")), ""[-–]+$"", """")), """"))&gt;0, IFERROR(TRIM(REGEXREPLACE(TRIM(REGEXEXTRACT('AYIRA"&amp;" MINI MART FINAL MENU - Pr'!B317, ""^[^\x{0600}-\x{06FF}]+"")), ""[-–]+$"", """")), """"), GOOGLETRANSLATE('AYIRA MINI MART FINAL MENU - Pr'!B317, ""ar"", ""en"")))"),"Ice Cream |")</f>
        <v>Ice Cream |</v>
      </c>
      <c r="C317" s="58">
        <f>IF('AYIRA MINI MART FINAL MENU - Pr'!C317="", "", 'AYIRA MINI MART FINAL MENU - Pr'!C317)</f>
        <v>1.5</v>
      </c>
      <c r="D317" s="56" t="str">
        <f>IFERROR(__xludf.DUMMYFUNCTION("IF('AYIRA MINI MART FINAL MENU - Pr'!D317="""", """", GOOGLETRANSLATE('AYIRA MINI MART FINAL MENU - Pr'!D317,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17" s="56" t="str">
        <f>IF('AYIRA MINI MART FINAL MENU - Pr'!K317="", "", 'AYIRA MINI MART FINAL MENU - Pr'!K317)</f>
        <v/>
      </c>
      <c r="F317" s="56"/>
      <c r="G317" s="56"/>
      <c r="H317" s="56"/>
      <c r="I317" s="56"/>
      <c r="J317" s="56"/>
      <c r="L317" s="56" t="str">
        <f>IF('AYIRA MINI MART FINAL MENU - Pr'!L317="", "", 'AYIRA MINI MART FINAL MENU - Pr'!L317)</f>
        <v/>
      </c>
      <c r="M317" s="56" t="str">
        <f>IF('AYIRA MINI MART FINAL MENU - Pr'!M317="", "", 'AYIRA MINI MART FINAL MENU - Pr'!M317)</f>
        <v/>
      </c>
      <c r="N317" s="56" t="str">
        <f>IF('AYIRA MINI MART FINAL MENU - Pr'!N317="", "", 'AYIRA MINI MART FINAL MENU - Pr'!N317)</f>
        <v/>
      </c>
      <c r="O317" s="57"/>
      <c r="P317" s="57"/>
      <c r="Q317" s="57"/>
      <c r="R317" s="57"/>
      <c r="S317" s="57"/>
      <c r="T317" s="57"/>
      <c r="U317" s="57"/>
      <c r="V317" s="57"/>
      <c r="W317" s="57"/>
      <c r="X317" s="57"/>
      <c r="Y317" s="57"/>
      <c r="Z317" s="57"/>
    </row>
    <row r="318">
      <c r="A318" s="56" t="str">
        <f>IFERROR(__xludf.DUMMYFUNCTION("IF('AYIRA MINI MART FINAL MENU - Pr'!A318="""", """", IF(LEN(IFERROR(TRIM(REGEXREPLACE(TRIM(REGEXEXTRACT('AYIRA MINI MART FINAL MENU - Pr'!A318, ""^[^\x{0600}-\x{06FF}]+"")), ""[-–]+$"", """")), """"))&gt;0, IFERROR(TRIM(REGEXREPLACE(TRIM(REGEXEXTRACT('AYIRA"&amp;" MINI MART FINAL MENU - Pr'!A318, ""^[^\x{0600}-\x{06FF}]+"")), ""[-–]+$"", """")), """"), GOOGLETRANSLATE('AYIRA MINI MART FINAL MENU - Pr'!A318, ""ar"", ""en"")))"),"KDD Lulu Ice Cream – Chocolate &amp; Nougat 100ml")</f>
        <v>KDD Lulu Ice Cream – Chocolate &amp; Nougat 100ml</v>
      </c>
      <c r="B318" s="56" t="str">
        <f>IFERROR(__xludf.DUMMYFUNCTION("IF('AYIRA MINI MART FINAL MENU - Pr'!B318="""", """", IF(LEN(IFERROR(TRIM(REGEXREPLACE(TRIM(REGEXEXTRACT('AYIRA MINI MART FINAL MENU - Pr'!B318, ""^[^\x{0600}-\x{06FF}]+"")), ""[-–]+$"", """")), """"))&gt;0, IFERROR(TRIM(REGEXREPLACE(TRIM(REGEXEXTRACT('AYIRA"&amp;" MINI MART FINAL MENU - Pr'!B318, ""^[^\x{0600}-\x{06FF}]+"")), ""[-–]+$"", """")), """"), GOOGLETRANSLATE('AYIRA MINI MART FINAL MENU - Pr'!B318, ""ar"", ""en"")))"),"Ice Cream |")</f>
        <v>Ice Cream |</v>
      </c>
      <c r="C318" s="58">
        <f>IF('AYIRA MINI MART FINAL MENU - Pr'!C318="", "", 'AYIRA MINI MART FINAL MENU - Pr'!C318)</f>
        <v>3.5</v>
      </c>
      <c r="D318" s="56" t="str">
        <f>IFERROR(__xludf.DUMMYFUNCTION("IF('AYIRA MINI MART FINAL MENU - Pr'!D318="""", """", GOOGLETRANSLATE('AYIRA MINI MART FINAL MENU - Pr'!D318,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18" s="56" t="str">
        <f>IF('AYIRA MINI MART FINAL MENU - Pr'!K318="", "", 'AYIRA MINI MART FINAL MENU - Pr'!K318)</f>
        <v/>
      </c>
      <c r="F318" s="56"/>
      <c r="G318" s="56"/>
      <c r="H318" s="56"/>
      <c r="I318" s="56"/>
      <c r="J318" s="56"/>
      <c r="L318" s="56" t="str">
        <f>IF('AYIRA MINI MART FINAL MENU - Pr'!L318="", "", 'AYIRA MINI MART FINAL MENU - Pr'!L318)</f>
        <v/>
      </c>
      <c r="M318" s="56" t="str">
        <f>IF('AYIRA MINI MART FINAL MENU - Pr'!M318="", "", 'AYIRA MINI MART FINAL MENU - Pr'!M318)</f>
        <v/>
      </c>
      <c r="N318" s="56" t="str">
        <f>IF('AYIRA MINI MART FINAL MENU - Pr'!N318="", "", 'AYIRA MINI MART FINAL MENU - Pr'!N318)</f>
        <v/>
      </c>
      <c r="O318" s="57"/>
      <c r="P318" s="57"/>
      <c r="Q318" s="57"/>
      <c r="R318" s="57"/>
      <c r="S318" s="57"/>
      <c r="T318" s="57"/>
      <c r="U318" s="57"/>
      <c r="V318" s="57"/>
      <c r="W318" s="57"/>
      <c r="X318" s="57"/>
      <c r="Y318" s="57"/>
      <c r="Z318" s="57"/>
    </row>
    <row r="319">
      <c r="A319" s="56" t="str">
        <f>IFERROR(__xludf.DUMMYFUNCTION("IF('AYIRA MINI MART FINAL MENU - Pr'!A319="""", """", IF(LEN(IFERROR(TRIM(REGEXREPLACE(TRIM(REGEXEXTRACT('AYIRA MINI MART FINAL MENU - Pr'!A319, ""^[^\x{0600}-\x{06FF}]+"")), ""[-–]+$"", """")), """"))&gt;0, IFERROR(TRIM(REGEXREPLACE(TRIM(REGEXEXTRACT('AYIRA"&amp;" MINI MART FINAL MENU - Pr'!A319, ""^[^\x{0600}-\x{06FF}]+"")), ""[-–]+$"", """")), """"), GOOGLETRANSLATE('AYIRA MINI MART FINAL MENU - Pr'!A319, ""ar"", ""en"")))"),"KDD Orange Lolly Water Ice 62.5g")</f>
        <v>KDD Orange Lolly Water Ice 62.5g</v>
      </c>
      <c r="B319" s="56" t="str">
        <f>IFERROR(__xludf.DUMMYFUNCTION("IF('AYIRA MINI MART FINAL MENU - Pr'!B319="""", """", IF(LEN(IFERROR(TRIM(REGEXREPLACE(TRIM(REGEXEXTRACT('AYIRA MINI MART FINAL MENU - Pr'!B319, ""^[^\x{0600}-\x{06FF}]+"")), ""[-–]+$"", """")), """"))&gt;0, IFERROR(TRIM(REGEXREPLACE(TRIM(REGEXEXTRACT('AYIRA"&amp;" MINI MART FINAL MENU - Pr'!B319, ""^[^\x{0600}-\x{06FF}]+"")), ""[-–]+$"", """")), """"), GOOGLETRANSLATE('AYIRA MINI MART FINAL MENU - Pr'!B319, ""ar"", ""en"")))"),"Ice Cream |")</f>
        <v>Ice Cream |</v>
      </c>
      <c r="C319" s="58">
        <f>IF('AYIRA MINI MART FINAL MENU - Pr'!C319="", "", 'AYIRA MINI MART FINAL MENU - Pr'!C319)</f>
        <v>1</v>
      </c>
      <c r="D319" s="56" t="str">
        <f>IFERROR(__xludf.DUMMYFUNCTION("IF('AYIRA MINI MART FINAL MENU - Pr'!D319="""", """", GOOGLETRANSLATE('AYIRA MINI MART FINAL MENU - Pr'!D319, ""ar"", ""en""))"),"Drink KDD, the pure water that restores your body's natural balance. Sourced from the purest natural sources and bottled to the highest standards of quality and hygiene to ensure it reaches you in perfect condition. Proper hydration is essential for a goo"&amp;"d life, and choosing this water reflects your commitment to your well-being. Make sure to drink enough water daily to maintain your energy and vitality. Aira Mini Mart offers this premium water at competitive prices.")</f>
        <v>Drink KDD,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319" s="56" t="str">
        <f>IF('AYIRA MINI MART FINAL MENU - Pr'!K319="", "", 'AYIRA MINI MART FINAL MENU - Pr'!K319)</f>
        <v/>
      </c>
      <c r="F319" s="56"/>
      <c r="G319" s="56"/>
      <c r="H319" s="56"/>
      <c r="I319" s="56"/>
      <c r="J319" s="56"/>
      <c r="L319" s="56" t="str">
        <f>IF('AYIRA MINI MART FINAL MENU - Pr'!L319="", "", 'AYIRA MINI MART FINAL MENU - Pr'!L319)</f>
        <v/>
      </c>
      <c r="M319" s="56" t="str">
        <f>IF('AYIRA MINI MART FINAL MENU - Pr'!M319="", "", 'AYIRA MINI MART FINAL MENU - Pr'!M319)</f>
        <v/>
      </c>
      <c r="N319" s="56" t="str">
        <f>IF('AYIRA MINI MART FINAL MENU - Pr'!N319="", "", 'AYIRA MINI MART FINAL MENU - Pr'!N319)</f>
        <v/>
      </c>
      <c r="O319" s="57"/>
      <c r="P319" s="57"/>
      <c r="Q319" s="57"/>
      <c r="R319" s="57"/>
      <c r="S319" s="57"/>
      <c r="T319" s="57"/>
      <c r="U319" s="57"/>
      <c r="V319" s="57"/>
      <c r="W319" s="57"/>
      <c r="X319" s="57"/>
      <c r="Y319" s="57"/>
      <c r="Z319" s="57"/>
    </row>
    <row r="320">
      <c r="A320" s="56" t="str">
        <f>IFERROR(__xludf.DUMMYFUNCTION("IF('AYIRA MINI MART FINAL MENU - Pr'!A320="""", """", IF(LEN(IFERROR(TRIM(REGEXREPLACE(TRIM(REGEXEXTRACT('AYIRA MINI MART FINAL MENU - Pr'!A320, ""^[^\x{0600}-\x{06FF}]+"")), ""[-–]+$"", """")), """"))&gt;0, IFERROR(TRIM(REGEXREPLACE(TRIM(REGEXEXTRACT('AYIRA"&amp;" MINI MART FINAL MENU - Pr'!A320, ""^[^\x{0600}-\x{06FF}]+"")), ""[-–]+$"", """")), """"), GOOGLETRANSLATE('AYIRA MINI MART FINAL MENU - Pr'!A320, ""ar"", ""en"")))"),"KDD Vanilla Almond Ice Cream 95g")</f>
        <v>KDD Vanilla Almond Ice Cream 95g</v>
      </c>
      <c r="B320" s="56" t="str">
        <f>IFERROR(__xludf.DUMMYFUNCTION("IF('AYIRA MINI MART FINAL MENU - Pr'!B320="""", """", IF(LEN(IFERROR(TRIM(REGEXREPLACE(TRIM(REGEXEXTRACT('AYIRA MINI MART FINAL MENU - Pr'!B320, ""^[^\x{0600}-\x{06FF}]+"")), ""[-–]+$"", """")), """"))&gt;0, IFERROR(TRIM(REGEXREPLACE(TRIM(REGEXEXTRACT('AYIRA"&amp;" MINI MART FINAL MENU - Pr'!B320, ""^[^\x{0600}-\x{06FF}]+"")), ""[-–]+$"", """")), """"), GOOGLETRANSLATE('AYIRA MINI MART FINAL MENU - Pr'!B320, ""ar"", ""en"")))"),"Ice Cream |")</f>
        <v>Ice Cream |</v>
      </c>
      <c r="C320" s="56" t="str">
        <f>IF('AYIRA MINI MART FINAL MENU - Pr'!C320="", "", 'AYIRA MINI MART FINAL MENU - Pr'!C320)</f>
        <v/>
      </c>
      <c r="D320" s="56" t="str">
        <f>IFERROR(__xludf.DUMMYFUNCTION("IF('AYIRA MINI MART FINAL MENU - Pr'!D320="""", """", GOOGLETRANSLATE('AYIRA MINI MART FINAL MENU - Pr'!D320,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20" s="56" t="str">
        <f>IF('AYIRA MINI MART FINAL MENU - Pr'!K320="", "", 'AYIRA MINI MART FINAL MENU - Pr'!K320)</f>
        <v/>
      </c>
      <c r="F320" s="56"/>
      <c r="G320" s="56"/>
      <c r="H320" s="56"/>
      <c r="I320" s="56"/>
      <c r="J320" s="56"/>
      <c r="L320" s="56" t="str">
        <f>IF('AYIRA MINI MART FINAL MENU - Pr'!L320="", "", 'AYIRA MINI MART FINAL MENU - Pr'!L320)</f>
        <v/>
      </c>
      <c r="M320" s="56" t="str">
        <f>IF('AYIRA MINI MART FINAL MENU - Pr'!M320="", "", 'AYIRA MINI MART FINAL MENU - Pr'!M320)</f>
        <v/>
      </c>
      <c r="N320" s="56" t="str">
        <f>IF('AYIRA MINI MART FINAL MENU - Pr'!N320="", "", 'AYIRA MINI MART FINAL MENU - Pr'!N320)</f>
        <v/>
      </c>
      <c r="O320" s="57"/>
      <c r="P320" s="57"/>
      <c r="Q320" s="57"/>
      <c r="R320" s="57"/>
      <c r="S320" s="57"/>
      <c r="T320" s="57"/>
      <c r="U320" s="57"/>
      <c r="V320" s="57"/>
      <c r="W320" s="57"/>
      <c r="X320" s="57"/>
      <c r="Y320" s="57"/>
      <c r="Z320" s="57"/>
    </row>
    <row r="321">
      <c r="A321" s="56" t="str">
        <f>IFERROR(__xludf.DUMMYFUNCTION("IF('AYIRA MINI MART FINAL MENU - Pr'!A321="""", """", IF(LEN(IFERROR(TRIM(REGEXREPLACE(TRIM(REGEXEXTRACT('AYIRA MINI MART FINAL MENU - Pr'!A321, ""^[^\x{0600}-\x{06FF}]+"")), ""[-–]+$"", """")), """"))&gt;0, IFERROR(TRIM(REGEXREPLACE(TRIM(REGEXEXTRACT('AYIRA"&amp;" MINI MART FINAL MENU - Pr'!A321, ""^[^\x{0600}-\x{06FF}]+"")), ""[-–]+$"", """")), """"), GOOGLETRANSLATE('AYIRA MINI MART FINAL MENU - Pr'!A321, ""ar"", ""en"")))"),"KDD Choco Rico Ice Cream 62.5g")</f>
        <v>KDD Choco Rico Ice Cream 62.5g</v>
      </c>
      <c r="B321" s="56" t="str">
        <f>IFERROR(__xludf.DUMMYFUNCTION("IF('AYIRA MINI MART FINAL MENU - Pr'!B321="""", """", IF(LEN(IFERROR(TRIM(REGEXREPLACE(TRIM(REGEXEXTRACT('AYIRA MINI MART FINAL MENU - Pr'!B321, ""^[^\x{0600}-\x{06FF}]+"")), ""[-–]+$"", """")), """"))&gt;0, IFERROR(TRIM(REGEXREPLACE(TRIM(REGEXEXTRACT('AYIRA"&amp;" MINI MART FINAL MENU - Pr'!B321, ""^[^\x{0600}-\x{06FF}]+"")), ""[-–]+$"", """")), """"), GOOGLETRANSLATE('AYIRA MINI MART FINAL MENU - Pr'!B321, ""ar"", ""en"")))"),"Ice Cream |")</f>
        <v>Ice Cream |</v>
      </c>
      <c r="C321" s="56" t="str">
        <f>IF('AYIRA MINI MART FINAL MENU - Pr'!C321="", "", 'AYIRA MINI MART FINAL MENU - Pr'!C321)</f>
        <v/>
      </c>
      <c r="D321" s="56" t="str">
        <f>IFERROR(__xludf.DUMMYFUNCTION("IF('AYIRA MINI MART FINAL MENU - Pr'!D321="""", """", GOOGLETRANSLATE('AYIRA MINI MART FINAL MENU - Pr'!D321,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21" s="56" t="str">
        <f>IF('AYIRA MINI MART FINAL MENU - Pr'!K321="", "", 'AYIRA MINI MART FINAL MENU - Pr'!K321)</f>
        <v/>
      </c>
      <c r="F321" s="56"/>
      <c r="G321" s="56"/>
      <c r="H321" s="56"/>
      <c r="I321" s="56"/>
      <c r="J321" s="56"/>
      <c r="L321" s="56" t="str">
        <f>IF('AYIRA MINI MART FINAL MENU - Pr'!L321="", "", 'AYIRA MINI MART FINAL MENU - Pr'!L321)</f>
        <v/>
      </c>
      <c r="M321" s="56" t="str">
        <f>IF('AYIRA MINI MART FINAL MENU - Pr'!M321="", "", 'AYIRA MINI MART FINAL MENU - Pr'!M321)</f>
        <v/>
      </c>
      <c r="N321" s="56" t="str">
        <f>IF('AYIRA MINI MART FINAL MENU - Pr'!N321="", "", 'AYIRA MINI MART FINAL MENU - Pr'!N321)</f>
        <v/>
      </c>
      <c r="O321" s="57"/>
      <c r="P321" s="57"/>
      <c r="Q321" s="57"/>
      <c r="R321" s="57"/>
      <c r="S321" s="57"/>
      <c r="T321" s="57"/>
      <c r="U321" s="57"/>
      <c r="V321" s="57"/>
      <c r="W321" s="57"/>
      <c r="X321" s="57"/>
      <c r="Y321" s="57"/>
      <c r="Z321" s="57"/>
    </row>
    <row r="322">
      <c r="A322" s="56" t="str">
        <f>IFERROR(__xludf.DUMMYFUNCTION("IF('AYIRA MINI MART FINAL MENU - Pr'!A322="""", """", IF(LEN(IFERROR(TRIM(REGEXREPLACE(TRIM(REGEXEXTRACT('AYIRA MINI MART FINAL MENU - Pr'!A322, ""^[^\x{0600}-\x{06FF}]+"")), ""[-–]+$"", """")), """"))&gt;0, IFERROR(TRIM(REGEXREPLACE(TRIM(REGEXEXTRACT('AYIRA"&amp;" MINI MART FINAL MENU - Pr'!A322, ""^[^\x{0600}-\x{06FF}]+"")), ""[-–]+$"", """")), """"), GOOGLETRANSLATE('AYIRA MINI MART FINAL MENU - Pr'!A322, ""ar"", ""en"")))"),"KDD Strawberry Ice Cream 100g")</f>
        <v>KDD Strawberry Ice Cream 100g</v>
      </c>
      <c r="B322" s="56" t="str">
        <f>IFERROR(__xludf.DUMMYFUNCTION("IF('AYIRA MINI MART FINAL MENU - Pr'!B322="""", """", IF(LEN(IFERROR(TRIM(REGEXREPLACE(TRIM(REGEXEXTRACT('AYIRA MINI MART FINAL MENU - Pr'!B322, ""^[^\x{0600}-\x{06FF}]+"")), ""[-–]+$"", """")), """"))&gt;0, IFERROR(TRIM(REGEXREPLACE(TRIM(REGEXEXTRACT('AYIRA"&amp;" MINI MART FINAL MENU - Pr'!B322, ""^[^\x{0600}-\x{06FF}]+"")), ""[-–]+$"", """")), """"), GOOGLETRANSLATE('AYIRA MINI MART FINAL MENU - Pr'!B322, ""ar"", ""en"")))"),"Ice Cream |")</f>
        <v>Ice Cream |</v>
      </c>
      <c r="C322" s="56" t="str">
        <f>IF('AYIRA MINI MART FINAL MENU - Pr'!C322="", "", 'AYIRA MINI MART FINAL MENU - Pr'!C322)</f>
        <v/>
      </c>
      <c r="D322" s="56" t="str">
        <f>IFERROR(__xludf.DUMMYFUNCTION("IF('AYIRA MINI MART FINAL MENU - Pr'!D322="""", """", GOOGLETRANSLATE('AYIRA MINI MART FINAL MENU - Pr'!D322,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22" s="56" t="str">
        <f>IF('AYIRA MINI MART FINAL MENU - Pr'!K322="", "", 'AYIRA MINI MART FINAL MENU - Pr'!K322)</f>
        <v/>
      </c>
      <c r="F322" s="56"/>
      <c r="G322" s="56"/>
      <c r="H322" s="56"/>
      <c r="I322" s="56"/>
      <c r="J322" s="56"/>
      <c r="L322" s="56" t="str">
        <f>IF('AYIRA MINI MART FINAL MENU - Pr'!L322="", "", 'AYIRA MINI MART FINAL MENU - Pr'!L322)</f>
        <v/>
      </c>
      <c r="M322" s="56" t="str">
        <f>IF('AYIRA MINI MART FINAL MENU - Pr'!M322="", "", 'AYIRA MINI MART FINAL MENU - Pr'!M322)</f>
        <v/>
      </c>
      <c r="N322" s="56" t="str">
        <f>IF('AYIRA MINI MART FINAL MENU - Pr'!N322="", "", 'AYIRA MINI MART FINAL MENU - Pr'!N322)</f>
        <v/>
      </c>
      <c r="O322" s="57"/>
      <c r="P322" s="57"/>
      <c r="Q322" s="57"/>
      <c r="R322" s="57"/>
      <c r="S322" s="57"/>
      <c r="T322" s="57"/>
      <c r="U322" s="57"/>
      <c r="V322" s="57"/>
      <c r="W322" s="57"/>
      <c r="X322" s="57"/>
      <c r="Y322" s="57"/>
      <c r="Z322" s="57"/>
    </row>
    <row r="323">
      <c r="A323" s="56" t="str">
        <f>IFERROR(__xludf.DUMMYFUNCTION("IF('AYIRA MINI MART FINAL MENU - Pr'!A323="""", """", IF(LEN(IFERROR(TRIM(REGEXREPLACE(TRIM(REGEXEXTRACT('AYIRA MINI MART FINAL MENU - Pr'!A323, ""^[^\x{0600}-\x{06FF}]+"")), ""[-–]+$"", """")), """"))&gt;0, IFERROR(TRIM(REGEXREPLACE(TRIM(REGEXEXTRACT('AYIRA"&amp;" MINI MART FINAL MENU - Pr'!A323, ""^[^\x{0600}-\x{06FF}]+"")), ""[-–]+$"", """")), """"), GOOGLETRANSLATE('AYIRA MINI MART FINAL MENU - Pr'!A323, ""ar"", ""en"")))"),"KDD Blitz Vanilla Ice Cream with Raspberry 62.5g")</f>
        <v>KDD Blitz Vanilla Ice Cream with Raspberry 62.5g</v>
      </c>
      <c r="B323" s="56" t="str">
        <f>IFERROR(__xludf.DUMMYFUNCTION("IF('AYIRA MINI MART FINAL MENU - Pr'!B323="""", """", IF(LEN(IFERROR(TRIM(REGEXREPLACE(TRIM(REGEXEXTRACT('AYIRA MINI MART FINAL MENU - Pr'!B323, ""^[^\x{0600}-\x{06FF}]+"")), ""[-–]+$"", """")), """"))&gt;0, IFERROR(TRIM(REGEXREPLACE(TRIM(REGEXEXTRACT('AYIRA"&amp;" MINI MART FINAL MENU - Pr'!B323, ""^[^\x{0600}-\x{06FF}]+"")), ""[-–]+$"", """")), """"), GOOGLETRANSLATE('AYIRA MINI MART FINAL MENU - Pr'!B323, ""ar"", ""en"")))"),"Ice Cream |")</f>
        <v>Ice Cream |</v>
      </c>
      <c r="C323" s="56" t="str">
        <f>IF('AYIRA MINI MART FINAL MENU - Pr'!C323="", "", 'AYIRA MINI MART FINAL MENU - Pr'!C323)</f>
        <v/>
      </c>
      <c r="D323" s="56" t="str">
        <f>IFERROR(__xludf.DUMMYFUNCTION("IF('AYIRA MINI MART FINAL MENU - Pr'!D323="""", """", GOOGLETRANSLATE('AYIRA MINI MART FINAL MENU - Pr'!D323,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23" s="56" t="str">
        <f>IF('AYIRA MINI MART FINAL MENU - Pr'!K323="", "", 'AYIRA MINI MART FINAL MENU - Pr'!K323)</f>
        <v/>
      </c>
      <c r="F323" s="56"/>
      <c r="G323" s="56"/>
      <c r="H323" s="56"/>
      <c r="I323" s="56"/>
      <c r="J323" s="56"/>
      <c r="L323" s="56" t="str">
        <f>IF('AYIRA MINI MART FINAL MENU - Pr'!L323="", "", 'AYIRA MINI MART FINAL MENU - Pr'!L323)</f>
        <v/>
      </c>
      <c r="M323" s="56" t="str">
        <f>IF('AYIRA MINI MART FINAL MENU - Pr'!M323="", "", 'AYIRA MINI MART FINAL MENU - Pr'!M323)</f>
        <v/>
      </c>
      <c r="N323" s="56" t="str">
        <f>IF('AYIRA MINI MART FINAL MENU - Pr'!N323="", "", 'AYIRA MINI MART FINAL MENU - Pr'!N323)</f>
        <v/>
      </c>
      <c r="O323" s="57"/>
      <c r="P323" s="57"/>
      <c r="Q323" s="57"/>
      <c r="R323" s="57"/>
      <c r="S323" s="57"/>
      <c r="T323" s="57"/>
      <c r="U323" s="57"/>
      <c r="V323" s="57"/>
      <c r="W323" s="57"/>
      <c r="X323" s="57"/>
      <c r="Y323" s="57"/>
      <c r="Z323" s="57"/>
    </row>
    <row r="324">
      <c r="A324" s="56" t="str">
        <f>IFERROR(__xludf.DUMMYFUNCTION("IF('AYIRA MINI MART FINAL MENU - Pr'!A324="""", """", IF(LEN(IFERROR(TRIM(REGEXREPLACE(TRIM(REGEXEXTRACT('AYIRA MINI MART FINAL MENU - Pr'!A324, ""^[^\x{0600}-\x{06FF}]+"")), ""[-–]+$"", """")), """"))&gt;0, IFERROR(TRIM(REGEXREPLACE(TRIM(REGEXEXTRACT('AYIRA"&amp;" MINI MART FINAL MENU - Pr'!A324, ""^[^\x{0600}-\x{06FF}]+"")), ""[-–]+$"", """")), """"), GOOGLETRANSLATE('AYIRA MINI MART FINAL MENU - Pr'!A324, ""ar"", ""en"")))"),"KDD Chocolate Ice Cream 100g")</f>
        <v>KDD Chocolate Ice Cream 100g</v>
      </c>
      <c r="B324" s="56" t="str">
        <f>IFERROR(__xludf.DUMMYFUNCTION("IF('AYIRA MINI MART FINAL MENU - Pr'!B324="""", """", IF(LEN(IFERROR(TRIM(REGEXREPLACE(TRIM(REGEXEXTRACT('AYIRA MINI MART FINAL MENU - Pr'!B324, ""^[^\x{0600}-\x{06FF}]+"")), ""[-–]+$"", """")), """"))&gt;0, IFERROR(TRIM(REGEXREPLACE(TRIM(REGEXEXTRACT('AYIRA"&amp;" MINI MART FINAL MENU - Pr'!B324, ""^[^\x{0600}-\x{06FF}]+"")), ""[-–]+$"", """")), """"), GOOGLETRANSLATE('AYIRA MINI MART FINAL MENU - Pr'!B324, ""ar"", ""en"")))"),"Ice Cream |")</f>
        <v>Ice Cream |</v>
      </c>
      <c r="C324" s="58">
        <f>IF('AYIRA MINI MART FINAL MENU - Pr'!C324="", "", 'AYIRA MINI MART FINAL MENU - Pr'!C324)</f>
        <v>3.5</v>
      </c>
      <c r="D324" s="56" t="str">
        <f>IFERROR(__xludf.DUMMYFUNCTION("IF('AYIRA MINI MART FINAL MENU - Pr'!D324="""", """", GOOGLETRANSLATE('AYIRA MINI MART FINAL MENU - Pr'!D324,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24" s="56" t="str">
        <f>IF('AYIRA MINI MART FINAL MENU - Pr'!K324="", "", 'AYIRA MINI MART FINAL MENU - Pr'!K324)</f>
        <v/>
      </c>
      <c r="F324" s="56"/>
      <c r="G324" s="56"/>
      <c r="H324" s="56"/>
      <c r="I324" s="56"/>
      <c r="J324" s="56"/>
      <c r="L324" s="56" t="str">
        <f>IF('AYIRA MINI MART FINAL MENU - Pr'!L324="", "", 'AYIRA MINI MART FINAL MENU - Pr'!L324)</f>
        <v/>
      </c>
      <c r="M324" s="56" t="str">
        <f>IF('AYIRA MINI MART FINAL MENU - Pr'!M324="", "", 'AYIRA MINI MART FINAL MENU - Pr'!M324)</f>
        <v/>
      </c>
      <c r="N324" s="56" t="str">
        <f>IF('AYIRA MINI MART FINAL MENU - Pr'!N324="", "", 'AYIRA MINI MART FINAL MENU - Pr'!N324)</f>
        <v/>
      </c>
      <c r="O324" s="57"/>
      <c r="P324" s="57"/>
      <c r="Q324" s="57"/>
      <c r="R324" s="57"/>
      <c r="S324" s="57"/>
      <c r="T324" s="57"/>
      <c r="U324" s="57"/>
      <c r="V324" s="57"/>
      <c r="W324" s="57"/>
      <c r="X324" s="57"/>
      <c r="Y324" s="57"/>
      <c r="Z324" s="57"/>
    </row>
    <row r="325">
      <c r="A325" s="56" t="str">
        <f>IFERROR(__xludf.DUMMYFUNCTION("IF('AYIRA MINI MART FINAL MENU - Pr'!A325="""", """", IF(LEN(IFERROR(TRIM(REGEXREPLACE(TRIM(REGEXEXTRACT('AYIRA MINI MART FINAL MENU - Pr'!A325, ""^[^\x{0600}-\x{06FF}]+"")), ""[-–]+$"", """")), """"))&gt;0, IFERROR(TRIM(REGEXREPLACE(TRIM(REGEXEXTRACT('AYIRA"&amp;" MINI MART FINAL MENU - Pr'!A325, ""^[^\x{0600}-\x{06FF}]+"")), ""[-–]+$"", """")), """"), GOOGLETRANSLATE('AYIRA MINI MART FINAL MENU - Pr'!A325, ""ar"", ""en"")))"),"Galaxy Hazelnut &amp; Chocolate Ice Cream 73g")</f>
        <v>Galaxy Hazelnut &amp; Chocolate Ice Cream 73g</v>
      </c>
      <c r="B325" s="56" t="str">
        <f>IFERROR(__xludf.DUMMYFUNCTION("IF('AYIRA MINI MART FINAL MENU - Pr'!B325="""", """", IF(LEN(IFERROR(TRIM(REGEXREPLACE(TRIM(REGEXEXTRACT('AYIRA MINI MART FINAL MENU - Pr'!B325, ""^[^\x{0600}-\x{06FF}]+"")), ""[-–]+$"", """")), """"))&gt;0, IFERROR(TRIM(REGEXREPLACE(TRIM(REGEXEXTRACT('AYIRA"&amp;" MINI MART FINAL MENU - Pr'!B325, ""^[^\x{0600}-\x{06FF}]+"")), ""[-–]+$"", """")), """"), GOOGLETRANSLATE('AYIRA MINI MART FINAL MENU - Pr'!B325, ""ar"", ""en"")))"),"Ice Cream |")</f>
        <v>Ice Cream |</v>
      </c>
      <c r="C325" s="58">
        <f>IF('AYIRA MINI MART FINAL MENU - Pr'!C325="", "", 'AYIRA MINI MART FINAL MENU - Pr'!C325)</f>
        <v>6</v>
      </c>
      <c r="D325" s="56" t="str">
        <f>IFERROR(__xludf.DUMMYFUNCTION("IF('AYIRA MINI MART FINAL MENU - Pr'!D325="""", """", GOOGLETRANSLATE('AYIRA MINI MART FINAL MENU - Pr'!D325, ""ar"", ""en""))"),"Cool down on hot days with Galaxy Hazelnut &amp; Chocolate Ice Cream 73g, a delicious treat that will transport you to a world of refreshment and enjoyment. It boasts a wonderful flavor and a smooth, creamy texture that melts in your mouth, leaving a delightf"&amp;"ul and unforgettable aftertaste. Perfect for both children and adults, it's a great light dessert any time of day. Discover the secret to its unique taste and make it a part of your sunny day. Aira Mini Mart offers it fresh and preserved to the highest st"&amp;"andards.")</f>
        <v>Cool down on hot days with Galaxy Hazelnut &amp; Chocolate Ice Cream 73g,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25" s="56" t="str">
        <f>IF('AYIRA MINI MART FINAL MENU - Pr'!K325="", "", 'AYIRA MINI MART FINAL MENU - Pr'!K325)</f>
        <v/>
      </c>
      <c r="F325" s="56"/>
      <c r="G325" s="56"/>
      <c r="H325" s="56"/>
      <c r="I325" s="56"/>
      <c r="J325" s="56"/>
      <c r="L325" s="56" t="str">
        <f>IF('AYIRA MINI MART FINAL MENU - Pr'!L325="", "", 'AYIRA MINI MART FINAL MENU - Pr'!L325)</f>
        <v/>
      </c>
      <c r="M325" s="56" t="str">
        <f>IF('AYIRA MINI MART FINAL MENU - Pr'!M325="", "", 'AYIRA MINI MART FINAL MENU - Pr'!M325)</f>
        <v/>
      </c>
      <c r="N325" s="56" t="str">
        <f>IF('AYIRA MINI MART FINAL MENU - Pr'!N325="", "", 'AYIRA MINI MART FINAL MENU - Pr'!N325)</f>
        <v/>
      </c>
      <c r="O325" s="57"/>
      <c r="P325" s="57"/>
      <c r="Q325" s="57"/>
      <c r="R325" s="57"/>
      <c r="S325" s="57"/>
      <c r="T325" s="57"/>
      <c r="U325" s="57"/>
      <c r="V325" s="57"/>
      <c r="W325" s="57"/>
      <c r="X325" s="57"/>
      <c r="Y325" s="57"/>
      <c r="Z325" s="57"/>
    </row>
    <row r="326">
      <c r="A326" s="56" t="str">
        <f>IFERROR(__xludf.DUMMYFUNCTION("IF('AYIRA MINI MART FINAL MENU - Pr'!A326="""", """", IF(LEN(IFERROR(TRIM(REGEXREPLACE(TRIM(REGEXEXTRACT('AYIRA MINI MART FINAL MENU - Pr'!A326, ""^[^\x{0600}-\x{06FF}]+"")), ""[-–]+$"", """")), """"))&gt;0, IFERROR(TRIM(REGEXREPLACE(TRIM(REGEXEXTRACT('AYIRA"&amp;" MINI MART FINAL MENU - Pr'!A326, ""^[^\x{0600}-\x{06FF}]+"")), ""[-–]+$"", """")), """"), GOOGLETRANSLATE('AYIRA MINI MART FINAL MENU - Pr'!A326, ""ar"", ""en"")))"),"Galaxy Vanilla Ice Cream 59g – Galaxy")</f>
        <v>Galaxy Vanilla Ice Cream 59g – Galaxy</v>
      </c>
      <c r="B326" s="56" t="str">
        <f>IFERROR(__xludf.DUMMYFUNCTION("IF('AYIRA MINI MART FINAL MENU - Pr'!B326="""", """", IF(LEN(IFERROR(TRIM(REGEXREPLACE(TRIM(REGEXEXTRACT('AYIRA MINI MART FINAL MENU - Pr'!B326, ""^[^\x{0600}-\x{06FF}]+"")), ""[-–]+$"", """")), """"))&gt;0, IFERROR(TRIM(REGEXREPLACE(TRIM(REGEXEXTRACT('AYIRA"&amp;" MINI MART FINAL MENU - Pr'!B326, ""^[^\x{0600}-\x{06FF}]+"")), ""[-–]+$"", """")), """"), GOOGLETRANSLATE('AYIRA MINI MART FINAL MENU - Pr'!B326, ""ar"", ""en"")))"),"Ice Cream |")</f>
        <v>Ice Cream |</v>
      </c>
      <c r="C326" s="58">
        <f>IF('AYIRA MINI MART FINAL MENU - Pr'!C326="", "", 'AYIRA MINI MART FINAL MENU - Pr'!C326)</f>
        <v>6</v>
      </c>
      <c r="D326" s="56" t="str">
        <f>IFERROR(__xludf.DUMMYFUNCTION("IF('AYIRA MINI MART FINAL MENU - Pr'!D326="""", """", GOOGLETRANSLATE('AYIRA MINI MART FINAL MENU - Pr'!D326, ""ar"", ""en""))"),"Cool down on hot days with Glace Vanilla Ice Cream 59g, a delicious treat that will transport you to a world of refreshment and enjoyment. Its wonderful flavor and smooth, creamy texture melt in your mouth, leaving a delightful and unforgettable aftertast"&amp;"e. Perfect for children and adults alike, it's a great light dessert any time of day. Discover the secret to its unique taste and make it a part of your sunny day. Aira Mini Mart offers it fresh and preserved to the highest standards.")</f>
        <v>Cool down on hot days with Glace Vanilla Ice Cream 59g,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26" s="56" t="str">
        <f>IF('AYIRA MINI MART FINAL MENU - Pr'!K326="", "", 'AYIRA MINI MART FINAL MENU - Pr'!K326)</f>
        <v/>
      </c>
      <c r="F326" s="56"/>
      <c r="G326" s="56"/>
      <c r="H326" s="56"/>
      <c r="I326" s="56"/>
      <c r="J326" s="56"/>
      <c r="L326" s="56" t="str">
        <f>IF('AYIRA MINI MART FINAL MENU - Pr'!L326="", "", 'AYIRA MINI MART FINAL MENU - Pr'!L326)</f>
        <v/>
      </c>
      <c r="M326" s="56" t="str">
        <f>IF('AYIRA MINI MART FINAL MENU - Pr'!M326="", "", 'AYIRA MINI MART FINAL MENU - Pr'!M326)</f>
        <v/>
      </c>
      <c r="N326" s="56" t="str">
        <f>IF('AYIRA MINI MART FINAL MENU - Pr'!N326="", "", 'AYIRA MINI MART FINAL MENU - Pr'!N326)</f>
        <v/>
      </c>
      <c r="O326" s="57"/>
      <c r="P326" s="57"/>
      <c r="Q326" s="57"/>
      <c r="R326" s="57"/>
      <c r="S326" s="57"/>
      <c r="T326" s="57"/>
      <c r="U326" s="57"/>
      <c r="V326" s="57"/>
      <c r="W326" s="57"/>
      <c r="X326" s="57"/>
      <c r="Y326" s="57"/>
      <c r="Z326" s="57"/>
    </row>
    <row r="327">
      <c r="A327" s="56" t="str">
        <f>IFERROR(__xludf.DUMMYFUNCTION("IF('AYIRA MINI MART FINAL MENU - Pr'!A327="""", """", IF(LEN(IFERROR(TRIM(REGEXREPLACE(TRIM(REGEXEXTRACT('AYIRA MINI MART FINAL MENU - Pr'!A327, ""^[^\x{0600}-\x{06FF}]+"")), ""[-–]+$"", """")), """"))&gt;0, IFERROR(TRIM(REGEXREPLACE(TRIM(REGEXEXTRACT('AYIRA"&amp;" MINI MART FINAL MENU - Pr'!A327, ""^[^\x{0600}-\x{06FF}]+"")), ""[-–]+$"", """")), """"), GOOGLETRANSLATE('AYIRA MINI MART FINAL MENU - Pr'!A327, ""ar"", ""en"")))"),"Snickers Ice Cream 70g – Snickers")</f>
        <v>Snickers Ice Cream 70g – Snickers</v>
      </c>
      <c r="B327" s="56" t="str">
        <f>IFERROR(__xludf.DUMMYFUNCTION("IF('AYIRA MINI MART FINAL MENU - Pr'!B327="""", """", IF(LEN(IFERROR(TRIM(REGEXREPLACE(TRIM(REGEXEXTRACT('AYIRA MINI MART FINAL MENU - Pr'!B327, ""^[^\x{0600}-\x{06FF}]+"")), ""[-–]+$"", """")), """"))&gt;0, IFERROR(TRIM(REGEXREPLACE(TRIM(REGEXEXTRACT('AYIRA"&amp;" MINI MART FINAL MENU - Pr'!B327, ""^[^\x{0600}-\x{06FF}]+"")), ""[-–]+$"", """")), """"), GOOGLETRANSLATE('AYIRA MINI MART FINAL MENU - Pr'!B327, ""ar"", ""en"")))"),"Ice Cream |")</f>
        <v>Ice Cream |</v>
      </c>
      <c r="C327" s="58">
        <f>IF('AYIRA MINI MART FINAL MENU - Pr'!C327="", "", 'AYIRA MINI MART FINAL MENU - Pr'!C327)</f>
        <v>7</v>
      </c>
      <c r="D327" s="56" t="str">
        <f>IFERROR(__xludf.DUMMYFUNCTION("IF('AYIRA MINI MART FINAL MENU - Pr'!D327="""", """", GOOGLETRANSLATE('AYIRA MINI MART FINAL MENU - Pr'!D327, ""ar"", ""en""))"),"Cool down on hot days with Stickers Ice Cream 70g, a delicious treat that will transport you to a world of refreshment and enjoyment. It boasts a wonderful flavor and a smooth, creamy texture that melts in your mouth, leaving a delightful and unforgettabl"&amp;"e aftertaste. Perfect for both children and adults, it's a great light dessert any time of day. Discover the secret to its unique taste and make it a part of your sunny day. Aira Mini Mart offers it fresh and preserved to the highest standards.")</f>
        <v>Cool down on hot days with Stickers Ice Cream 70g,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27" s="56" t="str">
        <f>IF('AYIRA MINI MART FINAL MENU - Pr'!K327="", "", 'AYIRA MINI MART FINAL MENU - Pr'!K327)</f>
        <v/>
      </c>
      <c r="F327" s="56"/>
      <c r="G327" s="56"/>
      <c r="H327" s="56"/>
      <c r="I327" s="56"/>
      <c r="J327" s="56"/>
      <c r="L327" s="56" t="str">
        <f>IF('AYIRA MINI MART FINAL MENU - Pr'!L327="", "", 'AYIRA MINI MART FINAL MENU - Pr'!L327)</f>
        <v/>
      </c>
      <c r="M327" s="56" t="str">
        <f>IF('AYIRA MINI MART FINAL MENU - Pr'!M327="", "", 'AYIRA MINI MART FINAL MENU - Pr'!M327)</f>
        <v/>
      </c>
      <c r="N327" s="56" t="str">
        <f>IF('AYIRA MINI MART FINAL MENU - Pr'!N327="", "", 'AYIRA MINI MART FINAL MENU - Pr'!N327)</f>
        <v/>
      </c>
      <c r="O327" s="57"/>
      <c r="P327" s="57"/>
      <c r="Q327" s="57"/>
      <c r="R327" s="57"/>
      <c r="S327" s="57"/>
      <c r="T327" s="57"/>
      <c r="U327" s="57"/>
      <c r="V327" s="57"/>
      <c r="W327" s="57"/>
      <c r="X327" s="57"/>
      <c r="Y327" s="57"/>
      <c r="Z327" s="57"/>
    </row>
    <row r="328">
      <c r="A328" s="56" t="str">
        <f>IFERROR(__xludf.DUMMYFUNCTION("IF('AYIRA MINI MART FINAL MENU - Pr'!A328="""", """", IF(LEN(IFERROR(TRIM(REGEXREPLACE(TRIM(REGEXEXTRACT('AYIRA MINI MART FINAL MENU - Pr'!A328, ""^[^\x{0600}-\x{06FF}]+"")), ""[-–]+$"", """")), """"))&gt;0, IFERROR(TRIM(REGEXREPLACE(TRIM(REGEXEXTRACT('AYIRA"&amp;" MINI MART FINAL MENU - Pr'!A328, ""^[^\x{0600}-\x{06FF}]+"")), ""[-–]+$"", """")), """"), GOOGLETRANSLATE('AYIRA MINI MART FINAL MENU - Pr'!A328, ""ar"", ""en"")))"),"Galaxy Almond Ice Cream 58g")</f>
        <v>Galaxy Almond Ice Cream 58g</v>
      </c>
      <c r="B328" s="56" t="str">
        <f>IFERROR(__xludf.DUMMYFUNCTION("IF('AYIRA MINI MART FINAL MENU - Pr'!B328="""", """", IF(LEN(IFERROR(TRIM(REGEXREPLACE(TRIM(REGEXEXTRACT('AYIRA MINI MART FINAL MENU - Pr'!B328, ""^[^\x{0600}-\x{06FF}]+"")), ""[-–]+$"", """")), """"))&gt;0, IFERROR(TRIM(REGEXREPLACE(TRIM(REGEXEXTRACT('AYIRA"&amp;" MINI MART FINAL MENU - Pr'!B328, ""^[^\x{0600}-\x{06FF}]+"")), ""[-–]+$"", """")), """"), GOOGLETRANSLATE('AYIRA MINI MART FINAL MENU - Pr'!B328, ""ar"", ""en"")))"),"Ice Cream |")</f>
        <v>Ice Cream |</v>
      </c>
      <c r="C328" s="58">
        <f>IF('AYIRA MINI MART FINAL MENU - Pr'!C328="", "", 'AYIRA MINI MART FINAL MENU - Pr'!C328)</f>
        <v>7</v>
      </c>
      <c r="D328" s="56" t="str">
        <f>IFERROR(__xludf.DUMMYFUNCTION("IF('AYIRA MINI MART FINAL MENU - Pr'!D328="""", """", GOOGLETRANSLATE('AYIRA MINI MART FINAL MENU - Pr'!D328, ""ar"", ""en""))"),"Cool down on hot days with Galaxy Almond Ice Cream 58g, a delicious treat that will transport you to a world of refreshment and enjoyment. It boasts a wonderful flavor and a smooth, creamy texture that melts in your mouth, leaving a delightful and unforge"&amp;"ttable aftertaste. Perfect for both children and adults, it's a great light dessert any time of day. Discover the secret to its unique taste and make it a part of your sunny day. Aira Mini Mart offers it fresh and preserved to the highest standards.")</f>
        <v>Cool down on hot days with Galaxy Almond Ice Cream 58g,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28" s="56" t="str">
        <f>IF('AYIRA MINI MART FINAL MENU - Pr'!K328="", "", 'AYIRA MINI MART FINAL MENU - Pr'!K328)</f>
        <v/>
      </c>
      <c r="F328" s="56"/>
      <c r="G328" s="56"/>
      <c r="H328" s="56"/>
      <c r="I328" s="56"/>
      <c r="J328" s="56"/>
      <c r="L328" s="56" t="str">
        <f>IF('AYIRA MINI MART FINAL MENU - Pr'!L328="", "", 'AYIRA MINI MART FINAL MENU - Pr'!L328)</f>
        <v/>
      </c>
      <c r="M328" s="56" t="str">
        <f>IF('AYIRA MINI MART FINAL MENU - Pr'!M328="", "", 'AYIRA MINI MART FINAL MENU - Pr'!M328)</f>
        <v/>
      </c>
      <c r="N328" s="56" t="str">
        <f>IF('AYIRA MINI MART FINAL MENU - Pr'!N328="", "", 'AYIRA MINI MART FINAL MENU - Pr'!N328)</f>
        <v/>
      </c>
      <c r="O328" s="57"/>
      <c r="P328" s="57"/>
      <c r="Q328" s="57"/>
      <c r="R328" s="57"/>
      <c r="S328" s="57"/>
      <c r="T328" s="57"/>
      <c r="U328" s="57"/>
      <c r="V328" s="57"/>
      <c r="W328" s="57"/>
      <c r="X328" s="57"/>
      <c r="Y328" s="57"/>
      <c r="Z328" s="57"/>
    </row>
    <row r="329">
      <c r="A329" s="56" t="str">
        <f>IFERROR(__xludf.DUMMYFUNCTION("IF('AYIRA MINI MART FINAL MENU - Pr'!A329="""", """", IF(LEN(IFERROR(TRIM(REGEXREPLACE(TRIM(REGEXEXTRACT('AYIRA MINI MART FINAL MENU - Pr'!A329, ""^[^\x{0600}-\x{06FF}]+"")), ""[-–]+$"", """")), """"))&gt;0, IFERROR(TRIM(REGEXREPLACE(TRIM(REGEXEXTRACT('AYIRA"&amp;" MINI MART FINAL MENU - Pr'!A329, ""^[^\x{0600}-\x{06FF}]+"")), ""[-–]+$"", """")), """"), GOOGLETRANSLATE('AYIRA MINI MART FINAL MENU - Pr'!A329, ""ar"", ""en"")))"),"Snickers Ice Cream 73.5g – Snickers")</f>
        <v>Snickers Ice Cream 73.5g – Snickers</v>
      </c>
      <c r="B329" s="56" t="str">
        <f>IFERROR(__xludf.DUMMYFUNCTION("IF('AYIRA MINI MART FINAL MENU - Pr'!B329="""", """", IF(LEN(IFERROR(TRIM(REGEXREPLACE(TRIM(REGEXEXTRACT('AYIRA MINI MART FINAL MENU - Pr'!B329, ""^[^\x{0600}-\x{06FF}]+"")), ""[-–]+$"", """")), """"))&gt;0, IFERROR(TRIM(REGEXREPLACE(TRIM(REGEXEXTRACT('AYIRA"&amp;" MINI MART FINAL MENU - Pr'!B329, ""^[^\x{0600}-\x{06FF}]+"")), ""[-–]+$"", """")), """"), GOOGLETRANSLATE('AYIRA MINI MART FINAL MENU - Pr'!B329, ""ar"", ""en"")))"),"Ice Cream |")</f>
        <v>Ice Cream |</v>
      </c>
      <c r="C329" s="58">
        <f>IF('AYIRA MINI MART FINAL MENU - Pr'!C329="", "", 'AYIRA MINI MART FINAL MENU - Pr'!C329)</f>
        <v>8</v>
      </c>
      <c r="D329" s="56" t="str">
        <f>IFERROR(__xludf.DUMMYFUNCTION("IF('AYIRA MINI MART FINAL MENU - Pr'!D329="""", """", GOOGLETRANSLATE('AYIRA MINI MART FINAL MENU - Pr'!D329, ""ar"", ""en""))"),"Cool down on hot days with Stickers Ice Cream 73.5g, a delicious treat that will transport you to a world of refreshment and enjoyment. It boasts a wonderful flavor and a smooth, creamy texture that melts in your mouth, leaving a delightful and unforgetta"&amp;"ble aftertaste. Perfect for both children and adults, it's a great light dessert any time of day. Discover the secret to its unique taste and make it a part of your sunny day. Aira Mini Mart offers it fresh and preserved to the highest standards.")</f>
        <v>Cool down on hot days with Stickers Ice Cream 73.5g,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29" s="56" t="str">
        <f>IF('AYIRA MINI MART FINAL MENU - Pr'!K329="", "", 'AYIRA MINI MART FINAL MENU - Pr'!K329)</f>
        <v/>
      </c>
      <c r="F329" s="56"/>
      <c r="G329" s="56"/>
      <c r="H329" s="56"/>
      <c r="I329" s="56"/>
      <c r="J329" s="56"/>
      <c r="L329" s="56" t="str">
        <f>IF('AYIRA MINI MART FINAL MENU - Pr'!L329="", "", 'AYIRA MINI MART FINAL MENU - Pr'!L329)</f>
        <v/>
      </c>
      <c r="M329" s="56" t="str">
        <f>IF('AYIRA MINI MART FINAL MENU - Pr'!M329="", "", 'AYIRA MINI MART FINAL MENU - Pr'!M329)</f>
        <v/>
      </c>
      <c r="N329" s="56" t="str">
        <f>IF('AYIRA MINI MART FINAL MENU - Pr'!N329="", "", 'AYIRA MINI MART FINAL MENU - Pr'!N329)</f>
        <v/>
      </c>
      <c r="O329" s="57"/>
      <c r="P329" s="57"/>
      <c r="Q329" s="57"/>
      <c r="R329" s="57"/>
      <c r="S329" s="57"/>
      <c r="T329" s="57"/>
      <c r="U329" s="57"/>
      <c r="V329" s="57"/>
      <c r="W329" s="57"/>
      <c r="X329" s="57"/>
      <c r="Y329" s="57"/>
      <c r="Z329" s="57"/>
    </row>
    <row r="330">
      <c r="A330" s="56" t="str">
        <f>IFERROR(__xludf.DUMMYFUNCTION("IF('AYIRA MINI MART FINAL MENU - Pr'!A330="""", """", IF(LEN(IFERROR(TRIM(REGEXREPLACE(TRIM(REGEXEXTRACT('AYIRA MINI MART FINAL MENU - Pr'!A330, ""^[^\x{0600}-\x{06FF}]+"")), ""[-–]+$"", """")), """"))&gt;0, IFERROR(TRIM(REGEXREPLACE(TRIM(REGEXEXTRACT('AYIRA"&amp;" MINI MART FINAL MENU - Pr'!A330, ""^[^\x{0600}-\x{06FF}]+"")), ""[-–]+$"", """")), """"), GOOGLETRANSLATE('AYIRA MINI MART FINAL MENU - Pr'!A330, ""ar"", ""en"")))"),"Mars Ice Cream 51g")</f>
        <v>Mars Ice Cream 51g</v>
      </c>
      <c r="B330" s="56" t="str">
        <f>IFERROR(__xludf.DUMMYFUNCTION("IF('AYIRA MINI MART FINAL MENU - Pr'!B330="""", """", IF(LEN(IFERROR(TRIM(REGEXREPLACE(TRIM(REGEXEXTRACT('AYIRA MINI MART FINAL MENU - Pr'!B330, ""^[^\x{0600}-\x{06FF}]+"")), ""[-–]+$"", """")), """"))&gt;0, IFERROR(TRIM(REGEXREPLACE(TRIM(REGEXEXTRACT('AYIRA"&amp;" MINI MART FINAL MENU - Pr'!B330, ""^[^\x{0600}-\x{06FF}]+"")), ""[-–]+$"", """")), """"), GOOGLETRANSLATE('AYIRA MINI MART FINAL MENU - Pr'!B330, ""ar"", ""en"")))"),"Ice Cream |")</f>
        <v>Ice Cream |</v>
      </c>
      <c r="C330" s="58">
        <f>IF('AYIRA MINI MART FINAL MENU - Pr'!C330="", "", 'AYIRA MINI MART FINAL MENU - Pr'!C330)</f>
        <v>4.5</v>
      </c>
      <c r="D330" s="56" t="str">
        <f>IFERROR(__xludf.DUMMYFUNCTION("IF('AYIRA MINI MART FINAL MENU - Pr'!D330="""", """", GOOGLETRANSLATE('AYIRA MINI MART FINAL MENU - Pr'!D330, ""ar"", ""en""))"),"Cool down on hot days with Mars, the delicious ice cream that transports you to a world of refreshment and enjoyment. It boasts a wonderful flavor and a smooth, creamy texture that melts in your mouth, leaving a delightful and unforgettable aftertaste. Pe"&amp;"rfect for children and adults alike, it's a great light treat any time of day. Discover the secret to its unique taste and make it a part of your sunny day. Aira Mini Mart offers it fresh and preserved to the highest standards.")</f>
        <v>Cool down on hot days with Mars, the delicious ice cream that transports you to a world of refreshment and enjoyment.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330" s="56" t="str">
        <f>IF('AYIRA MINI MART FINAL MENU - Pr'!K330="", "", 'AYIRA MINI MART FINAL MENU - Pr'!K330)</f>
        <v/>
      </c>
      <c r="F330" s="56"/>
      <c r="G330" s="56"/>
      <c r="H330" s="56"/>
      <c r="I330" s="56"/>
      <c r="J330" s="56"/>
      <c r="L330" s="56" t="str">
        <f>IF('AYIRA MINI MART FINAL MENU - Pr'!L330="", "", 'AYIRA MINI MART FINAL MENU - Pr'!L330)</f>
        <v/>
      </c>
      <c r="M330" s="56" t="str">
        <f>IF('AYIRA MINI MART FINAL MENU - Pr'!M330="", "", 'AYIRA MINI MART FINAL MENU - Pr'!M330)</f>
        <v/>
      </c>
      <c r="N330" s="56" t="str">
        <f>IF('AYIRA MINI MART FINAL MENU - Pr'!N330="", "", 'AYIRA MINI MART FINAL MENU - Pr'!N330)</f>
        <v/>
      </c>
      <c r="O330" s="57"/>
      <c r="P330" s="57"/>
      <c r="Q330" s="57"/>
      <c r="R330" s="57"/>
      <c r="S330" s="57"/>
      <c r="T330" s="57"/>
      <c r="U330" s="57"/>
      <c r="V330" s="57"/>
      <c r="W330" s="57"/>
      <c r="X330" s="57"/>
      <c r="Y330" s="57"/>
      <c r="Z330" s="57"/>
    </row>
    <row r="331">
      <c r="A331" s="56" t="str">
        <f>IFERROR(__xludf.DUMMYFUNCTION("IF('AYIRA MINI MART FINAL MENU - Pr'!A331="""", """", IF(LEN(IFERROR(TRIM(REGEXREPLACE(TRIM(REGEXEXTRACT('AYIRA MINI MART FINAL MENU - Pr'!A331, ""^[^\x{0600}-\x{06FF}]+"")), ""[-–]+$"", """")), """"))&gt;0, IFERROR(TRIM(REGEXREPLACE(TRIM(REGEXEXTRACT('AYIRA"&amp;" MINI MART FINAL MENU - Pr'!A331, ""^[^\x{0600}-\x{06FF}]+"")), ""[-–]+$"", """")), """"), GOOGLETRANSLATE('AYIRA MINI MART FINAL MENU - Pr'!A331, ""ar"", ""en"")))"),"Snickers Peanut Butter Creamy Ice Cream 36.5g – Snickers")</f>
        <v>Snickers Peanut Butter Creamy Ice Cream 36.5g – Snickers</v>
      </c>
      <c r="B331" s="56" t="str">
        <f>IFERROR(__xludf.DUMMYFUNCTION("IF('AYIRA MINI MART FINAL MENU - Pr'!B331="""", """", IF(LEN(IFERROR(TRIM(REGEXREPLACE(TRIM(REGEXEXTRACT('AYIRA MINI MART FINAL MENU - Pr'!B331, ""^[^\x{0600}-\x{06FF}]+"")), ""[-–]+$"", """")), """"))&gt;0, IFERROR(TRIM(REGEXREPLACE(TRIM(REGEXEXTRACT('AYIRA"&amp;" MINI MART FINAL MENU - Pr'!B331, ""^[^\x{0600}-\x{06FF}]+"")), ""[-–]+$"", """")), """"), GOOGLETRANSLATE('AYIRA MINI MART FINAL MENU - Pr'!B331, ""ar"", ""en"")))"),"Ice Cream |")</f>
        <v>Ice Cream |</v>
      </c>
      <c r="C331" s="58">
        <f>IF('AYIRA MINI MART FINAL MENU - Pr'!C331="", "", 'AYIRA MINI MART FINAL MENU - Pr'!C331)</f>
        <v>4.5</v>
      </c>
      <c r="D331" s="56" t="str">
        <f>IFERROR(__xludf.DUMMYFUNCTION("IF('AYIRA MINI MART FINAL MENU - Pr'!D331="""", """", GOOGLETRANSLATE('AYIRA MINI MART FINAL MENU - Pr'!D331, ""ar"", ""en""))"),"Cool down on hot days with Stickers Peanut Butter Creamy Ice Cream 36.5g, a delicious treat that will transport you to a world of refreshment and enjoyment. It boasts a wonderful flavor and a smooth, creamy texture that melts in your mouth, leaving a deli"&amp;"ghtful and unforgettable aftertaste. Perfect for both children and adults, it's a great light dessert any time of day. Discover the secret to its unique taste and make it a part of your sunny day. Aira Mini Mart offers it fresh and preserved to the highes"&amp;"t standards.")</f>
        <v>Cool down on hot days with Stickers Peanut Butter Creamy Ice Cream 36.5g,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31" s="56" t="str">
        <f>IF('AYIRA MINI MART FINAL MENU - Pr'!K331="", "", 'AYIRA MINI MART FINAL MENU - Pr'!K331)</f>
        <v/>
      </c>
      <c r="F331" s="56"/>
      <c r="G331" s="56"/>
      <c r="H331" s="56"/>
      <c r="I331" s="56"/>
      <c r="J331" s="56"/>
      <c r="L331" s="56" t="str">
        <f>IF('AYIRA MINI MART FINAL MENU - Pr'!L331="", "", 'AYIRA MINI MART FINAL MENU - Pr'!L331)</f>
        <v/>
      </c>
      <c r="M331" s="56" t="str">
        <f>IF('AYIRA MINI MART FINAL MENU - Pr'!M331="", "", 'AYIRA MINI MART FINAL MENU - Pr'!M331)</f>
        <v/>
      </c>
      <c r="N331" s="56" t="str">
        <f>IF('AYIRA MINI MART FINAL MENU - Pr'!N331="", "", 'AYIRA MINI MART FINAL MENU - Pr'!N331)</f>
        <v/>
      </c>
      <c r="O331" s="57"/>
      <c r="P331" s="57"/>
      <c r="Q331" s="57"/>
      <c r="R331" s="57"/>
      <c r="S331" s="57"/>
      <c r="T331" s="57"/>
      <c r="U331" s="57"/>
      <c r="V331" s="57"/>
      <c r="W331" s="57"/>
      <c r="X331" s="57"/>
      <c r="Y331" s="57"/>
      <c r="Z331" s="57"/>
    </row>
    <row r="332">
      <c r="A332" s="56" t="str">
        <f>IFERROR(__xludf.DUMMYFUNCTION("IF('AYIRA MINI MART FINAL MENU - Pr'!A332="""", """", IF(LEN(IFERROR(TRIM(REGEXREPLACE(TRIM(REGEXEXTRACT('AYIRA MINI MART FINAL MENU - Pr'!A332, ""^[^\x{0600}-\x{06FF}]+"")), ""[-–]+$"", """")), """"))&gt;0, IFERROR(TRIM(REGEXREPLACE(TRIM(REGEXEXTRACT('AYIRA"&amp;" MINI MART FINAL MENU - Pr'!A332, ""^[^\x{0600}-\x{06FF}]+"")), ""[-–]+$"", """")), """"), GOOGLETRANSLATE('AYIRA MINI MART FINAL MENU - Pr'!A332, ""ar"", ""en"")))"),"Twix Ice Cream 40g")</f>
        <v>Twix Ice Cream 40g</v>
      </c>
      <c r="B332" s="56" t="str">
        <f>IFERROR(__xludf.DUMMYFUNCTION("IF('AYIRA MINI MART FINAL MENU - Pr'!B332="""", """", IF(LEN(IFERROR(TRIM(REGEXREPLACE(TRIM(REGEXEXTRACT('AYIRA MINI MART FINAL MENU - Pr'!B332, ""^[^\x{0600}-\x{06FF}]+"")), ""[-–]+$"", """")), """"))&gt;0, IFERROR(TRIM(REGEXREPLACE(TRIM(REGEXEXTRACT('AYIRA"&amp;" MINI MART FINAL MENU - Pr'!B332, ""^[^\x{0600}-\x{06FF}]+"")), ""[-–]+$"", """")), """"), GOOGLETRANSLATE('AYIRA MINI MART FINAL MENU - Pr'!B332, ""ar"", ""en"")))"),"Ice Cream |")</f>
        <v>Ice Cream |</v>
      </c>
      <c r="C332" s="58">
        <f>IF('AYIRA MINI MART FINAL MENU - Pr'!C332="", "", 'AYIRA MINI MART FINAL MENU - Pr'!C332)</f>
        <v>4.5</v>
      </c>
      <c r="D332" s="56" t="str">
        <f>IFERROR(__xludf.DUMMYFUNCTION("IF('AYIRA MINI MART FINAL MENU - Pr'!D332="""", """", GOOGLETRANSLATE('AYIRA MINI MART FINAL MENU - Pr'!D332, ""ar"", ""en""))"),"Cool down on hot days with Twix, the delicious ice cream that transports you to a world of refreshment and enjoyment. It boasts a wonderful flavor and a smooth, creamy texture that melts in your mouth, leaving a delightful and unforgettable aftertaste. Pe"&amp;"rfect for children and adults alike, it makes a great light treat any time of day. Discover the secret to its unique taste and make it a part of your sunny day. Aira Mini Mart offers it fresh and preserved to the highest standards.")</f>
        <v>Cool down on hot days with Twix, the delicious ice cream that transports you to a world of refreshment and enjoyment. It boasts a wonderful flavor and a smooth, creamy texture that melts in your mouth, leaving a delightful and unforgettable aftertaste. Perfect for children and adults alike, it makes a great light treat any time of day. Discover the secret to its unique taste and make it a part of your sunny day. Aira Mini Mart offers it fresh and preserved to the highest standards.</v>
      </c>
      <c r="E332" s="56" t="str">
        <f>IF('AYIRA MINI MART FINAL MENU - Pr'!K332="", "", 'AYIRA MINI MART FINAL MENU - Pr'!K332)</f>
        <v/>
      </c>
      <c r="F332" s="56"/>
      <c r="G332" s="56"/>
      <c r="H332" s="56"/>
      <c r="I332" s="56"/>
      <c r="J332" s="56"/>
      <c r="L332" s="56" t="str">
        <f>IF('AYIRA MINI MART FINAL MENU - Pr'!L332="", "", 'AYIRA MINI MART FINAL MENU - Pr'!L332)</f>
        <v/>
      </c>
      <c r="M332" s="56" t="str">
        <f>IF('AYIRA MINI MART FINAL MENU - Pr'!M332="", "", 'AYIRA MINI MART FINAL MENU - Pr'!M332)</f>
        <v/>
      </c>
      <c r="N332" s="56" t="str">
        <f>IF('AYIRA MINI MART FINAL MENU - Pr'!N332="", "", 'AYIRA MINI MART FINAL MENU - Pr'!N332)</f>
        <v/>
      </c>
      <c r="O332" s="57"/>
      <c r="P332" s="57"/>
      <c r="Q332" s="57"/>
      <c r="R332" s="57"/>
      <c r="S332" s="57"/>
      <c r="T332" s="57"/>
      <c r="U332" s="57"/>
      <c r="V332" s="57"/>
      <c r="W332" s="57"/>
      <c r="X332" s="57"/>
      <c r="Y332" s="57"/>
      <c r="Z332" s="57"/>
    </row>
    <row r="333">
      <c r="A333" s="56" t="str">
        <f>IFERROR(__xludf.DUMMYFUNCTION("IF('AYIRA MINI MART FINAL MENU - Pr'!A333="""", """", IF(LEN(IFERROR(TRIM(REGEXREPLACE(TRIM(REGEXEXTRACT('AYIRA MINI MART FINAL MENU - Pr'!A333, ""^[^\x{0600}-\x{06FF}]+"")), ""[-–]+$"", """")), """"))&gt;0, IFERROR(TRIM(REGEXREPLACE(TRIM(REGEXEXTRACT('AYIRA"&amp;" MINI MART FINAL MENU - Pr'!A333, ""^[^\x{0600}-\x{06FF}]+"")), ""[-–]+$"", """")), """"), GOOGLETRANSLATE('AYIRA MINI MART FINAL MENU - Pr'!A333, ""ar"", ""en"")))"),"Bounty Ice Cream 50g")</f>
        <v>Bounty Ice Cream 50g</v>
      </c>
      <c r="B333" s="56" t="str">
        <f>IFERROR(__xludf.DUMMYFUNCTION("IF('AYIRA MINI MART FINAL MENU - Pr'!B333="""", """", IF(LEN(IFERROR(TRIM(REGEXREPLACE(TRIM(REGEXEXTRACT('AYIRA MINI MART FINAL MENU - Pr'!B333, ""^[^\x{0600}-\x{06FF}]+"")), ""[-–]+$"", """")), """"))&gt;0, IFERROR(TRIM(REGEXREPLACE(TRIM(REGEXEXTRACT('AYIRA"&amp;" MINI MART FINAL MENU - Pr'!B333, ""^[^\x{0600}-\x{06FF}]+"")), ""[-–]+$"", """")), """"), GOOGLETRANSLATE('AYIRA MINI MART FINAL MENU - Pr'!B333, ""ar"", ""en"")))"),"Ice Cream |")</f>
        <v>Ice Cream |</v>
      </c>
      <c r="C333" s="58">
        <f>IF('AYIRA MINI MART FINAL MENU - Pr'!C333="", "", 'AYIRA MINI MART FINAL MENU - Pr'!C333)</f>
        <v>4.5</v>
      </c>
      <c r="D333" s="56" t="str">
        <f>IFERROR(__xludf.DUMMYFUNCTION("IF('AYIRA MINI MART FINAL MENU - Pr'!D333="""", """", GOOGLETRANSLATE('AYIRA MINI MART FINAL MENU - Pr'!D333, ""ar"", ""en""))"),"Cool down on hot days with Bounty, the delicious ice cream that transports you to a world of refreshment and enjoyment. It boasts a wonderful flavor and a smooth, creamy texture that melts in your mouth, leaving a delightful and unforgettable aftertaste. "&amp;"Perfect for both children and adults, it makes a great light treat any time of day. Discover the secret to its unique taste and make it a part of your sunny day. Aira Mini Mart offers it fresh and preserved to the highest standards.")</f>
        <v>Cool down on hot days with Bounty, the delicious ice cream that transports you to a world of refreshment and enjoyment. It boasts a wonderful flavor and a smooth, creamy texture that melts in your mouth, leaving a delightful and unforgettable aftertaste. Perfect for both children and adults, it makes a great light treat any time of day. Discover the secret to its unique taste and make it a part of your sunny day. Aira Mini Mart offers it fresh and preserved to the highest standards.</v>
      </c>
      <c r="E333" s="56" t="str">
        <f>IF('AYIRA MINI MART FINAL MENU - Pr'!K333="", "", 'AYIRA MINI MART FINAL MENU - Pr'!K333)</f>
        <v/>
      </c>
      <c r="F333" s="56"/>
      <c r="G333" s="56"/>
      <c r="H333" s="56"/>
      <c r="I333" s="56"/>
      <c r="J333" s="56"/>
      <c r="L333" s="56" t="str">
        <f>IF('AYIRA MINI MART FINAL MENU - Pr'!L333="", "", 'AYIRA MINI MART FINAL MENU - Pr'!L333)</f>
        <v/>
      </c>
      <c r="M333" s="56" t="str">
        <f>IF('AYIRA MINI MART FINAL MENU - Pr'!M333="", "", 'AYIRA MINI MART FINAL MENU - Pr'!M333)</f>
        <v/>
      </c>
      <c r="N333" s="56" t="str">
        <f>IF('AYIRA MINI MART FINAL MENU - Pr'!N333="", "", 'AYIRA MINI MART FINAL MENU - Pr'!N333)</f>
        <v/>
      </c>
      <c r="O333" s="57"/>
      <c r="P333" s="57"/>
      <c r="Q333" s="57"/>
      <c r="R333" s="57"/>
      <c r="S333" s="57"/>
      <c r="T333" s="57"/>
      <c r="U333" s="57"/>
      <c r="V333" s="57"/>
      <c r="W333" s="57"/>
      <c r="X333" s="57"/>
      <c r="Y333" s="57"/>
      <c r="Z333" s="57"/>
    </row>
    <row r="334">
      <c r="A334" s="56" t="str">
        <f>IFERROR(__xludf.DUMMYFUNCTION("IF('AYIRA MINI MART FINAL MENU - Pr'!A334="""", """", IF(LEN(IFERROR(TRIM(REGEXREPLACE(TRIM(REGEXEXTRACT('AYIRA MINI MART FINAL MENU - Pr'!A334, ""^[^\x{0600}-\x{06FF}]+"")), ""[-–]+$"", """")), """"))&gt;0, IFERROR(TRIM(REGEXREPLACE(TRIM(REGEXEXTRACT('AYIRA"&amp;" MINI MART FINAL MENU - Pr'!A334, ""^[^\x{0600}-\x{06FF}]+"")), ""[-–]+$"", """")), """"), GOOGLETRANSLATE('AYIRA MINI MART FINAL MENU - Pr'!A334, ""ar"", ""en"")))"),"Galaxy Vanilla Ice Cream 50g")</f>
        <v>Galaxy Vanilla Ice Cream 50g</v>
      </c>
      <c r="B334" s="56" t="str">
        <f>IFERROR(__xludf.DUMMYFUNCTION("IF('AYIRA MINI MART FINAL MENU - Pr'!B334="""", """", IF(LEN(IFERROR(TRIM(REGEXREPLACE(TRIM(REGEXEXTRACT('AYIRA MINI MART FINAL MENU - Pr'!B334, ""^[^\x{0600}-\x{06FF}]+"")), ""[-–]+$"", """")), """"))&gt;0, IFERROR(TRIM(REGEXREPLACE(TRIM(REGEXEXTRACT('AYIRA"&amp;" MINI MART FINAL MENU - Pr'!B334, ""^[^\x{0600}-\x{06FF}]+"")), ""[-–]+$"", """")), """"), GOOGLETRANSLATE('AYIRA MINI MART FINAL MENU - Pr'!B334, ""ar"", ""en"")))"),"Ice Cream |")</f>
        <v>Ice Cream |</v>
      </c>
      <c r="C334" s="58">
        <f>IF('AYIRA MINI MART FINAL MENU - Pr'!C334="", "", 'AYIRA MINI MART FINAL MENU - Pr'!C334)</f>
        <v>4.5</v>
      </c>
      <c r="D334" s="56" t="str">
        <f>IFERROR(__xludf.DUMMYFUNCTION("IF('AYIRA MINI MART FINAL MENU - Pr'!D334="""", """", GOOGLETRANSLATE('AYIRA MINI MART FINAL MENU - Pr'!D334, ""ar"", ""en""))"),"Cool down on hot days with Galaxy Vanilla Ice Cream 50g, a delicious treat that will transport you to a world of refreshment and enjoyment. It boasts a wonderful flavor and a smooth, creamy texture that melts in your mouth, leaving a delightful and unforg"&amp;"ettable aftertaste. Perfect for both children and adults, it's a great light dessert any time of day. Discover the secret to its unique taste and make it a part of your sunny day. Aira Mini Mart offers it fresh and preserved to the highest standards.")</f>
        <v>Cool down on hot days with Galaxy Vanilla Ice Cream 50g,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34" s="56" t="str">
        <f>IF('AYIRA MINI MART FINAL MENU - Pr'!K334="", "", 'AYIRA MINI MART FINAL MENU - Pr'!K334)</f>
        <v/>
      </c>
      <c r="F334" s="56"/>
      <c r="G334" s="56"/>
      <c r="H334" s="56"/>
      <c r="I334" s="56"/>
      <c r="J334" s="56"/>
      <c r="L334" s="56" t="str">
        <f>IF('AYIRA MINI MART FINAL MENU - Pr'!L334="", "", 'AYIRA MINI MART FINAL MENU - Pr'!L334)</f>
        <v/>
      </c>
      <c r="M334" s="56" t="str">
        <f>IF('AYIRA MINI MART FINAL MENU - Pr'!M334="", "", 'AYIRA MINI MART FINAL MENU - Pr'!M334)</f>
        <v/>
      </c>
      <c r="N334" s="56" t="str">
        <f>IF('AYIRA MINI MART FINAL MENU - Pr'!N334="", "", 'AYIRA MINI MART FINAL MENU - Pr'!N334)</f>
        <v/>
      </c>
      <c r="O334" s="57"/>
      <c r="P334" s="57"/>
      <c r="Q334" s="57"/>
      <c r="R334" s="57"/>
      <c r="S334" s="57"/>
      <c r="T334" s="57"/>
      <c r="U334" s="57"/>
      <c r="V334" s="57"/>
      <c r="W334" s="57"/>
      <c r="X334" s="57"/>
      <c r="Y334" s="57"/>
      <c r="Z334" s="57"/>
    </row>
    <row r="335">
      <c r="A335" s="56" t="str">
        <f>IFERROR(__xludf.DUMMYFUNCTION("IF('AYIRA MINI MART FINAL MENU - Pr'!A335="""", """", IF(LEN(IFERROR(TRIM(REGEXREPLACE(TRIM(REGEXEXTRACT('AYIRA MINI MART FINAL MENU - Pr'!A335, ""^[^\x{0600}-\x{06FF}]+"")), ""[-–]+$"", """")), """"))&gt;0, IFERROR(TRIM(REGEXREPLACE(TRIM(REGEXEXTRACT('AYIRA"&amp;" MINI MART FINAL MENU - Pr'!A335, ""^[^\x{0600}-\x{06FF}]+"")), ""[-–]+$"", """")), """"), GOOGLETRANSLATE('AYIRA MINI MART FINAL MENU - Pr'!A335, ""ar"", ""en"")))"),"Reese’s Peanut Butter Ice Cream 100ml – Reese’s")</f>
        <v>Reese’s Peanut Butter Ice Cream 100ml – Reese’s</v>
      </c>
      <c r="B335" s="56" t="str">
        <f>IFERROR(__xludf.DUMMYFUNCTION("IF('AYIRA MINI MART FINAL MENU - Pr'!B335="""", """", IF(LEN(IFERROR(TRIM(REGEXREPLACE(TRIM(REGEXEXTRACT('AYIRA MINI MART FINAL MENU - Pr'!B335, ""^[^\x{0600}-\x{06FF}]+"")), ""[-–]+$"", """")), """"))&gt;0, IFERROR(TRIM(REGEXREPLACE(TRIM(REGEXEXTRACT('AYIRA"&amp;" MINI MART FINAL MENU - Pr'!B335, ""^[^\x{0600}-\x{06FF}]+"")), ""[-–]+$"", """")), """"), GOOGLETRANSLATE('AYIRA MINI MART FINAL MENU - Pr'!B335, ""ar"", ""en"")))"),"Ice Cream |")</f>
        <v>Ice Cream |</v>
      </c>
      <c r="C335" s="58">
        <f>IF('AYIRA MINI MART FINAL MENU - Pr'!C335="", "", 'AYIRA MINI MART FINAL MENU - Pr'!C335)</f>
        <v>7.5</v>
      </c>
      <c r="D335" s="56" t="str">
        <f>IFERROR(__xludf.DUMMYFUNCTION("IF('AYIRA MINI MART FINAL MENU - Pr'!D335="""", """", GOOGLETRANSLATE('AYIRA MINI MART FINAL MENU - Pr'!D335, ""ar"", ""en""))"),"Cool down on hot days with Reese’s Peanut Butter Ice Cream 100ml, a delicious treat that will transport you to a world of refreshment and enjoyment. Its wonderful flavor and smooth, creamy texture melt in your mouth, leaving a delightful and unforgettable"&amp;" aftertaste. Perfect for children and adults alike, it's a great light dessert any time of day. Discover the secret to its unique taste and make it a part of your sunny day. Aira Mini Mart offers it fresh and preserved to the highest standards.")</f>
        <v>Cool down on hot days with Reese’s Peanut Butter Ice Cream 100ml,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35" s="56" t="str">
        <f>IF('AYIRA MINI MART FINAL MENU - Pr'!K335="", "", 'AYIRA MINI MART FINAL MENU - Pr'!K335)</f>
        <v/>
      </c>
      <c r="F335" s="56"/>
      <c r="G335" s="56"/>
      <c r="H335" s="56"/>
      <c r="I335" s="56"/>
      <c r="J335" s="56"/>
      <c r="L335" s="56" t="str">
        <f>IF('AYIRA MINI MART FINAL MENU - Pr'!L335="", "", 'AYIRA MINI MART FINAL MENU - Pr'!L335)</f>
        <v/>
      </c>
      <c r="M335" s="56" t="str">
        <f>IF('AYIRA MINI MART FINAL MENU - Pr'!M335="", "", 'AYIRA MINI MART FINAL MENU - Pr'!M335)</f>
        <v/>
      </c>
      <c r="N335" s="56" t="str">
        <f>IF('AYIRA MINI MART FINAL MENU - Pr'!N335="", "", 'AYIRA MINI MART FINAL MENU - Pr'!N335)</f>
        <v/>
      </c>
      <c r="O335" s="57"/>
      <c r="P335" s="57"/>
      <c r="Q335" s="57"/>
      <c r="R335" s="57"/>
      <c r="S335" s="57"/>
      <c r="T335" s="57"/>
      <c r="U335" s="57"/>
      <c r="V335" s="57"/>
      <c r="W335" s="57"/>
      <c r="X335" s="57"/>
      <c r="Y335" s="57"/>
      <c r="Z335" s="57"/>
    </row>
    <row r="336">
      <c r="A336" s="56" t="str">
        <f>IFERROR(__xludf.DUMMYFUNCTION("IF('AYIRA MINI MART FINAL MENU - Pr'!A336="""", """", IF(LEN(IFERROR(TRIM(REGEXREPLACE(TRIM(REGEXEXTRACT('AYIRA MINI MART FINAL MENU - Pr'!A336, ""^[^\x{0600}-\x{06FF}]+"")), ""[-–]+$"", """")), """"))&gt;0, IFERROR(TRIM(REGEXREPLACE(TRIM(REGEXEXTRACT('AYIRA"&amp;" MINI MART FINAL MENU - Pr'!A336, ""^[^\x{0600}-\x{06FF}]+"")), ""[-–]+$"", """")), """"), GOOGLETRANSLATE('AYIRA MINI MART FINAL MENU - Pr'!A336, ""ar"", ""en"")))"),"Reese’s Peanut Butter Sandwich Ice Cream 63g – Reese’s")</f>
        <v>Reese’s Peanut Butter Sandwich Ice Cream 63g – Reese’s</v>
      </c>
      <c r="B336" s="56" t="str">
        <f>IFERROR(__xludf.DUMMYFUNCTION("IF('AYIRA MINI MART FINAL MENU - Pr'!B336="""", """", IF(LEN(IFERROR(TRIM(REGEXREPLACE(TRIM(REGEXEXTRACT('AYIRA MINI MART FINAL MENU - Pr'!B336, ""^[^\x{0600}-\x{06FF}]+"")), ""[-–]+$"", """")), """"))&gt;0, IFERROR(TRIM(REGEXREPLACE(TRIM(REGEXEXTRACT('AYIRA"&amp;" MINI MART FINAL MENU - Pr'!B336, ""^[^\x{0600}-\x{06FF}]+"")), ""[-–]+$"", """")), """"), GOOGLETRANSLATE('AYIRA MINI MART FINAL MENU - Pr'!B336, ""ar"", ""en"")))"),"Ice Cream |")</f>
        <v>Ice Cream |</v>
      </c>
      <c r="C336" s="58">
        <f>IF('AYIRA MINI MART FINAL MENU - Pr'!C336="", "", 'AYIRA MINI MART FINAL MENU - Pr'!C336)</f>
        <v>7.5</v>
      </c>
      <c r="D336" s="56" t="str">
        <f>IFERROR(__xludf.DUMMYFUNCTION("IF('AYIRA MINI MART FINAL MENU - Pr'!D336="""", """", GOOGLETRANSLATE('AYIRA MINI MART FINAL MENU - Pr'!D336, ""ar"", ""en""))"),"Cool down on hot days with Reese’s Peanut Butter Sandwich Ice Cream 63g, a delicious treat that will transport you to a world of refreshment and enjoyment. It boasts a wonderful flavor and a smooth, creamy texture that melts in your mouth, leaving a delig"&amp;"htful and unforgettable aftertaste. Perfect for both children and adults, it makes a great light dessert any time of day. Discover the secret to its unique taste and make it a part of your sunny day. Aira Mini Mart offers it fresh and preserved to the hig"&amp;"hest standards.")</f>
        <v>Cool down on hot days with Reese’s Peanut Butter Sandwich Ice Cream 63g, a delicious treat that will transport you to a world of refreshment and enjoyment. It boasts a wonderful flavor and a smooth, creamy texture that melts in your mouth, leaving a delightful and unforgettable aftertaste. Perfect for both children and adults, it makes a great light dessert any time of day. Discover the secret to its unique taste and make it a part of your sunny day. Aira Mini Mart offers it fresh and preserved to the highest standards.</v>
      </c>
      <c r="E336" s="56" t="str">
        <f>IF('AYIRA MINI MART FINAL MENU - Pr'!K336="", "", 'AYIRA MINI MART FINAL MENU - Pr'!K336)</f>
        <v/>
      </c>
      <c r="F336" s="56"/>
      <c r="G336" s="56"/>
      <c r="H336" s="56"/>
      <c r="I336" s="56"/>
      <c r="J336" s="56"/>
      <c r="L336" s="56" t="str">
        <f>IF('AYIRA MINI MART FINAL MENU - Pr'!L336="", "", 'AYIRA MINI MART FINAL MENU - Pr'!L336)</f>
        <v/>
      </c>
      <c r="M336" s="56" t="str">
        <f>IF('AYIRA MINI MART FINAL MENU - Pr'!M336="", "", 'AYIRA MINI MART FINAL MENU - Pr'!M336)</f>
        <v/>
      </c>
      <c r="N336" s="56" t="str">
        <f>IF('AYIRA MINI MART FINAL MENU - Pr'!N336="", "", 'AYIRA MINI MART FINAL MENU - Pr'!N336)</f>
        <v/>
      </c>
      <c r="O336" s="57"/>
      <c r="P336" s="57"/>
      <c r="Q336" s="57"/>
      <c r="R336" s="57"/>
      <c r="S336" s="57"/>
      <c r="T336" s="57"/>
      <c r="U336" s="57"/>
      <c r="V336" s="57"/>
      <c r="W336" s="57"/>
      <c r="X336" s="57"/>
      <c r="Y336" s="57"/>
      <c r="Z336" s="57"/>
    </row>
    <row r="337">
      <c r="A337" s="56" t="str">
        <f>IFERROR(__xludf.DUMMYFUNCTION("IF('AYIRA MINI MART FINAL MENU - Pr'!A337="""", """", IF(LEN(IFERROR(TRIM(REGEXREPLACE(TRIM(REGEXEXTRACT('AYIRA MINI MART FINAL MENU - Pr'!A337, ""^[^\x{0600}-\x{06FF}]+"")), ""[-–]+$"", """")), """"))&gt;0, IFERROR(TRIM(REGEXREPLACE(TRIM(REGEXEXTRACT('AYIRA"&amp;" MINI MART FINAL MENU - Pr'!A337, ""^[^\x{0600}-\x{06FF}]+"")), ""[-–]+$"", """")), """"), GOOGLETRANSLATE('AYIRA MINI MART FINAL MENU - Pr'!A337, ""ar"", ""en"")))"),"Reese’s Peanut Butter Chocolate Ice Cream 61ml – Reese’s")</f>
        <v>Reese’s Peanut Butter Chocolate Ice Cream 61ml – Reese’s</v>
      </c>
      <c r="B337" s="56" t="str">
        <f>IFERROR(__xludf.DUMMYFUNCTION("IF('AYIRA MINI MART FINAL MENU - Pr'!B337="""", """", IF(LEN(IFERROR(TRIM(REGEXREPLACE(TRIM(REGEXEXTRACT('AYIRA MINI MART FINAL MENU - Pr'!B337, ""^[^\x{0600}-\x{06FF}]+"")), ""[-–]+$"", """")), """"))&gt;0, IFERROR(TRIM(REGEXREPLACE(TRIM(REGEXEXTRACT('AYIRA"&amp;" MINI MART FINAL MENU - Pr'!B337, ""^[^\x{0600}-\x{06FF}]+"")), ""[-–]+$"", """")), """"), GOOGLETRANSLATE('AYIRA MINI MART FINAL MENU - Pr'!B337, ""ar"", ""en"")))"),"Ice Cream |")</f>
        <v>Ice Cream |</v>
      </c>
      <c r="C337" s="58">
        <f>IF('AYIRA MINI MART FINAL MENU - Pr'!C337="", "", 'AYIRA MINI MART FINAL MENU - Pr'!C337)</f>
        <v>9.5</v>
      </c>
      <c r="D337" s="56" t="str">
        <f>IFERROR(__xludf.DUMMYFUNCTION("IF('AYIRA MINI MART FINAL MENU - Pr'!D337="""", """", GOOGLETRANSLATE('AYIRA MINI MART FINAL MENU - Pr'!D337, ""ar"", ""en""))"),"Cool down on hot days with Reese’s Peanut Butter Chocolate Ice Cream 61ml, a delicious treat that will transport you to a world of refreshment and enjoyment. Its wonderful flavor and smooth, creamy texture melt in your mouth, leaving a delightful and unfo"&amp;"rgettable aftertaste. Perfect for children and adults alike, it's a great light dessert any time of day. Discover the secret to its unique taste and make it a part of your sunny day. Aira Mini Mart offers it fresh and preserved to the highest standards.")</f>
        <v>Cool down on hot days with Reese’s Peanut Butter Chocolate Ice Cream 61ml,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37" s="56" t="str">
        <f>IF('AYIRA MINI MART FINAL MENU - Pr'!K337="", "", 'AYIRA MINI MART FINAL MENU - Pr'!K337)</f>
        <v/>
      </c>
      <c r="F337" s="56"/>
      <c r="G337" s="56"/>
      <c r="H337" s="56"/>
      <c r="I337" s="56"/>
      <c r="J337" s="56"/>
      <c r="L337" s="56" t="str">
        <f>IF('AYIRA MINI MART FINAL MENU - Pr'!L337="", "", 'AYIRA MINI MART FINAL MENU - Pr'!L337)</f>
        <v/>
      </c>
      <c r="M337" s="56" t="str">
        <f>IF('AYIRA MINI MART FINAL MENU - Pr'!M337="", "", 'AYIRA MINI MART FINAL MENU - Pr'!M337)</f>
        <v/>
      </c>
      <c r="N337" s="56" t="str">
        <f>IF('AYIRA MINI MART FINAL MENU - Pr'!N337="", "", 'AYIRA MINI MART FINAL MENU - Pr'!N337)</f>
        <v/>
      </c>
      <c r="O337" s="57"/>
      <c r="P337" s="57"/>
      <c r="Q337" s="57"/>
      <c r="R337" s="57"/>
      <c r="S337" s="57"/>
      <c r="T337" s="57"/>
      <c r="U337" s="57"/>
      <c r="V337" s="57"/>
      <c r="W337" s="57"/>
      <c r="X337" s="57"/>
      <c r="Y337" s="57"/>
      <c r="Z337" s="57"/>
    </row>
    <row r="338">
      <c r="A338" s="56" t="str">
        <f>IFERROR(__xludf.DUMMYFUNCTION("IF('AYIRA MINI MART FINAL MENU - Pr'!A338="""", """", IF(LEN(IFERROR(TRIM(REGEXREPLACE(TRIM(REGEXEXTRACT('AYIRA MINI MART FINAL MENU - Pr'!A338, ""^[^\x{0600}-\x{06FF}]+"")), ""[-–]+$"", """")), """"))&gt;0, IFERROR(TRIM(REGEXREPLACE(TRIM(REGEXEXTRACT('AYIRA"&amp;" MINI MART FINAL MENU - Pr'!A338, ""^[^\x{0600}-\x{06FF}]+"")), ""[-–]+$"", """")), """"), GOOGLETRANSLATE('AYIRA MINI MART FINAL MENU - Pr'!A338, ""ar"", ""en"")))"),"Hershey’s Cookie &amp; Chocolate Ice Cream 61g – Hershey’s")</f>
        <v>Hershey’s Cookie &amp; Chocolate Ice Cream 61g – Hershey’s</v>
      </c>
      <c r="B338" s="56" t="str">
        <f>IFERROR(__xludf.DUMMYFUNCTION("IF('AYIRA MINI MART FINAL MENU - Pr'!B338="""", """", IF(LEN(IFERROR(TRIM(REGEXREPLACE(TRIM(REGEXEXTRACT('AYIRA MINI MART FINAL MENU - Pr'!B338, ""^[^\x{0600}-\x{06FF}]+"")), ""[-–]+$"", """")), """"))&gt;0, IFERROR(TRIM(REGEXREPLACE(TRIM(REGEXEXTRACT('AYIRA"&amp;" MINI MART FINAL MENU - Pr'!B338, ""^[^\x{0600}-\x{06FF}]+"")), ""[-–]+$"", """")), """"), GOOGLETRANSLATE('AYIRA MINI MART FINAL MENU - Pr'!B338, ""ar"", ""en"")))"),"Ice Cream |")</f>
        <v>Ice Cream |</v>
      </c>
      <c r="C338" s="58">
        <f>IF('AYIRA MINI MART FINAL MENU - Pr'!C338="", "", 'AYIRA MINI MART FINAL MENU - Pr'!C338)</f>
        <v>9.5</v>
      </c>
      <c r="D338" s="56" t="str">
        <f>IFERROR(__xludf.DUMMYFUNCTION("IF('AYIRA MINI MART FINAL MENU - Pr'!D338="""", """", GOOGLETRANSLATE('AYIRA MINI MART FINAL MENU - Pr'!D338, ""ar"", ""en""))"),"Cool down on hot days with Hershey’s Cookie &amp; Chocolate Ice Cream 61g, a delicious treat that will transport you to a world of refreshment and enjoyment. Its wonderful flavor and smooth, creamy texture melt in your mouth, leaving a delightful and unforget"&amp;"table aftertaste. Perfect for children and adults alike, it's a great light dessert any time of day. Discover the secret to its unique taste and make it a part of your sunny day. Available fresh and preserved to the highest standards at Aira Mini Mart.")</f>
        <v>Cool down on hot days with Hershey’s Cookie &amp; Chocolate Ice Cream 61g,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Available fresh and preserved to the highest standards at Aira Mini Mart.</v>
      </c>
      <c r="E338" s="56" t="str">
        <f>IF('AYIRA MINI MART FINAL MENU - Pr'!K338="", "", 'AYIRA MINI MART FINAL MENU - Pr'!K338)</f>
        <v/>
      </c>
      <c r="F338" s="56"/>
      <c r="G338" s="56"/>
      <c r="H338" s="56"/>
      <c r="I338" s="56"/>
      <c r="J338" s="56"/>
      <c r="L338" s="56" t="str">
        <f>IF('AYIRA MINI MART FINAL MENU - Pr'!L338="", "", 'AYIRA MINI MART FINAL MENU - Pr'!L338)</f>
        <v/>
      </c>
      <c r="M338" s="56" t="str">
        <f>IF('AYIRA MINI MART FINAL MENU - Pr'!M338="", "", 'AYIRA MINI MART FINAL MENU - Pr'!M338)</f>
        <v/>
      </c>
      <c r="N338" s="56" t="str">
        <f>IF('AYIRA MINI MART FINAL MENU - Pr'!N338="", "", 'AYIRA MINI MART FINAL MENU - Pr'!N338)</f>
        <v/>
      </c>
      <c r="O338" s="57"/>
      <c r="P338" s="57"/>
      <c r="Q338" s="57"/>
      <c r="R338" s="57"/>
      <c r="S338" s="57"/>
      <c r="T338" s="57"/>
      <c r="U338" s="57"/>
      <c r="V338" s="57"/>
      <c r="W338" s="57"/>
      <c r="X338" s="57"/>
      <c r="Y338" s="57"/>
      <c r="Z338" s="57"/>
    </row>
    <row r="339">
      <c r="A339" s="56" t="str">
        <f>IFERROR(__xludf.DUMMYFUNCTION("IF('AYIRA MINI MART FINAL MENU - Pr'!A339="""", """", IF(LEN(IFERROR(TRIM(REGEXREPLACE(TRIM(REGEXEXTRACT('AYIRA MINI MART FINAL MENU - Pr'!A339, ""^[^\x{0600}-\x{06FF}]+"")), ""[-–]+$"", """")), """"))&gt;0, IFERROR(TRIM(REGEXREPLACE(TRIM(REGEXEXTRACT('AYIRA"&amp;" MINI MART FINAL MENU - Pr'!A339, ""^[^\x{0600}-\x{06FF}]+"")), ""[-–]+$"", """")), """"), GOOGLETRANSLATE('AYIRA MINI MART FINAL MENU - Pr'!A339, ""ar"", ""en"")))"),"Hershey’s Cookies &amp; Cream Ice Cream 61g – Hershey’s Cookies &amp;")</f>
        <v>Hershey’s Cookies &amp; Cream Ice Cream 61g – Hershey’s Cookies &amp;</v>
      </c>
      <c r="B339" s="56" t="str">
        <f>IFERROR(__xludf.DUMMYFUNCTION("IF('AYIRA MINI MART FINAL MENU - Pr'!B339="""", """", IF(LEN(IFERROR(TRIM(REGEXREPLACE(TRIM(REGEXEXTRACT('AYIRA MINI MART FINAL MENU - Pr'!B339, ""^[^\x{0600}-\x{06FF}]+"")), ""[-–]+$"", """")), """"))&gt;0, IFERROR(TRIM(REGEXREPLACE(TRIM(REGEXEXTRACT('AYIRA"&amp;" MINI MART FINAL MENU - Pr'!B339, ""^[^\x{0600}-\x{06FF}]+"")), ""[-–]+$"", """")), """"), GOOGLETRANSLATE('AYIRA MINI MART FINAL MENU - Pr'!B339, ""ar"", ""en"")))"),"Ice Cream |")</f>
        <v>Ice Cream |</v>
      </c>
      <c r="C339" s="58">
        <f>IF('AYIRA MINI MART FINAL MENU - Pr'!C339="", "", 'AYIRA MINI MART FINAL MENU - Pr'!C339)</f>
        <v>9.5</v>
      </c>
      <c r="D339" s="56" t="str">
        <f>IFERROR(__xludf.DUMMYFUNCTION("IF('AYIRA MINI MART FINAL MENU - Pr'!D339="""", """", GOOGLETRANSLATE('AYIRA MINI MART FINAL MENU - Pr'!D339, ""ar"", ""en""))"),"Cool down on hot days with Hershey’s Cookies &amp; Cream Ice Cream 61g, a delicious treat that will transport you to a world of refreshment and enjoyment. Its wonderful flavor and smooth, creamy texture melt in your mouth, leaving a delightful and unforgettab"&amp;"le aftertaste. Perfect for children and adults alike, it's a great light dessert any time of day. Discover the secret to its unique taste and make it a part of your sunny day. Available fresh and preserved to the highest standards at Aira Mini Mart.")</f>
        <v>Cool down on hot days with Hershey’s Cookies &amp; Cream Ice Cream 61g,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Available fresh and preserved to the highest standards at Aira Mini Mart.</v>
      </c>
      <c r="E339" s="56" t="str">
        <f>IF('AYIRA MINI MART FINAL MENU - Pr'!K339="", "", 'AYIRA MINI MART FINAL MENU - Pr'!K339)</f>
        <v/>
      </c>
      <c r="F339" s="56"/>
      <c r="G339" s="56"/>
      <c r="H339" s="56"/>
      <c r="I339" s="56"/>
      <c r="J339" s="56"/>
      <c r="L339" s="56" t="str">
        <f>IF('AYIRA MINI MART FINAL MENU - Pr'!L339="", "", 'AYIRA MINI MART FINAL MENU - Pr'!L339)</f>
        <v/>
      </c>
      <c r="M339" s="56" t="str">
        <f>IF('AYIRA MINI MART FINAL MENU - Pr'!M339="", "", 'AYIRA MINI MART FINAL MENU - Pr'!M339)</f>
        <v/>
      </c>
      <c r="N339" s="56" t="str">
        <f>IF('AYIRA MINI MART FINAL MENU - Pr'!N339="", "", 'AYIRA MINI MART FINAL MENU - Pr'!N339)</f>
        <v/>
      </c>
      <c r="O339" s="57"/>
      <c r="P339" s="57"/>
      <c r="Q339" s="57"/>
      <c r="R339" s="57"/>
      <c r="S339" s="57"/>
      <c r="T339" s="57"/>
      <c r="U339" s="57"/>
      <c r="V339" s="57"/>
      <c r="W339" s="57"/>
      <c r="X339" s="57"/>
      <c r="Y339" s="57"/>
      <c r="Z339" s="57"/>
    </row>
    <row r="340">
      <c r="A340" s="56" t="str">
        <f>IFERROR(__xludf.DUMMYFUNCTION("IF('AYIRA MINI MART FINAL MENU - Pr'!A340="""", """", IF(LEN(IFERROR(TRIM(REGEXREPLACE(TRIM(REGEXEXTRACT('AYIRA MINI MART FINAL MENU - Pr'!A340, ""^[^\x{0600}-\x{06FF}]+"")), ""[-–]+$"", """")), """"))&gt;0, IFERROR(TRIM(REGEXREPLACE(TRIM(REGEXEXTRACT('AYIRA"&amp;" MINI MART FINAL MENU - Pr'!A340, ""^[^\x{0600}-\x{06FF}]+"")), ""[-–]+$"", """")), """"), GOOGLETRANSLATE('AYIRA MINI MART FINAL MENU - Pr'!A340, ""ar"", ""en"")))"),"Maharaj Kulfi Semi Ice Milk 80g – Maharaj Kulfi Semi")</f>
        <v>Maharaj Kulfi Semi Ice Milk 80g – Maharaj Kulfi Semi</v>
      </c>
      <c r="B340" s="56" t="str">
        <f>IFERROR(__xludf.DUMMYFUNCTION("IF('AYIRA MINI MART FINAL MENU - Pr'!B340="""", """", IF(LEN(IFERROR(TRIM(REGEXREPLACE(TRIM(REGEXEXTRACT('AYIRA MINI MART FINAL MENU - Pr'!B340, ""^[^\x{0600}-\x{06FF}]+"")), ""[-–]+$"", """")), """"))&gt;0, IFERROR(TRIM(REGEXREPLACE(TRIM(REGEXEXTRACT('AYIRA"&amp;" MINI MART FINAL MENU - Pr'!B340, ""^[^\x{0600}-\x{06FF}]+"")), ""[-–]+$"", """")), """"), GOOGLETRANSLATE('AYIRA MINI MART FINAL MENU - Pr'!B340, ""ar"", ""en"")))"),"Ice Cream |")</f>
        <v>Ice Cream |</v>
      </c>
      <c r="C340" s="58">
        <f>IF('AYIRA MINI MART FINAL MENU - Pr'!C340="", "", 'AYIRA MINI MART FINAL MENU - Pr'!C340)</f>
        <v>4.5</v>
      </c>
      <c r="D340" s="56" t="str">
        <f>IFERROR(__xludf.DUMMYFUNCTION("IF('AYIRA MINI MART FINAL MENU - Pr'!D340="""", """", GOOGLETRANSLATE('AYIRA MINI MART FINAL MENU - Pr'!D340, ""ar"", ""en""))"),"Cool down on hot days with Maharaj Kulfi Semi-Ice Milk 80g, a delicious ice cream that will transport you to a world of refreshment and enjoyment. It boasts a wonderful flavor and a smooth, creamy texture that melts in your mouth, leaving a delightful and"&amp;" unforgettable aftertaste. Perfect for both children and adults, it's a great light treat any time of day. Discover the secret to its unique taste and make it a part of your sunny day. Aira Mini Mart offers it fresh and preserved to the highest standards.")</f>
        <v>Cool down on hot days with Maharaj Kulfi Semi-Ice Milk 80g, a delicious ice cream that will transport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40" s="56" t="str">
        <f>IF('AYIRA MINI MART FINAL MENU - Pr'!K340="", "", 'AYIRA MINI MART FINAL MENU - Pr'!K340)</f>
        <v/>
      </c>
      <c r="F340" s="56"/>
      <c r="G340" s="56"/>
      <c r="H340" s="56"/>
      <c r="I340" s="56"/>
      <c r="J340" s="56"/>
      <c r="L340" s="56" t="str">
        <f>IF('AYIRA MINI MART FINAL MENU - Pr'!L340="", "", 'AYIRA MINI MART FINAL MENU - Pr'!L340)</f>
        <v/>
      </c>
      <c r="M340" s="56" t="str">
        <f>IF('AYIRA MINI MART FINAL MENU - Pr'!M340="", "", 'AYIRA MINI MART FINAL MENU - Pr'!M340)</f>
        <v/>
      </c>
      <c r="N340" s="56" t="str">
        <f>IF('AYIRA MINI MART FINAL MENU - Pr'!N340="", "", 'AYIRA MINI MART FINAL MENU - Pr'!N340)</f>
        <v/>
      </c>
      <c r="O340" s="57"/>
      <c r="P340" s="57"/>
      <c r="Q340" s="57"/>
      <c r="R340" s="57"/>
      <c r="S340" s="57"/>
      <c r="T340" s="57"/>
      <c r="U340" s="57"/>
      <c r="V340" s="57"/>
      <c r="W340" s="57"/>
      <c r="X340" s="57"/>
      <c r="Y340" s="57"/>
      <c r="Z340" s="57"/>
    </row>
    <row r="341">
      <c r="A341" s="56" t="str">
        <f>IFERROR(__xludf.DUMMYFUNCTION("IF('AYIRA MINI MART FINAL MENU - Pr'!A341="""", """", IF(LEN(IFERROR(TRIM(REGEXREPLACE(TRIM(REGEXEXTRACT('AYIRA MINI MART FINAL MENU - Pr'!A341, ""^[^\x{0600}-\x{06FF}]+"")), ""[-–]+$"", """")), """"))&gt;0, IFERROR(TRIM(REGEXREPLACE(TRIM(REGEXEXTRACT('AYIRA"&amp;" MINI MART FINAL MENU - Pr'!A341, ""^[^\x{0600}-\x{06FF}]+"")), ""[-–]+$"", """")), """"), GOOGLETRANSLATE('AYIRA MINI MART FINAL MENU - Pr'!A341, ""ar"", ""en"")))"),"Muncho Almond Semi Ice Milk 120ml – Muncho")</f>
        <v>Muncho Almond Semi Ice Milk 120ml – Muncho</v>
      </c>
      <c r="B341" s="56" t="str">
        <f>IFERROR(__xludf.DUMMYFUNCTION("IF('AYIRA MINI MART FINAL MENU - Pr'!B341="""", """", IF(LEN(IFERROR(TRIM(REGEXREPLACE(TRIM(REGEXEXTRACT('AYIRA MINI MART FINAL MENU - Pr'!B341, ""^[^\x{0600}-\x{06FF}]+"")), ""[-–]+$"", """")), """"))&gt;0, IFERROR(TRIM(REGEXREPLACE(TRIM(REGEXEXTRACT('AYIRA"&amp;" MINI MART FINAL MENU - Pr'!B341, ""^[^\x{0600}-\x{06FF}]+"")), ""[-–]+$"", """")), """"), GOOGLETRANSLATE('AYIRA MINI MART FINAL MENU - Pr'!B341, ""ar"", ""en"")))"),"Ice Cream |")</f>
        <v>Ice Cream |</v>
      </c>
      <c r="C341" s="58">
        <f>IF('AYIRA MINI MART FINAL MENU - Pr'!C341="", "", 'AYIRA MINI MART FINAL MENU - Pr'!C341)</f>
        <v>4</v>
      </c>
      <c r="D341" s="56" t="str">
        <f>IFERROR(__xludf.DUMMYFUNCTION("IF('AYIRA MINI MART FINAL MENU - Pr'!D341="""", """", GOOGLETRANSLATE('AYIRA MINI MART FINAL MENU - Pr'!D341, ""ar"", ""en""))"),"Cool down on hot days with Muncho Almond Semi-Ice Milk 120ml, a delicious ice cream that transports you to a world of refreshment and pleasure. Its wonderful flavor and smooth, creamy texture melt in your mouth, leaving a delightful and unforgettable afte"&amp;"rtaste. Perfect for children and adults alike, it's a great light treat any time of day. Discover the secret to its unique taste and make it a part of your sunny day. Aira Mini Mart offers it fresh and preserved to the highest standards.")</f>
        <v>Cool down on hot days with Muncho Almond Semi-Ice Milk 120ml, a delicious ice cream that transports you to a world of refreshment and pleasure. Its wonderful flavor and smooth, creamy texture melt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341" s="56" t="str">
        <f>IF('AYIRA MINI MART FINAL MENU - Pr'!K341="", "", 'AYIRA MINI MART FINAL MENU - Pr'!K341)</f>
        <v/>
      </c>
      <c r="F341" s="56"/>
      <c r="G341" s="56"/>
      <c r="H341" s="56"/>
      <c r="I341" s="56"/>
      <c r="J341" s="56"/>
      <c r="L341" s="56" t="str">
        <f>IF('AYIRA MINI MART FINAL MENU - Pr'!L341="", "", 'AYIRA MINI MART FINAL MENU - Pr'!L341)</f>
        <v/>
      </c>
      <c r="M341" s="56" t="str">
        <f>IF('AYIRA MINI MART FINAL MENU - Pr'!M341="", "", 'AYIRA MINI MART FINAL MENU - Pr'!M341)</f>
        <v/>
      </c>
      <c r="N341" s="56" t="str">
        <f>IF('AYIRA MINI MART FINAL MENU - Pr'!N341="", "", 'AYIRA MINI MART FINAL MENU - Pr'!N341)</f>
        <v/>
      </c>
      <c r="O341" s="57"/>
      <c r="P341" s="57"/>
      <c r="Q341" s="57"/>
      <c r="R341" s="57"/>
      <c r="S341" s="57"/>
      <c r="T341" s="57"/>
      <c r="U341" s="57"/>
      <c r="V341" s="57"/>
      <c r="W341" s="57"/>
      <c r="X341" s="57"/>
      <c r="Y341" s="57"/>
      <c r="Z341" s="57"/>
    </row>
    <row r="342">
      <c r="A342" s="56" t="str">
        <f>IFERROR(__xludf.DUMMYFUNCTION("IF('AYIRA MINI MART FINAL MENU - Pr'!A342="""", """", IF(LEN(IFERROR(TRIM(REGEXREPLACE(TRIM(REGEXEXTRACT('AYIRA MINI MART FINAL MENU - Pr'!A342, ""^[^\x{0600}-\x{06FF}]+"")), ""[-–]+$"", """")), """"))&gt;0, IFERROR(TRIM(REGEXREPLACE(TRIM(REGEXEXTRACT('AYIRA"&amp;" MINI MART FINAL MENU - Pr'!A342, ""^[^\x{0600}-\x{06FF}]+"")), ""[-–]+$"", """")), """"), GOOGLETRANSLATE('AYIRA MINI MART FINAL MENU - Pr'!A342, ""ar"", ""en"")))"),"Twistee Strawberry &amp; Lemon Water Ice Cream 65g – Twistee")</f>
        <v>Twistee Strawberry &amp; Lemon Water Ice Cream 65g – Twistee</v>
      </c>
      <c r="B342" s="56" t="str">
        <f>IFERROR(__xludf.DUMMYFUNCTION("IF('AYIRA MINI MART FINAL MENU - Pr'!B342="""", """", IF(LEN(IFERROR(TRIM(REGEXREPLACE(TRIM(REGEXEXTRACT('AYIRA MINI MART FINAL MENU - Pr'!B342, ""^[^\x{0600}-\x{06FF}]+"")), ""[-–]+$"", """")), """"))&gt;0, IFERROR(TRIM(REGEXREPLACE(TRIM(REGEXEXTRACT('AYIRA"&amp;" MINI MART FINAL MENU - Pr'!B342, ""^[^\x{0600}-\x{06FF}]+"")), ""[-–]+$"", """")), """"), GOOGLETRANSLATE('AYIRA MINI MART FINAL MENU - Pr'!B342, ""ar"", ""en"")))"),"Ice Cream |")</f>
        <v>Ice Cream |</v>
      </c>
      <c r="C342" s="58">
        <f>IF('AYIRA MINI MART FINAL MENU - Pr'!C342="", "", 'AYIRA MINI MART FINAL MENU - Pr'!C342)</f>
        <v>2</v>
      </c>
      <c r="D342" s="56" t="str">
        <f>IFERROR(__xludf.DUMMYFUNCTION("IF('AYIRA MINI MART FINAL MENU - Pr'!D342="""", """", GOOGLETRANSLATE('AYIRA MINI MART FINAL MENU - Pr'!D342, ""ar"", ""en""))"),"Drink Twistee Strawberry &amp; Lemon Water Ice Cream 65g, pure water that restores your body's natural balance. Sourced from the purest natural sources and packaged to the highest standards of quality and hygiene to ensure it reaches you in perfect condition."&amp;" Proper hydration is essential for a good life, and choosing this water reflects your commitment to your well-being. Make sure to drink enough water daily to maintain your energy and vitality. Aira Mini Mart offers this premium water at competitive prices"&amp;".")</f>
        <v>Drink Twistee Strawberry &amp; Lemon Water Ice Cream 65g, pure water that restores your body's natural balance. Sourced from the purest natural sources and packaged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342" s="56" t="str">
        <f>IF('AYIRA MINI MART FINAL MENU - Pr'!K342="", "", 'AYIRA MINI MART FINAL MENU - Pr'!K342)</f>
        <v/>
      </c>
      <c r="F342" s="56"/>
      <c r="G342" s="56"/>
      <c r="H342" s="56"/>
      <c r="I342" s="56"/>
      <c r="J342" s="56"/>
      <c r="L342" s="56" t="str">
        <f>IF('AYIRA MINI MART FINAL MENU - Pr'!L342="", "", 'AYIRA MINI MART FINAL MENU - Pr'!L342)</f>
        <v/>
      </c>
      <c r="M342" s="56" t="str">
        <f>IF('AYIRA MINI MART FINAL MENU - Pr'!M342="", "", 'AYIRA MINI MART FINAL MENU - Pr'!M342)</f>
        <v/>
      </c>
      <c r="N342" s="56" t="str">
        <f>IF('AYIRA MINI MART FINAL MENU - Pr'!N342="", "", 'AYIRA MINI MART FINAL MENU - Pr'!N342)</f>
        <v/>
      </c>
      <c r="O342" s="57"/>
      <c r="P342" s="57"/>
      <c r="Q342" s="57"/>
      <c r="R342" s="57"/>
      <c r="S342" s="57"/>
      <c r="T342" s="57"/>
      <c r="U342" s="57"/>
      <c r="V342" s="57"/>
      <c r="W342" s="57"/>
      <c r="X342" s="57"/>
      <c r="Y342" s="57"/>
      <c r="Z342" s="57"/>
    </row>
    <row r="343">
      <c r="A343" s="56" t="str">
        <f>IFERROR(__xludf.DUMMYFUNCTION("IF('AYIRA MINI MART FINAL MENU - Pr'!A343="""", """", IF(LEN(IFERROR(TRIM(REGEXREPLACE(TRIM(REGEXEXTRACT('AYIRA MINI MART FINAL MENU - Pr'!A343, ""^[^\x{0600}-\x{06FF}]+"")), ""[-–]+$"", """")), """"))&gt;0, IFERROR(TRIM(REGEXREPLACE(TRIM(REGEXEXTRACT('AYIRA"&amp;" MINI MART FINAL MENU - Pr'!A343, ""^[^\x{0600}-\x{06FF}]+"")), ""[-–]+$"", """")), """"), GOOGLETRANSLATE('AYIRA MINI MART FINAL MENU - Pr'!A343, ""ar"", ""en"")))"),"Xtreme Pop Ice Cream 60ml – Xtreme Pop")</f>
        <v>Xtreme Pop Ice Cream 60ml – Xtreme Pop</v>
      </c>
      <c r="B343" s="56" t="str">
        <f>IFERROR(__xludf.DUMMYFUNCTION("IF('AYIRA MINI MART FINAL MENU - Pr'!B343="""", """", IF(LEN(IFERROR(TRIM(REGEXREPLACE(TRIM(REGEXEXTRACT('AYIRA MINI MART FINAL MENU - Pr'!B343, ""^[^\x{0600}-\x{06FF}]+"")), ""[-–]+$"", """")), """"))&gt;0, IFERROR(TRIM(REGEXREPLACE(TRIM(REGEXEXTRACT('AYIRA"&amp;" MINI MART FINAL MENU - Pr'!B343, ""^[^\x{0600}-\x{06FF}]+"")), ""[-–]+$"", """")), """"), GOOGLETRANSLATE('AYIRA MINI MART FINAL MENU - Pr'!B343, ""ar"", ""en"")))"),"Ice Cream |")</f>
        <v>Ice Cream |</v>
      </c>
      <c r="C343" s="58">
        <f>IF('AYIRA MINI MART FINAL MENU - Pr'!C343="", "", 'AYIRA MINI MART FINAL MENU - Pr'!C343)</f>
        <v>2</v>
      </c>
      <c r="D343" s="56" t="str">
        <f>IFERROR(__xludf.DUMMYFUNCTION("IF('AYIRA MINI MART FINAL MENU - Pr'!D343="""", """", GOOGLETRANSLATE('AYIRA MINI MART FINAL MENU - Pr'!D343, ""ar"", ""en""))"),"Cool down on hot days with Xtreme Pop Ice Cream 60ml, a delicious treat that will transport you to a world of refreshment and enjoyment. It boasts a wonderful flavor and a smooth, creamy texture that melts in your mouth, leaving a delightful and unforgett"&amp;"able aftertaste. Perfect for both children and adults, it's a great light dessert any time of day. Discover the secret to its unique taste and make it a part of your sunny day. Aira Mini Mart offers it fresh and preserved to the highest standards.")</f>
        <v>Cool down on hot days with Xtreme Pop Ice Cream 60ml,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43" s="56" t="str">
        <f>IF('AYIRA MINI MART FINAL MENU - Pr'!K343="", "", 'AYIRA MINI MART FINAL MENU - Pr'!K343)</f>
        <v/>
      </c>
      <c r="F343" s="56"/>
      <c r="G343" s="56"/>
      <c r="H343" s="56"/>
      <c r="I343" s="56"/>
      <c r="J343" s="56"/>
      <c r="L343" s="56" t="str">
        <f>IF('AYIRA MINI MART FINAL MENU - Pr'!L343="", "", 'AYIRA MINI MART FINAL MENU - Pr'!L343)</f>
        <v/>
      </c>
      <c r="M343" s="56" t="str">
        <f>IF('AYIRA MINI MART FINAL MENU - Pr'!M343="", "", 'AYIRA MINI MART FINAL MENU - Pr'!M343)</f>
        <v/>
      </c>
      <c r="N343" s="56" t="str">
        <f>IF('AYIRA MINI MART FINAL MENU - Pr'!N343="", "", 'AYIRA MINI MART FINAL MENU - Pr'!N343)</f>
        <v/>
      </c>
      <c r="O343" s="57"/>
      <c r="P343" s="57"/>
      <c r="Q343" s="57"/>
      <c r="R343" s="57"/>
      <c r="S343" s="57"/>
      <c r="T343" s="57"/>
      <c r="U343" s="57"/>
      <c r="V343" s="57"/>
      <c r="W343" s="57"/>
      <c r="X343" s="57"/>
      <c r="Y343" s="57"/>
      <c r="Z343" s="57"/>
    </row>
    <row r="344">
      <c r="A344" s="56" t="str">
        <f>IFERROR(__xludf.DUMMYFUNCTION("IF('AYIRA MINI MART FINAL MENU - Pr'!A344="""", """", IF(LEN(IFERROR(TRIM(REGEXREPLACE(TRIM(REGEXEXTRACT('AYIRA MINI MART FINAL MENU - Pr'!A344, ""^[^\x{0600}-\x{06FF}]+"")), ""[-–]+$"", """")), """"))&gt;0, IFERROR(TRIM(REGEXREPLACE(TRIM(REGEXEXTRACT('AYIRA"&amp;" MINI MART FINAL MENU - Pr'!A344, ""^[^\x{0600}-\x{06FF}]+"")), ""[-–]+$"", """")), """"), GOOGLETRANSLATE('AYIRA MINI MART FINAL MENU - Pr'!A344, ""ar"", ""en"")))"),"Melon Water Ice 70g – Melon")</f>
        <v>Melon Water Ice 70g – Melon</v>
      </c>
      <c r="B344" s="56" t="str">
        <f>IFERROR(__xludf.DUMMYFUNCTION("IF('AYIRA MINI MART FINAL MENU - Pr'!B344="""", """", IF(LEN(IFERROR(TRIM(REGEXREPLACE(TRIM(REGEXEXTRACT('AYIRA MINI MART FINAL MENU - Pr'!B344, ""^[^\x{0600}-\x{06FF}]+"")), ""[-–]+$"", """")), """"))&gt;0, IFERROR(TRIM(REGEXREPLACE(TRIM(REGEXEXTRACT('AYIRA"&amp;" MINI MART FINAL MENU - Pr'!B344, ""^[^\x{0600}-\x{06FF}]+"")), ""[-–]+$"", """")), """"), GOOGLETRANSLATE('AYIRA MINI MART FINAL MENU - Pr'!B344, ""ar"", ""en"")))"),"Ice Cream |")</f>
        <v>Ice Cream |</v>
      </c>
      <c r="C344" s="58">
        <f>IF('AYIRA MINI MART FINAL MENU - Pr'!C344="", "", 'AYIRA MINI MART FINAL MENU - Pr'!C344)</f>
        <v>2</v>
      </c>
      <c r="D344" s="56" t="str">
        <f>IFERROR(__xludf.DUMMYFUNCTION("IF('AYIRA MINI MART FINAL MENU - Pr'!D344="""", """", GOOGLETRANSLATE('AYIRA MINI MART FINAL MENU - Pr'!D344, ""ar"", ""en""))"),"Drink Melon Water Ice 70g, pure water that restores your body's natural balance. Sourced from the purest natural sources and packaged to the highest standards of quality and hygiene to ensure it reaches you in perfect condition. Proper hydration is essent"&amp;"ial for a good life, and choosing this water reflects your commitment to your well-being. Make sure to drink enough water daily to maintain your energy and vitality. Aira Mini Mart offers this premium water at competitive prices.")</f>
        <v>Drink Melon Water Ice 70g, pure water that restores your body's natural balance. Sourced from the purest natural sources and packaged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344" s="56" t="str">
        <f>IF('AYIRA MINI MART FINAL MENU - Pr'!K344="", "", 'AYIRA MINI MART FINAL MENU - Pr'!K344)</f>
        <v/>
      </c>
      <c r="F344" s="56"/>
      <c r="G344" s="56"/>
      <c r="H344" s="56"/>
      <c r="I344" s="56"/>
      <c r="J344" s="56"/>
      <c r="L344" s="56" t="str">
        <f>IF('AYIRA MINI MART FINAL MENU - Pr'!L344="", "", 'AYIRA MINI MART FINAL MENU - Pr'!L344)</f>
        <v/>
      </c>
      <c r="M344" s="56" t="str">
        <f>IF('AYIRA MINI MART FINAL MENU - Pr'!M344="", "", 'AYIRA MINI MART FINAL MENU - Pr'!M344)</f>
        <v/>
      </c>
      <c r="N344" s="56" t="str">
        <f>IF('AYIRA MINI MART FINAL MENU - Pr'!N344="", "", 'AYIRA MINI MART FINAL MENU - Pr'!N344)</f>
        <v/>
      </c>
      <c r="O344" s="57"/>
      <c r="P344" s="57"/>
      <c r="Q344" s="57"/>
      <c r="R344" s="57"/>
      <c r="S344" s="57"/>
      <c r="T344" s="57"/>
      <c r="U344" s="57"/>
      <c r="V344" s="57"/>
      <c r="W344" s="57"/>
      <c r="X344" s="57"/>
      <c r="Y344" s="57"/>
      <c r="Z344" s="57"/>
    </row>
    <row r="345">
      <c r="A345" s="56" t="str">
        <f>IFERROR(__xludf.DUMMYFUNCTION("IF('AYIRA MINI MART FINAL MENU - Pr'!A345="""", """", IF(LEN(IFERROR(TRIM(REGEXREPLACE(TRIM(REGEXEXTRACT('AYIRA MINI MART FINAL MENU - Pr'!A345, ""^[^\x{0600}-\x{06FF}]+"")), ""[-–]+$"", """")), """"))&gt;0, IFERROR(TRIM(REGEXREPLACE(TRIM(REGEXEXTRACT('AYIRA"&amp;" MINI MART FINAL MENU - Pr'!A345, ""^[^\x{0600}-\x{06FF}]+"")), ""[-–]+$"", """")), """"), GOOGLETRANSLATE('AYIRA MINI MART FINAL MENU - Pr'!A345, ""ar"", ""en"")))"),"Big 4 in 1 Ice Cream 64g – Big 4 in 1")</f>
        <v>Big 4 in 1 Ice Cream 64g – Big 4 in 1</v>
      </c>
      <c r="B345" s="56" t="str">
        <f>IFERROR(__xludf.DUMMYFUNCTION("IF('AYIRA MINI MART FINAL MENU - Pr'!B345="""", """", IF(LEN(IFERROR(TRIM(REGEXREPLACE(TRIM(REGEXEXTRACT('AYIRA MINI MART FINAL MENU - Pr'!B345, ""^[^\x{0600}-\x{06FF}]+"")), ""[-–]+$"", """")), """"))&gt;0, IFERROR(TRIM(REGEXREPLACE(TRIM(REGEXEXTRACT('AYIRA"&amp;" MINI MART FINAL MENU - Pr'!B345, ""^[^\x{0600}-\x{06FF}]+"")), ""[-–]+$"", """")), """"), GOOGLETRANSLATE('AYIRA MINI MART FINAL MENU - Pr'!B345, ""ar"", ""en"")))"),"Ice Cream |")</f>
        <v>Ice Cream |</v>
      </c>
      <c r="C345" s="58">
        <f>IF('AYIRA MINI MART FINAL MENU - Pr'!C345="", "", 'AYIRA MINI MART FINAL MENU - Pr'!C345)</f>
        <v>3</v>
      </c>
      <c r="D345" s="56" t="str">
        <f>IFERROR(__xludf.DUMMYFUNCTION("IF('AYIRA MINI MART FINAL MENU - Pr'!D345="""", """", GOOGLETRANSLATE('AYIRA MINI MART FINAL MENU - Pr'!D345, ""ar"", ""en""))"),"Cool down on hot days with Big 4 in 1 Ice Cream 64g, a delicious treat that will transport you to a world of refreshment and enjoyment. It boasts a wonderful flavor and a smooth, creamy texture that melts in your mouth, leaving a delightful and unforgetta"&amp;"ble aftertaste. Perfect for both children and adults, it's a great light dessert any time of day. Discover the secret to its unique taste and make it a part of your sunny day. Aira Mini Mart offers it fresh and preserved to the highest standards.")</f>
        <v>Cool down on hot days with Big 4 in 1 Ice Cream 64g,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45" s="56" t="str">
        <f>IF('AYIRA MINI MART FINAL MENU - Pr'!K345="", "", 'AYIRA MINI MART FINAL MENU - Pr'!K345)</f>
        <v/>
      </c>
      <c r="F345" s="56"/>
      <c r="G345" s="56"/>
      <c r="H345" s="56"/>
      <c r="I345" s="56"/>
      <c r="J345" s="56"/>
      <c r="L345" s="56" t="str">
        <f>IF('AYIRA MINI MART FINAL MENU - Pr'!L345="", "", 'AYIRA MINI MART FINAL MENU - Pr'!L345)</f>
        <v/>
      </c>
      <c r="M345" s="56" t="str">
        <f>IF('AYIRA MINI MART FINAL MENU - Pr'!M345="", "", 'AYIRA MINI MART FINAL MENU - Pr'!M345)</f>
        <v/>
      </c>
      <c r="N345" s="56" t="str">
        <f>IF('AYIRA MINI MART FINAL MENU - Pr'!N345="", "", 'AYIRA MINI MART FINAL MENU - Pr'!N345)</f>
        <v/>
      </c>
      <c r="O345" s="57"/>
      <c r="P345" s="57"/>
      <c r="Q345" s="57"/>
      <c r="R345" s="57"/>
      <c r="S345" s="57"/>
      <c r="T345" s="57"/>
      <c r="U345" s="57"/>
      <c r="V345" s="57"/>
      <c r="W345" s="57"/>
      <c r="X345" s="57"/>
      <c r="Y345" s="57"/>
      <c r="Z345" s="57"/>
    </row>
    <row r="346">
      <c r="A346" s="56" t="str">
        <f>IFERROR(__xludf.DUMMYFUNCTION("IF('AYIRA MINI MART FINAL MENU - Pr'!A346="""", """", IF(LEN(IFERROR(TRIM(REGEXREPLACE(TRIM(REGEXEXTRACT('AYIRA MINI MART FINAL MENU - Pr'!A346, ""^[^\x{0600}-\x{06FF}]+"")), ""[-–]+$"", """")), """"))&gt;0, IFERROR(TRIM(REGEXREPLACE(TRIM(REGEXEXTRACT('AYIRA"&amp;" MINI MART FINAL MENU - Pr'!A346, ""^[^\x{0600}-\x{06FF}]+"")), ""[-–]+$"", """")), """"), GOOGLETRANSLATE('AYIRA MINI MART FINAL MENU - Pr'!A346, ""ar"", ""en"")))"),"Xtreme Butterscotch Ice Cream 110ml – Xtreme Butterscotch")</f>
        <v>Xtreme Butterscotch Ice Cream 110ml – Xtreme Butterscotch</v>
      </c>
      <c r="B346" s="56" t="str">
        <f>IFERROR(__xludf.DUMMYFUNCTION("IF('AYIRA MINI MART FINAL MENU - Pr'!B346="""", """", IF(LEN(IFERROR(TRIM(REGEXREPLACE(TRIM(REGEXEXTRACT('AYIRA MINI MART FINAL MENU - Pr'!B346, ""^[^\x{0600}-\x{06FF}]+"")), ""[-–]+$"", """")), """"))&gt;0, IFERROR(TRIM(REGEXREPLACE(TRIM(REGEXEXTRACT('AYIRA"&amp;" MINI MART FINAL MENU - Pr'!B346, ""^[^\x{0600}-\x{06FF}]+"")), ""[-–]+$"", """")), """"), GOOGLETRANSLATE('AYIRA MINI MART FINAL MENU - Pr'!B346, ""ar"", ""en"")))"),"Ice Cream |")</f>
        <v>Ice Cream |</v>
      </c>
      <c r="C346" s="58">
        <f>IF('AYIRA MINI MART FINAL MENU - Pr'!C346="", "", 'AYIRA MINI MART FINAL MENU - Pr'!C346)</f>
        <v>4</v>
      </c>
      <c r="D346" s="56" t="str">
        <f>IFERROR(__xludf.DUMMYFUNCTION("IF('AYIRA MINI MART FINAL MENU - Pr'!D346="""", """", GOOGLETRANSLATE('AYIRA MINI MART FINAL MENU - Pr'!D346, ""ar"", ""en""))"),"Cool down on hot days with Xtreme Butterscotch Ice Cream 110ml, a delicious treat that will transport you to a world of refreshment and enjoyment. Its wonderful flavor and smooth, creamy texture melt in your mouth, leaving a delightful and unforgettable a"&amp;"ftertaste. Perfect for children and adults alike, it's a great light dessert any time of day. Discover the secret to its unique taste and make it a part of your sunny day. Aira Mini Mart offers it fresh and preserved to the highest standards.")</f>
        <v>Cool down on hot days with Xtreme Butterscotch Ice Cream 110ml,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46" s="56" t="str">
        <f>IF('AYIRA MINI MART FINAL MENU - Pr'!K346="", "", 'AYIRA MINI MART FINAL MENU - Pr'!K346)</f>
        <v/>
      </c>
      <c r="F346" s="56"/>
      <c r="G346" s="56"/>
      <c r="H346" s="56"/>
      <c r="I346" s="56"/>
      <c r="J346" s="56"/>
      <c r="L346" s="56" t="str">
        <f>IF('AYIRA MINI MART FINAL MENU - Pr'!L346="", "", 'AYIRA MINI MART FINAL MENU - Pr'!L346)</f>
        <v/>
      </c>
      <c r="M346" s="56" t="str">
        <f>IF('AYIRA MINI MART FINAL MENU - Pr'!M346="", "", 'AYIRA MINI MART FINAL MENU - Pr'!M346)</f>
        <v/>
      </c>
      <c r="N346" s="56" t="str">
        <f>IF('AYIRA MINI MART FINAL MENU - Pr'!N346="", "", 'AYIRA MINI MART FINAL MENU - Pr'!N346)</f>
        <v/>
      </c>
      <c r="O346" s="57"/>
      <c r="P346" s="57"/>
      <c r="Q346" s="57"/>
      <c r="R346" s="57"/>
      <c r="S346" s="57"/>
      <c r="T346" s="57"/>
      <c r="U346" s="57"/>
      <c r="V346" s="57"/>
      <c r="W346" s="57"/>
      <c r="X346" s="57"/>
      <c r="Y346" s="57"/>
      <c r="Z346" s="57"/>
    </row>
    <row r="347">
      <c r="A347" s="56" t="str">
        <f>IFERROR(__xludf.DUMMYFUNCTION("IF('AYIRA MINI MART FINAL MENU - Pr'!A347="""", """", IF(LEN(IFERROR(TRIM(REGEXREPLACE(TRIM(REGEXEXTRACT('AYIRA MINI MART FINAL MENU - Pr'!A347, ""^[^\x{0600}-\x{06FF}]+"")), ""[-–]+$"", """")), """"))&gt;0, IFERROR(TRIM(REGEXREPLACE(TRIM(REGEXEXTRACT('AYIRA"&amp;" MINI MART FINAL MENU - Pr'!A347, ""^[^\x{0600}-\x{06FF}]+"")), ""[-–]+$"", """")), """"), GOOGLETRANSLATE('AYIRA MINI MART FINAL MENU - Pr'!A347, ""ar"", ""en"")))"),"Anquria Melon Ice Cream 70ml – Anquria Melon")</f>
        <v>Anquria Melon Ice Cream 70ml – Anquria Melon</v>
      </c>
      <c r="B347" s="56" t="str">
        <f>IFERROR(__xludf.DUMMYFUNCTION("IF('AYIRA MINI MART FINAL MENU - Pr'!B347="""", """", IF(LEN(IFERROR(TRIM(REGEXREPLACE(TRIM(REGEXEXTRACT('AYIRA MINI MART FINAL MENU - Pr'!B347, ""^[^\x{0600}-\x{06FF}]+"")), ""[-–]+$"", """")), """"))&gt;0, IFERROR(TRIM(REGEXREPLACE(TRIM(REGEXEXTRACT('AYIRA"&amp;" MINI MART FINAL MENU - Pr'!B347, ""^[^\x{0600}-\x{06FF}]+"")), ""[-–]+$"", """")), """"), GOOGLETRANSLATE('AYIRA MINI MART FINAL MENU - Pr'!B347, ""ar"", ""en"")))"),"Ice Cream |")</f>
        <v>Ice Cream |</v>
      </c>
      <c r="C347" s="58">
        <f>IF('AYIRA MINI MART FINAL MENU - Pr'!C347="", "", 'AYIRA MINI MART FINAL MENU - Pr'!C347)</f>
        <v>2</v>
      </c>
      <c r="D347" s="56" t="str">
        <f>IFERROR(__xludf.DUMMYFUNCTION("IF('AYIRA MINI MART FINAL MENU - Pr'!D347="""", """", GOOGLETRANSLATE('AYIRA MINI MART FINAL MENU - Pr'!D347, ""ar"", ""en""))"),"Cool down on hot days with Anquria Melon Ice Cream 70ml, a delicious treat that transports you to a world of refreshment and enjoyment. Its wonderful flavor and smooth, creamy texture melt in your mouth, leaving a delightful and unforgettable aftertaste. "&amp;"Perfect for children and adults alike, it's a great light dessert any time of day. Discover the secret to its unique taste and make it a part of your sunny day. Aira Mini Mart offers it fresh and preserved to the highest standards.")</f>
        <v>Cool down on hot days with Anquria Melon Ice Cream 70ml,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47" s="56" t="str">
        <f>IF('AYIRA MINI MART FINAL MENU - Pr'!K347="", "", 'AYIRA MINI MART FINAL MENU - Pr'!K347)</f>
        <v/>
      </c>
      <c r="F347" s="56"/>
      <c r="G347" s="56"/>
      <c r="H347" s="56"/>
      <c r="I347" s="56"/>
      <c r="J347" s="56"/>
      <c r="L347" s="56" t="str">
        <f>IF('AYIRA MINI MART FINAL MENU - Pr'!L347="", "", 'AYIRA MINI MART FINAL MENU - Pr'!L347)</f>
        <v/>
      </c>
      <c r="M347" s="56" t="str">
        <f>IF('AYIRA MINI MART FINAL MENU - Pr'!M347="", "", 'AYIRA MINI MART FINAL MENU - Pr'!M347)</f>
        <v/>
      </c>
      <c r="N347" s="56" t="str">
        <f>IF('AYIRA MINI MART FINAL MENU - Pr'!N347="", "", 'AYIRA MINI MART FINAL MENU - Pr'!N347)</f>
        <v/>
      </c>
      <c r="O347" s="57"/>
      <c r="P347" s="57"/>
      <c r="Q347" s="57"/>
      <c r="R347" s="57"/>
      <c r="S347" s="57"/>
      <c r="T347" s="57"/>
      <c r="U347" s="57"/>
      <c r="V347" s="57"/>
      <c r="W347" s="57"/>
      <c r="X347" s="57"/>
      <c r="Y347" s="57"/>
      <c r="Z347" s="57"/>
    </row>
    <row r="348">
      <c r="A348" s="56" t="str">
        <f>IFERROR(__xludf.DUMMYFUNCTION("IF('AYIRA MINI MART FINAL MENU - Pr'!A348="""", """", IF(LEN(IFERROR(TRIM(REGEXREPLACE(TRIM(REGEXEXTRACT('AYIRA MINI MART FINAL MENU - Pr'!A348, ""^[^\x{0600}-\x{06FF}]+"")), ""[-–]+$"", """")), """"))&gt;0, IFERROR(TRIM(REGEXREPLACE(TRIM(REGEXEXTRACT('AYIRA"&amp;" MINI MART FINAL MENU - Pr'!A348, ""^[^\x{0600}-\x{06FF}]+"")), ""[-–]+$"", """")), """"), GOOGLETRANSLATE('AYIRA MINI MART FINAL MENU - Pr'!A348, ""ar"", ""en"")))"),"Anquria Watermelon Ice Cream 70ml – Anquria Watermelon")</f>
        <v>Anquria Watermelon Ice Cream 70ml – Anquria Watermelon</v>
      </c>
      <c r="B348" s="56" t="str">
        <f>IFERROR(__xludf.DUMMYFUNCTION("IF('AYIRA MINI MART FINAL MENU - Pr'!B348="""", """", IF(LEN(IFERROR(TRIM(REGEXREPLACE(TRIM(REGEXEXTRACT('AYIRA MINI MART FINAL MENU - Pr'!B348, ""^[^\x{0600}-\x{06FF}]+"")), ""[-–]+$"", """")), """"))&gt;0, IFERROR(TRIM(REGEXREPLACE(TRIM(REGEXEXTRACT('AYIRA"&amp;" MINI MART FINAL MENU - Pr'!B348, ""^[^\x{0600}-\x{06FF}]+"")), ""[-–]+$"", """")), """"), GOOGLETRANSLATE('AYIRA MINI MART FINAL MENU - Pr'!B348, ""ar"", ""en"")))"),"Ice Cream |")</f>
        <v>Ice Cream |</v>
      </c>
      <c r="C348" s="58">
        <f>IF('AYIRA MINI MART FINAL MENU - Pr'!C348="", "", 'AYIRA MINI MART FINAL MENU - Pr'!C348)</f>
        <v>2</v>
      </c>
      <c r="D348" s="56" t="str">
        <f>IFERROR(__xludf.DUMMYFUNCTION("IF('AYIRA MINI MART FINAL MENU - Pr'!D348="""", """", GOOGLETRANSLATE('AYIRA MINI MART FINAL MENU - Pr'!D348, ""ar"", ""en""))"),"Drink Anquria Watermelon Ice Cream 70ml, pure water that restores your body's natural balance. Sourced from the purest natural sources and packaged to the highest standards of quality and hygiene to ensure it reaches you in perfect condition. Proper hydra"&amp;"tion is essential for a good life, and choosing this water reflects your commitment to your well-being. Make sure to drink enough water daily to maintain your energy and vitality. Aira Mini Mart offers this premium water at competitive prices.")</f>
        <v>Drink Anquria Watermelon Ice Cream 70ml, pure water that restores your body's natural balance. Sourced from the purest natural sources and packaged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348" s="56" t="str">
        <f>IF('AYIRA MINI MART FINAL MENU - Pr'!K348="", "", 'AYIRA MINI MART FINAL MENU - Pr'!K348)</f>
        <v/>
      </c>
      <c r="F348" s="56"/>
      <c r="G348" s="56"/>
      <c r="H348" s="56"/>
      <c r="I348" s="56"/>
      <c r="J348" s="56"/>
      <c r="L348" s="56" t="str">
        <f>IF('AYIRA MINI MART FINAL MENU - Pr'!L348="", "", 'AYIRA MINI MART FINAL MENU - Pr'!L348)</f>
        <v/>
      </c>
      <c r="M348" s="56" t="str">
        <f>IF('AYIRA MINI MART FINAL MENU - Pr'!M348="", "", 'AYIRA MINI MART FINAL MENU - Pr'!M348)</f>
        <v/>
      </c>
      <c r="N348" s="56" t="str">
        <f>IF('AYIRA MINI MART FINAL MENU - Pr'!N348="", "", 'AYIRA MINI MART FINAL MENU - Pr'!N348)</f>
        <v/>
      </c>
      <c r="O348" s="57"/>
      <c r="P348" s="57"/>
      <c r="Q348" s="57"/>
      <c r="R348" s="57"/>
      <c r="S348" s="57"/>
      <c r="T348" s="57"/>
      <c r="U348" s="57"/>
      <c r="V348" s="57"/>
      <c r="W348" s="57"/>
      <c r="X348" s="57"/>
      <c r="Y348" s="57"/>
      <c r="Z348" s="57"/>
    </row>
    <row r="349">
      <c r="A349" s="56" t="str">
        <f>IFERROR(__xludf.DUMMYFUNCTION("IF('AYIRA MINI MART FINAL MENU - Pr'!A349="""", """", IF(LEN(IFERROR(TRIM(REGEXREPLACE(TRIM(REGEXEXTRACT('AYIRA MINI MART FINAL MENU - Pr'!A349, ""^[^\x{0600}-\x{06FF}]+"")), ""[-–]+$"", """")), """"))&gt;0, IFERROR(TRIM(REGEXREPLACE(TRIM(REGEXEXTRACT('AYIRA"&amp;" MINI MART FINAL MENU - Pr'!A349, ""^[^\x{0600}-\x{06FF}]+"")), ""[-–]+$"", """")), """"), GOOGLETRANSLATE('AYIRA MINI MART FINAL MENU - Pr'!A349, ""ar"", ""en"")))"),"Spiner Ice Cream 170ml – Spiner")</f>
        <v>Spiner Ice Cream 170ml – Spiner</v>
      </c>
      <c r="B349" s="56" t="str">
        <f>IFERROR(__xludf.DUMMYFUNCTION("IF('AYIRA MINI MART FINAL MENU - Pr'!B349="""", """", IF(LEN(IFERROR(TRIM(REGEXREPLACE(TRIM(REGEXEXTRACT('AYIRA MINI MART FINAL MENU - Pr'!B349, ""^[^\x{0600}-\x{06FF}]+"")), ""[-–]+$"", """")), """"))&gt;0, IFERROR(TRIM(REGEXREPLACE(TRIM(REGEXEXTRACT('AYIRA"&amp;" MINI MART FINAL MENU - Pr'!B349, ""^[^\x{0600}-\x{06FF}]+"")), ""[-–]+$"", """")), """"), GOOGLETRANSLATE('AYIRA MINI MART FINAL MENU - Pr'!B349, ""ar"", ""en"")))"),"Ice Cream |")</f>
        <v>Ice Cream |</v>
      </c>
      <c r="C349" s="58">
        <f>IF('AYIRA MINI MART FINAL MENU - Pr'!C349="", "", 'AYIRA MINI MART FINAL MENU - Pr'!C349)</f>
        <v>3</v>
      </c>
      <c r="D349" s="56" t="str">
        <f>IFERROR(__xludf.DUMMYFUNCTION("IF('AYIRA MINI MART FINAL MENU - Pr'!D349="""", """", GOOGLETRANSLATE('AYIRA MINI MART FINAL MENU - Pr'!D349, ""ar"", ""en""))"),"Cool down on hot days with Spiner Ice Cream 170ml, a delicious treat that transports you to a world of refreshment and enjoyment. Its wonderful flavor and smooth, creamy texture melt in your mouth, leaving a delightful and unforgettable aftertaste. Perfec"&amp;"t for children and adults alike, it's a great light dessert any time of day. Discover the secret to its unique taste and make it a part of your sunny day. Available fresh and preserved to the highest standards at Aira Mini Mart.")</f>
        <v>Cool down on hot days with Spiner Ice Cream 170ml,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Available fresh and preserved to the highest standards at Aira Mini Mart.</v>
      </c>
      <c r="E349" s="56" t="str">
        <f>IF('AYIRA MINI MART FINAL MENU - Pr'!K349="", "", 'AYIRA MINI MART FINAL MENU - Pr'!K349)</f>
        <v/>
      </c>
      <c r="F349" s="56"/>
      <c r="G349" s="56"/>
      <c r="H349" s="56"/>
      <c r="I349" s="56"/>
      <c r="J349" s="56"/>
      <c r="L349" s="56" t="str">
        <f>IF('AYIRA MINI MART FINAL MENU - Pr'!L349="", "", 'AYIRA MINI MART FINAL MENU - Pr'!L349)</f>
        <v/>
      </c>
      <c r="M349" s="56" t="str">
        <f>IF('AYIRA MINI MART FINAL MENU - Pr'!M349="", "", 'AYIRA MINI MART FINAL MENU - Pr'!M349)</f>
        <v/>
      </c>
      <c r="N349" s="56" t="str">
        <f>IF('AYIRA MINI MART FINAL MENU - Pr'!N349="", "", 'AYIRA MINI MART FINAL MENU - Pr'!N349)</f>
        <v/>
      </c>
      <c r="O349" s="57"/>
      <c r="P349" s="57"/>
      <c r="Q349" s="57"/>
      <c r="R349" s="57"/>
      <c r="S349" s="57"/>
      <c r="T349" s="57"/>
      <c r="U349" s="57"/>
      <c r="V349" s="57"/>
      <c r="W349" s="57"/>
      <c r="X349" s="57"/>
      <c r="Y349" s="57"/>
      <c r="Z349" s="57"/>
    </row>
    <row r="350">
      <c r="A350" s="56" t="str">
        <f>IFERROR(__xludf.DUMMYFUNCTION("IF('AYIRA MINI MART FINAL MENU - Pr'!A350="""", """", IF(LEN(IFERROR(TRIM(REGEXREPLACE(TRIM(REGEXEXTRACT('AYIRA MINI MART FINAL MENU - Pr'!A350, ""^[^\x{0600}-\x{06FF}]+"")), ""[-–]+$"", """")), """"))&gt;0, IFERROR(TRIM(REGEXREPLACE(TRIM(REGEXEXTRACT('AYIRA"&amp;" MINI MART FINAL MENU - Pr'!A350, ""^[^\x{0600}-\x{06FF}]+"")), ""[-–]+$"", """")), """"), GOOGLETRANSLATE('AYIRA MINI MART FINAL MENU - Pr'!A350, ""ar"", ""en"")))"),"Donut Strawberry Ice Cream 85ml – Donut")</f>
        <v>Donut Strawberry Ice Cream 85ml – Donut</v>
      </c>
      <c r="B350" s="56" t="str">
        <f>IFERROR(__xludf.DUMMYFUNCTION("IF('AYIRA MINI MART FINAL MENU - Pr'!B350="""", """", IF(LEN(IFERROR(TRIM(REGEXREPLACE(TRIM(REGEXEXTRACT('AYIRA MINI MART FINAL MENU - Pr'!B350, ""^[^\x{0600}-\x{06FF}]+"")), ""[-–]+$"", """")), """"))&gt;0, IFERROR(TRIM(REGEXREPLACE(TRIM(REGEXEXTRACT('AYIRA"&amp;" MINI MART FINAL MENU - Pr'!B350, ""^[^\x{0600}-\x{06FF}]+"")), ""[-–]+$"", """")), """"), GOOGLETRANSLATE('AYIRA MINI MART FINAL MENU - Pr'!B350, ""ar"", ""en"")))"),"Ice Cream |")</f>
        <v>Ice Cream |</v>
      </c>
      <c r="C350" s="58">
        <f>IF('AYIRA MINI MART FINAL MENU - Pr'!C350="", "", 'AYIRA MINI MART FINAL MENU - Pr'!C350)</f>
        <v>3.5</v>
      </c>
      <c r="D350" s="56" t="str">
        <f>IFERROR(__xludf.DUMMYFUNCTION("IF('AYIRA MINI MART FINAL MENU - Pr'!D350="""", """", GOOGLETRANSLATE('AYIRA MINI MART FINAL MENU - Pr'!D350, ""ar"", ""en""))"),"Cool down on hot days with Donut Strawberry Ice Cream 85ml, a delicious treat that will transport you to a world of refreshment and enjoyment. It boasts a wonderful flavor and a smooth, creamy texture that melts in your mouth, leaving a delightful and unf"&amp;"orgettable aftertaste. Perfect for both children and adults, it's a great light dessert any time of day. Discover the secret to its unique taste and make it a part of your sunny day. Aira Mini Mart offers it fresh and preserved to the highest standards.")</f>
        <v>Cool down on hot days with Donut Strawberry Ice Cream 85ml,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50" s="56" t="str">
        <f>IF('AYIRA MINI MART FINAL MENU - Pr'!K350="", "", 'AYIRA MINI MART FINAL MENU - Pr'!K350)</f>
        <v/>
      </c>
      <c r="F350" s="56"/>
      <c r="G350" s="56"/>
      <c r="H350" s="56"/>
      <c r="I350" s="56"/>
      <c r="J350" s="56"/>
      <c r="L350" s="56" t="str">
        <f>IF('AYIRA MINI MART FINAL MENU - Pr'!L350="", "", 'AYIRA MINI MART FINAL MENU - Pr'!L350)</f>
        <v/>
      </c>
      <c r="M350" s="56" t="str">
        <f>IF('AYIRA MINI MART FINAL MENU - Pr'!M350="", "", 'AYIRA MINI MART FINAL MENU - Pr'!M350)</f>
        <v/>
      </c>
      <c r="N350" s="56" t="str">
        <f>IF('AYIRA MINI MART FINAL MENU - Pr'!N350="", "", 'AYIRA MINI MART FINAL MENU - Pr'!N350)</f>
        <v/>
      </c>
      <c r="O350" s="57"/>
      <c r="P350" s="57"/>
      <c r="Q350" s="57"/>
      <c r="R350" s="57"/>
      <c r="S350" s="57"/>
      <c r="T350" s="57"/>
      <c r="U350" s="57"/>
      <c r="V350" s="57"/>
      <c r="W350" s="57"/>
      <c r="X350" s="57"/>
      <c r="Y350" s="57"/>
      <c r="Z350" s="57"/>
    </row>
    <row r="351">
      <c r="A351" s="56" t="str">
        <f>IFERROR(__xludf.DUMMYFUNCTION("IF('AYIRA MINI MART FINAL MENU - Pr'!A351="""", """", IF(LEN(IFERROR(TRIM(REGEXREPLACE(TRIM(REGEXEXTRACT('AYIRA MINI MART FINAL MENU - Pr'!A351, ""^[^\x{0600}-\x{06FF}]+"")), ""[-–]+$"", """")), """"))&gt;0, IFERROR(TRIM(REGEXREPLACE(TRIM(REGEXEXTRACT('AYIRA"&amp;" MINI MART FINAL MENU - Pr'!A351, ""^[^\x{0600}-\x{06FF}]+"")), ""[-–]+$"", """")), """"), GOOGLETRANSLATE('AYIRA MINI MART FINAL MENU - Pr'!A351, ""ar"", ""en"")))"),"Feloudeh Lemon Water Ice 70ml – Feloudeh")</f>
        <v>Feloudeh Lemon Water Ice 70ml – Feloudeh</v>
      </c>
      <c r="B351" s="56" t="str">
        <f>IFERROR(__xludf.DUMMYFUNCTION("IF('AYIRA MINI MART FINAL MENU - Pr'!B351="""", """", IF(LEN(IFERROR(TRIM(REGEXREPLACE(TRIM(REGEXEXTRACT('AYIRA MINI MART FINAL MENU - Pr'!B351, ""^[^\x{0600}-\x{06FF}]+"")), ""[-–]+$"", """")), """"))&gt;0, IFERROR(TRIM(REGEXREPLACE(TRIM(REGEXEXTRACT('AYIRA"&amp;" MINI MART FINAL MENU - Pr'!B351, ""^[^\x{0600}-\x{06FF}]+"")), ""[-–]+$"", """")), """"), GOOGLETRANSLATE('AYIRA MINI MART FINAL MENU - Pr'!B351, ""ar"", ""en"")))"),"Ice Cream |")</f>
        <v>Ice Cream |</v>
      </c>
      <c r="C351" s="58">
        <f>IF('AYIRA MINI MART FINAL MENU - Pr'!C351="", "", 'AYIRA MINI MART FINAL MENU - Pr'!C351)</f>
        <v>2</v>
      </c>
      <c r="D351" s="56" t="str">
        <f>IFERROR(__xludf.DUMMYFUNCTION("IF('AYIRA MINI MART FINAL MENU - Pr'!D351="""", """", GOOGLETRANSLATE('AYIRA MINI MART FINAL MENU - Pr'!D351, ""ar"", ""en""))"),"Drink Feloudeh Lemon Water Ice 70ml, pure water that restores your body's natural balance. Extracted from the purest natural sources and bottled to the highest standards of quality and hygiene to ensure it reaches you in perfect condition. Proper hydratio"&amp;"n is essential for a good life, and choosing this water reflects your commitment to your well-being. Make sure to drink enough water daily to maintain your energy and vitality. Aira Mini Mart offers this premium water at competitive prices.")</f>
        <v>Drink Feloudeh Lemon Water Ice 70ml, pure water that restores your body's natural balance. Extracted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351" s="56" t="str">
        <f>IF('AYIRA MINI MART FINAL MENU - Pr'!K351="", "", 'AYIRA MINI MART FINAL MENU - Pr'!K351)</f>
        <v/>
      </c>
      <c r="F351" s="56"/>
      <c r="G351" s="56"/>
      <c r="H351" s="56"/>
      <c r="I351" s="56"/>
      <c r="J351" s="56"/>
      <c r="L351" s="56" t="str">
        <f>IF('AYIRA MINI MART FINAL MENU - Pr'!L351="", "", 'AYIRA MINI MART FINAL MENU - Pr'!L351)</f>
        <v/>
      </c>
      <c r="M351" s="56" t="str">
        <f>IF('AYIRA MINI MART FINAL MENU - Pr'!M351="", "", 'AYIRA MINI MART FINAL MENU - Pr'!M351)</f>
        <v/>
      </c>
      <c r="N351" s="56" t="str">
        <f>IF('AYIRA MINI MART FINAL MENU - Pr'!N351="", "", 'AYIRA MINI MART FINAL MENU - Pr'!N351)</f>
        <v/>
      </c>
      <c r="O351" s="57"/>
      <c r="P351" s="57"/>
      <c r="Q351" s="57"/>
      <c r="R351" s="57"/>
      <c r="S351" s="57"/>
      <c r="T351" s="57"/>
      <c r="U351" s="57"/>
      <c r="V351" s="57"/>
      <c r="W351" s="57"/>
      <c r="X351" s="57"/>
      <c r="Y351" s="57"/>
      <c r="Z351" s="57"/>
    </row>
    <row r="352">
      <c r="A352" s="56" t="str">
        <f>IFERROR(__xludf.DUMMYFUNCTION("IF('AYIRA MINI MART FINAL MENU - Pr'!A352="""", """", IF(LEN(IFERROR(TRIM(REGEXREPLACE(TRIM(REGEXEXTRACT('AYIRA MINI MART FINAL MENU - Pr'!A352, ""^[^\x{0600}-\x{06FF}]+"")), ""[-–]+$"", """")), """"))&gt;0, IFERROR(TRIM(REGEXREPLACE(TRIM(REGEXEXTRACT('AYIRA"&amp;" MINI MART FINAL MENU - Pr'!A352, ""^[^\x{0600}-\x{06FF}]+"")), ""[-–]+$"", """")), """"), GOOGLETRANSLATE('AYIRA MINI MART FINAL MENU - Pr'!A352, ""ar"", ""en"")))"),"Vanilla &amp; Strawberry Sandwich Ice Cream 160ml")</f>
        <v>Vanilla &amp; Strawberry Sandwich Ice Cream 160ml</v>
      </c>
      <c r="B352" s="56" t="str">
        <f>IFERROR(__xludf.DUMMYFUNCTION("IF('AYIRA MINI MART FINAL MENU - Pr'!B352="""", """", IF(LEN(IFERROR(TRIM(REGEXREPLACE(TRIM(REGEXEXTRACT('AYIRA MINI MART FINAL MENU - Pr'!B352, ""^[^\x{0600}-\x{06FF}]+"")), ""[-–]+$"", """")), """"))&gt;0, IFERROR(TRIM(REGEXREPLACE(TRIM(REGEXEXTRACT('AYIRA"&amp;" MINI MART FINAL MENU - Pr'!B352, ""^[^\x{0600}-\x{06FF}]+"")), ""[-–]+$"", """")), """"), GOOGLETRANSLATE('AYIRA MINI MART FINAL MENU - Pr'!B352, ""ar"", ""en"")))"),"Ice Cream |")</f>
        <v>Ice Cream |</v>
      </c>
      <c r="C352" s="58">
        <f>IF('AYIRA MINI MART FINAL MENU - Pr'!C352="", "", 'AYIRA MINI MART FINAL MENU - Pr'!C352)</f>
        <v>4</v>
      </c>
      <c r="D352" s="56" t="str">
        <f>IFERROR(__xludf.DUMMYFUNCTION("IF('AYIRA MINI MART FINAL MENU - Pr'!D352="""", """", GOOGLETRANSLATE('AYIRA MINI MART FINAL MENU - Pr'!D352, ""ar"", ""en""))"),"Cool down on hot days with Vanilla &amp; Strawberry Sandwich Ice Cream 160ml, a delicious treat that will transport you to a world of refreshment and enjoyment. Its wonderful flavor and smooth, creamy texture melt in your mouth, leaving a delightful and unfor"&amp;"gettable aftertaste. Perfect for children and adults alike, it's a great light dessert any time of day. Discover the secret to its unique taste and make it a part of your sunny day. Aira Mini Mart offers it fresh and preserved to the highest standards.")</f>
        <v>Cool down on hot days with Vanilla &amp; Strawberry Sandwich Ice Cream 160ml,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52" s="56" t="str">
        <f>IF('AYIRA MINI MART FINAL MENU - Pr'!K352="", "", 'AYIRA MINI MART FINAL MENU - Pr'!K352)</f>
        <v/>
      </c>
      <c r="F352" s="56"/>
      <c r="G352" s="56"/>
      <c r="H352" s="56"/>
      <c r="I352" s="56"/>
      <c r="J352" s="56"/>
      <c r="L352" s="56" t="str">
        <f>IF('AYIRA MINI MART FINAL MENU - Pr'!L352="", "", 'AYIRA MINI MART FINAL MENU - Pr'!L352)</f>
        <v/>
      </c>
      <c r="M352" s="56" t="str">
        <f>IF('AYIRA MINI MART FINAL MENU - Pr'!M352="", "", 'AYIRA MINI MART FINAL MENU - Pr'!M352)</f>
        <v/>
      </c>
      <c r="N352" s="56" t="str">
        <f>IF('AYIRA MINI MART FINAL MENU - Pr'!N352="", "", 'AYIRA MINI MART FINAL MENU - Pr'!N352)</f>
        <v/>
      </c>
      <c r="O352" s="57"/>
      <c r="P352" s="57"/>
      <c r="Q352" s="57"/>
      <c r="R352" s="57"/>
      <c r="S352" s="57"/>
      <c r="T352" s="57"/>
      <c r="U352" s="57"/>
      <c r="V352" s="57"/>
      <c r="W352" s="57"/>
      <c r="X352" s="57"/>
      <c r="Y352" s="57"/>
      <c r="Z352" s="57"/>
    </row>
    <row r="353">
      <c r="A353" s="56" t="str">
        <f>IFERROR(__xludf.DUMMYFUNCTION("IF('AYIRA MINI MART FINAL MENU - Pr'!A353="""", """", IF(LEN(IFERROR(TRIM(REGEXREPLACE(TRIM(REGEXEXTRACT('AYIRA MINI MART FINAL MENU - Pr'!A353, ""^[^\x{0600}-\x{06FF}]+"")), ""[-–]+$"", """")), """"))&gt;0, IFERROR(TRIM(REGEXREPLACE(TRIM(REGEXEXTRACT('AYIRA"&amp;" MINI MART FINAL MENU - Pr'!A353, ""^[^\x{0600}-\x{06FF}]+"")), ""[-–]+$"", """")), """"), GOOGLETRANSLATE('AYIRA MINI MART FINAL MENU - Pr'!A353, ""ar"", ""en"")))"),"ICE QUEEN Bom Bom Ice Cream 80ml – ICE QUEEN Bom Bom")</f>
        <v>ICE QUEEN Bom Bom Ice Cream 80ml – ICE QUEEN Bom Bom</v>
      </c>
      <c r="B353" s="56" t="str">
        <f>IFERROR(__xludf.DUMMYFUNCTION("IF('AYIRA MINI MART FINAL MENU - Pr'!B353="""", """", IF(LEN(IFERROR(TRIM(REGEXREPLACE(TRIM(REGEXEXTRACT('AYIRA MINI MART FINAL MENU - Pr'!B353, ""^[^\x{0600}-\x{06FF}]+"")), ""[-–]+$"", """")), """"))&gt;0, IFERROR(TRIM(REGEXREPLACE(TRIM(REGEXEXTRACT('AYIRA"&amp;" MINI MART FINAL MENU - Pr'!B353, ""^[^\x{0600}-\x{06FF}]+"")), ""[-–]+$"", """")), """"), GOOGLETRANSLATE('AYIRA MINI MART FINAL MENU - Pr'!B353, ""ar"", ""en"")))"),"Ice Cream |")</f>
        <v>Ice Cream |</v>
      </c>
      <c r="C353" s="58">
        <f>IF('AYIRA MINI MART FINAL MENU - Pr'!C353="", "", 'AYIRA MINI MART FINAL MENU - Pr'!C353)</f>
        <v>3.5</v>
      </c>
      <c r="D353" s="56" t="str">
        <f>IFERROR(__xludf.DUMMYFUNCTION("IF('AYIRA MINI MART FINAL MENU - Pr'!D353="""", """", GOOGLETRANSLATE('AYIRA MINI MART FINAL MENU - Pr'!D353, ""ar"", ""en""))"),"Cool down on hot days with ICE QUEEN Bom Bom Ice Cream 80ml, a delicious treat that will transport you to a world of refreshment and enjoyment. It boasts a wonderful flavor and a smooth, creamy texture that melts in your mouth, leaving a delightful and un"&amp;"forgettable aftertaste. Perfect for both children and adults, it's a great light dessert any time of day. Discover the secret to its unique taste and make it a part of your sunny day. Aira Mini Mart offers it fresh and preserved to the highest standards.")</f>
        <v>Cool down on hot days with ICE QUEEN Bom Bom Ice Cream 80ml,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353" s="56" t="str">
        <f>IF('AYIRA MINI MART FINAL MENU - Pr'!K353="", "", 'AYIRA MINI MART FINAL MENU - Pr'!K353)</f>
        <v/>
      </c>
      <c r="F353" s="56"/>
      <c r="G353" s="56"/>
      <c r="H353" s="56"/>
      <c r="I353" s="56"/>
      <c r="J353" s="56"/>
      <c r="L353" s="56" t="str">
        <f>IF('AYIRA MINI MART FINAL MENU - Pr'!L353="", "", 'AYIRA MINI MART FINAL MENU - Pr'!L353)</f>
        <v/>
      </c>
      <c r="M353" s="56" t="str">
        <f>IF('AYIRA MINI MART FINAL MENU - Pr'!M353="", "", 'AYIRA MINI MART FINAL MENU - Pr'!M353)</f>
        <v/>
      </c>
      <c r="N353" s="56" t="str">
        <f>IF('AYIRA MINI MART FINAL MENU - Pr'!N353="", "", 'AYIRA MINI MART FINAL MENU - Pr'!N353)</f>
        <v/>
      </c>
      <c r="O353" s="57"/>
      <c r="P353" s="57"/>
      <c r="Q353" s="57"/>
      <c r="R353" s="57"/>
      <c r="S353" s="57"/>
      <c r="T353" s="57"/>
      <c r="U353" s="57"/>
      <c r="V353" s="57"/>
      <c r="W353" s="57"/>
      <c r="X353" s="57"/>
      <c r="Y353" s="57"/>
      <c r="Z353" s="57"/>
    </row>
    <row r="354">
      <c r="A354" s="56" t="str">
        <f>IFERROR(__xludf.DUMMYFUNCTION("IF('AYIRA MINI MART FINAL MENU - Pr'!A354="""", """", IF(LEN(IFERROR(TRIM(REGEXREPLACE(TRIM(REGEXEXTRACT('AYIRA MINI MART FINAL MENU - Pr'!A354, ""^[^\x{0600}-\x{06FF}]+"")), ""[-–]+$"", """")), """"))&gt;0, IFERROR(TRIM(REGEXREPLACE(TRIM(REGEXEXTRACT('AYIRA"&amp;" MINI MART FINAL MENU - Pr'!A354, ""^[^\x{0600}-\x{06FF}]+"")), ""[-–]+$"", """")), """"), GOOGLETRANSLATE('AYIRA MINI MART FINAL MENU - Pr'!A354, ""ar"", ""en"")))"),"Ice Queen Bubble Gum Ice Cream 80ml – Ice Queen Bubble Gum")</f>
        <v>Ice Queen Bubble Gum Ice Cream 80ml – Ice Queen Bubble Gum</v>
      </c>
      <c r="B354" s="56" t="str">
        <f>IFERROR(__xludf.DUMMYFUNCTION("IF('AYIRA MINI MART FINAL MENU - Pr'!B354="""", """", IF(LEN(IFERROR(TRIM(REGEXREPLACE(TRIM(REGEXEXTRACT('AYIRA MINI MART FINAL MENU - Pr'!B354, ""^[^\x{0600}-\x{06FF}]+"")), ""[-–]+$"", """")), """"))&gt;0, IFERROR(TRIM(REGEXREPLACE(TRIM(REGEXEXTRACT('AYIRA"&amp;" MINI MART FINAL MENU - Pr'!B354, ""^[^\x{0600}-\x{06FF}]+"")), ""[-–]+$"", """")), """"), GOOGLETRANSLATE('AYIRA MINI MART FINAL MENU - Pr'!B354, ""ar"", ""en"")))"),"Ice Cream |")</f>
        <v>Ice Cream |</v>
      </c>
      <c r="C354" s="58">
        <f>IF('AYIRA MINI MART FINAL MENU - Pr'!C354="", "", 'AYIRA MINI MART FINAL MENU - Pr'!C354)</f>
        <v>2</v>
      </c>
      <c r="D354" s="56" t="str">
        <f>IFERROR(__xludf.DUMMYFUNCTION("IF('AYIRA MINI MART FINAL MENU - Pr'!D354="""", """", GOOGLETRANSLATE('AYIRA MINI MART FINAL MENU - Pr'!D354, ""ar"", ""en""))"),"Cool down on hot days with Ice Queen Bubble Gum Ice Cream 80ml, a delicious treat that will transport you to a world of refreshment and enjoyment. It boasts a wonderful flavor and a smooth, creamy texture that melts in your mouth, leaving a delightful and"&amp;" unforgettable aftertaste. Perfect for children and adults alike, it's a great light dessert any time of day. Discover the secret to its unique taste and make it a part of your sunny day. Aira Mini Mart offers it fresh and preserved to the highest standar"&amp;"ds.")</f>
        <v>Cool down on hot days with Ice Queen Bubble Gum Ice Cream 80ml, a delicious treat that will transport you to a world of refreshment and enjoyment. It boasts a wonderful flavor and a smooth, creamy texture that melts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54" s="56" t="str">
        <f>IF('AYIRA MINI MART FINAL MENU - Pr'!K354="", "", 'AYIRA MINI MART FINAL MENU - Pr'!K354)</f>
        <v/>
      </c>
      <c r="F354" s="56"/>
      <c r="G354" s="56"/>
      <c r="H354" s="56"/>
      <c r="I354" s="56"/>
      <c r="J354" s="56"/>
      <c r="L354" s="56" t="str">
        <f>IF('AYIRA MINI MART FINAL MENU - Pr'!L354="", "", 'AYIRA MINI MART FINAL MENU - Pr'!L354)</f>
        <v/>
      </c>
      <c r="M354" s="56" t="str">
        <f>IF('AYIRA MINI MART FINAL MENU - Pr'!M354="", "", 'AYIRA MINI MART FINAL MENU - Pr'!M354)</f>
        <v/>
      </c>
      <c r="N354" s="56" t="str">
        <f>IF('AYIRA MINI MART FINAL MENU - Pr'!N354="", "", 'AYIRA MINI MART FINAL MENU - Pr'!N354)</f>
        <v/>
      </c>
      <c r="O354" s="57"/>
      <c r="P354" s="57"/>
      <c r="Q354" s="57"/>
      <c r="R354" s="57"/>
      <c r="S354" s="57"/>
      <c r="T354" s="57"/>
      <c r="U354" s="57"/>
      <c r="V354" s="57"/>
      <c r="W354" s="57"/>
      <c r="X354" s="57"/>
      <c r="Y354" s="57"/>
      <c r="Z354" s="57"/>
    </row>
    <row r="355">
      <c r="A355" s="56" t="str">
        <f>IFERROR(__xludf.DUMMYFUNCTION("IF('AYIRA MINI MART FINAL MENU - Pr'!A355="""", """", IF(LEN(IFERROR(TRIM(REGEXREPLACE(TRIM(REGEXEXTRACT('AYIRA MINI MART FINAL MENU - Pr'!A355, ""^[^\x{0600}-\x{06FF}]+"")), ""[-–]+$"", """")), """"))&gt;0, IFERROR(TRIM(REGEXREPLACE(TRIM(REGEXEXTRACT('AYIRA"&amp;" MINI MART FINAL MENU - Pr'!A355, ""^[^\x{0600}-\x{06FF}]+"")), ""[-–]+$"", """")), """"), GOOGLETRANSLATE('AYIRA MINI MART FINAL MENU - Pr'!A355, ""ar"", ""en"")))"),"Ice Queen Koro Ice Cream 70ml – Ice Queen Koro")</f>
        <v>Ice Queen Koro Ice Cream 70ml – Ice Queen Koro</v>
      </c>
      <c r="B355" s="56" t="str">
        <f>IFERROR(__xludf.DUMMYFUNCTION("IF('AYIRA MINI MART FINAL MENU - Pr'!B355="""", """", IF(LEN(IFERROR(TRIM(REGEXREPLACE(TRIM(REGEXEXTRACT('AYIRA MINI MART FINAL MENU - Pr'!B355, ""^[^\x{0600}-\x{06FF}]+"")), ""[-–]+$"", """")), """"))&gt;0, IFERROR(TRIM(REGEXREPLACE(TRIM(REGEXEXTRACT('AYIRA"&amp;" MINI MART FINAL MENU - Pr'!B355, ""^[^\x{0600}-\x{06FF}]+"")), ""[-–]+$"", """")), """"), GOOGLETRANSLATE('AYIRA MINI MART FINAL MENU - Pr'!B355, ""ar"", ""en"")))"),"Ice Cream |")</f>
        <v>Ice Cream |</v>
      </c>
      <c r="C355" s="58">
        <f>IF('AYIRA MINI MART FINAL MENU - Pr'!C355="", "", 'AYIRA MINI MART FINAL MENU - Pr'!C355)</f>
        <v>2</v>
      </c>
      <c r="D355" s="56" t="str">
        <f>IFERROR(__xludf.DUMMYFUNCTION("IF('AYIRA MINI MART FINAL MENU - Pr'!D355="""", """", GOOGLETRANSLATE('AYIRA MINI MART FINAL MENU - Pr'!D355, ""ar"", ""en""))"),"Cool down on hot days with Ice Queen Koro Ice Cream 70ml, a delicious treat that transports you to a world of refreshment and enjoyment. Its wonderful flavor and smooth, creamy texture melt in your mouth, leaving a delightful and unforgettable aftertaste."&amp;" Perfect for children and adults alike, it's a great light dessert any time of day. Discover the secret to its unique taste and make it a part of your sunny day. Aira Mini Mart offers it fresh and preserved to the highest standards.")</f>
        <v>Cool down on hot days with Ice Queen Koro Ice Cream 70ml, a delicious treat that transports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55" s="56" t="str">
        <f>IF('AYIRA MINI MART FINAL MENU - Pr'!K355="", "", 'AYIRA MINI MART FINAL MENU - Pr'!K355)</f>
        <v/>
      </c>
      <c r="F355" s="56"/>
      <c r="G355" s="56"/>
      <c r="H355" s="56"/>
      <c r="I355" s="56"/>
      <c r="J355" s="56"/>
      <c r="L355" s="56" t="str">
        <f>IF('AYIRA MINI MART FINAL MENU - Pr'!L355="", "", 'AYIRA MINI MART FINAL MENU - Pr'!L355)</f>
        <v/>
      </c>
      <c r="M355" s="56" t="str">
        <f>IF('AYIRA MINI MART FINAL MENU - Pr'!M355="", "", 'AYIRA MINI MART FINAL MENU - Pr'!M355)</f>
        <v/>
      </c>
      <c r="N355" s="56" t="str">
        <f>IF('AYIRA MINI MART FINAL MENU - Pr'!N355="", "", 'AYIRA MINI MART FINAL MENU - Pr'!N355)</f>
        <v/>
      </c>
      <c r="O355" s="57"/>
      <c r="P355" s="57"/>
      <c r="Q355" s="57"/>
      <c r="R355" s="57"/>
      <c r="S355" s="57"/>
      <c r="T355" s="57"/>
      <c r="U355" s="57"/>
      <c r="V355" s="57"/>
      <c r="W355" s="57"/>
      <c r="X355" s="57"/>
      <c r="Y355" s="57"/>
      <c r="Z355" s="57"/>
    </row>
    <row r="356">
      <c r="A356" s="56" t="str">
        <f>IFERROR(__xludf.DUMMYFUNCTION("IF('AYIRA MINI MART FINAL MENU - Pr'!A356="""", """", IF(LEN(IFERROR(TRIM(REGEXREPLACE(TRIM(REGEXEXTRACT('AYIRA MINI MART FINAL MENU - Pr'!A356, ""^[^\x{0600}-\x{06FF}]+"")), ""[-–]+$"", """")), """"))&gt;0, IFERROR(TRIM(REGEXREPLACE(TRIM(REGEXEXTRACT('AYIRA"&amp;" MINI MART FINAL MENU - Pr'!A356, ""^[^\x{0600}-\x{06FF}]+"")), ""[-–]+$"", """")), """"), GOOGLETRANSLATE('AYIRA MINI MART FINAL MENU - Pr'!A356, ""ar"", ""en"")))"),"Daity Amiral with Milk Ice Cream 80ml – Daity Amiral with")</f>
        <v>Daity Amiral with Milk Ice Cream 80ml – Daity Amiral with</v>
      </c>
      <c r="B356" s="56" t="str">
        <f>IFERROR(__xludf.DUMMYFUNCTION("IF('AYIRA MINI MART FINAL MENU - Pr'!B356="""", """", IF(LEN(IFERROR(TRIM(REGEXREPLACE(TRIM(REGEXEXTRACT('AYIRA MINI MART FINAL MENU - Pr'!B356, ""^[^\x{0600}-\x{06FF}]+"")), ""[-–]+$"", """")), """"))&gt;0, IFERROR(TRIM(REGEXREPLACE(TRIM(REGEXEXTRACT('AYIRA"&amp;" MINI MART FINAL MENU - Pr'!B356, ""^[^\x{0600}-\x{06FF}]+"")), ""[-–]+$"", """")), """"), GOOGLETRANSLATE('AYIRA MINI MART FINAL MENU - Pr'!B356, ""ar"", ""en"")))"),"Ice Cream |")</f>
        <v>Ice Cream |</v>
      </c>
      <c r="C356" s="58">
        <f>IF('AYIRA MINI MART FINAL MENU - Pr'!C356="", "", 'AYIRA MINI MART FINAL MENU - Pr'!C356)</f>
        <v>5</v>
      </c>
      <c r="D356" s="56" t="str">
        <f>IFERROR(__xludf.DUMMYFUNCTION("IF('AYIRA MINI MART FINAL MENU - Pr'!D356="""", """", GOOGLETRANSLATE('AYIRA MINI MART FINAL MENU - Pr'!D356, ""ar"", ""en""))"),"Cool down on hot days with Daity Amiral with Milk Ice Cream 80ml, a delicious ice cream that transports you to a world of refreshment and pleasure. It boasts a wonderful flavor and a smooth, creamy texture that melts in your mouth, leaving a delightful an"&amp;"d unforgettable aftertaste. Perfect for children and adults alike, it's a great light treat any time of day. Discover the secret to its unique taste and make it a part of your sunny day. Aira Mini Mart offers it fresh and preserved to the highest standard"&amp;"s.")</f>
        <v>Cool down on hot days with Daity Amiral with Milk Ice Cream 80ml, a delicious ice cream that transports you to a world of refreshment and pleasure. It boasts a wonderful flavor and a smooth, creamy texture that melts in your mouth, leaving a delightful and unforgettable aftertaste. Perfect for children and adults alike, it's a great light treat any time of day. Discover the secret to its unique taste and make it a part of your sunny day. Aira Mini Mart offers it fresh and preserved to the highest standards.</v>
      </c>
      <c r="E356" s="56" t="str">
        <f>IF('AYIRA MINI MART FINAL MENU - Pr'!K356="", "", 'AYIRA MINI MART FINAL MENU - Pr'!K356)</f>
        <v/>
      </c>
      <c r="F356" s="56"/>
      <c r="G356" s="56"/>
      <c r="H356" s="56"/>
      <c r="I356" s="56"/>
      <c r="J356" s="56"/>
      <c r="L356" s="56" t="str">
        <f>IF('AYIRA MINI MART FINAL MENU - Pr'!L356="", "", 'AYIRA MINI MART FINAL MENU - Pr'!L356)</f>
        <v/>
      </c>
      <c r="M356" s="56" t="str">
        <f>IF('AYIRA MINI MART FINAL MENU - Pr'!M356="", "", 'AYIRA MINI MART FINAL MENU - Pr'!M356)</f>
        <v/>
      </c>
      <c r="N356" s="56" t="str">
        <f>IF('AYIRA MINI MART FINAL MENU - Pr'!N356="", "", 'AYIRA MINI MART FINAL MENU - Pr'!N356)</f>
        <v/>
      </c>
      <c r="O356" s="57"/>
      <c r="P356" s="57"/>
      <c r="Q356" s="57"/>
      <c r="R356" s="57"/>
      <c r="S356" s="57"/>
      <c r="T356" s="57"/>
      <c r="U356" s="57"/>
      <c r="V356" s="57"/>
      <c r="W356" s="57"/>
      <c r="X356" s="57"/>
      <c r="Y356" s="57"/>
      <c r="Z356" s="57"/>
    </row>
    <row r="357">
      <c r="A357" s="56" t="str">
        <f>IFERROR(__xludf.DUMMYFUNCTION("IF('AYIRA MINI MART FINAL MENU - Pr'!A357="""", """", IF(LEN(IFERROR(TRIM(REGEXREPLACE(TRIM(REGEXEXTRACT('AYIRA MINI MART FINAL MENU - Pr'!A357, ""^[^\x{0600}-\x{06FF}]+"")), ""[-–]+$"", """")), """"))&gt;0, IFERROR(TRIM(REGEXREPLACE(TRIM(REGEXEXTRACT('AYIRA"&amp;" MINI MART FINAL MENU - Pr'!A357, ""^[^\x{0600}-\x{06FF}]+"")), ""[-–]+$"", """")), """"), GOOGLETRANSLATE('AYIRA MINI MART FINAL MENU - Pr'!A357, ""ar"", ""en"")))"),"KDD Vanilla Ice Cream 100g")</f>
        <v>KDD Vanilla Ice Cream 100g</v>
      </c>
      <c r="B357" s="56" t="str">
        <f>IFERROR(__xludf.DUMMYFUNCTION("IF('AYIRA MINI MART FINAL MENU - Pr'!B357="""", """", IF(LEN(IFERROR(TRIM(REGEXREPLACE(TRIM(REGEXEXTRACT('AYIRA MINI MART FINAL MENU - Pr'!B357, ""^[^\x{0600}-\x{06FF}]+"")), ""[-–]+$"", """")), """"))&gt;0, IFERROR(TRIM(REGEXREPLACE(TRIM(REGEXEXTRACT('AYIRA"&amp;" MINI MART FINAL MENU - Pr'!B357, ""^[^\x{0600}-\x{06FF}]+"")), ""[-–]+$"", """")), """"), GOOGLETRANSLATE('AYIRA MINI MART FINAL MENU - Pr'!B357, ""ar"", ""en"")))"),"Ice Cream |")</f>
        <v>Ice Cream |</v>
      </c>
      <c r="C357" s="58">
        <f>IF('AYIRA MINI MART FINAL MENU - Pr'!C357="", "", 'AYIRA MINI MART FINAL MENU - Pr'!C357)</f>
        <v>1.5</v>
      </c>
      <c r="D357" s="56" t="str">
        <f>IFERROR(__xludf.DUMMYFUNCTION("IF('AYIRA MINI MART FINAL MENU - Pr'!D357="""", """", GOOGLETRANSLATE('AYIRA MINI MART FINAL MENU - Pr'!D357, ""ar"", ""en""))"),"Cool down on hot days with KDD, the delicious ice cream that transports you to a world of refreshment and enjoyment. It boasts a wonderful flavor and a smooth, creamy texture that melts in your mouth, leaving a delightful and unforgettable aftertaste. Per"&amp;"fect for both children and adults, it's a great light treat any time of day. Discover the secret to its unique taste and make it a part of your sunny day. Aira Mini Mart offers it fresh and preserved to the highest standards.")</f>
        <v>Cool down on hot days with KDD, the delicious ice cream that transports you to a world of refreshment and enjoyment. It boasts a wonderful flavor and a smooth, creamy texture that melts in your mouth, leaving a delightful and unforgettable aftertaste. Perfect for both children and adults, it's a great light treat any time of day. Discover the secret to its unique taste and make it a part of your sunny day. Aira Mini Mart offers it fresh and preserved to the highest standards.</v>
      </c>
      <c r="E357" s="56" t="str">
        <f>IF('AYIRA MINI MART FINAL MENU - Pr'!K357="", "", 'AYIRA MINI MART FINAL MENU - Pr'!K357)</f>
        <v/>
      </c>
      <c r="F357" s="56"/>
      <c r="G357" s="56"/>
      <c r="H357" s="56"/>
      <c r="I357" s="56"/>
      <c r="J357" s="56"/>
      <c r="L357" s="56" t="str">
        <f>IF('AYIRA MINI MART FINAL MENU - Pr'!L357="", "", 'AYIRA MINI MART FINAL MENU - Pr'!L357)</f>
        <v/>
      </c>
      <c r="M357" s="56" t="str">
        <f>IF('AYIRA MINI MART FINAL MENU - Pr'!M357="", "", 'AYIRA MINI MART FINAL MENU - Pr'!M357)</f>
        <v/>
      </c>
      <c r="N357" s="56" t="str">
        <f>IF('AYIRA MINI MART FINAL MENU - Pr'!N357="", "", 'AYIRA MINI MART FINAL MENU - Pr'!N357)</f>
        <v/>
      </c>
      <c r="O357" s="57"/>
      <c r="P357" s="57"/>
      <c r="Q357" s="57"/>
      <c r="R357" s="57"/>
      <c r="S357" s="57"/>
      <c r="T357" s="57"/>
      <c r="U357" s="57"/>
      <c r="V357" s="57"/>
      <c r="W357" s="57"/>
      <c r="X357" s="57"/>
      <c r="Y357" s="57"/>
      <c r="Z357" s="57"/>
    </row>
    <row r="358">
      <c r="A358" s="56" t="str">
        <f>IFERROR(__xludf.DUMMYFUNCTION("IF('AYIRA MINI MART FINAL MENU - Pr'!A358="""", """", IF(LEN(IFERROR(TRIM(REGEXREPLACE(TRIM(REGEXEXTRACT('AYIRA MINI MART FINAL MENU - Pr'!A358, ""^[^\x{0600}-\x{06FF}]+"")), ""[-–]+$"", """")), """"))&gt;0, IFERROR(TRIM(REGEXREPLACE(TRIM(REGEXEXTRACT('AYIRA"&amp;" MINI MART FINAL MENU - Pr'!A358, ""^[^\x{0600}-\x{06FF}]+"")), ""[-–]+$"", """")), """"), GOOGLETRANSLATE('AYIRA MINI MART FINAL MENU - Pr'!A358, ""ar"", ""en"")))"),"Baskin Robbins Almond ’n Caramel Ice Cream Bar 90ml – Baskin Robbins")</f>
        <v>Baskin Robbins Almond ’n Caramel Ice Cream Bar 90ml – Baskin Robbins</v>
      </c>
      <c r="B358" s="56" t="str">
        <f>IFERROR(__xludf.DUMMYFUNCTION("IF('AYIRA MINI MART FINAL MENU - Pr'!B358="""", """", IF(LEN(IFERROR(TRIM(REGEXREPLACE(TRIM(REGEXEXTRACT('AYIRA MINI MART FINAL MENU - Pr'!B358, ""^[^\x{0600}-\x{06FF}]+"")), ""[-–]+$"", """")), """"))&gt;0, IFERROR(TRIM(REGEXREPLACE(TRIM(REGEXEXTRACT('AYIRA"&amp;" MINI MART FINAL MENU - Pr'!B358, ""^[^\x{0600}-\x{06FF}]+"")), ""[-–]+$"", """")), """"), GOOGLETRANSLATE('AYIRA MINI MART FINAL MENU - Pr'!B358, ""ar"", ""en"")))"),"Ice Cream |")</f>
        <v>Ice Cream |</v>
      </c>
      <c r="C358" s="58">
        <f>IF('AYIRA MINI MART FINAL MENU - Pr'!C358="", "", 'AYIRA MINI MART FINAL MENU - Pr'!C358)</f>
        <v>13.5</v>
      </c>
      <c r="D358" s="56" t="str">
        <f>IFERROR(__xludf.DUMMYFUNCTION("IF('AYIRA MINI MART FINAL MENU - Pr'!D358="""", """", GOOGLETRANSLATE('AYIRA MINI MART FINAL MENU - Pr'!D358, ""ar"", ""en""))"),"Cool down on hot days with Baskin Robbins Almond 'n Caramel Ice Cream Bar 90ml, a delicious treat that will transport you to a world of refreshment and enjoyment. Its wonderful flavor and smooth, creamy texture melt in your mouth, leaving a delightful and"&amp;" unforgettable aftertaste. Perfect for children and adults alike, it's a great light dessert any time of day. Discover the secret to its unique taste and make it a part of your sunny day. Aira Mini Mart offers it fresh and preserved to the highest standar"&amp;"ds.")</f>
        <v>Cool down on hot days with Baskin Robbins Almond 'n Caramel Ice Cream Bar 90ml,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358" s="56" t="str">
        <f>IF('AYIRA MINI MART FINAL MENU - Pr'!K358="", "", 'AYIRA MINI MART FINAL MENU - Pr'!K358)</f>
        <v/>
      </c>
      <c r="F358" s="56"/>
      <c r="G358" s="56"/>
      <c r="H358" s="56"/>
      <c r="I358" s="56"/>
      <c r="J358" s="56"/>
      <c r="L358" s="56" t="str">
        <f>IF('AYIRA MINI MART FINAL MENU - Pr'!L358="", "", 'AYIRA MINI MART FINAL MENU - Pr'!L358)</f>
        <v/>
      </c>
      <c r="M358" s="56" t="str">
        <f>IF('AYIRA MINI MART FINAL MENU - Pr'!M358="", "", 'AYIRA MINI MART FINAL MENU - Pr'!M358)</f>
        <v/>
      </c>
      <c r="N358" s="56" t="str">
        <f>IF('AYIRA MINI MART FINAL MENU - Pr'!N358="", "", 'AYIRA MINI MART FINAL MENU - Pr'!N358)</f>
        <v/>
      </c>
      <c r="O358" s="57"/>
      <c r="P358" s="57"/>
      <c r="Q358" s="57"/>
      <c r="R358" s="57"/>
      <c r="S358" s="57"/>
      <c r="T358" s="57"/>
      <c r="U358" s="57"/>
      <c r="V358" s="57"/>
      <c r="W358" s="57"/>
      <c r="X358" s="57"/>
      <c r="Y358" s="57"/>
      <c r="Z358" s="57"/>
    </row>
    <row r="359">
      <c r="A359" s="56" t="str">
        <f>IFERROR(__xludf.DUMMYFUNCTION("IF('AYIRA MINI MART FINAL MENU - Pr'!A359="""", """", IF(LEN(IFERROR(TRIM(REGEXREPLACE(TRIM(REGEXEXTRACT('AYIRA MINI MART FINAL MENU - Pr'!A359, ""^[^\x{0600}-\x{06FF}]+"")), ""[-–]+$"", """")), """"))&gt;0, IFERROR(TRIM(REGEXREPLACE(TRIM(REGEXEXTRACT('AYIRA"&amp;" MINI MART FINAL MENU - Pr'!A359, ""^[^\x{0600}-\x{06FF}]+"")), ""[-–]+$"", """")), """"), GOOGLETRANSLATE('AYIRA MINI MART FINAL MENU - Pr'!A359, ""ar"", ""en"")))"),"Barakat Juice Pop Beetroot Berry 50ml – Barakat")</f>
        <v>Barakat Juice Pop Beetroot Berry 50ml – Barakat</v>
      </c>
      <c r="B359" s="56" t="str">
        <f>IFERROR(__xludf.DUMMYFUNCTION("IF('AYIRA MINI MART FINAL MENU - Pr'!B359="""", """", IF(LEN(IFERROR(TRIM(REGEXREPLACE(TRIM(REGEXEXTRACT('AYIRA MINI MART FINAL MENU - Pr'!B359, ""^[^\x{0600}-\x{06FF}]+"")), ""[-–]+$"", """")), """"))&gt;0, IFERROR(TRIM(REGEXREPLACE(TRIM(REGEXEXTRACT('AYIRA"&amp;" MINI MART FINAL MENU - Pr'!B359, ""^[^\x{0600}-\x{06FF}]+"")), ""[-–]+$"", """")), """"), GOOGLETRANSLATE('AYIRA MINI MART FINAL MENU - Pr'!B359, ""ar"", ""en"")))"),"Ice Cream |")</f>
        <v>Ice Cream |</v>
      </c>
      <c r="C359" s="58">
        <f>IF('AYIRA MINI MART FINAL MENU - Pr'!C359="", "", 'AYIRA MINI MART FINAL MENU - Pr'!C359)</f>
        <v>6</v>
      </c>
      <c r="D359" s="56" t="str">
        <f>IFERROR(__xludf.DUMMYFUNCTION("IF('AYIRA MINI MART FINAL MENU - Pr'!D359="""", """", GOOGLETRANSLATE('AYIRA MINI MART FINAL MENU - Pr'!D359, ""ar"", ""en""))"),"Take care of your health with Barakat Juice Pop Beetroot Berry 50ml, a fresh juice packed with essential vitamins and minerals. Made from carefully selected, high-quality fruits for a delicious taste and superior nutritional value. It provides natural ene"&amp;"rgy and boosts your immune system thanks to its rich composition. Perfect for your daily breakfast or as a healthy drink anytime. Order now from Aira Mini Mart and enjoy every drop of this delicious and nutritious juice.")</f>
        <v>Take care of your health with Barakat Juice Pop Beetroot Berry 50ml,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59" s="56" t="str">
        <f>IF('AYIRA MINI MART FINAL MENU - Pr'!K359="", "", 'AYIRA MINI MART FINAL MENU - Pr'!K359)</f>
        <v/>
      </c>
      <c r="F359" s="56"/>
      <c r="G359" s="56"/>
      <c r="H359" s="56"/>
      <c r="I359" s="56"/>
      <c r="J359" s="56"/>
      <c r="L359" s="56" t="str">
        <f>IF('AYIRA MINI MART FINAL MENU - Pr'!L359="", "", 'AYIRA MINI MART FINAL MENU - Pr'!L359)</f>
        <v/>
      </c>
      <c r="M359" s="56" t="str">
        <f>IF('AYIRA MINI MART FINAL MENU - Pr'!M359="", "", 'AYIRA MINI MART FINAL MENU - Pr'!M359)</f>
        <v/>
      </c>
      <c r="N359" s="56" t="str">
        <f>IF('AYIRA MINI MART FINAL MENU - Pr'!N359="", "", 'AYIRA MINI MART FINAL MENU - Pr'!N359)</f>
        <v/>
      </c>
      <c r="O359" s="57"/>
      <c r="P359" s="57"/>
      <c r="Q359" s="57"/>
      <c r="R359" s="57"/>
      <c r="S359" s="57"/>
      <c r="T359" s="57"/>
      <c r="U359" s="57"/>
      <c r="V359" s="57"/>
      <c r="W359" s="57"/>
      <c r="X359" s="57"/>
      <c r="Y359" s="57"/>
      <c r="Z359" s="57"/>
    </row>
    <row r="360">
      <c r="A360" s="56" t="str">
        <f>IFERROR(__xludf.DUMMYFUNCTION("IF('AYIRA MINI MART FINAL MENU - Pr'!A360="""", """", IF(LEN(IFERROR(TRIM(REGEXREPLACE(TRIM(REGEXEXTRACT('AYIRA MINI MART FINAL MENU - Pr'!A360, ""^[^\x{0600}-\x{06FF}]+"")), ""[-–]+$"", """")), """"))&gt;0, IFERROR(TRIM(REGEXREPLACE(TRIM(REGEXEXTRACT('AYIRA"&amp;" MINI MART FINAL MENU - Pr'!A360, ""^[^\x{0600}-\x{06FF}]+"")), ""[-–]+$"", """")), """"), GOOGLETRANSLATE('AYIRA MINI MART FINAL MENU - Pr'!A360, ""ar"", ""en"")))"),"Barakat Juice Pop Strawberry Banana 50ml – Barakat")</f>
        <v>Barakat Juice Pop Strawberry Banana 50ml – Barakat</v>
      </c>
      <c r="B360" s="56" t="str">
        <f>IFERROR(__xludf.DUMMYFUNCTION("IF('AYIRA MINI MART FINAL MENU - Pr'!B360="""", """", IF(LEN(IFERROR(TRIM(REGEXREPLACE(TRIM(REGEXEXTRACT('AYIRA MINI MART FINAL MENU - Pr'!B360, ""^[^\x{0600}-\x{06FF}]+"")), ""[-–]+$"", """")), """"))&gt;0, IFERROR(TRIM(REGEXREPLACE(TRIM(REGEXEXTRACT('AYIRA"&amp;" MINI MART FINAL MENU - Pr'!B360, ""^[^\x{0600}-\x{06FF}]+"")), ""[-–]+$"", """")), """"), GOOGLETRANSLATE('AYIRA MINI MART FINAL MENU - Pr'!B360, ""ar"", ""en"")))"),"Ice Cream |")</f>
        <v>Ice Cream |</v>
      </c>
      <c r="C360" s="58">
        <f>IF('AYIRA MINI MART FINAL MENU - Pr'!C360="", "", 'AYIRA MINI MART FINAL MENU - Pr'!C360)</f>
        <v>6</v>
      </c>
      <c r="D360" s="56" t="str">
        <f>IFERROR(__xludf.DUMMYFUNCTION("IF('AYIRA MINI MART FINAL MENU - Pr'!D360="""", """", GOOGLETRANSLATE('AYIRA MINI MART FINAL MENU - Pr'!D360, ""ar"", ""en""))"),"Take care of your health with Barakat Juice Pop Strawberry Banana 50ml, a fresh juice packed with essential vitamins and minerals. Made from carefully selected, high-quality fruits for a delicious taste and superior nutritional value. It provides natural "&amp;"energy and boosts your immune system thanks to its rich composition. Perfect for your daily breakfast or as a healthy drink anytime. Order now from Aira Mini Mart and enjoy every drop of this delicious and nutritious juice.")</f>
        <v>Take care of your health with Barakat Juice Pop Strawberry Banana 50ml,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60" s="56" t="str">
        <f>IF('AYIRA MINI MART FINAL MENU - Pr'!K360="", "", 'AYIRA MINI MART FINAL MENU - Pr'!K360)</f>
        <v/>
      </c>
      <c r="F360" s="56"/>
      <c r="G360" s="56"/>
      <c r="H360" s="56"/>
      <c r="I360" s="56"/>
      <c r="J360" s="56"/>
      <c r="L360" s="56" t="str">
        <f>IF('AYIRA MINI MART FINAL MENU - Pr'!L360="", "", 'AYIRA MINI MART FINAL MENU - Pr'!L360)</f>
        <v/>
      </c>
      <c r="M360" s="56" t="str">
        <f>IF('AYIRA MINI MART FINAL MENU - Pr'!M360="", "", 'AYIRA MINI MART FINAL MENU - Pr'!M360)</f>
        <v/>
      </c>
      <c r="N360" s="56" t="str">
        <f>IF('AYIRA MINI MART FINAL MENU - Pr'!N360="", "", 'AYIRA MINI MART FINAL MENU - Pr'!N360)</f>
        <v/>
      </c>
      <c r="O360" s="57"/>
      <c r="P360" s="57"/>
      <c r="Q360" s="57"/>
      <c r="R360" s="57"/>
      <c r="S360" s="57"/>
      <c r="T360" s="57"/>
      <c r="U360" s="57"/>
      <c r="V360" s="57"/>
      <c r="W360" s="57"/>
      <c r="X360" s="57"/>
      <c r="Y360" s="57"/>
      <c r="Z360" s="57"/>
    </row>
    <row r="361">
      <c r="A361" s="56" t="str">
        <f>IFERROR(__xludf.DUMMYFUNCTION("IF('AYIRA MINI MART FINAL MENU - Pr'!A361="""", """", IF(LEN(IFERROR(TRIM(REGEXREPLACE(TRIM(REGEXEXTRACT('AYIRA MINI MART FINAL MENU - Pr'!A361, ""^[^\x{0600}-\x{06FF}]+"")), ""[-–]+$"", """")), """"))&gt;0, IFERROR(TRIM(REGEXREPLACE(TRIM(REGEXEXTRACT('AYIRA"&amp;" MINI MART FINAL MENU - Pr'!A361, ""^[^\x{0600}-\x{06FF}]+"")), ""[-–]+$"", """")), """"), GOOGLETRANSLATE('AYIRA MINI MART FINAL MENU - Pr'!A361, ""ar"", ""en"")))"),"Barakat Juice Pop Orange 50ml – Barakat")</f>
        <v>Barakat Juice Pop Orange 50ml – Barakat</v>
      </c>
      <c r="B361" s="56" t="str">
        <f>IFERROR(__xludf.DUMMYFUNCTION("IF('AYIRA MINI MART FINAL MENU - Pr'!B361="""", """", IF(LEN(IFERROR(TRIM(REGEXREPLACE(TRIM(REGEXEXTRACT('AYIRA MINI MART FINAL MENU - Pr'!B361, ""^[^\x{0600}-\x{06FF}]+"")), ""[-–]+$"", """")), """"))&gt;0, IFERROR(TRIM(REGEXREPLACE(TRIM(REGEXEXTRACT('AYIRA"&amp;" MINI MART FINAL MENU - Pr'!B361, ""^[^\x{0600}-\x{06FF}]+"")), ""[-–]+$"", """")), """"), GOOGLETRANSLATE('AYIRA MINI MART FINAL MENU - Pr'!B361, ""ar"", ""en"")))"),"Ice Cream |")</f>
        <v>Ice Cream |</v>
      </c>
      <c r="C361" s="58">
        <f>IF('AYIRA MINI MART FINAL MENU - Pr'!C361="", "", 'AYIRA MINI MART FINAL MENU - Pr'!C361)</f>
        <v>6</v>
      </c>
      <c r="D361" s="56" t="str">
        <f>IFERROR(__xludf.DUMMYFUNCTION("IF('AYIRA MINI MART FINAL MENU - Pr'!D361="""", """", GOOGLETRANSLATE('AYIRA MINI MART FINAL MENU - Pr'!D361, ""ar"", ""en""))"),"Take care of your health with Barakat Juice Pop Orange 50ml, a fresh juice packed with essential vitamins and minerals. Made from carefully selected, high-quality fruits for a delicious taste and superior nutritional value. It provides natural energy and "&amp;"boosts your immune system thanks to its rich composition. Perfect for your daily breakfast or as a healthy drink anytime. Order now from Aira Mini Mart and enjoy every drop of this delicious and nutritious juice.")</f>
        <v>Take care of your health with Barakat Juice Pop Orange 50ml,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61" s="56" t="str">
        <f>IF('AYIRA MINI MART FINAL MENU - Pr'!K361="", "", 'AYIRA MINI MART FINAL MENU - Pr'!K361)</f>
        <v/>
      </c>
      <c r="F361" s="56"/>
      <c r="G361" s="56"/>
      <c r="H361" s="56"/>
      <c r="I361" s="56"/>
      <c r="J361" s="56"/>
      <c r="L361" s="56" t="str">
        <f>IF('AYIRA MINI MART FINAL MENU - Pr'!L361="", "", 'AYIRA MINI MART FINAL MENU - Pr'!L361)</f>
        <v/>
      </c>
      <c r="M361" s="56" t="str">
        <f>IF('AYIRA MINI MART FINAL MENU - Pr'!M361="", "", 'AYIRA MINI MART FINAL MENU - Pr'!M361)</f>
        <v/>
      </c>
      <c r="N361" s="56" t="str">
        <f>IF('AYIRA MINI MART FINAL MENU - Pr'!N361="", "", 'AYIRA MINI MART FINAL MENU - Pr'!N361)</f>
        <v/>
      </c>
      <c r="O361" s="57"/>
      <c r="P361" s="57"/>
      <c r="Q361" s="57"/>
      <c r="R361" s="57"/>
      <c r="S361" s="57"/>
      <c r="T361" s="57"/>
      <c r="U361" s="57"/>
      <c r="V361" s="57"/>
      <c r="W361" s="57"/>
      <c r="X361" s="57"/>
      <c r="Y361" s="57"/>
      <c r="Z361" s="57"/>
    </row>
    <row r="362">
      <c r="A362" s="56" t="str">
        <f>IFERROR(__xludf.DUMMYFUNCTION("IF('AYIRA MINI MART FINAL MENU - Pr'!A362="""", """", IF(LEN(IFERROR(TRIM(REGEXREPLACE(TRIM(REGEXEXTRACT('AYIRA MINI MART FINAL MENU - Pr'!A362, ""^[^\x{0600}-\x{06FF}]+"")), ""[-–]+$"", """")), """"))&gt;0, IFERROR(TRIM(REGEXREPLACE(TRIM(REGEXEXTRACT('AYIRA"&amp;" MINI MART FINAL MENU - Pr'!A362, ""^[^\x{0600}-\x{06FF}]+"")), ""[-–]+$"", """")), """"), GOOGLETRANSLATE('AYIRA MINI MART FINAL MENU - Pr'!A362, ""ar"", ""en"")))"),"Barakat Juice Pop Mango Passion 50ml – Barakat")</f>
        <v>Barakat Juice Pop Mango Passion 50ml – Barakat</v>
      </c>
      <c r="B362" s="56" t="str">
        <f>IFERROR(__xludf.DUMMYFUNCTION("IF('AYIRA MINI MART FINAL MENU - Pr'!B362="""", """", IF(LEN(IFERROR(TRIM(REGEXREPLACE(TRIM(REGEXEXTRACT('AYIRA MINI MART FINAL MENU - Pr'!B362, ""^[^\x{0600}-\x{06FF}]+"")), ""[-–]+$"", """")), """"))&gt;0, IFERROR(TRIM(REGEXREPLACE(TRIM(REGEXEXTRACT('AYIRA"&amp;" MINI MART FINAL MENU - Pr'!B362, ""^[^\x{0600}-\x{06FF}]+"")), ""[-–]+$"", """")), """"), GOOGLETRANSLATE('AYIRA MINI MART FINAL MENU - Pr'!B362, ""ar"", ""en"")))"),"Ice Cream |")</f>
        <v>Ice Cream |</v>
      </c>
      <c r="C362" s="58">
        <f>IF('AYIRA MINI MART FINAL MENU - Pr'!C362="", "", 'AYIRA MINI MART FINAL MENU - Pr'!C362)</f>
        <v>6</v>
      </c>
      <c r="D362" s="56" t="str">
        <f>IFERROR(__xludf.DUMMYFUNCTION("IF('AYIRA MINI MART FINAL MENU - Pr'!D362="""", """", GOOGLETRANSLATE('AYIRA MINI MART FINAL MENU - Pr'!D362, ""ar"", ""en""))"),"Take care of your health with Barakat Juice Pop Mango Passion 50ml, a fresh juice packed with essential vitamins and minerals. Made from carefully selected, high-quality fruits for a delicious taste and superior nutritional value. It provides natural ener"&amp;"gy and boosts your immune system thanks to its rich composition. Perfect for your daily breakfast or as a healthy drink anytime. Order now from Aira Mini Mart and enjoy every drop of this delicious and nutritious juice.")</f>
        <v>Take care of your health with Barakat Juice Pop Mango Passion 50ml,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362" s="56" t="str">
        <f>IF('AYIRA MINI MART FINAL MENU - Pr'!K362="", "", 'AYIRA MINI MART FINAL MENU - Pr'!K362)</f>
        <v/>
      </c>
      <c r="F362" s="56"/>
      <c r="G362" s="56"/>
      <c r="H362" s="56"/>
      <c r="I362" s="56"/>
      <c r="J362" s="56"/>
      <c r="L362" s="56" t="str">
        <f>IF('AYIRA MINI MART FINAL MENU - Pr'!L362="", "", 'AYIRA MINI MART FINAL MENU - Pr'!L362)</f>
        <v/>
      </c>
      <c r="M362" s="56" t="str">
        <f>IF('AYIRA MINI MART FINAL MENU - Pr'!M362="", "", 'AYIRA MINI MART FINAL MENU - Pr'!M362)</f>
        <v/>
      </c>
      <c r="N362" s="56" t="str">
        <f>IF('AYIRA MINI MART FINAL MENU - Pr'!N362="", "", 'AYIRA MINI MART FINAL MENU - Pr'!N362)</f>
        <v/>
      </c>
      <c r="O362" s="57"/>
      <c r="P362" s="57"/>
      <c r="Q362" s="57"/>
      <c r="R362" s="57"/>
      <c r="S362" s="57"/>
      <c r="T362" s="57"/>
      <c r="U362" s="57"/>
      <c r="V362" s="57"/>
      <c r="W362" s="57"/>
      <c r="X362" s="57"/>
      <c r="Y362" s="57"/>
      <c r="Z362" s="57"/>
    </row>
    <row r="363">
      <c r="A363" s="56" t="str">
        <f>IFERROR(__xludf.DUMMYFUNCTION("IF('AYIRA MINI MART FINAL MENU - Pr'!A363="""", """", IF(LEN(IFERROR(TRIM(REGEXREPLACE(TRIM(REGEXEXTRACT('AYIRA MINI MART FINAL MENU - Pr'!A363, ""^[^\x{0600}-\x{06FF}]+"")), ""[-–]+$"", """")), """"))&gt;0, IFERROR(TRIM(REGEXREPLACE(TRIM(REGEXEXTRACT('AYIRA"&amp;" MINI MART FINAL MENU - Pr'!A363, ""^[^\x{0600}-\x{06FF}]+"")), ""[-–]+$"", """")), """"), GOOGLETRANSLATE('AYIRA MINI MART FINAL MENU - Pr'!A363, ""ar"", ""en"")))"),"SNICKERS Chocolate Bar 40g")</f>
        <v>SNICKERS Chocolate Bar 40g</v>
      </c>
      <c r="B363" s="56" t="str">
        <f>IFERROR(__xludf.DUMMYFUNCTION("IF('AYIRA MINI MART FINAL MENU - Pr'!B363="""", """", IF(LEN(IFERROR(TRIM(REGEXREPLACE(TRIM(REGEXEXTRACT('AYIRA MINI MART FINAL MENU - Pr'!B363, ""^[^\x{0600}-\x{06FF}]+"")), ""[-–]+$"", """")), """"))&gt;0, IFERROR(TRIM(REGEXREPLACE(TRIM(REGEXEXTRACT('AYIRA"&amp;" MINI MART FINAL MENU - Pr'!B363, ""^[^\x{0600}-\x{06FF}]+"")), ""[-–]+$"", """")), """"), GOOGLETRANSLATE('AYIRA MINI MART FINAL MENU - Pr'!B363, ""ar"", ""en"")))"),"Chocolates")</f>
        <v>Chocolates</v>
      </c>
      <c r="C363" s="58">
        <f>IF('AYIRA MINI MART FINAL MENU - Pr'!C363="", "", 'AYIRA MINI MART FINAL MENU - Pr'!C363)</f>
        <v>3</v>
      </c>
      <c r="D363" s="56" t="str">
        <f>IFERROR(__xludf.DUMMYFUNCTION("IF('AYIRA MINI MART FINAL MENU - Pr'!D363="""", """", GOOGLETRANSLATE('AYIRA MINI MART FINAL MENU - Pr'!D363,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63" s="56" t="str">
        <f>IF('AYIRA MINI MART FINAL MENU - Pr'!K363="", "", 'AYIRA MINI MART FINAL MENU - Pr'!K363)</f>
        <v/>
      </c>
      <c r="F363" s="56"/>
      <c r="G363" s="56"/>
      <c r="H363" s="56"/>
      <c r="I363" s="56"/>
      <c r="J363" s="56"/>
      <c r="L363" s="56" t="str">
        <f>IF('AYIRA MINI MART FINAL MENU - Pr'!L363="", "", 'AYIRA MINI MART FINAL MENU - Pr'!L363)</f>
        <v/>
      </c>
      <c r="M363" s="56" t="str">
        <f>IF('AYIRA MINI MART FINAL MENU - Pr'!M363="", "", 'AYIRA MINI MART FINAL MENU - Pr'!M363)</f>
        <v/>
      </c>
      <c r="N363" s="56" t="str">
        <f>IF('AYIRA MINI MART FINAL MENU - Pr'!N363="", "", 'AYIRA MINI MART FINAL MENU - Pr'!N363)</f>
        <v/>
      </c>
      <c r="O363" s="57"/>
      <c r="P363" s="57"/>
      <c r="Q363" s="57"/>
      <c r="R363" s="57"/>
      <c r="S363" s="57"/>
      <c r="T363" s="57"/>
      <c r="U363" s="57"/>
      <c r="V363" s="57"/>
      <c r="W363" s="57"/>
      <c r="X363" s="57"/>
      <c r="Y363" s="57"/>
      <c r="Z363" s="57"/>
    </row>
    <row r="364">
      <c r="A364" s="56" t="str">
        <f>IFERROR(__xludf.DUMMYFUNCTION("IF('AYIRA MINI MART FINAL MENU - Pr'!A364="""", """", IF(LEN(IFERROR(TRIM(REGEXREPLACE(TRIM(REGEXEXTRACT('AYIRA MINI MART FINAL MENU - Pr'!A364, ""^[^\x{0600}-\x{06FF}]+"")), ""[-–]+$"", """")), """"))&gt;0, IFERROR(TRIM(REGEXREPLACE(TRIM(REGEXEXTRACT('AYIRA"&amp;" MINI MART FINAL MENU - Pr'!A364, ""^[^\x{0600}-\x{06FF}]+"")), ""[-–]+$"", """")), """"), GOOGLETRANSLATE('AYIRA MINI MART FINAL MENU - Pr'!A364, ""ar"", ""en"")))"),"Mixed Minis Chocolate Pack 400g × 2")</f>
        <v>Mixed Minis Chocolate Pack 400g × 2</v>
      </c>
      <c r="B364" s="56" t="str">
        <f>IFERROR(__xludf.DUMMYFUNCTION("IF('AYIRA MINI MART FINAL MENU - Pr'!B364="""", """", IF(LEN(IFERROR(TRIM(REGEXREPLACE(TRIM(REGEXEXTRACT('AYIRA MINI MART FINAL MENU - Pr'!B364, ""^[^\x{0600}-\x{06FF}]+"")), ""[-–]+$"", """")), """"))&gt;0, IFERROR(TRIM(REGEXREPLACE(TRIM(REGEXEXTRACT('AYIRA"&amp;" MINI MART FINAL MENU - Pr'!B364, ""^[^\x{0600}-\x{06FF}]+"")), ""[-–]+$"", """")), """"), GOOGLETRANSLATE('AYIRA MINI MART FINAL MENU - Pr'!B364, ""ar"", ""en"")))"),"Chocolates")</f>
        <v>Chocolates</v>
      </c>
      <c r="C364" s="58">
        <f>IF('AYIRA MINI MART FINAL MENU - Pr'!C364="", "", 'AYIRA MINI MART FINAL MENU - Pr'!C364)</f>
        <v>55</v>
      </c>
      <c r="D364" s="56" t="str">
        <f>IFERROR(__xludf.DUMMYFUNCTION("IF('AYIRA MINI MART FINAL MENU - Pr'!D364="""", """", GOOGLETRANSLATE('AYIRA MINI MART FINAL MENU - Pr'!D364, ""ar"", ""en""))"),"Indulge your senses with Mixed Minis Chocolate Pack 400g x 2, a luxurious chocolate that combines rich taste with a perfect texture. Made from the finest selected cocoa beans, it delivers an exceptional dessert experience every time. Whether you're lookin"&amp;"g for a special gift or want to treat yourself, this chocolate is the perfect choice. Savor every piece and immerse yourself in a world of smoothness and sweetness. Get yours from Aira Mini Mart and experience moments of pure delight.")</f>
        <v>Indulge your senses with Mixed Minis Chocolate Pack 400g x 2, a luxurious chocolate that combines rich taste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64" s="56" t="str">
        <f>IF('AYIRA MINI MART FINAL MENU - Pr'!K364="", "", 'AYIRA MINI MART FINAL MENU - Pr'!K364)</f>
        <v/>
      </c>
      <c r="F364" s="56"/>
      <c r="G364" s="56"/>
      <c r="H364" s="56"/>
      <c r="I364" s="56"/>
      <c r="J364" s="56"/>
      <c r="L364" s="56" t="str">
        <f>IF('AYIRA MINI MART FINAL MENU - Pr'!L364="", "", 'AYIRA MINI MART FINAL MENU - Pr'!L364)</f>
        <v/>
      </c>
      <c r="M364" s="56" t="str">
        <f>IF('AYIRA MINI MART FINAL MENU - Pr'!M364="", "", 'AYIRA MINI MART FINAL MENU - Pr'!M364)</f>
        <v/>
      </c>
      <c r="N364" s="56" t="str">
        <f>IF('AYIRA MINI MART FINAL MENU - Pr'!N364="", "", 'AYIRA MINI MART FINAL MENU - Pr'!N364)</f>
        <v/>
      </c>
      <c r="O364" s="57"/>
      <c r="P364" s="57"/>
      <c r="Q364" s="57"/>
      <c r="R364" s="57"/>
      <c r="S364" s="57"/>
      <c r="T364" s="57"/>
      <c r="U364" s="57"/>
      <c r="V364" s="57"/>
      <c r="W364" s="57"/>
      <c r="X364" s="57"/>
      <c r="Y364" s="57"/>
      <c r="Z364" s="57"/>
    </row>
    <row r="365">
      <c r="A365" s="56" t="str">
        <f>IFERROR(__xludf.DUMMYFUNCTION("IF('AYIRA MINI MART FINAL MENU - Pr'!A365="""", """", IF(LEN(IFERROR(TRIM(REGEXREPLACE(TRIM(REGEXEXTRACT('AYIRA MINI MART FINAL MENU - Pr'!A365, ""^[^\x{0600}-\x{06FF}]+"")), ""[-–]+$"", """")), """"))&gt;0, IFERROR(TRIM(REGEXREPLACE(TRIM(REGEXEXTRACT('AYIRA"&amp;" MINI MART FINAL MENU - Pr'!A365, ""^[^\x{0600}-\x{06FF}]+"")), ""[-–]+$"", """")), """"), GOOGLETRANSLATE('AYIRA MINI MART FINAL MENU - Pr'!A365, ""ar"", ""en"")))"),"SNICKERS Chocolate Bar 45g")</f>
        <v>SNICKERS Chocolate Bar 45g</v>
      </c>
      <c r="B365" s="56" t="str">
        <f>IFERROR(__xludf.DUMMYFUNCTION("IF('AYIRA MINI MART FINAL MENU - Pr'!B365="""", """", IF(LEN(IFERROR(TRIM(REGEXREPLACE(TRIM(REGEXEXTRACT('AYIRA MINI MART FINAL MENU - Pr'!B365, ""^[^\x{0600}-\x{06FF}]+"")), ""[-–]+$"", """")), """"))&gt;0, IFERROR(TRIM(REGEXREPLACE(TRIM(REGEXEXTRACT('AYIRA"&amp;" MINI MART FINAL MENU - Pr'!B365, ""^[^\x{0600}-\x{06FF}]+"")), ""[-–]+$"", """")), """"), GOOGLETRANSLATE('AYIRA MINI MART FINAL MENU - Pr'!B365, ""ar"", ""en"")))"),"Chocolates")</f>
        <v>Chocolates</v>
      </c>
      <c r="C365" s="58">
        <f>IF('AYIRA MINI MART FINAL MENU - Pr'!C365="", "", 'AYIRA MINI MART FINAL MENU - Pr'!C365)</f>
        <v>4</v>
      </c>
      <c r="D365" s="56" t="str">
        <f>IFERROR(__xludf.DUMMYFUNCTION("IF('AYIRA MINI MART FINAL MENU - Pr'!D365="""", """", GOOGLETRANSLATE('AYIRA MINI MART FINAL MENU - Pr'!D365,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65" s="56" t="str">
        <f>IF('AYIRA MINI MART FINAL MENU - Pr'!K365="", "", 'AYIRA MINI MART FINAL MENU - Pr'!K365)</f>
        <v/>
      </c>
      <c r="F365" s="56"/>
      <c r="G365" s="56"/>
      <c r="H365" s="56"/>
      <c r="I365" s="56"/>
      <c r="J365" s="56"/>
      <c r="L365" s="56" t="str">
        <f>IF('AYIRA MINI MART FINAL MENU - Pr'!L365="", "", 'AYIRA MINI MART FINAL MENU - Pr'!L365)</f>
        <v/>
      </c>
      <c r="M365" s="56" t="str">
        <f>IF('AYIRA MINI MART FINAL MENU - Pr'!M365="", "", 'AYIRA MINI MART FINAL MENU - Pr'!M365)</f>
        <v/>
      </c>
      <c r="N365" s="56" t="str">
        <f>IF('AYIRA MINI MART FINAL MENU - Pr'!N365="", "", 'AYIRA MINI MART FINAL MENU - Pr'!N365)</f>
        <v/>
      </c>
      <c r="O365" s="57"/>
      <c r="P365" s="57"/>
      <c r="Q365" s="57"/>
      <c r="R365" s="57"/>
      <c r="S365" s="57"/>
      <c r="T365" s="57"/>
      <c r="U365" s="57"/>
      <c r="V365" s="57"/>
      <c r="W365" s="57"/>
      <c r="X365" s="57"/>
      <c r="Y365" s="57"/>
      <c r="Z365" s="57"/>
    </row>
    <row r="366">
      <c r="A366" s="56" t="str">
        <f>IFERROR(__xludf.DUMMYFUNCTION("IF('AYIRA MINI MART FINAL MENU - Pr'!A366="""", """", IF(LEN(IFERROR(TRIM(REGEXREPLACE(TRIM(REGEXEXTRACT('AYIRA MINI MART FINAL MENU - Pr'!A366, ""^[^\x{0600}-\x{06FF}]+"")), ""[-–]+$"", """")), """"))&gt;0, IFERROR(TRIM(REGEXREPLACE(TRIM(REGEXEXTRACT('AYIRA"&amp;" MINI MART FINAL MENU - Pr'!A366, ""^[^\x{0600}-\x{06FF}]+"")), ""[-–]+$"", """")), """"), GOOGLETRANSLATE('AYIRA MINI MART FINAL MENU - Pr'!A366, ""ar"", ""en"")))"),"Snickers Xtreme Extra Nuts &amp; Caramel Chocolate Bar 42g")</f>
        <v>Snickers Xtreme Extra Nuts &amp; Caramel Chocolate Bar 42g</v>
      </c>
      <c r="B366" s="56" t="str">
        <f>IFERROR(__xludf.DUMMYFUNCTION("IF('AYIRA MINI MART FINAL MENU - Pr'!B366="""", """", IF(LEN(IFERROR(TRIM(REGEXREPLACE(TRIM(REGEXEXTRACT('AYIRA MINI MART FINAL MENU - Pr'!B366, ""^[^\x{0600}-\x{06FF}]+"")), ""[-–]+$"", """")), """"))&gt;0, IFERROR(TRIM(REGEXREPLACE(TRIM(REGEXEXTRACT('AYIRA"&amp;" MINI MART FINAL MENU - Pr'!B366, ""^[^\x{0600}-\x{06FF}]+"")), ""[-–]+$"", """")), """"), GOOGLETRANSLATE('AYIRA MINI MART FINAL MENU - Pr'!B366, ""ar"", ""en"")))"),"Chocolates")</f>
        <v>Chocolates</v>
      </c>
      <c r="C366" s="58">
        <f>IF('AYIRA MINI MART FINAL MENU - Pr'!C366="", "", 'AYIRA MINI MART FINAL MENU - Pr'!C366)</f>
        <v>3.5</v>
      </c>
      <c r="D366" s="56" t="str">
        <f>IFERROR(__xludf.DUMMYFUNCTION("IF('AYIRA MINI MART FINAL MENU - Pr'!D366="""", """", GOOGLETRANSLATE('AYIRA MINI MART FINAL MENU - Pr'!D366,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66" s="56" t="str">
        <f>IF('AYIRA MINI MART FINAL MENU - Pr'!K366="", "", 'AYIRA MINI MART FINAL MENU - Pr'!K366)</f>
        <v/>
      </c>
      <c r="F366" s="56"/>
      <c r="G366" s="56"/>
      <c r="H366" s="56"/>
      <c r="I366" s="56"/>
      <c r="J366" s="56"/>
      <c r="L366" s="56" t="str">
        <f>IF('AYIRA MINI MART FINAL MENU - Pr'!L366="", "", 'AYIRA MINI MART FINAL MENU - Pr'!L366)</f>
        <v/>
      </c>
      <c r="M366" s="56" t="str">
        <f>IF('AYIRA MINI MART FINAL MENU - Pr'!M366="", "", 'AYIRA MINI MART FINAL MENU - Pr'!M366)</f>
        <v/>
      </c>
      <c r="N366" s="56" t="str">
        <f>IF('AYIRA MINI MART FINAL MENU - Pr'!N366="", "", 'AYIRA MINI MART FINAL MENU - Pr'!N366)</f>
        <v/>
      </c>
      <c r="O366" s="57"/>
      <c r="P366" s="57"/>
      <c r="Q366" s="57"/>
      <c r="R366" s="57"/>
      <c r="S366" s="57"/>
      <c r="T366" s="57"/>
      <c r="U366" s="57"/>
      <c r="V366" s="57"/>
      <c r="W366" s="57"/>
      <c r="X366" s="57"/>
      <c r="Y366" s="57"/>
      <c r="Z366" s="57"/>
    </row>
    <row r="367">
      <c r="A367" s="56" t="str">
        <f>IFERROR(__xludf.DUMMYFUNCTION("IF('AYIRA MINI MART FINAL MENU - Pr'!A367="""", """", IF(LEN(IFERROR(TRIM(REGEXREPLACE(TRIM(REGEXEXTRACT('AYIRA MINI MART FINAL MENU - Pr'!A367, ""^[^\x{0600}-\x{06FF}]+"")), ""[-–]+$"", """")), """"))&gt;0, IFERROR(TRIM(REGEXREPLACE(TRIM(REGEXEXTRACT('AYIRA"&amp;" MINI MART FINAL MENU - Pr'!A367, ""^[^\x{0600}-\x{06FF}]+"")), ""[-–]+$"", """")), """"), GOOGLETRANSLATE('AYIRA MINI MART FINAL MENU - Pr'!A367, ""ar"", ""en"")))"),"SNICKERS Creamy Peanut Butter 36.5g")</f>
        <v>SNICKERS Creamy Peanut Butter 36.5g</v>
      </c>
      <c r="B367" s="56" t="str">
        <f>IFERROR(__xludf.DUMMYFUNCTION("IF('AYIRA MINI MART FINAL MENU - Pr'!B367="""", """", IF(LEN(IFERROR(TRIM(REGEXREPLACE(TRIM(REGEXEXTRACT('AYIRA MINI MART FINAL MENU - Pr'!B367, ""^[^\x{0600}-\x{06FF}]+"")), ""[-–]+$"", """")), """"))&gt;0, IFERROR(TRIM(REGEXREPLACE(TRIM(REGEXEXTRACT('AYIRA"&amp;" MINI MART FINAL MENU - Pr'!B367, ""^[^\x{0600}-\x{06FF}]+"")), ""[-–]+$"", """")), """"), GOOGLETRANSLATE('AYIRA MINI MART FINAL MENU - Pr'!B367, ""ar"", ""en"")))"),"Chocolates")</f>
        <v>Chocolates</v>
      </c>
      <c r="C367" s="58">
        <f>IF('AYIRA MINI MART FINAL MENU - Pr'!C367="", "", 'AYIRA MINI MART FINAL MENU - Pr'!C367)</f>
        <v>3.5</v>
      </c>
      <c r="D367" s="56" t="str">
        <f>IFERROR(__xludf.DUMMYFUNCTION("IF('AYIRA MINI MART FINAL MENU - Pr'!D367="""", """", GOOGLETRANSLATE('AYIRA MINI MART FINAL MENU - Pr'!D367,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67" s="56" t="str">
        <f>IF('AYIRA MINI MART FINAL MENU - Pr'!K367="", "", 'AYIRA MINI MART FINAL MENU - Pr'!K367)</f>
        <v/>
      </c>
      <c r="F367" s="56"/>
      <c r="G367" s="56"/>
      <c r="H367" s="56"/>
      <c r="I367" s="56"/>
      <c r="J367" s="56"/>
      <c r="L367" s="56" t="str">
        <f>IF('AYIRA MINI MART FINAL MENU - Pr'!L367="", "", 'AYIRA MINI MART FINAL MENU - Pr'!L367)</f>
        <v/>
      </c>
      <c r="M367" s="56" t="str">
        <f>IF('AYIRA MINI MART FINAL MENU - Pr'!M367="", "", 'AYIRA MINI MART FINAL MENU - Pr'!M367)</f>
        <v/>
      </c>
      <c r="N367" s="56" t="str">
        <f>IF('AYIRA MINI MART FINAL MENU - Pr'!N367="", "", 'AYIRA MINI MART FINAL MENU - Pr'!N367)</f>
        <v/>
      </c>
      <c r="O367" s="57"/>
      <c r="P367" s="57"/>
      <c r="Q367" s="57"/>
      <c r="R367" s="57"/>
      <c r="S367" s="57"/>
      <c r="T367" s="57"/>
      <c r="U367" s="57"/>
      <c r="V367" s="57"/>
      <c r="W367" s="57"/>
      <c r="X367" s="57"/>
      <c r="Y367" s="57"/>
      <c r="Z367" s="57"/>
    </row>
    <row r="368">
      <c r="A368" s="56" t="str">
        <f>IFERROR(__xludf.DUMMYFUNCTION("IF('AYIRA MINI MART FINAL MENU - Pr'!A368="""", """", IF(LEN(IFERROR(TRIM(REGEXREPLACE(TRIM(REGEXEXTRACT('AYIRA MINI MART FINAL MENU - Pr'!A368, ""^[^\x{0600}-\x{06FF}]+"")), ""[-–]+$"", """")), """"))&gt;0, IFERROR(TRIM(REGEXREPLACE(TRIM(REGEXEXTRACT('AYIRA"&amp;" MINI MART FINAL MENU - Pr'!A368, ""^[^\x{0600}-\x{06FF}]+"")), ""[-–]+$"", """")), """"), GOOGLETRANSLATE('AYIRA MINI MART FINAL MENU - Pr'!A368, ""ar"", ""en"")))"),"MARS Chocolate Bar 51g")</f>
        <v>MARS Chocolate Bar 51g</v>
      </c>
      <c r="B368" s="56" t="str">
        <f>IFERROR(__xludf.DUMMYFUNCTION("IF('AYIRA MINI MART FINAL MENU - Pr'!B368="""", """", IF(LEN(IFERROR(TRIM(REGEXREPLACE(TRIM(REGEXEXTRACT('AYIRA MINI MART FINAL MENU - Pr'!B368, ""^[^\x{0600}-\x{06FF}]+"")), ""[-–]+$"", """")), """"))&gt;0, IFERROR(TRIM(REGEXREPLACE(TRIM(REGEXEXTRACT('AYIRA"&amp;" MINI MART FINAL MENU - Pr'!B368, ""^[^\x{0600}-\x{06FF}]+"")), ""[-–]+$"", """")), """"), GOOGLETRANSLATE('AYIRA MINI MART FINAL MENU - Pr'!B368, ""ar"", ""en"")))"),"Chocolates")</f>
        <v>Chocolates</v>
      </c>
      <c r="C368" s="58">
        <f>IF('AYIRA MINI MART FINAL MENU - Pr'!C368="", "", 'AYIRA MINI MART FINAL MENU - Pr'!C368)</f>
        <v>4</v>
      </c>
      <c r="D368" s="56" t="str">
        <f>IFERROR(__xludf.DUMMYFUNCTION("IF('AYIRA MINI MART FINAL MENU - Pr'!D368="""", """", GOOGLETRANSLATE('AYIRA MINI MART FINAL MENU - Pr'!D368, ""ar"", ""en""))"),"Indulge your senses with Mars, the luxurious chocolate that blends rich flavor with perfect texture. Made from the finest selected cocoa beans, it delivers an exceptional dessert experience every time. Whether you're looking for a special gift or want to "&amp;"treat yourself, this chocolate is the perfect choice. Savor every piece and immerse yourself in a world of smoothness and sweetness. Get yours from Aira Mini Mart and experience moments of pure delight.")</f>
        <v>Indulge your senses with Mars, the luxurious chocolate that blends rich flavor with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68" s="56" t="str">
        <f>IF('AYIRA MINI MART FINAL MENU - Pr'!K368="", "", 'AYIRA MINI MART FINAL MENU - Pr'!K368)</f>
        <v/>
      </c>
      <c r="F368" s="56"/>
      <c r="G368" s="56"/>
      <c r="H368" s="56"/>
      <c r="I368" s="56"/>
      <c r="J368" s="56"/>
      <c r="L368" s="56" t="str">
        <f>IF('AYIRA MINI MART FINAL MENU - Pr'!L368="", "", 'AYIRA MINI MART FINAL MENU - Pr'!L368)</f>
        <v/>
      </c>
      <c r="M368" s="56" t="str">
        <f>IF('AYIRA MINI MART FINAL MENU - Pr'!M368="", "", 'AYIRA MINI MART FINAL MENU - Pr'!M368)</f>
        <v/>
      </c>
      <c r="N368" s="56" t="str">
        <f>IF('AYIRA MINI MART FINAL MENU - Pr'!N368="", "", 'AYIRA MINI MART FINAL MENU - Pr'!N368)</f>
        <v/>
      </c>
      <c r="O368" s="57"/>
      <c r="P368" s="57"/>
      <c r="Q368" s="57"/>
      <c r="R368" s="57"/>
      <c r="S368" s="57"/>
      <c r="T368" s="57"/>
      <c r="U368" s="57"/>
      <c r="V368" s="57"/>
      <c r="W368" s="57"/>
      <c r="X368" s="57"/>
      <c r="Y368" s="57"/>
      <c r="Z368" s="57"/>
    </row>
    <row r="369">
      <c r="A369" s="56" t="str">
        <f>IFERROR(__xludf.DUMMYFUNCTION("IF('AYIRA MINI MART FINAL MENU - Pr'!A369="""", """", IF(LEN(IFERROR(TRIM(REGEXREPLACE(TRIM(REGEXEXTRACT('AYIRA MINI MART FINAL MENU - Pr'!A369, ""^[^\x{0600}-\x{06FF}]+"")), ""[-–]+$"", """")), """"))&gt;0, IFERROR(TRIM(REGEXREPLACE(TRIM(REGEXEXTRACT('AYIRA"&amp;" MINI MART FINAL MENU - Pr'!A369, ""^[^\x{0600}-\x{06FF}]+"")), ""[-–]+$"", """")), """"), GOOGLETRANSLATE('AYIRA MINI MART FINAL MENU - Pr'!A369, ""ar"", ""en"")))"),"Nice Chips with Tomato Ketchup 167g – Nice")</f>
        <v>Nice Chips with Tomato Ketchup 167g – Nice</v>
      </c>
      <c r="B369" s="56" t="str">
        <f>IFERROR(__xludf.DUMMYFUNCTION("IF('AYIRA MINI MART FINAL MENU - Pr'!B369="""", """", IF(LEN(IFERROR(TRIM(REGEXREPLACE(TRIM(REGEXEXTRACT('AYIRA MINI MART FINAL MENU - Pr'!B369, ""^[^\x{0600}-\x{06FF}]+"")), ""[-–]+$"", """")), """"))&gt;0, IFERROR(TRIM(REGEXREPLACE(TRIM(REGEXEXTRACT('AYIRA"&amp;" MINI MART FINAL MENU - Pr'!B369, ""^[^\x{0600}-\x{06FF}]+"")), ""[-–]+$"", """")), """"), GOOGLETRANSLATE('AYIRA MINI MART FINAL MENU - Pr'!B369, ""ar"", ""en"")))"),"Chips &amp; Crisps")</f>
        <v>Chips &amp; Crisps</v>
      </c>
      <c r="C369" s="58">
        <f>IF('AYIRA MINI MART FINAL MENU - Pr'!C369="", "", 'AYIRA MINI MART FINAL MENU - Pr'!C369)</f>
        <v>7</v>
      </c>
      <c r="D369" s="56" t="str">
        <f>IFERROR(__xludf.DUMMYFUNCTION("IF('AYIRA MINI MART FINAL MENU - Pr'!D369="""", """", GOOGLETRANSLATE('AYIRA MINI MART FINAL MENU - Pr'!D369, ""ar"", ""en""))"),"Don't be able to resist the taste of Nice Chips with Tomato Ketchup 167g, your perfect companion for relaxing and watching the game. Their unique crunch and varied flavors make every handful a delightful experience. Prepared with the finest ingredients us"&amp;"ing the latest manufacturing techniques to ensure an unparalleled taste. Ideal as a snack for adults and children alike between meals. Aira Mini Mart offers them in the perfect size and flavor for you.")</f>
        <v>Don't be able to resist the taste of Nice Chips with Tomato Ketchup 167g,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369" s="56" t="str">
        <f>IF('AYIRA MINI MART FINAL MENU - Pr'!K369="", "", 'AYIRA MINI MART FINAL MENU - Pr'!K369)</f>
        <v/>
      </c>
      <c r="F369" s="56"/>
      <c r="G369" s="56"/>
      <c r="H369" s="56"/>
      <c r="I369" s="56"/>
      <c r="J369" s="56"/>
      <c r="L369" s="56" t="str">
        <f>IF('AYIRA MINI MART FINAL MENU - Pr'!L369="", "", 'AYIRA MINI MART FINAL MENU - Pr'!L369)</f>
        <v/>
      </c>
      <c r="M369" s="56" t="str">
        <f>IF('AYIRA MINI MART FINAL MENU - Pr'!M369="", "", 'AYIRA MINI MART FINAL MENU - Pr'!M369)</f>
        <v/>
      </c>
      <c r="N369" s="56" t="str">
        <f>IF('AYIRA MINI MART FINAL MENU - Pr'!N369="", "", 'AYIRA MINI MART FINAL MENU - Pr'!N369)</f>
        <v/>
      </c>
      <c r="O369" s="57"/>
      <c r="P369" s="57"/>
      <c r="Q369" s="57"/>
      <c r="R369" s="57"/>
      <c r="S369" s="57"/>
      <c r="T369" s="57"/>
      <c r="U369" s="57"/>
      <c r="V369" s="57"/>
      <c r="W369" s="57"/>
      <c r="X369" s="57"/>
      <c r="Y369" s="57"/>
      <c r="Z369" s="57"/>
    </row>
    <row r="370">
      <c r="A370" s="56" t="str">
        <f>IFERROR(__xludf.DUMMYFUNCTION("IF('AYIRA MINI MART FINAL MENU - Pr'!A370="""", """", IF(LEN(IFERROR(TRIM(REGEXREPLACE(TRIM(REGEXEXTRACT('AYIRA MINI MART FINAL MENU - Pr'!A370, ""^[^\x{0600}-\x{06FF}]+"")), ""[-–]+$"", """")), """"))&gt;0, IFERROR(TRIM(REGEXREPLACE(TRIM(REGEXEXTRACT('AYIRA"&amp;" MINI MART FINAL MENU - Pr'!A370, ""^[^\x{0600}-\x{06FF}]+"")), ""[-–]+$"", """")), """"), GOOGLETRANSLATE('AYIRA MINI MART FINAL MENU - Pr'!A370, ""ar"", ""en"")))"),"Nice Chips with Light Salt 167g – Nice")</f>
        <v>Nice Chips with Light Salt 167g – Nice</v>
      </c>
      <c r="B370" s="56" t="str">
        <f>IFERROR(__xludf.DUMMYFUNCTION("IF('AYIRA MINI MART FINAL MENU - Pr'!B370="""", """", IF(LEN(IFERROR(TRIM(REGEXREPLACE(TRIM(REGEXEXTRACT('AYIRA MINI MART FINAL MENU - Pr'!B370, ""^[^\x{0600}-\x{06FF}]+"")), ""[-–]+$"", """")), """"))&gt;0, IFERROR(TRIM(REGEXREPLACE(TRIM(REGEXEXTRACT('AYIRA"&amp;" MINI MART FINAL MENU - Pr'!B370, ""^[^\x{0600}-\x{06FF}]+"")), ""[-–]+$"", """")), """"), GOOGLETRANSLATE('AYIRA MINI MART FINAL MENU - Pr'!B370, ""ar"", ""en"")))"),"Chips &amp; Crisps")</f>
        <v>Chips &amp; Crisps</v>
      </c>
      <c r="C370" s="58">
        <f>IF('AYIRA MINI MART FINAL MENU - Pr'!C370="", "", 'AYIRA MINI MART FINAL MENU - Pr'!C370)</f>
        <v>7</v>
      </c>
      <c r="D370" s="56" t="str">
        <f>IFERROR(__xludf.DUMMYFUNCTION("IF('AYIRA MINI MART FINAL MENU - Pr'!D370="""", """", GOOGLETRANSLATE('AYIRA MINI MART FINAL MENU - Pr'!D370, ""ar"", ""en""))"),"Don't be able to resist the taste of Nice Chips with Light Salt 167g, your perfect companion for relaxing and watching the game. Their unique crunch and varied flavors make every handful a delightful experience. Prepared with the finest ingredients using "&amp;"the latest manufacturing techniques to ensure an unparalleled taste. Ideal as a snack for adults and children alike between meals. Aira Mini Mart offers them in the perfect size and flavor for you.")</f>
        <v>Don't be able to resist the taste of Nice Chips with Light Salt 167g,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370" s="56" t="str">
        <f>IF('AYIRA MINI MART FINAL MENU - Pr'!K370="", "", 'AYIRA MINI MART FINAL MENU - Pr'!K370)</f>
        <v/>
      </c>
      <c r="F370" s="56"/>
      <c r="G370" s="56"/>
      <c r="H370" s="56"/>
      <c r="I370" s="56"/>
      <c r="J370" s="56"/>
      <c r="L370" s="56" t="str">
        <f>IF('AYIRA MINI MART FINAL MENU - Pr'!L370="", "", 'AYIRA MINI MART FINAL MENU - Pr'!L370)</f>
        <v/>
      </c>
      <c r="M370" s="56" t="str">
        <f>IF('AYIRA MINI MART FINAL MENU - Pr'!M370="", "", 'AYIRA MINI MART FINAL MENU - Pr'!M370)</f>
        <v/>
      </c>
      <c r="N370" s="56" t="str">
        <f>IF('AYIRA MINI MART FINAL MENU - Pr'!N370="", "", 'AYIRA MINI MART FINAL MENU - Pr'!N370)</f>
        <v/>
      </c>
      <c r="O370" s="57"/>
      <c r="P370" s="57"/>
      <c r="Q370" s="57"/>
      <c r="R370" s="57"/>
      <c r="S370" s="57"/>
      <c r="T370" s="57"/>
      <c r="U370" s="57"/>
      <c r="V370" s="57"/>
      <c r="W370" s="57"/>
      <c r="X370" s="57"/>
      <c r="Y370" s="57"/>
      <c r="Z370" s="57"/>
    </row>
    <row r="371">
      <c r="A371" s="56" t="str">
        <f>IFERROR(__xludf.DUMMYFUNCTION("IF('AYIRA MINI MART FINAL MENU - Pr'!A371="""", """", IF(LEN(IFERROR(TRIM(REGEXREPLACE(TRIM(REGEXEXTRACT('AYIRA MINI MART FINAL MENU - Pr'!A371, ""^[^\x{0600}-\x{06FF}]+"")), ""[-–]+$"", """")), """"))&gt;0, IFERROR(TRIM(REGEXREPLACE(TRIM(REGEXEXTRACT('AYIRA"&amp;" MINI MART FINAL MENU - Pr'!A371, ""^[^\x{0600}-\x{06FF}]+"")), ""[-–]+$"", """")), """"), GOOGLETRANSLATE('AYIRA MINI MART FINAL MENU - Pr'!A371, ""ar"", ""en"")))"),"KITCO Nice Chips Chilly 16g × 20")</f>
        <v>KITCO Nice Chips Chilly 16g × 20</v>
      </c>
      <c r="B371" s="56" t="str">
        <f>IFERROR(__xludf.DUMMYFUNCTION("IF('AYIRA MINI MART FINAL MENU - Pr'!B371="""", """", IF(LEN(IFERROR(TRIM(REGEXREPLACE(TRIM(REGEXEXTRACT('AYIRA MINI MART FINAL MENU - Pr'!B371, ""^[^\x{0600}-\x{06FF}]+"")), ""[-–]+$"", """")), """"))&gt;0, IFERROR(TRIM(REGEXREPLACE(TRIM(REGEXEXTRACT('AYIRA"&amp;" MINI MART FINAL MENU - Pr'!B371, ""^[^\x{0600}-\x{06FF}]+"")), ""[-–]+$"", """")), """"), GOOGLETRANSLATE('AYIRA MINI MART FINAL MENU - Pr'!B371, ""ar"", ""en"")))"),"Chips &amp; Crisps")</f>
        <v>Chips &amp; Crisps</v>
      </c>
      <c r="C371" s="58">
        <f>IF('AYIRA MINI MART FINAL MENU - Pr'!C371="", "", 'AYIRA MINI MART FINAL MENU - Pr'!C371)</f>
        <v>18</v>
      </c>
      <c r="D371" s="56" t="str">
        <f>IFERROR(__xludf.DUMMYFUNCTION("IF('AYIRA MINI MART FINAL MENU - Pr'!D371="""", """", GOOGLETRANSLATE('AYIRA MINI MART FINAL MENU - Pr'!D371,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71" s="56" t="str">
        <f>IF('AYIRA MINI MART FINAL MENU - Pr'!K371="", "", 'AYIRA MINI MART FINAL MENU - Pr'!K371)</f>
        <v/>
      </c>
      <c r="F371" s="56"/>
      <c r="G371" s="56"/>
      <c r="H371" s="56"/>
      <c r="I371" s="56"/>
      <c r="J371" s="56"/>
      <c r="L371" s="56" t="str">
        <f>IF('AYIRA MINI MART FINAL MENU - Pr'!L371="", "", 'AYIRA MINI MART FINAL MENU - Pr'!L371)</f>
        <v/>
      </c>
      <c r="M371" s="56" t="str">
        <f>IF('AYIRA MINI MART FINAL MENU - Pr'!M371="", "", 'AYIRA MINI MART FINAL MENU - Pr'!M371)</f>
        <v/>
      </c>
      <c r="N371" s="56" t="str">
        <f>IF('AYIRA MINI MART FINAL MENU - Pr'!N371="", "", 'AYIRA MINI MART FINAL MENU - Pr'!N371)</f>
        <v/>
      </c>
      <c r="O371" s="57"/>
      <c r="P371" s="57"/>
      <c r="Q371" s="57"/>
      <c r="R371" s="57"/>
      <c r="S371" s="57"/>
      <c r="T371" s="57"/>
      <c r="U371" s="57"/>
      <c r="V371" s="57"/>
      <c r="W371" s="57"/>
      <c r="X371" s="57"/>
      <c r="Y371" s="57"/>
      <c r="Z371" s="57"/>
    </row>
    <row r="372">
      <c r="A372" s="56" t="str">
        <f>IFERROR(__xludf.DUMMYFUNCTION("IF('AYIRA MINI MART FINAL MENU - Pr'!A372="""", """", IF(LEN(IFERROR(TRIM(REGEXREPLACE(TRIM(REGEXEXTRACT('AYIRA MINI MART FINAL MENU - Pr'!A372, ""^[^\x{0600}-\x{06FF}]+"")), ""[-–]+$"", """")), """"))&gt;0, IFERROR(TRIM(REGEXREPLACE(TRIM(REGEXEXTRACT('AYIRA"&amp;" MINI MART FINAL MENU - Pr'!A372, ""^[^\x{0600}-\x{06FF}]+"")), ""[-–]+$"", """")), """"), GOOGLETRANSLATE('AYIRA MINI MART FINAL MENU - Pr'!A372, ""ar"", ""en"")))"),"KITCO Nice Chips Paprika 80g")</f>
        <v>KITCO Nice Chips Paprika 80g</v>
      </c>
      <c r="B372" s="56" t="str">
        <f>IFERROR(__xludf.DUMMYFUNCTION("IF('AYIRA MINI MART FINAL MENU - Pr'!B372="""", """", IF(LEN(IFERROR(TRIM(REGEXREPLACE(TRIM(REGEXEXTRACT('AYIRA MINI MART FINAL MENU - Pr'!B372, ""^[^\x{0600}-\x{06FF}]+"")), ""[-–]+$"", """")), """"))&gt;0, IFERROR(TRIM(REGEXREPLACE(TRIM(REGEXEXTRACT('AYIRA"&amp;" MINI MART FINAL MENU - Pr'!B372, ""^[^\x{0600}-\x{06FF}]+"")), ""[-–]+$"", """")), """"), GOOGLETRANSLATE('AYIRA MINI MART FINAL MENU - Pr'!B372, ""ar"", ""en"")))"),"Chips &amp; Crisps")</f>
        <v>Chips &amp; Crisps</v>
      </c>
      <c r="C372" s="58">
        <f>IF('AYIRA MINI MART FINAL MENU - Pr'!C372="", "", 'AYIRA MINI MART FINAL MENU - Pr'!C372)</f>
        <v>4</v>
      </c>
      <c r="D372" s="56" t="str">
        <f>IFERROR(__xludf.DUMMYFUNCTION("IF('AYIRA MINI MART FINAL MENU - Pr'!D372="""", """", GOOGLETRANSLATE('AYIRA MINI MART FINAL MENU - Pr'!D372,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72" s="56" t="str">
        <f>IF('AYIRA MINI MART FINAL MENU - Pr'!K372="", "", 'AYIRA MINI MART FINAL MENU - Pr'!K372)</f>
        <v/>
      </c>
      <c r="F372" s="56"/>
      <c r="G372" s="56"/>
      <c r="H372" s="56"/>
      <c r="I372" s="56"/>
      <c r="J372" s="56"/>
      <c r="L372" s="56" t="str">
        <f>IF('AYIRA MINI MART FINAL MENU - Pr'!L372="", "", 'AYIRA MINI MART FINAL MENU - Pr'!L372)</f>
        <v/>
      </c>
      <c r="M372" s="56" t="str">
        <f>IF('AYIRA MINI MART FINAL MENU - Pr'!M372="", "", 'AYIRA MINI MART FINAL MENU - Pr'!M372)</f>
        <v/>
      </c>
      <c r="N372" s="56" t="str">
        <f>IF('AYIRA MINI MART FINAL MENU - Pr'!N372="", "", 'AYIRA MINI MART FINAL MENU - Pr'!N372)</f>
        <v/>
      </c>
      <c r="O372" s="57"/>
      <c r="P372" s="57"/>
      <c r="Q372" s="57"/>
      <c r="R372" s="57"/>
      <c r="S372" s="57"/>
      <c r="T372" s="57"/>
      <c r="U372" s="57"/>
      <c r="V372" s="57"/>
      <c r="W372" s="57"/>
      <c r="X372" s="57"/>
      <c r="Y372" s="57"/>
      <c r="Z372" s="57"/>
    </row>
    <row r="373">
      <c r="A373" s="56" t="str">
        <f>IFERROR(__xludf.DUMMYFUNCTION("IF('AYIRA MINI MART FINAL MENU - Pr'!A373="""", """", IF(LEN(IFERROR(TRIM(REGEXREPLACE(TRIM(REGEXEXTRACT('AYIRA MINI MART FINAL MENU - Pr'!A373, ""^[^\x{0600}-\x{06FF}]+"")), ""[-–]+$"", """")), """"))&gt;0, IFERROR(TRIM(REGEXREPLACE(TRIM(REGEXEXTRACT('AYIRA"&amp;" MINI MART FINAL MENU - Pr'!A373, ""^[^\x{0600}-\x{06FF}]+"")), ""[-–]+$"", """")), """"), GOOGLETRANSLATE('AYIRA MINI MART FINAL MENU - Pr'!A373, ""ar"", ""en"")))"),"KITCO Nice Hot &amp; Spicy Chips 80g")</f>
        <v>KITCO Nice Hot &amp; Spicy Chips 80g</v>
      </c>
      <c r="B373" s="56" t="str">
        <f>IFERROR(__xludf.DUMMYFUNCTION("IF('AYIRA MINI MART FINAL MENU - Pr'!B373="""", """", IF(LEN(IFERROR(TRIM(REGEXREPLACE(TRIM(REGEXEXTRACT('AYIRA MINI MART FINAL MENU - Pr'!B373, ""^[^\x{0600}-\x{06FF}]+"")), ""[-–]+$"", """")), """"))&gt;0, IFERROR(TRIM(REGEXREPLACE(TRIM(REGEXEXTRACT('AYIRA"&amp;" MINI MART FINAL MENU - Pr'!B373, ""^[^\x{0600}-\x{06FF}]+"")), ""[-–]+$"", """")), """"), GOOGLETRANSLATE('AYIRA MINI MART FINAL MENU - Pr'!B373, ""ar"", ""en"")))"),"Chips &amp; Crisps")</f>
        <v>Chips &amp; Crisps</v>
      </c>
      <c r="C373" s="58">
        <f>IF('AYIRA MINI MART FINAL MENU - Pr'!C373="", "", 'AYIRA MINI MART FINAL MENU - Pr'!C373)</f>
        <v>4</v>
      </c>
      <c r="D373" s="56" t="str">
        <f>IFERROR(__xludf.DUMMYFUNCTION("IF('AYIRA MINI MART FINAL MENU - Pr'!D373="""", """", GOOGLETRANSLATE('AYIRA MINI MART FINAL MENU - Pr'!D373,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73" s="56" t="str">
        <f>IF('AYIRA MINI MART FINAL MENU - Pr'!K373="", "", 'AYIRA MINI MART FINAL MENU - Pr'!K373)</f>
        <v/>
      </c>
      <c r="F373" s="56"/>
      <c r="G373" s="56"/>
      <c r="H373" s="56"/>
      <c r="I373" s="56"/>
      <c r="J373" s="56"/>
      <c r="L373" s="56" t="str">
        <f>IF('AYIRA MINI MART FINAL MENU - Pr'!L373="", "", 'AYIRA MINI MART FINAL MENU - Pr'!L373)</f>
        <v/>
      </c>
      <c r="M373" s="56" t="str">
        <f>IF('AYIRA MINI MART FINAL MENU - Pr'!M373="", "", 'AYIRA MINI MART FINAL MENU - Pr'!M373)</f>
        <v/>
      </c>
      <c r="N373" s="56" t="str">
        <f>IF('AYIRA MINI MART FINAL MENU - Pr'!N373="", "", 'AYIRA MINI MART FINAL MENU - Pr'!N373)</f>
        <v/>
      </c>
      <c r="O373" s="57"/>
      <c r="P373" s="57"/>
      <c r="Q373" s="57"/>
      <c r="R373" s="57"/>
      <c r="S373" s="57"/>
      <c r="T373" s="57"/>
      <c r="U373" s="57"/>
      <c r="V373" s="57"/>
      <c r="W373" s="57"/>
      <c r="X373" s="57"/>
      <c r="Y373" s="57"/>
      <c r="Z373" s="57"/>
    </row>
    <row r="374">
      <c r="A374" s="56" t="str">
        <f>IFERROR(__xludf.DUMMYFUNCTION("IF('AYIRA MINI MART FINAL MENU - Pr'!A374="""", """", IF(LEN(IFERROR(TRIM(REGEXREPLACE(TRIM(REGEXEXTRACT('AYIRA MINI MART FINAL MENU - Pr'!A374, ""^[^\x{0600}-\x{06FF}]+"")), ""[-–]+$"", """")), """"))&gt;0, IFERROR(TRIM(REGEXREPLACE(TRIM(REGEXEXTRACT('AYIRA"&amp;" MINI MART FINAL MENU - Pr'!A374, ""^[^\x{0600}-\x{06FF}]+"")), ""[-–]+$"", """")), """"), GOOGLETRANSLATE('AYIRA MINI MART FINAL MENU - Pr'!A374, ""ar"", ""en"")))"),"KITCO Nice French Cheese Chips 80g")</f>
        <v>KITCO Nice French Cheese Chips 80g</v>
      </c>
      <c r="B374" s="56" t="str">
        <f>IFERROR(__xludf.DUMMYFUNCTION("IF('AYIRA MINI MART FINAL MENU - Pr'!B374="""", """", IF(LEN(IFERROR(TRIM(REGEXREPLACE(TRIM(REGEXEXTRACT('AYIRA MINI MART FINAL MENU - Pr'!B374, ""^[^\x{0600}-\x{06FF}]+"")), ""[-–]+$"", """")), """"))&gt;0, IFERROR(TRIM(REGEXREPLACE(TRIM(REGEXEXTRACT('AYIRA"&amp;" MINI MART FINAL MENU - Pr'!B374, ""^[^\x{0600}-\x{06FF}]+"")), ""[-–]+$"", """")), """"), GOOGLETRANSLATE('AYIRA MINI MART FINAL MENU - Pr'!B374, ""ar"", ""en"")))"),"Chips &amp; Crisps")</f>
        <v>Chips &amp; Crisps</v>
      </c>
      <c r="C374" s="58">
        <f>IF('AYIRA MINI MART FINAL MENU - Pr'!C374="", "", 'AYIRA MINI MART FINAL MENU - Pr'!C374)</f>
        <v>4</v>
      </c>
      <c r="D374" s="56" t="str">
        <f>IFERROR(__xludf.DUMMYFUNCTION("IF('AYIRA MINI MART FINAL MENU - Pr'!D374="""", """", GOOGLETRANSLATE('AYIRA MINI MART FINAL MENU - Pr'!D374,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74" s="56" t="str">
        <f>IF('AYIRA MINI MART FINAL MENU - Pr'!K374="", "", 'AYIRA MINI MART FINAL MENU - Pr'!K374)</f>
        <v/>
      </c>
      <c r="F374" s="56"/>
      <c r="G374" s="56"/>
      <c r="H374" s="56"/>
      <c r="I374" s="56"/>
      <c r="J374" s="56"/>
      <c r="L374" s="56" t="str">
        <f>IF('AYIRA MINI MART FINAL MENU - Pr'!L374="", "", 'AYIRA MINI MART FINAL MENU - Pr'!L374)</f>
        <v/>
      </c>
      <c r="M374" s="56" t="str">
        <f>IF('AYIRA MINI MART FINAL MENU - Pr'!M374="", "", 'AYIRA MINI MART FINAL MENU - Pr'!M374)</f>
        <v/>
      </c>
      <c r="N374" s="56" t="str">
        <f>IF('AYIRA MINI MART FINAL MENU - Pr'!N374="", "", 'AYIRA MINI MART FINAL MENU - Pr'!N374)</f>
        <v/>
      </c>
      <c r="O374" s="57"/>
      <c r="P374" s="57"/>
      <c r="Q374" s="57"/>
      <c r="R374" s="57"/>
      <c r="S374" s="57"/>
      <c r="T374" s="57"/>
      <c r="U374" s="57"/>
      <c r="V374" s="57"/>
      <c r="W374" s="57"/>
      <c r="X374" s="57"/>
      <c r="Y374" s="57"/>
      <c r="Z374" s="57"/>
    </row>
    <row r="375">
      <c r="A375" s="56" t="str">
        <f>IFERROR(__xludf.DUMMYFUNCTION("IF('AYIRA MINI MART FINAL MENU - Pr'!A375="""", """", IF(LEN(IFERROR(TRIM(REGEXREPLACE(TRIM(REGEXEXTRACT('AYIRA MINI MART FINAL MENU - Pr'!A375, ""^[^\x{0600}-\x{06FF}]+"")), ""[-–]+$"", """")), """"))&gt;0, IFERROR(TRIM(REGEXREPLACE(TRIM(REGEXEXTRACT('AYIRA"&amp;" MINI MART FINAL MENU - Pr'!A375, ""^[^\x{0600}-\x{06FF}]+"")), ""[-–]+$"", """")), """"), GOOGLETRANSLATE('AYIRA MINI MART FINAL MENU - Pr'!A375, ""ar"", ""en"")))"),"KITCO Nice Chips French Cheese Pack 20 × 16g")</f>
        <v>KITCO Nice Chips French Cheese Pack 20 × 16g</v>
      </c>
      <c r="B375" s="56" t="str">
        <f>IFERROR(__xludf.DUMMYFUNCTION("IF('AYIRA MINI MART FINAL MENU - Pr'!B375="""", """", IF(LEN(IFERROR(TRIM(REGEXREPLACE(TRIM(REGEXEXTRACT('AYIRA MINI MART FINAL MENU - Pr'!B375, ""^[^\x{0600}-\x{06FF}]+"")), ""[-–]+$"", """")), """"))&gt;0, IFERROR(TRIM(REGEXREPLACE(TRIM(REGEXEXTRACT('AYIRA"&amp;" MINI MART FINAL MENU - Pr'!B375, ""^[^\x{0600}-\x{06FF}]+"")), ""[-–]+$"", """")), """"), GOOGLETRANSLATE('AYIRA MINI MART FINAL MENU - Pr'!B375, ""ar"", ""en"")))"),"Chips &amp; Crisps")</f>
        <v>Chips &amp; Crisps</v>
      </c>
      <c r="C375" s="58">
        <f>IF('AYIRA MINI MART FINAL MENU - Pr'!C375="", "", 'AYIRA MINI MART FINAL MENU - Pr'!C375)</f>
        <v>18</v>
      </c>
      <c r="D375" s="56" t="str">
        <f>IFERROR(__xludf.DUMMYFUNCTION("IF('AYIRA MINI MART FINAL MENU - Pr'!D375="""", """", GOOGLETRANSLATE('AYIRA MINI MART FINAL MENU - Pr'!D375,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75" s="56" t="str">
        <f>IF('AYIRA MINI MART FINAL MENU - Pr'!K375="", "", 'AYIRA MINI MART FINAL MENU - Pr'!K375)</f>
        <v/>
      </c>
      <c r="F375" s="56"/>
      <c r="G375" s="56"/>
      <c r="H375" s="56"/>
      <c r="I375" s="56"/>
      <c r="J375" s="56"/>
      <c r="L375" s="56" t="str">
        <f>IF('AYIRA MINI MART FINAL MENU - Pr'!L375="", "", 'AYIRA MINI MART FINAL MENU - Pr'!L375)</f>
        <v/>
      </c>
      <c r="M375" s="56" t="str">
        <f>IF('AYIRA MINI MART FINAL MENU - Pr'!M375="", "", 'AYIRA MINI MART FINAL MENU - Pr'!M375)</f>
        <v/>
      </c>
      <c r="N375" s="56" t="str">
        <f>IF('AYIRA MINI MART FINAL MENU - Pr'!N375="", "", 'AYIRA MINI MART FINAL MENU - Pr'!N375)</f>
        <v/>
      </c>
      <c r="O375" s="57"/>
      <c r="P375" s="57"/>
      <c r="Q375" s="57"/>
      <c r="R375" s="57"/>
      <c r="S375" s="57"/>
      <c r="T375" s="57"/>
      <c r="U375" s="57"/>
      <c r="V375" s="57"/>
      <c r="W375" s="57"/>
      <c r="X375" s="57"/>
      <c r="Y375" s="57"/>
      <c r="Z375" s="57"/>
    </row>
    <row r="376">
      <c r="A376" s="56" t="str">
        <f>IFERROR(__xludf.DUMMYFUNCTION("IF('AYIRA MINI MART FINAL MENU - Pr'!A376="""", """", IF(LEN(IFERROR(TRIM(REGEXREPLACE(TRIM(REGEXEXTRACT('AYIRA MINI MART FINAL MENU - Pr'!A376, ""^[^\x{0600}-\x{06FF}]+"")), ""[-–]+$"", """")), """"))&gt;0, IFERROR(TRIM(REGEXREPLACE(TRIM(REGEXEXTRACT('AYIRA"&amp;" MINI MART FINAL MENU - Pr'!A376, ""^[^\x{0600}-\x{06FF}]+"")), ""[-–]+$"", """")), """"), GOOGLETRANSLATE('AYIRA MINI MART FINAL MENU - Pr'!A376, ""ar"", ""en"")))"),"KITCO Nice Chips Chicken Flavor Pack 20 × 16g")</f>
        <v>KITCO Nice Chips Chicken Flavor Pack 20 × 16g</v>
      </c>
      <c r="B376" s="56" t="str">
        <f>IFERROR(__xludf.DUMMYFUNCTION("IF('AYIRA MINI MART FINAL MENU - Pr'!B376="""", """", IF(LEN(IFERROR(TRIM(REGEXREPLACE(TRIM(REGEXEXTRACT('AYIRA MINI MART FINAL MENU - Pr'!B376, ""^[^\x{0600}-\x{06FF}]+"")), ""[-–]+$"", """")), """"))&gt;0, IFERROR(TRIM(REGEXREPLACE(TRIM(REGEXEXTRACT('AYIRA"&amp;" MINI MART FINAL MENU - Pr'!B376, ""^[^\x{0600}-\x{06FF}]+"")), ""[-–]+$"", """")), """"), GOOGLETRANSLATE('AYIRA MINI MART FINAL MENU - Pr'!B376, ""ar"", ""en"")))"),"Chips &amp; Crisps")</f>
        <v>Chips &amp; Crisps</v>
      </c>
      <c r="C376" s="58">
        <f>IF('AYIRA MINI MART FINAL MENU - Pr'!C376="", "", 'AYIRA MINI MART FINAL MENU - Pr'!C376)</f>
        <v>18</v>
      </c>
      <c r="D376" s="56" t="str">
        <f>IFERROR(__xludf.DUMMYFUNCTION("IF('AYIRA MINI MART FINAL MENU - Pr'!D376="""", """", GOOGLETRANSLATE('AYIRA MINI MART FINAL MENU - Pr'!D376,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76" s="56" t="str">
        <f>IF('AYIRA MINI MART FINAL MENU - Pr'!K376="", "", 'AYIRA MINI MART FINAL MENU - Pr'!K376)</f>
        <v/>
      </c>
      <c r="F376" s="56"/>
      <c r="G376" s="56"/>
      <c r="H376" s="56"/>
      <c r="I376" s="56"/>
      <c r="J376" s="56"/>
      <c r="L376" s="56" t="str">
        <f>IF('AYIRA MINI MART FINAL MENU - Pr'!L376="", "", 'AYIRA MINI MART FINAL MENU - Pr'!L376)</f>
        <v/>
      </c>
      <c r="M376" s="56" t="str">
        <f>IF('AYIRA MINI MART FINAL MENU - Pr'!M376="", "", 'AYIRA MINI MART FINAL MENU - Pr'!M376)</f>
        <v/>
      </c>
      <c r="N376" s="56" t="str">
        <f>IF('AYIRA MINI MART FINAL MENU - Pr'!N376="", "", 'AYIRA MINI MART FINAL MENU - Pr'!N376)</f>
        <v/>
      </c>
      <c r="O376" s="57"/>
      <c r="P376" s="57"/>
      <c r="Q376" s="57"/>
      <c r="R376" s="57"/>
      <c r="S376" s="57"/>
      <c r="T376" s="57"/>
      <c r="U376" s="57"/>
      <c r="V376" s="57"/>
      <c r="W376" s="57"/>
      <c r="X376" s="57"/>
      <c r="Y376" s="57"/>
      <c r="Z376" s="57"/>
    </row>
    <row r="377">
      <c r="A377" s="56" t="str">
        <f>IFERROR(__xludf.DUMMYFUNCTION("IF('AYIRA MINI MART FINAL MENU - Pr'!A377="""", """", IF(LEN(IFERROR(TRIM(REGEXREPLACE(TRIM(REGEXEXTRACT('AYIRA MINI MART FINAL MENU - Pr'!A377, ""^[^\x{0600}-\x{06FF}]+"")), ""[-–]+$"", """")), """"))&gt;0, IFERROR(TRIM(REGEXREPLACE(TRIM(REGEXEXTRACT('AYIRA"&amp;" MINI MART FINAL MENU - Pr'!A377, ""^[^\x{0600}-\x{06FF}]+"")), ""[-–]+$"", """")), """"), GOOGLETRANSLATE('AYIRA MINI MART FINAL MENU - Pr'!A377, ""ar"", ""en"")))"),"KITCO Nice Chips Salt &amp; Vinegar Pack 20 × 16g")</f>
        <v>KITCO Nice Chips Salt &amp; Vinegar Pack 20 × 16g</v>
      </c>
      <c r="B377" s="56" t="str">
        <f>IFERROR(__xludf.DUMMYFUNCTION("IF('AYIRA MINI MART FINAL MENU - Pr'!B377="""", """", IF(LEN(IFERROR(TRIM(REGEXREPLACE(TRIM(REGEXEXTRACT('AYIRA MINI MART FINAL MENU - Pr'!B377, ""^[^\x{0600}-\x{06FF}]+"")), ""[-–]+$"", """")), """"))&gt;0, IFERROR(TRIM(REGEXREPLACE(TRIM(REGEXEXTRACT('AYIRA"&amp;" MINI MART FINAL MENU - Pr'!B377, ""^[^\x{0600}-\x{06FF}]+"")), ""[-–]+$"", """")), """"), GOOGLETRANSLATE('AYIRA MINI MART FINAL MENU - Pr'!B377, ""ar"", ""en"")))"),"Chips &amp; Crisps")</f>
        <v>Chips &amp; Crisps</v>
      </c>
      <c r="C377" s="58">
        <f>IF('AYIRA MINI MART FINAL MENU - Pr'!C377="", "", 'AYIRA MINI MART FINAL MENU - Pr'!C377)</f>
        <v>18</v>
      </c>
      <c r="D377" s="56" t="str">
        <f>IFERROR(__xludf.DUMMYFUNCTION("IF('AYIRA MINI MART FINAL MENU - Pr'!D377="""", """", GOOGLETRANSLATE('AYIRA MINI MART FINAL MENU - Pr'!D377,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77" s="56" t="str">
        <f>IF('AYIRA MINI MART FINAL MENU - Pr'!K377="", "", 'AYIRA MINI MART FINAL MENU - Pr'!K377)</f>
        <v/>
      </c>
      <c r="F377" s="56"/>
      <c r="G377" s="56"/>
      <c r="H377" s="56"/>
      <c r="I377" s="56"/>
      <c r="J377" s="56"/>
      <c r="L377" s="56" t="str">
        <f>IF('AYIRA MINI MART FINAL MENU - Pr'!L377="", "", 'AYIRA MINI MART FINAL MENU - Pr'!L377)</f>
        <v/>
      </c>
      <c r="M377" s="56" t="str">
        <f>IF('AYIRA MINI MART FINAL MENU - Pr'!M377="", "", 'AYIRA MINI MART FINAL MENU - Pr'!M377)</f>
        <v/>
      </c>
      <c r="N377" s="56" t="str">
        <f>IF('AYIRA MINI MART FINAL MENU - Pr'!N377="", "", 'AYIRA MINI MART FINAL MENU - Pr'!N377)</f>
        <v/>
      </c>
      <c r="O377" s="57"/>
      <c r="P377" s="57"/>
      <c r="Q377" s="57"/>
      <c r="R377" s="57"/>
      <c r="S377" s="57"/>
      <c r="T377" s="57"/>
      <c r="U377" s="57"/>
      <c r="V377" s="57"/>
      <c r="W377" s="57"/>
      <c r="X377" s="57"/>
      <c r="Y377" s="57"/>
      <c r="Z377" s="57"/>
    </row>
    <row r="378">
      <c r="A378" s="56" t="str">
        <f>IFERROR(__xludf.DUMMYFUNCTION("IF('AYIRA MINI MART FINAL MENU - Pr'!A378="""", """", IF(LEN(IFERROR(TRIM(REGEXREPLACE(TRIM(REGEXEXTRACT('AYIRA MINI MART FINAL MENU - Pr'!A378, ""^[^\x{0600}-\x{06FF}]+"")), ""[-–]+$"", """")), """"))&gt;0, IFERROR(TRIM(REGEXREPLACE(TRIM(REGEXEXTRACT('AYIRA"&amp;" MINI MART FINAL MENU - Pr'!A378, ""^[^\x{0600}-\x{06FF}]+"")), ""[-–]+$"", """")), """"), GOOGLETRANSLATE('AYIRA MINI MART FINAL MENU - Pr'!A378, ""ar"", ""en"")))"),"KITCO Nice Chips Tomato Ketchup Pack 20 × 16g")</f>
        <v>KITCO Nice Chips Tomato Ketchup Pack 20 × 16g</v>
      </c>
      <c r="B378" s="56" t="str">
        <f>IFERROR(__xludf.DUMMYFUNCTION("IF('AYIRA MINI MART FINAL MENU - Pr'!B378="""", """", IF(LEN(IFERROR(TRIM(REGEXREPLACE(TRIM(REGEXEXTRACT('AYIRA MINI MART FINAL MENU - Pr'!B378, ""^[^\x{0600}-\x{06FF}]+"")), ""[-–]+$"", """")), """"))&gt;0, IFERROR(TRIM(REGEXREPLACE(TRIM(REGEXEXTRACT('AYIRA"&amp;" MINI MART FINAL MENU - Pr'!B378, ""^[^\x{0600}-\x{06FF}]+"")), ""[-–]+$"", """")), """"), GOOGLETRANSLATE('AYIRA MINI MART FINAL MENU - Pr'!B378, ""ar"", ""en"")))"),"Chips &amp; Crisps")</f>
        <v>Chips &amp; Crisps</v>
      </c>
      <c r="C378" s="58">
        <f>IF('AYIRA MINI MART FINAL MENU - Pr'!C378="", "", 'AYIRA MINI MART FINAL MENU - Pr'!C378)</f>
        <v>18</v>
      </c>
      <c r="D378" s="56" t="str">
        <f>IFERROR(__xludf.DUMMYFUNCTION("IF('AYIRA MINI MART FINAL MENU - Pr'!D378="""", """", GOOGLETRANSLATE('AYIRA MINI MART FINAL MENU - Pr'!D378,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78" s="56" t="str">
        <f>IF('AYIRA MINI MART FINAL MENU - Pr'!K378="", "", 'AYIRA MINI MART FINAL MENU - Pr'!K378)</f>
        <v/>
      </c>
      <c r="F378" s="56"/>
      <c r="G378" s="56"/>
      <c r="H378" s="56"/>
      <c r="I378" s="56"/>
      <c r="J378" s="56"/>
      <c r="L378" s="56" t="str">
        <f>IF('AYIRA MINI MART FINAL MENU - Pr'!L378="", "", 'AYIRA MINI MART FINAL MENU - Pr'!L378)</f>
        <v/>
      </c>
      <c r="M378" s="56" t="str">
        <f>IF('AYIRA MINI MART FINAL MENU - Pr'!M378="", "", 'AYIRA MINI MART FINAL MENU - Pr'!M378)</f>
        <v/>
      </c>
      <c r="N378" s="56" t="str">
        <f>IF('AYIRA MINI MART FINAL MENU - Pr'!N378="", "", 'AYIRA MINI MART FINAL MENU - Pr'!N378)</f>
        <v/>
      </c>
      <c r="O378" s="57"/>
      <c r="P378" s="57"/>
      <c r="Q378" s="57"/>
      <c r="R378" s="57"/>
      <c r="S378" s="57"/>
      <c r="T378" s="57"/>
      <c r="U378" s="57"/>
      <c r="V378" s="57"/>
      <c r="W378" s="57"/>
      <c r="X378" s="57"/>
      <c r="Y378" s="57"/>
      <c r="Z378" s="57"/>
    </row>
    <row r="379">
      <c r="A379" s="56" t="str">
        <f>IFERROR(__xludf.DUMMYFUNCTION("IF('AYIRA MINI MART FINAL MENU - Pr'!A379="""", """", IF(LEN(IFERROR(TRIM(REGEXREPLACE(TRIM(REGEXEXTRACT('AYIRA MINI MART FINAL MENU - Pr'!A379, ""^[^\x{0600}-\x{06FF}]+"")), ""[-–]+$"", """")), """"))&gt;0, IFERROR(TRIM(REGEXREPLACE(TRIM(REGEXEXTRACT('AYIRA"&amp;" MINI MART FINAL MENU - Pr'!A379, ""^[^\x{0600}-\x{06FF}]+"")), ""[-–]+$"", """")), """"), GOOGLETRANSLATE('AYIRA MINI MART FINAL MENU - Pr'!A379, ""ar"", ""en"")))"),"KITCO Nice Chicken Flavor Chips 16g")</f>
        <v>KITCO Nice Chicken Flavor Chips 16g</v>
      </c>
      <c r="B379" s="56" t="str">
        <f>IFERROR(__xludf.DUMMYFUNCTION("IF('AYIRA MINI MART FINAL MENU - Pr'!B379="""", """", IF(LEN(IFERROR(TRIM(REGEXREPLACE(TRIM(REGEXEXTRACT('AYIRA MINI MART FINAL MENU - Pr'!B379, ""^[^\x{0600}-\x{06FF}]+"")), ""[-–]+$"", """")), """"))&gt;0, IFERROR(TRIM(REGEXREPLACE(TRIM(REGEXEXTRACT('AYIRA"&amp;" MINI MART FINAL MENU - Pr'!B379, ""^[^\x{0600}-\x{06FF}]+"")), ""[-–]+$"", """")), """"), GOOGLETRANSLATE('AYIRA MINI MART FINAL MENU - Pr'!B379, ""ar"", ""en"")))"),"Chips &amp; Crisps")</f>
        <v>Chips &amp; Crisps</v>
      </c>
      <c r="C379" s="58">
        <f>IF('AYIRA MINI MART FINAL MENU - Pr'!C379="", "", 'AYIRA MINI MART FINAL MENU - Pr'!C379)</f>
        <v>1</v>
      </c>
      <c r="D379" s="56" t="str">
        <f>IFERROR(__xludf.DUMMYFUNCTION("IF('AYIRA MINI MART FINAL MENU - Pr'!D379="""", """", GOOGLETRANSLATE('AYIRA MINI MART FINAL MENU - Pr'!D379,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79" s="56" t="str">
        <f>IF('AYIRA MINI MART FINAL MENU - Pr'!K379="", "", 'AYIRA MINI MART FINAL MENU - Pr'!K379)</f>
        <v/>
      </c>
      <c r="F379" s="56"/>
      <c r="G379" s="56"/>
      <c r="H379" s="56"/>
      <c r="I379" s="56"/>
      <c r="J379" s="56"/>
      <c r="L379" s="56" t="str">
        <f>IF('AYIRA MINI MART FINAL MENU - Pr'!L379="", "", 'AYIRA MINI MART FINAL MENU - Pr'!L379)</f>
        <v/>
      </c>
      <c r="M379" s="56" t="str">
        <f>IF('AYIRA MINI MART FINAL MENU - Pr'!M379="", "", 'AYIRA MINI MART FINAL MENU - Pr'!M379)</f>
        <v/>
      </c>
      <c r="N379" s="56" t="str">
        <f>IF('AYIRA MINI MART FINAL MENU - Pr'!N379="", "", 'AYIRA MINI MART FINAL MENU - Pr'!N379)</f>
        <v/>
      </c>
      <c r="O379" s="57"/>
      <c r="P379" s="57"/>
      <c r="Q379" s="57"/>
      <c r="R379" s="57"/>
      <c r="S379" s="57"/>
      <c r="T379" s="57"/>
      <c r="U379" s="57"/>
      <c r="V379" s="57"/>
      <c r="W379" s="57"/>
      <c r="X379" s="57"/>
      <c r="Y379" s="57"/>
      <c r="Z379" s="57"/>
    </row>
    <row r="380">
      <c r="A380" s="56" t="str">
        <f>IFERROR(__xludf.DUMMYFUNCTION("IF('AYIRA MINI MART FINAL MENU - Pr'!A380="""", """", IF(LEN(IFERROR(TRIM(REGEXREPLACE(TRIM(REGEXEXTRACT('AYIRA MINI MART FINAL MENU - Pr'!A380, ""^[^\x{0600}-\x{06FF}]+"")), ""[-–]+$"", """")), """"))&gt;0, IFERROR(TRIM(REGEXREPLACE(TRIM(REGEXEXTRACT('AYIRA"&amp;" MINI MART FINAL MENU - Pr'!A380, ""^[^\x{0600}-\x{06FF}]+"")), ""[-–]+$"", """")), """"), GOOGLETRANSLATE('AYIRA MINI MART FINAL MENU - Pr'!A380, ""ar"", ""en"")))"),"KITCO Nice Hot &amp; Spicy Chips 16g")</f>
        <v>KITCO Nice Hot &amp; Spicy Chips 16g</v>
      </c>
      <c r="B380" s="56" t="str">
        <f>IFERROR(__xludf.DUMMYFUNCTION("IF('AYIRA MINI MART FINAL MENU - Pr'!B380="""", """", IF(LEN(IFERROR(TRIM(REGEXREPLACE(TRIM(REGEXEXTRACT('AYIRA MINI MART FINAL MENU - Pr'!B380, ""^[^\x{0600}-\x{06FF}]+"")), ""[-–]+$"", """")), """"))&gt;0, IFERROR(TRIM(REGEXREPLACE(TRIM(REGEXEXTRACT('AYIRA"&amp;" MINI MART FINAL MENU - Pr'!B380, ""^[^\x{0600}-\x{06FF}]+"")), ""[-–]+$"", """")), """"), GOOGLETRANSLATE('AYIRA MINI MART FINAL MENU - Pr'!B380, ""ar"", ""en"")))"),"Chips &amp; Crisps")</f>
        <v>Chips &amp; Crisps</v>
      </c>
      <c r="C380" s="58">
        <f>IF('AYIRA MINI MART FINAL MENU - Pr'!C380="", "", 'AYIRA MINI MART FINAL MENU - Pr'!C380)</f>
        <v>1</v>
      </c>
      <c r="D380" s="56" t="str">
        <f>IFERROR(__xludf.DUMMYFUNCTION("IF('AYIRA MINI MART FINAL MENU - Pr'!D380="""", """", GOOGLETRANSLATE('AYIRA MINI MART FINAL MENU - Pr'!D380,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80" s="56" t="str">
        <f>IF('AYIRA MINI MART FINAL MENU - Pr'!K380="", "", 'AYIRA MINI MART FINAL MENU - Pr'!K380)</f>
        <v/>
      </c>
      <c r="F380" s="56"/>
      <c r="G380" s="56"/>
      <c r="H380" s="56"/>
      <c r="I380" s="56"/>
      <c r="J380" s="56"/>
      <c r="L380" s="56" t="str">
        <f>IF('AYIRA MINI MART FINAL MENU - Pr'!L380="", "", 'AYIRA MINI MART FINAL MENU - Pr'!L380)</f>
        <v/>
      </c>
      <c r="M380" s="56" t="str">
        <f>IF('AYIRA MINI MART FINAL MENU - Pr'!M380="", "", 'AYIRA MINI MART FINAL MENU - Pr'!M380)</f>
        <v/>
      </c>
      <c r="N380" s="56" t="str">
        <f>IF('AYIRA MINI MART FINAL MENU - Pr'!N380="", "", 'AYIRA MINI MART FINAL MENU - Pr'!N380)</f>
        <v/>
      </c>
      <c r="O380" s="57"/>
      <c r="P380" s="57"/>
      <c r="Q380" s="57"/>
      <c r="R380" s="57"/>
      <c r="S380" s="57"/>
      <c r="T380" s="57"/>
      <c r="U380" s="57"/>
      <c r="V380" s="57"/>
      <c r="W380" s="57"/>
      <c r="X380" s="57"/>
      <c r="Y380" s="57"/>
      <c r="Z380" s="57"/>
    </row>
    <row r="381">
      <c r="A381" s="56" t="str">
        <f>IFERROR(__xludf.DUMMYFUNCTION("IF('AYIRA MINI MART FINAL MENU - Pr'!A381="""", """", IF(LEN(IFERROR(TRIM(REGEXREPLACE(TRIM(REGEXEXTRACT('AYIRA MINI MART FINAL MENU - Pr'!A381, ""^[^\x{0600}-\x{06FF}]+"")), ""[-–]+$"", """")), """"))&gt;0, IFERROR(TRIM(REGEXREPLACE(TRIM(REGEXEXTRACT('AYIRA"&amp;" MINI MART FINAL MENU - Pr'!A381, ""^[^\x{0600}-\x{06FF}]+"")), ""[-–]+$"", """")), """"), GOOGLETRANSLATE('AYIRA MINI MART FINAL MENU - Pr'!A381, ""ar"", ""en"")))"),"KITCO Nice French Cheese Chips 16g")</f>
        <v>KITCO Nice French Cheese Chips 16g</v>
      </c>
      <c r="B381" s="56" t="str">
        <f>IFERROR(__xludf.DUMMYFUNCTION("IF('AYIRA MINI MART FINAL MENU - Pr'!B381="""", """", IF(LEN(IFERROR(TRIM(REGEXREPLACE(TRIM(REGEXEXTRACT('AYIRA MINI MART FINAL MENU - Pr'!B381, ""^[^\x{0600}-\x{06FF}]+"")), ""[-–]+$"", """")), """"))&gt;0, IFERROR(TRIM(REGEXREPLACE(TRIM(REGEXEXTRACT('AYIRA"&amp;" MINI MART FINAL MENU - Pr'!B381, ""^[^\x{0600}-\x{06FF}]+"")), ""[-–]+$"", """")), """"), GOOGLETRANSLATE('AYIRA MINI MART FINAL MENU - Pr'!B381, ""ar"", ""en"")))"),"Chips &amp; Crisps")</f>
        <v>Chips &amp; Crisps</v>
      </c>
      <c r="C381" s="58">
        <f>IF('AYIRA MINI MART FINAL MENU - Pr'!C381="", "", 'AYIRA MINI MART FINAL MENU - Pr'!C381)</f>
        <v>1</v>
      </c>
      <c r="D381" s="56" t="str">
        <f>IFERROR(__xludf.DUMMYFUNCTION("IF('AYIRA MINI MART FINAL MENU - Pr'!D381="""", """", GOOGLETRANSLATE('AYIRA MINI MART FINAL MENU - Pr'!D381,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81" s="56" t="str">
        <f>IF('AYIRA MINI MART FINAL MENU - Pr'!K381="", "", 'AYIRA MINI MART FINAL MENU - Pr'!K381)</f>
        <v/>
      </c>
      <c r="F381" s="56"/>
      <c r="G381" s="56"/>
      <c r="H381" s="56"/>
      <c r="I381" s="56"/>
      <c r="J381" s="56"/>
      <c r="L381" s="56" t="str">
        <f>IF('AYIRA MINI MART FINAL MENU - Pr'!L381="", "", 'AYIRA MINI MART FINAL MENU - Pr'!L381)</f>
        <v/>
      </c>
      <c r="M381" s="56" t="str">
        <f>IF('AYIRA MINI MART FINAL MENU - Pr'!M381="", "", 'AYIRA MINI MART FINAL MENU - Pr'!M381)</f>
        <v/>
      </c>
      <c r="N381" s="56" t="str">
        <f>IF('AYIRA MINI MART FINAL MENU - Pr'!N381="", "", 'AYIRA MINI MART FINAL MENU - Pr'!N381)</f>
        <v/>
      </c>
      <c r="O381" s="57"/>
      <c r="P381" s="57"/>
      <c r="Q381" s="57"/>
      <c r="R381" s="57"/>
      <c r="S381" s="57"/>
      <c r="T381" s="57"/>
      <c r="U381" s="57"/>
      <c r="V381" s="57"/>
      <c r="W381" s="57"/>
      <c r="X381" s="57"/>
      <c r="Y381" s="57"/>
      <c r="Z381" s="57"/>
    </row>
    <row r="382">
      <c r="A382" s="56" t="str">
        <f>IFERROR(__xludf.DUMMYFUNCTION("IF('AYIRA MINI MART FINAL MENU - Pr'!A382="""", """", IF(LEN(IFERROR(TRIM(REGEXREPLACE(TRIM(REGEXEXTRACT('AYIRA MINI MART FINAL MENU - Pr'!A382, ""^[^\x{0600}-\x{06FF}]+"")), ""[-–]+$"", """")), """"))&gt;0, IFERROR(TRIM(REGEXREPLACE(TRIM(REGEXEXTRACT('AYIRA"&amp;" MINI MART FINAL MENU - Pr'!A382, ""^[^\x{0600}-\x{06FF}]+"")), ""[-–]+$"", """")), """"), GOOGLETRANSLATE('AYIRA MINI MART FINAL MENU - Pr'!A382, ""ar"", ""en"")))"),"KITCO Nice Salt &amp; Vinegar Chips 80g")</f>
        <v>KITCO Nice Salt &amp; Vinegar Chips 80g</v>
      </c>
      <c r="B382" s="56" t="str">
        <f>IFERROR(__xludf.DUMMYFUNCTION("IF('AYIRA MINI MART FINAL MENU - Pr'!B382="""", """", IF(LEN(IFERROR(TRIM(REGEXREPLACE(TRIM(REGEXEXTRACT('AYIRA MINI MART FINAL MENU - Pr'!B382, ""^[^\x{0600}-\x{06FF}]+"")), ""[-–]+$"", """")), """"))&gt;0, IFERROR(TRIM(REGEXREPLACE(TRIM(REGEXEXTRACT('AYIRA"&amp;" MINI MART FINAL MENU - Pr'!B382, ""^[^\x{0600}-\x{06FF}]+"")), ""[-–]+$"", """")), """"), GOOGLETRANSLATE('AYIRA MINI MART FINAL MENU - Pr'!B382, ""ar"", ""en"")))"),"Chips &amp; Crisps")</f>
        <v>Chips &amp; Crisps</v>
      </c>
      <c r="C382" s="58">
        <f>IF('AYIRA MINI MART FINAL MENU - Pr'!C382="", "", 'AYIRA MINI MART FINAL MENU - Pr'!C382)</f>
        <v>4</v>
      </c>
      <c r="D382" s="56" t="str">
        <f>IFERROR(__xludf.DUMMYFUNCTION("IF('AYIRA MINI MART FINAL MENU - Pr'!D382="""", """", GOOGLETRANSLATE('AYIRA MINI MART FINAL MENU - Pr'!D382,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82" s="56" t="str">
        <f>IF('AYIRA MINI MART FINAL MENU - Pr'!K382="", "", 'AYIRA MINI MART FINAL MENU - Pr'!K382)</f>
        <v/>
      </c>
      <c r="F382" s="56"/>
      <c r="G382" s="56"/>
      <c r="H382" s="56"/>
      <c r="I382" s="56"/>
      <c r="J382" s="56"/>
      <c r="L382" s="56" t="str">
        <f>IF('AYIRA MINI MART FINAL MENU - Pr'!L382="", "", 'AYIRA MINI MART FINAL MENU - Pr'!L382)</f>
        <v/>
      </c>
      <c r="M382" s="56" t="str">
        <f>IF('AYIRA MINI MART FINAL MENU - Pr'!M382="", "", 'AYIRA MINI MART FINAL MENU - Pr'!M382)</f>
        <v/>
      </c>
      <c r="N382" s="56" t="str">
        <f>IF('AYIRA MINI MART FINAL MENU - Pr'!N382="", "", 'AYIRA MINI MART FINAL MENU - Pr'!N382)</f>
        <v/>
      </c>
      <c r="O382" s="57"/>
      <c r="P382" s="57"/>
      <c r="Q382" s="57"/>
      <c r="R382" s="57"/>
      <c r="S382" s="57"/>
      <c r="T382" s="57"/>
      <c r="U382" s="57"/>
      <c r="V382" s="57"/>
      <c r="W382" s="57"/>
      <c r="X382" s="57"/>
      <c r="Y382" s="57"/>
      <c r="Z382" s="57"/>
    </row>
    <row r="383">
      <c r="A383" s="56" t="str">
        <f>IFERROR(__xludf.DUMMYFUNCTION("IF('AYIRA MINI MART FINAL MENU - Pr'!A383="""", """", IF(LEN(IFERROR(TRIM(REGEXREPLACE(TRIM(REGEXEXTRACT('AYIRA MINI MART FINAL MENU - Pr'!A383, ""^[^\x{0600}-\x{06FF}]+"")), ""[-–]+$"", """")), """"))&gt;0, IFERROR(TRIM(REGEXREPLACE(TRIM(REGEXEXTRACT('AYIRA"&amp;" MINI MART FINAL MENU - Pr'!A383, ""^[^\x{0600}-\x{06FF}]+"")), ""[-–]+$"", """")), """"), GOOGLETRANSLATE('AYIRA MINI MART FINAL MENU - Pr'!A383, ""ar"", ""en"")))"),"KITCO Nice Tomato Ketchup Chips 16g")</f>
        <v>KITCO Nice Tomato Ketchup Chips 16g</v>
      </c>
      <c r="B383" s="56" t="str">
        <f>IFERROR(__xludf.DUMMYFUNCTION("IF('AYIRA MINI MART FINAL MENU - Pr'!B383="""", """", IF(LEN(IFERROR(TRIM(REGEXREPLACE(TRIM(REGEXEXTRACT('AYIRA MINI MART FINAL MENU - Pr'!B383, ""^[^\x{0600}-\x{06FF}]+"")), ""[-–]+$"", """")), """"))&gt;0, IFERROR(TRIM(REGEXREPLACE(TRIM(REGEXEXTRACT('AYIRA"&amp;" MINI MART FINAL MENU - Pr'!B383, ""^[^\x{0600}-\x{06FF}]+"")), ""[-–]+$"", """")), """"), GOOGLETRANSLATE('AYIRA MINI MART FINAL MENU - Pr'!B383, ""ar"", ""en"")))"),"Chips &amp; Crisps")</f>
        <v>Chips &amp; Crisps</v>
      </c>
      <c r="C383" s="58">
        <f>IF('AYIRA MINI MART FINAL MENU - Pr'!C383="", "", 'AYIRA MINI MART FINAL MENU - Pr'!C383)</f>
        <v>1</v>
      </c>
      <c r="D383" s="56" t="str">
        <f>IFERROR(__xludf.DUMMYFUNCTION("IF('AYIRA MINI MART FINAL MENU - Pr'!D383="""", """", GOOGLETRANSLATE('AYIRA MINI MART FINAL MENU - Pr'!D383,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83" s="56" t="str">
        <f>IF('AYIRA MINI MART FINAL MENU - Pr'!K383="", "", 'AYIRA MINI MART FINAL MENU - Pr'!K383)</f>
        <v/>
      </c>
      <c r="F383" s="56"/>
      <c r="G383" s="56"/>
      <c r="H383" s="56"/>
      <c r="I383" s="56"/>
      <c r="J383" s="56"/>
      <c r="L383" s="56" t="str">
        <f>IF('AYIRA MINI MART FINAL MENU - Pr'!L383="", "", 'AYIRA MINI MART FINAL MENU - Pr'!L383)</f>
        <v/>
      </c>
      <c r="M383" s="56" t="str">
        <f>IF('AYIRA MINI MART FINAL MENU - Pr'!M383="", "", 'AYIRA MINI MART FINAL MENU - Pr'!M383)</f>
        <v/>
      </c>
      <c r="N383" s="56" t="str">
        <f>IF('AYIRA MINI MART FINAL MENU - Pr'!N383="", "", 'AYIRA MINI MART FINAL MENU - Pr'!N383)</f>
        <v/>
      </c>
      <c r="O383" s="57"/>
      <c r="P383" s="57"/>
      <c r="Q383" s="57"/>
      <c r="R383" s="57"/>
      <c r="S383" s="57"/>
      <c r="T383" s="57"/>
      <c r="U383" s="57"/>
      <c r="V383" s="57"/>
      <c r="W383" s="57"/>
      <c r="X383" s="57"/>
      <c r="Y383" s="57"/>
      <c r="Z383" s="57"/>
    </row>
    <row r="384">
      <c r="A384" s="56" t="str">
        <f>IFERROR(__xludf.DUMMYFUNCTION("IF('AYIRA MINI MART FINAL MENU - Pr'!A384="""", """", IF(LEN(IFERROR(TRIM(REGEXREPLACE(TRIM(REGEXEXTRACT('AYIRA MINI MART FINAL MENU - Pr'!A384, ""^[^\x{0600}-\x{06FF}]+"")), ""[-–]+$"", """")), """"))&gt;0, IFERROR(TRIM(REGEXREPLACE(TRIM(REGEXEXTRACT('AYIRA"&amp;" MINI MART FINAL MENU - Pr'!A384, ""^[^\x{0600}-\x{06FF}]+"")), ""[-–]+$"", """")), """"), GOOGLETRANSLATE('AYIRA MINI MART FINAL MENU - Pr'!A384, ""ar"", ""en"")))"),"KITCO Nice Chips Lightly Salted 80g")</f>
        <v>KITCO Nice Chips Lightly Salted 80g</v>
      </c>
      <c r="B384" s="56" t="str">
        <f>IFERROR(__xludf.DUMMYFUNCTION("IF('AYIRA MINI MART FINAL MENU - Pr'!B384="""", """", IF(LEN(IFERROR(TRIM(REGEXREPLACE(TRIM(REGEXEXTRACT('AYIRA MINI MART FINAL MENU - Pr'!B384, ""^[^\x{0600}-\x{06FF}]+"")), ""[-–]+$"", """")), """"))&gt;0, IFERROR(TRIM(REGEXREPLACE(TRIM(REGEXEXTRACT('AYIRA"&amp;" MINI MART FINAL MENU - Pr'!B384, ""^[^\x{0600}-\x{06FF}]+"")), ""[-–]+$"", """")), """"), GOOGLETRANSLATE('AYIRA MINI MART FINAL MENU - Pr'!B384, ""ar"", ""en"")))"),"Chips &amp; Crisps")</f>
        <v>Chips &amp; Crisps</v>
      </c>
      <c r="C384" s="58">
        <f>IF('AYIRA MINI MART FINAL MENU - Pr'!C384="", "", 'AYIRA MINI MART FINAL MENU - Pr'!C384)</f>
        <v>4</v>
      </c>
      <c r="D384" s="56" t="str">
        <f>IFERROR(__xludf.DUMMYFUNCTION("IF('AYIRA MINI MART FINAL MENU - Pr'!D384="""", """", GOOGLETRANSLATE('AYIRA MINI MART FINAL MENU - Pr'!D384, ""ar"", ""en""))"),"Don't be able to resist the taste of Kitco,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Kitco,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84" s="56" t="str">
        <f>IF('AYIRA MINI MART FINAL MENU - Pr'!K384="", "", 'AYIRA MINI MART FINAL MENU - Pr'!K384)</f>
        <v/>
      </c>
      <c r="F384" s="56"/>
      <c r="G384" s="56"/>
      <c r="H384" s="56"/>
      <c r="I384" s="56"/>
      <c r="J384" s="56"/>
      <c r="L384" s="56" t="str">
        <f>IF('AYIRA MINI MART FINAL MENU - Pr'!L384="", "", 'AYIRA MINI MART FINAL MENU - Pr'!L384)</f>
        <v/>
      </c>
      <c r="M384" s="56" t="str">
        <f>IF('AYIRA MINI MART FINAL MENU - Pr'!M384="", "", 'AYIRA MINI MART FINAL MENU - Pr'!M384)</f>
        <v/>
      </c>
      <c r="N384" s="56" t="str">
        <f>IF('AYIRA MINI MART FINAL MENU - Pr'!N384="", "", 'AYIRA MINI MART FINAL MENU - Pr'!N384)</f>
        <v/>
      </c>
      <c r="O384" s="57"/>
      <c r="P384" s="57"/>
      <c r="Q384" s="57"/>
      <c r="R384" s="57"/>
      <c r="S384" s="57"/>
      <c r="T384" s="57"/>
      <c r="U384" s="57"/>
      <c r="V384" s="57"/>
      <c r="W384" s="57"/>
      <c r="X384" s="57"/>
      <c r="Y384" s="57"/>
      <c r="Z384" s="57"/>
    </row>
    <row r="385">
      <c r="A385" s="56" t="str">
        <f>IFERROR(__xludf.DUMMYFUNCTION("IF('AYIRA MINI MART FINAL MENU - Pr'!A385="""", """", IF(LEN(IFERROR(TRIM(REGEXREPLACE(TRIM(REGEXEXTRACT('AYIRA MINI MART FINAL MENU - Pr'!A385, ""^[^\x{0600}-\x{06FF}]+"")), ""[-–]+$"", """")), """"))&gt;0, IFERROR(TRIM(REGEXREPLACE(TRIM(REGEXEXTRACT('AYIRA"&amp;" MINI MART FINAL MENU - Pr'!A385, ""^[^\x{0600}-\x{06FF}]+"")), ""[-–]+$"", """")), """"), GOOGLETRANSLATE('AYIRA MINI MART FINAL MENU - Pr'!A385, ""ar"", ""en"")))"),"OMAN Chips Chilli Flavor 15g – OMAN")</f>
        <v>OMAN Chips Chilli Flavor 15g – OMAN</v>
      </c>
      <c r="B385" s="56" t="str">
        <f>IFERROR(__xludf.DUMMYFUNCTION("IF('AYIRA MINI MART FINAL MENU - Pr'!B385="""", """", IF(LEN(IFERROR(TRIM(REGEXREPLACE(TRIM(REGEXEXTRACT('AYIRA MINI MART FINAL MENU - Pr'!B385, ""^[^\x{0600}-\x{06FF}]+"")), ""[-–]+$"", """")), """"))&gt;0, IFERROR(TRIM(REGEXREPLACE(TRIM(REGEXEXTRACT('AYIRA"&amp;" MINI MART FINAL MENU - Pr'!B385, ""^[^\x{0600}-\x{06FF}]+"")), ""[-–]+$"", """")), """"), GOOGLETRANSLATE('AYIRA MINI MART FINAL MENU - Pr'!B385, ""ar"", ""en"")))"),"Chips &amp; Crisps")</f>
        <v>Chips &amp; Crisps</v>
      </c>
      <c r="C385" s="58">
        <f>IF('AYIRA MINI MART FINAL MENU - Pr'!C385="", "", 'AYIRA MINI MART FINAL MENU - Pr'!C385)</f>
        <v>1</v>
      </c>
      <c r="D385" s="56" t="str">
        <f>IFERROR(__xludf.DUMMYFUNCTION("IF('AYIRA MINI MART FINAL MENU - Pr'!D385="""", """", GOOGLETRANSLATE('AYIRA MINI MART FINAL MENU - Pr'!D385, ""ar"", ""en""))"),"Don't be able to resist the taste of OMAN Chips Chilli Flavor 15g, your perfect companion for relaxing and watching matches. Their unique crunch and varied flavors make every handful a delightful experience. Prepared with the finest ingredients using the "&amp;"latest manufacturing techniques to ensure an unparalleled taste. Ideal as a snack for adults and children between meals. Aira Mini Mart offers them in the size and flavor that suits you best.")</f>
        <v>Don't be able to resist the taste of OMAN Chips Chilli Flavor 15g,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size and flavor that suits you best.</v>
      </c>
      <c r="E385" s="56" t="str">
        <f>IF('AYIRA MINI MART FINAL MENU - Pr'!K385="", "", 'AYIRA MINI MART FINAL MENU - Pr'!K385)</f>
        <v/>
      </c>
      <c r="F385" s="56"/>
      <c r="G385" s="56"/>
      <c r="H385" s="56"/>
      <c r="I385" s="56"/>
      <c r="J385" s="56"/>
      <c r="L385" s="56" t="str">
        <f>IF('AYIRA MINI MART FINAL MENU - Pr'!L385="", "", 'AYIRA MINI MART FINAL MENU - Pr'!L385)</f>
        <v/>
      </c>
      <c r="M385" s="56" t="str">
        <f>IF('AYIRA MINI MART FINAL MENU - Pr'!M385="", "", 'AYIRA MINI MART FINAL MENU - Pr'!M385)</f>
        <v/>
      </c>
      <c r="N385" s="56" t="str">
        <f>IF('AYIRA MINI MART FINAL MENU - Pr'!N385="", "", 'AYIRA MINI MART FINAL MENU - Pr'!N385)</f>
        <v/>
      </c>
      <c r="O385" s="57"/>
      <c r="P385" s="57"/>
      <c r="Q385" s="57"/>
      <c r="R385" s="57"/>
      <c r="S385" s="57"/>
      <c r="T385" s="57"/>
      <c r="U385" s="57"/>
      <c r="V385" s="57"/>
      <c r="W385" s="57"/>
      <c r="X385" s="57"/>
      <c r="Y385" s="57"/>
      <c r="Z385" s="57"/>
    </row>
    <row r="386">
      <c r="A386" s="56" t="str">
        <f>IFERROR(__xludf.DUMMYFUNCTION("IF('AYIRA MINI MART FINAL MENU - Pr'!A386="""", """", IF(LEN(IFERROR(TRIM(REGEXREPLACE(TRIM(REGEXEXTRACT('AYIRA MINI MART FINAL MENU - Pr'!A386, ""^[^\x{0600}-\x{06FF}]+"")), ""[-–]+$"", """")), """"))&gt;0, IFERROR(TRIM(REGEXREPLACE(TRIM(REGEXEXTRACT('AYIRA"&amp;" MINI MART FINAL MENU - Pr'!A386, ""^[^\x{0600}-\x{06FF}]+"")), ""[-–]+$"", """")), """"), GOOGLETRANSLATE('AYIRA MINI MART FINAL MENU - Pr'!A386, ""ar"", ""en"")))"),"Al Mudhish Ripple Chilli Chips 75g – Al Mudhish Ripple Chilli")</f>
        <v>Al Mudhish Ripple Chilli Chips 75g – Al Mudhish Ripple Chilli</v>
      </c>
      <c r="B386" s="56" t="str">
        <f>IFERROR(__xludf.DUMMYFUNCTION("IF('AYIRA MINI MART FINAL MENU - Pr'!B386="""", """", IF(LEN(IFERROR(TRIM(REGEXREPLACE(TRIM(REGEXEXTRACT('AYIRA MINI MART FINAL MENU - Pr'!B386, ""^[^\x{0600}-\x{06FF}]+"")), ""[-–]+$"", """")), """"))&gt;0, IFERROR(TRIM(REGEXREPLACE(TRIM(REGEXEXTRACT('AYIRA"&amp;" MINI MART FINAL MENU - Pr'!B386, ""^[^\x{0600}-\x{06FF}]+"")), ""[-–]+$"", """")), """"), GOOGLETRANSLATE('AYIRA MINI MART FINAL MENU - Pr'!B386, ""ar"", ""en"")))"),"Chips &amp; Crisps")</f>
        <v>Chips &amp; Crisps</v>
      </c>
      <c r="C386" s="58">
        <f>IF('AYIRA MINI MART FINAL MENU - Pr'!C386="", "", 'AYIRA MINI MART FINAL MENU - Pr'!C386)</f>
        <v>4</v>
      </c>
      <c r="D386" s="56" t="str">
        <f>IFERROR(__xludf.DUMMYFUNCTION("IF('AYIRA MINI MART FINAL MENU - Pr'!D386="""", """", GOOGLETRANSLATE('AYIRA MINI MART FINAL MENU - Pr'!D386, ""ar"", ""en""))"),"Don't be able to resist the taste of Al Mudhish Ripple Chilli Chips 75g, your perfect companion for relaxing and watching the game. Their unique crunch and diverse flavors make every handful a delightful experience. Prepared with the finest ingredients us"&amp;"ing the latest manufacturing techniques to ensure an unparalleled taste. Ideal as a snack for adults and children alike between meals. Aira Mini Mart offers them in the perfect size and flavor for you.")</f>
        <v>Don't be able to resist the taste of Al Mudhish Ripple Chilli Chips 75g, your perfect companion for relaxing and watching the game. Their unique crunch and diverse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386" s="56" t="str">
        <f>IF('AYIRA MINI MART FINAL MENU - Pr'!K386="", "", 'AYIRA MINI MART FINAL MENU - Pr'!K386)</f>
        <v/>
      </c>
      <c r="F386" s="56"/>
      <c r="G386" s="56"/>
      <c r="H386" s="56"/>
      <c r="I386" s="56"/>
      <c r="J386" s="56"/>
      <c r="L386" s="56" t="str">
        <f>IF('AYIRA MINI MART FINAL MENU - Pr'!L386="", "", 'AYIRA MINI MART FINAL MENU - Pr'!L386)</f>
        <v/>
      </c>
      <c r="M386" s="56" t="str">
        <f>IF('AYIRA MINI MART FINAL MENU - Pr'!M386="", "", 'AYIRA MINI MART FINAL MENU - Pr'!M386)</f>
        <v/>
      </c>
      <c r="N386" s="56" t="str">
        <f>IF('AYIRA MINI MART FINAL MENU - Pr'!N386="", "", 'AYIRA MINI MART FINAL MENU - Pr'!N386)</f>
        <v/>
      </c>
      <c r="O386" s="57"/>
      <c r="P386" s="57"/>
      <c r="Q386" s="57"/>
      <c r="R386" s="57"/>
      <c r="S386" s="57"/>
      <c r="T386" s="57"/>
      <c r="U386" s="57"/>
      <c r="V386" s="57"/>
      <c r="W386" s="57"/>
      <c r="X386" s="57"/>
      <c r="Y386" s="57"/>
      <c r="Z386" s="57"/>
    </row>
    <row r="387">
      <c r="A387" s="56" t="str">
        <f>IFERROR(__xludf.DUMMYFUNCTION("IF('AYIRA MINI MART FINAL MENU - Pr'!A387="""", """", IF(LEN(IFERROR(TRIM(REGEXREPLACE(TRIM(REGEXEXTRACT('AYIRA MINI MART FINAL MENU - Pr'!A387, ""^[^\x{0600}-\x{06FF}]+"")), ""[-–]+$"", """")), """"))&gt;0, IFERROR(TRIM(REGEXREPLACE(TRIM(REGEXEXTRACT('AYIRA"&amp;" MINI MART FINAL MENU - Pr'!A387, ""^[^\x{0600}-\x{06FF}]+"")), ""[-–]+$"", """")), """"), GOOGLETRANSLATE('AYIRA MINI MART FINAL MENU - Pr'!A387, ""ar"", ""en"")))"),"ALBADIA Corn Cones Cheese 16g – ALBADIA Corn Cones")</f>
        <v>ALBADIA Corn Cones Cheese 16g – ALBADIA Corn Cones</v>
      </c>
      <c r="B387" s="56" t="str">
        <f>IFERROR(__xludf.DUMMYFUNCTION("IF('AYIRA MINI MART FINAL MENU - Pr'!B387="""", """", IF(LEN(IFERROR(TRIM(REGEXREPLACE(TRIM(REGEXEXTRACT('AYIRA MINI MART FINAL MENU - Pr'!B387, ""^[^\x{0600}-\x{06FF}]+"")), ""[-–]+$"", """")), """"))&gt;0, IFERROR(TRIM(REGEXREPLACE(TRIM(REGEXEXTRACT('AYIRA"&amp;" MINI MART FINAL MENU - Pr'!B387, ""^[^\x{0600}-\x{06FF}]+"")), ""[-–]+$"", """")), """"), GOOGLETRANSLATE('AYIRA MINI MART FINAL MENU - Pr'!B387, ""ar"", ""en"")))"),"Chips &amp; Crisps")</f>
        <v>Chips &amp; Crisps</v>
      </c>
      <c r="C387" s="58">
        <f>IF('AYIRA MINI MART FINAL MENU - Pr'!C387="", "", 'AYIRA MINI MART FINAL MENU - Pr'!C387)</f>
        <v>1</v>
      </c>
      <c r="D387" s="56" t="str">
        <f>IFERROR(__xludf.DUMMYFUNCTION("IF('AYIRA MINI MART FINAL MENU - Pr'!D387="""", """", GOOGLETRANSLATE('AYIRA MINI MART FINAL MENU - Pr'!D387, ""ar"", ""en""))"),"Don't be able to resist the taste of ALBADIA Corn Cones Cheese 16g, your perfect companion for relaxing and watching the game. Their unique crunch and varied flavors make every handful a delightful experience. Prepared with the finest ingredients using th"&amp;"e latest manufacturing techniques to ensure an unparalleled taste. Ideal as a snack for adults and children alike between meals. Aira Mini Mart offers them in the perfect size and flavor for you.")</f>
        <v>Don't be able to resist the taste of ALBADIA Corn Cones Cheese 16g,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387" s="56" t="str">
        <f>IF('AYIRA MINI MART FINAL MENU - Pr'!K387="", "", 'AYIRA MINI MART FINAL MENU - Pr'!K387)</f>
        <v/>
      </c>
      <c r="F387" s="56"/>
      <c r="G387" s="56"/>
      <c r="H387" s="56"/>
      <c r="I387" s="56"/>
      <c r="J387" s="56"/>
      <c r="L387" s="56" t="str">
        <f>IF('AYIRA MINI MART FINAL MENU - Pr'!L387="", "", 'AYIRA MINI MART FINAL MENU - Pr'!L387)</f>
        <v/>
      </c>
      <c r="M387" s="56" t="str">
        <f>IF('AYIRA MINI MART FINAL MENU - Pr'!M387="", "", 'AYIRA MINI MART FINAL MENU - Pr'!M387)</f>
        <v/>
      </c>
      <c r="N387" s="56" t="str">
        <f>IF('AYIRA MINI MART FINAL MENU - Pr'!N387="", "", 'AYIRA MINI MART FINAL MENU - Pr'!N387)</f>
        <v/>
      </c>
      <c r="O387" s="57"/>
      <c r="P387" s="57"/>
      <c r="Q387" s="57"/>
      <c r="R387" s="57"/>
      <c r="S387" s="57"/>
      <c r="T387" s="57"/>
      <c r="U387" s="57"/>
      <c r="V387" s="57"/>
      <c r="W387" s="57"/>
      <c r="X387" s="57"/>
      <c r="Y387" s="57"/>
      <c r="Z387" s="57"/>
    </row>
    <row r="388">
      <c r="A388" s="56" t="str">
        <f>IFERROR(__xludf.DUMMYFUNCTION("IF('AYIRA MINI MART FINAL MENU - Pr'!A388="""", """", IF(LEN(IFERROR(TRIM(REGEXREPLACE(TRIM(REGEXEXTRACT('AYIRA MINI MART FINAL MENU - Pr'!A388, ""^[^\x{0600}-\x{06FF}]+"")), ""[-–]+$"", """")), """"))&gt;0, IFERROR(TRIM(REGEXREPLACE(TRIM(REGEXEXTRACT('AYIRA"&amp;" MINI MART FINAL MENU - Pr'!A388, ""^[^\x{0600}-\x{06FF}]+"")), ""[-–]+$"", """")), """"), GOOGLETRANSLATE('AYIRA MINI MART FINAL MENU - Pr'!A388, ""ar"", ""en"")))"),"AL MUDHISH Potato Ripples Crunchy Cheese 15g – AL MUDHISH Potato Ripples Crunchy")</f>
        <v>AL MUDHISH Potato Ripples Crunchy Cheese 15g – AL MUDHISH Potato Ripples Crunchy</v>
      </c>
      <c r="B388" s="56" t="str">
        <f>IFERROR(__xludf.DUMMYFUNCTION("IF('AYIRA MINI MART FINAL MENU - Pr'!B388="""", """", IF(LEN(IFERROR(TRIM(REGEXREPLACE(TRIM(REGEXEXTRACT('AYIRA MINI MART FINAL MENU - Pr'!B388, ""^[^\x{0600}-\x{06FF}]+"")), ""[-–]+$"", """")), """"))&gt;0, IFERROR(TRIM(REGEXREPLACE(TRIM(REGEXEXTRACT('AYIRA"&amp;" MINI MART FINAL MENU - Pr'!B388, ""^[^\x{0600}-\x{06FF}]+"")), ""[-–]+$"", """")), """"), GOOGLETRANSLATE('AYIRA MINI MART FINAL MENU - Pr'!B388, ""ar"", ""en"")))"),"Chips &amp; Crisps")</f>
        <v>Chips &amp; Crisps</v>
      </c>
      <c r="C388" s="58">
        <f>IF('AYIRA MINI MART FINAL MENU - Pr'!C388="", "", 'AYIRA MINI MART FINAL MENU - Pr'!C388)</f>
        <v>1</v>
      </c>
      <c r="D388" s="56" t="str">
        <f>IFERROR(__xludf.DUMMYFUNCTION("IF('AYIRA MINI MART FINAL MENU - Pr'!D388="""", """", GOOGLETRANSLATE('AYIRA MINI MART FINAL MENU - Pr'!D388, ""ar"", ""en""))"),"Don't be able to resist the taste of AL MUDHISH Potato Ripples Crunchy Cheese 15g, your perfect companion for relaxing and watching the game. Its unique crunch and varied flavors make every handful a delightful experience. Prepared with the finest ingredi"&amp;"ents using the latest manufacturing techniques to ensure an unparalleled taste. Ideal as a snack for adults and children alike between meals. Aira Mini Mart offers it in the perfect size and flavor for you.")</f>
        <v>Don't be able to resist the taste of AL MUDHISH Potato Ripples Crunchy Cheese 15g,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388" s="56" t="str">
        <f>IF('AYIRA MINI MART FINAL MENU - Pr'!K388="", "", 'AYIRA MINI MART FINAL MENU - Pr'!K388)</f>
        <v/>
      </c>
      <c r="F388" s="56"/>
      <c r="G388" s="56"/>
      <c r="H388" s="56"/>
      <c r="I388" s="56"/>
      <c r="J388" s="56"/>
      <c r="L388" s="56" t="str">
        <f>IF('AYIRA MINI MART FINAL MENU - Pr'!L388="", "", 'AYIRA MINI MART FINAL MENU - Pr'!L388)</f>
        <v/>
      </c>
      <c r="M388" s="56" t="str">
        <f>IF('AYIRA MINI MART FINAL MENU - Pr'!M388="", "", 'AYIRA MINI MART FINAL MENU - Pr'!M388)</f>
        <v/>
      </c>
      <c r="N388" s="56" t="str">
        <f>IF('AYIRA MINI MART FINAL MENU - Pr'!N388="", "", 'AYIRA MINI MART FINAL MENU - Pr'!N388)</f>
        <v/>
      </c>
      <c r="O388" s="57"/>
      <c r="P388" s="57"/>
      <c r="Q388" s="57"/>
      <c r="R388" s="57"/>
      <c r="S388" s="57"/>
      <c r="T388" s="57"/>
      <c r="U388" s="57"/>
      <c r="V388" s="57"/>
      <c r="W388" s="57"/>
      <c r="X388" s="57"/>
      <c r="Y388" s="57"/>
      <c r="Z388" s="57"/>
    </row>
    <row r="389">
      <c r="A389" s="56" t="str">
        <f>IFERROR(__xludf.DUMMYFUNCTION("IF('AYIRA MINI MART FINAL MENU - Pr'!A389="""", """", IF(LEN(IFERROR(TRIM(REGEXREPLACE(TRIM(REGEXEXTRACT('AYIRA MINI MART FINAL MENU - Pr'!A389, ""^[^\x{0600}-\x{06FF}]+"")), ""[-–]+$"", """")), """"))&gt;0, IFERROR(TRIM(REGEXREPLACE(TRIM(REGEXEXTRACT('AYIRA"&amp;" MINI MART FINAL MENU - Pr'!A389, ""^[^\x{0600}-\x{06FF}]+"")), ""[-–]+$"", """")), """"), GOOGLETRANSLATE('AYIRA MINI MART FINAL MENU - Pr'!A389, ""ar"", ""en"")))"),"AL MUDHISH Potato Ripples Crunchy Chilli 15g – AL MUDHISH Potato Ripples Crunchy Chilli 15")</f>
        <v>AL MUDHISH Potato Ripples Crunchy Chilli 15g – AL MUDHISH Potato Ripples Crunchy Chilli 15</v>
      </c>
      <c r="B389" s="56" t="str">
        <f>IFERROR(__xludf.DUMMYFUNCTION("IF('AYIRA MINI MART FINAL MENU - Pr'!B389="""", """", IF(LEN(IFERROR(TRIM(REGEXREPLACE(TRIM(REGEXEXTRACT('AYIRA MINI MART FINAL MENU - Pr'!B389, ""^[^\x{0600}-\x{06FF}]+"")), ""[-–]+$"", """")), """"))&gt;0, IFERROR(TRIM(REGEXREPLACE(TRIM(REGEXEXTRACT('AYIRA"&amp;" MINI MART FINAL MENU - Pr'!B389, ""^[^\x{0600}-\x{06FF}]+"")), ""[-–]+$"", """")), """"), GOOGLETRANSLATE('AYIRA MINI MART FINAL MENU - Pr'!B389, ""ar"", ""en"")))"),"Chips &amp; Crisps")</f>
        <v>Chips &amp; Crisps</v>
      </c>
      <c r="C389" s="58">
        <f>IF('AYIRA MINI MART FINAL MENU - Pr'!C389="", "", 'AYIRA MINI MART FINAL MENU - Pr'!C389)</f>
        <v>1</v>
      </c>
      <c r="D389" s="56" t="str">
        <f>IFERROR(__xludf.DUMMYFUNCTION("IF('AYIRA MINI MART FINAL MENU - Pr'!D389="""", """", GOOGLETRANSLATE('AYIRA MINI MART FINAL MENU - Pr'!D389, ""ar"", ""en""))"),"Don't be able to resist the taste of AL MUDHISH Potato Ripples Crunchy Chilli 15g, your perfect companion for relaxing and watching the game. Its unique crunch and varied flavors make every handful a delightful experience. Prepared with the finest ingredi"&amp;"ents using the latest manufacturing techniques to guarantee an unparalleled taste. Ideal as a snack for adults and children alike between meals. Aira Mini Mart offers it in the perfect size and flavor for you.")</f>
        <v>Don't be able to resist the taste of AL MUDHISH Potato Ripples Crunchy Chilli 15g,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89" s="56" t="str">
        <f>IF('AYIRA MINI MART FINAL MENU - Pr'!K389="", "", 'AYIRA MINI MART FINAL MENU - Pr'!K389)</f>
        <v/>
      </c>
      <c r="F389" s="56"/>
      <c r="G389" s="56"/>
      <c r="H389" s="56"/>
      <c r="I389" s="56"/>
      <c r="J389" s="56"/>
      <c r="L389" s="56" t="str">
        <f>IF('AYIRA MINI MART FINAL MENU - Pr'!L389="", "", 'AYIRA MINI MART FINAL MENU - Pr'!L389)</f>
        <v/>
      </c>
      <c r="M389" s="56" t="str">
        <f>IF('AYIRA MINI MART FINAL MENU - Pr'!M389="", "", 'AYIRA MINI MART FINAL MENU - Pr'!M389)</f>
        <v/>
      </c>
      <c r="N389" s="56" t="str">
        <f>IF('AYIRA MINI MART FINAL MENU - Pr'!N389="", "", 'AYIRA MINI MART FINAL MENU - Pr'!N389)</f>
        <v/>
      </c>
      <c r="O389" s="57"/>
      <c r="P389" s="57"/>
      <c r="Q389" s="57"/>
      <c r="R389" s="57"/>
      <c r="S389" s="57"/>
      <c r="T389" s="57"/>
      <c r="U389" s="57"/>
      <c r="V389" s="57"/>
      <c r="W389" s="57"/>
      <c r="X389" s="57"/>
      <c r="Y389" s="57"/>
      <c r="Z389" s="57"/>
    </row>
    <row r="390">
      <c r="A390" s="56" t="str">
        <f>IFERROR(__xludf.DUMMYFUNCTION("IF('AYIRA MINI MART FINAL MENU - Pr'!A390="""", """", IF(LEN(IFERROR(TRIM(REGEXREPLACE(TRIM(REGEXEXTRACT('AYIRA MINI MART FINAL MENU - Pr'!A390, ""^[^\x{0600}-\x{06FF}]+"")), ""[-–]+$"", """")), """"))&gt;0, IFERROR(TRIM(REGEXREPLACE(TRIM(REGEXEXTRACT('AYIRA"&amp;" MINI MART FINAL MENU - Pr'!A390, ""^[^\x{0600}-\x{06FF}]+"")), ""[-–]+$"", """")), """"), GOOGLETRANSLATE('AYIRA MINI MART FINAL MENU - Pr'!A390, ""ar"", ""en"")))"),"AL MUDHISH Potato Ripples Sour Cream &amp; Onion 15g – AL MUDHISH Potato Ripples Sour")</f>
        <v>AL MUDHISH Potato Ripples Sour Cream &amp; Onion 15g – AL MUDHISH Potato Ripples Sour</v>
      </c>
      <c r="B390" s="56" t="str">
        <f>IFERROR(__xludf.DUMMYFUNCTION("IF('AYIRA MINI MART FINAL MENU - Pr'!B390="""", """", IF(LEN(IFERROR(TRIM(REGEXREPLACE(TRIM(REGEXEXTRACT('AYIRA MINI MART FINAL MENU - Pr'!B390, ""^[^\x{0600}-\x{06FF}]+"")), ""[-–]+$"", """")), """"))&gt;0, IFERROR(TRIM(REGEXREPLACE(TRIM(REGEXEXTRACT('AYIRA"&amp;" MINI MART FINAL MENU - Pr'!B390, ""^[^\x{0600}-\x{06FF}]+"")), ""[-–]+$"", """")), """"), GOOGLETRANSLATE('AYIRA MINI MART FINAL MENU - Pr'!B390, ""ar"", ""en"")))"),"Chips &amp; Crisps")</f>
        <v>Chips &amp; Crisps</v>
      </c>
      <c r="C390" s="58">
        <f>IF('AYIRA MINI MART FINAL MENU - Pr'!C390="", "", 'AYIRA MINI MART FINAL MENU - Pr'!C390)</f>
        <v>1</v>
      </c>
      <c r="D390" s="56" t="str">
        <f>IFERROR(__xludf.DUMMYFUNCTION("IF('AYIRA MINI MART FINAL MENU - Pr'!D390="""", """", GOOGLETRANSLATE('AYIRA MINI MART FINAL MENU - Pr'!D390, ""ar"", ""en""))"),"Don't be able to resist the taste of AL MUDHISH Potato Ripples Sour Cream &amp; Onion 15g, your perfect companion for relaxing and watching the game. Their unique crunch and varied flavors make every handful a delightful experience. Prepared with the finest i"&amp;"ngredients using the latest manufacturing techniques to ensure an unparalleled taste. Ideal as a snack for adults and children alike between meals. Aira Mini Mart offers them in the perfect size and flavor for you.")</f>
        <v>Don't be able to resist the taste of AL MUDHISH Potato Ripples Sour Cream &amp; Onion 15g,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390" s="56" t="str">
        <f>IF('AYIRA MINI MART FINAL MENU - Pr'!K390="", "", 'AYIRA MINI MART FINAL MENU - Pr'!K390)</f>
        <v/>
      </c>
      <c r="F390" s="56"/>
      <c r="G390" s="56"/>
      <c r="H390" s="56"/>
      <c r="I390" s="56"/>
      <c r="J390" s="56"/>
      <c r="L390" s="56" t="str">
        <f>IF('AYIRA MINI MART FINAL MENU - Pr'!L390="", "", 'AYIRA MINI MART FINAL MENU - Pr'!L390)</f>
        <v/>
      </c>
      <c r="M390" s="56" t="str">
        <f>IF('AYIRA MINI MART FINAL MENU - Pr'!M390="", "", 'AYIRA MINI MART FINAL MENU - Pr'!M390)</f>
        <v/>
      </c>
      <c r="N390" s="56" t="str">
        <f>IF('AYIRA MINI MART FINAL MENU - Pr'!N390="", "", 'AYIRA MINI MART FINAL MENU - Pr'!N390)</f>
        <v/>
      </c>
      <c r="O390" s="57"/>
      <c r="P390" s="57"/>
      <c r="Q390" s="57"/>
      <c r="R390" s="57"/>
      <c r="S390" s="57"/>
      <c r="T390" s="57"/>
      <c r="U390" s="57"/>
      <c r="V390" s="57"/>
      <c r="W390" s="57"/>
      <c r="X390" s="57"/>
      <c r="Y390" s="57"/>
      <c r="Z390" s="57"/>
    </row>
    <row r="391">
      <c r="A391" s="56" t="str">
        <f>IFERROR(__xludf.DUMMYFUNCTION("IF('AYIRA MINI MART FINAL MENU - Pr'!A391="""", """", IF(LEN(IFERROR(TRIM(REGEXREPLACE(TRIM(REGEXEXTRACT('AYIRA MINI MART FINAL MENU - Pr'!A391, ""^[^\x{0600}-\x{06FF}]+"")), ""[-–]+$"", """")), """"))&gt;0, IFERROR(TRIM(REGEXREPLACE(TRIM(REGEXEXTRACT('AYIRA"&amp;" MINI MART FINAL MENU - Pr'!A391, ""^[^\x{0600}-\x{06FF}]+"")), ""[-–]+$"", """")), """"), GOOGLETRANSLATE('AYIRA MINI MART FINAL MENU - Pr'!A391, ""ar"", ""en"")))"),"AL MUDHISH Rings Salsa Crunchy Potato 15g – AL MUDHISH Rings Salsa Crunchy Potato 15")</f>
        <v>AL MUDHISH Rings Salsa Crunchy Potato 15g – AL MUDHISH Rings Salsa Crunchy Potato 15</v>
      </c>
      <c r="B391" s="56" t="str">
        <f>IFERROR(__xludf.DUMMYFUNCTION("IF('AYIRA MINI MART FINAL MENU - Pr'!B391="""", """", IF(LEN(IFERROR(TRIM(REGEXREPLACE(TRIM(REGEXEXTRACT('AYIRA MINI MART FINAL MENU - Pr'!B391, ""^[^\x{0600}-\x{06FF}]+"")), ""[-–]+$"", """")), """"))&gt;0, IFERROR(TRIM(REGEXREPLACE(TRIM(REGEXEXTRACT('AYIRA"&amp;" MINI MART FINAL MENU - Pr'!B391, ""^[^\x{0600}-\x{06FF}]+"")), ""[-–]+$"", """")), """"), GOOGLETRANSLATE('AYIRA MINI MART FINAL MENU - Pr'!B391, ""ar"", ""en"")))"),"Chips &amp; Crisps")</f>
        <v>Chips &amp; Crisps</v>
      </c>
      <c r="C391" s="58">
        <f>IF('AYIRA MINI MART FINAL MENU - Pr'!C391="", "", 'AYIRA MINI MART FINAL MENU - Pr'!C391)</f>
        <v>1</v>
      </c>
      <c r="D391" s="56" t="str">
        <f>IFERROR(__xludf.DUMMYFUNCTION("IF('AYIRA MINI MART FINAL MENU - Pr'!D391="""", """", GOOGLETRANSLATE('AYIRA MINI MART FINAL MENU - Pr'!D391, ""ar"", ""en""))"),"Don't be able to resist the taste of AL MUDHISH Rings Salsa Crunchy Potato 15g, your perfect companion for relaxing and watching the game. Its unique crunch and varied flavors make every handful a delightful experience. Prepared with the finest ingredient"&amp;"s using the latest manufacturing techniques to guarantee an unparalleled taste. Ideal as a snack for adults and children alike between meals. Aira Mini Mart offers it in the perfect size and flavor for you.")</f>
        <v>Don't be able to resist the taste of AL MUDHISH Rings Salsa Crunchy Potato 15g,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391" s="56" t="str">
        <f>IF('AYIRA MINI MART FINAL MENU - Pr'!K391="", "", 'AYIRA MINI MART FINAL MENU - Pr'!K391)</f>
        <v/>
      </c>
      <c r="F391" s="56"/>
      <c r="G391" s="56"/>
      <c r="H391" s="56"/>
      <c r="I391" s="56"/>
      <c r="J391" s="56"/>
      <c r="L391" s="56" t="str">
        <f>IF('AYIRA MINI MART FINAL MENU - Pr'!L391="", "", 'AYIRA MINI MART FINAL MENU - Pr'!L391)</f>
        <v/>
      </c>
      <c r="M391" s="56" t="str">
        <f>IF('AYIRA MINI MART FINAL MENU - Pr'!M391="", "", 'AYIRA MINI MART FINAL MENU - Pr'!M391)</f>
        <v/>
      </c>
      <c r="N391" s="56" t="str">
        <f>IF('AYIRA MINI MART FINAL MENU - Pr'!N391="", "", 'AYIRA MINI MART FINAL MENU - Pr'!N391)</f>
        <v/>
      </c>
      <c r="O391" s="57"/>
      <c r="P391" s="57"/>
      <c r="Q391" s="57"/>
      <c r="R391" s="57"/>
      <c r="S391" s="57"/>
      <c r="T391" s="57"/>
      <c r="U391" s="57"/>
      <c r="V391" s="57"/>
      <c r="W391" s="57"/>
      <c r="X391" s="57"/>
      <c r="Y391" s="57"/>
      <c r="Z391" s="57"/>
    </row>
    <row r="392">
      <c r="A392" s="56" t="str">
        <f>IFERROR(__xludf.DUMMYFUNCTION("IF('AYIRA MINI MART FINAL MENU - Pr'!A392="""", """", IF(LEN(IFERROR(TRIM(REGEXREPLACE(TRIM(REGEXEXTRACT('AYIRA MINI MART FINAL MENU - Pr'!A392, ""^[^\x{0600}-\x{06FF}]+"")), ""[-–]+$"", """")), """"))&gt;0, IFERROR(TRIM(REGEXREPLACE(TRIM(REGEXEXTRACT('AYIRA"&amp;" MINI MART FINAL MENU - Pr'!A392, ""^[^\x{0600}-\x{06FF}]+"")), ""[-–]+$"", """")), """"), GOOGLETRANSLATE('AYIRA MINI MART FINAL MENU - Pr'!A392, ""ar"", ""en"")))"),"AL MUDHISH Potato Chips Salt &amp; Vinegar 15g – AL MUDHISH Potato")</f>
        <v>AL MUDHISH Potato Chips Salt &amp; Vinegar 15g – AL MUDHISH Potato</v>
      </c>
      <c r="B392" s="56" t="str">
        <f>IFERROR(__xludf.DUMMYFUNCTION("IF('AYIRA MINI MART FINAL MENU - Pr'!B392="""", """", IF(LEN(IFERROR(TRIM(REGEXREPLACE(TRIM(REGEXEXTRACT('AYIRA MINI MART FINAL MENU - Pr'!B392, ""^[^\x{0600}-\x{06FF}]+"")), ""[-–]+$"", """")), """"))&gt;0, IFERROR(TRIM(REGEXREPLACE(TRIM(REGEXEXTRACT('AYIRA"&amp;" MINI MART FINAL MENU - Pr'!B392, ""^[^\x{0600}-\x{06FF}]+"")), ""[-–]+$"", """")), """"), GOOGLETRANSLATE('AYIRA MINI MART FINAL MENU - Pr'!B392, ""ar"", ""en"")))"),"Chips &amp; Crisps")</f>
        <v>Chips &amp; Crisps</v>
      </c>
      <c r="C392" s="58">
        <f>IF('AYIRA MINI MART FINAL MENU - Pr'!C392="", "", 'AYIRA MINI MART FINAL MENU - Pr'!C392)</f>
        <v>1</v>
      </c>
      <c r="D392" s="56" t="str">
        <f>IFERROR(__xludf.DUMMYFUNCTION("IF('AYIRA MINI MART FINAL MENU - Pr'!D392="""", """", GOOGLETRANSLATE('AYIRA MINI MART FINAL MENU - Pr'!D392, ""ar"", ""en""))"),"Don't be able to resist the taste of AL MUDHISH Potato Chips Salt &amp; Vinegar 15g, your perfect companion for relaxing and watching the game. Their unique crunch and varied flavors make every handful a delightful experience. Prepared with the finest ingredi"&amp;"ents using the latest manufacturing techniques to ensure an unparalleled taste. Ideal as a snack for adults and children alike between meals. Aira Mini Mart offers them in the perfect size and flavor for you.")</f>
        <v>Don't be able to resist the taste of AL MUDHISH Potato Chips Salt &amp; Vinegar 15g,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392" s="56" t="str">
        <f>IF('AYIRA MINI MART FINAL MENU - Pr'!K392="", "", 'AYIRA MINI MART FINAL MENU - Pr'!K392)</f>
        <v/>
      </c>
      <c r="F392" s="56"/>
      <c r="G392" s="56"/>
      <c r="H392" s="56"/>
      <c r="I392" s="56"/>
      <c r="J392" s="56"/>
      <c r="L392" s="56" t="str">
        <f>IF('AYIRA MINI MART FINAL MENU - Pr'!L392="", "", 'AYIRA MINI MART FINAL MENU - Pr'!L392)</f>
        <v/>
      </c>
      <c r="M392" s="56" t="str">
        <f>IF('AYIRA MINI MART FINAL MENU - Pr'!M392="", "", 'AYIRA MINI MART FINAL MENU - Pr'!M392)</f>
        <v/>
      </c>
      <c r="N392" s="56" t="str">
        <f>IF('AYIRA MINI MART FINAL MENU - Pr'!N392="", "", 'AYIRA MINI MART FINAL MENU - Pr'!N392)</f>
        <v/>
      </c>
      <c r="O392" s="57"/>
      <c r="P392" s="57"/>
      <c r="Q392" s="57"/>
      <c r="R392" s="57"/>
      <c r="S392" s="57"/>
      <c r="T392" s="57"/>
      <c r="U392" s="57"/>
      <c r="V392" s="57"/>
      <c r="W392" s="57"/>
      <c r="X392" s="57"/>
      <c r="Y392" s="57"/>
      <c r="Z392" s="57"/>
    </row>
    <row r="393">
      <c r="A393" s="56" t="str">
        <f>IFERROR(__xludf.DUMMYFUNCTION("IF('AYIRA MINI MART FINAL MENU - Pr'!A393="""", """", IF(LEN(IFERROR(TRIM(REGEXREPLACE(TRIM(REGEXEXTRACT('AYIRA MINI MART FINAL MENU - Pr'!A393, ""^[^\x{0600}-\x{06FF}]+"")), ""[-–]+$"", """")), """"))&gt;0, IFERROR(TRIM(REGEXREPLACE(TRIM(REGEXEXTRACT('AYIRA"&amp;" MINI MART FINAL MENU - Pr'!A393, ""^[^\x{0600}-\x{06FF}]+"")), ""[-–]+$"", """")), """"), GOOGLETRANSLATE('AYIRA MINI MART FINAL MENU - Pr'!A393, ""ar"", ""en"")))"),"AL MUDHISH Potato Chips Salted 15g – AL MUDHISH Potato")</f>
        <v>AL MUDHISH Potato Chips Salted 15g – AL MUDHISH Potato</v>
      </c>
      <c r="B393" s="56" t="str">
        <f>IFERROR(__xludf.DUMMYFUNCTION("IF('AYIRA MINI MART FINAL MENU - Pr'!B393="""", """", IF(LEN(IFERROR(TRIM(REGEXREPLACE(TRIM(REGEXEXTRACT('AYIRA MINI MART FINAL MENU - Pr'!B393, ""^[^\x{0600}-\x{06FF}]+"")), ""[-–]+$"", """")), """"))&gt;0, IFERROR(TRIM(REGEXREPLACE(TRIM(REGEXEXTRACT('AYIRA"&amp;" MINI MART FINAL MENU - Pr'!B393, ""^[^\x{0600}-\x{06FF}]+"")), ""[-–]+$"", """")), """"), GOOGLETRANSLATE('AYIRA MINI MART FINAL MENU - Pr'!B393, ""ar"", ""en"")))"),"Chips &amp; Crisps")</f>
        <v>Chips &amp; Crisps</v>
      </c>
      <c r="C393" s="58">
        <f>IF('AYIRA MINI MART FINAL MENU - Pr'!C393="", "", 'AYIRA MINI MART FINAL MENU - Pr'!C393)</f>
        <v>1</v>
      </c>
      <c r="D393" s="56" t="str">
        <f>IFERROR(__xludf.DUMMYFUNCTION("IF('AYIRA MINI MART FINAL MENU - Pr'!D393="""", """", GOOGLETRANSLATE('AYIRA MINI MART FINAL MENU - Pr'!D393, ""ar"", ""en""))"),"Don't be able to resist the taste of AL MUDHISH Salted Potato Chips 15g, your perfect companion for relaxing and watching the game. Their unique crunch and varied flavors make every handful a delightful experience. Prepared with the finest ingredients usi"&amp;"ng the latest manufacturing techniques to ensure an unparalleled taste. Ideal as a snack for adults and children alike between meals. Aira Mini Mart offers them in the perfect size and flavor for you.")</f>
        <v>Don't be able to resist the taste of AL MUDHISH Salted Potato Chips 15g,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393" s="56" t="str">
        <f>IF('AYIRA MINI MART FINAL MENU - Pr'!K393="", "", 'AYIRA MINI MART FINAL MENU - Pr'!K393)</f>
        <v/>
      </c>
      <c r="F393" s="56"/>
      <c r="G393" s="56"/>
      <c r="H393" s="56"/>
      <c r="I393" s="56"/>
      <c r="J393" s="56"/>
      <c r="L393" s="56" t="str">
        <f>IF('AYIRA MINI MART FINAL MENU - Pr'!L393="", "", 'AYIRA MINI MART FINAL MENU - Pr'!L393)</f>
        <v/>
      </c>
      <c r="M393" s="56" t="str">
        <f>IF('AYIRA MINI MART FINAL MENU - Pr'!M393="", "", 'AYIRA MINI MART FINAL MENU - Pr'!M393)</f>
        <v/>
      </c>
      <c r="N393" s="56" t="str">
        <f>IF('AYIRA MINI MART FINAL MENU - Pr'!N393="", "", 'AYIRA MINI MART FINAL MENU - Pr'!N393)</f>
        <v/>
      </c>
      <c r="O393" s="57"/>
      <c r="P393" s="57"/>
      <c r="Q393" s="57"/>
      <c r="R393" s="57"/>
      <c r="S393" s="57"/>
      <c r="T393" s="57"/>
      <c r="U393" s="57"/>
      <c r="V393" s="57"/>
      <c r="W393" s="57"/>
      <c r="X393" s="57"/>
      <c r="Y393" s="57"/>
      <c r="Z393" s="57"/>
    </row>
    <row r="394">
      <c r="A394" s="56" t="str">
        <f>IFERROR(__xludf.DUMMYFUNCTION("IF('AYIRA MINI MART FINAL MENU - Pr'!A394="""", """", IF(LEN(IFERROR(TRIM(REGEXREPLACE(TRIM(REGEXEXTRACT('AYIRA MINI MART FINAL MENU - Pr'!A394, ""^[^\x{0600}-\x{06FF}]+"")), ""[-–]+$"", """")), """"))&gt;0, IFERROR(TRIM(REGEXREPLACE(TRIM(REGEXEXTRACT('AYIRA"&amp;" MINI MART FINAL MENU - Pr'!A394, ""^[^\x{0600}-\x{06FF}]+"")), ""[-–]+$"", """")), """"), GOOGLETRANSLATE('AYIRA MINI MART FINAL MENU - Pr'!A394, ""ar"", ""en"")))"),"AL MUDHISH Salt &amp; Vinegar Potato Chips 75g – AL MUDHISH")</f>
        <v>AL MUDHISH Salt &amp; Vinegar Potato Chips 75g – AL MUDHISH</v>
      </c>
      <c r="B394" s="56" t="str">
        <f>IFERROR(__xludf.DUMMYFUNCTION("IF('AYIRA MINI MART FINAL MENU - Pr'!B394="""", """", IF(LEN(IFERROR(TRIM(REGEXREPLACE(TRIM(REGEXEXTRACT('AYIRA MINI MART FINAL MENU - Pr'!B394, ""^[^\x{0600}-\x{06FF}]+"")), ""[-–]+$"", """")), """"))&gt;0, IFERROR(TRIM(REGEXREPLACE(TRIM(REGEXEXTRACT('AYIRA"&amp;" MINI MART FINAL MENU - Pr'!B394, ""^[^\x{0600}-\x{06FF}]+"")), ""[-–]+$"", """")), """"), GOOGLETRANSLATE('AYIRA MINI MART FINAL MENU - Pr'!B394, ""ar"", ""en"")))"),"Chips &amp; Crisps")</f>
        <v>Chips &amp; Crisps</v>
      </c>
      <c r="C394" s="58">
        <f>IF('AYIRA MINI MART FINAL MENU - Pr'!C394="", "", 'AYIRA MINI MART FINAL MENU - Pr'!C394)</f>
        <v>4</v>
      </c>
      <c r="D394" s="56" t="str">
        <f>IFERROR(__xludf.DUMMYFUNCTION("IF('AYIRA MINI MART FINAL MENU - Pr'!D394="""", """", GOOGLETRANSLATE('AYIRA MINI MART FINAL MENU - Pr'!D394, ""ar"", ""en""))"),"Don't be able to resist the taste of AL MUDHISH Salt &amp; Vinegar Potato Chips 75g, your perfect companion for relaxing and watching the game. Their unique crunch and varied flavors make every handful a delightful experience. Prepared with the finest ingredi"&amp;"ents using the latest manufacturing techniques to ensure an unparalleled taste. Ideal as a snack for adults and children alike between meals. Aira Mini Mart offers them in the perfect size and flavor for you.")</f>
        <v>Don't be able to resist the taste of AL MUDHISH Salt &amp; Vinegar Potato Chips 75g,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394" s="56" t="str">
        <f>IF('AYIRA MINI MART FINAL MENU - Pr'!K394="", "", 'AYIRA MINI MART FINAL MENU - Pr'!K394)</f>
        <v/>
      </c>
      <c r="F394" s="56"/>
      <c r="G394" s="56"/>
      <c r="H394" s="56"/>
      <c r="I394" s="56"/>
      <c r="J394" s="56"/>
      <c r="L394" s="56" t="str">
        <f>IF('AYIRA MINI MART FINAL MENU - Pr'!L394="", "", 'AYIRA MINI MART FINAL MENU - Pr'!L394)</f>
        <v/>
      </c>
      <c r="M394" s="56" t="str">
        <f>IF('AYIRA MINI MART FINAL MENU - Pr'!M394="", "", 'AYIRA MINI MART FINAL MENU - Pr'!M394)</f>
        <v/>
      </c>
      <c r="N394" s="56" t="str">
        <f>IF('AYIRA MINI MART FINAL MENU - Pr'!N394="", "", 'AYIRA MINI MART FINAL MENU - Pr'!N394)</f>
        <v/>
      </c>
      <c r="O394" s="57"/>
      <c r="P394" s="57"/>
      <c r="Q394" s="57"/>
      <c r="R394" s="57"/>
      <c r="S394" s="57"/>
      <c r="T394" s="57"/>
      <c r="U394" s="57"/>
      <c r="V394" s="57"/>
      <c r="W394" s="57"/>
      <c r="X394" s="57"/>
      <c r="Y394" s="57"/>
      <c r="Z394" s="57"/>
    </row>
    <row r="395">
      <c r="A395" s="56" t="str">
        <f>IFERROR(__xludf.DUMMYFUNCTION("IF('AYIRA MINI MART FINAL MENU - Pr'!A395="""", """", IF(LEN(IFERROR(TRIM(REGEXREPLACE(TRIM(REGEXEXTRACT('AYIRA MINI MART FINAL MENU - Pr'!A395, ""^[^\x{0600}-\x{06FF}]+"")), ""[-–]+$"", """")), """"))&gt;0, IFERROR(TRIM(REGEXREPLACE(TRIM(REGEXEXTRACT('AYIRA"&amp;" MINI MART FINAL MENU - Pr'!A395, ""^[^\x{0600}-\x{06FF}]+"")), ""[-–]+$"", """")), """"), GOOGLETRANSLATE('AYIRA MINI MART FINAL MENU - Pr'!A395, ""ar"", ""en"")))"),"AL MUDHISH Ripples Cheese Potato Chips 75g – AL MUDHISH Ripples")</f>
        <v>AL MUDHISH Ripples Cheese Potato Chips 75g – AL MUDHISH Ripples</v>
      </c>
      <c r="B395" s="56" t="str">
        <f>IFERROR(__xludf.DUMMYFUNCTION("IF('AYIRA MINI MART FINAL MENU - Pr'!B395="""", """", IF(LEN(IFERROR(TRIM(REGEXREPLACE(TRIM(REGEXEXTRACT('AYIRA MINI MART FINAL MENU - Pr'!B395, ""^[^\x{0600}-\x{06FF}]+"")), ""[-–]+$"", """")), """"))&gt;0, IFERROR(TRIM(REGEXREPLACE(TRIM(REGEXEXTRACT('AYIRA"&amp;" MINI MART FINAL MENU - Pr'!B395, ""^[^\x{0600}-\x{06FF}]+"")), ""[-–]+$"", """")), """"), GOOGLETRANSLATE('AYIRA MINI MART FINAL MENU - Pr'!B395, ""ar"", ""en"")))"),"Chips &amp; Crisps")</f>
        <v>Chips &amp; Crisps</v>
      </c>
      <c r="C395" s="58">
        <f>IF('AYIRA MINI MART FINAL MENU - Pr'!C395="", "", 'AYIRA MINI MART FINAL MENU - Pr'!C395)</f>
        <v>4</v>
      </c>
      <c r="D395" s="56" t="str">
        <f>IFERROR(__xludf.DUMMYFUNCTION("IF('AYIRA MINI MART FINAL MENU - Pr'!D395="""", """", GOOGLETRANSLATE('AYIRA MINI MART FINAL MENU - Pr'!D395, ""ar"", ""en""))"),"Don't be able to resist the taste of AL MUDHISH Ripples Cheese Potato Chips 75g, your perfect companion for relaxing and watching the game. Their unique crunch and varied flavors make every handful a delightful experience. Prepared with the finest ingredi"&amp;"ents using the latest manufacturing techniques to ensure an unparalleled taste. Ideal as a snack for adults and children alike between meals. Aira Mini Mart offers them in the perfect size and flavor for you.")</f>
        <v>Don't be able to resist the taste of AL MUDHISH Ripples Cheese Potato Chips 75g,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395" s="56" t="str">
        <f>IF('AYIRA MINI MART FINAL MENU - Pr'!K395="", "", 'AYIRA MINI MART FINAL MENU - Pr'!K395)</f>
        <v/>
      </c>
      <c r="F395" s="56"/>
      <c r="G395" s="56"/>
      <c r="H395" s="56"/>
      <c r="I395" s="56"/>
      <c r="J395" s="56"/>
      <c r="L395" s="56" t="str">
        <f>IF('AYIRA MINI MART FINAL MENU - Pr'!L395="", "", 'AYIRA MINI MART FINAL MENU - Pr'!L395)</f>
        <v/>
      </c>
      <c r="M395" s="56" t="str">
        <f>IF('AYIRA MINI MART FINAL MENU - Pr'!M395="", "", 'AYIRA MINI MART FINAL MENU - Pr'!M395)</f>
        <v/>
      </c>
      <c r="N395" s="56" t="str">
        <f>IF('AYIRA MINI MART FINAL MENU - Pr'!N395="", "", 'AYIRA MINI MART FINAL MENU - Pr'!N395)</f>
        <v/>
      </c>
      <c r="O395" s="57"/>
      <c r="P395" s="57"/>
      <c r="Q395" s="57"/>
      <c r="R395" s="57"/>
      <c r="S395" s="57"/>
      <c r="T395" s="57"/>
      <c r="U395" s="57"/>
      <c r="V395" s="57"/>
      <c r="W395" s="57"/>
      <c r="X395" s="57"/>
      <c r="Y395" s="57"/>
      <c r="Z395" s="57"/>
    </row>
    <row r="396">
      <c r="A396" s="56" t="str">
        <f>IFERROR(__xludf.DUMMYFUNCTION("IF('AYIRA MINI MART FINAL MENU - Pr'!A396="""", """", IF(LEN(IFERROR(TRIM(REGEXREPLACE(TRIM(REGEXEXTRACT('AYIRA MINI MART FINAL MENU - Pr'!A396, ""^[^\x{0600}-\x{06FF}]+"")), ""[-–]+$"", """")), """"))&gt;0, IFERROR(TRIM(REGEXREPLACE(TRIM(REGEXEXTRACT('AYIRA"&amp;" MINI MART FINAL MENU - Pr'!A396, ""^[^\x{0600}-\x{06FF}]+"")), ""[-–]+$"", """")), """"), GOOGLETRANSLATE('AYIRA MINI MART FINAL MENU - Pr'!A396, ""ar"", ""en"")))"),"Cadbury Dairy Milk Bubbly Milk Chocolate 28g")</f>
        <v>Cadbury Dairy Milk Bubbly Milk Chocolate 28g</v>
      </c>
      <c r="B396" s="56" t="str">
        <f>IFERROR(__xludf.DUMMYFUNCTION("IF('AYIRA MINI MART FINAL MENU - Pr'!B396="""", """", IF(LEN(IFERROR(TRIM(REGEXREPLACE(TRIM(REGEXEXTRACT('AYIRA MINI MART FINAL MENU - Pr'!B396, ""^[^\x{0600}-\x{06FF}]+"")), ""[-–]+$"", """")), """"))&gt;0, IFERROR(TRIM(REGEXREPLACE(TRIM(REGEXEXTRACT('AYIRA"&amp;" MINI MART FINAL MENU - Pr'!B396, ""^[^\x{0600}-\x{06FF}]+"")), ""[-–]+$"", """")), """"), GOOGLETRANSLATE('AYIRA MINI MART FINAL MENU - Pr'!B396, ""ar"", ""en"")))"),"Chocolates")</f>
        <v>Chocolates</v>
      </c>
      <c r="C396" s="58">
        <f>IF('AYIRA MINI MART FINAL MENU - Pr'!C396="", "", 'AYIRA MINI MART FINAL MENU - Pr'!C396)</f>
        <v>3.5</v>
      </c>
      <c r="D396" s="56" t="str">
        <f>IFERROR(__xludf.DUMMYFUNCTION("IF('AYIRA MINI MART FINAL MENU - Pr'!D396="""", """", GOOGLETRANSLATE('AYIRA MINI MART FINAL MENU - Pr'!D396, ""ar"", ""en""))"),"Indulge your senses with Cadbury, the luxurious chocolate that combines rich flavor with a perfect texture. Made from the finest selected cocoa beans, it delivers an exceptional confectionery experience every time. Whether you're looking for a special gif"&amp;"t or want to treat yourself, this chocolate is the perfect choice. Savor every piece and immerse yourself in a world of smoothness and sweetness. Get yours from Aira Mini Mart and experience moments of pure delight.")</f>
        <v>Indulge your senses with Cadbury, the luxurious chocolate that combines rich flavor with a perfect texture. Made from the finest selected cocoa beans, it delivers an exceptional confectionery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96" s="56" t="str">
        <f>IF('AYIRA MINI MART FINAL MENU - Pr'!K396="", "", 'AYIRA MINI MART FINAL MENU - Pr'!K396)</f>
        <v/>
      </c>
      <c r="F396" s="56"/>
      <c r="G396" s="56"/>
      <c r="H396" s="56"/>
      <c r="I396" s="56"/>
      <c r="J396" s="56"/>
      <c r="L396" s="56" t="str">
        <f>IF('AYIRA MINI MART FINAL MENU - Pr'!L396="", "", 'AYIRA MINI MART FINAL MENU - Pr'!L396)</f>
        <v/>
      </c>
      <c r="M396" s="56" t="str">
        <f>IF('AYIRA MINI MART FINAL MENU - Pr'!M396="", "", 'AYIRA MINI MART FINAL MENU - Pr'!M396)</f>
        <v/>
      </c>
      <c r="N396" s="56" t="str">
        <f>IF('AYIRA MINI MART FINAL MENU - Pr'!N396="", "", 'AYIRA MINI MART FINAL MENU - Pr'!N396)</f>
        <v/>
      </c>
      <c r="O396" s="57"/>
      <c r="P396" s="57"/>
      <c r="Q396" s="57"/>
      <c r="R396" s="57"/>
      <c r="S396" s="57"/>
      <c r="T396" s="57"/>
      <c r="U396" s="57"/>
      <c r="V396" s="57"/>
      <c r="W396" s="57"/>
      <c r="X396" s="57"/>
      <c r="Y396" s="57"/>
      <c r="Z396" s="57"/>
    </row>
    <row r="397">
      <c r="A397" s="56" t="str">
        <f>IFERROR(__xludf.DUMMYFUNCTION("IF('AYIRA MINI MART FINAL MENU - Pr'!A397="""", """", IF(LEN(IFERROR(TRIM(REGEXREPLACE(TRIM(REGEXEXTRACT('AYIRA MINI MART FINAL MENU - Pr'!A397, ""^[^\x{0600}-\x{06FF}]+"")), ""[-–]+$"", """")), """"))&gt;0, IFERROR(TRIM(REGEXREPLACE(TRIM(REGEXEXTRACT('AYIRA"&amp;" MINI MART FINAL MENU - Pr'!A397, ""^[^\x{0600}-\x{06FF}]+"")), ""[-–]+$"", """")), """"), GOOGLETRANSLATE('AYIRA MINI MART FINAL MENU - Pr'!A397, ""ar"", ""en"")))"),"Cadbury Dairy Milk Hazelnut Chocolate Bar 32g")</f>
        <v>Cadbury Dairy Milk Hazelnut Chocolate Bar 32g</v>
      </c>
      <c r="B397" s="56" t="str">
        <f>IFERROR(__xludf.DUMMYFUNCTION("IF('AYIRA MINI MART FINAL MENU - Pr'!B397="""", """", IF(LEN(IFERROR(TRIM(REGEXREPLACE(TRIM(REGEXEXTRACT('AYIRA MINI MART FINAL MENU - Pr'!B397, ""^[^\x{0600}-\x{06FF}]+"")), ""[-–]+$"", """")), """"))&gt;0, IFERROR(TRIM(REGEXREPLACE(TRIM(REGEXEXTRACT('AYIRA"&amp;" MINI MART FINAL MENU - Pr'!B397, ""^[^\x{0600}-\x{06FF}]+"")), ""[-–]+$"", """")), """"), GOOGLETRANSLATE('AYIRA MINI MART FINAL MENU - Pr'!B397, ""ar"", ""en"")))"),"Chocolates")</f>
        <v>Chocolates</v>
      </c>
      <c r="C397" s="58">
        <f>IF('AYIRA MINI MART FINAL MENU - Pr'!C397="", "", 'AYIRA MINI MART FINAL MENU - Pr'!C397)</f>
        <v>3.5</v>
      </c>
      <c r="D397" s="56" t="str">
        <f>IFERROR(__xludf.DUMMYFUNCTION("IF('AYIRA MINI MART FINAL MENU - Pr'!D397="""", """", GOOGLETRANSLATE('AYIRA MINI MART FINAL MENU - Pr'!D397, ""ar"", ""en""))"),"Indulge your senses with Cadbury, the luxurious chocolate that combines rich flavor with a perfect texture. Made from the finest selected cocoa beans, it delivers an exceptional confectionery experience every time. Whether you're looking for a special gif"&amp;"t or want to treat yourself, this chocolate is the perfect choice. Savor every piece and immerse yourself in a world of smoothness and sweetness. Get yours from Aira Mini Mart and experience moments of pure delight.")</f>
        <v>Indulge your senses with Cadbury, the luxurious chocolate that combines rich flavor with a perfect texture. Made from the finest selected cocoa beans, it delivers an exceptional confectionery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97" s="56" t="str">
        <f>IF('AYIRA MINI MART FINAL MENU - Pr'!K397="", "", 'AYIRA MINI MART FINAL MENU - Pr'!K397)</f>
        <v/>
      </c>
      <c r="F397" s="56"/>
      <c r="G397" s="56"/>
      <c r="H397" s="56"/>
      <c r="I397" s="56"/>
      <c r="J397" s="56"/>
      <c r="L397" s="56" t="str">
        <f>IF('AYIRA MINI MART FINAL MENU - Pr'!L397="", "", 'AYIRA MINI MART FINAL MENU - Pr'!L397)</f>
        <v/>
      </c>
      <c r="M397" s="56" t="str">
        <f>IF('AYIRA MINI MART FINAL MENU - Pr'!M397="", "", 'AYIRA MINI MART FINAL MENU - Pr'!M397)</f>
        <v/>
      </c>
      <c r="N397" s="56" t="str">
        <f>IF('AYIRA MINI MART FINAL MENU - Pr'!N397="", "", 'AYIRA MINI MART FINAL MENU - Pr'!N397)</f>
        <v/>
      </c>
      <c r="O397" s="57"/>
      <c r="P397" s="57"/>
      <c r="Q397" s="57"/>
      <c r="R397" s="57"/>
      <c r="S397" s="57"/>
      <c r="T397" s="57"/>
      <c r="U397" s="57"/>
      <c r="V397" s="57"/>
      <c r="W397" s="57"/>
      <c r="X397" s="57"/>
      <c r="Y397" s="57"/>
      <c r="Z397" s="57"/>
    </row>
    <row r="398">
      <c r="A398" s="56" t="str">
        <f>IFERROR(__xludf.DUMMYFUNCTION("IF('AYIRA MINI MART FINAL MENU - Pr'!A398="""", """", IF(LEN(IFERROR(TRIM(REGEXREPLACE(TRIM(REGEXEXTRACT('AYIRA MINI MART FINAL MENU - Pr'!A398, ""^[^\x{0600}-\x{06FF}]+"")), ""[-–]+$"", """")), """"))&gt;0, IFERROR(TRIM(REGEXREPLACE(TRIM(REGEXEXTRACT('AYIRA"&amp;" MINI MART FINAL MENU - Pr'!A398, ""^[^\x{0600}-\x{06FF}]+"")), ""[-–]+$"", """")), """"), GOOGLETRANSLATE('AYIRA MINI MART FINAL MENU - Pr'!A398, ""ar"", ""en"")))"),"Cadbury Dairy Milk Fruit &amp; Nut Chocolate Bar 32g")</f>
        <v>Cadbury Dairy Milk Fruit &amp; Nut Chocolate Bar 32g</v>
      </c>
      <c r="B398" s="56" t="str">
        <f>IFERROR(__xludf.DUMMYFUNCTION("IF('AYIRA MINI MART FINAL MENU - Pr'!B398="""", """", IF(LEN(IFERROR(TRIM(REGEXREPLACE(TRIM(REGEXEXTRACT('AYIRA MINI MART FINAL MENU - Pr'!B398, ""^[^\x{0600}-\x{06FF}]+"")), ""[-–]+$"", """")), """"))&gt;0, IFERROR(TRIM(REGEXREPLACE(TRIM(REGEXEXTRACT('AYIRA"&amp;" MINI MART FINAL MENU - Pr'!B398, ""^[^\x{0600}-\x{06FF}]+"")), ""[-–]+$"", """")), """"), GOOGLETRANSLATE('AYIRA MINI MART FINAL MENU - Pr'!B398, ""ar"", ""en"")))"),"Chocolates")</f>
        <v>Chocolates</v>
      </c>
      <c r="C398" s="58">
        <f>IF('AYIRA MINI MART FINAL MENU - Pr'!C398="", "", 'AYIRA MINI MART FINAL MENU - Pr'!C398)</f>
        <v>3.5</v>
      </c>
      <c r="D398" s="56" t="str">
        <f>IFERROR(__xludf.DUMMYFUNCTION("IF('AYIRA MINI MART FINAL MENU - Pr'!D398="""", """", GOOGLETRANSLATE('AYIRA MINI MART FINAL MENU - Pr'!D398, ""ar"", ""en""))"),"Indulge your senses with Cadbury, the luxurious chocolate that combines rich flavor with a perfect texture. Made from the finest selected cocoa beans, it delivers an exceptional confectionery experience every time. Whether you're looking for a special gif"&amp;"t or want to treat yourself, this chocolate is the perfect choice. Savor every piece and immerse yourself in a world of smoothness and sweetness. Get yours from Aira Mini Mart and experience moments of pure delight.")</f>
        <v>Indulge your senses with Cadbury, the luxurious chocolate that combines rich flavor with a perfect texture. Made from the finest selected cocoa beans, it delivers an exceptional confectionery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98" s="56" t="str">
        <f>IF('AYIRA MINI MART FINAL MENU - Pr'!K398="", "", 'AYIRA MINI MART FINAL MENU - Pr'!K398)</f>
        <v/>
      </c>
      <c r="F398" s="56"/>
      <c r="G398" s="56"/>
      <c r="H398" s="56"/>
      <c r="I398" s="56"/>
      <c r="J398" s="56"/>
      <c r="L398" s="56" t="str">
        <f>IF('AYIRA MINI MART FINAL MENU - Pr'!L398="", "", 'AYIRA MINI MART FINAL MENU - Pr'!L398)</f>
        <v/>
      </c>
      <c r="M398" s="56" t="str">
        <f>IF('AYIRA MINI MART FINAL MENU - Pr'!M398="", "", 'AYIRA MINI MART FINAL MENU - Pr'!M398)</f>
        <v/>
      </c>
      <c r="N398" s="56" t="str">
        <f>IF('AYIRA MINI MART FINAL MENU - Pr'!N398="", "", 'AYIRA MINI MART FINAL MENU - Pr'!N398)</f>
        <v/>
      </c>
      <c r="O398" s="57"/>
      <c r="P398" s="57"/>
      <c r="Q398" s="57"/>
      <c r="R398" s="57"/>
      <c r="S398" s="57"/>
      <c r="T398" s="57"/>
      <c r="U398" s="57"/>
      <c r="V398" s="57"/>
      <c r="W398" s="57"/>
      <c r="X398" s="57"/>
      <c r="Y398" s="57"/>
      <c r="Z398" s="57"/>
    </row>
    <row r="399">
      <c r="A399" s="56" t="str">
        <f>IFERROR(__xludf.DUMMYFUNCTION("IF('AYIRA MINI MART FINAL MENU - Pr'!A399="""", """", IF(LEN(IFERROR(TRIM(REGEXREPLACE(TRIM(REGEXEXTRACT('AYIRA MINI MART FINAL MENU - Pr'!A399, ""^[^\x{0600}-\x{06FF}]+"")), ""[-–]+$"", """")), """"))&gt;0, IFERROR(TRIM(REGEXREPLACE(TRIM(REGEXEXTRACT('AYIRA"&amp;" MINI MART FINAL MENU - Pr'!A399, ""^[^\x{0600}-\x{06FF}]+"")), ""[-–]+$"", """")), """"), GOOGLETRANSLATE('AYIRA MINI MART FINAL MENU - Pr'!A399, ""ar"", ""en"")))"),"Cadbury Time Out Crunch Wafer 28g")</f>
        <v>Cadbury Time Out Crunch Wafer 28g</v>
      </c>
      <c r="B399" s="56" t="str">
        <f>IFERROR(__xludf.DUMMYFUNCTION("IF('AYIRA MINI MART FINAL MENU - Pr'!B399="""", """", IF(LEN(IFERROR(TRIM(REGEXREPLACE(TRIM(REGEXEXTRACT('AYIRA MINI MART FINAL MENU - Pr'!B399, ""^[^\x{0600}-\x{06FF}]+"")), ""[-–]+$"", """")), """"))&gt;0, IFERROR(TRIM(REGEXREPLACE(TRIM(REGEXEXTRACT('AYIRA"&amp;" MINI MART FINAL MENU - Pr'!B399, ""^[^\x{0600}-\x{06FF}]+"")), ""[-–]+$"", """")), """"), GOOGLETRANSLATE('AYIRA MINI MART FINAL MENU - Pr'!B399, ""ar"", ""en"")))"),"Chocolates")</f>
        <v>Chocolates</v>
      </c>
      <c r="C399" s="58">
        <f>IF('AYIRA MINI MART FINAL MENU - Pr'!C399="", "", 'AYIRA MINI MART FINAL MENU - Pr'!C399)</f>
        <v>1.5</v>
      </c>
      <c r="D399" s="56" t="str">
        <f>IFERROR(__xludf.DUMMYFUNCTION("IF('AYIRA MINI MART FINAL MENU - Pr'!D399="""", """", GOOGLETRANSLATE('AYIRA MINI MART FINAL MENU - Pr'!D399, ""ar"", ""en""))"),"Indulge your senses with Cadbury, the luxurious chocolate that combines rich flavor with a perfect texture. Made from the finest selected cocoa beans, it delivers an exceptional confectionery experience every time. Whether you're looking for a special gif"&amp;"t or want to treat yourself, this chocolate is the perfect choice. Savor every piece and immerse yourself in a world of smoothness and sweetness. Get yours from Aira Mini Mart and experience moments of pure delight.")</f>
        <v>Indulge your senses with Cadbury, the luxurious chocolate that combines rich flavor with a perfect texture. Made from the finest selected cocoa beans, it delivers an exceptional confectionery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399" s="56" t="str">
        <f>IF('AYIRA MINI MART FINAL MENU - Pr'!K399="", "", 'AYIRA MINI MART FINAL MENU - Pr'!K399)</f>
        <v/>
      </c>
      <c r="F399" s="56"/>
      <c r="G399" s="56"/>
      <c r="H399" s="56"/>
      <c r="I399" s="56"/>
      <c r="J399" s="56"/>
      <c r="L399" s="56" t="str">
        <f>IF('AYIRA MINI MART FINAL MENU - Pr'!L399="", "", 'AYIRA MINI MART FINAL MENU - Pr'!L399)</f>
        <v/>
      </c>
      <c r="M399" s="56" t="str">
        <f>IF('AYIRA MINI MART FINAL MENU - Pr'!M399="", "", 'AYIRA MINI MART FINAL MENU - Pr'!M399)</f>
        <v/>
      </c>
      <c r="N399" s="56" t="str">
        <f>IF('AYIRA MINI MART FINAL MENU - Pr'!N399="", "", 'AYIRA MINI MART FINAL MENU - Pr'!N399)</f>
        <v/>
      </c>
      <c r="O399" s="57"/>
      <c r="P399" s="57"/>
      <c r="Q399" s="57"/>
      <c r="R399" s="57"/>
      <c r="S399" s="57"/>
      <c r="T399" s="57"/>
      <c r="U399" s="57"/>
      <c r="V399" s="57"/>
      <c r="W399" s="57"/>
      <c r="X399" s="57"/>
      <c r="Y399" s="57"/>
      <c r="Z399" s="57"/>
    </row>
    <row r="400">
      <c r="A400" s="56" t="str">
        <f>IFERROR(__xludf.DUMMYFUNCTION("IF('AYIRA MINI MART FINAL MENU - Pr'!A400="""", """", IF(LEN(IFERROR(TRIM(REGEXREPLACE(TRIM(REGEXEXTRACT('AYIRA MINI MART FINAL MENU - Pr'!A400, ""^[^\x{0600}-\x{06FF}]+"")), ""[-–]+$"", """")), """"))&gt;0, IFERROR(TRIM(REGEXREPLACE(TRIM(REGEXEXTRACT('AYIRA"&amp;" MINI MART FINAL MENU - Pr'!A400, ""^[^\x{0600}-\x{06FF}]+"")), ""[-–]+$"", """")), """"), GOOGLETRANSLATE('AYIRA MINI MART FINAL MENU - Pr'!A400, ""ar"", ""en"")))"),"Cadbury Flake Minis Chocolate 28g")</f>
        <v>Cadbury Flake Minis Chocolate 28g</v>
      </c>
      <c r="B400" s="56" t="str">
        <f>IFERROR(__xludf.DUMMYFUNCTION("IF('AYIRA MINI MART FINAL MENU - Pr'!B400="""", """", IF(LEN(IFERROR(TRIM(REGEXREPLACE(TRIM(REGEXEXTRACT('AYIRA MINI MART FINAL MENU - Pr'!B400, ""^[^\x{0600}-\x{06FF}]+"")), ""[-–]+$"", """")), """"))&gt;0, IFERROR(TRIM(REGEXREPLACE(TRIM(REGEXEXTRACT('AYIRA"&amp;" MINI MART FINAL MENU - Pr'!B400, ""^[^\x{0600}-\x{06FF}]+"")), ""[-–]+$"", """")), """"), GOOGLETRANSLATE('AYIRA MINI MART FINAL MENU - Pr'!B400, ""ar"", ""en"")))"),"Chocolates")</f>
        <v>Chocolates</v>
      </c>
      <c r="C400" s="58">
        <f>IF('AYIRA MINI MART FINAL MENU - Pr'!C400="", "", 'AYIRA MINI MART FINAL MENU - Pr'!C400)</f>
        <v>3.5</v>
      </c>
      <c r="D400" s="56" t="str">
        <f>IFERROR(__xludf.DUMMYFUNCTION("IF('AYIRA MINI MART FINAL MENU - Pr'!D400="""", """", GOOGLETRANSLATE('AYIRA MINI MART FINAL MENU - Pr'!D400, ""ar"", ""en""))"),"Indulge your senses with Cadbury, the luxurious chocolate that combines rich flavor with a perfect texture. Made from the finest selected cocoa beans, it delivers an exceptional confectionery experience every time. Whether you're looking for a special gif"&amp;"t or want to treat yourself, this chocolate is the perfect choice. Savor every piece and immerse yourself in a world of smoothness and sweetness. Get yours from Aira Mini Mart and experience moments of pure delight.")</f>
        <v>Indulge your senses with Cadbury, the luxurious chocolate that combines rich flavor with a perfect texture. Made from the finest selected cocoa beans, it delivers an exceptional confectionery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00" s="56" t="str">
        <f>IF('AYIRA MINI MART FINAL MENU - Pr'!K400="", "", 'AYIRA MINI MART FINAL MENU - Pr'!K400)</f>
        <v/>
      </c>
      <c r="F400" s="56"/>
      <c r="G400" s="56"/>
      <c r="H400" s="56"/>
      <c r="I400" s="56"/>
      <c r="J400" s="56"/>
      <c r="L400" s="56" t="str">
        <f>IF('AYIRA MINI MART FINAL MENU - Pr'!L400="", "", 'AYIRA MINI MART FINAL MENU - Pr'!L400)</f>
        <v/>
      </c>
      <c r="M400" s="56" t="str">
        <f>IF('AYIRA MINI MART FINAL MENU - Pr'!M400="", "", 'AYIRA MINI MART FINAL MENU - Pr'!M400)</f>
        <v/>
      </c>
      <c r="N400" s="56" t="str">
        <f>IF('AYIRA MINI MART FINAL MENU - Pr'!N400="", "", 'AYIRA MINI MART FINAL MENU - Pr'!N400)</f>
        <v/>
      </c>
      <c r="O400" s="57"/>
      <c r="P400" s="57"/>
      <c r="Q400" s="57"/>
      <c r="R400" s="57"/>
      <c r="S400" s="57"/>
      <c r="T400" s="57"/>
      <c r="U400" s="57"/>
      <c r="V400" s="57"/>
      <c r="W400" s="57"/>
      <c r="X400" s="57"/>
      <c r="Y400" s="57"/>
      <c r="Z400" s="57"/>
    </row>
    <row r="401">
      <c r="A401" s="56" t="str">
        <f>IFERROR(__xludf.DUMMYFUNCTION("IF('AYIRA MINI MART FINAL MENU - Pr'!A401="""", """", IF(LEN(IFERROR(TRIM(REGEXREPLACE(TRIM(REGEXEXTRACT('AYIRA MINI MART FINAL MENU - Pr'!A401, ""^[^\x{0600}-\x{06FF}]+"")), ""[-–]+$"", """")), """"))&gt;0, IFERROR(TRIM(REGEXREPLACE(TRIM(REGEXEXTRACT('AYIRA"&amp;" MINI MART FINAL MENU - Pr'!A401, ""^[^\x{0600}-\x{06FF}]+"")), ""[-–]+$"", """")), """"), GOOGLETRANSLATE('AYIRA MINI MART FINAL MENU - Pr'!A401, ""ar"", ""en"")))"),"Konak Hoop Dubai Wafer Balls Pistachio Kunafa 27g – Konak Hoop Dubai")</f>
        <v>Konak Hoop Dubai Wafer Balls Pistachio Kunafa 27g – Konak Hoop Dubai</v>
      </c>
      <c r="B401" s="56" t="str">
        <f>IFERROR(__xludf.DUMMYFUNCTION("IF('AYIRA MINI MART FINAL MENU - Pr'!B401="""", """", IF(LEN(IFERROR(TRIM(REGEXREPLACE(TRIM(REGEXEXTRACT('AYIRA MINI MART FINAL MENU - Pr'!B401, ""^[^\x{0600}-\x{06FF}]+"")), ""[-–]+$"", """")), """"))&gt;0, IFERROR(TRIM(REGEXREPLACE(TRIM(REGEXEXTRACT('AYIRA"&amp;" MINI MART FINAL MENU - Pr'!B401, ""^[^\x{0600}-\x{06FF}]+"")), ""[-–]+$"", """")), """"), GOOGLETRANSLATE('AYIRA MINI MART FINAL MENU - Pr'!B401, ""ar"", ""en"")))"),"Chocolates")</f>
        <v>Chocolates</v>
      </c>
      <c r="C401" s="58">
        <f>IF('AYIRA MINI MART FINAL MENU - Pr'!C401="", "", 'AYIRA MINI MART FINAL MENU - Pr'!C401)</f>
        <v>3</v>
      </c>
      <c r="D401" s="56" t="str">
        <f>IFERROR(__xludf.DUMMYFUNCTION("IF('AYIRA MINI MART FINAL MENU - Pr'!D401="""", """", GOOGLETRANSLATE('AYIRA MINI MART FINAL MENU - Pr'!D401, ""ar"", ""en""))"),"Choose Konak Hoop Dubai Wafer Balls Pistachio Kunafa 27g, made with natural nuts rich in protein and healthy fats essential for your body. Prepared from the finest nuts, carefully selected to ensure the highest levels of purity and taste. A perfect health"&amp;"y and nutritious snack between meals. Supports heart health and provides the energy you need. Available at Aira Mini Mart with the highest quality and best prices.")</f>
        <v>Choose Konak Hoop Dubai Wafer Balls Pistachio Kunafa 27g, made with natural nuts rich in protein and healthy fats essential for your body. Prepared from the finest nuts, carefully selected to ensure the highest levels of purity and taste. A perfect healthy and nutritious snack between meals. Supports heart health and provides the energy you need. Available at Aira Mini Mart with the highest quality and best prices.</v>
      </c>
      <c r="E401" s="56" t="str">
        <f>IF('AYIRA MINI MART FINAL MENU - Pr'!K401="", "", 'AYIRA MINI MART FINAL MENU - Pr'!K401)</f>
        <v/>
      </c>
      <c r="F401" s="56"/>
      <c r="G401" s="56"/>
      <c r="H401" s="56"/>
      <c r="I401" s="56"/>
      <c r="J401" s="56"/>
      <c r="L401" s="56" t="str">
        <f>IF('AYIRA MINI MART FINAL MENU - Pr'!L401="", "", 'AYIRA MINI MART FINAL MENU - Pr'!L401)</f>
        <v/>
      </c>
      <c r="M401" s="56" t="str">
        <f>IF('AYIRA MINI MART FINAL MENU - Pr'!M401="", "", 'AYIRA MINI MART FINAL MENU - Pr'!M401)</f>
        <v/>
      </c>
      <c r="N401" s="56" t="str">
        <f>IF('AYIRA MINI MART FINAL MENU - Pr'!N401="", "", 'AYIRA MINI MART FINAL MENU - Pr'!N401)</f>
        <v/>
      </c>
      <c r="O401" s="57"/>
      <c r="P401" s="57"/>
      <c r="Q401" s="57"/>
      <c r="R401" s="57"/>
      <c r="S401" s="57"/>
      <c r="T401" s="57"/>
      <c r="U401" s="57"/>
      <c r="V401" s="57"/>
      <c r="W401" s="57"/>
      <c r="X401" s="57"/>
      <c r="Y401" s="57"/>
      <c r="Z401" s="57"/>
    </row>
    <row r="402">
      <c r="A402" s="56" t="str">
        <f>IFERROR(__xludf.DUMMYFUNCTION("IF('AYIRA MINI MART FINAL MENU - Pr'!A402="""", """", IF(LEN(IFERROR(TRIM(REGEXREPLACE(TRIM(REGEXEXTRACT('AYIRA MINI MART FINAL MENU - Pr'!A402, ""^[^\x{0600}-\x{06FF}]+"")), ""[-–]+$"", """")), """"))&gt;0, IFERROR(TRIM(REGEXREPLACE(TRIM(REGEXEXTRACT('AYIRA"&amp;" MINI MART FINAL MENU - Pr'!A402, ""^[^\x{0600}-\x{06FF}]+"")), ""[-–]+$"", """")), """"), GOOGLETRANSLATE('AYIRA MINI MART FINAL MENU - Pr'!A402, ""ar"", ""en"")))"),"Nestlé Lion Chocolate Bar 42g")</f>
        <v>Nestlé Lion Chocolate Bar 42g</v>
      </c>
      <c r="B402" s="56" t="str">
        <f>IFERROR(__xludf.DUMMYFUNCTION("IF('AYIRA MINI MART FINAL MENU - Pr'!B402="""", """", IF(LEN(IFERROR(TRIM(REGEXREPLACE(TRIM(REGEXEXTRACT('AYIRA MINI MART FINAL MENU - Pr'!B402, ""^[^\x{0600}-\x{06FF}]+"")), ""[-–]+$"", """")), """"))&gt;0, IFERROR(TRIM(REGEXREPLACE(TRIM(REGEXEXTRACT('AYIRA"&amp;" MINI MART FINAL MENU - Pr'!B402, ""^[^\x{0600}-\x{06FF}]+"")), ""[-–]+$"", """")), """"), GOOGLETRANSLATE('AYIRA MINI MART FINAL MENU - Pr'!B402, ""ar"", ""en"")))"),"Chocolates")</f>
        <v>Chocolates</v>
      </c>
      <c r="C402" s="58">
        <f>IF('AYIRA MINI MART FINAL MENU - Pr'!C402="", "", 'AYIRA MINI MART FINAL MENU - Pr'!C402)</f>
        <v>3</v>
      </c>
      <c r="D402" s="56" t="str">
        <f>IFERROR(__xludf.DUMMYFUNCTION("IF('AYIRA MINI MART FINAL MENU - Pr'!D402="""", """", GOOGLETRANSLATE('AYIRA MINI MART FINAL MENU - Pr'!D402, ""ar"", ""en""))"),"Indulge your senses with Nestlé Lion Chocolate Bar 50g, a luxurious chocolate that combines rich flavor with a perfect texture. Made from the finest selected cocoa beans, it delivers an exceptional dessert experience every time. Whether you're looking for"&amp;" a special gift or want to treat yourself, this chocolate is the perfect choice. Savor every piece and immerse yourself in a world of smoothness and sweetness. Get yours from Aira Mini Mart and experience moments of pure delight.")</f>
        <v>Indulge your senses with Nestlé Lion Chocolate Bar 50g,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02" s="56" t="str">
        <f>IF('AYIRA MINI MART FINAL MENU - Pr'!K402="", "", 'AYIRA MINI MART FINAL MENU - Pr'!K402)</f>
        <v/>
      </c>
      <c r="F402" s="56"/>
      <c r="G402" s="56"/>
      <c r="H402" s="56"/>
      <c r="I402" s="56"/>
      <c r="J402" s="56"/>
      <c r="L402" s="56" t="str">
        <f>IF('AYIRA MINI MART FINAL MENU - Pr'!L402="", "", 'AYIRA MINI MART FINAL MENU - Pr'!L402)</f>
        <v/>
      </c>
      <c r="M402" s="56" t="str">
        <f>IF('AYIRA MINI MART FINAL MENU - Pr'!M402="", "", 'AYIRA MINI MART FINAL MENU - Pr'!M402)</f>
        <v/>
      </c>
      <c r="N402" s="56" t="str">
        <f>IF('AYIRA MINI MART FINAL MENU - Pr'!N402="", "", 'AYIRA MINI MART FINAL MENU - Pr'!N402)</f>
        <v/>
      </c>
      <c r="O402" s="57"/>
      <c r="P402" s="57"/>
      <c r="Q402" s="57"/>
      <c r="R402" s="57"/>
      <c r="S402" s="57"/>
      <c r="T402" s="57"/>
      <c r="U402" s="57"/>
      <c r="V402" s="57"/>
      <c r="W402" s="57"/>
      <c r="X402" s="57"/>
      <c r="Y402" s="57"/>
      <c r="Z402" s="57"/>
    </row>
    <row r="403">
      <c r="A403" s="56" t="str">
        <f>IFERROR(__xludf.DUMMYFUNCTION("IF('AYIRA MINI MART FINAL MENU - Pr'!A403="""", """", IF(LEN(IFERROR(TRIM(REGEXREPLACE(TRIM(REGEXEXTRACT('AYIRA MINI MART FINAL MENU - Pr'!A403, ""^[^\x{0600}-\x{06FF}]+"")), ""[-–]+$"", """")), """"))&gt;0, IFERROR(TRIM(REGEXREPLACE(TRIM(REGEXEXTRACT('AYIRA"&amp;" MINI MART FINAL MENU - Pr'!A403, ""^[^\x{0600}-\x{06FF}]+"")), ""[-–]+$"", """")), """"), GOOGLETRANSLATE('AYIRA MINI MART FINAL MENU - Pr'!A403, ""ar"", ""en"")))"),"Nutella B-Ready")</f>
        <v>Nutella B-Ready</v>
      </c>
      <c r="B403" s="56" t="str">
        <f>IFERROR(__xludf.DUMMYFUNCTION("IF('AYIRA MINI MART FINAL MENU - Pr'!B403="""", """", IF(LEN(IFERROR(TRIM(REGEXREPLACE(TRIM(REGEXEXTRACT('AYIRA MINI MART FINAL MENU - Pr'!B403, ""^[^\x{0600}-\x{06FF}]+"")), ""[-–]+$"", """")), """"))&gt;0, IFERROR(TRIM(REGEXREPLACE(TRIM(REGEXEXTRACT('AYIRA"&amp;" MINI MART FINAL MENU - Pr'!B403, ""^[^\x{0600}-\x{06FF}]+"")), ""[-–]+$"", """")), """"), GOOGLETRANSLATE('AYIRA MINI MART FINAL MENU - Pr'!B403, ""ar"", ""en"")))"),"Chocolates")</f>
        <v>Chocolates</v>
      </c>
      <c r="C403" s="58">
        <f>IF('AYIRA MINI MART FINAL MENU - Pr'!C403="", "", 'AYIRA MINI MART FINAL MENU - Pr'!C403)</f>
        <v>2.5</v>
      </c>
      <c r="D403" s="56" t="str">
        <f>IFERROR(__xludf.DUMMYFUNCTION("IF('AYIRA MINI MART FINAL MENU - Pr'!D403="""", """", GOOGLETRANSLATE('AYIRA MINI MART FINAL MENU - Pr'!D403, ""ar"", ""en""))"),"Indulge your senses with Nutella, the luxurious chocolate spread that combines rich flavor with a perfect texture. Made from the finest selected cocoa beans, it delivers an exceptional dessert experience every time. Whether you're looking for a special gi"&amp;"ft or want to treat yourself, this chocolate spread is the perfect choice. Savor every bite and immerse yourself in a world of smoothness and sweetness. Get yours from Aira Mini Mart and experience moments of pure delight.")</f>
        <v>Indulge your senses with Nutella, the luxurious chocolate spread that combines rich flavor with a perfect texture. Made from the finest selected cocoa beans, it delivers an exceptional dessert experience every time. Whether you're looking for a special gift or want to treat yourself, this chocolate spread is the perfect choice. Savor every bite and immerse yourself in a world of smoothness and sweetness. Get yours from Aira Mini Mart and experience moments of pure delight.</v>
      </c>
      <c r="E403" s="56" t="str">
        <f>IF('AYIRA MINI MART FINAL MENU - Pr'!K403="", "", 'AYIRA MINI MART FINAL MENU - Pr'!K403)</f>
        <v/>
      </c>
      <c r="F403" s="56"/>
      <c r="G403" s="56"/>
      <c r="H403" s="56"/>
      <c r="I403" s="56"/>
      <c r="J403" s="56"/>
      <c r="L403" s="56" t="str">
        <f>IF('AYIRA MINI MART FINAL MENU - Pr'!L403="", "", 'AYIRA MINI MART FINAL MENU - Pr'!L403)</f>
        <v/>
      </c>
      <c r="M403" s="56" t="str">
        <f>IF('AYIRA MINI MART FINAL MENU - Pr'!M403="", "", 'AYIRA MINI MART FINAL MENU - Pr'!M403)</f>
        <v/>
      </c>
      <c r="N403" s="56" t="str">
        <f>IF('AYIRA MINI MART FINAL MENU - Pr'!N403="", "", 'AYIRA MINI MART FINAL MENU - Pr'!N403)</f>
        <v/>
      </c>
      <c r="O403" s="57"/>
      <c r="P403" s="57"/>
      <c r="Q403" s="57"/>
      <c r="R403" s="57"/>
      <c r="S403" s="57"/>
      <c r="T403" s="57"/>
      <c r="U403" s="57"/>
      <c r="V403" s="57"/>
      <c r="W403" s="57"/>
      <c r="X403" s="57"/>
      <c r="Y403" s="57"/>
      <c r="Z403" s="57"/>
    </row>
    <row r="404">
      <c r="A404" s="56" t="str">
        <f>IFERROR(__xludf.DUMMYFUNCTION("IF('AYIRA MINI MART FINAL MENU - Pr'!A404="""", """", IF(LEN(IFERROR(TRIM(REGEXREPLACE(TRIM(REGEXEXTRACT('AYIRA MINI MART FINAL MENU - Pr'!A404, ""^[^\x{0600}-\x{06FF}]+"")), ""[-–]+$"", """")), """"))&gt;0, IFERROR(TRIM(REGEXREPLACE(TRIM(REGEXEXTRACT('AYIRA"&amp;" MINI MART FINAL MENU - Pr'!A404, ""^[^\x{0600}-\x{06FF}]+"")), ""[-–]+$"", """")), """"), GOOGLETRANSLATE('AYIRA MINI MART FINAL MENU - Pr'!A404, ""ar"", ""en"")))"),"Tofi Luk Chocolate Bar 33g – Tofi Luk")</f>
        <v>Tofi Luk Chocolate Bar 33g – Tofi Luk</v>
      </c>
      <c r="B404" s="56" t="str">
        <f>IFERROR(__xludf.DUMMYFUNCTION("IF('AYIRA MINI MART FINAL MENU - Pr'!B404="""", """", IF(LEN(IFERROR(TRIM(REGEXREPLACE(TRIM(REGEXEXTRACT('AYIRA MINI MART FINAL MENU - Pr'!B404, ""^[^\x{0600}-\x{06FF}]+"")), ""[-–]+$"", """")), """"))&gt;0, IFERROR(TRIM(REGEXREPLACE(TRIM(REGEXEXTRACT('AYIRA"&amp;" MINI MART FINAL MENU - Pr'!B404, ""^[^\x{0600}-\x{06FF}]+"")), ""[-–]+$"", """")), """"), GOOGLETRANSLATE('AYIRA MINI MART FINAL MENU - Pr'!B404, ""ar"", ""en"")))"),"Chocolates")</f>
        <v>Chocolates</v>
      </c>
      <c r="C404" s="58">
        <f>IF('AYIRA MINI MART FINAL MENU - Pr'!C404="", "", 'AYIRA MINI MART FINAL MENU - Pr'!C404)</f>
        <v>1.75</v>
      </c>
      <c r="D404" s="56" t="str">
        <f>IFERROR(__xludf.DUMMYFUNCTION("IF('AYIRA MINI MART FINAL MENU - Pr'!D404="""", """", GOOGLETRANSLATE('AYIRA MINI MART FINAL MENU - Pr'!D404, ""ar"", ""en""))"),"Indulge your senses with Tofi Luk Chocolate Bar 33g, a luxurious chocolate that blends rich flavor with a perfect texture. Made from the finest selected cocoa beans, it delivers an exceptional dessert experience every time. Whether you're looking for a sp"&amp;"ecial gift or want to treat yourself, this chocolate is the perfect choice. Savor every piece and immerse yourself in a world of smoothness and sweetness. Get yours from Aira Mini Mart and experience moments of pure delight.")</f>
        <v>Indulge your senses with Tofi Luk Chocolate Bar 33g,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04" s="56" t="str">
        <f>IF('AYIRA MINI MART FINAL MENU - Pr'!K404="", "", 'AYIRA MINI MART FINAL MENU - Pr'!K404)</f>
        <v/>
      </c>
      <c r="F404" s="56"/>
      <c r="G404" s="56"/>
      <c r="H404" s="56"/>
      <c r="I404" s="56"/>
      <c r="J404" s="56"/>
      <c r="L404" s="56" t="str">
        <f>IF('AYIRA MINI MART FINAL MENU - Pr'!L404="", "", 'AYIRA MINI MART FINAL MENU - Pr'!L404)</f>
        <v/>
      </c>
      <c r="M404" s="56" t="str">
        <f>IF('AYIRA MINI MART FINAL MENU - Pr'!M404="", "", 'AYIRA MINI MART FINAL MENU - Pr'!M404)</f>
        <v/>
      </c>
      <c r="N404" s="56" t="str">
        <f>IF('AYIRA MINI MART FINAL MENU - Pr'!N404="", "", 'AYIRA MINI MART FINAL MENU - Pr'!N404)</f>
        <v/>
      </c>
      <c r="O404" s="57"/>
      <c r="P404" s="57"/>
      <c r="Q404" s="57"/>
      <c r="R404" s="57"/>
      <c r="S404" s="57"/>
      <c r="T404" s="57"/>
      <c r="U404" s="57"/>
      <c r="V404" s="57"/>
      <c r="W404" s="57"/>
      <c r="X404" s="57"/>
      <c r="Y404" s="57"/>
      <c r="Z404" s="57"/>
    </row>
    <row r="405">
      <c r="A405" s="56" t="str">
        <f>IFERROR(__xludf.DUMMYFUNCTION("IF('AYIRA MINI MART FINAL MENU - Pr'!A405="""", """", IF(LEN(IFERROR(TRIM(REGEXREPLACE(TRIM(REGEXEXTRACT('AYIRA MINI MART FINAL MENU - Pr'!A405, ""^[^\x{0600}-\x{06FF}]+"")), ""[-–]+$"", """")), """"))&gt;0, IFERROR(TRIM(REGEXREPLACE(TRIM(REGEXEXTRACT('AYIRA"&amp;" MINI MART FINAL MENU - Pr'!A405, ""^[^\x{0600}-\x{06FF}]+"")), ""[-–]+$"", """")), """"), GOOGLETRANSLATE('AYIRA MINI MART FINAL MENU - Pr'!A405, ""ar"", ""en"")))"),"Raffaello Chocolate 30g")</f>
        <v>Raffaello Chocolate 30g</v>
      </c>
      <c r="B405" s="56" t="str">
        <f>IFERROR(__xludf.DUMMYFUNCTION("IF('AYIRA MINI MART FINAL MENU - Pr'!B405="""", """", IF(LEN(IFERROR(TRIM(REGEXREPLACE(TRIM(REGEXEXTRACT('AYIRA MINI MART FINAL MENU - Pr'!B405, ""^[^\x{0600}-\x{06FF}]+"")), ""[-–]+$"", """")), """"))&gt;0, IFERROR(TRIM(REGEXREPLACE(TRIM(REGEXEXTRACT('AYIRA"&amp;" MINI MART FINAL MENU - Pr'!B405, ""^[^\x{0600}-\x{06FF}]+"")), ""[-–]+$"", """")), """"), GOOGLETRANSLATE('AYIRA MINI MART FINAL MENU - Pr'!B405, ""ar"", ""en"")))"),"Chocolates")</f>
        <v>Chocolates</v>
      </c>
      <c r="C405" s="58">
        <f>IF('AYIRA MINI MART FINAL MENU - Pr'!C405="", "", 'AYIRA MINI MART FINAL MENU - Pr'!C405)</f>
        <v>6.5</v>
      </c>
      <c r="D405" s="56" t="str">
        <f>IFERROR(__xludf.DUMMYFUNCTION("IF('AYIRA MINI MART FINAL MENU - Pr'!D405="""", """", GOOGLETRANSLATE('AYIRA MINI MART FINAL MENU - Pr'!D405, ""ar"", ""en""))"),"Indulge your senses with Raffaello Chocolate 30g, a luxurious chocolate that blends rich flavor with a perfect texture. Made from the finest selected cocoa beans, it delivers an exceptional dessert experience every time. Whether you're looking for a speci"&amp;"al gift or want to treat yourself, this chocolate is the perfect choice. Savor every piece and immerse yourself in a world of smoothness and sweetness. Get yours from Aira Mini Mart and experience moments of pure delight.")</f>
        <v>Indulge your senses with Raffaello Chocolate 30g,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05" s="56" t="str">
        <f>IF('AYIRA MINI MART FINAL MENU - Pr'!K405="", "", 'AYIRA MINI MART FINAL MENU - Pr'!K405)</f>
        <v/>
      </c>
      <c r="F405" s="56"/>
      <c r="G405" s="56"/>
      <c r="H405" s="56"/>
      <c r="I405" s="56"/>
      <c r="J405" s="56"/>
      <c r="L405" s="56" t="str">
        <f>IF('AYIRA MINI MART FINAL MENU - Pr'!L405="", "", 'AYIRA MINI MART FINAL MENU - Pr'!L405)</f>
        <v/>
      </c>
      <c r="M405" s="56" t="str">
        <f>IF('AYIRA MINI MART FINAL MENU - Pr'!M405="", "", 'AYIRA MINI MART FINAL MENU - Pr'!M405)</f>
        <v/>
      </c>
      <c r="N405" s="56" t="str">
        <f>IF('AYIRA MINI MART FINAL MENU - Pr'!N405="", "", 'AYIRA MINI MART FINAL MENU - Pr'!N405)</f>
        <v/>
      </c>
      <c r="O405" s="57"/>
      <c r="P405" s="57"/>
      <c r="Q405" s="57"/>
      <c r="R405" s="57"/>
      <c r="S405" s="57"/>
      <c r="T405" s="57"/>
      <c r="U405" s="57"/>
      <c r="V405" s="57"/>
      <c r="W405" s="57"/>
      <c r="X405" s="57"/>
      <c r="Y405" s="57"/>
      <c r="Z405" s="57"/>
    </row>
    <row r="406">
      <c r="A406" s="56" t="str">
        <f>IFERROR(__xludf.DUMMYFUNCTION("IF('AYIRA MINI MART FINAL MENU - Pr'!A406="""", """", IF(LEN(IFERROR(TRIM(REGEXREPLACE(TRIM(REGEXEXTRACT('AYIRA MINI MART FINAL MENU - Pr'!A406, ""^[^\x{0600}-\x{06FF}]+"")), ""[-–]+$"", """")), """"))&gt;0, IFERROR(TRIM(REGEXREPLACE(TRIM(REGEXEXTRACT('AYIRA"&amp;" MINI MART FINAL MENU - Pr'!A406, ""^[^\x{0600}-\x{06FF}]+"")), ""[-–]+$"", """")), """"), GOOGLETRANSLATE('AYIRA MINI MART FINAL MENU - Pr'!A406, ""ar"", ""en"")))"),"HALABI Unsalted Mix 400g (Tin) – HALABI Unsalted Mix 400")</f>
        <v>HALABI Unsalted Mix 400g (Tin) – HALABI Unsalted Mix 400</v>
      </c>
      <c r="B406" s="56" t="str">
        <f>IFERROR(__xludf.DUMMYFUNCTION("IF('AYIRA MINI MART FINAL MENU - Pr'!B406="""", """", IF(LEN(IFERROR(TRIM(REGEXREPLACE(TRIM(REGEXEXTRACT('AYIRA MINI MART FINAL MENU - Pr'!B406, ""^[^\x{0600}-\x{06FF}]+"")), ""[-–]+$"", """")), """"))&gt;0, IFERROR(TRIM(REGEXREPLACE(TRIM(REGEXEXTRACT('AYIRA"&amp;" MINI MART FINAL MENU - Pr'!B406, ""^[^\x{0600}-\x{06FF}]+"")), ""[-–]+$"", """")), """"), GOOGLETRANSLATE('AYIRA MINI MART FINAL MENU - Pr'!B406, ""ar"", ""en"")))"),"Nuts &amp; Seeds")</f>
        <v>Nuts &amp; Seeds</v>
      </c>
      <c r="C406" s="58">
        <f>IF('AYIRA MINI MART FINAL MENU - Pr'!C406="", "", 'AYIRA MINI MART FINAL MENU - Pr'!C406)</f>
        <v>38</v>
      </c>
      <c r="D406" s="56" t="str">
        <f>IFERROR(__xludf.DUMMYFUNCTION("IF('AYIRA MINI MART FINAL MENU - Pr'!D406="""", """", GOOGLETRANSLATE('AYIRA MINI MART FINAL MENU - Pr'!D406, ""ar"", ""en""))"),"Choose HALABI Unsalted Mix 400g (Tin), a natural nut rich in protein and healthy fats essential for your body. Made from the finest, carefully selected nuts to ensure the highest levels of purity and taste. It's the perfect healthy and nutritious snack be"&amp;"tween meals. Supports heart health and provides the energy you need. Available at Aira Mini Mart with the highest quality and best prices.")</f>
        <v>Choose HALABI Unsalted Mix 400g (Tin), a natural nut rich in protein and healthy fats essential for your body. Made from the finest, carefully selected nuts to ensure the highest levels of purity and taste. It's the perfect healthy and nutritious snack between meals. Supports heart health and provides the energy you need. Available at Aira Mini Mart with the highest quality and best prices.</v>
      </c>
      <c r="E406" s="56" t="str">
        <f>IF('AYIRA MINI MART FINAL MENU - Pr'!K406="", "", 'AYIRA MINI MART FINAL MENU - Pr'!K406)</f>
        <v/>
      </c>
      <c r="F406" s="56"/>
      <c r="G406" s="56"/>
      <c r="H406" s="56"/>
      <c r="I406" s="56"/>
      <c r="J406" s="56"/>
      <c r="L406" s="56" t="str">
        <f>IF('AYIRA MINI MART FINAL MENU - Pr'!L406="", "", 'AYIRA MINI MART FINAL MENU - Pr'!L406)</f>
        <v/>
      </c>
      <c r="M406" s="56" t="str">
        <f>IF('AYIRA MINI MART FINAL MENU - Pr'!M406="", "", 'AYIRA MINI MART FINAL MENU - Pr'!M406)</f>
        <v/>
      </c>
      <c r="N406" s="56" t="str">
        <f>IF('AYIRA MINI MART FINAL MENU - Pr'!N406="", "", 'AYIRA MINI MART FINAL MENU - Pr'!N406)</f>
        <v/>
      </c>
      <c r="O406" s="57"/>
      <c r="P406" s="57"/>
      <c r="Q406" s="57"/>
      <c r="R406" s="57"/>
      <c r="S406" s="57"/>
      <c r="T406" s="57"/>
      <c r="U406" s="57"/>
      <c r="V406" s="57"/>
      <c r="W406" s="57"/>
      <c r="X406" s="57"/>
      <c r="Y406" s="57"/>
      <c r="Z406" s="57"/>
    </row>
    <row r="407">
      <c r="A407" s="56" t="str">
        <f>IFERROR(__xludf.DUMMYFUNCTION("IF('AYIRA MINI MART FINAL MENU - Pr'!A407="""", """", IF(LEN(IFERROR(TRIM(REGEXREPLACE(TRIM(REGEXEXTRACT('AYIRA MINI MART FINAL MENU - Pr'!A407, ""^[^\x{0600}-\x{06FF}]+"")), ""[-–]+$"", """")), """"))&gt;0, IFERROR(TRIM(REGEXREPLACE(TRIM(REGEXEXTRACT('AYIRA"&amp;" MINI MART FINAL MENU - Pr'!A407, ""^[^\x{0600}-\x{06FF}]+"")), ""[-–]+$"", """")), """"), GOOGLETRANSLATE('AYIRA MINI MART FINAL MENU - Pr'!A407, ""ar"", ""en"")))"),"HALABI Super Extra Mix 400g (Tin) – HALABI Super Extra Mix 400")</f>
        <v>HALABI Super Extra Mix 400g (Tin) – HALABI Super Extra Mix 400</v>
      </c>
      <c r="B407" s="56" t="str">
        <f>IFERROR(__xludf.DUMMYFUNCTION("IF('AYIRA MINI MART FINAL MENU - Pr'!B407="""", """", IF(LEN(IFERROR(TRIM(REGEXREPLACE(TRIM(REGEXEXTRACT('AYIRA MINI MART FINAL MENU - Pr'!B407, ""^[^\x{0600}-\x{06FF}]+"")), ""[-–]+$"", """")), """"))&gt;0, IFERROR(TRIM(REGEXREPLACE(TRIM(REGEXEXTRACT('AYIRA"&amp;" MINI MART FINAL MENU - Pr'!B407, ""^[^\x{0600}-\x{06FF}]+"")), ""[-–]+$"", """")), """"), GOOGLETRANSLATE('AYIRA MINI MART FINAL MENU - Pr'!B407, ""ar"", ""en"")))"),"Nuts &amp; Seeds")</f>
        <v>Nuts &amp; Seeds</v>
      </c>
      <c r="C407" s="58">
        <f>IF('AYIRA MINI MART FINAL MENU - Pr'!C407="", "", 'AYIRA MINI MART FINAL MENU - Pr'!C407)</f>
        <v>26</v>
      </c>
      <c r="D407" s="56" t="str">
        <f>IFERROR(__xludf.DUMMYFUNCTION("IF('AYIRA MINI MART FINAL MENU - Pr'!D407="""", """", GOOGLETRANSLATE('AYIRA MINI MART FINAL MENU - Pr'!D407, ""ar"", ""en""))"),"Indulge your senses with Extra, a luxurious chocolate that blends rich flavor with a perfect texture. Made from the finest selected cocoa beans, it delivers an exceptional dessert experience every time. Whether you're looking for a special gift or want to"&amp;" treat yourself, this chocolate is the perfect choice. Savor every piece and immerse yourself in a world of smoothness and sweetness. Get yours from Aira Mini Mart and experience moments of pure delight.")</f>
        <v>Indulge your senses with Extra,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07" s="56" t="str">
        <f>IF('AYIRA MINI MART FINAL MENU - Pr'!K407="", "", 'AYIRA MINI MART FINAL MENU - Pr'!K407)</f>
        <v/>
      </c>
      <c r="F407" s="56"/>
      <c r="G407" s="56"/>
      <c r="H407" s="56"/>
      <c r="I407" s="56"/>
      <c r="J407" s="56"/>
      <c r="L407" s="56" t="str">
        <f>IF('AYIRA MINI MART FINAL MENU - Pr'!L407="", "", 'AYIRA MINI MART FINAL MENU - Pr'!L407)</f>
        <v/>
      </c>
      <c r="M407" s="56" t="str">
        <f>IF('AYIRA MINI MART FINAL MENU - Pr'!M407="", "", 'AYIRA MINI MART FINAL MENU - Pr'!M407)</f>
        <v/>
      </c>
      <c r="N407" s="56" t="str">
        <f>IF('AYIRA MINI MART FINAL MENU - Pr'!N407="", "", 'AYIRA MINI MART FINAL MENU - Pr'!N407)</f>
        <v/>
      </c>
      <c r="O407" s="57"/>
      <c r="P407" s="57"/>
      <c r="Q407" s="57"/>
      <c r="R407" s="57"/>
      <c r="S407" s="57"/>
      <c r="T407" s="57"/>
      <c r="U407" s="57"/>
      <c r="V407" s="57"/>
      <c r="W407" s="57"/>
      <c r="X407" s="57"/>
      <c r="Y407" s="57"/>
      <c r="Z407" s="57"/>
    </row>
    <row r="408">
      <c r="A408" s="56" t="str">
        <f>IFERROR(__xludf.DUMMYFUNCTION("IF('AYIRA MINI MART FINAL MENU - Pr'!A408="""", """", IF(LEN(IFERROR(TRIM(REGEXREPLACE(TRIM(REGEXEXTRACT('AYIRA MINI MART FINAL MENU - Pr'!A408, ""^[^\x{0600}-\x{06FF}]+"")), ""[-–]+$"", """")), """"))&gt;0, IFERROR(TRIM(REGEXREPLACE(TRIM(REGEXEXTRACT('AYIRA"&amp;" MINI MART FINAL MENU - Pr'!A408, ""^[^\x{0600}-\x{06FF}]+"")), ""[-–]+$"", """")), """"), GOOGLETRANSLATE('AYIRA MINI MART FINAL MENU - Pr'!A408, ""ar"", ""en"")))"),"HALABI Kernels Mix 400g (Tin) – HALABI Kernels Mix 400")</f>
        <v>HALABI Kernels Mix 400g (Tin) – HALABI Kernels Mix 400</v>
      </c>
      <c r="B408" s="56" t="str">
        <f>IFERROR(__xludf.DUMMYFUNCTION("IF('AYIRA MINI MART FINAL MENU - Pr'!B408="""", """", IF(LEN(IFERROR(TRIM(REGEXREPLACE(TRIM(REGEXEXTRACT('AYIRA MINI MART FINAL MENU - Pr'!B408, ""^[^\x{0600}-\x{06FF}]+"")), ""[-–]+$"", """")), """"))&gt;0, IFERROR(TRIM(REGEXREPLACE(TRIM(REGEXEXTRACT('AYIRA"&amp;" MINI MART FINAL MENU - Pr'!B408, ""^[^\x{0600}-\x{06FF}]+"")), ""[-–]+$"", """")), """"), GOOGLETRANSLATE('AYIRA MINI MART FINAL MENU - Pr'!B408, ""ar"", ""en"")))"),"Nuts &amp; Seeds")</f>
        <v>Nuts &amp; Seeds</v>
      </c>
      <c r="C408" s="58">
        <f>IF('AYIRA MINI MART FINAL MENU - Pr'!C408="", "", 'AYIRA MINI MART FINAL MENU - Pr'!C408)</f>
        <v>40</v>
      </c>
      <c r="D408" s="56" t="str">
        <f>IFERROR(__xludf.DUMMYFUNCTION("IF('AYIRA MINI MART FINAL MENU - Pr'!D408="""", """", GOOGLETRANSLATE('AYIRA MINI MART FINAL MENU - Pr'!D408, ""ar"", ""en""))"),"Indulge your senses with HALABI Kernels Mix 400g (Tin), a luxurious chocolate that blends rich flavor with a perfect texture. Made from the finest selected cocoa beans, it delivers an exceptional dessert experience every time. Whether you're looking for a"&amp;" special gift or want to treat yourself, this chocolate is the perfect choice. Savor every piece and immerse yourself in a world of smoothness and sweetness. Get yours from Aira Mini Mart and experience moments of pure delight.")</f>
        <v>Indulge your senses with HALABI Kernels Mix 400g (Tin),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08" s="56" t="str">
        <f>IF('AYIRA MINI MART FINAL MENU - Pr'!K408="", "", 'AYIRA MINI MART FINAL MENU - Pr'!K408)</f>
        <v/>
      </c>
      <c r="F408" s="56"/>
      <c r="G408" s="56"/>
      <c r="H408" s="56"/>
      <c r="I408" s="56"/>
      <c r="J408" s="56"/>
      <c r="L408" s="56" t="str">
        <f>IF('AYIRA MINI MART FINAL MENU - Pr'!L408="", "", 'AYIRA MINI MART FINAL MENU - Pr'!L408)</f>
        <v/>
      </c>
      <c r="M408" s="56" t="str">
        <f>IF('AYIRA MINI MART FINAL MENU - Pr'!M408="", "", 'AYIRA MINI MART FINAL MENU - Pr'!M408)</f>
        <v/>
      </c>
      <c r="N408" s="56" t="str">
        <f>IF('AYIRA MINI MART FINAL MENU - Pr'!N408="", "", 'AYIRA MINI MART FINAL MENU - Pr'!N408)</f>
        <v/>
      </c>
      <c r="O408" s="57"/>
      <c r="P408" s="57"/>
      <c r="Q408" s="57"/>
      <c r="R408" s="57"/>
      <c r="S408" s="57"/>
      <c r="T408" s="57"/>
      <c r="U408" s="57"/>
      <c r="V408" s="57"/>
      <c r="W408" s="57"/>
      <c r="X408" s="57"/>
      <c r="Y408" s="57"/>
      <c r="Z408" s="57"/>
    </row>
    <row r="409">
      <c r="A409" s="56" t="str">
        <f>IFERROR(__xludf.DUMMYFUNCTION("IF('AYIRA MINI MART FINAL MENU - Pr'!A409="""", """", IF(LEN(IFERROR(TRIM(REGEXREPLACE(TRIM(REGEXEXTRACT('AYIRA MINI MART FINAL MENU - Pr'!A409, ""^[^\x{0600}-\x{06FF}]+"")), ""[-–]+$"", """")), """"))&gt;0, IFERROR(TRIM(REGEXREPLACE(TRIM(REGEXEXTRACT('AYIRA"&amp;" MINI MART FINAL MENU - Pr'!A409, ""^[^\x{0600}-\x{06FF}]+"")), ""[-–]+$"", """")), """"), GOOGLETRANSLATE('AYIRA MINI MART FINAL MENU - Pr'!A409, ""ar"", ""en"")))"),"HALABI Kernels Mix 300g – HALABI Kernels Mix 300")</f>
        <v>HALABI Kernels Mix 300g – HALABI Kernels Mix 300</v>
      </c>
      <c r="B409" s="56" t="str">
        <f>IFERROR(__xludf.DUMMYFUNCTION("IF('AYIRA MINI MART FINAL MENU - Pr'!B409="""", """", IF(LEN(IFERROR(TRIM(REGEXREPLACE(TRIM(REGEXEXTRACT('AYIRA MINI MART FINAL MENU - Pr'!B409, ""^[^\x{0600}-\x{06FF}]+"")), ""[-–]+$"", """")), """"))&gt;0, IFERROR(TRIM(REGEXREPLACE(TRIM(REGEXEXTRACT('AYIRA"&amp;" MINI MART FINAL MENU - Pr'!B409, ""^[^\x{0600}-\x{06FF}]+"")), ""[-–]+$"", """")), """"), GOOGLETRANSLATE('AYIRA MINI MART FINAL MENU - Pr'!B409, ""ar"", ""en"")))"),"Nuts &amp; Seeds")</f>
        <v>Nuts &amp; Seeds</v>
      </c>
      <c r="C409" s="58">
        <f>IF('AYIRA MINI MART FINAL MENU - Pr'!C409="", "", 'AYIRA MINI MART FINAL MENU - Pr'!C409)</f>
        <v>44</v>
      </c>
      <c r="D409" s="56" t="str">
        <f>IFERROR(__xludf.DUMMYFUNCTION("IF('AYIRA MINI MART FINAL MENU - Pr'!D409="""", """", GOOGLETRANSLATE('AYIRA MINI MART FINAL MENU - Pr'!D409, ""ar"", ""en""))"),"Indulge your senses with HALABI Kernels Mix 300g, a luxurious chocolate that blends rich flavor with a perfect texture. Made from the finest selected cocoa beans, it delivers an exceptional dessert experience every time. Whether you're looking for a speci"&amp;"al gift or want to treat yourself, this chocolate is the perfect choice. Savor every piece and immerse yourself in a world of smoothness and sweetness. Get yours from Aira Mini Mart and experience moments of pure delight.")</f>
        <v>Indulge your senses with HALABI Kernels Mix 300g,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09" s="56" t="str">
        <f>IF('AYIRA MINI MART FINAL MENU - Pr'!K409="", "", 'AYIRA MINI MART FINAL MENU - Pr'!K409)</f>
        <v/>
      </c>
      <c r="F409" s="56"/>
      <c r="G409" s="56"/>
      <c r="H409" s="56"/>
      <c r="I409" s="56"/>
      <c r="J409" s="56"/>
      <c r="L409" s="56" t="str">
        <f>IF('AYIRA MINI MART FINAL MENU - Pr'!L409="", "", 'AYIRA MINI MART FINAL MENU - Pr'!L409)</f>
        <v/>
      </c>
      <c r="M409" s="56" t="str">
        <f>IF('AYIRA MINI MART FINAL MENU - Pr'!M409="", "", 'AYIRA MINI MART FINAL MENU - Pr'!M409)</f>
        <v/>
      </c>
      <c r="N409" s="56" t="str">
        <f>IF('AYIRA MINI MART FINAL MENU - Pr'!N409="", "", 'AYIRA MINI MART FINAL MENU - Pr'!N409)</f>
        <v/>
      </c>
      <c r="O409" s="57"/>
      <c r="P409" s="57"/>
      <c r="Q409" s="57"/>
      <c r="R409" s="57"/>
      <c r="S409" s="57"/>
      <c r="T409" s="57"/>
      <c r="U409" s="57"/>
      <c r="V409" s="57"/>
      <c r="W409" s="57"/>
      <c r="X409" s="57"/>
      <c r="Y409" s="57"/>
      <c r="Z409" s="57"/>
    </row>
    <row r="410">
      <c r="A410" s="56" t="str">
        <f>IFERROR(__xludf.DUMMYFUNCTION("IF('AYIRA MINI MART FINAL MENU - Pr'!A410="""", """", IF(LEN(IFERROR(TRIM(REGEXREPLACE(TRIM(REGEXEXTRACT('AYIRA MINI MART FINAL MENU - Pr'!A410, ""^[^\x{0600}-\x{06FF}]+"")), ""[-–]+$"", """")), """"))&gt;0, IFERROR(TRIM(REGEXREPLACE(TRIM(REGEXEXTRACT('AYIRA"&amp;" MINI MART FINAL MENU - Pr'!A410, ""^[^\x{0600}-\x{06FF}]+"")), ""[-–]+$"", """")), """"), GOOGLETRANSLATE('AYIRA MINI MART FINAL MENU - Pr'!A410, ""ar"", ""en"")))"),"HALABI Mexican Nuts 175g – HALABI Mexican")</f>
        <v>HALABI Mexican Nuts 175g – HALABI Mexican</v>
      </c>
      <c r="B410" s="56" t="str">
        <f>IFERROR(__xludf.DUMMYFUNCTION("IF('AYIRA MINI MART FINAL MENU - Pr'!B410="""", """", IF(LEN(IFERROR(TRIM(REGEXREPLACE(TRIM(REGEXEXTRACT('AYIRA MINI MART FINAL MENU - Pr'!B410, ""^[^\x{0600}-\x{06FF}]+"")), ""[-–]+$"", """")), """"))&gt;0, IFERROR(TRIM(REGEXREPLACE(TRIM(REGEXEXTRACT('AYIRA"&amp;" MINI MART FINAL MENU - Pr'!B410, ""^[^\x{0600}-\x{06FF}]+"")), ""[-–]+$"", """")), """"), GOOGLETRANSLATE('AYIRA MINI MART FINAL MENU - Pr'!B410, ""ar"", ""en"")))"),"Nuts &amp; Seeds")</f>
        <v>Nuts &amp; Seeds</v>
      </c>
      <c r="C410" s="58">
        <f>IF('AYIRA MINI MART FINAL MENU - Pr'!C410="", "", 'AYIRA MINI MART FINAL MENU - Pr'!C410)</f>
        <v>12.5</v>
      </c>
      <c r="D410" s="56" t="str">
        <f>IFERROR(__xludf.DUMMYFUNCTION("IF('AYIRA MINI MART FINAL MENU - Pr'!D410="""", """", GOOGLETRANSLATE('AYIRA MINI MART FINAL MENU - Pr'!D410, ""ar"", ""en""))"),"Choose HALABI Mexican Nuts 175g, natural nuts rich in protein and healthy fats essential for your body. Made from the finest nuts, carefully selected to ensure the highest purity and taste. A perfect healthy and nutritious snack between meals. Supports he"&amp;"art health and provides the energy you need. Available at Aira Mini Mart with the highest quality and best prices.")</f>
        <v>Choose HALABI Mexican Nuts 175g, natural nuts rich in protein and healthy fats essential for your body. Made from the finest nuts, carefully selected to ensure the highest purity and taste. A perfect healthy and nutritious snack between meals. Supports heart health and provides the energy you need. Available at Aira Mini Mart with the highest quality and best prices.</v>
      </c>
      <c r="E410" s="56" t="str">
        <f>IF('AYIRA MINI MART FINAL MENU - Pr'!K410="", "", 'AYIRA MINI MART FINAL MENU - Pr'!K410)</f>
        <v/>
      </c>
      <c r="F410" s="56"/>
      <c r="G410" s="56"/>
      <c r="H410" s="56"/>
      <c r="I410" s="56"/>
      <c r="J410" s="56"/>
      <c r="L410" s="56" t="str">
        <f>IF('AYIRA MINI MART FINAL MENU - Pr'!L410="", "", 'AYIRA MINI MART FINAL MENU - Pr'!L410)</f>
        <v/>
      </c>
      <c r="M410" s="56" t="str">
        <f>IF('AYIRA MINI MART FINAL MENU - Pr'!M410="", "", 'AYIRA MINI MART FINAL MENU - Pr'!M410)</f>
        <v/>
      </c>
      <c r="N410" s="56" t="str">
        <f>IF('AYIRA MINI MART FINAL MENU - Pr'!N410="", "", 'AYIRA MINI MART FINAL MENU - Pr'!N410)</f>
        <v/>
      </c>
      <c r="O410" s="57"/>
      <c r="P410" s="57"/>
      <c r="Q410" s="57"/>
      <c r="R410" s="57"/>
      <c r="S410" s="57"/>
      <c r="T410" s="57"/>
      <c r="U410" s="57"/>
      <c r="V410" s="57"/>
      <c r="W410" s="57"/>
      <c r="X410" s="57"/>
      <c r="Y410" s="57"/>
      <c r="Z410" s="57"/>
    </row>
    <row r="411">
      <c r="A411" s="56" t="str">
        <f>IFERROR(__xludf.DUMMYFUNCTION("IF('AYIRA MINI MART FINAL MENU - Pr'!A411="""", """", IF(LEN(IFERROR(TRIM(REGEXREPLACE(TRIM(REGEXEXTRACT('AYIRA MINI MART FINAL MENU - Pr'!A411, ""^[^\x{0600}-\x{06FF}]+"")), ""[-–]+$"", """")), """"))&gt;0, IFERROR(TRIM(REGEXREPLACE(TRIM(REGEXEXTRACT('AYIRA"&amp;" MINI MART FINAL MENU - Pr'!A411, ""^[^\x{0600}-\x{06FF}]+"")), ""[-–]+$"", """")), """"), GOOGLETRANSLATE('AYIRA MINI MART FINAL MENU - Pr'!A411, ""ar"", ""en"")))"),"HALABI Classic Mix 300g – HALABI")</f>
        <v>HALABI Classic Mix 300g – HALABI</v>
      </c>
      <c r="B411" s="56" t="str">
        <f>IFERROR(__xludf.DUMMYFUNCTION("IF('AYIRA MINI MART FINAL MENU - Pr'!B411="""", """", IF(LEN(IFERROR(TRIM(REGEXREPLACE(TRIM(REGEXEXTRACT('AYIRA MINI MART FINAL MENU - Pr'!B411, ""^[^\x{0600}-\x{06FF}]+"")), ""[-–]+$"", """")), """"))&gt;0, IFERROR(TRIM(REGEXREPLACE(TRIM(REGEXEXTRACT('AYIRA"&amp;" MINI MART FINAL MENU - Pr'!B411, ""^[^\x{0600}-\x{06FF}]+"")), ""[-–]+$"", """")), """"), GOOGLETRANSLATE('AYIRA MINI MART FINAL MENU - Pr'!B411, ""ar"", ""en"")))"),"Nuts &amp; Seeds")</f>
        <v>Nuts &amp; Seeds</v>
      </c>
      <c r="C411" s="58">
        <f>IF('AYIRA MINI MART FINAL MENU - Pr'!C411="", "", 'AYIRA MINI MART FINAL MENU - Pr'!C411)</f>
        <v>13.5</v>
      </c>
      <c r="D411" s="56" t="str">
        <f>IFERROR(__xludf.DUMMYFUNCTION("IF('AYIRA MINI MART FINAL MENU - Pr'!D411="""", """", GOOGLETRANSLATE('AYIRA MINI MART FINAL MENU - Pr'!D411, ""ar"", ""en""))"),"Indulge your senses with HALABI Classic Mix 300g, a luxurious chocolate that blends rich flavor with a perfect texture. Made from the finest selected cocoa beans, it delivers an exceptional dessert experience every time. Whether you're looking for a speci"&amp;"al gift or want to treat yourself, this chocolate is the perfect choice. Savor every piece and immerse yourself in a world of smoothness and sweetness. Get yours from Aira Mini Mart and experience moments of pure delight.")</f>
        <v>Indulge your senses with HALABI Classic Mix 300g,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11" s="56" t="str">
        <f>IF('AYIRA MINI MART FINAL MENU - Pr'!K411="", "", 'AYIRA MINI MART FINAL MENU - Pr'!K411)</f>
        <v/>
      </c>
      <c r="F411" s="56"/>
      <c r="G411" s="56"/>
      <c r="H411" s="56"/>
      <c r="I411" s="56"/>
      <c r="J411" s="56"/>
      <c r="L411" s="56" t="str">
        <f>IF('AYIRA MINI MART FINAL MENU - Pr'!L411="", "", 'AYIRA MINI MART FINAL MENU - Pr'!L411)</f>
        <v/>
      </c>
      <c r="M411" s="56" t="str">
        <f>IF('AYIRA MINI MART FINAL MENU - Pr'!M411="", "", 'AYIRA MINI MART FINAL MENU - Pr'!M411)</f>
        <v/>
      </c>
      <c r="N411" s="56" t="str">
        <f>IF('AYIRA MINI MART FINAL MENU - Pr'!N411="", "", 'AYIRA MINI MART FINAL MENU - Pr'!N411)</f>
        <v/>
      </c>
      <c r="O411" s="57"/>
      <c r="P411" s="57"/>
      <c r="Q411" s="57"/>
      <c r="R411" s="57"/>
      <c r="S411" s="57"/>
      <c r="T411" s="57"/>
      <c r="U411" s="57"/>
      <c r="V411" s="57"/>
      <c r="W411" s="57"/>
      <c r="X411" s="57"/>
      <c r="Y411" s="57"/>
      <c r="Z411" s="57"/>
    </row>
    <row r="412">
      <c r="A412" s="56" t="str">
        <f>IFERROR(__xludf.DUMMYFUNCTION("IF('AYIRA MINI MART FINAL MENU - Pr'!A412="""", """", IF(LEN(IFERROR(TRIM(REGEXREPLACE(TRIM(REGEXEXTRACT('AYIRA MINI MART FINAL MENU - Pr'!A412, ""^[^\x{0600}-\x{06FF}]+"")), ""[-–]+$"", """")), """"))&gt;0, IFERROR(TRIM(REGEXREPLACE(TRIM(REGEXEXTRACT('AYIRA"&amp;" MINI MART FINAL MENU - Pr'!A412, ""^[^\x{0600}-\x{06FF}]+"")), ""[-–]+$"", """")), """"), GOOGLETRANSLATE('AYIRA MINI MART FINAL MENU - Pr'!A412, ""ar"", ""en"")))"),"HALABI Thai Mix 175g – HALABI Thai Mix 175")</f>
        <v>HALABI Thai Mix 175g – HALABI Thai Mix 175</v>
      </c>
      <c r="B412" s="56" t="str">
        <f>IFERROR(__xludf.DUMMYFUNCTION("IF('AYIRA MINI MART FINAL MENU - Pr'!B412="""", """", IF(LEN(IFERROR(TRIM(REGEXREPLACE(TRIM(REGEXEXTRACT('AYIRA MINI MART FINAL MENU - Pr'!B412, ""^[^\x{0600}-\x{06FF}]+"")), ""[-–]+$"", """")), """"))&gt;0, IFERROR(TRIM(REGEXREPLACE(TRIM(REGEXEXTRACT('AYIRA"&amp;" MINI MART FINAL MENU - Pr'!B412, ""^[^\x{0600}-\x{06FF}]+"")), ""[-–]+$"", """")), """"), GOOGLETRANSLATE('AYIRA MINI MART FINAL MENU - Pr'!B412, ""ar"", ""en"")))"),"Nuts &amp; Seeds")</f>
        <v>Nuts &amp; Seeds</v>
      </c>
      <c r="C412" s="58">
        <f>IF('AYIRA MINI MART FINAL MENU - Pr'!C412="", "", 'AYIRA MINI MART FINAL MENU - Pr'!C412)</f>
        <v>12.5</v>
      </c>
      <c r="D412" s="56" t="str">
        <f>IFERROR(__xludf.DUMMYFUNCTION("IF('AYIRA MINI MART FINAL MENU - Pr'!D412="""", """", GOOGLETRANSLATE('AYIRA MINI MART FINAL MENU - Pr'!D412, ""ar"", ""en""))"),"Indulge your senses with HALABI Thai Mix 175g, a luxurious chocolate that blends rich flavor with a perfect texture. Made from the finest selected cocoa beans, it delivers an exceptional dessert experience every time. Whether you're looking for a special "&amp;"gift or want to treat yourself, this chocolate is the perfect choice. Savor every piece and immerse yourself in a world of smoothness and sweetness. Get yours from Aira Mini Mart and experience moments of pure delight.")</f>
        <v>Indulge your senses with HALABI Thai Mix 175g,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12" s="56" t="str">
        <f>IF('AYIRA MINI MART FINAL MENU - Pr'!K412="", "", 'AYIRA MINI MART FINAL MENU - Pr'!K412)</f>
        <v/>
      </c>
      <c r="F412" s="56"/>
      <c r="G412" s="56"/>
      <c r="H412" s="56"/>
      <c r="I412" s="56"/>
      <c r="J412" s="56"/>
      <c r="L412" s="56" t="str">
        <f>IF('AYIRA MINI MART FINAL MENU - Pr'!L412="", "", 'AYIRA MINI MART FINAL MENU - Pr'!L412)</f>
        <v/>
      </c>
      <c r="M412" s="56" t="str">
        <f>IF('AYIRA MINI MART FINAL MENU - Pr'!M412="", "", 'AYIRA MINI MART FINAL MENU - Pr'!M412)</f>
        <v/>
      </c>
      <c r="N412" s="56" t="str">
        <f>IF('AYIRA MINI MART FINAL MENU - Pr'!N412="", "", 'AYIRA MINI MART FINAL MENU - Pr'!N412)</f>
        <v/>
      </c>
      <c r="O412" s="57"/>
      <c r="P412" s="57"/>
      <c r="Q412" s="57"/>
      <c r="R412" s="57"/>
      <c r="S412" s="57"/>
      <c r="T412" s="57"/>
      <c r="U412" s="57"/>
      <c r="V412" s="57"/>
      <c r="W412" s="57"/>
      <c r="X412" s="57"/>
      <c r="Y412" s="57"/>
      <c r="Z412" s="57"/>
    </row>
    <row r="413">
      <c r="A413" s="56" t="str">
        <f>IFERROR(__xludf.DUMMYFUNCTION("IF('AYIRA MINI MART FINAL MENU - Pr'!A413="""", """", IF(LEN(IFERROR(TRIM(REGEXREPLACE(TRIM(REGEXEXTRACT('AYIRA MINI MART FINAL MENU - Pr'!A413, ""^[^\x{0600}-\x{06FF}]+"")), ""[-–]+$"", """")), """"))&gt;0, IFERROR(TRIM(REGEXREPLACE(TRIM(REGEXEXTRACT('AYIRA"&amp;" MINI MART FINAL MENU - Pr'!A413, ""^[^\x{0600}-\x{06FF}]+"")), ""[-–]+$"", """")), """"), GOOGLETRANSLATE('AYIRA MINI MART FINAL MENU - Pr'!A413, ""ar"", ""en"")))"),"HALABI Super Extra Mix 300g – HALABI Super Extra Mix 300")</f>
        <v>HALABI Super Extra Mix 300g – HALABI Super Extra Mix 300</v>
      </c>
      <c r="B413" s="56" t="str">
        <f>IFERROR(__xludf.DUMMYFUNCTION("IF('AYIRA MINI MART FINAL MENU - Pr'!B413="""", """", IF(LEN(IFERROR(TRIM(REGEXREPLACE(TRIM(REGEXEXTRACT('AYIRA MINI MART FINAL MENU - Pr'!B413, ""^[^\x{0600}-\x{06FF}]+"")), ""[-–]+$"", """")), """"))&gt;0, IFERROR(TRIM(REGEXREPLACE(TRIM(REGEXEXTRACT('AYIRA"&amp;" MINI MART FINAL MENU - Pr'!B413, ""^[^\x{0600}-\x{06FF}]+"")), ""[-–]+$"", """")), """"), GOOGLETRANSLATE('AYIRA MINI MART FINAL MENU - Pr'!B413, ""ar"", ""en"")))"),"Nuts &amp; Seeds")</f>
        <v>Nuts &amp; Seeds</v>
      </c>
      <c r="C413" s="58">
        <f>IF('AYIRA MINI MART FINAL MENU - Pr'!C413="", "", 'AYIRA MINI MART FINAL MENU - Pr'!C413)</f>
        <v>22</v>
      </c>
      <c r="D413" s="56" t="str">
        <f>IFERROR(__xludf.DUMMYFUNCTION("IF('AYIRA MINI MART FINAL MENU - Pr'!D413="""", """", GOOGLETRANSLATE('AYIRA MINI MART FINAL MENU - Pr'!D413, ""ar"", ""en""))"),"Indulge your senses with Extra, a luxurious chocolate that blends rich flavor with a perfect texture. Made from the finest selected cocoa beans, it delivers an exceptional dessert experience every time. Whether you're looking for a special gift or want to"&amp;" treat yourself, this chocolate is the perfect choice. Savor every piece and immerse yourself in a world of smoothness and sweetness. Get yours from Aira Mini Mart and experience moments of pure delight.")</f>
        <v>Indulge your senses with Extra,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13" s="56" t="str">
        <f>IF('AYIRA MINI MART FINAL MENU - Pr'!K413="", "", 'AYIRA MINI MART FINAL MENU - Pr'!K413)</f>
        <v/>
      </c>
      <c r="F413" s="56"/>
      <c r="G413" s="56"/>
      <c r="H413" s="56"/>
      <c r="I413" s="56"/>
      <c r="J413" s="56"/>
      <c r="L413" s="56" t="str">
        <f>IF('AYIRA MINI MART FINAL MENU - Pr'!L413="", "", 'AYIRA MINI MART FINAL MENU - Pr'!L413)</f>
        <v/>
      </c>
      <c r="M413" s="56" t="str">
        <f>IF('AYIRA MINI MART FINAL MENU - Pr'!M413="", "", 'AYIRA MINI MART FINAL MENU - Pr'!M413)</f>
        <v/>
      </c>
      <c r="N413" s="56" t="str">
        <f>IF('AYIRA MINI MART FINAL MENU - Pr'!N413="", "", 'AYIRA MINI MART FINAL MENU - Pr'!N413)</f>
        <v/>
      </c>
      <c r="O413" s="57"/>
      <c r="P413" s="57"/>
      <c r="Q413" s="57"/>
      <c r="R413" s="57"/>
      <c r="S413" s="57"/>
      <c r="T413" s="57"/>
      <c r="U413" s="57"/>
      <c r="V413" s="57"/>
      <c r="W413" s="57"/>
      <c r="X413" s="57"/>
      <c r="Y413" s="57"/>
      <c r="Z413" s="57"/>
    </row>
    <row r="414">
      <c r="A414" s="56" t="str">
        <f>IFERROR(__xludf.DUMMYFUNCTION("IF('AYIRA MINI MART FINAL MENU - Pr'!A414="""", """", IF(LEN(IFERROR(TRIM(REGEXREPLACE(TRIM(REGEXEXTRACT('AYIRA MINI MART FINAL MENU - Pr'!A414, ""^[^\x{0600}-\x{06FF}]+"")), ""[-–]+$"", """")), """"))&gt;0, IFERROR(TRIM(REGEXREPLACE(TRIM(REGEXEXTRACT('AYIRA"&amp;" MINI MART FINAL MENU - Pr'!A414, ""^[^\x{0600}-\x{06FF}]+"")), ""[-–]+$"", """")), """"), GOOGLETRANSLATE('AYIRA MINI MART FINAL MENU - Pr'!A414, ""ar"", ""en"")))"),"HALABI Pumpkin Seeds 250g – HALABI Pumpkin Seeds 250")</f>
        <v>HALABI Pumpkin Seeds 250g – HALABI Pumpkin Seeds 250</v>
      </c>
      <c r="B414" s="56" t="str">
        <f>IFERROR(__xludf.DUMMYFUNCTION("IF('AYIRA MINI MART FINAL MENU - Pr'!B414="""", """", IF(LEN(IFERROR(TRIM(REGEXREPLACE(TRIM(REGEXEXTRACT('AYIRA MINI MART FINAL MENU - Pr'!B414, ""^[^\x{0600}-\x{06FF}]+"")), ""[-–]+$"", """")), """"))&gt;0, IFERROR(TRIM(REGEXREPLACE(TRIM(REGEXEXTRACT('AYIRA"&amp;" MINI MART FINAL MENU - Pr'!B414, ""^[^\x{0600}-\x{06FF}]+"")), ""[-–]+$"", """")), """"), GOOGLETRANSLATE('AYIRA MINI MART FINAL MENU - Pr'!B414, ""ar"", ""en"")))"),"Nuts &amp; Seeds")</f>
        <v>Nuts &amp; Seeds</v>
      </c>
      <c r="C414" s="58">
        <f>IF('AYIRA MINI MART FINAL MENU - Pr'!C414="", "", 'AYIRA MINI MART FINAL MENU - Pr'!C414)</f>
        <v>19</v>
      </c>
      <c r="D414" s="56" t="str">
        <f>IFERROR(__xludf.DUMMYFUNCTION("IF('AYIRA MINI MART FINAL MENU - Pr'!D414="""", """", GOOGLETRANSLATE('AYIRA MINI MART FINAL MENU - Pr'!D414, ""ar"", ""en""))"),"Indulge your senses with HALABI Pumpkin Seeds 250g, a luxurious chocolate that blends rich flavor with a perfect texture. Made from the finest selected cocoa beans, it delivers an exceptional dessert experience every time. Whether you're looking for a spe"&amp;"cial gift or want to treat yourself, this chocolate is the perfect choice. Savor every piece and immerse yourself in a world of smoothness and sweetness. Get yours from Aira Mini Mart and experience moments of pure delight.")</f>
        <v>Indulge your senses with HALABI Pumpkin Seeds 250g,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414" s="56" t="str">
        <f>IF('AYIRA MINI MART FINAL MENU - Pr'!K414="", "", 'AYIRA MINI MART FINAL MENU - Pr'!K414)</f>
        <v/>
      </c>
      <c r="F414" s="56"/>
      <c r="G414" s="56"/>
      <c r="H414" s="56"/>
      <c r="I414" s="56"/>
      <c r="J414" s="56"/>
      <c r="L414" s="56" t="str">
        <f>IF('AYIRA MINI MART FINAL MENU - Pr'!L414="", "", 'AYIRA MINI MART FINAL MENU - Pr'!L414)</f>
        <v/>
      </c>
      <c r="M414" s="56" t="str">
        <f>IF('AYIRA MINI MART FINAL MENU - Pr'!M414="", "", 'AYIRA MINI MART FINAL MENU - Pr'!M414)</f>
        <v/>
      </c>
      <c r="N414" s="56" t="str">
        <f>IF('AYIRA MINI MART FINAL MENU - Pr'!N414="", "", 'AYIRA MINI MART FINAL MENU - Pr'!N414)</f>
        <v/>
      </c>
      <c r="O414" s="57"/>
      <c r="P414" s="57"/>
      <c r="Q414" s="57"/>
      <c r="R414" s="57"/>
      <c r="S414" s="57"/>
      <c r="T414" s="57"/>
      <c r="U414" s="57"/>
      <c r="V414" s="57"/>
      <c r="W414" s="57"/>
      <c r="X414" s="57"/>
      <c r="Y414" s="57"/>
      <c r="Z414" s="57"/>
    </row>
    <row r="415">
      <c r="A415" s="56" t="str">
        <f>IFERROR(__xludf.DUMMYFUNCTION("IF('AYIRA MINI MART FINAL MENU - Pr'!A415="""", """", IF(LEN(IFERROR(TRIM(REGEXREPLACE(TRIM(REGEXEXTRACT('AYIRA MINI MART FINAL MENU - Pr'!A415, ""^[^\x{0600}-\x{06FF}]+"")), ""[-–]+$"", """")), """"))&gt;0, IFERROR(TRIM(REGEXREPLACE(TRIM(REGEXEXTRACT('AYIRA"&amp;" MINI MART FINAL MENU - Pr'!A415, ""^[^\x{0600}-\x{06FF}]+"")), ""[-–]+$"", """")), """"), GOOGLETRANSLATE('AYIRA MINI MART FINAL MENU - Pr'!A415, ""ar"", ""en"")))"),"HALABI Sunflower Seeds 250g – HALABI Sunflower Seeds 250")</f>
        <v>HALABI Sunflower Seeds 250g – HALABI Sunflower Seeds 250</v>
      </c>
      <c r="B415" s="56" t="str">
        <f>IFERROR(__xludf.DUMMYFUNCTION("IF('AYIRA MINI MART FINAL MENU - Pr'!B415="""", """", IF(LEN(IFERROR(TRIM(REGEXREPLACE(TRIM(REGEXEXTRACT('AYIRA MINI MART FINAL MENU - Pr'!B415, ""^[^\x{0600}-\x{06FF}]+"")), ""[-–]+$"", """")), """"))&gt;0, IFERROR(TRIM(REGEXREPLACE(TRIM(REGEXEXTRACT('AYIRA"&amp;" MINI MART FINAL MENU - Pr'!B415, ""^[^\x{0600}-\x{06FF}]+"")), ""[-–]+$"", """")), """"), GOOGLETRANSLATE('AYIRA MINI MART FINAL MENU - Pr'!B415, ""ar"", ""en"")))"),"Nuts &amp; Seeds")</f>
        <v>Nuts &amp; Seeds</v>
      </c>
      <c r="C415" s="58">
        <f>IF('AYIRA MINI MART FINAL MENU - Pr'!C415="", "", 'AYIRA MINI MART FINAL MENU - Pr'!C415)</f>
        <v>8.5</v>
      </c>
      <c r="D415" s="56" t="str">
        <f>IFERROR(__xludf.DUMMYFUNCTION("IF('AYIRA MINI MART FINAL MENU - Pr'!D415="""", """", GOOGLETRANSLATE('AYIRA MINI MART FINAL MENU - Pr'!D415, ""ar"", ""en""))"),"Choose HALABI Sunflower Seeds 250g, natural nuts rich in protein and healthy fats essential for your body. Made from the finest, carefully selected nuts to ensure the highest levels of purity and taste. A perfect healthy and nutritious snack between meals"&amp;". Supports heart health and provides the energy you need. Available at Aira Mini Mart with the highest quality and best prices.")</f>
        <v>Choose HALABI Sunflower Seeds 250g,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415" s="56" t="str">
        <f>IF('AYIRA MINI MART FINAL MENU - Pr'!K415="", "", 'AYIRA MINI MART FINAL MENU - Pr'!K415)</f>
        <v/>
      </c>
      <c r="F415" s="56"/>
      <c r="G415" s="56"/>
      <c r="H415" s="56"/>
      <c r="I415" s="56"/>
      <c r="J415" s="56"/>
      <c r="L415" s="56" t="str">
        <f>IF('AYIRA MINI MART FINAL MENU - Pr'!L415="", "", 'AYIRA MINI MART FINAL MENU - Pr'!L415)</f>
        <v/>
      </c>
      <c r="M415" s="56" t="str">
        <f>IF('AYIRA MINI MART FINAL MENU - Pr'!M415="", "", 'AYIRA MINI MART FINAL MENU - Pr'!M415)</f>
        <v/>
      </c>
      <c r="N415" s="56" t="str">
        <f>IF('AYIRA MINI MART FINAL MENU - Pr'!N415="", "", 'AYIRA MINI MART FINAL MENU - Pr'!N415)</f>
        <v/>
      </c>
      <c r="O415" s="57"/>
      <c r="P415" s="57"/>
      <c r="Q415" s="57"/>
      <c r="R415" s="57"/>
      <c r="S415" s="57"/>
      <c r="T415" s="57"/>
      <c r="U415" s="57"/>
      <c r="V415" s="57"/>
      <c r="W415" s="57"/>
      <c r="X415" s="57"/>
      <c r="Y415" s="57"/>
      <c r="Z415" s="57"/>
    </row>
    <row r="416">
      <c r="A416" s="56" t="str">
        <f>IFERROR(__xludf.DUMMYFUNCTION("IF('AYIRA MINI MART FINAL MENU - Pr'!A416="""", """", IF(LEN(IFERROR(TRIM(REGEXREPLACE(TRIM(REGEXEXTRACT('AYIRA MINI MART FINAL MENU - Pr'!A416, ""^[^\x{0600}-\x{06FF}]+"")), ""[-–]+$"", """")), """"))&gt;0, IFERROR(TRIM(REGEXREPLACE(TRIM(REGEXEXTRACT('AYIRA"&amp;" MINI MART FINAL MENU - Pr'!A416, ""^[^\x{0600}-\x{06FF}]+"")), ""[-–]+$"", """")), """"), GOOGLETRANSLATE('AYIRA MINI MART FINAL MENU - Pr'!A416, ""ar"", ""en"")))"),"HALABI Cashews 250g – HALABI Cashews 250")</f>
        <v>HALABI Cashews 250g – HALABI Cashews 250</v>
      </c>
      <c r="B416" s="56" t="str">
        <f>IFERROR(__xludf.DUMMYFUNCTION("IF('AYIRA MINI MART FINAL MENU - Pr'!B416="""", """", IF(LEN(IFERROR(TRIM(REGEXREPLACE(TRIM(REGEXEXTRACT('AYIRA MINI MART FINAL MENU - Pr'!B416, ""^[^\x{0600}-\x{06FF}]+"")), ""[-–]+$"", """")), """"))&gt;0, IFERROR(TRIM(REGEXREPLACE(TRIM(REGEXEXTRACT('AYIRA"&amp;" MINI MART FINAL MENU - Pr'!B416, ""^[^\x{0600}-\x{06FF}]+"")), ""[-–]+$"", """")), """"), GOOGLETRANSLATE('AYIRA MINI MART FINAL MENU - Pr'!B416, ""ar"", ""en"")))"),"Nuts &amp; Seeds")</f>
        <v>Nuts &amp; Seeds</v>
      </c>
      <c r="C416" s="58">
        <f>IF('AYIRA MINI MART FINAL MENU - Pr'!C416="", "", 'AYIRA MINI MART FINAL MENU - Pr'!C416)</f>
        <v>38</v>
      </c>
      <c r="D416" s="56" t="str">
        <f>IFERROR(__xludf.DUMMYFUNCTION("IF('AYIRA MINI MART FINAL MENU - Pr'!D416="""", """", GOOGLETRANSLATE('AYIRA MINI MART FINAL MENU - Pr'!D416, ""ar"", ""en""))"),"Choose HALABI Cashews 250g, natural nuts rich in protein and healthy fats essential for your body. Made from the finest, carefully selected nuts to ensure the highest levels of purity and taste. A perfect healthy and nutritious snack between meals. Suppor"&amp;"ts heart health and provides the energy you need. Available at Aira Mini Mart with the highest quality and best prices.")</f>
        <v>Choose HALABI Cashews 250g,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416" s="56" t="str">
        <f>IF('AYIRA MINI MART FINAL MENU - Pr'!K416="", "", 'AYIRA MINI MART FINAL MENU - Pr'!K416)</f>
        <v/>
      </c>
      <c r="F416" s="56"/>
      <c r="G416" s="56"/>
      <c r="H416" s="56"/>
      <c r="I416" s="56"/>
      <c r="J416" s="56"/>
      <c r="L416" s="56" t="str">
        <f>IF('AYIRA MINI MART FINAL MENU - Pr'!L416="", "", 'AYIRA MINI MART FINAL MENU - Pr'!L416)</f>
        <v/>
      </c>
      <c r="M416" s="56" t="str">
        <f>IF('AYIRA MINI MART FINAL MENU - Pr'!M416="", "", 'AYIRA MINI MART FINAL MENU - Pr'!M416)</f>
        <v/>
      </c>
      <c r="N416" s="56" t="str">
        <f>IF('AYIRA MINI MART FINAL MENU - Pr'!N416="", "", 'AYIRA MINI MART FINAL MENU - Pr'!N416)</f>
        <v/>
      </c>
      <c r="O416" s="57"/>
      <c r="P416" s="57"/>
      <c r="Q416" s="57"/>
      <c r="R416" s="57"/>
      <c r="S416" s="57"/>
      <c r="T416" s="57"/>
      <c r="U416" s="57"/>
      <c r="V416" s="57"/>
      <c r="W416" s="57"/>
      <c r="X416" s="57"/>
      <c r="Y416" s="57"/>
      <c r="Z416" s="57"/>
    </row>
    <row r="417">
      <c r="A417" s="56" t="str">
        <f>IFERROR(__xludf.DUMMYFUNCTION("IF('AYIRA MINI MART FINAL MENU - Pr'!A417="""", """", IF(LEN(IFERROR(TRIM(REGEXREPLACE(TRIM(REGEXEXTRACT('AYIRA MINI MART FINAL MENU - Pr'!A417, ""^[^\x{0600}-\x{06FF}]+"")), ""[-–]+$"", """")), """"))&gt;0, IFERROR(TRIM(REGEXREPLACE(TRIM(REGEXEXTRACT('AYIRA"&amp;" MINI MART FINAL MENU - Pr'!A417, ""^[^\x{0600}-\x{06FF}]+"")), ""[-–]+$"", """")), """"), GOOGLETRANSLATE('AYIRA MINI MART FINAL MENU - Pr'!A417, ""ar"", ""en"")))"),"HALABI Peanuts 250g – HALABI Peanuts 250")</f>
        <v>HALABI Peanuts 250g – HALABI Peanuts 250</v>
      </c>
      <c r="B417" s="56" t="str">
        <f>IFERROR(__xludf.DUMMYFUNCTION("IF('AYIRA MINI MART FINAL MENU - Pr'!B417="""", """", IF(LEN(IFERROR(TRIM(REGEXREPLACE(TRIM(REGEXEXTRACT('AYIRA MINI MART FINAL MENU - Pr'!B417, ""^[^\x{0600}-\x{06FF}]+"")), ""[-–]+$"", """")), """"))&gt;0, IFERROR(TRIM(REGEXREPLACE(TRIM(REGEXEXTRACT('AYIRA"&amp;" MINI MART FINAL MENU - Pr'!B417, ""^[^\x{0600}-\x{06FF}]+"")), ""[-–]+$"", """")), """"), GOOGLETRANSLATE('AYIRA MINI MART FINAL MENU - Pr'!B417, ""ar"", ""en"")))"),"Nuts &amp; Seeds")</f>
        <v>Nuts &amp; Seeds</v>
      </c>
      <c r="C417" s="58">
        <f>IF('AYIRA MINI MART FINAL MENU - Pr'!C417="", "", 'AYIRA MINI MART FINAL MENU - Pr'!C417)</f>
        <v>12.5</v>
      </c>
      <c r="D417" s="56" t="str">
        <f>IFERROR(__xludf.DUMMYFUNCTION("IF('AYIRA MINI MART FINAL MENU - Pr'!D417="""", """", GOOGLETRANSLATE('AYIRA MINI MART FINAL MENU - Pr'!D417, ""ar"", ""en""))"),"Choose HALABI Peanuts 250g, natural nuts rich in protein and healthy fats essential for your body. Made from the finest, carefully selected nuts to ensure the highest levels of purity and taste. A perfect healthy and nutritious snack between meals. Suppor"&amp;"ts heart health and provides the energy you need. Available at Aira Mini Mart with the highest quality and best prices.")</f>
        <v>Choose HALABI Peanuts 250g,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417" s="56" t="str">
        <f>IF('AYIRA MINI MART FINAL MENU - Pr'!K417="", "", 'AYIRA MINI MART FINAL MENU - Pr'!K417)</f>
        <v/>
      </c>
      <c r="F417" s="56"/>
      <c r="G417" s="56"/>
      <c r="H417" s="56"/>
      <c r="I417" s="56"/>
      <c r="J417" s="56"/>
      <c r="L417" s="56" t="str">
        <f>IF('AYIRA MINI MART FINAL MENU - Pr'!L417="", "", 'AYIRA MINI MART FINAL MENU - Pr'!L417)</f>
        <v/>
      </c>
      <c r="M417" s="56" t="str">
        <f>IF('AYIRA MINI MART FINAL MENU - Pr'!M417="", "", 'AYIRA MINI MART FINAL MENU - Pr'!M417)</f>
        <v/>
      </c>
      <c r="N417" s="56" t="str">
        <f>IF('AYIRA MINI MART FINAL MENU - Pr'!N417="", "", 'AYIRA MINI MART FINAL MENU - Pr'!N417)</f>
        <v/>
      </c>
      <c r="O417" s="57"/>
      <c r="P417" s="57"/>
      <c r="Q417" s="57"/>
      <c r="R417" s="57"/>
      <c r="S417" s="57"/>
      <c r="T417" s="57"/>
      <c r="U417" s="57"/>
      <c r="V417" s="57"/>
      <c r="W417" s="57"/>
      <c r="X417" s="57"/>
      <c r="Y417" s="57"/>
      <c r="Z417" s="57"/>
    </row>
    <row r="418">
      <c r="A418" s="56" t="str">
        <f>IFERROR(__xludf.DUMMYFUNCTION("IF('AYIRA MINI MART FINAL MENU - Pr'!A418="""", """", IF(LEN(IFERROR(TRIM(REGEXREPLACE(TRIM(REGEXEXTRACT('AYIRA MINI MART FINAL MENU - Pr'!A418, ""^[^\x{0600}-\x{06FF}]+"")), ""[-–]+$"", """")), """"))&gt;0, IFERROR(TRIM(REGEXREPLACE(TRIM(REGEXEXTRACT('AYIRA"&amp;" MINI MART FINAL MENU - Pr'!A418, ""^[^\x{0600}-\x{06FF}]+"")), ""[-–]+$"", """")), """"), GOOGLETRANSLATE('AYIRA MINI MART FINAL MENU - Pr'!A418, ""ar"", ""en"")))"),"HALABI Cashews 90g – HALABI Cashews 90")</f>
        <v>HALABI Cashews 90g – HALABI Cashews 90</v>
      </c>
      <c r="B418" s="56" t="str">
        <f>IFERROR(__xludf.DUMMYFUNCTION("IF('AYIRA MINI MART FINAL MENU - Pr'!B418="""", """", IF(LEN(IFERROR(TRIM(REGEXREPLACE(TRIM(REGEXEXTRACT('AYIRA MINI MART FINAL MENU - Pr'!B418, ""^[^\x{0600}-\x{06FF}]+"")), ""[-–]+$"", """")), """"))&gt;0, IFERROR(TRIM(REGEXREPLACE(TRIM(REGEXEXTRACT('AYIRA"&amp;" MINI MART FINAL MENU - Pr'!B418, ""^[^\x{0600}-\x{06FF}]+"")), ""[-–]+$"", """")), """"), GOOGLETRANSLATE('AYIRA MINI MART FINAL MENU - Pr'!B418, ""ar"", ""en"")))"),"Nuts &amp; Seeds")</f>
        <v>Nuts &amp; Seeds</v>
      </c>
      <c r="C418" s="58">
        <f>IF('AYIRA MINI MART FINAL MENU - Pr'!C418="", "", 'AYIRA MINI MART FINAL MENU - Pr'!C418)</f>
        <v>13.5</v>
      </c>
      <c r="D418" s="56" t="str">
        <f>IFERROR(__xludf.DUMMYFUNCTION("IF('AYIRA MINI MART FINAL MENU - Pr'!D418="""", """", GOOGLETRANSLATE('AYIRA MINI MART FINAL MENU - Pr'!D418, ""ar"", ""en""))"),"Choose HALABI Cashews 90g, natural nuts rich in protein and healthy fats essential for your body. Made from the finest, carefully selected nuts to ensure the highest levels of purity and taste. A perfect healthy and nutritious snack between meals. Support"&amp;"s heart health and provides the energy you need. Available at Aira Mini Mart with the highest quality and best prices.")</f>
        <v>Choose HALABI Cashews 90g,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418" s="56" t="str">
        <f>IF('AYIRA MINI MART FINAL MENU - Pr'!K418="", "", 'AYIRA MINI MART FINAL MENU - Pr'!K418)</f>
        <v/>
      </c>
      <c r="F418" s="56"/>
      <c r="G418" s="56"/>
      <c r="H418" s="56"/>
      <c r="I418" s="56"/>
      <c r="J418" s="56"/>
      <c r="L418" s="56" t="str">
        <f>IF('AYIRA MINI MART FINAL MENU - Pr'!L418="", "", 'AYIRA MINI MART FINAL MENU - Pr'!L418)</f>
        <v/>
      </c>
      <c r="M418" s="56" t="str">
        <f>IF('AYIRA MINI MART FINAL MENU - Pr'!M418="", "", 'AYIRA MINI MART FINAL MENU - Pr'!M418)</f>
        <v/>
      </c>
      <c r="N418" s="56" t="str">
        <f>IF('AYIRA MINI MART FINAL MENU - Pr'!N418="", "", 'AYIRA MINI MART FINAL MENU - Pr'!N418)</f>
        <v/>
      </c>
      <c r="O418" s="57"/>
      <c r="P418" s="57"/>
      <c r="Q418" s="57"/>
      <c r="R418" s="57"/>
      <c r="S418" s="57"/>
      <c r="T418" s="57"/>
      <c r="U418" s="57"/>
      <c r="V418" s="57"/>
      <c r="W418" s="57"/>
      <c r="X418" s="57"/>
      <c r="Y418" s="57"/>
      <c r="Z418" s="57"/>
    </row>
    <row r="419">
      <c r="A419" s="56" t="str">
        <f>IFERROR(__xludf.DUMMYFUNCTION("IF('AYIRA MINI MART FINAL MENU - Pr'!A419="""", """", IF(LEN(IFERROR(TRIM(REGEXREPLACE(TRIM(REGEXEXTRACT('AYIRA MINI MART FINAL MENU - Pr'!A419, ""^[^\x{0600}-\x{06FF}]+"")), ""[-–]+$"", """")), """"))&gt;0, IFERROR(TRIM(REGEXREPLACE(TRIM(REGEXEXTRACT('AYIRA"&amp;" MINI MART FINAL MENU - Pr'!A419, ""^[^\x{0600}-\x{06FF}]+"")), ""[-–]+$"", """")), """"), GOOGLETRANSLATE('AYIRA MINI MART FINAL MENU - Pr'!A419, ""ar"", ""en"")))"),"HALABI Salted Almonds 90g – HALABI")</f>
        <v>HALABI Salted Almonds 90g – HALABI</v>
      </c>
      <c r="B419" s="56" t="str">
        <f>IFERROR(__xludf.DUMMYFUNCTION("IF('AYIRA MINI MART FINAL MENU - Pr'!B419="""", """", IF(LEN(IFERROR(TRIM(REGEXREPLACE(TRIM(REGEXEXTRACT('AYIRA MINI MART FINAL MENU - Pr'!B419, ""^[^\x{0600}-\x{06FF}]+"")), ""[-–]+$"", """")), """"))&gt;0, IFERROR(TRIM(REGEXREPLACE(TRIM(REGEXEXTRACT('AYIRA"&amp;" MINI MART FINAL MENU - Pr'!B419, ""^[^\x{0600}-\x{06FF}]+"")), ""[-–]+$"", """")), """"), GOOGLETRANSLATE('AYIRA MINI MART FINAL MENU - Pr'!B419, ""ar"", ""en"")))"),"Nuts &amp; Seeds")</f>
        <v>Nuts &amp; Seeds</v>
      </c>
      <c r="C419" s="58">
        <f>IF('AYIRA MINI MART FINAL MENU - Pr'!C419="", "", 'AYIRA MINI MART FINAL MENU - Pr'!C419)</f>
        <v>12</v>
      </c>
      <c r="D419" s="56" t="str">
        <f>IFERROR(__xludf.DUMMYFUNCTION("IF('AYIRA MINI MART FINAL MENU - Pr'!D419="""", """", GOOGLETRANSLATE('AYIRA MINI MART FINAL MENU - Pr'!D419, ""ar"", ""en""))"),"Choose HALABI Salted Almonds 90g, natural nuts rich in protein and healthy fats essential for your body. Made from the finest, carefully selected nuts to ensure the highest levels of purity and taste. A perfect healthy and nutritious snack between meals. "&amp;"Supports heart health and provides the energy you need. Available at Aira Mini Mart with the highest quality and best prices.")</f>
        <v>Choose HALABI Salted Almonds 90g,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419" s="56" t="str">
        <f>IF('AYIRA MINI MART FINAL MENU - Pr'!K419="", "", 'AYIRA MINI MART FINAL MENU - Pr'!K419)</f>
        <v/>
      </c>
      <c r="F419" s="56"/>
      <c r="G419" s="56"/>
      <c r="H419" s="56"/>
      <c r="I419" s="56"/>
      <c r="J419" s="56"/>
      <c r="L419" s="56" t="str">
        <f>IF('AYIRA MINI MART FINAL MENU - Pr'!L419="", "", 'AYIRA MINI MART FINAL MENU - Pr'!L419)</f>
        <v/>
      </c>
      <c r="M419" s="56" t="str">
        <f>IF('AYIRA MINI MART FINAL MENU - Pr'!M419="", "", 'AYIRA MINI MART FINAL MENU - Pr'!M419)</f>
        <v/>
      </c>
      <c r="N419" s="56" t="str">
        <f>IF('AYIRA MINI MART FINAL MENU - Pr'!N419="", "", 'AYIRA MINI MART FINAL MENU - Pr'!N419)</f>
        <v/>
      </c>
      <c r="O419" s="57"/>
      <c r="P419" s="57"/>
      <c r="Q419" s="57"/>
      <c r="R419" s="57"/>
      <c r="S419" s="57"/>
      <c r="T419" s="57"/>
      <c r="U419" s="57"/>
      <c r="V419" s="57"/>
      <c r="W419" s="57"/>
      <c r="X419" s="57"/>
      <c r="Y419" s="57"/>
      <c r="Z419" s="57"/>
    </row>
    <row r="420">
      <c r="A420" s="56" t="str">
        <f>IFERROR(__xludf.DUMMYFUNCTION("IF('AYIRA MINI MART FINAL MENU - Pr'!A420="""", """", IF(LEN(IFERROR(TRIM(REGEXREPLACE(TRIM(REGEXEXTRACT('AYIRA MINI MART FINAL MENU - Pr'!A420, ""^[^\x{0600}-\x{06FF}]+"")), ""[-–]+$"", """")), """"))&gt;0, IFERROR(TRIM(REGEXREPLACE(TRIM(REGEXEXTRACT('AYIRA"&amp;" MINI MART FINAL MENU - Pr'!A420, ""^[^\x{0600}-\x{06FF}]+"")), ""[-–]+$"", """")), """"), GOOGLETRANSLATE('AYIRA MINI MART FINAL MENU - Pr'!A420, ""ar"", ""en"")))"),"HALABI Coated Peanuts Kri Kri 250g – HALABI Coated Peanuts Kri Kri 250")</f>
        <v>HALABI Coated Peanuts Kri Kri 250g – HALABI Coated Peanuts Kri Kri 250</v>
      </c>
      <c r="B420" s="56" t="str">
        <f>IFERROR(__xludf.DUMMYFUNCTION("IF('AYIRA MINI MART FINAL MENU - Pr'!B420="""", """", IF(LEN(IFERROR(TRIM(REGEXREPLACE(TRIM(REGEXEXTRACT('AYIRA MINI MART FINAL MENU - Pr'!B420, ""^[^\x{0600}-\x{06FF}]+"")), ""[-–]+$"", """")), """"))&gt;0, IFERROR(TRIM(REGEXREPLACE(TRIM(REGEXEXTRACT('AYIRA"&amp;" MINI MART FINAL MENU - Pr'!B420, ""^[^\x{0600}-\x{06FF}]+"")), ""[-–]+$"", """")), """"), GOOGLETRANSLATE('AYIRA MINI MART FINAL MENU - Pr'!B420, ""ar"", ""en"")))"),"Nuts &amp; Seeds")</f>
        <v>Nuts &amp; Seeds</v>
      </c>
      <c r="C420" s="58">
        <f>IF('AYIRA MINI MART FINAL MENU - Pr'!C420="", "", 'AYIRA MINI MART FINAL MENU - Pr'!C420)</f>
        <v>12.5</v>
      </c>
      <c r="D420" s="56" t="str">
        <f>IFERROR(__xludf.DUMMYFUNCTION("IF('AYIRA MINI MART FINAL MENU - Pr'!D420="""", """", GOOGLETRANSLATE('AYIRA MINI MART FINAL MENU - Pr'!D420, ""ar"", ""en""))"),"Choose HALABI Coated Peanuts Kri Kri 250g, natural nuts rich in protein and healthy fats essential for your body. Made from the finest, carefully selected nuts to ensure the highest levels of purity and taste. A perfect healthy and nutritious snack betwee"&amp;"n meals. Supports heart health and provides the energy you need. Available at Aira Mini Mart with the highest quality and best prices.")</f>
        <v>Choose HALABI Coated Peanuts Kri Kri 250g,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420" s="56" t="str">
        <f>IF('AYIRA MINI MART FINAL MENU - Pr'!K420="", "", 'AYIRA MINI MART FINAL MENU - Pr'!K420)</f>
        <v/>
      </c>
      <c r="F420" s="56"/>
      <c r="G420" s="56"/>
      <c r="H420" s="56"/>
      <c r="I420" s="56"/>
      <c r="J420" s="56"/>
      <c r="L420" s="56" t="str">
        <f>IF('AYIRA MINI MART FINAL MENU - Pr'!L420="", "", 'AYIRA MINI MART FINAL MENU - Pr'!L420)</f>
        <v/>
      </c>
      <c r="M420" s="56" t="str">
        <f>IF('AYIRA MINI MART FINAL MENU - Pr'!M420="", "", 'AYIRA MINI MART FINAL MENU - Pr'!M420)</f>
        <v/>
      </c>
      <c r="N420" s="56" t="str">
        <f>IF('AYIRA MINI MART FINAL MENU - Pr'!N420="", "", 'AYIRA MINI MART FINAL MENU - Pr'!N420)</f>
        <v/>
      </c>
      <c r="O420" s="57"/>
      <c r="P420" s="57"/>
      <c r="Q420" s="57"/>
      <c r="R420" s="57"/>
      <c r="S420" s="57"/>
      <c r="T420" s="57"/>
      <c r="U420" s="57"/>
      <c r="V420" s="57"/>
      <c r="W420" s="57"/>
      <c r="X420" s="57"/>
      <c r="Y420" s="57"/>
      <c r="Z420" s="57"/>
    </row>
    <row r="421">
      <c r="A421" s="56" t="str">
        <f>IFERROR(__xludf.DUMMYFUNCTION("IF('AYIRA MINI MART FINAL MENU - Pr'!A421="""", """", IF(LEN(IFERROR(TRIM(REGEXREPLACE(TRIM(REGEXEXTRACT('AYIRA MINI MART FINAL MENU - Pr'!A421, ""^[^\x{0600}-\x{06FF}]+"")), ""[-–]+$"", """")), """"))&gt;0, IFERROR(TRIM(REGEXREPLACE(TRIM(REGEXEXTRACT('AYIRA"&amp;" MINI MART FINAL MENU - Pr'!A421, ""^[^\x{0600}-\x{06FF}]+"")), ""[-–]+$"", """")), """"), GOOGLETRANSLATE('AYIRA MINI MART FINAL MENU - Pr'!A421, ""ar"", ""en"")))"),"HALABI Pistachios 250g – HALABI Pistachios 250")</f>
        <v>HALABI Pistachios 250g – HALABI Pistachios 250</v>
      </c>
      <c r="B421" s="56" t="str">
        <f>IFERROR(__xludf.DUMMYFUNCTION("IF('AYIRA MINI MART FINAL MENU - Pr'!B421="""", """", IF(LEN(IFERROR(TRIM(REGEXREPLACE(TRIM(REGEXEXTRACT('AYIRA MINI MART FINAL MENU - Pr'!B421, ""^[^\x{0600}-\x{06FF}]+"")), ""[-–]+$"", """")), """"))&gt;0, IFERROR(TRIM(REGEXREPLACE(TRIM(REGEXEXTRACT('AYIRA"&amp;" MINI MART FINAL MENU - Pr'!B421, ""^[^\x{0600}-\x{06FF}]+"")), ""[-–]+$"", """")), """"), GOOGLETRANSLATE('AYIRA MINI MART FINAL MENU - Pr'!B421, ""ar"", ""en"")))"),"Nuts &amp; Seeds")</f>
        <v>Nuts &amp; Seeds</v>
      </c>
      <c r="C421" s="58">
        <f>IF('AYIRA MINI MART FINAL MENU - Pr'!C421="", "", 'AYIRA MINI MART FINAL MENU - Pr'!C421)</f>
        <v>44</v>
      </c>
      <c r="D421" s="56" t="str">
        <f>IFERROR(__xludf.DUMMYFUNCTION("IF('AYIRA MINI MART FINAL MENU - Pr'!D421="""", """", GOOGLETRANSLATE('AYIRA MINI MART FINAL MENU - Pr'!D421, ""ar"", ""en""))"),"Choose HALABI Pistachios 250g, natural nuts rich in protein and healthy fats essential for your body. Made from the finest, carefully selected nuts to ensure the highest levels of purity and taste. A perfect healthy and nutritious snack between meals. Sup"&amp;"ports heart health and provides the energy you need. Available at Aira Mini Mart with the highest quality and best prices.")</f>
        <v>Choose HALABI Pistachios 250g,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421" s="56" t="str">
        <f>IF('AYIRA MINI MART FINAL MENU - Pr'!K421="", "", 'AYIRA MINI MART FINAL MENU - Pr'!K421)</f>
        <v/>
      </c>
      <c r="F421" s="56"/>
      <c r="G421" s="56"/>
      <c r="H421" s="56"/>
      <c r="I421" s="56"/>
      <c r="J421" s="56"/>
      <c r="L421" s="56" t="str">
        <f>IF('AYIRA MINI MART FINAL MENU - Pr'!L421="", "", 'AYIRA MINI MART FINAL MENU - Pr'!L421)</f>
        <v/>
      </c>
      <c r="M421" s="56" t="str">
        <f>IF('AYIRA MINI MART FINAL MENU - Pr'!M421="", "", 'AYIRA MINI MART FINAL MENU - Pr'!M421)</f>
        <v/>
      </c>
      <c r="N421" s="56" t="str">
        <f>IF('AYIRA MINI MART FINAL MENU - Pr'!N421="", "", 'AYIRA MINI MART FINAL MENU - Pr'!N421)</f>
        <v/>
      </c>
      <c r="O421" s="57"/>
      <c r="P421" s="57"/>
      <c r="Q421" s="57"/>
      <c r="R421" s="57"/>
      <c r="S421" s="57"/>
      <c r="T421" s="57"/>
      <c r="U421" s="57"/>
      <c r="V421" s="57"/>
      <c r="W421" s="57"/>
      <c r="X421" s="57"/>
      <c r="Y421" s="57"/>
      <c r="Z421" s="57"/>
    </row>
    <row r="422">
      <c r="A422" s="56" t="str">
        <f>IFERROR(__xludf.DUMMYFUNCTION("IF('AYIRA MINI MART FINAL MENU - Pr'!A422="""", """", IF(LEN(IFERROR(TRIM(REGEXREPLACE(TRIM(REGEXEXTRACT('AYIRA MINI MART FINAL MENU - Pr'!A422, ""^[^\x{0600}-\x{06FF}]+"")), ""[-–]+$"", """")), """"))&gt;0, IFERROR(TRIM(REGEXREPLACE(TRIM(REGEXEXTRACT('AYIRA"&amp;" MINI MART FINAL MENU - Pr'!A422, ""^[^\x{0600}-\x{06FF}]+"")), ""[-–]+$"", """")), """"), GOOGLETRANSLATE('AYIRA MINI MART FINAL MENU - Pr'!A422, ""ar"", ""en"")))"),"DORITOS Nacho Cheese 175g")</f>
        <v>DORITOS Nacho Cheese 175g</v>
      </c>
      <c r="B422" s="56" t="str">
        <f>IFERROR(__xludf.DUMMYFUNCTION("IF('AYIRA MINI MART FINAL MENU - Pr'!B422="""", """", IF(LEN(IFERROR(TRIM(REGEXREPLACE(TRIM(REGEXEXTRACT('AYIRA MINI MART FINAL MENU - Pr'!B422, ""^[^\x{0600}-\x{06FF}]+"")), ""[-–]+$"", """")), """"))&gt;0, IFERROR(TRIM(REGEXREPLACE(TRIM(REGEXEXTRACT('AYIRA"&amp;" MINI MART FINAL MENU - Pr'!B422, ""^[^\x{0600}-\x{06FF}]+"")), ""[-–]+$"", """")), """"), GOOGLETRANSLATE('AYIRA MINI MART FINAL MENU - Pr'!B422, ""ar"", ""en"")))"),"Chips &amp; Crisps")</f>
        <v>Chips &amp; Crisps</v>
      </c>
      <c r="C422" s="58">
        <f>IF('AYIRA MINI MART FINAL MENU - Pr'!C422="", "", 'AYIRA MINI MART FINAL MENU - Pr'!C422)</f>
        <v>12</v>
      </c>
      <c r="D422" s="56" t="str">
        <f>IFERROR(__xludf.DUMMYFUNCTION("IF('AYIRA MINI MART FINAL MENU - Pr'!D422="""", """", GOOGLETRANSLATE('AYIRA MINI MART FINAL MENU - Pr'!D422,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22" s="56" t="str">
        <f>IF('AYIRA MINI MART FINAL MENU - Pr'!K422="", "", 'AYIRA MINI MART FINAL MENU - Pr'!K422)</f>
        <v/>
      </c>
      <c r="F422" s="56"/>
      <c r="G422" s="56"/>
      <c r="H422" s="56"/>
      <c r="I422" s="56"/>
      <c r="J422" s="56"/>
      <c r="L422" s="56" t="str">
        <f>IF('AYIRA MINI MART FINAL MENU - Pr'!L422="", "", 'AYIRA MINI MART FINAL MENU - Pr'!L422)</f>
        <v/>
      </c>
      <c r="M422" s="56" t="str">
        <f>IF('AYIRA MINI MART FINAL MENU - Pr'!M422="", "", 'AYIRA MINI MART FINAL MENU - Pr'!M422)</f>
        <v/>
      </c>
      <c r="N422" s="56" t="str">
        <f>IF('AYIRA MINI MART FINAL MENU - Pr'!N422="", "", 'AYIRA MINI MART FINAL MENU - Pr'!N422)</f>
        <v/>
      </c>
      <c r="O422" s="57"/>
      <c r="P422" s="57"/>
      <c r="Q422" s="57"/>
      <c r="R422" s="57"/>
      <c r="S422" s="57"/>
      <c r="T422" s="57"/>
      <c r="U422" s="57"/>
      <c r="V422" s="57"/>
      <c r="W422" s="57"/>
      <c r="X422" s="57"/>
      <c r="Y422" s="57"/>
      <c r="Z422" s="57"/>
    </row>
    <row r="423">
      <c r="A423" s="56" t="str">
        <f>IFERROR(__xludf.DUMMYFUNCTION("IF('AYIRA MINI MART FINAL MENU - Pr'!A423="""", """", IF(LEN(IFERROR(TRIM(REGEXREPLACE(TRIM(REGEXEXTRACT('AYIRA MINI MART FINAL MENU - Pr'!A423, ""^[^\x{0600}-\x{06FF}]+"")), ""[-–]+$"", """")), """"))&gt;0, IFERROR(TRIM(REGEXREPLACE(TRIM(REGEXEXTRACT('AYIRA"&amp;" MINI MART FINAL MENU - Pr'!A423, ""^[^\x{0600}-\x{06FF}]+"")), ""[-–]+$"", """")), """"), GOOGLETRANSLATE('AYIRA MINI MART FINAL MENU - Pr'!A423, ""ar"", ""en"")))"),"DORITOS Sweet Chili Pepper 175g")</f>
        <v>DORITOS Sweet Chili Pepper 175g</v>
      </c>
      <c r="B423" s="56" t="str">
        <f>IFERROR(__xludf.DUMMYFUNCTION("IF('AYIRA MINI MART FINAL MENU - Pr'!B423="""", """", IF(LEN(IFERROR(TRIM(REGEXREPLACE(TRIM(REGEXEXTRACT('AYIRA MINI MART FINAL MENU - Pr'!B423, ""^[^\x{0600}-\x{06FF}]+"")), ""[-–]+$"", """")), """"))&gt;0, IFERROR(TRIM(REGEXREPLACE(TRIM(REGEXEXTRACT('AYIRA"&amp;" MINI MART FINAL MENU - Pr'!B423, ""^[^\x{0600}-\x{06FF}]+"")), ""[-–]+$"", """")), """"), GOOGLETRANSLATE('AYIRA MINI MART FINAL MENU - Pr'!B423, ""ar"", ""en"")))"),"Chips &amp; Crisps")</f>
        <v>Chips &amp; Crisps</v>
      </c>
      <c r="C423" s="58">
        <f>IF('AYIRA MINI MART FINAL MENU - Pr'!C423="", "", 'AYIRA MINI MART FINAL MENU - Pr'!C423)</f>
        <v>12</v>
      </c>
      <c r="D423" s="56" t="str">
        <f>IFERROR(__xludf.DUMMYFUNCTION("IF('AYIRA MINI MART FINAL MENU - Pr'!D423="""", """", GOOGLETRANSLATE('AYIRA MINI MART FINAL MENU - Pr'!D423,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23" s="56" t="str">
        <f>IF('AYIRA MINI MART FINAL MENU - Pr'!K423="", "", 'AYIRA MINI MART FINAL MENU - Pr'!K423)</f>
        <v/>
      </c>
      <c r="F423" s="56"/>
      <c r="G423" s="56"/>
      <c r="H423" s="56"/>
      <c r="I423" s="56"/>
      <c r="J423" s="56"/>
      <c r="L423" s="56" t="str">
        <f>IF('AYIRA MINI MART FINAL MENU - Pr'!L423="", "", 'AYIRA MINI MART FINAL MENU - Pr'!L423)</f>
        <v/>
      </c>
      <c r="M423" s="56" t="str">
        <f>IF('AYIRA MINI MART FINAL MENU - Pr'!M423="", "", 'AYIRA MINI MART FINAL MENU - Pr'!M423)</f>
        <v/>
      </c>
      <c r="N423" s="56" t="str">
        <f>IF('AYIRA MINI MART FINAL MENU - Pr'!N423="", "", 'AYIRA MINI MART FINAL MENU - Pr'!N423)</f>
        <v/>
      </c>
      <c r="O423" s="57"/>
      <c r="P423" s="57"/>
      <c r="Q423" s="57"/>
      <c r="R423" s="57"/>
      <c r="S423" s="57"/>
      <c r="T423" s="57"/>
      <c r="U423" s="57"/>
      <c r="V423" s="57"/>
      <c r="W423" s="57"/>
      <c r="X423" s="57"/>
      <c r="Y423" s="57"/>
      <c r="Z423" s="57"/>
    </row>
    <row r="424">
      <c r="A424" s="56" t="str">
        <f>IFERROR(__xludf.DUMMYFUNCTION("IF('AYIRA MINI MART FINAL MENU - Pr'!A424="""", """", IF(LEN(IFERROR(TRIM(REGEXREPLACE(TRIM(REGEXEXTRACT('AYIRA MINI MART FINAL MENU - Pr'!A424, ""^[^\x{0600}-\x{06FF}]+"")), ""[-–]+$"", """")), """"))&gt;0, IFERROR(TRIM(REGEXREPLACE(TRIM(REGEXEXTRACT('AYIRA"&amp;" MINI MART FINAL MENU - Pr'!A424, ""^[^\x{0600}-\x{06FF}]+"")), ""[-–]+$"", """")), """"), GOOGLETRANSLATE('AYIRA MINI MART FINAL MENU - Pr'!A424, ""ar"", ""en"")))"),"CHEETOS Crunchy Cheese 190g")</f>
        <v>CHEETOS Crunchy Cheese 190g</v>
      </c>
      <c r="B424" s="56" t="str">
        <f>IFERROR(__xludf.DUMMYFUNCTION("IF('AYIRA MINI MART FINAL MENU - Pr'!B424="""", """", IF(LEN(IFERROR(TRIM(REGEXREPLACE(TRIM(REGEXEXTRACT('AYIRA MINI MART FINAL MENU - Pr'!B424, ""^[^\x{0600}-\x{06FF}]+"")), ""[-–]+$"", """")), """"))&gt;0, IFERROR(TRIM(REGEXREPLACE(TRIM(REGEXEXTRACT('AYIRA"&amp;" MINI MART FINAL MENU - Pr'!B424, ""^[^\x{0600}-\x{06FF}]+"")), ""[-–]+$"", """")), """"), GOOGLETRANSLATE('AYIRA MINI MART FINAL MENU - Pr'!B424, ""ar"", ""en"")))"),"Chips &amp; Crisps")</f>
        <v>Chips &amp; Crisps</v>
      </c>
      <c r="C424" s="58">
        <f>IF('AYIRA MINI MART FINAL MENU - Pr'!C424="", "", 'AYIRA MINI MART FINAL MENU - Pr'!C424)</f>
        <v>18</v>
      </c>
      <c r="D424" s="56" t="str">
        <f>IFERROR(__xludf.DUMMYFUNCTION("IF('AYIRA MINI MART FINAL MENU - Pr'!D424="""", """", GOOGLETRANSLATE('AYIRA MINI MART FINAL MENU - Pr'!D424,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24" s="56" t="str">
        <f>IF('AYIRA MINI MART FINAL MENU - Pr'!K424="", "", 'AYIRA MINI MART FINAL MENU - Pr'!K424)</f>
        <v/>
      </c>
      <c r="F424" s="56"/>
      <c r="G424" s="56"/>
      <c r="H424" s="56"/>
      <c r="I424" s="56"/>
      <c r="J424" s="56"/>
      <c r="L424" s="56" t="str">
        <f>IF('AYIRA MINI MART FINAL MENU - Pr'!L424="", "", 'AYIRA MINI MART FINAL MENU - Pr'!L424)</f>
        <v/>
      </c>
      <c r="M424" s="56" t="str">
        <f>IF('AYIRA MINI MART FINAL MENU - Pr'!M424="", "", 'AYIRA MINI MART FINAL MENU - Pr'!M424)</f>
        <v/>
      </c>
      <c r="N424" s="56" t="str">
        <f>IF('AYIRA MINI MART FINAL MENU - Pr'!N424="", "", 'AYIRA MINI MART FINAL MENU - Pr'!N424)</f>
        <v/>
      </c>
      <c r="O424" s="57"/>
      <c r="P424" s="57"/>
      <c r="Q424" s="57"/>
      <c r="R424" s="57"/>
      <c r="S424" s="57"/>
      <c r="T424" s="57"/>
      <c r="U424" s="57"/>
      <c r="V424" s="57"/>
      <c r="W424" s="57"/>
      <c r="X424" s="57"/>
      <c r="Y424" s="57"/>
      <c r="Z424" s="57"/>
    </row>
    <row r="425">
      <c r="A425" s="56" t="str">
        <f>IFERROR(__xludf.DUMMYFUNCTION("IF('AYIRA MINI MART FINAL MENU - Pr'!A425="""", """", IF(LEN(IFERROR(TRIM(REGEXREPLACE(TRIM(REGEXEXTRACT('AYIRA MINI MART FINAL MENU - Pr'!A425, ""^[^\x{0600}-\x{06FF}]+"")), ""[-–]+$"", """")), """"))&gt;0, IFERROR(TRIM(REGEXREPLACE(TRIM(REGEXEXTRACT('AYIRA"&amp;" MINI MART FINAL MENU - Pr'!A425, ""^[^\x{0600}-\x{06FF}]+"")), ""[-–]+$"", """")), """"), GOOGLETRANSLATE('AYIRA MINI MART FINAL MENU - Pr'!A425, ""ar"", ""en"")))"),"Balaji Wafers Crunchem Chaat Chaska 135g – Balaji Wafers Crunchem Chaat Chaska 135")</f>
        <v>Balaji Wafers Crunchem Chaat Chaska 135g – Balaji Wafers Crunchem Chaat Chaska 135</v>
      </c>
      <c r="B425" s="56" t="str">
        <f>IFERROR(__xludf.DUMMYFUNCTION("IF('AYIRA MINI MART FINAL MENU - Pr'!B425="""", """", IF(LEN(IFERROR(TRIM(REGEXREPLACE(TRIM(REGEXEXTRACT('AYIRA MINI MART FINAL MENU - Pr'!B425, ""^[^\x{0600}-\x{06FF}]+"")), ""[-–]+$"", """")), """"))&gt;0, IFERROR(TRIM(REGEXREPLACE(TRIM(REGEXEXTRACT('AYIRA"&amp;" MINI MART FINAL MENU - Pr'!B425, ""^[^\x{0600}-\x{06FF}]+"")), ""[-–]+$"", """")), """"), GOOGLETRANSLATE('AYIRA MINI MART FINAL MENU - Pr'!B425, ""ar"", ""en"")))"),"Chips &amp; Crisps")</f>
        <v>Chips &amp; Crisps</v>
      </c>
      <c r="C425" s="58">
        <f>IF('AYIRA MINI MART FINAL MENU - Pr'!C425="", "", 'AYIRA MINI MART FINAL MENU - Pr'!C425)</f>
        <v>6.5</v>
      </c>
      <c r="D425" s="56" t="str">
        <f>IFERROR(__xludf.DUMMYFUNCTION("IF('AYIRA MINI MART FINAL MENU - Pr'!D425="""", """", GOOGLETRANSLATE('AYIRA MINI MART FINAL MENU - Pr'!D425, ""ar"", ""en""))"),"Don't be able to resist the taste of Balaji Wafers Crunchem Chaat Chaska 135g, your perfect companion for relaxing and watching the game. Their unique crunch and varied flavors make every handful a delightful experience. Prepared with the finest ingredien"&amp;"ts using the latest manufacturing techniques to ensure an unparalleled taste. Ideal as a snack for adults and children alike between meals. Aira Mini Mart offers them in the perfect size and flavor for you.")</f>
        <v>Don't be able to resist the taste of Balaji Wafers Crunchem Chaat Chaska 135g,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25" s="56" t="str">
        <f>IF('AYIRA MINI MART FINAL MENU - Pr'!K425="", "", 'AYIRA MINI MART FINAL MENU - Pr'!K425)</f>
        <v/>
      </c>
      <c r="F425" s="56"/>
      <c r="G425" s="56"/>
      <c r="H425" s="56"/>
      <c r="I425" s="56"/>
      <c r="J425" s="56"/>
      <c r="L425" s="56" t="str">
        <f>IF('AYIRA MINI MART FINAL MENU - Pr'!L425="", "", 'AYIRA MINI MART FINAL MENU - Pr'!L425)</f>
        <v/>
      </c>
      <c r="M425" s="56" t="str">
        <f>IF('AYIRA MINI MART FINAL MENU - Pr'!M425="", "", 'AYIRA MINI MART FINAL MENU - Pr'!M425)</f>
        <v/>
      </c>
      <c r="N425" s="56" t="str">
        <f>IF('AYIRA MINI MART FINAL MENU - Pr'!N425="", "", 'AYIRA MINI MART FINAL MENU - Pr'!N425)</f>
        <v/>
      </c>
      <c r="O425" s="57"/>
      <c r="P425" s="57"/>
      <c r="Q425" s="57"/>
      <c r="R425" s="57"/>
      <c r="S425" s="57"/>
      <c r="T425" s="57"/>
      <c r="U425" s="57"/>
      <c r="V425" s="57"/>
      <c r="W425" s="57"/>
      <c r="X425" s="57"/>
      <c r="Y425" s="57"/>
      <c r="Z425" s="57"/>
    </row>
    <row r="426">
      <c r="A426" s="56" t="str">
        <f>IFERROR(__xludf.DUMMYFUNCTION("IF('AYIRA MINI MART FINAL MENU - Pr'!A426="""", """", IF(LEN(IFERROR(TRIM(REGEXREPLACE(TRIM(REGEXEXTRACT('AYIRA MINI MART FINAL MENU - Pr'!A426, ""^[^\x{0600}-\x{06FF}]+"")), ""[-–]+$"", """")), """"))&gt;0, IFERROR(TRIM(REGEXREPLACE(TRIM(REGEXEXTRACT('AYIRA"&amp;" MINI MART FINAL MENU - Pr'!A426, ""^[^\x{0600}-\x{06FF}]+"")), ""[-–]+$"", """")), """"), GOOGLETRANSLATE('AYIRA MINI MART FINAL MENU - Pr'!A426, ""ar"", ""en"")))"),"Cheetos Flamin’ Hot Crunchy Export 226.8g")</f>
        <v>Cheetos Flamin’ Hot Crunchy Export 226.8g</v>
      </c>
      <c r="B426" s="56" t="str">
        <f>IFERROR(__xludf.DUMMYFUNCTION("IF('AYIRA MINI MART FINAL MENU - Pr'!B426="""", """", IF(LEN(IFERROR(TRIM(REGEXREPLACE(TRIM(REGEXEXTRACT('AYIRA MINI MART FINAL MENU - Pr'!B426, ""^[^\x{0600}-\x{06FF}]+"")), ""[-–]+$"", """")), """"))&gt;0, IFERROR(TRIM(REGEXREPLACE(TRIM(REGEXEXTRACT('AYIRA"&amp;" MINI MART FINAL MENU - Pr'!B426, ""^[^\x{0600}-\x{06FF}]+"")), ""[-–]+$"", """")), """"), GOOGLETRANSLATE('AYIRA MINI MART FINAL MENU - Pr'!B426, ""ar"", ""en"")))"),"Chips &amp; Crisps")</f>
        <v>Chips &amp; Crisps</v>
      </c>
      <c r="C426" s="58">
        <f>IF('AYIRA MINI MART FINAL MENU - Pr'!C426="", "", 'AYIRA MINI MART FINAL MENU - Pr'!C426)</f>
        <v>18</v>
      </c>
      <c r="D426" s="56" t="str">
        <f>IFERROR(__xludf.DUMMYFUNCTION("IF('AYIRA MINI MART FINAL MENU - Pr'!D426="""", """", GOOGLETRANSLATE('AYIRA MINI MART FINAL MENU - Pr'!D426,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26" s="56" t="str">
        <f>IF('AYIRA MINI MART FINAL MENU - Pr'!K426="", "", 'AYIRA MINI MART FINAL MENU - Pr'!K426)</f>
        <v/>
      </c>
      <c r="F426" s="56"/>
      <c r="G426" s="56"/>
      <c r="H426" s="56"/>
      <c r="I426" s="56"/>
      <c r="J426" s="56"/>
      <c r="L426" s="56" t="str">
        <f>IF('AYIRA MINI MART FINAL MENU - Pr'!L426="", "", 'AYIRA MINI MART FINAL MENU - Pr'!L426)</f>
        <v/>
      </c>
      <c r="M426" s="56" t="str">
        <f>IF('AYIRA MINI MART FINAL MENU - Pr'!M426="", "", 'AYIRA MINI MART FINAL MENU - Pr'!M426)</f>
        <v/>
      </c>
      <c r="N426" s="56" t="str">
        <f>IF('AYIRA MINI MART FINAL MENU - Pr'!N426="", "", 'AYIRA MINI MART FINAL MENU - Pr'!N426)</f>
        <v/>
      </c>
      <c r="O426" s="57"/>
      <c r="P426" s="57"/>
      <c r="Q426" s="57"/>
      <c r="R426" s="57"/>
      <c r="S426" s="57"/>
      <c r="T426" s="57"/>
      <c r="U426" s="57"/>
      <c r="V426" s="57"/>
      <c r="W426" s="57"/>
      <c r="X426" s="57"/>
      <c r="Y426" s="57"/>
      <c r="Z426" s="57"/>
    </row>
    <row r="427">
      <c r="A427" s="56" t="str">
        <f>IFERROR(__xludf.DUMMYFUNCTION("IF('AYIRA MINI MART FINAL MENU - Pr'!A427="""", """", IF(LEN(IFERROR(TRIM(REGEXREPLACE(TRIM(REGEXEXTRACT('AYIRA MINI MART FINAL MENU - Pr'!A427, ""^[^\x{0600}-\x{06FF}]+"")), ""[-–]+$"", """")), """"))&gt;0, IFERROR(TRIM(REGEXREPLACE(TRIM(REGEXEXTRACT('AYIRA"&amp;" MINI MART FINAL MENU - Pr'!A427, ""^[^\x{0600}-\x{06FF}]+"")), ""[-–]+$"", """")), """"), GOOGLETRANSLATE('AYIRA MINI MART FINAL MENU - Pr'!A427, ""ar"", ""en"")))"),"DORITOS Sweet Chili Pepper 105g")</f>
        <v>DORITOS Sweet Chili Pepper 105g</v>
      </c>
      <c r="B427" s="56" t="str">
        <f>IFERROR(__xludf.DUMMYFUNCTION("IF('AYIRA MINI MART FINAL MENU - Pr'!B427="""", """", IF(LEN(IFERROR(TRIM(REGEXREPLACE(TRIM(REGEXEXTRACT('AYIRA MINI MART FINAL MENU - Pr'!B427, ""^[^\x{0600}-\x{06FF}]+"")), ""[-–]+$"", """")), """"))&gt;0, IFERROR(TRIM(REGEXREPLACE(TRIM(REGEXEXTRACT('AYIRA"&amp;" MINI MART FINAL MENU - Pr'!B427, ""^[^\x{0600}-\x{06FF}]+"")), ""[-–]+$"", """")), """"), GOOGLETRANSLATE('AYIRA MINI MART FINAL MENU - Pr'!B427, ""ar"", ""en"")))"),"Chips &amp; Crisps")</f>
        <v>Chips &amp; Crisps</v>
      </c>
      <c r="C427" s="58">
        <f>IF('AYIRA MINI MART FINAL MENU - Pr'!C427="", "", 'AYIRA MINI MART FINAL MENU - Pr'!C427)</f>
        <v>12</v>
      </c>
      <c r="D427" s="56" t="str">
        <f>IFERROR(__xludf.DUMMYFUNCTION("IF('AYIRA MINI MART FINAL MENU - Pr'!D427="""", """", GOOGLETRANSLATE('AYIRA MINI MART FINAL MENU - Pr'!D427,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27" s="56" t="str">
        <f>IF('AYIRA MINI MART FINAL MENU - Pr'!K427="", "", 'AYIRA MINI MART FINAL MENU - Pr'!K427)</f>
        <v/>
      </c>
      <c r="F427" s="56"/>
      <c r="G427" s="56"/>
      <c r="H427" s="56"/>
      <c r="I427" s="56"/>
      <c r="J427" s="56"/>
      <c r="L427" s="56" t="str">
        <f>IF('AYIRA MINI MART FINAL MENU - Pr'!L427="", "", 'AYIRA MINI MART FINAL MENU - Pr'!L427)</f>
        <v/>
      </c>
      <c r="M427" s="56" t="str">
        <f>IF('AYIRA MINI MART FINAL MENU - Pr'!M427="", "", 'AYIRA MINI MART FINAL MENU - Pr'!M427)</f>
        <v/>
      </c>
      <c r="N427" s="56" t="str">
        <f>IF('AYIRA MINI MART FINAL MENU - Pr'!N427="", "", 'AYIRA MINI MART FINAL MENU - Pr'!N427)</f>
        <v/>
      </c>
      <c r="O427" s="57"/>
      <c r="P427" s="57"/>
      <c r="Q427" s="57"/>
      <c r="R427" s="57"/>
      <c r="S427" s="57"/>
      <c r="T427" s="57"/>
      <c r="U427" s="57"/>
      <c r="V427" s="57"/>
      <c r="W427" s="57"/>
      <c r="X427" s="57"/>
      <c r="Y427" s="57"/>
      <c r="Z427" s="57"/>
    </row>
    <row r="428">
      <c r="A428" s="56" t="str">
        <f>IFERROR(__xludf.DUMMYFUNCTION("IF('AYIRA MINI MART FINAL MENU - Pr'!A428="""", """", IF(LEN(IFERROR(TRIM(REGEXREPLACE(TRIM(REGEXEXTRACT('AYIRA MINI MART FINAL MENU - Pr'!A428, ""^[^\x{0600}-\x{06FF}]+"")), ""[-–]+$"", """")), """"))&gt;0, IFERROR(TRIM(REGEXREPLACE(TRIM(REGEXEXTRACT('AYIRA"&amp;" MINI MART FINAL MENU - Pr'!A428, ""^[^\x{0600}-\x{06FF}]+"")), ""[-–]+$"", """")), """"), GOOGLETRANSLATE('AYIRA MINI MART FINAL MENU - Pr'!A428, ""ar"", ""en"")))"),"LAYS Tomato Ketchup 155g")</f>
        <v>LAYS Tomato Ketchup 155g</v>
      </c>
      <c r="B428" s="56" t="str">
        <f>IFERROR(__xludf.DUMMYFUNCTION("IF('AYIRA MINI MART FINAL MENU - Pr'!B428="""", """", IF(LEN(IFERROR(TRIM(REGEXREPLACE(TRIM(REGEXEXTRACT('AYIRA MINI MART FINAL MENU - Pr'!B428, ""^[^\x{0600}-\x{06FF}]+"")), ""[-–]+$"", """")), """"))&gt;0, IFERROR(TRIM(REGEXREPLACE(TRIM(REGEXEXTRACT('AYIRA"&amp;" MINI MART FINAL MENU - Pr'!B428, ""^[^\x{0600}-\x{06FF}]+"")), ""[-–]+$"", """")), """"), GOOGLETRANSLATE('AYIRA MINI MART FINAL MENU - Pr'!B428, ""ar"", ""en"")))"),"Chips &amp; Crisps")</f>
        <v>Chips &amp; Crisps</v>
      </c>
      <c r="C428" s="58">
        <f>IF('AYIRA MINI MART FINAL MENU - Pr'!C428="", "", 'AYIRA MINI MART FINAL MENU - Pr'!C428)</f>
        <v>10</v>
      </c>
      <c r="D428" s="56" t="str">
        <f>IFERROR(__xludf.DUMMYFUNCTION("IF('AYIRA MINI MART FINAL MENU - Pr'!D428="""", """", GOOGLETRANSLATE('AYIRA MINI MART FINAL MENU - Pr'!D428,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28" s="56" t="str">
        <f>IF('AYIRA MINI MART FINAL MENU - Pr'!K428="", "", 'AYIRA MINI MART FINAL MENU - Pr'!K428)</f>
        <v/>
      </c>
      <c r="F428" s="56"/>
      <c r="G428" s="56"/>
      <c r="H428" s="56"/>
      <c r="I428" s="56"/>
      <c r="J428" s="56"/>
      <c r="L428" s="56" t="str">
        <f>IF('AYIRA MINI MART FINAL MENU - Pr'!L428="", "", 'AYIRA MINI MART FINAL MENU - Pr'!L428)</f>
        <v/>
      </c>
      <c r="M428" s="56" t="str">
        <f>IF('AYIRA MINI MART FINAL MENU - Pr'!M428="", "", 'AYIRA MINI MART FINAL MENU - Pr'!M428)</f>
        <v/>
      </c>
      <c r="N428" s="56" t="str">
        <f>IF('AYIRA MINI MART FINAL MENU - Pr'!N428="", "", 'AYIRA MINI MART FINAL MENU - Pr'!N428)</f>
        <v/>
      </c>
      <c r="O428" s="57"/>
      <c r="P428" s="57"/>
      <c r="Q428" s="57"/>
      <c r="R428" s="57"/>
      <c r="S428" s="57"/>
      <c r="T428" s="57"/>
      <c r="U428" s="57"/>
      <c r="V428" s="57"/>
      <c r="W428" s="57"/>
      <c r="X428" s="57"/>
      <c r="Y428" s="57"/>
      <c r="Z428" s="57"/>
    </row>
    <row r="429">
      <c r="A429" s="56" t="str">
        <f>IFERROR(__xludf.DUMMYFUNCTION("IF('AYIRA MINI MART FINAL MENU - Pr'!A429="""", """", IF(LEN(IFERROR(TRIM(REGEXREPLACE(TRIM(REGEXEXTRACT('AYIRA MINI MART FINAL MENU - Pr'!A429, ""^[^\x{0600}-\x{06FF}]+"")), ""[-–]+$"", """")), """"))&gt;0, IFERROR(TRIM(REGEXREPLACE(TRIM(REGEXEXTRACT('AYIRA"&amp;" MINI MART FINAL MENU - Pr'!A429, ""^[^\x{0600}-\x{06FF}]+"")), ""[-–]+$"", """")), """"), GOOGLETRANSLATE('AYIRA MINI MART FINAL MENU - Pr'!A429, ""ar"", ""en"")))"),"LAYS Salted 155g")</f>
        <v>LAYS Salted 155g</v>
      </c>
      <c r="B429" s="56" t="str">
        <f>IFERROR(__xludf.DUMMYFUNCTION("IF('AYIRA MINI MART FINAL MENU - Pr'!B429="""", """", IF(LEN(IFERROR(TRIM(REGEXREPLACE(TRIM(REGEXEXTRACT('AYIRA MINI MART FINAL MENU - Pr'!B429, ""^[^\x{0600}-\x{06FF}]+"")), ""[-–]+$"", """")), """"))&gt;0, IFERROR(TRIM(REGEXREPLACE(TRIM(REGEXEXTRACT('AYIRA"&amp;" MINI MART FINAL MENU - Pr'!B429, ""^[^\x{0600}-\x{06FF}]+"")), ""[-–]+$"", """")), """"), GOOGLETRANSLATE('AYIRA MINI MART FINAL MENU - Pr'!B429, ""ar"", ""en"")))"),"Chips &amp; Crisps")</f>
        <v>Chips &amp; Crisps</v>
      </c>
      <c r="C429" s="58">
        <f>IF('AYIRA MINI MART FINAL MENU - Pr'!C429="", "", 'AYIRA MINI MART FINAL MENU - Pr'!C429)</f>
        <v>10</v>
      </c>
      <c r="D429" s="56" t="str">
        <f>IFERROR(__xludf.DUMMYFUNCTION("IF('AYIRA MINI MART FINAL MENU - Pr'!D429="""", """", GOOGLETRANSLATE('AYIRA MINI MART FINAL MENU - Pr'!D429,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29" s="56" t="str">
        <f>IF('AYIRA MINI MART FINAL MENU - Pr'!K429="", "", 'AYIRA MINI MART FINAL MENU - Pr'!K429)</f>
        <v/>
      </c>
      <c r="F429" s="56"/>
      <c r="G429" s="56"/>
      <c r="H429" s="56"/>
      <c r="I429" s="56"/>
      <c r="J429" s="56"/>
      <c r="L429" s="56" t="str">
        <f>IF('AYIRA MINI MART FINAL MENU - Pr'!L429="", "", 'AYIRA MINI MART FINAL MENU - Pr'!L429)</f>
        <v/>
      </c>
      <c r="M429" s="56" t="str">
        <f>IF('AYIRA MINI MART FINAL MENU - Pr'!M429="", "", 'AYIRA MINI MART FINAL MENU - Pr'!M429)</f>
        <v/>
      </c>
      <c r="N429" s="56" t="str">
        <f>IF('AYIRA MINI MART FINAL MENU - Pr'!N429="", "", 'AYIRA MINI MART FINAL MENU - Pr'!N429)</f>
        <v/>
      </c>
      <c r="O429" s="57"/>
      <c r="P429" s="57"/>
      <c r="Q429" s="57"/>
      <c r="R429" s="57"/>
      <c r="S429" s="57"/>
      <c r="T429" s="57"/>
      <c r="U429" s="57"/>
      <c r="V429" s="57"/>
      <c r="W429" s="57"/>
      <c r="X429" s="57"/>
      <c r="Y429" s="57"/>
      <c r="Z429" s="57"/>
    </row>
    <row r="430">
      <c r="A430" s="56" t="str">
        <f>IFERROR(__xludf.DUMMYFUNCTION("IF('AYIRA MINI MART FINAL MENU - Pr'!A430="""", """", IF(LEN(IFERROR(TRIM(REGEXREPLACE(TRIM(REGEXEXTRACT('AYIRA MINI MART FINAL MENU - Pr'!A430, ""^[^\x{0600}-\x{06FF}]+"")), ""[-–]+$"", """")), """"))&gt;0, IFERROR(TRIM(REGEXREPLACE(TRIM(REGEXEXTRACT('AYIRA"&amp;" MINI MART FINAL MENU - Pr'!A430, ""^[^\x{0600}-\x{06FF}]+"")), ""[-–]+$"", """")), """"), GOOGLETRANSLATE('AYIRA MINI MART FINAL MENU - Pr'!A430, ""ar"", ""en"")))"),"Balaji Crunchem Simply Salted 155g – Balaji Crunchem Simply")</f>
        <v>Balaji Crunchem Simply Salted 155g – Balaji Crunchem Simply</v>
      </c>
      <c r="B430" s="56" t="str">
        <f>IFERROR(__xludf.DUMMYFUNCTION("IF('AYIRA MINI MART FINAL MENU - Pr'!B430="""", """", IF(LEN(IFERROR(TRIM(REGEXREPLACE(TRIM(REGEXEXTRACT('AYIRA MINI MART FINAL MENU - Pr'!B430, ""^[^\x{0600}-\x{06FF}]+"")), ""[-–]+$"", """")), """"))&gt;0, IFERROR(TRIM(REGEXREPLACE(TRIM(REGEXEXTRACT('AYIRA"&amp;" MINI MART FINAL MENU - Pr'!B430, ""^[^\x{0600}-\x{06FF}]+"")), ""[-–]+$"", """")), """"), GOOGLETRANSLATE('AYIRA MINI MART FINAL MENU - Pr'!B430, ""ar"", ""en"")))"),"Chips &amp; Crisps")</f>
        <v>Chips &amp; Crisps</v>
      </c>
      <c r="C430" s="58">
        <f>IF('AYIRA MINI MART FINAL MENU - Pr'!C430="", "", 'AYIRA MINI MART FINAL MENU - Pr'!C430)</f>
        <v>6.5</v>
      </c>
      <c r="D430" s="56" t="str">
        <f>IFERROR(__xludf.DUMMYFUNCTION("IF('AYIRA MINI MART FINAL MENU - Pr'!D430="""", """", GOOGLETRANSLATE('AYIRA MINI MART FINAL MENU - Pr'!D430, ""ar"", ""en""))"),"Don't be able to resist the taste of Balaji Crunchem Simply Salted 155g, your perfect companion for relaxing and watching the game. Its unique crunch and varied flavors make every handful a delightful experience. Prepared with the finest ingredients using"&amp;" the latest manufacturing techniques to ensure an unparalleled taste. Ideal as a snack for adults and children alike between meals. Aira Mini Mart offers it in the perfect size and flavor for you.")</f>
        <v>Don't be able to resist the taste of Balaji Crunchem Simply Salted 155g,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30" s="56" t="str">
        <f>IF('AYIRA MINI MART FINAL MENU - Pr'!K430="", "", 'AYIRA MINI MART FINAL MENU - Pr'!K430)</f>
        <v/>
      </c>
      <c r="F430" s="56"/>
      <c r="G430" s="56"/>
      <c r="H430" s="56"/>
      <c r="I430" s="56"/>
      <c r="J430" s="56"/>
      <c r="L430" s="56" t="str">
        <f>IF('AYIRA MINI MART FINAL MENU - Pr'!L430="", "", 'AYIRA MINI MART FINAL MENU - Pr'!L430)</f>
        <v/>
      </c>
      <c r="M430" s="56" t="str">
        <f>IF('AYIRA MINI MART FINAL MENU - Pr'!M430="", "", 'AYIRA MINI MART FINAL MENU - Pr'!M430)</f>
        <v/>
      </c>
      <c r="N430" s="56" t="str">
        <f>IF('AYIRA MINI MART FINAL MENU - Pr'!N430="", "", 'AYIRA MINI MART FINAL MENU - Pr'!N430)</f>
        <v/>
      </c>
      <c r="O430" s="57"/>
      <c r="P430" s="57"/>
      <c r="Q430" s="57"/>
      <c r="R430" s="57"/>
      <c r="S430" s="57"/>
      <c r="T430" s="57"/>
      <c r="U430" s="57"/>
      <c r="V430" s="57"/>
      <c r="W430" s="57"/>
      <c r="X430" s="57"/>
      <c r="Y430" s="57"/>
      <c r="Z430" s="57"/>
    </row>
    <row r="431">
      <c r="A431" s="56" t="str">
        <f>IFERROR(__xludf.DUMMYFUNCTION("IF('AYIRA MINI MART FINAL MENU - Pr'!A431="""", """", IF(LEN(IFERROR(TRIM(REGEXREPLACE(TRIM(REGEXEXTRACT('AYIRA MINI MART FINAL MENU - Pr'!A431, ""^[^\x{0600}-\x{06FF}]+"")), ""[-–]+$"", """")), """"))&gt;0, IFERROR(TRIM(REGEXREPLACE(TRIM(REGEXEXTRACT('AYIRA"&amp;" MINI MART FINAL MENU - Pr'!A431, ""^[^\x{0600}-\x{06FF}]+"")), ""[-–]+$"", """")), """"), GOOGLETRANSLATE('AYIRA MINI MART FINAL MENU - Pr'!A431, ""ar"", ""en"")))"),"Cheetos Flamin’ Hot 50g")</f>
        <v>Cheetos Flamin’ Hot 50g</v>
      </c>
      <c r="B431" s="56" t="str">
        <f>IFERROR(__xludf.DUMMYFUNCTION("IF('AYIRA MINI MART FINAL MENU - Pr'!B431="""", """", IF(LEN(IFERROR(TRIM(REGEXREPLACE(TRIM(REGEXEXTRACT('AYIRA MINI MART FINAL MENU - Pr'!B431, ""^[^\x{0600}-\x{06FF}]+"")), ""[-–]+$"", """")), """"))&gt;0, IFERROR(TRIM(REGEXREPLACE(TRIM(REGEXEXTRACT('AYIRA"&amp;" MINI MART FINAL MENU - Pr'!B431, ""^[^\x{0600}-\x{06FF}]+"")), ""[-–]+$"", """")), """"), GOOGLETRANSLATE('AYIRA MINI MART FINAL MENU - Pr'!B431, ""ar"", ""en"")))"),"Chips &amp; Crisps")</f>
        <v>Chips &amp; Crisps</v>
      </c>
      <c r="C431" s="58">
        <f>IF('AYIRA MINI MART FINAL MENU - Pr'!C431="", "", 'AYIRA MINI MART FINAL MENU - Pr'!C431)</f>
        <v>4</v>
      </c>
      <c r="D431" s="56" t="str">
        <f>IFERROR(__xludf.DUMMYFUNCTION("IF('AYIRA MINI MART FINAL MENU - Pr'!D431="""", """", GOOGLETRANSLATE('AYIRA MINI MART FINAL MENU - Pr'!D431,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31" s="56" t="str">
        <f>IF('AYIRA MINI MART FINAL MENU - Pr'!K431="", "", 'AYIRA MINI MART FINAL MENU - Pr'!K431)</f>
        <v/>
      </c>
      <c r="F431" s="56"/>
      <c r="G431" s="56"/>
      <c r="H431" s="56"/>
      <c r="I431" s="56"/>
      <c r="J431" s="56"/>
      <c r="L431" s="56" t="str">
        <f>IF('AYIRA MINI MART FINAL MENU - Pr'!L431="", "", 'AYIRA MINI MART FINAL MENU - Pr'!L431)</f>
        <v/>
      </c>
      <c r="M431" s="56" t="str">
        <f>IF('AYIRA MINI MART FINAL MENU - Pr'!M431="", "", 'AYIRA MINI MART FINAL MENU - Pr'!M431)</f>
        <v/>
      </c>
      <c r="N431" s="56" t="str">
        <f>IF('AYIRA MINI MART FINAL MENU - Pr'!N431="", "", 'AYIRA MINI MART FINAL MENU - Pr'!N431)</f>
        <v/>
      </c>
      <c r="O431" s="57"/>
      <c r="P431" s="57"/>
      <c r="Q431" s="57"/>
      <c r="R431" s="57"/>
      <c r="S431" s="57"/>
      <c r="T431" s="57"/>
      <c r="U431" s="57"/>
      <c r="V431" s="57"/>
      <c r="W431" s="57"/>
      <c r="X431" s="57"/>
      <c r="Y431" s="57"/>
      <c r="Z431" s="57"/>
    </row>
    <row r="432">
      <c r="A432" s="56" t="str">
        <f>IFERROR(__xludf.DUMMYFUNCTION("IF('AYIRA MINI MART FINAL MENU - Pr'!A432="""", """", IF(LEN(IFERROR(TRIM(REGEXREPLACE(TRIM(REGEXEXTRACT('AYIRA MINI MART FINAL MENU - Pr'!A432, ""^[^\x{0600}-\x{06FF}]+"")), ""[-–]+$"", """")), """"))&gt;0, IFERROR(TRIM(REGEXREPLACE(TRIM(REGEXEXTRACT('AYIRA"&amp;" MINI MART FINAL MENU - Pr'!A432, ""^[^\x{0600}-\x{06FF}]+"")), ""[-–]+$"", """")), """"), GOOGLETRANSLATE('AYIRA MINI MART FINAL MENU - Pr'!A432, ""ar"", ""en"")))"),"DORITOS Flamin’ Hot 50g")</f>
        <v>DORITOS Flamin’ Hot 50g</v>
      </c>
      <c r="B432" s="56" t="str">
        <f>IFERROR(__xludf.DUMMYFUNCTION("IF('AYIRA MINI MART FINAL MENU - Pr'!B432="""", """", IF(LEN(IFERROR(TRIM(REGEXREPLACE(TRIM(REGEXEXTRACT('AYIRA MINI MART FINAL MENU - Pr'!B432, ""^[^\x{0600}-\x{06FF}]+"")), ""[-–]+$"", """")), """"))&gt;0, IFERROR(TRIM(REGEXREPLACE(TRIM(REGEXEXTRACT('AYIRA"&amp;" MINI MART FINAL MENU - Pr'!B432, ""^[^\x{0600}-\x{06FF}]+"")), ""[-–]+$"", """")), """"), GOOGLETRANSLATE('AYIRA MINI MART FINAL MENU - Pr'!B432, ""ar"", ""en"")))"),"Chips &amp; Crisps")</f>
        <v>Chips &amp; Crisps</v>
      </c>
      <c r="C432" s="58">
        <f>IF('AYIRA MINI MART FINAL MENU - Pr'!C432="", "", 'AYIRA MINI MART FINAL MENU - Pr'!C432)</f>
        <v>4</v>
      </c>
      <c r="D432" s="56" t="str">
        <f>IFERROR(__xludf.DUMMYFUNCTION("IF('AYIRA MINI MART FINAL MENU - Pr'!D432="""", """", GOOGLETRANSLATE('AYIRA MINI MART FINAL MENU - Pr'!D432,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32" s="56" t="str">
        <f>IF('AYIRA MINI MART FINAL MENU - Pr'!K432="", "", 'AYIRA MINI MART FINAL MENU - Pr'!K432)</f>
        <v/>
      </c>
      <c r="F432" s="56"/>
      <c r="G432" s="56"/>
      <c r="H432" s="56"/>
      <c r="I432" s="56"/>
      <c r="J432" s="56"/>
      <c r="L432" s="56" t="str">
        <f>IF('AYIRA MINI MART FINAL MENU - Pr'!L432="", "", 'AYIRA MINI MART FINAL MENU - Pr'!L432)</f>
        <v/>
      </c>
      <c r="M432" s="56" t="str">
        <f>IF('AYIRA MINI MART FINAL MENU - Pr'!M432="", "", 'AYIRA MINI MART FINAL MENU - Pr'!M432)</f>
        <v/>
      </c>
      <c r="N432" s="56" t="str">
        <f>IF('AYIRA MINI MART FINAL MENU - Pr'!N432="", "", 'AYIRA MINI MART FINAL MENU - Pr'!N432)</f>
        <v/>
      </c>
      <c r="O432" s="57"/>
      <c r="P432" s="57"/>
      <c r="Q432" s="57"/>
      <c r="R432" s="57"/>
      <c r="S432" s="57"/>
      <c r="T432" s="57"/>
      <c r="U432" s="57"/>
      <c r="V432" s="57"/>
      <c r="W432" s="57"/>
      <c r="X432" s="57"/>
      <c r="Y432" s="57"/>
      <c r="Z432" s="57"/>
    </row>
    <row r="433">
      <c r="A433" s="56" t="str">
        <f>IFERROR(__xludf.DUMMYFUNCTION("IF('AYIRA MINI MART FINAL MENU - Pr'!A433="""", """", IF(LEN(IFERROR(TRIM(REGEXREPLACE(TRIM(REGEXEXTRACT('AYIRA MINI MART FINAL MENU - Pr'!A433, ""^[^\x{0600}-\x{06FF}]+"")), ""[-–]+$"", """")), """"))&gt;0, IFERROR(TRIM(REGEXREPLACE(TRIM(REGEXEXTRACT('AYIRA"&amp;" MINI MART FINAL MENU - Pr'!A433, ""^[^\x{0600}-\x{06FF}]+"")), ""[-–]+$"", """")), """"), GOOGLETRANSLATE('AYIRA MINI MART FINAL MENU - Pr'!A433, ""ar"", ""en"")))"),"Cheetos Crunchy Flamin’ Hot 110g")</f>
        <v>Cheetos Crunchy Flamin’ Hot 110g</v>
      </c>
      <c r="B433" s="56" t="str">
        <f>IFERROR(__xludf.DUMMYFUNCTION("IF('AYIRA MINI MART FINAL MENU - Pr'!B433="""", """", IF(LEN(IFERROR(TRIM(REGEXREPLACE(TRIM(REGEXEXTRACT('AYIRA MINI MART FINAL MENU - Pr'!B433, ""^[^\x{0600}-\x{06FF}]+"")), ""[-–]+$"", """")), """"))&gt;0, IFERROR(TRIM(REGEXREPLACE(TRIM(REGEXEXTRACT('AYIRA"&amp;" MINI MART FINAL MENU - Pr'!B433, ""^[^\x{0600}-\x{06FF}]+"")), ""[-–]+$"", """")), """"), GOOGLETRANSLATE('AYIRA MINI MART FINAL MENU - Pr'!B433, ""ar"", ""en"")))"),"Chips &amp; Crisps")</f>
        <v>Chips &amp; Crisps</v>
      </c>
      <c r="C433" s="58">
        <f>IF('AYIRA MINI MART FINAL MENU - Pr'!C433="", "", 'AYIRA MINI MART FINAL MENU - Pr'!C433)</f>
        <v>8</v>
      </c>
      <c r="D433" s="56" t="str">
        <f>IFERROR(__xludf.DUMMYFUNCTION("IF('AYIRA MINI MART FINAL MENU - Pr'!D433="""", """", GOOGLETRANSLATE('AYIRA MINI MART FINAL MENU - Pr'!D433,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33" s="56" t="str">
        <f>IF('AYIRA MINI MART FINAL MENU - Pr'!K433="", "", 'AYIRA MINI MART FINAL MENU - Pr'!K433)</f>
        <v/>
      </c>
      <c r="F433" s="56"/>
      <c r="G433" s="56"/>
      <c r="H433" s="56"/>
      <c r="I433" s="56"/>
      <c r="J433" s="56"/>
      <c r="L433" s="56" t="str">
        <f>IF('AYIRA MINI MART FINAL MENU - Pr'!L433="", "", 'AYIRA MINI MART FINAL MENU - Pr'!L433)</f>
        <v/>
      </c>
      <c r="M433" s="56" t="str">
        <f>IF('AYIRA MINI MART FINAL MENU - Pr'!M433="", "", 'AYIRA MINI MART FINAL MENU - Pr'!M433)</f>
        <v/>
      </c>
      <c r="N433" s="56" t="str">
        <f>IF('AYIRA MINI MART FINAL MENU - Pr'!N433="", "", 'AYIRA MINI MART FINAL MENU - Pr'!N433)</f>
        <v/>
      </c>
      <c r="O433" s="57"/>
      <c r="P433" s="57"/>
      <c r="Q433" s="57"/>
      <c r="R433" s="57"/>
      <c r="S433" s="57"/>
      <c r="T433" s="57"/>
      <c r="U433" s="57"/>
      <c r="V433" s="57"/>
      <c r="W433" s="57"/>
      <c r="X433" s="57"/>
      <c r="Y433" s="57"/>
      <c r="Z433" s="57"/>
    </row>
    <row r="434">
      <c r="A434" s="56" t="str">
        <f>IFERROR(__xludf.DUMMYFUNCTION("IF('AYIRA MINI MART FINAL MENU - Pr'!A434="""", """", IF(LEN(IFERROR(TRIM(REGEXREPLACE(TRIM(REGEXEXTRACT('AYIRA MINI MART FINAL MENU - Pr'!A434, ""^[^\x{0600}-\x{06FF}]+"")), ""[-–]+$"", """")), """"))&gt;0, IFERROR(TRIM(REGEXREPLACE(TRIM(REGEXEXTRACT('AYIRA"&amp;" MINI MART FINAL MENU - Pr'!A434, ""^[^\x{0600}-\x{06FF}]+"")), ""[-–]+$"", """")), """"), GOOGLETRANSLATE('AYIRA MINI MART FINAL MENU - Pr'!A434, ""ar"", ""en"")))"),"DORITOS Dinamita Flamin’ Hot 40g")</f>
        <v>DORITOS Dinamita Flamin’ Hot 40g</v>
      </c>
      <c r="B434" s="56" t="str">
        <f>IFERROR(__xludf.DUMMYFUNCTION("IF('AYIRA MINI MART FINAL MENU - Pr'!B434="""", """", IF(LEN(IFERROR(TRIM(REGEXREPLACE(TRIM(REGEXEXTRACT('AYIRA MINI MART FINAL MENU - Pr'!B434, ""^[^\x{0600}-\x{06FF}]+"")), ""[-–]+$"", """")), """"))&gt;0, IFERROR(TRIM(REGEXREPLACE(TRIM(REGEXEXTRACT('AYIRA"&amp;" MINI MART FINAL MENU - Pr'!B434, ""^[^\x{0600}-\x{06FF}]+"")), ""[-–]+$"", """")), """"), GOOGLETRANSLATE('AYIRA MINI MART FINAL MENU - Pr'!B434, ""ar"", ""en"")))"),"Chips &amp; Crisps")</f>
        <v>Chips &amp; Crisps</v>
      </c>
      <c r="C434" s="58">
        <f>IF('AYIRA MINI MART FINAL MENU - Pr'!C434="", "", 'AYIRA MINI MART FINAL MENU - Pr'!C434)</f>
        <v>4</v>
      </c>
      <c r="D434" s="56" t="str">
        <f>IFERROR(__xludf.DUMMYFUNCTION("IF('AYIRA MINI MART FINAL MENU - Pr'!D434="""", """", GOOGLETRANSLATE('AYIRA MINI MART FINAL MENU - Pr'!D434,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34" s="56" t="str">
        <f>IF('AYIRA MINI MART FINAL MENU - Pr'!K434="", "", 'AYIRA MINI MART FINAL MENU - Pr'!K434)</f>
        <v/>
      </c>
      <c r="F434" s="56"/>
      <c r="G434" s="56"/>
      <c r="H434" s="56"/>
      <c r="I434" s="56"/>
      <c r="J434" s="56"/>
      <c r="L434" s="56" t="str">
        <f>IF('AYIRA MINI MART FINAL MENU - Pr'!L434="", "", 'AYIRA MINI MART FINAL MENU - Pr'!L434)</f>
        <v/>
      </c>
      <c r="M434" s="56" t="str">
        <f>IF('AYIRA MINI MART FINAL MENU - Pr'!M434="", "", 'AYIRA MINI MART FINAL MENU - Pr'!M434)</f>
        <v/>
      </c>
      <c r="N434" s="56" t="str">
        <f>IF('AYIRA MINI MART FINAL MENU - Pr'!N434="", "", 'AYIRA MINI MART FINAL MENU - Pr'!N434)</f>
        <v/>
      </c>
      <c r="O434" s="57"/>
      <c r="P434" s="57"/>
      <c r="Q434" s="57"/>
      <c r="R434" s="57"/>
      <c r="S434" s="57"/>
      <c r="T434" s="57"/>
      <c r="U434" s="57"/>
      <c r="V434" s="57"/>
      <c r="W434" s="57"/>
      <c r="X434" s="57"/>
      <c r="Y434" s="57"/>
      <c r="Z434" s="57"/>
    </row>
    <row r="435">
      <c r="A435" s="56" t="str">
        <f>IFERROR(__xludf.DUMMYFUNCTION("IF('AYIRA MINI MART FINAL MENU - Pr'!A435="""", """", IF(LEN(IFERROR(TRIM(REGEXREPLACE(TRIM(REGEXEXTRACT('AYIRA MINI MART FINAL MENU - Pr'!A435, ""^[^\x{0600}-\x{06FF}]+"")), ""[-–]+$"", """")), """"))&gt;0, IFERROR(TRIM(REGEXREPLACE(TRIM(REGEXEXTRACT('AYIRA"&amp;" MINI MART FINAL MENU - Pr'!A435, ""^[^\x{0600}-\x{06FF}]+"")), ""[-–]+$"", """")), """"), GOOGLETRANSLATE('AYIRA MINI MART FINAL MENU - Pr'!A435, ""ar"", ""en"")))"),"LAYS Salted 48g")</f>
        <v>LAYS Salted 48g</v>
      </c>
      <c r="B435" s="56" t="str">
        <f>IFERROR(__xludf.DUMMYFUNCTION("IF('AYIRA MINI MART FINAL MENU - Pr'!B435="""", """", IF(LEN(IFERROR(TRIM(REGEXREPLACE(TRIM(REGEXEXTRACT('AYIRA MINI MART FINAL MENU - Pr'!B435, ""^[^\x{0600}-\x{06FF}]+"")), ""[-–]+$"", """")), """"))&gt;0, IFERROR(TRIM(REGEXREPLACE(TRIM(REGEXEXTRACT('AYIRA"&amp;" MINI MART FINAL MENU - Pr'!B435, ""^[^\x{0600}-\x{06FF}]+"")), ""[-–]+$"", """")), """"), GOOGLETRANSLATE('AYIRA MINI MART FINAL MENU - Pr'!B435, ""ar"", ""en"")))"),"Chips &amp; Crisps")</f>
        <v>Chips &amp; Crisps</v>
      </c>
      <c r="C435" s="58">
        <f>IF('AYIRA MINI MART FINAL MENU - Pr'!C435="", "", 'AYIRA MINI MART FINAL MENU - Pr'!C435)</f>
        <v>4</v>
      </c>
      <c r="D435" s="56" t="str">
        <f>IFERROR(__xludf.DUMMYFUNCTION("IF('AYIRA MINI MART FINAL MENU - Pr'!D435="""", """", GOOGLETRANSLATE('AYIRA MINI MART FINAL MENU - Pr'!D435,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35" s="56" t="str">
        <f>IF('AYIRA MINI MART FINAL MENU - Pr'!K435="", "", 'AYIRA MINI MART FINAL MENU - Pr'!K435)</f>
        <v/>
      </c>
      <c r="F435" s="56"/>
      <c r="G435" s="56"/>
      <c r="H435" s="56"/>
      <c r="I435" s="56"/>
      <c r="J435" s="56"/>
      <c r="L435" s="56" t="str">
        <f>IF('AYIRA MINI MART FINAL MENU - Pr'!L435="", "", 'AYIRA MINI MART FINAL MENU - Pr'!L435)</f>
        <v/>
      </c>
      <c r="M435" s="56" t="str">
        <f>IF('AYIRA MINI MART FINAL MENU - Pr'!M435="", "", 'AYIRA MINI MART FINAL MENU - Pr'!M435)</f>
        <v/>
      </c>
      <c r="N435" s="56" t="str">
        <f>IF('AYIRA MINI MART FINAL MENU - Pr'!N435="", "", 'AYIRA MINI MART FINAL MENU - Pr'!N435)</f>
        <v/>
      </c>
      <c r="O435" s="57"/>
      <c r="P435" s="57"/>
      <c r="Q435" s="57"/>
      <c r="R435" s="57"/>
      <c r="S435" s="57"/>
      <c r="T435" s="57"/>
      <c r="U435" s="57"/>
      <c r="V435" s="57"/>
      <c r="W435" s="57"/>
      <c r="X435" s="57"/>
      <c r="Y435" s="57"/>
      <c r="Z435" s="57"/>
    </row>
    <row r="436">
      <c r="A436" s="56" t="str">
        <f>IFERROR(__xludf.DUMMYFUNCTION("IF('AYIRA MINI MART FINAL MENU - Pr'!A436="""", """", IF(LEN(IFERROR(TRIM(REGEXREPLACE(TRIM(REGEXEXTRACT('AYIRA MINI MART FINAL MENU - Pr'!A436, ""^[^\x{0600}-\x{06FF}]+"")), ""[-–]+$"", """")), """"))&gt;0, IFERROR(TRIM(REGEXREPLACE(TRIM(REGEXEXTRACT('AYIRA"&amp;" MINI MART FINAL MENU - Pr'!A436, ""^[^\x{0600}-\x{06FF}]+"")), ""[-–]+$"", """")), """"), GOOGLETRANSLATE('AYIRA MINI MART FINAL MENU - Pr'!A436, ""ar"", ""en"")))"),"DORITOS Sweet Chili Pepper 48g")</f>
        <v>DORITOS Sweet Chili Pepper 48g</v>
      </c>
      <c r="B436" s="56" t="str">
        <f>IFERROR(__xludf.DUMMYFUNCTION("IF('AYIRA MINI MART FINAL MENU - Pr'!B436="""", """", IF(LEN(IFERROR(TRIM(REGEXREPLACE(TRIM(REGEXEXTRACT('AYIRA MINI MART FINAL MENU - Pr'!B436, ""^[^\x{0600}-\x{06FF}]+"")), ""[-–]+$"", """")), """"))&gt;0, IFERROR(TRIM(REGEXREPLACE(TRIM(REGEXEXTRACT('AYIRA"&amp;" MINI MART FINAL MENU - Pr'!B436, ""^[^\x{0600}-\x{06FF}]+"")), ""[-–]+$"", """")), """"), GOOGLETRANSLATE('AYIRA MINI MART FINAL MENU - Pr'!B436, ""ar"", ""en"")))"),"Chips &amp; Crisps")</f>
        <v>Chips &amp; Crisps</v>
      </c>
      <c r="C436" s="58">
        <f>IF('AYIRA MINI MART FINAL MENU - Pr'!C436="", "", 'AYIRA MINI MART FINAL MENU - Pr'!C436)</f>
        <v>4</v>
      </c>
      <c r="D436" s="56" t="str">
        <f>IFERROR(__xludf.DUMMYFUNCTION("IF('AYIRA MINI MART FINAL MENU - Pr'!D436="""", """", GOOGLETRANSLATE('AYIRA MINI MART FINAL MENU - Pr'!D436,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36" s="56" t="str">
        <f>IF('AYIRA MINI MART FINAL MENU - Pr'!K436="", "", 'AYIRA MINI MART FINAL MENU - Pr'!K436)</f>
        <v/>
      </c>
      <c r="F436" s="56"/>
      <c r="G436" s="56"/>
      <c r="H436" s="56"/>
      <c r="I436" s="56"/>
      <c r="J436" s="56"/>
      <c r="L436" s="56" t="str">
        <f>IF('AYIRA MINI MART FINAL MENU - Pr'!L436="", "", 'AYIRA MINI MART FINAL MENU - Pr'!L436)</f>
        <v/>
      </c>
      <c r="M436" s="56" t="str">
        <f>IF('AYIRA MINI MART FINAL MENU - Pr'!M436="", "", 'AYIRA MINI MART FINAL MENU - Pr'!M436)</f>
        <v/>
      </c>
      <c r="N436" s="56" t="str">
        <f>IF('AYIRA MINI MART FINAL MENU - Pr'!N436="", "", 'AYIRA MINI MART FINAL MENU - Pr'!N436)</f>
        <v/>
      </c>
      <c r="O436" s="57"/>
      <c r="P436" s="57"/>
      <c r="Q436" s="57"/>
      <c r="R436" s="57"/>
      <c r="S436" s="57"/>
      <c r="T436" s="57"/>
      <c r="U436" s="57"/>
      <c r="V436" s="57"/>
      <c r="W436" s="57"/>
      <c r="X436" s="57"/>
      <c r="Y436" s="57"/>
      <c r="Z436" s="57"/>
    </row>
    <row r="437">
      <c r="A437" s="56" t="str">
        <f>IFERROR(__xludf.DUMMYFUNCTION("IF('AYIRA MINI MART FINAL MENU - Pr'!A437="""", """", IF(LEN(IFERROR(TRIM(REGEXREPLACE(TRIM(REGEXEXTRACT('AYIRA MINI MART FINAL MENU - Pr'!A437, ""^[^\x{0600}-\x{06FF}]+"")), ""[-–]+$"", """")), """"))&gt;0, IFERROR(TRIM(REGEXREPLACE(TRIM(REGEXEXTRACT('AYIRA"&amp;" MINI MART FINAL MENU - Pr'!A437, ""^[^\x{0600}-\x{06FF}]+"")), ""[-–]+$"", """")), """"), GOOGLETRANSLATE('AYIRA MINI MART FINAL MENU - Pr'!A437, ""ar"", ""en"")))"),"LAYS French Cheese 48g")</f>
        <v>LAYS French Cheese 48g</v>
      </c>
      <c r="B437" s="56" t="str">
        <f>IFERROR(__xludf.DUMMYFUNCTION("IF('AYIRA MINI MART FINAL MENU - Pr'!B437="""", """", IF(LEN(IFERROR(TRIM(REGEXREPLACE(TRIM(REGEXEXTRACT('AYIRA MINI MART FINAL MENU - Pr'!B437, ""^[^\x{0600}-\x{06FF}]+"")), ""[-–]+$"", """")), """"))&gt;0, IFERROR(TRIM(REGEXREPLACE(TRIM(REGEXEXTRACT('AYIRA"&amp;" MINI MART FINAL MENU - Pr'!B437, ""^[^\x{0600}-\x{06FF}]+"")), ""[-–]+$"", """")), """"), GOOGLETRANSLATE('AYIRA MINI MART FINAL MENU - Pr'!B437, ""ar"", ""en"")))"),"Chips &amp; Crisps")</f>
        <v>Chips &amp; Crisps</v>
      </c>
      <c r="C437" s="58">
        <f>IF('AYIRA MINI MART FINAL MENU - Pr'!C437="", "", 'AYIRA MINI MART FINAL MENU - Pr'!C437)</f>
        <v>4</v>
      </c>
      <c r="D437" s="56" t="str">
        <f>IFERROR(__xludf.DUMMYFUNCTION("IF('AYIRA MINI MART FINAL MENU - Pr'!D437="""", """", GOOGLETRANSLATE('AYIRA MINI MART FINAL MENU - Pr'!D437,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37" s="56" t="str">
        <f>IF('AYIRA MINI MART FINAL MENU - Pr'!K437="", "", 'AYIRA MINI MART FINAL MENU - Pr'!K437)</f>
        <v/>
      </c>
      <c r="F437" s="56"/>
      <c r="G437" s="56"/>
      <c r="H437" s="56"/>
      <c r="I437" s="56"/>
      <c r="J437" s="56"/>
      <c r="L437" s="56" t="str">
        <f>IF('AYIRA MINI MART FINAL MENU - Pr'!L437="", "", 'AYIRA MINI MART FINAL MENU - Pr'!L437)</f>
        <v/>
      </c>
      <c r="M437" s="56" t="str">
        <f>IF('AYIRA MINI MART FINAL MENU - Pr'!M437="", "", 'AYIRA MINI MART FINAL MENU - Pr'!M437)</f>
        <v/>
      </c>
      <c r="N437" s="56" t="str">
        <f>IF('AYIRA MINI MART FINAL MENU - Pr'!N437="", "", 'AYIRA MINI MART FINAL MENU - Pr'!N437)</f>
        <v/>
      </c>
      <c r="O437" s="57"/>
      <c r="P437" s="57"/>
      <c r="Q437" s="57"/>
      <c r="R437" s="57"/>
      <c r="S437" s="57"/>
      <c r="T437" s="57"/>
      <c r="U437" s="57"/>
      <c r="V437" s="57"/>
      <c r="W437" s="57"/>
      <c r="X437" s="57"/>
      <c r="Y437" s="57"/>
      <c r="Z437" s="57"/>
    </row>
    <row r="438">
      <c r="A438" s="56" t="str">
        <f>IFERROR(__xludf.DUMMYFUNCTION("IF('AYIRA MINI MART FINAL MENU - Pr'!A438="""", """", IF(LEN(IFERROR(TRIM(REGEXREPLACE(TRIM(REGEXEXTRACT('AYIRA MINI MART FINAL MENU - Pr'!A438, ""^[^\x{0600}-\x{06FF}]+"")), ""[-–]+$"", """")), """"))&gt;0, IFERROR(TRIM(REGEXREPLACE(TRIM(REGEXEXTRACT('AYIRA"&amp;" MINI MART FINAL MENU - Pr'!A438, ""^[^\x{0600}-\x{06FF}]+"")), ""[-–]+$"", """")), """"), GOOGLETRANSLATE('AYIRA MINI MART FINAL MENU - Pr'!A438, ""ar"", ""en"")))"),"LAYS Chili 48g")</f>
        <v>LAYS Chili 48g</v>
      </c>
      <c r="B438" s="56" t="str">
        <f>IFERROR(__xludf.DUMMYFUNCTION("IF('AYIRA MINI MART FINAL MENU - Pr'!B438="""", """", IF(LEN(IFERROR(TRIM(REGEXREPLACE(TRIM(REGEXEXTRACT('AYIRA MINI MART FINAL MENU - Pr'!B438, ""^[^\x{0600}-\x{06FF}]+"")), ""[-–]+$"", """")), """"))&gt;0, IFERROR(TRIM(REGEXREPLACE(TRIM(REGEXEXTRACT('AYIRA"&amp;" MINI MART FINAL MENU - Pr'!B438, ""^[^\x{0600}-\x{06FF}]+"")), ""[-–]+$"", """")), """"), GOOGLETRANSLATE('AYIRA MINI MART FINAL MENU - Pr'!B438, ""ar"", ""en"")))"),"Chips &amp; Crisps")</f>
        <v>Chips &amp; Crisps</v>
      </c>
      <c r="C438" s="58">
        <f>IF('AYIRA MINI MART FINAL MENU - Pr'!C438="", "", 'AYIRA MINI MART FINAL MENU - Pr'!C438)</f>
        <v>4</v>
      </c>
      <c r="D438" s="56" t="str">
        <f>IFERROR(__xludf.DUMMYFUNCTION("IF('AYIRA MINI MART FINAL MENU - Pr'!D438="""", """", GOOGLETRANSLATE('AYIRA MINI MART FINAL MENU - Pr'!D438,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38" s="56" t="str">
        <f>IF('AYIRA MINI MART FINAL MENU - Pr'!K438="", "", 'AYIRA MINI MART FINAL MENU - Pr'!K438)</f>
        <v/>
      </c>
      <c r="F438" s="56"/>
      <c r="G438" s="56"/>
      <c r="H438" s="56"/>
      <c r="I438" s="56"/>
      <c r="J438" s="56"/>
      <c r="L438" s="56" t="str">
        <f>IF('AYIRA MINI MART FINAL MENU - Pr'!L438="", "", 'AYIRA MINI MART FINAL MENU - Pr'!L438)</f>
        <v/>
      </c>
      <c r="M438" s="56" t="str">
        <f>IF('AYIRA MINI MART FINAL MENU - Pr'!M438="", "", 'AYIRA MINI MART FINAL MENU - Pr'!M438)</f>
        <v/>
      </c>
      <c r="N438" s="56" t="str">
        <f>IF('AYIRA MINI MART FINAL MENU - Pr'!N438="", "", 'AYIRA MINI MART FINAL MENU - Pr'!N438)</f>
        <v/>
      </c>
      <c r="O438" s="57"/>
      <c r="P438" s="57"/>
      <c r="Q438" s="57"/>
      <c r="R438" s="57"/>
      <c r="S438" s="57"/>
      <c r="T438" s="57"/>
      <c r="U438" s="57"/>
      <c r="V438" s="57"/>
      <c r="W438" s="57"/>
      <c r="X438" s="57"/>
      <c r="Y438" s="57"/>
      <c r="Z438" s="57"/>
    </row>
    <row r="439">
      <c r="A439" s="56" t="str">
        <f>IFERROR(__xludf.DUMMYFUNCTION("IF('AYIRA MINI MART FINAL MENU - Pr'!A439="""", """", IF(LEN(IFERROR(TRIM(REGEXREPLACE(TRIM(REGEXEXTRACT('AYIRA MINI MART FINAL MENU - Pr'!A439, ""^[^\x{0600}-\x{06FF}]+"")), ""[-–]+$"", """")), """"))&gt;0, IFERROR(TRIM(REGEXREPLACE(TRIM(REGEXEXTRACT('AYIRA"&amp;" MINI MART FINAL MENU - Pr'!A439, ""^[^\x{0600}-\x{06FF}]+"")), ""[-–]+$"", """")), """"), GOOGLETRANSLATE('AYIRA MINI MART FINAL MENU - Pr'!A439, ""ar"", ""en"")))"),"Cheetos Flamin’ Hot Crunchy Export 35.4g")</f>
        <v>Cheetos Flamin’ Hot Crunchy Export 35.4g</v>
      </c>
      <c r="B439" s="56" t="str">
        <f>IFERROR(__xludf.DUMMYFUNCTION("IF('AYIRA MINI MART FINAL MENU - Pr'!B439="""", """", IF(LEN(IFERROR(TRIM(REGEXREPLACE(TRIM(REGEXEXTRACT('AYIRA MINI MART FINAL MENU - Pr'!B439, ""^[^\x{0600}-\x{06FF}]+"")), ""[-–]+$"", """")), """"))&gt;0, IFERROR(TRIM(REGEXREPLACE(TRIM(REGEXEXTRACT('AYIRA"&amp;" MINI MART FINAL MENU - Pr'!B439, ""^[^\x{0600}-\x{06FF}]+"")), ""[-–]+$"", """")), """"), GOOGLETRANSLATE('AYIRA MINI MART FINAL MENU - Pr'!B439, ""ar"", ""en"")))"),"Chips &amp; Crisps")</f>
        <v>Chips &amp; Crisps</v>
      </c>
      <c r="C439" s="58">
        <f>IF('AYIRA MINI MART FINAL MENU - Pr'!C439="", "", 'AYIRA MINI MART FINAL MENU - Pr'!C439)</f>
        <v>3.5</v>
      </c>
      <c r="D439" s="56" t="str">
        <f>IFERROR(__xludf.DUMMYFUNCTION("IF('AYIRA MINI MART FINAL MENU - Pr'!D439="""", """", GOOGLETRANSLATE('AYIRA MINI MART FINAL MENU - Pr'!D439,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39" s="56" t="str">
        <f>IF('AYIRA MINI MART FINAL MENU - Pr'!K439="", "", 'AYIRA MINI MART FINAL MENU - Pr'!K439)</f>
        <v/>
      </c>
      <c r="F439" s="56"/>
      <c r="G439" s="56"/>
      <c r="H439" s="56"/>
      <c r="I439" s="56"/>
      <c r="J439" s="56"/>
      <c r="L439" s="56" t="str">
        <f>IF('AYIRA MINI MART FINAL MENU - Pr'!L439="", "", 'AYIRA MINI MART FINAL MENU - Pr'!L439)</f>
        <v/>
      </c>
      <c r="M439" s="56" t="str">
        <f>IF('AYIRA MINI MART FINAL MENU - Pr'!M439="", "", 'AYIRA MINI MART FINAL MENU - Pr'!M439)</f>
        <v/>
      </c>
      <c r="N439" s="56" t="str">
        <f>IF('AYIRA MINI MART FINAL MENU - Pr'!N439="", "", 'AYIRA MINI MART FINAL MENU - Pr'!N439)</f>
        <v/>
      </c>
      <c r="O439" s="57"/>
      <c r="P439" s="57"/>
      <c r="Q439" s="57"/>
      <c r="R439" s="57"/>
      <c r="S439" s="57"/>
      <c r="T439" s="57"/>
      <c r="U439" s="57"/>
      <c r="V439" s="57"/>
      <c r="W439" s="57"/>
      <c r="X439" s="57"/>
      <c r="Y439" s="57"/>
      <c r="Z439" s="57"/>
    </row>
    <row r="440">
      <c r="A440" s="56" t="str">
        <f>IFERROR(__xludf.DUMMYFUNCTION("IF('AYIRA MINI MART FINAL MENU - Pr'!A440="""", """", IF(LEN(IFERROR(TRIM(REGEXREPLACE(TRIM(REGEXEXTRACT('AYIRA MINI MART FINAL MENU - Pr'!A440, ""^[^\x{0600}-\x{06FF}]+"")), ""[-–]+$"", """")), """"))&gt;0, IFERROR(TRIM(REGEXREPLACE(TRIM(REGEXEXTRACT('AYIRA"&amp;" MINI MART FINAL MENU - Pr'!A440, ""^[^\x{0600}-\x{06FF}]+"")), ""[-–]+$"", """")), """"), GOOGLETRANSLATE('AYIRA MINI MART FINAL MENU - Pr'!A440, ""ar"", ""en"")))"),"Mexita Hot Chili &amp; Lime Tortilla Chips 23g – Mexita")</f>
        <v>Mexita Hot Chili &amp; Lime Tortilla Chips 23g – Mexita</v>
      </c>
      <c r="B440" s="56" t="str">
        <f>IFERROR(__xludf.DUMMYFUNCTION("IF('AYIRA MINI MART FINAL MENU - Pr'!B440="""", """", IF(LEN(IFERROR(TRIM(REGEXREPLACE(TRIM(REGEXEXTRACT('AYIRA MINI MART FINAL MENU - Pr'!B440, ""^[^\x{0600}-\x{06FF}]+"")), ""[-–]+$"", """")), """"))&gt;0, IFERROR(TRIM(REGEXREPLACE(TRIM(REGEXEXTRACT('AYIRA"&amp;" MINI MART FINAL MENU - Pr'!B440, ""^[^\x{0600}-\x{06FF}]+"")), ""[-–]+$"", """")), """"), GOOGLETRANSLATE('AYIRA MINI MART FINAL MENU - Pr'!B440, ""ar"", ""en"")))"),"Chips &amp; Crisps")</f>
        <v>Chips &amp; Crisps</v>
      </c>
      <c r="C440" s="58">
        <f>IF('AYIRA MINI MART FINAL MENU - Pr'!C440="", "", 'AYIRA MINI MART FINAL MENU - Pr'!C440)</f>
        <v>2.5</v>
      </c>
      <c r="D440" s="56" t="str">
        <f>IFERROR(__xludf.DUMMYFUNCTION("IF('AYIRA MINI MART FINAL MENU - Pr'!D440="""", """", GOOGLETRANSLATE('AYIRA MINI MART FINAL MENU - Pr'!D440, ""ar"", ""en""))"),"Don't be able to resist the taste of Mexita Hot Chili &amp; Lime Tortilla Chips 23g, your perfect companion for relaxing and watching the game. Their unique crunch and varied flavors make every handful a delightful experience. Made with the finest ingredients"&amp;" using the latest manufacturing techniques to ensure an unparalleled taste. Ideal as a snack for adults and children alike between meals. Aira Mini Mart offers them in the perfect size and flavor for you.")</f>
        <v>Don't be able to resist the taste of Mexita Hot Chili &amp; Lime Tortilla Chips 23g,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40" s="56" t="str">
        <f>IF('AYIRA MINI MART FINAL MENU - Pr'!K440="", "", 'AYIRA MINI MART FINAL MENU - Pr'!K440)</f>
        <v/>
      </c>
      <c r="F440" s="56"/>
      <c r="G440" s="56"/>
      <c r="H440" s="56"/>
      <c r="I440" s="56"/>
      <c r="J440" s="56"/>
      <c r="L440" s="56" t="str">
        <f>IF('AYIRA MINI MART FINAL MENU - Pr'!L440="", "", 'AYIRA MINI MART FINAL MENU - Pr'!L440)</f>
        <v/>
      </c>
      <c r="M440" s="56" t="str">
        <f>IF('AYIRA MINI MART FINAL MENU - Pr'!M440="", "", 'AYIRA MINI MART FINAL MENU - Pr'!M440)</f>
        <v/>
      </c>
      <c r="N440" s="56" t="str">
        <f>IF('AYIRA MINI MART FINAL MENU - Pr'!N440="", "", 'AYIRA MINI MART FINAL MENU - Pr'!N440)</f>
        <v/>
      </c>
      <c r="O440" s="57"/>
      <c r="P440" s="57"/>
      <c r="Q440" s="57"/>
      <c r="R440" s="57"/>
      <c r="S440" s="57"/>
      <c r="T440" s="57"/>
      <c r="U440" s="57"/>
      <c r="V440" s="57"/>
      <c r="W440" s="57"/>
      <c r="X440" s="57"/>
      <c r="Y440" s="57"/>
      <c r="Z440" s="57"/>
    </row>
    <row r="441">
      <c r="A441" s="56" t="str">
        <f>IFERROR(__xludf.DUMMYFUNCTION("IF('AYIRA MINI MART FINAL MENU - Pr'!A441="""", """", IF(LEN(IFERROR(TRIM(REGEXREPLACE(TRIM(REGEXEXTRACT('AYIRA MINI MART FINAL MENU - Pr'!A441, ""^[^\x{0600}-\x{06FF}]+"")), ""[-–]+$"", """")), """"))&gt;0, IFERROR(TRIM(REGEXREPLACE(TRIM(REGEXEXTRACT('AYIRA"&amp;" MINI MART FINAL MENU - Pr'!A441, ""^[^\x{0600}-\x{06FF}]+"")), ""[-–]+$"", """")), """"), GOOGLETRANSLATE('AYIRA MINI MART FINAL MENU - Pr'!A441, ""ar"", ""en"")))"),"Mexita Nacho Cheese Tortilla Chips 23g – Mexita Nacho")</f>
        <v>Mexita Nacho Cheese Tortilla Chips 23g – Mexita Nacho</v>
      </c>
      <c r="B441" s="56" t="str">
        <f>IFERROR(__xludf.DUMMYFUNCTION("IF('AYIRA MINI MART FINAL MENU - Pr'!B441="""", """", IF(LEN(IFERROR(TRIM(REGEXREPLACE(TRIM(REGEXEXTRACT('AYIRA MINI MART FINAL MENU - Pr'!B441, ""^[^\x{0600}-\x{06FF}]+"")), ""[-–]+$"", """")), """"))&gt;0, IFERROR(TRIM(REGEXREPLACE(TRIM(REGEXEXTRACT('AYIRA"&amp;" MINI MART FINAL MENU - Pr'!B441, ""^[^\x{0600}-\x{06FF}]+"")), ""[-–]+$"", """")), """"), GOOGLETRANSLATE('AYIRA MINI MART FINAL MENU - Pr'!B441, ""ar"", ""en"")))"),"Chips &amp; Crisps")</f>
        <v>Chips &amp; Crisps</v>
      </c>
      <c r="C441" s="58">
        <f>IF('AYIRA MINI MART FINAL MENU - Pr'!C441="", "", 'AYIRA MINI MART FINAL MENU - Pr'!C441)</f>
        <v>2.5</v>
      </c>
      <c r="D441" s="56" t="str">
        <f>IFERROR(__xludf.DUMMYFUNCTION("IF('AYIRA MINI MART FINAL MENU - Pr'!D441="""", """", GOOGLETRANSLATE('AYIRA MINI MART FINAL MENU - Pr'!D441, ""ar"", ""en""))"),"Don't be able to resist the taste of Mexita Nacho Cheese Tortilla Chips 23g, your perfect companion for relaxing and watching the game. Their unique crunch and varied flavors make every handful a delightful experience. Made with the finest ingredients usi"&amp;"ng the latest manufacturing techniques to ensure an unparalleled taste. Ideal as a snack for adults and children alike between meals. Aira Mini Mart offers them in the perfect size and flavor for you.")</f>
        <v>Don't be able to resist the taste of Mexita Nacho Cheese Tortilla Chips 23g,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41" s="56" t="str">
        <f>IF('AYIRA MINI MART FINAL MENU - Pr'!K441="", "", 'AYIRA MINI MART FINAL MENU - Pr'!K441)</f>
        <v/>
      </c>
      <c r="F441" s="56"/>
      <c r="G441" s="56"/>
      <c r="H441" s="56"/>
      <c r="I441" s="56"/>
      <c r="J441" s="56"/>
      <c r="L441" s="56" t="str">
        <f>IF('AYIRA MINI MART FINAL MENU - Pr'!L441="", "", 'AYIRA MINI MART FINAL MENU - Pr'!L441)</f>
        <v/>
      </c>
      <c r="M441" s="56" t="str">
        <f>IF('AYIRA MINI MART FINAL MENU - Pr'!M441="", "", 'AYIRA MINI MART FINAL MENU - Pr'!M441)</f>
        <v/>
      </c>
      <c r="N441" s="56" t="str">
        <f>IF('AYIRA MINI MART FINAL MENU - Pr'!N441="", "", 'AYIRA MINI MART FINAL MENU - Pr'!N441)</f>
        <v/>
      </c>
      <c r="O441" s="57"/>
      <c r="P441" s="57"/>
      <c r="Q441" s="57"/>
      <c r="R441" s="57"/>
      <c r="S441" s="57"/>
      <c r="T441" s="57"/>
      <c r="U441" s="57"/>
      <c r="V441" s="57"/>
      <c r="W441" s="57"/>
      <c r="X441" s="57"/>
      <c r="Y441" s="57"/>
      <c r="Z441" s="57"/>
    </row>
    <row r="442">
      <c r="A442" s="56" t="str">
        <f>IFERROR(__xludf.DUMMYFUNCTION("IF('AYIRA MINI MART FINAL MENU - Pr'!A442="""", """", IF(LEN(IFERROR(TRIM(REGEXREPLACE(TRIM(REGEXEXTRACT('AYIRA MINI MART FINAL MENU - Pr'!A442, ""^[^\x{0600}-\x{06FF}]+"")), ""[-–]+$"", """")), """"))&gt;0, IFERROR(TRIM(REGEXREPLACE(TRIM(REGEXEXTRACT('AYIRA"&amp;" MINI MART FINAL MENU - Pr'!A442, ""^[^\x{0600}-\x{06FF}]+"")), ""[-–]+$"", """")), """"), GOOGLETRANSLATE('AYIRA MINI MART FINAL MENU - Pr'!A442, ""ar"", ""en"")))"),"Mexita Sweet Chili Pepper Tortilla Chips 23g – Mexita Sweet Chili Pepper Tortilla")</f>
        <v>Mexita Sweet Chili Pepper Tortilla Chips 23g – Mexita Sweet Chili Pepper Tortilla</v>
      </c>
      <c r="B442" s="56" t="str">
        <f>IFERROR(__xludf.DUMMYFUNCTION("IF('AYIRA MINI MART FINAL MENU - Pr'!B442="""", """", IF(LEN(IFERROR(TRIM(REGEXREPLACE(TRIM(REGEXEXTRACT('AYIRA MINI MART FINAL MENU - Pr'!B442, ""^[^\x{0600}-\x{06FF}]+"")), ""[-–]+$"", """")), """"))&gt;0, IFERROR(TRIM(REGEXREPLACE(TRIM(REGEXEXTRACT('AYIRA"&amp;" MINI MART FINAL MENU - Pr'!B442, ""^[^\x{0600}-\x{06FF}]+"")), ""[-–]+$"", """")), """"), GOOGLETRANSLATE('AYIRA MINI MART FINAL MENU - Pr'!B442, ""ar"", ""en"")))"),"Chips &amp; Crisps")</f>
        <v>Chips &amp; Crisps</v>
      </c>
      <c r="C442" s="58">
        <f>IF('AYIRA MINI MART FINAL MENU - Pr'!C442="", "", 'AYIRA MINI MART FINAL MENU - Pr'!C442)</f>
        <v>2.5</v>
      </c>
      <c r="D442" s="56" t="str">
        <f>IFERROR(__xludf.DUMMYFUNCTION("IF('AYIRA MINI MART FINAL MENU - Pr'!D442="""", """", GOOGLETRANSLATE('AYIRA MINI MART FINAL MENU - Pr'!D442, ""ar"", ""en""))"),"Don't be able to resist the taste of Mexita Sweet Chili Pepper Tortilla Chips 23g, your perfect companion for relaxing and watching the game. Their unique crunch and varied flavors make every handful a delightful experience. Made with the finest ingredien"&amp;"ts using the latest manufacturing techniques to ensure an unparalleled taste. Ideal as a snack for adults and children alike between meals. Aira Mini Mart offers them in the perfect size and flavor for you.")</f>
        <v>Don't be able to resist the taste of Mexita Sweet Chili Pepper Tortilla Chips 23g,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42" s="56" t="str">
        <f>IF('AYIRA MINI MART FINAL MENU - Pr'!K442="", "", 'AYIRA MINI MART FINAL MENU - Pr'!K442)</f>
        <v/>
      </c>
      <c r="F442" s="56"/>
      <c r="G442" s="56"/>
      <c r="H442" s="56"/>
      <c r="I442" s="56"/>
      <c r="J442" s="56"/>
      <c r="L442" s="56" t="str">
        <f>IF('AYIRA MINI MART FINAL MENU - Pr'!L442="", "", 'AYIRA MINI MART FINAL MENU - Pr'!L442)</f>
        <v/>
      </c>
      <c r="M442" s="56" t="str">
        <f>IF('AYIRA MINI MART FINAL MENU - Pr'!M442="", "", 'AYIRA MINI MART FINAL MENU - Pr'!M442)</f>
        <v/>
      </c>
      <c r="N442" s="56" t="str">
        <f>IF('AYIRA MINI MART FINAL MENU - Pr'!N442="", "", 'AYIRA MINI MART FINAL MENU - Pr'!N442)</f>
        <v/>
      </c>
      <c r="O442" s="57"/>
      <c r="P442" s="57"/>
      <c r="Q442" s="57"/>
      <c r="R442" s="57"/>
      <c r="S442" s="57"/>
      <c r="T442" s="57"/>
      <c r="U442" s="57"/>
      <c r="V442" s="57"/>
      <c r="W442" s="57"/>
      <c r="X442" s="57"/>
      <c r="Y442" s="57"/>
      <c r="Z442" s="57"/>
    </row>
    <row r="443">
      <c r="A443" s="56" t="str">
        <f>IFERROR(__xludf.DUMMYFUNCTION("IF('AYIRA MINI MART FINAL MENU - Pr'!A443="""", """", IF(LEN(IFERROR(TRIM(REGEXREPLACE(TRIM(REGEXEXTRACT('AYIRA MINI MART FINAL MENU - Pr'!A443, ""^[^\x{0600}-\x{06FF}]+"")), ""[-–]+$"", """")), """"))&gt;0, IFERROR(TRIM(REGEXREPLACE(TRIM(REGEXEXTRACT('AYIRA"&amp;" MINI MART FINAL MENU - Pr'!A443, ""^[^\x{0600}-\x{06FF}]+"")), ""[-–]+$"", """")), """"), GOOGLETRANSLATE('AYIRA MINI MART FINAL MENU - Pr'!A443, ""ar"", ""en"")))"),"Cheetos Crunchy Flamin’ Hot 110g")</f>
        <v>Cheetos Crunchy Flamin’ Hot 110g</v>
      </c>
      <c r="B443" s="56" t="str">
        <f>IFERROR(__xludf.DUMMYFUNCTION("IF('AYIRA MINI MART FINAL MENU - Pr'!B443="""", """", IF(LEN(IFERROR(TRIM(REGEXREPLACE(TRIM(REGEXEXTRACT('AYIRA MINI MART FINAL MENU - Pr'!B443, ""^[^\x{0600}-\x{06FF}]+"")), ""[-–]+$"", """")), """"))&gt;0, IFERROR(TRIM(REGEXREPLACE(TRIM(REGEXEXTRACT('AYIRA"&amp;" MINI MART FINAL MENU - Pr'!B443, ""^[^\x{0600}-\x{06FF}]+"")), ""[-–]+$"", """")), """"), GOOGLETRANSLATE('AYIRA MINI MART FINAL MENU - Pr'!B443, ""ar"", ""en"")))"),"Chips &amp; Crisps")</f>
        <v>Chips &amp; Crisps</v>
      </c>
      <c r="C443" s="58">
        <f>IF('AYIRA MINI MART FINAL MENU - Pr'!C443="", "", 'AYIRA MINI MART FINAL MENU - Pr'!C443)</f>
        <v>8</v>
      </c>
      <c r="D443" s="56" t="str">
        <f>IFERROR(__xludf.DUMMYFUNCTION("IF('AYIRA MINI MART FINAL MENU - Pr'!D443="""", """", GOOGLETRANSLATE('AYIRA MINI MART FINAL MENU - Pr'!D443,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43" s="56" t="str">
        <f>IF('AYIRA MINI MART FINAL MENU - Pr'!K443="", "", 'AYIRA MINI MART FINAL MENU - Pr'!K443)</f>
        <v/>
      </c>
      <c r="F443" s="56"/>
      <c r="G443" s="56"/>
      <c r="H443" s="56"/>
      <c r="I443" s="56"/>
      <c r="J443" s="56"/>
      <c r="L443" s="56" t="str">
        <f>IF('AYIRA MINI MART FINAL MENU - Pr'!L443="", "", 'AYIRA MINI MART FINAL MENU - Pr'!L443)</f>
        <v/>
      </c>
      <c r="M443" s="56" t="str">
        <f>IF('AYIRA MINI MART FINAL MENU - Pr'!M443="", "", 'AYIRA MINI MART FINAL MENU - Pr'!M443)</f>
        <v/>
      </c>
      <c r="N443" s="56" t="str">
        <f>IF('AYIRA MINI MART FINAL MENU - Pr'!N443="", "", 'AYIRA MINI MART FINAL MENU - Pr'!N443)</f>
        <v/>
      </c>
      <c r="O443" s="57"/>
      <c r="P443" s="57"/>
      <c r="Q443" s="57"/>
      <c r="R443" s="57"/>
      <c r="S443" s="57"/>
      <c r="T443" s="57"/>
      <c r="U443" s="57"/>
      <c r="V443" s="57"/>
      <c r="W443" s="57"/>
      <c r="X443" s="57"/>
      <c r="Y443" s="57"/>
      <c r="Z443" s="57"/>
    </row>
    <row r="444">
      <c r="A444" s="56" t="str">
        <f>IFERROR(__xludf.DUMMYFUNCTION("IF('AYIRA MINI MART FINAL MENU - Pr'!A444="""", """", IF(LEN(IFERROR(TRIM(REGEXREPLACE(TRIM(REGEXEXTRACT('AYIRA MINI MART FINAL MENU - Pr'!A444, ""^[^\x{0600}-\x{06FF}]+"")), ""[-–]+$"", """")), """"))&gt;0, IFERROR(TRIM(REGEXREPLACE(TRIM(REGEXEXTRACT('AYIRA"&amp;" MINI MART FINAL MENU - Pr'!A444, ""^[^\x{0600}-\x{06FF}]+"")), ""[-–]+$"", """")), """"), GOOGLETRANSLATE('AYIRA MINI MART FINAL MENU - Pr'!A444, ""ar"", ""en"")))"),"Karkish Salt – Karkish")</f>
        <v>Karkish Salt – Karkish</v>
      </c>
      <c r="B444" s="56" t="str">
        <f>IFERROR(__xludf.DUMMYFUNCTION("IF('AYIRA MINI MART FINAL MENU - Pr'!B444="""", """", IF(LEN(IFERROR(TRIM(REGEXREPLACE(TRIM(REGEXEXTRACT('AYIRA MINI MART FINAL MENU - Pr'!B444, ""^[^\x{0600}-\x{06FF}]+"")), ""[-–]+$"", """")), """"))&gt;0, IFERROR(TRIM(REGEXREPLACE(TRIM(REGEXEXTRACT('AYIRA"&amp;" MINI MART FINAL MENU - Pr'!B444, ""^[^\x{0600}-\x{06FF}]+"")), ""[-–]+$"", """")), """"), GOOGLETRANSLATE('AYIRA MINI MART FINAL MENU - Pr'!B444, ""ar"", ""en"")))"),"Chips &amp; Crisps")</f>
        <v>Chips &amp; Crisps</v>
      </c>
      <c r="C444" s="58">
        <f>IF('AYIRA MINI MART FINAL MENU - Pr'!C444="", "", 'AYIRA MINI MART FINAL MENU - Pr'!C444)</f>
        <v>3.5</v>
      </c>
      <c r="D444" s="56" t="str">
        <f>IFERROR(__xludf.DUMMYFUNCTION("IF('AYIRA MINI MART FINAL MENU - Pr'!D444="""", """", GOOGLETRANSLATE('AYIRA MINI MART FINAL MENU - Pr'!D444, ""ar"", ""en""))"),"Don't be able to resist the taste of Karkish Salt, your perfect companion for relaxing and watching the game. Its unique crunch and diverse flavors make every handful a delightful experience. Prepared with the finest ingredients using the latest manufactu"&amp;"ring techniques to ensure an unparalleled taste. Ideal as a snack for adults and children alike between meals. Aira Mini Mart offers it in the perfect size and flavor for you.")</f>
        <v>Don't be able to resist the taste of Karkish Salt,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44" s="56" t="str">
        <f>IF('AYIRA MINI MART FINAL MENU - Pr'!K444="", "", 'AYIRA MINI MART FINAL MENU - Pr'!K444)</f>
        <v/>
      </c>
      <c r="F444" s="56"/>
      <c r="G444" s="56"/>
      <c r="H444" s="56"/>
      <c r="I444" s="56"/>
      <c r="J444" s="56"/>
      <c r="L444" s="56" t="str">
        <f>IF('AYIRA MINI MART FINAL MENU - Pr'!L444="", "", 'AYIRA MINI MART FINAL MENU - Pr'!L444)</f>
        <v/>
      </c>
      <c r="M444" s="56" t="str">
        <f>IF('AYIRA MINI MART FINAL MENU - Pr'!M444="", "", 'AYIRA MINI MART FINAL MENU - Pr'!M444)</f>
        <v/>
      </c>
      <c r="N444" s="56" t="str">
        <f>IF('AYIRA MINI MART FINAL MENU - Pr'!N444="", "", 'AYIRA MINI MART FINAL MENU - Pr'!N444)</f>
        <v/>
      </c>
      <c r="O444" s="57"/>
      <c r="P444" s="57"/>
      <c r="Q444" s="57"/>
      <c r="R444" s="57"/>
      <c r="S444" s="57"/>
      <c r="T444" s="57"/>
      <c r="U444" s="57"/>
      <c r="V444" s="57"/>
      <c r="W444" s="57"/>
      <c r="X444" s="57"/>
      <c r="Y444" s="57"/>
      <c r="Z444" s="57"/>
    </row>
    <row r="445">
      <c r="A445" s="56" t="str">
        <f>IFERROR(__xludf.DUMMYFUNCTION("IF('AYIRA MINI MART FINAL MENU - Pr'!A445="""", """", IF(LEN(IFERROR(TRIM(REGEXREPLACE(TRIM(REGEXEXTRACT('AYIRA MINI MART FINAL MENU - Pr'!A445, ""^[^\x{0600}-\x{06FF}]+"")), ""[-–]+$"", """")), """"))&gt;0, IFERROR(TRIM(REGEXREPLACE(TRIM(REGEXEXTRACT('AYIRA"&amp;" MINI MART FINAL MENU - Pr'!A445, ""^[^\x{0600}-\x{06FF}]+"")), ""[-–]+$"", """")), """"), GOOGLETRANSLATE('AYIRA MINI MART FINAL MENU - Pr'!A445, ""ar"", ""en"")))"),"Karkish Salt &amp; Vinegar – Karkish")</f>
        <v>Karkish Salt &amp; Vinegar – Karkish</v>
      </c>
      <c r="B445" s="56" t="str">
        <f>IFERROR(__xludf.DUMMYFUNCTION("IF('AYIRA MINI MART FINAL MENU - Pr'!B445="""", """", IF(LEN(IFERROR(TRIM(REGEXREPLACE(TRIM(REGEXEXTRACT('AYIRA MINI MART FINAL MENU - Pr'!B445, ""^[^\x{0600}-\x{06FF}]+"")), ""[-–]+$"", """")), """"))&gt;0, IFERROR(TRIM(REGEXREPLACE(TRIM(REGEXEXTRACT('AYIRA"&amp;" MINI MART FINAL MENU - Pr'!B445, ""^[^\x{0600}-\x{06FF}]+"")), ""[-–]+$"", """")), """"), GOOGLETRANSLATE('AYIRA MINI MART FINAL MENU - Pr'!B445, ""ar"", ""en"")))"),"Chips &amp; Crisps")</f>
        <v>Chips &amp; Crisps</v>
      </c>
      <c r="C445" s="58">
        <f>IF('AYIRA MINI MART FINAL MENU - Pr'!C445="", "", 'AYIRA MINI MART FINAL MENU - Pr'!C445)</f>
        <v>3.5</v>
      </c>
      <c r="D445" s="56" t="str">
        <f>IFERROR(__xludf.DUMMYFUNCTION("IF('AYIRA MINI MART FINAL MENU - Pr'!D445="""", """", GOOGLETRANSLATE('AYIRA MINI MART FINAL MENU - Pr'!D445, ""ar"", ""en""))"),"Don't be able to resist the taste of Karkish Salt &amp; Vinegar, your perfect companion for relaxing and watching the game. Its unique crunch and diverse flavors make every handful a delightful experience. Prepared with the finest ingredients using the latest"&amp;" manufacturing techniques to ensure an unparalleled taste. Ideal as a snack for adults and children alike between meals. Aira Mini Mart offers it in the perfect size and flavor for you.")</f>
        <v>Don't be able to resist the taste of Karkish Salt &amp; Vinegar,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45" s="56" t="str">
        <f>IF('AYIRA MINI MART FINAL MENU - Pr'!K445="", "", 'AYIRA MINI MART FINAL MENU - Pr'!K445)</f>
        <v/>
      </c>
      <c r="F445" s="56"/>
      <c r="G445" s="56"/>
      <c r="H445" s="56"/>
      <c r="I445" s="56"/>
      <c r="J445" s="56"/>
      <c r="L445" s="56" t="str">
        <f>IF('AYIRA MINI MART FINAL MENU - Pr'!L445="", "", 'AYIRA MINI MART FINAL MENU - Pr'!L445)</f>
        <v/>
      </c>
      <c r="M445" s="56" t="str">
        <f>IF('AYIRA MINI MART FINAL MENU - Pr'!M445="", "", 'AYIRA MINI MART FINAL MENU - Pr'!M445)</f>
        <v/>
      </c>
      <c r="N445" s="56" t="str">
        <f>IF('AYIRA MINI MART FINAL MENU - Pr'!N445="", "", 'AYIRA MINI MART FINAL MENU - Pr'!N445)</f>
        <v/>
      </c>
      <c r="O445" s="57"/>
      <c r="P445" s="57"/>
      <c r="Q445" s="57"/>
      <c r="R445" s="57"/>
      <c r="S445" s="57"/>
      <c r="T445" s="57"/>
      <c r="U445" s="57"/>
      <c r="V445" s="57"/>
      <c r="W445" s="57"/>
      <c r="X445" s="57"/>
      <c r="Y445" s="57"/>
      <c r="Z445" s="57"/>
    </row>
    <row r="446">
      <c r="A446" s="56" t="str">
        <f>IFERROR(__xludf.DUMMYFUNCTION("IF('AYIRA MINI MART FINAL MENU - Pr'!A446="""", """", IF(LEN(IFERROR(TRIM(REGEXREPLACE(TRIM(REGEXEXTRACT('AYIRA MINI MART FINAL MENU - Pr'!A446, ""^[^\x{0600}-\x{06FF}]+"")), ""[-–]+$"", """")), """"))&gt;0, IFERROR(TRIM(REGEXREPLACE(TRIM(REGEXEXTRACT('AYIRA"&amp;" MINI MART FINAL MENU - Pr'!A446, ""^[^\x{0600}-\x{06FF}]+"")), ""[-–]+$"", """")), """"), GOOGLETRANSLATE('AYIRA MINI MART FINAL MENU - Pr'!A446, ""ar"", ""en"")))"),"DORITOS Nacho Cheese")</f>
        <v>DORITOS Nacho Cheese</v>
      </c>
      <c r="B446" s="56" t="str">
        <f>IFERROR(__xludf.DUMMYFUNCTION("IF('AYIRA MINI MART FINAL MENU - Pr'!B446="""", """", IF(LEN(IFERROR(TRIM(REGEXREPLACE(TRIM(REGEXEXTRACT('AYIRA MINI MART FINAL MENU - Pr'!B446, ""^[^\x{0600}-\x{06FF}]+"")), ""[-–]+$"", """")), """"))&gt;0, IFERROR(TRIM(REGEXREPLACE(TRIM(REGEXEXTRACT('AYIRA"&amp;" MINI MART FINAL MENU - Pr'!B446, ""^[^\x{0600}-\x{06FF}]+"")), ""[-–]+$"", """")), """"), GOOGLETRANSLATE('AYIRA MINI MART FINAL MENU - Pr'!B446, ""ar"", ""en"")))"),"Chips &amp; Crisps")</f>
        <v>Chips &amp; Crisps</v>
      </c>
      <c r="C446" s="58">
        <f>IF('AYIRA MINI MART FINAL MENU - Pr'!C446="", "", 'AYIRA MINI MART FINAL MENU - Pr'!C446)</f>
        <v>2</v>
      </c>
      <c r="D446" s="56" t="str">
        <f>IFERROR(__xludf.DUMMYFUNCTION("IF('AYIRA MINI MART FINAL MENU - Pr'!D446="""", """", GOOGLETRANSLATE('AYIRA MINI MART FINAL MENU - Pr'!D446,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46" s="56" t="str">
        <f>IF('AYIRA MINI MART FINAL MENU - Pr'!K446="", "", 'AYIRA MINI MART FINAL MENU - Pr'!K446)</f>
        <v/>
      </c>
      <c r="F446" s="56"/>
      <c r="G446" s="56"/>
      <c r="H446" s="56"/>
      <c r="I446" s="56"/>
      <c r="J446" s="56"/>
      <c r="L446" s="56" t="str">
        <f>IF('AYIRA MINI MART FINAL MENU - Pr'!L446="", "", 'AYIRA MINI MART FINAL MENU - Pr'!L446)</f>
        <v/>
      </c>
      <c r="M446" s="56" t="str">
        <f>IF('AYIRA MINI MART FINAL MENU - Pr'!M446="", "", 'AYIRA MINI MART FINAL MENU - Pr'!M446)</f>
        <v/>
      </c>
      <c r="N446" s="56" t="str">
        <f>IF('AYIRA MINI MART FINAL MENU - Pr'!N446="", "", 'AYIRA MINI MART FINAL MENU - Pr'!N446)</f>
        <v/>
      </c>
      <c r="O446" s="57"/>
      <c r="P446" s="57"/>
      <c r="Q446" s="57"/>
      <c r="R446" s="57"/>
      <c r="S446" s="57"/>
      <c r="T446" s="57"/>
      <c r="U446" s="57"/>
      <c r="V446" s="57"/>
      <c r="W446" s="57"/>
      <c r="X446" s="57"/>
      <c r="Y446" s="57"/>
      <c r="Z446" s="57"/>
    </row>
    <row r="447">
      <c r="A447" s="56" t="str">
        <f>IFERROR(__xludf.DUMMYFUNCTION("IF('AYIRA MINI MART FINAL MENU - Pr'!A447="""", """", IF(LEN(IFERROR(TRIM(REGEXREPLACE(TRIM(REGEXEXTRACT('AYIRA MINI MART FINAL MENU - Pr'!A447, ""^[^\x{0600}-\x{06FF}]+"")), ""[-–]+$"", """")), """"))&gt;0, IFERROR(TRIM(REGEXREPLACE(TRIM(REGEXEXTRACT('AYIRA"&amp;" MINI MART FINAL MENU - Pr'!A447, ""^[^\x{0600}-\x{06FF}]+"")), ""[-–]+$"", """")), """"), GOOGLETRANSLATE('AYIRA MINI MART FINAL MENU - Pr'!A447, ""ar"", ""en"")))"),"DORITOS Sweet Chili Pepper")</f>
        <v>DORITOS Sweet Chili Pepper</v>
      </c>
      <c r="B447" s="56" t="str">
        <f>IFERROR(__xludf.DUMMYFUNCTION("IF('AYIRA MINI MART FINAL MENU - Pr'!B447="""", """", IF(LEN(IFERROR(TRIM(REGEXREPLACE(TRIM(REGEXEXTRACT('AYIRA MINI MART FINAL MENU - Pr'!B447, ""^[^\x{0600}-\x{06FF}]+"")), ""[-–]+$"", """")), """"))&gt;0, IFERROR(TRIM(REGEXREPLACE(TRIM(REGEXEXTRACT('AYIRA"&amp;" MINI MART FINAL MENU - Pr'!B447, ""^[^\x{0600}-\x{06FF}]+"")), ""[-–]+$"", """")), """"), GOOGLETRANSLATE('AYIRA MINI MART FINAL MENU - Pr'!B447, ""ar"", ""en"")))"),"Chips &amp; Crisps")</f>
        <v>Chips &amp; Crisps</v>
      </c>
      <c r="C447" s="58">
        <f>IF('AYIRA MINI MART FINAL MENU - Pr'!C447="", "", 'AYIRA MINI MART FINAL MENU - Pr'!C447)</f>
        <v>2</v>
      </c>
      <c r="D447" s="56" t="str">
        <f>IFERROR(__xludf.DUMMYFUNCTION("IF('AYIRA MINI MART FINAL MENU - Pr'!D447="""", """", GOOGLETRANSLATE('AYIRA MINI MART FINAL MENU - Pr'!D447,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47" s="56" t="str">
        <f>IF('AYIRA MINI MART FINAL MENU - Pr'!K447="", "", 'AYIRA MINI MART FINAL MENU - Pr'!K447)</f>
        <v/>
      </c>
      <c r="F447" s="56"/>
      <c r="G447" s="56"/>
      <c r="H447" s="56"/>
      <c r="I447" s="56"/>
      <c r="J447" s="56"/>
      <c r="L447" s="56" t="str">
        <f>IF('AYIRA MINI MART FINAL MENU - Pr'!L447="", "", 'AYIRA MINI MART FINAL MENU - Pr'!L447)</f>
        <v/>
      </c>
      <c r="M447" s="56" t="str">
        <f>IF('AYIRA MINI MART FINAL MENU - Pr'!M447="", "", 'AYIRA MINI MART FINAL MENU - Pr'!M447)</f>
        <v/>
      </c>
      <c r="N447" s="56" t="str">
        <f>IF('AYIRA MINI MART FINAL MENU - Pr'!N447="", "", 'AYIRA MINI MART FINAL MENU - Pr'!N447)</f>
        <v/>
      </c>
      <c r="O447" s="57"/>
      <c r="P447" s="57"/>
      <c r="Q447" s="57"/>
      <c r="R447" s="57"/>
      <c r="S447" s="57"/>
      <c r="T447" s="57"/>
      <c r="U447" s="57"/>
      <c r="V447" s="57"/>
      <c r="W447" s="57"/>
      <c r="X447" s="57"/>
      <c r="Y447" s="57"/>
      <c r="Z447" s="57"/>
    </row>
    <row r="448">
      <c r="A448" s="56" t="str">
        <f>IFERROR(__xludf.DUMMYFUNCTION("IF('AYIRA MINI MART FINAL MENU - Pr'!A448="""", """", IF(LEN(IFERROR(TRIM(REGEXREPLACE(TRIM(REGEXEXTRACT('AYIRA MINI MART FINAL MENU - Pr'!A448, ""^[^\x{0600}-\x{06FF}]+"")), ""[-–]+$"", """")), """"))&gt;0, IFERROR(TRIM(REGEXREPLACE(TRIM(REGEXEXTRACT('AYIRA"&amp;" MINI MART FINAL MENU - Pr'!A448, ""^[^\x{0600}-\x{06FF}]+"")), ""[-–]+$"", """")), """"), GOOGLETRANSLATE('AYIRA MINI MART FINAL MENU - Pr'!A448, ""ar"", ""en"")))"),"Fonzies Original Cheese Flavoured Corn Snacks 24g – Fonzies")</f>
        <v>Fonzies Original Cheese Flavoured Corn Snacks 24g – Fonzies</v>
      </c>
      <c r="B448" s="56" t="str">
        <f>IFERROR(__xludf.DUMMYFUNCTION("IF('AYIRA MINI MART FINAL MENU - Pr'!B448="""", """", IF(LEN(IFERROR(TRIM(REGEXREPLACE(TRIM(REGEXEXTRACT('AYIRA MINI MART FINAL MENU - Pr'!B448, ""^[^\x{0600}-\x{06FF}]+"")), ""[-–]+$"", """")), """"))&gt;0, IFERROR(TRIM(REGEXREPLACE(TRIM(REGEXEXTRACT('AYIRA"&amp;" MINI MART FINAL MENU - Pr'!B448, ""^[^\x{0600}-\x{06FF}]+"")), ""[-–]+$"", """")), """"), GOOGLETRANSLATE('AYIRA MINI MART FINAL MENU - Pr'!B448, ""ar"", ""en"")))"),"Chips &amp; Crisps")</f>
        <v>Chips &amp; Crisps</v>
      </c>
      <c r="C448" s="58">
        <f>IF('AYIRA MINI MART FINAL MENU - Pr'!C448="", "", 'AYIRA MINI MART FINAL MENU - Pr'!C448)</f>
        <v>2.5</v>
      </c>
      <c r="D448" s="56" t="str">
        <f>IFERROR(__xludf.DUMMYFUNCTION("IF('AYIRA MINI MART FINAL MENU - Pr'!D448="""", """", GOOGLETRANSLATE('AYIRA MINI MART FINAL MENU - Pr'!D448, ""ar"", ""en""))"),"Don't be able to resist the taste of Fonzies Original Cheese Flavored Corn Snacks 24g, your perfect companion for relaxing and watching the game. Their unique crunch and varied flavors make every handful a delightful experience. Prepared with the finest i"&amp;"ngredients using the latest manufacturing techniques to ensure an unparalleled taste. Ideal as a snack for adults and children alike between meals. Aira Mini Mart offers them in the perfect size and flavor for you.")</f>
        <v>Don't be able to resist the taste of Fonzies Original Cheese Flavored Corn Snacks 24g,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48" s="56" t="str">
        <f>IF('AYIRA MINI MART FINAL MENU - Pr'!K448="", "", 'AYIRA MINI MART FINAL MENU - Pr'!K448)</f>
        <v/>
      </c>
      <c r="F448" s="56"/>
      <c r="G448" s="56"/>
      <c r="H448" s="56"/>
      <c r="I448" s="56"/>
      <c r="J448" s="56"/>
      <c r="L448" s="56" t="str">
        <f>IF('AYIRA MINI MART FINAL MENU - Pr'!L448="", "", 'AYIRA MINI MART FINAL MENU - Pr'!L448)</f>
        <v/>
      </c>
      <c r="M448" s="56" t="str">
        <f>IF('AYIRA MINI MART FINAL MENU - Pr'!M448="", "", 'AYIRA MINI MART FINAL MENU - Pr'!M448)</f>
        <v/>
      </c>
      <c r="N448" s="56" t="str">
        <f>IF('AYIRA MINI MART FINAL MENU - Pr'!N448="", "", 'AYIRA MINI MART FINAL MENU - Pr'!N448)</f>
        <v/>
      </c>
      <c r="O448" s="57"/>
      <c r="P448" s="57"/>
      <c r="Q448" s="57"/>
      <c r="R448" s="57"/>
      <c r="S448" s="57"/>
      <c r="T448" s="57"/>
      <c r="U448" s="57"/>
      <c r="V448" s="57"/>
      <c r="W448" s="57"/>
      <c r="X448" s="57"/>
      <c r="Y448" s="57"/>
      <c r="Z448" s="57"/>
    </row>
    <row r="449">
      <c r="A449" s="56" t="str">
        <f>IFERROR(__xludf.DUMMYFUNCTION("IF('AYIRA MINI MART FINAL MENU - Pr'!A449="""", """", IF(LEN(IFERROR(TRIM(REGEXREPLACE(TRIM(REGEXEXTRACT('AYIRA MINI MART FINAL MENU - Pr'!A449, ""^[^\x{0600}-\x{06FF}]+"")), ""[-–]+$"", """")), """"))&gt;0, IFERROR(TRIM(REGEXREPLACE(TRIM(REGEXEXTRACT('AYIRA"&amp;" MINI MART FINAL MENU - Pr'!A449, ""^[^\x{0600}-\x{06FF}]+"")), ""[-–]+$"", """")), """"), GOOGLETRANSLATE('AYIRA MINI MART FINAL MENU - Pr'!A449, ""ar"", ""en"")))"),"FORNO Authentic Cheese 40g – FORNO Authentic")</f>
        <v>FORNO Authentic Cheese 40g – FORNO Authentic</v>
      </c>
      <c r="B449" s="56" t="str">
        <f>IFERROR(__xludf.DUMMYFUNCTION("IF('AYIRA MINI MART FINAL MENU - Pr'!B449="""", """", IF(LEN(IFERROR(TRIM(REGEXREPLACE(TRIM(REGEXEXTRACT('AYIRA MINI MART FINAL MENU - Pr'!B449, ""^[^\x{0600}-\x{06FF}]+"")), ""[-–]+$"", """")), """"))&gt;0, IFERROR(TRIM(REGEXREPLACE(TRIM(REGEXEXTRACT('AYIRA"&amp;" MINI MART FINAL MENU - Pr'!B449, ""^[^\x{0600}-\x{06FF}]+"")), ""[-–]+$"", """")), """"), GOOGLETRANSLATE('AYIRA MINI MART FINAL MENU - Pr'!B449, ""ar"", ""en"")))"),"Chips &amp; Crisps")</f>
        <v>Chips &amp; Crisps</v>
      </c>
      <c r="C449" s="58">
        <f>IF('AYIRA MINI MART FINAL MENU - Pr'!C449="", "", 'AYIRA MINI MART FINAL MENU - Pr'!C449)</f>
        <v>4</v>
      </c>
      <c r="D449" s="56" t="str">
        <f>IFERROR(__xludf.DUMMYFUNCTION("IF('AYIRA MINI MART FINAL MENU - Pr'!D449="""", """", GOOGLETRANSLATE('AYIRA MINI MART FINAL MENU - Pr'!D449, ""ar"", ""en""))"),"Don't be able to resist the taste of FORNO Authentic Cheese 40g
Your perfect companion for relaxing and watching the game. Its unique crunch and diverse flavors make every handful a delightful experience. Prepared with the finest ingredients using the la"&amp;"test manufacturing techniques to guarantee an unparalleled taste. Ideal as a snack for adults and children between meals. Aira Mini Mart offers it in the perfect size and flavor for you.")</f>
        <v>Don't be able to resist the taste of FORNO Authentic Cheese 40g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449" s="56" t="str">
        <f>IF('AYIRA MINI MART FINAL MENU - Pr'!K449="", "", 'AYIRA MINI MART FINAL MENU - Pr'!K449)</f>
        <v/>
      </c>
      <c r="F449" s="56"/>
      <c r="G449" s="56"/>
      <c r="H449" s="56"/>
      <c r="I449" s="56"/>
      <c r="J449" s="56"/>
      <c r="L449" s="56" t="str">
        <f>IF('AYIRA MINI MART FINAL MENU - Pr'!L449="", "", 'AYIRA MINI MART FINAL MENU - Pr'!L449)</f>
        <v/>
      </c>
      <c r="M449" s="56" t="str">
        <f>IF('AYIRA MINI MART FINAL MENU - Pr'!M449="", "", 'AYIRA MINI MART FINAL MENU - Pr'!M449)</f>
        <v/>
      </c>
      <c r="N449" s="56" t="str">
        <f>IF('AYIRA MINI MART FINAL MENU - Pr'!N449="", "", 'AYIRA MINI MART FINAL MENU - Pr'!N449)</f>
        <v/>
      </c>
      <c r="O449" s="57"/>
      <c r="P449" s="57"/>
      <c r="Q449" s="57"/>
      <c r="R449" s="57"/>
      <c r="S449" s="57"/>
      <c r="T449" s="57"/>
      <c r="U449" s="57"/>
      <c r="V449" s="57"/>
      <c r="W449" s="57"/>
      <c r="X449" s="57"/>
      <c r="Y449" s="57"/>
      <c r="Z449" s="57"/>
    </row>
    <row r="450">
      <c r="A450" s="56" t="str">
        <f>IFERROR(__xludf.DUMMYFUNCTION("IF('AYIRA MINI MART FINAL MENU - Pr'!A450="""", """", IF(LEN(IFERROR(TRIM(REGEXREPLACE(TRIM(REGEXEXTRACT('AYIRA MINI MART FINAL MENU - Pr'!A450, ""^[^\x{0600}-\x{06FF}]+"")), ""[-–]+$"", """")), """"))&gt;0, IFERROR(TRIM(REGEXREPLACE(TRIM(REGEXEXTRACT('AYIRA"&amp;" MINI MART FINAL MENU - Pr'!A450, ""^[^\x{0600}-\x{06FF}]+"")), ""[-–]+$"", """")), """"), GOOGLETRANSLATE('AYIRA MINI MART FINAL MENU - Pr'!A450, ""ar"", ""en"")))"),"LAYS French Cheese 21g")</f>
        <v>LAYS French Cheese 21g</v>
      </c>
      <c r="B450" s="56" t="str">
        <f>IFERROR(__xludf.DUMMYFUNCTION("IF('AYIRA MINI MART FINAL MENU - Pr'!B450="""", """", IF(LEN(IFERROR(TRIM(REGEXREPLACE(TRIM(REGEXEXTRACT('AYIRA MINI MART FINAL MENU - Pr'!B450, ""^[^\x{0600}-\x{06FF}]+"")), ""[-–]+$"", """")), """"))&gt;0, IFERROR(TRIM(REGEXREPLACE(TRIM(REGEXEXTRACT('AYIRA"&amp;" MINI MART FINAL MENU - Pr'!B450, ""^[^\x{0600}-\x{06FF}]+"")), ""[-–]+$"", """")), """"), GOOGLETRANSLATE('AYIRA MINI MART FINAL MENU - Pr'!B450, ""ar"", ""en"")))"),"Chips &amp; Crisps")</f>
        <v>Chips &amp; Crisps</v>
      </c>
      <c r="C450" s="58">
        <f>IF('AYIRA MINI MART FINAL MENU - Pr'!C450="", "", 'AYIRA MINI MART FINAL MENU - Pr'!C450)</f>
        <v>1.5</v>
      </c>
      <c r="D450" s="56" t="str">
        <f>IFERROR(__xludf.DUMMYFUNCTION("IF('AYIRA MINI MART FINAL MENU - Pr'!D450="""", """", GOOGLETRANSLATE('AYIRA MINI MART FINAL MENU - Pr'!D450,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50" s="56" t="str">
        <f>IF('AYIRA MINI MART FINAL MENU - Pr'!K450="", "", 'AYIRA MINI MART FINAL MENU - Pr'!K450)</f>
        <v/>
      </c>
      <c r="F450" s="56"/>
      <c r="G450" s="56"/>
      <c r="H450" s="56"/>
      <c r="I450" s="56"/>
      <c r="J450" s="56"/>
      <c r="L450" s="56" t="str">
        <f>IF('AYIRA MINI MART FINAL MENU - Pr'!L450="", "", 'AYIRA MINI MART FINAL MENU - Pr'!L450)</f>
        <v/>
      </c>
      <c r="M450" s="56" t="str">
        <f>IF('AYIRA MINI MART FINAL MENU - Pr'!M450="", "", 'AYIRA MINI MART FINAL MENU - Pr'!M450)</f>
        <v/>
      </c>
      <c r="N450" s="56" t="str">
        <f>IF('AYIRA MINI MART FINAL MENU - Pr'!N450="", "", 'AYIRA MINI MART FINAL MENU - Pr'!N450)</f>
        <v/>
      </c>
      <c r="O450" s="57"/>
      <c r="P450" s="57"/>
      <c r="Q450" s="57"/>
      <c r="R450" s="57"/>
      <c r="S450" s="57"/>
      <c r="T450" s="57"/>
      <c r="U450" s="57"/>
      <c r="V450" s="57"/>
      <c r="W450" s="57"/>
      <c r="X450" s="57"/>
      <c r="Y450" s="57"/>
      <c r="Z450" s="57"/>
    </row>
    <row r="451">
      <c r="A451" s="56" t="str">
        <f>IFERROR(__xludf.DUMMYFUNCTION("IF('AYIRA MINI MART FINAL MENU - Pr'!A451="""", """", IF(LEN(IFERROR(TRIM(REGEXREPLACE(TRIM(REGEXEXTRACT('AYIRA MINI MART FINAL MENU - Pr'!A451, ""^[^\x{0600}-\x{06FF}]+"")), ""[-–]+$"", """")), """"))&gt;0, IFERROR(TRIM(REGEXREPLACE(TRIM(REGEXEXTRACT('AYIRA"&amp;" MINI MART FINAL MENU - Pr'!A451, ""^[^\x{0600}-\x{06FF}]+"")), ""[-–]+$"", """")), """"), GOOGLETRANSLATE('AYIRA MINI MART FINAL MENU - Pr'!A451, ""ar"", ""en"")))"),"LAYS Salted 12g")</f>
        <v>LAYS Salted 12g</v>
      </c>
      <c r="B451" s="56" t="str">
        <f>IFERROR(__xludf.DUMMYFUNCTION("IF('AYIRA MINI MART FINAL MENU - Pr'!B451="""", """", IF(LEN(IFERROR(TRIM(REGEXREPLACE(TRIM(REGEXEXTRACT('AYIRA MINI MART FINAL MENU - Pr'!B451, ""^[^\x{0600}-\x{06FF}]+"")), ""[-–]+$"", """")), """"))&gt;0, IFERROR(TRIM(REGEXREPLACE(TRIM(REGEXEXTRACT('AYIRA"&amp;" MINI MART FINAL MENU - Pr'!B451, ""^[^\x{0600}-\x{06FF}]+"")), ""[-–]+$"", """")), """"), GOOGLETRANSLATE('AYIRA MINI MART FINAL MENU - Pr'!B451, ""ar"", ""en"")))"),"Chips &amp; Crisps")</f>
        <v>Chips &amp; Crisps</v>
      </c>
      <c r="C451" s="58">
        <f>IF('AYIRA MINI MART FINAL MENU - Pr'!C451="", "", 'AYIRA MINI MART FINAL MENU - Pr'!C451)</f>
        <v>1.5</v>
      </c>
      <c r="D451" s="56" t="str">
        <f>IFERROR(__xludf.DUMMYFUNCTION("IF('AYIRA MINI MART FINAL MENU - Pr'!D451="""", """", GOOGLETRANSLATE('AYIRA MINI MART FINAL MENU - Pr'!D451,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51" s="56" t="str">
        <f>IF('AYIRA MINI MART FINAL MENU - Pr'!K451="", "", 'AYIRA MINI MART FINAL MENU - Pr'!K451)</f>
        <v/>
      </c>
      <c r="F451" s="56"/>
      <c r="G451" s="56"/>
      <c r="H451" s="56"/>
      <c r="I451" s="56"/>
      <c r="J451" s="56"/>
      <c r="L451" s="56" t="str">
        <f>IF('AYIRA MINI MART FINAL MENU - Pr'!L451="", "", 'AYIRA MINI MART FINAL MENU - Pr'!L451)</f>
        <v/>
      </c>
      <c r="M451" s="56" t="str">
        <f>IF('AYIRA MINI MART FINAL MENU - Pr'!M451="", "", 'AYIRA MINI MART FINAL MENU - Pr'!M451)</f>
        <v/>
      </c>
      <c r="N451" s="56" t="str">
        <f>IF('AYIRA MINI MART FINAL MENU - Pr'!N451="", "", 'AYIRA MINI MART FINAL MENU - Pr'!N451)</f>
        <v/>
      </c>
      <c r="O451" s="57"/>
      <c r="P451" s="57"/>
      <c r="Q451" s="57"/>
      <c r="R451" s="57"/>
      <c r="S451" s="57"/>
      <c r="T451" s="57"/>
      <c r="U451" s="57"/>
      <c r="V451" s="57"/>
      <c r="W451" s="57"/>
      <c r="X451" s="57"/>
      <c r="Y451" s="57"/>
      <c r="Z451" s="57"/>
    </row>
    <row r="452">
      <c r="A452" s="56" t="str">
        <f>IFERROR(__xludf.DUMMYFUNCTION("IF('AYIRA MINI MART FINAL MENU - Pr'!A452="""", """", IF(LEN(IFERROR(TRIM(REGEXREPLACE(TRIM(REGEXEXTRACT('AYIRA MINI MART FINAL MENU - Pr'!A452, ""^[^\x{0600}-\x{06FF}]+"")), ""[-–]+$"", """")), """"))&gt;0, IFERROR(TRIM(REGEXREPLACE(TRIM(REGEXEXTRACT('AYIRA"&amp;" MINI MART FINAL MENU - Pr'!A452, ""^[^\x{0600}-\x{06FF}]+"")), ""[-–]+$"", """")), """"), GOOGLETRANSLATE('AYIRA MINI MART FINAL MENU - Pr'!A452, ""ar"", ""en"")))"),"LAYS Tomato Ketchup 21g")</f>
        <v>LAYS Tomato Ketchup 21g</v>
      </c>
      <c r="B452" s="56" t="str">
        <f>IFERROR(__xludf.DUMMYFUNCTION("IF('AYIRA MINI MART FINAL MENU - Pr'!B452="""", """", IF(LEN(IFERROR(TRIM(REGEXREPLACE(TRIM(REGEXEXTRACT('AYIRA MINI MART FINAL MENU - Pr'!B452, ""^[^\x{0600}-\x{06FF}]+"")), ""[-–]+$"", """")), """"))&gt;0, IFERROR(TRIM(REGEXREPLACE(TRIM(REGEXEXTRACT('AYIRA"&amp;" MINI MART FINAL MENU - Pr'!B452, ""^[^\x{0600}-\x{06FF}]+"")), ""[-–]+$"", """")), """"), GOOGLETRANSLATE('AYIRA MINI MART FINAL MENU - Pr'!B452, ""ar"", ""en"")))"),"Chips &amp; Crisps")</f>
        <v>Chips &amp; Crisps</v>
      </c>
      <c r="C452" s="58">
        <f>IF('AYIRA MINI MART FINAL MENU - Pr'!C452="", "", 'AYIRA MINI MART FINAL MENU - Pr'!C452)</f>
        <v>1.5</v>
      </c>
      <c r="D452" s="56" t="str">
        <f>IFERROR(__xludf.DUMMYFUNCTION("IF('AYIRA MINI MART FINAL MENU - Pr'!D452="""", """", GOOGLETRANSLATE('AYIRA MINI MART FINAL MENU - Pr'!D452,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52" s="56" t="str">
        <f>IF('AYIRA MINI MART FINAL MENU - Pr'!K452="", "", 'AYIRA MINI MART FINAL MENU - Pr'!K452)</f>
        <v/>
      </c>
      <c r="F452" s="56"/>
      <c r="G452" s="56"/>
      <c r="H452" s="56"/>
      <c r="I452" s="56"/>
      <c r="J452" s="56"/>
      <c r="L452" s="56" t="str">
        <f>IF('AYIRA MINI MART FINAL MENU - Pr'!L452="", "", 'AYIRA MINI MART FINAL MENU - Pr'!L452)</f>
        <v/>
      </c>
      <c r="M452" s="56" t="str">
        <f>IF('AYIRA MINI MART FINAL MENU - Pr'!M452="", "", 'AYIRA MINI MART FINAL MENU - Pr'!M452)</f>
        <v/>
      </c>
      <c r="N452" s="56" t="str">
        <f>IF('AYIRA MINI MART FINAL MENU - Pr'!N452="", "", 'AYIRA MINI MART FINAL MENU - Pr'!N452)</f>
        <v/>
      </c>
      <c r="O452" s="57"/>
      <c r="P452" s="57"/>
      <c r="Q452" s="57"/>
      <c r="R452" s="57"/>
      <c r="S452" s="57"/>
      <c r="T452" s="57"/>
      <c r="U452" s="57"/>
      <c r="V452" s="57"/>
      <c r="W452" s="57"/>
      <c r="X452" s="57"/>
      <c r="Y452" s="57"/>
      <c r="Z452" s="57"/>
    </row>
    <row r="453">
      <c r="A453" s="56" t="str">
        <f>IFERROR(__xludf.DUMMYFUNCTION("IF('AYIRA MINI MART FINAL MENU - Pr'!A453="""", """", IF(LEN(IFERROR(TRIM(REGEXREPLACE(TRIM(REGEXEXTRACT('AYIRA MINI MART FINAL MENU - Pr'!A453, ""^[^\x{0600}-\x{06FF}]+"")), ""[-–]+$"", """")), """"))&gt;0, IFERROR(TRIM(REGEXREPLACE(TRIM(REGEXEXTRACT('AYIRA"&amp;" MINI MART FINAL MENU - Pr'!A453, ""^[^\x{0600}-\x{06FF}]+"")), ""[-–]+$"", """")), """"), GOOGLETRANSLATE('AYIRA MINI MART FINAL MENU - Pr'!A453, ""ar"", ""en"")))"),"Molto Chips Cheese Flavour 16g – Molto")</f>
        <v>Molto Chips Cheese Flavour 16g – Molto</v>
      </c>
      <c r="B453" s="56" t="str">
        <f>IFERROR(__xludf.DUMMYFUNCTION("IF('AYIRA MINI MART FINAL MENU - Pr'!B453="""", """", IF(LEN(IFERROR(TRIM(REGEXREPLACE(TRIM(REGEXEXTRACT('AYIRA MINI MART FINAL MENU - Pr'!B453, ""^[^\x{0600}-\x{06FF}]+"")), ""[-–]+$"", """")), """"))&gt;0, IFERROR(TRIM(REGEXREPLACE(TRIM(REGEXEXTRACT('AYIRA"&amp;" MINI MART FINAL MENU - Pr'!B453, ""^[^\x{0600}-\x{06FF}]+"")), ""[-–]+$"", """")), """"), GOOGLETRANSLATE('AYIRA MINI MART FINAL MENU - Pr'!B453, ""ar"", ""en"")))"),"Chips &amp; Crisps")</f>
        <v>Chips &amp; Crisps</v>
      </c>
      <c r="C453" s="58">
        <f>IF('AYIRA MINI MART FINAL MENU - Pr'!C453="", "", 'AYIRA MINI MART FINAL MENU - Pr'!C453)</f>
        <v>1</v>
      </c>
      <c r="D453" s="56" t="str">
        <f>IFERROR(__xludf.DUMMYFUNCTION("IF('AYIRA MINI MART FINAL MENU - Pr'!D453="""", """", GOOGLETRANSLATE('AYIRA MINI MART FINAL MENU - Pr'!D453, ""ar"", ""en""))"),"Don't be able to resist the taste of Molto Chips Cheese Flavor 16g, your perfect companion for relaxing and watching the game. Their unique crunch and varied flavors make every handful a delightful experience. Made with the finest ingredients using the la"&amp;"test manufacturing techniques to ensure an unparalleled taste. Ideal as a snack for adults and children alike between meals. Aira Mini Mart offers them in the perfect size and flavor for you.")</f>
        <v>Don't be able to resist the taste of Molto Chips Cheese Flavor 16g,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53" s="56" t="str">
        <f>IF('AYIRA MINI MART FINAL MENU - Pr'!K453="", "", 'AYIRA MINI MART FINAL MENU - Pr'!K453)</f>
        <v/>
      </c>
      <c r="F453" s="56"/>
      <c r="G453" s="56"/>
      <c r="H453" s="56"/>
      <c r="I453" s="56"/>
      <c r="J453" s="56"/>
      <c r="L453" s="56" t="str">
        <f>IF('AYIRA MINI MART FINAL MENU - Pr'!L453="", "", 'AYIRA MINI MART FINAL MENU - Pr'!L453)</f>
        <v/>
      </c>
      <c r="M453" s="56" t="str">
        <f>IF('AYIRA MINI MART FINAL MENU - Pr'!M453="", "", 'AYIRA MINI MART FINAL MENU - Pr'!M453)</f>
        <v/>
      </c>
      <c r="N453" s="56" t="str">
        <f>IF('AYIRA MINI MART FINAL MENU - Pr'!N453="", "", 'AYIRA MINI MART FINAL MENU - Pr'!N453)</f>
        <v/>
      </c>
      <c r="O453" s="57"/>
      <c r="P453" s="57"/>
      <c r="Q453" s="57"/>
      <c r="R453" s="57"/>
      <c r="S453" s="57"/>
      <c r="T453" s="57"/>
      <c r="U453" s="57"/>
      <c r="V453" s="57"/>
      <c r="W453" s="57"/>
      <c r="X453" s="57"/>
      <c r="Y453" s="57"/>
      <c r="Z453" s="57"/>
    </row>
    <row r="454">
      <c r="A454" s="56" t="str">
        <f>IFERROR(__xludf.DUMMYFUNCTION("IF('AYIRA MINI MART FINAL MENU - Pr'!A454="""", """", IF(LEN(IFERROR(TRIM(REGEXREPLACE(TRIM(REGEXEXTRACT('AYIRA MINI MART FINAL MENU - Pr'!A454, ""^[^\x{0600}-\x{06FF}]+"")), ""[-–]+$"", """")), """"))&gt;0, IFERROR(TRIM(REGEXREPLACE(TRIM(REGEXEXTRACT('AYIRA"&amp;" MINI MART FINAL MENU - Pr'!A454, ""^[^\x{0600}-\x{06FF}]+"")), ""[-–]+$"", """")), """"), GOOGLETRANSLATE('AYIRA MINI MART FINAL MENU - Pr'!A454, ""ar"", ""en"")))"),"LAYS Barbecue Flavored 184.2g")</f>
        <v>LAYS Barbecue Flavored 184.2g</v>
      </c>
      <c r="B454" s="56" t="str">
        <f>IFERROR(__xludf.DUMMYFUNCTION("IF('AYIRA MINI MART FINAL MENU - Pr'!B454="""", """", IF(LEN(IFERROR(TRIM(REGEXREPLACE(TRIM(REGEXEXTRACT('AYIRA MINI MART FINAL MENU - Pr'!B454, ""^[^\x{0600}-\x{06FF}]+"")), ""[-–]+$"", """")), """"))&gt;0, IFERROR(TRIM(REGEXREPLACE(TRIM(REGEXEXTRACT('AYIRA"&amp;" MINI MART FINAL MENU - Pr'!B454, ""^[^\x{0600}-\x{06FF}]+"")), ""[-–]+$"", """")), """"), GOOGLETRANSLATE('AYIRA MINI MART FINAL MENU - Pr'!B454, ""ar"", ""en"")))"),"Chips &amp; Crisps")</f>
        <v>Chips &amp; Crisps</v>
      </c>
      <c r="C454" s="58">
        <f>IF('AYIRA MINI MART FINAL MENU - Pr'!C454="", "", 'AYIRA MINI MART FINAL MENU - Pr'!C454)</f>
        <v>19</v>
      </c>
      <c r="D454" s="56" t="str">
        <f>IFERROR(__xludf.DUMMYFUNCTION("IF('AYIRA MINI MART FINAL MENU - Pr'!D454="""", """", GOOGLETRANSLATE('AYIRA MINI MART FINAL MENU - Pr'!D454,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54" s="56" t="str">
        <f>IF('AYIRA MINI MART FINAL MENU - Pr'!K454="", "", 'AYIRA MINI MART FINAL MENU - Pr'!K454)</f>
        <v/>
      </c>
      <c r="F454" s="56"/>
      <c r="G454" s="56"/>
      <c r="H454" s="56"/>
      <c r="I454" s="56"/>
      <c r="J454" s="56"/>
      <c r="L454" s="56" t="str">
        <f>IF('AYIRA MINI MART FINAL MENU - Pr'!L454="", "", 'AYIRA MINI MART FINAL MENU - Pr'!L454)</f>
        <v/>
      </c>
      <c r="M454" s="56" t="str">
        <f>IF('AYIRA MINI MART FINAL MENU - Pr'!M454="", "", 'AYIRA MINI MART FINAL MENU - Pr'!M454)</f>
        <v/>
      </c>
      <c r="N454" s="56" t="str">
        <f>IF('AYIRA MINI MART FINAL MENU - Pr'!N454="", "", 'AYIRA MINI MART FINAL MENU - Pr'!N454)</f>
        <v/>
      </c>
      <c r="O454" s="57"/>
      <c r="P454" s="57"/>
      <c r="Q454" s="57"/>
      <c r="R454" s="57"/>
      <c r="S454" s="57"/>
      <c r="T454" s="57"/>
      <c r="U454" s="57"/>
      <c r="V454" s="57"/>
      <c r="W454" s="57"/>
      <c r="X454" s="57"/>
      <c r="Y454" s="57"/>
      <c r="Z454" s="57"/>
    </row>
    <row r="455">
      <c r="A455" s="56" t="str">
        <f>IFERROR(__xludf.DUMMYFUNCTION("IF('AYIRA MINI MART FINAL MENU - Pr'!A455="""", """", IF(LEN(IFERROR(TRIM(REGEXREPLACE(TRIM(REGEXEXTRACT('AYIRA MINI MART FINAL MENU - Pr'!A455, ""^[^\x{0600}-\x{06FF}]+"")), ""[-–]+$"", """")), """"))&gt;0, IFERROR(TRIM(REGEXREPLACE(TRIM(REGEXEXTRACT('AYIRA"&amp;" MINI MART FINAL MENU - Pr'!A455, ""^[^\x{0600}-\x{06FF}]+"")), ""[-–]+$"", """")), """"), GOOGLETRANSLATE('AYIRA MINI MART FINAL MENU - Pr'!A455, ""ar"", ""en"")))"),"LAYS Honey Barbecue Flavored 184.2g")</f>
        <v>LAYS Honey Barbecue Flavored 184.2g</v>
      </c>
      <c r="B455" s="56" t="str">
        <f>IFERROR(__xludf.DUMMYFUNCTION("IF('AYIRA MINI MART FINAL MENU - Pr'!B455="""", """", IF(LEN(IFERROR(TRIM(REGEXREPLACE(TRIM(REGEXEXTRACT('AYIRA MINI MART FINAL MENU - Pr'!B455, ""^[^\x{0600}-\x{06FF}]+"")), ""[-–]+$"", """")), """"))&gt;0, IFERROR(TRIM(REGEXREPLACE(TRIM(REGEXEXTRACT('AYIRA"&amp;" MINI MART FINAL MENU - Pr'!B455, ""^[^\x{0600}-\x{06FF}]+"")), ""[-–]+$"", """")), """"), GOOGLETRANSLATE('AYIRA MINI MART FINAL MENU - Pr'!B455, ""ar"", ""en"")))"),"Chips &amp; Crisps")</f>
        <v>Chips &amp; Crisps</v>
      </c>
      <c r="C455" s="58">
        <f>IF('AYIRA MINI MART FINAL MENU - Pr'!C455="", "", 'AYIRA MINI MART FINAL MENU - Pr'!C455)</f>
        <v>19</v>
      </c>
      <c r="D455" s="56" t="str">
        <f>IFERROR(__xludf.DUMMYFUNCTION("IF('AYIRA MINI MART FINAL MENU - Pr'!D455="""", """", GOOGLETRANSLATE('AYIRA MINI MART FINAL MENU - Pr'!D455,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55" s="56" t="str">
        <f>IF('AYIRA MINI MART FINAL MENU - Pr'!K455="", "", 'AYIRA MINI MART FINAL MENU - Pr'!K455)</f>
        <v/>
      </c>
      <c r="F455" s="56"/>
      <c r="G455" s="56"/>
      <c r="H455" s="56"/>
      <c r="I455" s="56"/>
      <c r="J455" s="56"/>
      <c r="L455" s="56" t="str">
        <f>IF('AYIRA MINI MART FINAL MENU - Pr'!L455="", "", 'AYIRA MINI MART FINAL MENU - Pr'!L455)</f>
        <v/>
      </c>
      <c r="M455" s="56" t="str">
        <f>IF('AYIRA MINI MART FINAL MENU - Pr'!M455="", "", 'AYIRA MINI MART FINAL MENU - Pr'!M455)</f>
        <v/>
      </c>
      <c r="N455" s="56" t="str">
        <f>IF('AYIRA MINI MART FINAL MENU - Pr'!N455="", "", 'AYIRA MINI MART FINAL MENU - Pr'!N455)</f>
        <v/>
      </c>
      <c r="O455" s="57"/>
      <c r="P455" s="57"/>
      <c r="Q455" s="57"/>
      <c r="R455" s="57"/>
      <c r="S455" s="57"/>
      <c r="T455" s="57"/>
      <c r="U455" s="57"/>
      <c r="V455" s="57"/>
      <c r="W455" s="57"/>
      <c r="X455" s="57"/>
      <c r="Y455" s="57"/>
      <c r="Z455" s="57"/>
    </row>
    <row r="456">
      <c r="A456" s="56" t="str">
        <f>IFERROR(__xludf.DUMMYFUNCTION("IF('AYIRA MINI MART FINAL MENU - Pr'!A456="""", """", IF(LEN(IFERROR(TRIM(REGEXREPLACE(TRIM(REGEXEXTRACT('AYIRA MINI MART FINAL MENU - Pr'!A456, ""^[^\x{0600}-\x{06FF}]+"")), ""[-–]+$"", """")), """"))&gt;0, IFERROR(TRIM(REGEXREPLACE(TRIM(REGEXEXTRACT('AYIRA"&amp;" MINI MART FINAL MENU - Pr'!A456, ""^[^\x{0600}-\x{06FF}]+"")), ""[-–]+$"", """")), """"), GOOGLETRANSLATE('AYIRA MINI MART FINAL MENU - Pr'!A456, ""ar"", ""en"")))"),"Cheetos Cheddar Jalapeño Crunchy 226.6g")</f>
        <v>Cheetos Cheddar Jalapeño Crunchy 226.6g</v>
      </c>
      <c r="B456" s="56" t="str">
        <f>IFERROR(__xludf.DUMMYFUNCTION("IF('AYIRA MINI MART FINAL MENU - Pr'!B456="""", """", IF(LEN(IFERROR(TRIM(REGEXREPLACE(TRIM(REGEXEXTRACT('AYIRA MINI MART FINAL MENU - Pr'!B456, ""^[^\x{0600}-\x{06FF}]+"")), ""[-–]+$"", """")), """"))&gt;0, IFERROR(TRIM(REGEXREPLACE(TRIM(REGEXEXTRACT('AYIRA"&amp;" MINI MART FINAL MENU - Pr'!B456, ""^[^\x{0600}-\x{06FF}]+"")), ""[-–]+$"", """")), """"), GOOGLETRANSLATE('AYIRA MINI MART FINAL MENU - Pr'!B456, ""ar"", ""en"")))"),"Chips &amp; Crisps")</f>
        <v>Chips &amp; Crisps</v>
      </c>
      <c r="C456" s="58">
        <f>IF('AYIRA MINI MART FINAL MENU - Pr'!C456="", "", 'AYIRA MINI MART FINAL MENU - Pr'!C456)</f>
        <v>19</v>
      </c>
      <c r="D456" s="56" t="str">
        <f>IFERROR(__xludf.DUMMYFUNCTION("IF('AYIRA MINI MART FINAL MENU - Pr'!D456="""", """", GOOGLETRANSLATE('AYIRA MINI MART FINAL MENU - Pr'!D456,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56" s="56" t="str">
        <f>IF('AYIRA MINI MART FINAL MENU - Pr'!K456="", "", 'AYIRA MINI MART FINAL MENU - Pr'!K456)</f>
        <v/>
      </c>
      <c r="F456" s="56"/>
      <c r="G456" s="56"/>
      <c r="H456" s="56"/>
      <c r="I456" s="56"/>
      <c r="J456" s="56"/>
      <c r="L456" s="56" t="str">
        <f>IF('AYIRA MINI MART FINAL MENU - Pr'!L456="", "", 'AYIRA MINI MART FINAL MENU - Pr'!L456)</f>
        <v/>
      </c>
      <c r="M456" s="56" t="str">
        <f>IF('AYIRA MINI MART FINAL MENU - Pr'!M456="", "", 'AYIRA MINI MART FINAL MENU - Pr'!M456)</f>
        <v/>
      </c>
      <c r="N456" s="56" t="str">
        <f>IF('AYIRA MINI MART FINAL MENU - Pr'!N456="", "", 'AYIRA MINI MART FINAL MENU - Pr'!N456)</f>
        <v/>
      </c>
      <c r="O456" s="57"/>
      <c r="P456" s="57"/>
      <c r="Q456" s="57"/>
      <c r="R456" s="57"/>
      <c r="S456" s="57"/>
      <c r="T456" s="57"/>
      <c r="U456" s="57"/>
      <c r="V456" s="57"/>
      <c r="W456" s="57"/>
      <c r="X456" s="57"/>
      <c r="Y456" s="57"/>
      <c r="Z456" s="57"/>
    </row>
    <row r="457">
      <c r="A457" s="56" t="str">
        <f>IFERROR(__xludf.DUMMYFUNCTION("IF('AYIRA MINI MART FINAL MENU - Pr'!A457="""", """", IF(LEN(IFERROR(TRIM(REGEXREPLACE(TRIM(REGEXEXTRACT('AYIRA MINI MART FINAL MENU - Pr'!A457, ""^[^\x{0600}-\x{06FF}]+"")), ""[-–]+$"", """")), """"))&gt;0, IFERROR(TRIM(REGEXREPLACE(TRIM(REGEXEXTRACT('AYIRA"&amp;" MINI MART FINAL MENU - Pr'!A457, ""^[^\x{0600}-\x{06FF}]+"")), ""[-–]+$"", """")), """"), GOOGLETRANSLATE('AYIRA MINI MART FINAL MENU - Pr'!A457, ""ar"", ""en"")))"),"LAYS Classic 184.2g")</f>
        <v>LAYS Classic 184.2g</v>
      </c>
      <c r="B457" s="56" t="str">
        <f>IFERROR(__xludf.DUMMYFUNCTION("IF('AYIRA MINI MART FINAL MENU - Pr'!B457="""", """", IF(LEN(IFERROR(TRIM(REGEXREPLACE(TRIM(REGEXEXTRACT('AYIRA MINI MART FINAL MENU - Pr'!B457, ""^[^\x{0600}-\x{06FF}]+"")), ""[-–]+$"", """")), """"))&gt;0, IFERROR(TRIM(REGEXREPLACE(TRIM(REGEXEXTRACT('AYIRA"&amp;" MINI MART FINAL MENU - Pr'!B457, ""^[^\x{0600}-\x{06FF}]+"")), ""[-–]+$"", """")), """"), GOOGLETRANSLATE('AYIRA MINI MART FINAL MENU - Pr'!B457, ""ar"", ""en"")))"),"Chips &amp; Crisps")</f>
        <v>Chips &amp; Crisps</v>
      </c>
      <c r="C457" s="58">
        <f>IF('AYIRA MINI MART FINAL MENU - Pr'!C457="", "", 'AYIRA MINI MART FINAL MENU - Pr'!C457)</f>
        <v>19</v>
      </c>
      <c r="D457" s="56" t="str">
        <f>IFERROR(__xludf.DUMMYFUNCTION("IF('AYIRA MINI MART FINAL MENU - Pr'!D457="""", """", GOOGLETRANSLATE('AYIRA MINI MART FINAL MENU - Pr'!D457,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57" s="56" t="str">
        <f>IF('AYIRA MINI MART FINAL MENU - Pr'!K457="", "", 'AYIRA MINI MART FINAL MENU - Pr'!K457)</f>
        <v/>
      </c>
      <c r="F457" s="56"/>
      <c r="G457" s="56"/>
      <c r="H457" s="56"/>
      <c r="I457" s="56"/>
      <c r="J457" s="56"/>
      <c r="L457" s="56" t="str">
        <f>IF('AYIRA MINI MART FINAL MENU - Pr'!L457="", "", 'AYIRA MINI MART FINAL MENU - Pr'!L457)</f>
        <v/>
      </c>
      <c r="M457" s="56" t="str">
        <f>IF('AYIRA MINI MART FINAL MENU - Pr'!M457="", "", 'AYIRA MINI MART FINAL MENU - Pr'!M457)</f>
        <v/>
      </c>
      <c r="N457" s="56" t="str">
        <f>IF('AYIRA MINI MART FINAL MENU - Pr'!N457="", "", 'AYIRA MINI MART FINAL MENU - Pr'!N457)</f>
        <v/>
      </c>
      <c r="O457" s="57"/>
      <c r="P457" s="57"/>
      <c r="Q457" s="57"/>
      <c r="R457" s="57"/>
      <c r="S457" s="57"/>
      <c r="T457" s="57"/>
      <c r="U457" s="57"/>
      <c r="V457" s="57"/>
      <c r="W457" s="57"/>
      <c r="X457" s="57"/>
      <c r="Y457" s="57"/>
      <c r="Z457" s="57"/>
    </row>
    <row r="458">
      <c r="A458" s="56" t="str">
        <f>IFERROR(__xludf.DUMMYFUNCTION("IF('AYIRA MINI MART FINAL MENU - Pr'!A458="""", """", IF(LEN(IFERROR(TRIM(REGEXREPLACE(TRIM(REGEXEXTRACT('AYIRA MINI MART FINAL MENU - Pr'!A458, ""^[^\x{0600}-\x{06FF}]+"")), ""[-–]+$"", """")), """"))&gt;0, IFERROR(TRIM(REGEXREPLACE(TRIM(REGEXEXTRACT('AYIRA"&amp;" MINI MART FINAL MENU - Pr'!A458, ""^[^\x{0600}-\x{06FF}]+"")), ""[-–]+$"", """")), """"), GOOGLETRANSLATE('AYIRA MINI MART FINAL MENU - Pr'!A458, ""ar"", ""en"")))"),"LAYS Sour Cream &amp; Onion Flavored 184.2g")</f>
        <v>LAYS Sour Cream &amp; Onion Flavored 184.2g</v>
      </c>
      <c r="B458" s="56" t="str">
        <f>IFERROR(__xludf.DUMMYFUNCTION("IF('AYIRA MINI MART FINAL MENU - Pr'!B458="""", """", IF(LEN(IFERROR(TRIM(REGEXREPLACE(TRIM(REGEXEXTRACT('AYIRA MINI MART FINAL MENU - Pr'!B458, ""^[^\x{0600}-\x{06FF}]+"")), ""[-–]+$"", """")), """"))&gt;0, IFERROR(TRIM(REGEXREPLACE(TRIM(REGEXEXTRACT('AYIRA"&amp;" MINI MART FINAL MENU - Pr'!B458, ""^[^\x{0600}-\x{06FF}]+"")), ""[-–]+$"", """")), """"), GOOGLETRANSLATE('AYIRA MINI MART FINAL MENU - Pr'!B458, ""ar"", ""en"")))"),"Chips &amp; Crisps")</f>
        <v>Chips &amp; Crisps</v>
      </c>
      <c r="C458" s="58">
        <f>IF('AYIRA MINI MART FINAL MENU - Pr'!C458="", "", 'AYIRA MINI MART FINAL MENU - Pr'!C458)</f>
        <v>19</v>
      </c>
      <c r="D458" s="56" t="str">
        <f>IFERROR(__xludf.DUMMYFUNCTION("IF('AYIRA MINI MART FINAL MENU - Pr'!D458="""", """", GOOGLETRANSLATE('AYIRA MINI MART FINAL MENU - Pr'!D458,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58" s="56" t="str">
        <f>IF('AYIRA MINI MART FINAL MENU - Pr'!K458="", "", 'AYIRA MINI MART FINAL MENU - Pr'!K458)</f>
        <v/>
      </c>
      <c r="F458" s="56"/>
      <c r="G458" s="56"/>
      <c r="H458" s="56"/>
      <c r="I458" s="56"/>
      <c r="J458" s="56"/>
      <c r="L458" s="56" t="str">
        <f>IF('AYIRA MINI MART FINAL MENU - Pr'!L458="", "", 'AYIRA MINI MART FINAL MENU - Pr'!L458)</f>
        <v/>
      </c>
      <c r="M458" s="56" t="str">
        <f>IF('AYIRA MINI MART FINAL MENU - Pr'!M458="", "", 'AYIRA MINI MART FINAL MENU - Pr'!M458)</f>
        <v/>
      </c>
      <c r="N458" s="56" t="str">
        <f>IF('AYIRA MINI MART FINAL MENU - Pr'!N458="", "", 'AYIRA MINI MART FINAL MENU - Pr'!N458)</f>
        <v/>
      </c>
      <c r="O458" s="57"/>
      <c r="P458" s="57"/>
      <c r="Q458" s="57"/>
      <c r="R458" s="57"/>
      <c r="S458" s="57"/>
      <c r="T458" s="57"/>
      <c r="U458" s="57"/>
      <c r="V458" s="57"/>
      <c r="W458" s="57"/>
      <c r="X458" s="57"/>
      <c r="Y458" s="57"/>
      <c r="Z458" s="57"/>
    </row>
    <row r="459">
      <c r="A459" s="56" t="str">
        <f>IFERROR(__xludf.DUMMYFUNCTION("IF('AYIRA MINI MART FINAL MENU - Pr'!A459="""", """", IF(LEN(IFERROR(TRIM(REGEXREPLACE(TRIM(REGEXEXTRACT('AYIRA MINI MART FINAL MENU - Pr'!A459, ""^[^\x{0600}-\x{06FF}]+"")), ""[-–]+$"", """")), """"))&gt;0, IFERROR(TRIM(REGEXREPLACE(TRIM(REGEXEXTRACT('AYIRA"&amp;" MINI MART FINAL MENU - Pr'!A459, ""^[^\x{0600}-\x{06FF}]+"")), ""[-–]+$"", """")), """"), GOOGLETRANSLATE('AYIRA MINI MART FINAL MENU - Pr'!A459, ""ar"", ""en"")))"),"LAYS Salt &amp; Vinegar Flavored 184.2g")</f>
        <v>LAYS Salt &amp; Vinegar Flavored 184.2g</v>
      </c>
      <c r="B459" s="56" t="str">
        <f>IFERROR(__xludf.DUMMYFUNCTION("IF('AYIRA MINI MART FINAL MENU - Pr'!B459="""", """", IF(LEN(IFERROR(TRIM(REGEXREPLACE(TRIM(REGEXEXTRACT('AYIRA MINI MART FINAL MENU - Pr'!B459, ""^[^\x{0600}-\x{06FF}]+"")), ""[-–]+$"", """")), """"))&gt;0, IFERROR(TRIM(REGEXREPLACE(TRIM(REGEXEXTRACT('AYIRA"&amp;" MINI MART FINAL MENU - Pr'!B459, ""^[^\x{0600}-\x{06FF}]+"")), ""[-–]+$"", """")), """"), GOOGLETRANSLATE('AYIRA MINI MART FINAL MENU - Pr'!B459, ""ar"", ""en"")))"),"Chips &amp; Crisps")</f>
        <v>Chips &amp; Crisps</v>
      </c>
      <c r="C459" s="58">
        <f>IF('AYIRA MINI MART FINAL MENU - Pr'!C459="", "", 'AYIRA MINI MART FINAL MENU - Pr'!C459)</f>
        <v>19</v>
      </c>
      <c r="D459" s="56" t="str">
        <f>IFERROR(__xludf.DUMMYFUNCTION("IF('AYIRA MINI MART FINAL MENU - Pr'!D459="""", """", GOOGLETRANSLATE('AYIRA MINI MART FINAL MENU - Pr'!D459,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59" s="56" t="str">
        <f>IF('AYIRA MINI MART FINAL MENU - Pr'!K459="", "", 'AYIRA MINI MART FINAL MENU - Pr'!K459)</f>
        <v/>
      </c>
      <c r="F459" s="56"/>
      <c r="G459" s="56"/>
      <c r="H459" s="56"/>
      <c r="I459" s="56"/>
      <c r="J459" s="56"/>
      <c r="L459" s="56" t="str">
        <f>IF('AYIRA MINI MART FINAL MENU - Pr'!L459="", "", 'AYIRA MINI MART FINAL MENU - Pr'!L459)</f>
        <v/>
      </c>
      <c r="M459" s="56" t="str">
        <f>IF('AYIRA MINI MART FINAL MENU - Pr'!M459="", "", 'AYIRA MINI MART FINAL MENU - Pr'!M459)</f>
        <v/>
      </c>
      <c r="N459" s="56" t="str">
        <f>IF('AYIRA MINI MART FINAL MENU - Pr'!N459="", "", 'AYIRA MINI MART FINAL MENU - Pr'!N459)</f>
        <v/>
      </c>
      <c r="O459" s="57"/>
      <c r="P459" s="57"/>
      <c r="Q459" s="57"/>
      <c r="R459" s="57"/>
      <c r="S459" s="57"/>
      <c r="T459" s="57"/>
      <c r="U459" s="57"/>
      <c r="V459" s="57"/>
      <c r="W459" s="57"/>
      <c r="X459" s="57"/>
      <c r="Y459" s="57"/>
      <c r="Z459" s="57"/>
    </row>
    <row r="460">
      <c r="A460" s="56" t="str">
        <f>IFERROR(__xludf.DUMMYFUNCTION("IF('AYIRA MINI MART FINAL MENU - Pr'!A460="""", """", IF(LEN(IFERROR(TRIM(REGEXREPLACE(TRIM(REGEXEXTRACT('AYIRA MINI MART FINAL MENU - Pr'!A460, ""^[^\x{0600}-\x{06FF}]+"")), ""[-–]+$"", """")), """"))&gt;0, IFERROR(TRIM(REGEXREPLACE(TRIM(REGEXEXTRACT('AYIRA"&amp;" MINI MART FINAL MENU - Pr'!A460, ""^[^\x{0600}-\x{06FF}]+"")), ""[-–]+$"", """")), """"), GOOGLETRANSLATE('AYIRA MINI MART FINAL MENU - Pr'!A460, ""ar"", ""en"")))"),"LAYS Cheddar &amp; Sour Cream Flavored 184.2g")</f>
        <v>LAYS Cheddar &amp; Sour Cream Flavored 184.2g</v>
      </c>
      <c r="B460" s="56" t="str">
        <f>IFERROR(__xludf.DUMMYFUNCTION("IF('AYIRA MINI MART FINAL MENU - Pr'!B460="""", """", IF(LEN(IFERROR(TRIM(REGEXREPLACE(TRIM(REGEXEXTRACT('AYIRA MINI MART FINAL MENU - Pr'!B460, ""^[^\x{0600}-\x{06FF}]+"")), ""[-–]+$"", """")), """"))&gt;0, IFERROR(TRIM(REGEXREPLACE(TRIM(REGEXEXTRACT('AYIRA"&amp;" MINI MART FINAL MENU - Pr'!B460, ""^[^\x{0600}-\x{06FF}]+"")), ""[-–]+$"", """")), """"), GOOGLETRANSLATE('AYIRA MINI MART FINAL MENU - Pr'!B460, ""ar"", ""en"")))"),"Chips &amp; Crisps")</f>
        <v>Chips &amp; Crisps</v>
      </c>
      <c r="C460" s="58">
        <f>IF('AYIRA MINI MART FINAL MENU - Pr'!C460="", "", 'AYIRA MINI MART FINAL MENU - Pr'!C460)</f>
        <v>19</v>
      </c>
      <c r="D460" s="56" t="str">
        <f>IFERROR(__xludf.DUMMYFUNCTION("IF('AYIRA MINI MART FINAL MENU - Pr'!D460="""", """", GOOGLETRANSLATE('AYIRA MINI MART FINAL MENU - Pr'!D460,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460" s="56" t="str">
        <f>IF('AYIRA MINI MART FINAL MENU - Pr'!K460="", "", 'AYIRA MINI MART FINAL MENU - Pr'!K460)</f>
        <v/>
      </c>
      <c r="F460" s="56"/>
      <c r="G460" s="56"/>
      <c r="H460" s="56"/>
      <c r="I460" s="56"/>
      <c r="J460" s="56"/>
      <c r="L460" s="56" t="str">
        <f>IF('AYIRA MINI MART FINAL MENU - Pr'!L460="", "", 'AYIRA MINI MART FINAL MENU - Pr'!L460)</f>
        <v/>
      </c>
      <c r="M460" s="56" t="str">
        <f>IF('AYIRA MINI MART FINAL MENU - Pr'!M460="", "", 'AYIRA MINI MART FINAL MENU - Pr'!M460)</f>
        <v/>
      </c>
      <c r="N460" s="56" t="str">
        <f>IF('AYIRA MINI MART FINAL MENU - Pr'!N460="", "", 'AYIRA MINI MART FINAL MENU - Pr'!N460)</f>
        <v/>
      </c>
      <c r="O460" s="57"/>
      <c r="P460" s="57"/>
      <c r="Q460" s="57"/>
      <c r="R460" s="57"/>
      <c r="S460" s="57"/>
      <c r="T460" s="57"/>
      <c r="U460" s="57"/>
      <c r="V460" s="57"/>
      <c r="W460" s="57"/>
      <c r="X460" s="57"/>
      <c r="Y460" s="57"/>
      <c r="Z460" s="57"/>
    </row>
    <row r="461">
      <c r="A461" s="56" t="str">
        <f>IFERROR(__xludf.DUMMYFUNCTION("IF('AYIRA MINI MART FINAL MENU - Pr'!A461="""", """", IF(LEN(IFERROR(TRIM(REGEXREPLACE(TRIM(REGEXEXTRACT('AYIRA MINI MART FINAL MENU - Pr'!A461, ""^[^\x{0600}-\x{06FF}]+"")), ""[-–]+$"", """")), """"))&gt;0, IFERROR(TRIM(REGEXREPLACE(TRIM(REGEXEXTRACT('AYIRA"&amp;" MINI MART FINAL MENU - Pr'!A461, ""^[^\x{0600}-\x{06FF}]+"")), ""[-–]+$"", """")), """"), GOOGLETRANSLATE('AYIRA MINI MART FINAL MENU - Pr'!A461, ""ar"", ""en"")))"),"Cheetos Crunchy 99.2g")</f>
        <v>Cheetos Crunchy 99.2g</v>
      </c>
      <c r="B461" s="56" t="str">
        <f>IFERROR(__xludf.DUMMYFUNCTION("IF('AYIRA MINI MART FINAL MENU - Pr'!B461="""", """", IF(LEN(IFERROR(TRIM(REGEXREPLACE(TRIM(REGEXEXTRACT('AYIRA MINI MART FINAL MENU - Pr'!B461, ""^[^\x{0600}-\x{06FF}]+"")), ""[-–]+$"", """")), """"))&gt;0, IFERROR(TRIM(REGEXREPLACE(TRIM(REGEXEXTRACT('AYIRA"&amp;" MINI MART FINAL MENU - Pr'!B461, ""^[^\x{0600}-\x{06FF}]+"")), ""[-–]+$"", """")), """"), GOOGLETRANSLATE('AYIRA MINI MART FINAL MENU - Pr'!B461, ""ar"", ""en"")))"),"Chips &amp; Crisps")</f>
        <v>Chips &amp; Crisps</v>
      </c>
      <c r="C461" s="58">
        <f>IF('AYIRA MINI MART FINAL MENU - Pr'!C461="", "", 'AYIRA MINI MART FINAL MENU - Pr'!C461)</f>
        <v>9</v>
      </c>
      <c r="D461" s="56" t="str">
        <f>IFERROR(__xludf.DUMMYFUNCTION("IF('AYIRA MINI MART FINAL MENU - Pr'!D461="""", """", GOOGLETRANSLATE('AYIRA MINI MART FINAL MENU - Pr'!D461,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61" s="56" t="str">
        <f>IF('AYIRA MINI MART FINAL MENU - Pr'!K461="", "", 'AYIRA MINI MART FINAL MENU - Pr'!K461)</f>
        <v/>
      </c>
      <c r="F461" s="56"/>
      <c r="G461" s="56"/>
      <c r="H461" s="56"/>
      <c r="I461" s="56"/>
      <c r="J461" s="56"/>
      <c r="L461" s="56" t="str">
        <f>IF('AYIRA MINI MART FINAL MENU - Pr'!L461="", "", 'AYIRA MINI MART FINAL MENU - Pr'!L461)</f>
        <v/>
      </c>
      <c r="M461" s="56" t="str">
        <f>IF('AYIRA MINI MART FINAL MENU - Pr'!M461="", "", 'AYIRA MINI MART FINAL MENU - Pr'!M461)</f>
        <v/>
      </c>
      <c r="N461" s="56" t="str">
        <f>IF('AYIRA MINI MART FINAL MENU - Pr'!N461="", "", 'AYIRA MINI MART FINAL MENU - Pr'!N461)</f>
        <v/>
      </c>
      <c r="O461" s="57"/>
      <c r="P461" s="57"/>
      <c r="Q461" s="57"/>
      <c r="R461" s="57"/>
      <c r="S461" s="57"/>
      <c r="T461" s="57"/>
      <c r="U461" s="57"/>
      <c r="V461" s="57"/>
      <c r="W461" s="57"/>
      <c r="X461" s="57"/>
      <c r="Y461" s="57"/>
      <c r="Z461" s="57"/>
    </row>
    <row r="462">
      <c r="A462" s="56" t="str">
        <f>IFERROR(__xludf.DUMMYFUNCTION("IF('AYIRA MINI MART FINAL MENU - Pr'!A462="""", """", IF(LEN(IFERROR(TRIM(REGEXREPLACE(TRIM(REGEXEXTRACT('AYIRA MINI MART FINAL MENU - Pr'!A462, ""^[^\x{0600}-\x{06FF}]+"")), ""[-–]+$"", """")), """"))&gt;0, IFERROR(TRIM(REGEXREPLACE(TRIM(REGEXEXTRACT('AYIRA"&amp;" MINI MART FINAL MENU - Pr'!A462, ""^[^\x{0600}-\x{06FF}]+"")), ""[-–]+$"", """")), """"), GOOGLETRANSLATE('AYIRA MINI MART FINAL MENU - Pr'!A462, ""ar"", ""en"")))"),"Cheetos Flamin’ Hot Crunchy 99.2g")</f>
        <v>Cheetos Flamin’ Hot Crunchy 99.2g</v>
      </c>
      <c r="B462" s="56" t="str">
        <f>IFERROR(__xludf.DUMMYFUNCTION("IF('AYIRA MINI MART FINAL MENU - Pr'!B462="""", """", IF(LEN(IFERROR(TRIM(REGEXREPLACE(TRIM(REGEXEXTRACT('AYIRA MINI MART FINAL MENU - Pr'!B462, ""^[^\x{0600}-\x{06FF}]+"")), ""[-–]+$"", """")), """"))&gt;0, IFERROR(TRIM(REGEXREPLACE(TRIM(REGEXEXTRACT('AYIRA"&amp;" MINI MART FINAL MENU - Pr'!B462, ""^[^\x{0600}-\x{06FF}]+"")), ""[-–]+$"", """")), """"), GOOGLETRANSLATE('AYIRA MINI MART FINAL MENU - Pr'!B462, ""ar"", ""en"")))"),"Chips &amp; Crisps")</f>
        <v>Chips &amp; Crisps</v>
      </c>
      <c r="C462" s="58">
        <f>IF('AYIRA MINI MART FINAL MENU - Pr'!C462="", "", 'AYIRA MINI MART FINAL MENU - Pr'!C462)</f>
        <v>9</v>
      </c>
      <c r="D462" s="56" t="str">
        <f>IFERROR(__xludf.DUMMYFUNCTION("IF('AYIRA MINI MART FINAL MENU - Pr'!D462="""", """", GOOGLETRANSLATE('AYIRA MINI MART FINAL MENU - Pr'!D462,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62" s="56" t="str">
        <f>IF('AYIRA MINI MART FINAL MENU - Pr'!K462="", "", 'AYIRA MINI MART FINAL MENU - Pr'!K462)</f>
        <v/>
      </c>
      <c r="F462" s="56"/>
      <c r="G462" s="56"/>
      <c r="H462" s="56"/>
      <c r="I462" s="56"/>
      <c r="J462" s="56"/>
      <c r="L462" s="56" t="str">
        <f>IF('AYIRA MINI MART FINAL MENU - Pr'!L462="", "", 'AYIRA MINI MART FINAL MENU - Pr'!L462)</f>
        <v/>
      </c>
      <c r="M462" s="56" t="str">
        <f>IF('AYIRA MINI MART FINAL MENU - Pr'!M462="", "", 'AYIRA MINI MART FINAL MENU - Pr'!M462)</f>
        <v/>
      </c>
      <c r="N462" s="56" t="str">
        <f>IF('AYIRA MINI MART FINAL MENU - Pr'!N462="", "", 'AYIRA MINI MART FINAL MENU - Pr'!N462)</f>
        <v/>
      </c>
      <c r="O462" s="57"/>
      <c r="P462" s="57"/>
      <c r="Q462" s="57"/>
      <c r="R462" s="57"/>
      <c r="S462" s="57"/>
      <c r="T462" s="57"/>
      <c r="U462" s="57"/>
      <c r="V462" s="57"/>
      <c r="W462" s="57"/>
      <c r="X462" s="57"/>
      <c r="Y462" s="57"/>
      <c r="Z462" s="57"/>
    </row>
    <row r="463">
      <c r="A463" s="56" t="str">
        <f>IFERROR(__xludf.DUMMYFUNCTION("IF('AYIRA MINI MART FINAL MENU - Pr'!A463="""", """", IF(LEN(IFERROR(TRIM(REGEXREPLACE(TRIM(REGEXEXTRACT('AYIRA MINI MART FINAL MENU - Pr'!A463, ""^[^\x{0600}-\x{06FF}]+"")), ""[-–]+$"", """")), """"))&gt;0, IFERROR(TRIM(REGEXREPLACE(TRIM(REGEXEXTRACT('AYIRA"&amp;" MINI MART FINAL MENU - Pr'!A463, ""^[^\x{0600}-\x{06FF}]+"")), ""[-–]+$"", """")), """"), GOOGLETRANSLATE('AYIRA MINI MART FINAL MENU - Pr'!A463, ""ar"", ""en"")))"),"Cheetos Flamin’ Hot 40g")</f>
        <v>Cheetos Flamin’ Hot 40g</v>
      </c>
      <c r="B463" s="56" t="str">
        <f>IFERROR(__xludf.DUMMYFUNCTION("IF('AYIRA MINI MART FINAL MENU - Pr'!B463="""", """", IF(LEN(IFERROR(TRIM(REGEXREPLACE(TRIM(REGEXEXTRACT('AYIRA MINI MART FINAL MENU - Pr'!B463, ""^[^\x{0600}-\x{06FF}]+"")), ""[-–]+$"", """")), """"))&gt;0, IFERROR(TRIM(REGEXREPLACE(TRIM(REGEXEXTRACT('AYIRA"&amp;" MINI MART FINAL MENU - Pr'!B463, ""^[^\x{0600}-\x{06FF}]+"")), ""[-–]+$"", """")), """"), GOOGLETRANSLATE('AYIRA MINI MART FINAL MENU - Pr'!B463, ""ar"", ""en"")))"),"Chips &amp; Crisps")</f>
        <v>Chips &amp; Crisps</v>
      </c>
      <c r="C463" s="58">
        <f>IF('AYIRA MINI MART FINAL MENU - Pr'!C463="", "", 'AYIRA MINI MART FINAL MENU - Pr'!C463)</f>
        <v>9</v>
      </c>
      <c r="D463" s="56" t="str">
        <f>IFERROR(__xludf.DUMMYFUNCTION("IF('AYIRA MINI MART FINAL MENU - Pr'!D463="""", """", GOOGLETRANSLATE('AYIRA MINI MART FINAL MENU - Pr'!D463,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63" s="56" t="str">
        <f>IF('AYIRA MINI MART FINAL MENU - Pr'!K463="", "", 'AYIRA MINI MART FINAL MENU - Pr'!K463)</f>
        <v/>
      </c>
      <c r="F463" s="56"/>
      <c r="G463" s="56"/>
      <c r="H463" s="56"/>
      <c r="I463" s="56"/>
      <c r="J463" s="56"/>
      <c r="L463" s="56" t="str">
        <f>IF('AYIRA MINI MART FINAL MENU - Pr'!L463="", "", 'AYIRA MINI MART FINAL MENU - Pr'!L463)</f>
        <v/>
      </c>
      <c r="M463" s="56" t="str">
        <f>IF('AYIRA MINI MART FINAL MENU - Pr'!M463="", "", 'AYIRA MINI MART FINAL MENU - Pr'!M463)</f>
        <v/>
      </c>
      <c r="N463" s="56" t="str">
        <f>IF('AYIRA MINI MART FINAL MENU - Pr'!N463="", "", 'AYIRA MINI MART FINAL MENU - Pr'!N463)</f>
        <v/>
      </c>
      <c r="O463" s="57"/>
      <c r="P463" s="57"/>
      <c r="Q463" s="57"/>
      <c r="R463" s="57"/>
      <c r="S463" s="57"/>
      <c r="T463" s="57"/>
      <c r="U463" s="57"/>
      <c r="V463" s="57"/>
      <c r="W463" s="57"/>
      <c r="X463" s="57"/>
      <c r="Y463" s="57"/>
      <c r="Z463" s="57"/>
    </row>
    <row r="464">
      <c r="A464" s="56" t="str">
        <f>IFERROR(__xludf.DUMMYFUNCTION("IF('AYIRA MINI MART FINAL MENU - Pr'!A464="""", """", IF(LEN(IFERROR(TRIM(REGEXREPLACE(TRIM(REGEXEXTRACT('AYIRA MINI MART FINAL MENU - Pr'!A464, ""^[^\x{0600}-\x{06FF}]+"")), ""[-–]+$"", """")), """"))&gt;0, IFERROR(TRIM(REGEXREPLACE(TRIM(REGEXEXTRACT('AYIRA"&amp;" MINI MART FINAL MENU - Pr'!A464, ""^[^\x{0600}-\x{06FF}]+"")), ""[-–]+$"", """")), """"), GOOGLETRANSLATE('AYIRA MINI MART FINAL MENU - Pr'!A464, ""ar"", ""en"")))"),"Crispy Potato Chips Mexican Chilli 75g – Crispy Potato")</f>
        <v>Crispy Potato Chips Mexican Chilli 75g – Crispy Potato</v>
      </c>
      <c r="B464" s="56" t="str">
        <f>IFERROR(__xludf.DUMMYFUNCTION("IF('AYIRA MINI MART FINAL MENU - Pr'!B464="""", """", IF(LEN(IFERROR(TRIM(REGEXREPLACE(TRIM(REGEXEXTRACT('AYIRA MINI MART FINAL MENU - Pr'!B464, ""^[^\x{0600}-\x{06FF}]+"")), ""[-–]+$"", """")), """"))&gt;0, IFERROR(TRIM(REGEXREPLACE(TRIM(REGEXEXTRACT('AYIRA"&amp;" MINI MART FINAL MENU - Pr'!B464, ""^[^\x{0600}-\x{06FF}]+"")), ""[-–]+$"", """")), """"), GOOGLETRANSLATE('AYIRA MINI MART FINAL MENU - Pr'!B464, ""ar"", ""en"")))"),"Chips &amp; Crisps")</f>
        <v>Chips &amp; Crisps</v>
      </c>
      <c r="C464" s="58">
        <f>IF('AYIRA MINI MART FINAL MENU - Pr'!C464="", "", 'AYIRA MINI MART FINAL MENU - Pr'!C464)</f>
        <v>2.5</v>
      </c>
      <c r="D464" s="56" t="str">
        <f>IFERROR(__xludf.DUMMYFUNCTION("IF('AYIRA MINI MART FINAL MENU - Pr'!D464="""", """", GOOGLETRANSLATE('AYIRA MINI MART FINAL MENU - Pr'!D464, ""ar"", ""en""))"),"Don't be able to resist the taste of Crispy Potato Chips Mexican Chilli 75g, your perfect companion for relaxing and watching the game. Their unique crunch and varied flavors make every handful a delightful experience. Prepared with the finest ingredients"&amp;" using the latest manufacturing techniques to guarantee an unparalleled taste. Ideal as a snack for adults and children alike between meals. Aira Mini Mart offers them in the perfect size and flavor for you.")</f>
        <v>Don't be able to resist the taste of Crispy Potato Chips Mexican Chilli 75g,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464" s="56" t="str">
        <f>IF('AYIRA MINI MART FINAL MENU - Pr'!K464="", "", 'AYIRA MINI MART FINAL MENU - Pr'!K464)</f>
        <v/>
      </c>
      <c r="F464" s="56"/>
      <c r="G464" s="56"/>
      <c r="H464" s="56"/>
      <c r="I464" s="56"/>
      <c r="J464" s="56"/>
      <c r="L464" s="56" t="str">
        <f>IF('AYIRA MINI MART FINAL MENU - Pr'!L464="", "", 'AYIRA MINI MART FINAL MENU - Pr'!L464)</f>
        <v/>
      </c>
      <c r="M464" s="56" t="str">
        <f>IF('AYIRA MINI MART FINAL MENU - Pr'!M464="", "", 'AYIRA MINI MART FINAL MENU - Pr'!M464)</f>
        <v/>
      </c>
      <c r="N464" s="56" t="str">
        <f>IF('AYIRA MINI MART FINAL MENU - Pr'!N464="", "", 'AYIRA MINI MART FINAL MENU - Pr'!N464)</f>
        <v/>
      </c>
      <c r="O464" s="57"/>
      <c r="P464" s="57"/>
      <c r="Q464" s="57"/>
      <c r="R464" s="57"/>
      <c r="S464" s="57"/>
      <c r="T464" s="57"/>
      <c r="U464" s="57"/>
      <c r="V464" s="57"/>
      <c r="W464" s="57"/>
      <c r="X464" s="57"/>
      <c r="Y464" s="57"/>
      <c r="Z464" s="57"/>
    </row>
    <row r="465">
      <c r="A465" s="56" t="str">
        <f>IFERROR(__xludf.DUMMYFUNCTION("IF('AYIRA MINI MART FINAL MENU - Pr'!A465="""", """", IF(LEN(IFERROR(TRIM(REGEXREPLACE(TRIM(REGEXEXTRACT('AYIRA MINI MART FINAL MENU - Pr'!A465, ""^[^\x{0600}-\x{06FF}]+"")), ""[-–]+$"", """")), """"))&gt;0, IFERROR(TRIM(REGEXREPLACE(TRIM(REGEXEXTRACT('AYIRA"&amp;" MINI MART FINAL MENU - Pr'!A465, ""^[^\x{0600}-\x{06FF}]+"")), ""[-–]+$"", """")), """"), GOOGLETRANSLATE('AYIRA MINI MART FINAL MENU - Pr'!A465, ""ar"", ""en"")))"),"Al Moudhish Potato Chips Ready Salted 75g – Al Moudhish Potato")</f>
        <v>Al Moudhish Potato Chips Ready Salted 75g – Al Moudhish Potato</v>
      </c>
      <c r="B465" s="56" t="str">
        <f>IFERROR(__xludf.DUMMYFUNCTION("IF('AYIRA MINI MART FINAL MENU - Pr'!B465="""", """", IF(LEN(IFERROR(TRIM(REGEXREPLACE(TRIM(REGEXEXTRACT('AYIRA MINI MART FINAL MENU - Pr'!B465, ""^[^\x{0600}-\x{06FF}]+"")), ""[-–]+$"", """")), """"))&gt;0, IFERROR(TRIM(REGEXREPLACE(TRIM(REGEXEXTRACT('AYIRA"&amp;" MINI MART FINAL MENU - Pr'!B465, ""^[^\x{0600}-\x{06FF}]+"")), ""[-–]+$"", """")), """"), GOOGLETRANSLATE('AYIRA MINI MART FINAL MENU - Pr'!B465, ""ar"", ""en"")))"),"Chips &amp; Crisps")</f>
        <v>Chips &amp; Crisps</v>
      </c>
      <c r="C465" s="58">
        <f>IF('AYIRA MINI MART FINAL MENU - Pr'!C465="", "", 'AYIRA MINI MART FINAL MENU - Pr'!C465)</f>
        <v>4</v>
      </c>
      <c r="D465" s="56" t="str">
        <f>IFERROR(__xludf.DUMMYFUNCTION("IF('AYIRA MINI MART FINAL MENU - Pr'!D465="""", """", GOOGLETRANSLATE('AYIRA MINI MART FINAL MENU - Pr'!D465, ""ar"", ""en""))"),"Don't be able to resist the taste of Al Moudhish Potato Chips Ready Salted 75g, your perfect companion for relaxing and watching matches. Their unique crunch and varied flavors make every handful a delightful experience. Prepared with the finest ingredien"&amp;"ts using the latest manufacturing techniques to guarantee an unparalleled taste. Ideal as a snack for adults and children alike between meals. Aira Mini Mart offers them in the size and flavor that suits you best.")</f>
        <v>Don't be able to resist the taste of Al Moudhish Potato Chips Ready Salted 75g, your perfect companion for relaxing and watching matches.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size and flavor that suits you best.</v>
      </c>
      <c r="E465" s="56" t="str">
        <f>IF('AYIRA MINI MART FINAL MENU - Pr'!K465="", "", 'AYIRA MINI MART FINAL MENU - Pr'!K465)</f>
        <v/>
      </c>
      <c r="F465" s="56"/>
      <c r="G465" s="56"/>
      <c r="H465" s="56"/>
      <c r="I465" s="56"/>
      <c r="J465" s="56"/>
      <c r="L465" s="56" t="str">
        <f>IF('AYIRA MINI MART FINAL MENU - Pr'!L465="", "", 'AYIRA MINI MART FINAL MENU - Pr'!L465)</f>
        <v/>
      </c>
      <c r="M465" s="56" t="str">
        <f>IF('AYIRA MINI MART FINAL MENU - Pr'!M465="", "", 'AYIRA MINI MART FINAL MENU - Pr'!M465)</f>
        <v/>
      </c>
      <c r="N465" s="56" t="str">
        <f>IF('AYIRA MINI MART FINAL MENU - Pr'!N465="", "", 'AYIRA MINI MART FINAL MENU - Pr'!N465)</f>
        <v/>
      </c>
      <c r="O465" s="57"/>
      <c r="P465" s="57"/>
      <c r="Q465" s="57"/>
      <c r="R465" s="57"/>
      <c r="S465" s="57"/>
      <c r="T465" s="57"/>
      <c r="U465" s="57"/>
      <c r="V465" s="57"/>
      <c r="W465" s="57"/>
      <c r="X465" s="57"/>
      <c r="Y465" s="57"/>
      <c r="Z465" s="57"/>
    </row>
    <row r="466">
      <c r="A466" s="56" t="str">
        <f>IFERROR(__xludf.DUMMYFUNCTION("IF('AYIRA MINI MART FINAL MENU - Pr'!A466="""", """", IF(LEN(IFERROR(TRIM(REGEXREPLACE(TRIM(REGEXEXTRACT('AYIRA MINI MART FINAL MENU - Pr'!A466, ""^[^\x{0600}-\x{06FF}]+"")), ""[-–]+$"", """")), """"))&gt;0, IFERROR(TRIM(REGEXREPLACE(TRIM(REGEXEXTRACT('AYIRA"&amp;" MINI MART FINAL MENU - Pr'!A466, ""^[^\x{0600}-\x{06FF}]+"")), ""[-–]+$"", """")), """"), GOOGLETRANSLATE('AYIRA MINI MART FINAL MENU - Pr'!A466, ""ar"", ""en"")))"),"Al Moudhish Potato Chips 75g – Al Moudhish Potato")</f>
        <v>Al Moudhish Potato Chips 75g – Al Moudhish Potato</v>
      </c>
      <c r="B466" s="56" t="str">
        <f>IFERROR(__xludf.DUMMYFUNCTION("IF('AYIRA MINI MART FINAL MENU - Pr'!B466="""", """", IF(LEN(IFERROR(TRIM(REGEXREPLACE(TRIM(REGEXEXTRACT('AYIRA MINI MART FINAL MENU - Pr'!B466, ""^[^\x{0600}-\x{06FF}]+"")), ""[-–]+$"", """")), """"))&gt;0, IFERROR(TRIM(REGEXREPLACE(TRIM(REGEXEXTRACT('AYIRA"&amp;" MINI MART FINAL MENU - Pr'!B466, ""^[^\x{0600}-\x{06FF}]+"")), ""[-–]+$"", """")), """"), GOOGLETRANSLATE('AYIRA MINI MART FINAL MENU - Pr'!B466, ""ar"", ""en"")))"),"Chips &amp; Crisps")</f>
        <v>Chips &amp; Crisps</v>
      </c>
      <c r="C466" s="58">
        <f>IF('AYIRA MINI MART FINAL MENU - Pr'!C466="", "", 'AYIRA MINI MART FINAL MENU - Pr'!C466)</f>
        <v>4</v>
      </c>
      <c r="D466" s="56" t="str">
        <f>IFERROR(__xludf.DUMMYFUNCTION("IF('AYIRA MINI MART FINAL MENU - Pr'!D466="""", """", GOOGLETRANSLATE('AYIRA MINI MART FINAL MENU - Pr'!D466, ""ar"", ""en""))"),"Don't be able to resist the taste of Al Moudhish Potato Chips 75g, your perfect companion for relaxing and watching matches. Their unique crunch and varied flavors make every handful a delightful experience. Prepared with the finest ingredients using the "&amp;"latest manufacturing techniques to guarantee an unparalleled taste. Ideal as a snack for adults and children alike between meals. Aira Mini Mart offers them in the size and flavor that suits you best.")</f>
        <v>Don't be able to resist the taste of Al Moudhish Potato Chips 75g, your perfect companion for relaxing and watching matches.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size and flavor that suits you best.</v>
      </c>
      <c r="E466" s="56" t="str">
        <f>IF('AYIRA MINI MART FINAL MENU - Pr'!K466="", "", 'AYIRA MINI MART FINAL MENU - Pr'!K466)</f>
        <v/>
      </c>
      <c r="F466" s="56"/>
      <c r="G466" s="56"/>
      <c r="H466" s="56"/>
      <c r="I466" s="56"/>
      <c r="J466" s="56"/>
      <c r="L466" s="56" t="str">
        <f>IF('AYIRA MINI MART FINAL MENU - Pr'!L466="", "", 'AYIRA MINI MART FINAL MENU - Pr'!L466)</f>
        <v/>
      </c>
      <c r="M466" s="56" t="str">
        <f>IF('AYIRA MINI MART FINAL MENU - Pr'!M466="", "", 'AYIRA MINI MART FINAL MENU - Pr'!M466)</f>
        <v/>
      </c>
      <c r="N466" s="56" t="str">
        <f>IF('AYIRA MINI MART FINAL MENU - Pr'!N466="", "", 'AYIRA MINI MART FINAL MENU - Pr'!N466)</f>
        <v/>
      </c>
      <c r="O466" s="57"/>
      <c r="P466" s="57"/>
      <c r="Q466" s="57"/>
      <c r="R466" s="57"/>
      <c r="S466" s="57"/>
      <c r="T466" s="57"/>
      <c r="U466" s="57"/>
      <c r="V466" s="57"/>
      <c r="W466" s="57"/>
      <c r="X466" s="57"/>
      <c r="Y466" s="57"/>
      <c r="Z466" s="57"/>
    </row>
    <row r="467">
      <c r="A467" s="56" t="str">
        <f>IFERROR(__xludf.DUMMYFUNCTION("IF('AYIRA MINI MART FINAL MENU - Pr'!A467="""", """", IF(LEN(IFERROR(TRIM(REGEXREPLACE(TRIM(REGEXEXTRACT('AYIRA MINI MART FINAL MENU - Pr'!A467, ""^[^\x{0600}-\x{06FF}]+"")), ""[-–]+$"", """")), """"))&gt;0, IFERROR(TRIM(REGEXREPLACE(TRIM(REGEXEXTRACT('AYIRA"&amp;" MINI MART FINAL MENU - Pr'!A467, ""^[^\x{0600}-\x{06FF}]+"")), ""[-–]+$"", """")), """"), GOOGLETRANSLATE('AYIRA MINI MART FINAL MENU - Pr'!A467, ""ar"", ""en"")))"),"Bliss Hummus Chips Original 135g – Bliss Hummus")</f>
        <v>Bliss Hummus Chips Original 135g – Bliss Hummus</v>
      </c>
      <c r="B467" s="56" t="str">
        <f>IFERROR(__xludf.DUMMYFUNCTION("IF('AYIRA MINI MART FINAL MENU - Pr'!B467="""", """", IF(LEN(IFERROR(TRIM(REGEXREPLACE(TRIM(REGEXEXTRACT('AYIRA MINI MART FINAL MENU - Pr'!B467, ""^[^\x{0600}-\x{06FF}]+"")), ""[-–]+$"", """")), """"))&gt;0, IFERROR(TRIM(REGEXREPLACE(TRIM(REGEXEXTRACT('AYIRA"&amp;" MINI MART FINAL MENU - Pr'!B467, ""^[^\x{0600}-\x{06FF}]+"")), ""[-–]+$"", """")), """"), GOOGLETRANSLATE('AYIRA MINI MART FINAL MENU - Pr'!B467, ""ar"", ""en"")))"),"Chips &amp; Crisps")</f>
        <v>Chips &amp; Crisps</v>
      </c>
      <c r="C467" s="58">
        <f>IF('AYIRA MINI MART FINAL MENU - Pr'!C467="", "", 'AYIRA MINI MART FINAL MENU - Pr'!C467)</f>
        <v>13</v>
      </c>
      <c r="D467" s="56" t="str">
        <f>IFERROR(__xludf.DUMMYFUNCTION("IF('AYIRA MINI MART FINAL MENU - Pr'!D467="""", """", GOOGLETRANSLATE('AYIRA MINI MART FINAL MENU - Pr'!D467, ""ar"", ""en""))"),"Don't be able to resist the taste of Bliss Hummus Chips Original 135g, your perfect companion for relaxing and watching the game. Their unique crunch and varied flavors make every handful a delightful experience. Prepared with the finest ingredients using"&amp;" the latest manufacturing techniques to ensure an unparalleled taste. Ideal as a snack for adults and children alike between meals. Aira Mini Mart offers them in the size and flavor that suits you best.")</f>
        <v>Don't be able to resist the taste of Bliss Hummus Chips Original 135g,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size and flavor that suits you best.</v>
      </c>
      <c r="E467" s="56" t="str">
        <f>IF('AYIRA MINI MART FINAL MENU - Pr'!K467="", "", 'AYIRA MINI MART FINAL MENU - Pr'!K467)</f>
        <v/>
      </c>
      <c r="F467" s="56"/>
      <c r="G467" s="56"/>
      <c r="H467" s="56"/>
      <c r="I467" s="56"/>
      <c r="J467" s="56"/>
      <c r="L467" s="56" t="str">
        <f>IF('AYIRA MINI MART FINAL MENU - Pr'!L467="", "", 'AYIRA MINI MART FINAL MENU - Pr'!L467)</f>
        <v/>
      </c>
      <c r="M467" s="56" t="str">
        <f>IF('AYIRA MINI MART FINAL MENU - Pr'!M467="", "", 'AYIRA MINI MART FINAL MENU - Pr'!M467)</f>
        <v/>
      </c>
      <c r="N467" s="56" t="str">
        <f>IF('AYIRA MINI MART FINAL MENU - Pr'!N467="", "", 'AYIRA MINI MART FINAL MENU - Pr'!N467)</f>
        <v/>
      </c>
      <c r="O467" s="57"/>
      <c r="P467" s="57"/>
      <c r="Q467" s="57"/>
      <c r="R467" s="57"/>
      <c r="S467" s="57"/>
      <c r="T467" s="57"/>
      <c r="U467" s="57"/>
      <c r="V467" s="57"/>
      <c r="W467" s="57"/>
      <c r="X467" s="57"/>
      <c r="Y467" s="57"/>
      <c r="Z467" s="57"/>
    </row>
    <row r="468">
      <c r="A468" s="56" t="str">
        <f>IFERROR(__xludf.DUMMYFUNCTION("IF('AYIRA MINI MART FINAL MENU - Pr'!A468="""", """", IF(LEN(IFERROR(TRIM(REGEXREPLACE(TRIM(REGEXEXTRACT('AYIRA MINI MART FINAL MENU - Pr'!A468, ""^[^\x{0600}-\x{06FF}]+"")), ""[-–]+$"", """")), """"))&gt;0, IFERROR(TRIM(REGEXREPLACE(TRIM(REGEXEXTRACT('AYIRA"&amp;" MINI MART FINAL MENU - Pr'!A468, ""^[^\x{0600}-\x{06FF}]+"")), ""[-–]+$"", """")), """"), GOOGLETRANSLATE('AYIRA MINI MART FINAL MENU - Pr'!A468, ""ar"", ""en"")))"),"Bliss Veggie Straws Original 135g – Bliss Veggie Straws")</f>
        <v>Bliss Veggie Straws Original 135g – Bliss Veggie Straws</v>
      </c>
      <c r="B468" s="56" t="str">
        <f>IFERROR(__xludf.DUMMYFUNCTION("IF('AYIRA MINI MART FINAL MENU - Pr'!B468="""", """", IF(LEN(IFERROR(TRIM(REGEXREPLACE(TRIM(REGEXEXTRACT('AYIRA MINI MART FINAL MENU - Pr'!B468, ""^[^\x{0600}-\x{06FF}]+"")), ""[-–]+$"", """")), """"))&gt;0, IFERROR(TRIM(REGEXREPLACE(TRIM(REGEXEXTRACT('AYIRA"&amp;" MINI MART FINAL MENU - Pr'!B468, ""^[^\x{0600}-\x{06FF}]+"")), ""[-–]+$"", """")), """"), GOOGLETRANSLATE('AYIRA MINI MART FINAL MENU - Pr'!B468, ""ar"", ""en"")))"),"Chips &amp; Crisps")</f>
        <v>Chips &amp; Crisps</v>
      </c>
      <c r="C468" s="58">
        <f>IF('AYIRA MINI MART FINAL MENU - Pr'!C468="", "", 'AYIRA MINI MART FINAL MENU - Pr'!C468)</f>
        <v>13</v>
      </c>
      <c r="D468" s="56" t="str">
        <f>IFERROR(__xludf.DUMMYFUNCTION("IF('AYIRA MINI MART FINAL MENU - Pr'!D468="""", """", GOOGLETRANSLATE('AYIRA MINI MART FINAL MENU - Pr'!D468, ""ar"", ""en""))"),"Don't be able to resist the taste of Bliss Veggie Straws Original 135g, your perfect companion for relaxing and watching the game. Their unique crunch and varied flavors make every handful a delightful experience. Prepared with the finest ingredients usin"&amp;"g the latest manufacturing techniques to ensure an unparalleled taste. Ideal as a snack for adults and children alike between meals. Aira Mini Mart offers them in the perfect size and flavor for you.")</f>
        <v>Don't be able to resist the taste of Bliss Veggie Straws Original 135g,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68" s="56" t="str">
        <f>IF('AYIRA MINI MART FINAL MENU - Pr'!K468="", "", 'AYIRA MINI MART FINAL MENU - Pr'!K468)</f>
        <v/>
      </c>
      <c r="F468" s="56"/>
      <c r="G468" s="56"/>
      <c r="H468" s="56"/>
      <c r="I468" s="56"/>
      <c r="J468" s="56"/>
      <c r="L468" s="56" t="str">
        <f>IF('AYIRA MINI MART FINAL MENU - Pr'!L468="", "", 'AYIRA MINI MART FINAL MENU - Pr'!L468)</f>
        <v/>
      </c>
      <c r="M468" s="56" t="str">
        <f>IF('AYIRA MINI MART FINAL MENU - Pr'!M468="", "", 'AYIRA MINI MART FINAL MENU - Pr'!M468)</f>
        <v/>
      </c>
      <c r="N468" s="56" t="str">
        <f>IF('AYIRA MINI MART FINAL MENU - Pr'!N468="", "", 'AYIRA MINI MART FINAL MENU - Pr'!N468)</f>
        <v/>
      </c>
      <c r="O468" s="57"/>
      <c r="P468" s="57"/>
      <c r="Q468" s="57"/>
      <c r="R468" s="57"/>
      <c r="S468" s="57"/>
      <c r="T468" s="57"/>
      <c r="U468" s="57"/>
      <c r="V468" s="57"/>
      <c r="W468" s="57"/>
      <c r="X468" s="57"/>
      <c r="Y468" s="57"/>
      <c r="Z468" s="57"/>
    </row>
    <row r="469">
      <c r="A469" s="56" t="str">
        <f>IFERROR(__xludf.DUMMYFUNCTION("IF('AYIRA MINI MART FINAL MENU - Pr'!A469="""", """", IF(LEN(IFERROR(TRIM(REGEXREPLACE(TRIM(REGEXEXTRACT('AYIRA MINI MART FINAL MENU - Pr'!A469, ""^[^\x{0600}-\x{06FF}]+"")), ""[-–]+$"", """")), """"))&gt;0, IFERROR(TRIM(REGEXREPLACE(TRIM(REGEXEXTRACT('AYIRA"&amp;" MINI MART FINAL MENU - Pr'!A469, ""^[^\x{0600}-\x{06FF}]+"")), ""[-–]+$"", """")), """"), GOOGLETRANSLATE('AYIRA MINI MART FINAL MENU - Pr'!A469, ""ar"", ""en"")))"),"Bliss Veggie Chips Original 135g – Bliss Veggie")</f>
        <v>Bliss Veggie Chips Original 135g – Bliss Veggie</v>
      </c>
      <c r="B469" s="56" t="str">
        <f>IFERROR(__xludf.DUMMYFUNCTION("IF('AYIRA MINI MART FINAL MENU - Pr'!B469="""", """", IF(LEN(IFERROR(TRIM(REGEXREPLACE(TRIM(REGEXEXTRACT('AYIRA MINI MART FINAL MENU - Pr'!B469, ""^[^\x{0600}-\x{06FF}]+"")), ""[-–]+$"", """")), """"))&gt;0, IFERROR(TRIM(REGEXREPLACE(TRIM(REGEXEXTRACT('AYIRA"&amp;" MINI MART FINAL MENU - Pr'!B469, ""^[^\x{0600}-\x{06FF}]+"")), ""[-–]+$"", """")), """"), GOOGLETRANSLATE('AYIRA MINI MART FINAL MENU - Pr'!B469, ""ar"", ""en"")))"),"Chips &amp; Crisps")</f>
        <v>Chips &amp; Crisps</v>
      </c>
      <c r="C469" s="58">
        <f>IF('AYIRA MINI MART FINAL MENU - Pr'!C469="", "", 'AYIRA MINI MART FINAL MENU - Pr'!C469)</f>
        <v>13</v>
      </c>
      <c r="D469" s="56" t="str">
        <f>IFERROR(__xludf.DUMMYFUNCTION("IF('AYIRA MINI MART FINAL MENU - Pr'!D469="""", """", GOOGLETRANSLATE('AYIRA MINI MART FINAL MENU - Pr'!D469, ""ar"", ""en""))"),"Don't be able to resist the taste of Bliss Veggie Chips Original 135g, your perfect companion for relaxing and watching the game. Their unique crunch and varied flavors make every handful a delightful experience. Made with the finest ingredients using the"&amp;" latest manufacturing techniques to ensure an unparalleled taste. Ideal as a snack for adults and children alike between meals. Aira Mini Mart offers them in the perfect size and flavor for you.")</f>
        <v>Don't be able to resist the taste of Bliss Veggie Chips Original 135g,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69" s="56" t="str">
        <f>IF('AYIRA MINI MART FINAL MENU - Pr'!K469="", "", 'AYIRA MINI MART FINAL MENU - Pr'!K469)</f>
        <v/>
      </c>
      <c r="F469" s="56"/>
      <c r="G469" s="56"/>
      <c r="H469" s="56"/>
      <c r="I469" s="56"/>
      <c r="J469" s="56"/>
      <c r="L469" s="56" t="str">
        <f>IF('AYIRA MINI MART FINAL MENU - Pr'!L469="", "", 'AYIRA MINI MART FINAL MENU - Pr'!L469)</f>
        <v/>
      </c>
      <c r="M469" s="56" t="str">
        <f>IF('AYIRA MINI MART FINAL MENU - Pr'!M469="", "", 'AYIRA MINI MART FINAL MENU - Pr'!M469)</f>
        <v/>
      </c>
      <c r="N469" s="56" t="str">
        <f>IF('AYIRA MINI MART FINAL MENU - Pr'!N469="", "", 'AYIRA MINI MART FINAL MENU - Pr'!N469)</f>
        <v/>
      </c>
      <c r="O469" s="57"/>
      <c r="P469" s="57"/>
      <c r="Q469" s="57"/>
      <c r="R469" s="57"/>
      <c r="S469" s="57"/>
      <c r="T469" s="57"/>
      <c r="U469" s="57"/>
      <c r="V469" s="57"/>
      <c r="W469" s="57"/>
      <c r="X469" s="57"/>
      <c r="Y469" s="57"/>
      <c r="Z469" s="57"/>
    </row>
    <row r="470">
      <c r="A470" s="56" t="str">
        <f>IFERROR(__xludf.DUMMYFUNCTION("IF('AYIRA MINI MART FINAL MENU - Pr'!A470="""", """", IF(LEN(IFERROR(TRIM(REGEXREPLACE(TRIM(REGEXEXTRACT('AYIRA MINI MART FINAL MENU - Pr'!A470, ""^[^\x{0600}-\x{06FF}]+"")), ""[-–]+$"", """")), """"))&gt;0, IFERROR(TRIM(REGEXREPLACE(TRIM(REGEXEXTRACT('AYIRA"&amp;" MINI MART FINAL MENU - Pr'!A470, ""^[^\x{0600}-\x{06FF}]+"")), ""[-–]+$"", """")), """"), GOOGLETRANSLATE('AYIRA MINI MART FINAL MENU - Pr'!A470, ""ar"", ""en"")))"),"Doritos Spicy Sweet Chili Flavored 92.1g")</f>
        <v>Doritos Spicy Sweet Chili Flavored 92.1g</v>
      </c>
      <c r="B470" s="56" t="str">
        <f>IFERROR(__xludf.DUMMYFUNCTION("IF('AYIRA MINI MART FINAL MENU - Pr'!B470="""", """", IF(LEN(IFERROR(TRIM(REGEXREPLACE(TRIM(REGEXEXTRACT('AYIRA MINI MART FINAL MENU - Pr'!B470, ""^[^\x{0600}-\x{06FF}]+"")), ""[-–]+$"", """")), """"))&gt;0, IFERROR(TRIM(REGEXREPLACE(TRIM(REGEXEXTRACT('AYIRA"&amp;" MINI MART FINAL MENU - Pr'!B470, ""^[^\x{0600}-\x{06FF}]+"")), ""[-–]+$"", """")), """"), GOOGLETRANSLATE('AYIRA MINI MART FINAL MENU - Pr'!B470, ""ar"", ""en"")))"),"Chips &amp; Crisps")</f>
        <v>Chips &amp; Crisps</v>
      </c>
      <c r="C470" s="58">
        <f>IF('AYIRA MINI MART FINAL MENU - Pr'!C470="", "", 'AYIRA MINI MART FINAL MENU - Pr'!C470)</f>
        <v>9</v>
      </c>
      <c r="D470" s="56" t="str">
        <f>IFERROR(__xludf.DUMMYFUNCTION("IF('AYIRA MINI MART FINAL MENU - Pr'!D470="""", """", GOOGLETRANSLATE('AYIRA MINI MART FINAL MENU - Pr'!D470,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70" s="56" t="str">
        <f>IF('AYIRA MINI MART FINAL MENU - Pr'!K470="", "", 'AYIRA MINI MART FINAL MENU - Pr'!K470)</f>
        <v/>
      </c>
      <c r="F470" s="56"/>
      <c r="G470" s="56"/>
      <c r="H470" s="56"/>
      <c r="I470" s="56"/>
      <c r="J470" s="56"/>
      <c r="L470" s="56" t="str">
        <f>IF('AYIRA MINI MART FINAL MENU - Pr'!L470="", "", 'AYIRA MINI MART FINAL MENU - Pr'!L470)</f>
        <v/>
      </c>
      <c r="M470" s="56" t="str">
        <f>IF('AYIRA MINI MART FINAL MENU - Pr'!M470="", "", 'AYIRA MINI MART FINAL MENU - Pr'!M470)</f>
        <v/>
      </c>
      <c r="N470" s="56" t="str">
        <f>IF('AYIRA MINI MART FINAL MENU - Pr'!N470="", "", 'AYIRA MINI MART FINAL MENU - Pr'!N470)</f>
        <v/>
      </c>
      <c r="O470" s="57"/>
      <c r="P470" s="57"/>
      <c r="Q470" s="57"/>
      <c r="R470" s="57"/>
      <c r="S470" s="57"/>
      <c r="T470" s="57"/>
      <c r="U470" s="57"/>
      <c r="V470" s="57"/>
      <c r="W470" s="57"/>
      <c r="X470" s="57"/>
      <c r="Y470" s="57"/>
      <c r="Z470" s="57"/>
    </row>
    <row r="471">
      <c r="A471" s="56" t="str">
        <f>IFERROR(__xludf.DUMMYFUNCTION("IF('AYIRA MINI MART FINAL MENU - Pr'!A471="""", """", IF(LEN(IFERROR(TRIM(REGEXREPLACE(TRIM(REGEXEXTRACT('AYIRA MINI MART FINAL MENU - Pr'!A471, ""^[^\x{0600}-\x{06FF}]+"")), ""[-–]+$"", """")), """"))&gt;0, IFERROR(TRIM(REGEXREPLACE(TRIM(REGEXEXTRACT('AYIRA"&amp;" MINI MART FINAL MENU - Pr'!A471, ""^[^\x{0600}-\x{06FF}]+"")), ""[-–]+$"", """")), """"), GOOGLETRANSLATE('AYIRA MINI MART FINAL MENU - Pr'!A471, ""ar"", ""en"")))"),"Cheetos Crunchy 35.4g")</f>
        <v>Cheetos Crunchy 35.4g</v>
      </c>
      <c r="B471" s="56" t="str">
        <f>IFERROR(__xludf.DUMMYFUNCTION("IF('AYIRA MINI MART FINAL MENU - Pr'!B471="""", """", IF(LEN(IFERROR(TRIM(REGEXREPLACE(TRIM(REGEXEXTRACT('AYIRA MINI MART FINAL MENU - Pr'!B471, ""^[^\x{0600}-\x{06FF}]+"")), ""[-–]+$"", """")), """"))&gt;0, IFERROR(TRIM(REGEXREPLACE(TRIM(REGEXEXTRACT('AYIRA"&amp;" MINI MART FINAL MENU - Pr'!B471, ""^[^\x{0600}-\x{06FF}]+"")), ""[-–]+$"", """")), """"), GOOGLETRANSLATE('AYIRA MINI MART FINAL MENU - Pr'!B471, ""ar"", ""en"")))"),"Chips &amp; Crisps")</f>
        <v>Chips &amp; Crisps</v>
      </c>
      <c r="C471" s="58">
        <f>IF('AYIRA MINI MART FINAL MENU - Pr'!C471="", "", 'AYIRA MINI MART FINAL MENU - Pr'!C471)</f>
        <v>3.5</v>
      </c>
      <c r="D471" s="56" t="str">
        <f>IFERROR(__xludf.DUMMYFUNCTION("IF('AYIRA MINI MART FINAL MENU - Pr'!D471="""", """", GOOGLETRANSLATE('AYIRA MINI MART FINAL MENU - Pr'!D471,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71" s="56" t="str">
        <f>IF('AYIRA MINI MART FINAL MENU - Pr'!K471="", "", 'AYIRA MINI MART FINAL MENU - Pr'!K471)</f>
        <v/>
      </c>
      <c r="F471" s="56"/>
      <c r="G471" s="56"/>
      <c r="H471" s="56"/>
      <c r="I471" s="56"/>
      <c r="J471" s="56"/>
      <c r="L471" s="56" t="str">
        <f>IF('AYIRA MINI MART FINAL MENU - Pr'!L471="", "", 'AYIRA MINI MART FINAL MENU - Pr'!L471)</f>
        <v/>
      </c>
      <c r="M471" s="56" t="str">
        <f>IF('AYIRA MINI MART FINAL MENU - Pr'!M471="", "", 'AYIRA MINI MART FINAL MENU - Pr'!M471)</f>
        <v/>
      </c>
      <c r="N471" s="56" t="str">
        <f>IF('AYIRA MINI MART FINAL MENU - Pr'!N471="", "", 'AYIRA MINI MART FINAL MENU - Pr'!N471)</f>
        <v/>
      </c>
      <c r="O471" s="57"/>
      <c r="P471" s="57"/>
      <c r="Q471" s="57"/>
      <c r="R471" s="57"/>
      <c r="S471" s="57"/>
      <c r="T471" s="57"/>
      <c r="U471" s="57"/>
      <c r="V471" s="57"/>
      <c r="W471" s="57"/>
      <c r="X471" s="57"/>
      <c r="Y471" s="57"/>
      <c r="Z471" s="57"/>
    </row>
    <row r="472">
      <c r="A472" s="56" t="str">
        <f>IFERROR(__xludf.DUMMYFUNCTION("IF('AYIRA MINI MART FINAL MENU - Pr'!A472="""", """", IF(LEN(IFERROR(TRIM(REGEXREPLACE(TRIM(REGEXEXTRACT('AYIRA MINI MART FINAL MENU - Pr'!A472, ""^[^\x{0600}-\x{06FF}]+"")), ""[-–]+$"", """")), """"))&gt;0, IFERROR(TRIM(REGEXREPLACE(TRIM(REGEXEXTRACT('AYIRA"&amp;" MINI MART FINAL MENU - Pr'!A472, ""^[^\x{0600}-\x{06FF}]+"")), ""[-–]+$"", """")), """"), GOOGLETRANSLATE('AYIRA MINI MART FINAL MENU - Pr'!A472, ""ar"", ""en"")))"),"Cheetos Flamin’ Hot Crunchy 25g")</f>
        <v>Cheetos Flamin’ Hot Crunchy 25g</v>
      </c>
      <c r="B472" s="56" t="str">
        <f>IFERROR(__xludf.DUMMYFUNCTION("IF('AYIRA MINI MART FINAL MENU - Pr'!B472="""", """", IF(LEN(IFERROR(TRIM(REGEXREPLACE(TRIM(REGEXEXTRACT('AYIRA MINI MART FINAL MENU - Pr'!B472, ""^[^\x{0600}-\x{06FF}]+"")), ""[-–]+$"", """")), """"))&gt;0, IFERROR(TRIM(REGEXREPLACE(TRIM(REGEXEXTRACT('AYIRA"&amp;" MINI MART FINAL MENU - Pr'!B472, ""^[^\x{0600}-\x{06FF}]+"")), ""[-–]+$"", """")), """"), GOOGLETRANSLATE('AYIRA MINI MART FINAL MENU - Pr'!B472, ""ar"", ""en"")))"),"Chips &amp; Crisps")</f>
        <v>Chips &amp; Crisps</v>
      </c>
      <c r="C472" s="58">
        <f>IF('AYIRA MINI MART FINAL MENU - Pr'!C472="", "", 'AYIRA MINI MART FINAL MENU - Pr'!C472)</f>
        <v>2</v>
      </c>
      <c r="D472" s="56" t="str">
        <f>IFERROR(__xludf.DUMMYFUNCTION("IF('AYIRA MINI MART FINAL MENU - Pr'!D472="""", """", GOOGLETRANSLATE('AYIRA MINI MART FINAL MENU - Pr'!D472,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72" s="56" t="str">
        <f>IF('AYIRA MINI MART FINAL MENU - Pr'!K472="", "", 'AYIRA MINI MART FINAL MENU - Pr'!K472)</f>
        <v/>
      </c>
      <c r="F472" s="56"/>
      <c r="G472" s="56"/>
      <c r="H472" s="56"/>
      <c r="I472" s="56"/>
      <c r="J472" s="56"/>
      <c r="L472" s="56" t="str">
        <f>IF('AYIRA MINI MART FINAL MENU - Pr'!L472="", "", 'AYIRA MINI MART FINAL MENU - Pr'!L472)</f>
        <v/>
      </c>
      <c r="M472" s="56" t="str">
        <f>IF('AYIRA MINI MART FINAL MENU - Pr'!M472="", "", 'AYIRA MINI MART FINAL MENU - Pr'!M472)</f>
        <v/>
      </c>
      <c r="N472" s="56" t="str">
        <f>IF('AYIRA MINI MART FINAL MENU - Pr'!N472="", "", 'AYIRA MINI MART FINAL MENU - Pr'!N472)</f>
        <v/>
      </c>
      <c r="O472" s="57"/>
      <c r="P472" s="57"/>
      <c r="Q472" s="57"/>
      <c r="R472" s="57"/>
      <c r="S472" s="57"/>
      <c r="T472" s="57"/>
      <c r="U472" s="57"/>
      <c r="V472" s="57"/>
      <c r="W472" s="57"/>
      <c r="X472" s="57"/>
      <c r="Y472" s="57"/>
      <c r="Z472" s="57"/>
    </row>
    <row r="473">
      <c r="A473" s="56" t="str">
        <f>IFERROR(__xludf.DUMMYFUNCTION("IF('AYIRA MINI MART FINAL MENU - Pr'!A473="""", """", IF(LEN(IFERROR(TRIM(REGEXREPLACE(TRIM(REGEXEXTRACT('AYIRA MINI MART FINAL MENU - Pr'!A473, ""^[^\x{0600}-\x{06FF}]+"")), ""[-–]+$"", """")), """"))&gt;0, IFERROR(TRIM(REGEXREPLACE(TRIM(REGEXEXTRACT('AYIRA"&amp;" MINI MART FINAL MENU - Pr'!A473, ""^[^\x{0600}-\x{06FF}]+"")), ""[-–]+$"", """")), """"), GOOGLETRANSLATE('AYIRA MINI MART FINAL MENU - Pr'!A473, ""ar"", ""en"")))"),"Cheetos Flamin’ Hot Crunchy Lime 50g")</f>
        <v>Cheetos Flamin’ Hot Crunchy Lime 50g</v>
      </c>
      <c r="B473" s="56" t="str">
        <f>IFERROR(__xludf.DUMMYFUNCTION("IF('AYIRA MINI MART FINAL MENU - Pr'!B473="""", """", IF(LEN(IFERROR(TRIM(REGEXREPLACE(TRIM(REGEXEXTRACT('AYIRA MINI MART FINAL MENU - Pr'!B473, ""^[^\x{0600}-\x{06FF}]+"")), ""[-–]+$"", """")), """"))&gt;0, IFERROR(TRIM(REGEXREPLACE(TRIM(REGEXEXTRACT('AYIRA"&amp;" MINI MART FINAL MENU - Pr'!B473, ""^[^\x{0600}-\x{06FF}]+"")), ""[-–]+$"", """")), """"), GOOGLETRANSLATE('AYIRA MINI MART FINAL MENU - Pr'!B473, ""ar"", ""en"")))"),"Chips &amp; Crisps")</f>
        <v>Chips &amp; Crisps</v>
      </c>
      <c r="C473" s="58">
        <f>IF('AYIRA MINI MART FINAL MENU - Pr'!C473="", "", 'AYIRA MINI MART FINAL MENU - Pr'!C473)</f>
        <v>4</v>
      </c>
      <c r="D473" s="56" t="str">
        <f>IFERROR(__xludf.DUMMYFUNCTION("IF('AYIRA MINI MART FINAL MENU - Pr'!D473="""", """", GOOGLETRANSLATE('AYIRA MINI MART FINAL MENU - Pr'!D473,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473" s="56" t="str">
        <f>IF('AYIRA MINI MART FINAL MENU - Pr'!K473="", "", 'AYIRA MINI MART FINAL MENU - Pr'!K473)</f>
        <v/>
      </c>
      <c r="F473" s="56"/>
      <c r="G473" s="56"/>
      <c r="H473" s="56"/>
      <c r="I473" s="56"/>
      <c r="J473" s="56"/>
      <c r="L473" s="56" t="str">
        <f>IF('AYIRA MINI MART FINAL MENU - Pr'!L473="", "", 'AYIRA MINI MART FINAL MENU - Pr'!L473)</f>
        <v/>
      </c>
      <c r="M473" s="56" t="str">
        <f>IF('AYIRA MINI MART FINAL MENU - Pr'!M473="", "", 'AYIRA MINI MART FINAL MENU - Pr'!M473)</f>
        <v/>
      </c>
      <c r="N473" s="56" t="str">
        <f>IF('AYIRA MINI MART FINAL MENU - Pr'!N473="", "", 'AYIRA MINI MART FINAL MENU - Pr'!N473)</f>
        <v/>
      </c>
      <c r="O473" s="57"/>
      <c r="P473" s="57"/>
      <c r="Q473" s="57"/>
      <c r="R473" s="57"/>
      <c r="S473" s="57"/>
      <c r="T473" s="57"/>
      <c r="U473" s="57"/>
      <c r="V473" s="57"/>
      <c r="W473" s="57"/>
      <c r="X473" s="57"/>
      <c r="Y473" s="57"/>
      <c r="Z473" s="57"/>
    </row>
    <row r="474">
      <c r="A474" s="56" t="str">
        <f>IFERROR(__xludf.DUMMYFUNCTION("IF('AYIRA MINI MART FINAL MENU - Pr'!A474="""", """", IF(LEN(IFERROR(TRIM(REGEXREPLACE(TRIM(REGEXEXTRACT('AYIRA MINI MART FINAL MENU - Pr'!A474, ""^[^\x{0600}-\x{06FF}]+"")), ""[-–]+$"", """")), """"))&gt;0, IFERROR(TRIM(REGEXREPLACE(TRIM(REGEXEXTRACT('AYIRA"&amp;" MINI MART FINAL MENU - Pr'!A474, ""^[^\x{0600}-\x{06FF}]+"")), ""[-–]+$"", """")), """"), GOOGLETRANSLATE('AYIRA MINI MART FINAL MENU - Pr'!A474, ""ar"", ""en"")))"),"Fonnzies Chickenator Flavoured Corn Snacks 24g – Fonnzies Chickenator Flavoured Corn Snacks 24")</f>
        <v>Fonnzies Chickenator Flavoured Corn Snacks 24g – Fonnzies Chickenator Flavoured Corn Snacks 24</v>
      </c>
      <c r="B474" s="56" t="str">
        <f>IFERROR(__xludf.DUMMYFUNCTION("IF('AYIRA MINI MART FINAL MENU - Pr'!B474="""", """", IF(LEN(IFERROR(TRIM(REGEXREPLACE(TRIM(REGEXEXTRACT('AYIRA MINI MART FINAL MENU - Pr'!B474, ""^[^\x{0600}-\x{06FF}]+"")), ""[-–]+$"", """")), """"))&gt;0, IFERROR(TRIM(REGEXREPLACE(TRIM(REGEXEXTRACT('AYIRA"&amp;" MINI MART FINAL MENU - Pr'!B474, ""^[^\x{0600}-\x{06FF}]+"")), ""[-–]+$"", """")), """"), GOOGLETRANSLATE('AYIRA MINI MART FINAL MENU - Pr'!B474, ""ar"", ""en"")))"),"Chips &amp; Crisps")</f>
        <v>Chips &amp; Crisps</v>
      </c>
      <c r="C474" s="58">
        <f>IF('AYIRA MINI MART FINAL MENU - Pr'!C474="", "", 'AYIRA MINI MART FINAL MENU - Pr'!C474)</f>
        <v>2.5</v>
      </c>
      <c r="D474" s="56" t="str">
        <f>IFERROR(__xludf.DUMMYFUNCTION("IF('AYIRA MINI MART FINAL MENU - Pr'!D474="""", """", GOOGLETRANSLATE('AYIRA MINI MART FINAL MENU - Pr'!D474, ""ar"", ""en""))"),"Don't be able to resist the taste of Fonnzies Chickenator Flavored Corn Snacks 24g, your perfect companion for relaxing and watching the game. Their unique crunch and varied flavors make every handful a delightful experience. Prepared with the finest ingr"&amp;"edients using the latest manufacturing techniques to ensure an unparalleled taste. Ideal as a snack for adults and children alike between meals. Aira Mini Mart offers them in the perfect size and flavor for you.")</f>
        <v>Don't be able to resist the taste of Fonnzies Chickenator Flavored Corn Snacks 24g,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74" s="56" t="str">
        <f>IF('AYIRA MINI MART FINAL MENU - Pr'!K474="", "", 'AYIRA MINI MART FINAL MENU - Pr'!K474)</f>
        <v/>
      </c>
      <c r="F474" s="56"/>
      <c r="G474" s="56"/>
      <c r="H474" s="56"/>
      <c r="I474" s="56"/>
      <c r="J474" s="56"/>
      <c r="L474" s="56" t="str">
        <f>IF('AYIRA MINI MART FINAL MENU - Pr'!L474="", "", 'AYIRA MINI MART FINAL MENU - Pr'!L474)</f>
        <v/>
      </c>
      <c r="M474" s="56" t="str">
        <f>IF('AYIRA MINI MART FINAL MENU - Pr'!M474="", "", 'AYIRA MINI MART FINAL MENU - Pr'!M474)</f>
        <v/>
      </c>
      <c r="N474" s="56" t="str">
        <f>IF('AYIRA MINI MART FINAL MENU - Pr'!N474="", "", 'AYIRA MINI MART FINAL MENU - Pr'!N474)</f>
        <v/>
      </c>
      <c r="O474" s="57"/>
      <c r="P474" s="57"/>
      <c r="Q474" s="57"/>
      <c r="R474" s="57"/>
      <c r="S474" s="57"/>
      <c r="T474" s="57"/>
      <c r="U474" s="57"/>
      <c r="V474" s="57"/>
      <c r="W474" s="57"/>
      <c r="X474" s="57"/>
      <c r="Y474" s="57"/>
      <c r="Z474" s="57"/>
    </row>
    <row r="475">
      <c r="A475" s="56" t="str">
        <f>IFERROR(__xludf.DUMMYFUNCTION("IF('AYIRA MINI MART FINAL MENU - Pr'!A475="""", """", IF(LEN(IFERROR(TRIM(REGEXREPLACE(TRIM(REGEXEXTRACT('AYIRA MINI MART FINAL MENU - Pr'!A475, ""^[^\x{0600}-\x{06FF}]+"")), ""[-–]+$"", """")), """"))&gt;0, IFERROR(TRIM(REGEXREPLACE(TRIM(REGEXEXTRACT('AYIRA"&amp;" MINI MART FINAL MENU - Pr'!A475, ""^[^\x{0600}-\x{06FF}]+"")), ""[-–]+$"", """")), """"), GOOGLETRANSLATE('AYIRA MINI MART FINAL MENU - Pr'!A475, ""ar"", ""en"")))"),"Fonnzies BBQ Curry Best Flavoured Corn Snacks 24g – Fonnzies")</f>
        <v>Fonnzies BBQ Curry Best Flavoured Corn Snacks 24g – Fonnzies</v>
      </c>
      <c r="B475" s="56" t="str">
        <f>IFERROR(__xludf.DUMMYFUNCTION("IF('AYIRA MINI MART FINAL MENU - Pr'!B475="""", """", IF(LEN(IFERROR(TRIM(REGEXREPLACE(TRIM(REGEXEXTRACT('AYIRA MINI MART FINAL MENU - Pr'!B475, ""^[^\x{0600}-\x{06FF}]+"")), ""[-–]+$"", """")), """"))&gt;0, IFERROR(TRIM(REGEXREPLACE(TRIM(REGEXEXTRACT('AYIRA"&amp;" MINI MART FINAL MENU - Pr'!B475, ""^[^\x{0600}-\x{06FF}]+"")), ""[-–]+$"", """")), """"), GOOGLETRANSLATE('AYIRA MINI MART FINAL MENU - Pr'!B475, ""ar"", ""en"")))"),"Chips &amp; Crisps")</f>
        <v>Chips &amp; Crisps</v>
      </c>
      <c r="C475" s="58">
        <f>IF('AYIRA MINI MART FINAL MENU - Pr'!C475="", "", 'AYIRA MINI MART FINAL MENU - Pr'!C475)</f>
        <v>2.5</v>
      </c>
      <c r="D475" s="56" t="str">
        <f>IFERROR(__xludf.DUMMYFUNCTION("IF('AYIRA MINI MART FINAL MENU - Pr'!D475="""", """", GOOGLETRANSLATE('AYIRA MINI MART FINAL MENU - Pr'!D475, ""ar"", ""en""))"),"Don't be able to resist the taste of Fonnzies BBQ Curry Best Flavored Corn Snacks 24g, your perfect companion for relaxing and watching the game. Their unique crunch and varied flavors make every handful a delightful experience. Prepared with the finest i"&amp;"ngredients using the latest manufacturing techniques to ensure an unparalleled taste. Ideal as a snack for adults and children alike between meals. Aira Mini Mart offers them in the perfect size and flavor for you.")</f>
        <v>Don't be able to resist the taste of Fonnzies BBQ Curry Best Flavored Corn Snacks 24g,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75" s="56" t="str">
        <f>IF('AYIRA MINI MART FINAL MENU - Pr'!K475="", "", 'AYIRA MINI MART FINAL MENU - Pr'!K475)</f>
        <v/>
      </c>
      <c r="F475" s="56"/>
      <c r="G475" s="56"/>
      <c r="H475" s="56"/>
      <c r="I475" s="56"/>
      <c r="J475" s="56"/>
      <c r="L475" s="56" t="str">
        <f>IF('AYIRA MINI MART FINAL MENU - Pr'!L475="", "", 'AYIRA MINI MART FINAL MENU - Pr'!L475)</f>
        <v/>
      </c>
      <c r="M475" s="56" t="str">
        <f>IF('AYIRA MINI MART FINAL MENU - Pr'!M475="", "", 'AYIRA MINI MART FINAL MENU - Pr'!M475)</f>
        <v/>
      </c>
      <c r="N475" s="56" t="str">
        <f>IF('AYIRA MINI MART FINAL MENU - Pr'!N475="", "", 'AYIRA MINI MART FINAL MENU - Pr'!N475)</f>
        <v/>
      </c>
      <c r="O475" s="57"/>
      <c r="P475" s="57"/>
      <c r="Q475" s="57"/>
      <c r="R475" s="57"/>
      <c r="S475" s="57"/>
      <c r="T475" s="57"/>
      <c r="U475" s="57"/>
      <c r="V475" s="57"/>
      <c r="W475" s="57"/>
      <c r="X475" s="57"/>
      <c r="Y475" s="57"/>
      <c r="Z475" s="57"/>
    </row>
    <row r="476">
      <c r="A476" s="56" t="str">
        <f>IFERROR(__xludf.DUMMYFUNCTION("IF('AYIRA MINI MART FINAL MENU - Pr'!A476="""", """", IF(LEN(IFERROR(TRIM(REGEXREPLACE(TRIM(REGEXEXTRACT('AYIRA MINI MART FINAL MENU - Pr'!A476, ""^[^\x{0600}-\x{06FF}]+"")), ""[-–]+$"", """")), """"))&gt;0, IFERROR(TRIM(REGEXREPLACE(TRIM(REGEXEXTRACT('AYIRA"&amp;" MINI MART FINAL MENU - Pr'!A476, ""^[^\x{0600}-\x{06FF}]+"")), ""[-–]+$"", """")), """"), GOOGLETRANSLATE('AYIRA MINI MART FINAL MENU - Pr'!A476, ""ar"", ""en"")))"),"Rubiyan Salt &amp; Vinegar Flavour 20g – Rubiyan")</f>
        <v>Rubiyan Salt &amp; Vinegar Flavour 20g – Rubiyan</v>
      </c>
      <c r="B476" s="56" t="str">
        <f>IFERROR(__xludf.DUMMYFUNCTION("IF('AYIRA MINI MART FINAL MENU - Pr'!B476="""", """", IF(LEN(IFERROR(TRIM(REGEXREPLACE(TRIM(REGEXEXTRACT('AYIRA MINI MART FINAL MENU - Pr'!B476, ""^[^\x{0600}-\x{06FF}]+"")), ""[-–]+$"", """")), """"))&gt;0, IFERROR(TRIM(REGEXREPLACE(TRIM(REGEXEXTRACT('AYIRA"&amp;" MINI MART FINAL MENU - Pr'!B476, ""^[^\x{0600}-\x{06FF}]+"")), ""[-–]+$"", """")), """"), GOOGLETRANSLATE('AYIRA MINI MART FINAL MENU - Pr'!B476, ""ar"", ""en"")))"),"Chips &amp; Crisps")</f>
        <v>Chips &amp; Crisps</v>
      </c>
      <c r="C476" s="58">
        <f>IF('AYIRA MINI MART FINAL MENU - Pr'!C476="", "", 'AYIRA MINI MART FINAL MENU - Pr'!C476)</f>
        <v>1</v>
      </c>
      <c r="D476" s="56" t="str">
        <f>IFERROR(__xludf.DUMMYFUNCTION("IF('AYIRA MINI MART FINAL MENU - Pr'!D476="""", """", GOOGLETRANSLATE('AYIRA MINI MART FINAL MENU - Pr'!D476, ""ar"", ""en""))"),"Don't be able to resist the taste of Rubiyan Salt &amp; Vinegar Flavor 20g, your perfect companion for relaxing and watching matches. Its unique crunch and varied flavors make every handful a delightful experience. Prepared with the finest ingredients using t"&amp;"he latest manufacturing techniques to ensure an unparalleled taste. Ideal as a snack for adults and children between meals. Aira Mini Mart offers it in the perfect size and flavor for you.")</f>
        <v>Don't be able to resist the taste of Rubiyan Salt &amp; Vinegar Flavor 20g, your perfect companion for relaxing and watching matches.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476" s="56" t="str">
        <f>IF('AYIRA MINI MART FINAL MENU - Pr'!K476="", "", 'AYIRA MINI MART FINAL MENU - Pr'!K476)</f>
        <v/>
      </c>
      <c r="F476" s="56"/>
      <c r="G476" s="56"/>
      <c r="H476" s="56"/>
      <c r="I476" s="56"/>
      <c r="J476" s="56"/>
      <c r="L476" s="56" t="str">
        <f>IF('AYIRA MINI MART FINAL MENU - Pr'!L476="", "", 'AYIRA MINI MART FINAL MENU - Pr'!L476)</f>
        <v/>
      </c>
      <c r="M476" s="56" t="str">
        <f>IF('AYIRA MINI MART FINAL MENU - Pr'!M476="", "", 'AYIRA MINI MART FINAL MENU - Pr'!M476)</f>
        <v/>
      </c>
      <c r="N476" s="56" t="str">
        <f>IF('AYIRA MINI MART FINAL MENU - Pr'!N476="", "", 'AYIRA MINI MART FINAL MENU - Pr'!N476)</f>
        <v/>
      </c>
      <c r="O476" s="57"/>
      <c r="P476" s="57"/>
      <c r="Q476" s="57"/>
      <c r="R476" s="57"/>
      <c r="S476" s="57"/>
      <c r="T476" s="57"/>
      <c r="U476" s="57"/>
      <c r="V476" s="57"/>
      <c r="W476" s="57"/>
      <c r="X476" s="57"/>
      <c r="Y476" s="57"/>
      <c r="Z476" s="57"/>
    </row>
    <row r="477">
      <c r="A477" s="56" t="str">
        <f>IFERROR(__xludf.DUMMYFUNCTION("IF('AYIRA MINI MART FINAL MENU - Pr'!A477="""", """", IF(LEN(IFERROR(TRIM(REGEXREPLACE(TRIM(REGEXEXTRACT('AYIRA MINI MART FINAL MENU - Pr'!A477, ""^[^\x{0600}-\x{06FF}]+"")), ""[-–]+$"", """")), """"))&gt;0, IFERROR(TRIM(REGEXREPLACE(TRIM(REGEXEXTRACT('AYIRA"&amp;" MINI MART FINAL MENU - Pr'!A477, ""^[^\x{0600}-\x{06FF}]+"")), ""[-–]+$"", """")), """"), GOOGLETRANSLATE('AYIRA MINI MART FINAL MENU - Pr'!A477, ""ar"", ""en"")))"),"Fonzies Original Cheese Flavoured Corn Snacks 24g – Fonzies")</f>
        <v>Fonzies Original Cheese Flavoured Corn Snacks 24g – Fonzies</v>
      </c>
      <c r="B477" s="56" t="str">
        <f>IFERROR(__xludf.DUMMYFUNCTION("IF('AYIRA MINI MART FINAL MENU - Pr'!B477="""", """", IF(LEN(IFERROR(TRIM(REGEXREPLACE(TRIM(REGEXEXTRACT('AYIRA MINI MART FINAL MENU - Pr'!B477, ""^[^\x{0600}-\x{06FF}]+"")), ""[-–]+$"", """")), """"))&gt;0, IFERROR(TRIM(REGEXREPLACE(TRIM(REGEXEXTRACT('AYIRA"&amp;" MINI MART FINAL MENU - Pr'!B477, ""^[^\x{0600}-\x{06FF}]+"")), ""[-–]+$"", """")), """"), GOOGLETRANSLATE('AYIRA MINI MART FINAL MENU - Pr'!B477, ""ar"", ""en"")))"),"Chips &amp; Crisps")</f>
        <v>Chips &amp; Crisps</v>
      </c>
      <c r="C477" s="58">
        <f>IF('AYIRA MINI MART FINAL MENU - Pr'!C477="", "", 'AYIRA MINI MART FINAL MENU - Pr'!C477)</f>
        <v>2.5</v>
      </c>
      <c r="D477" s="56" t="str">
        <f>IFERROR(__xludf.DUMMYFUNCTION("IF('AYIRA MINI MART FINAL MENU - Pr'!D477="""", """", GOOGLETRANSLATE('AYIRA MINI MART FINAL MENU - Pr'!D477, ""ar"", ""en""))"),"Don't be able to resist the taste of Fonzies Original Cheese Flavored Corn Snacks 24g, your perfect companion for relaxing and watching the game. Their unique crunch and varied flavors make every handful a delightful experience. Prepared with the finest i"&amp;"ngredients using the latest manufacturing techniques to ensure an unparalleled taste. Ideal as a snack for adults and children alike between meals. Aira Mini Mart offers them in the perfect size and flavor for you.")</f>
        <v>Don't be able to resist the taste of Fonzies Original Cheese Flavored Corn Snacks 24g,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77" s="56" t="str">
        <f>IF('AYIRA MINI MART FINAL MENU - Pr'!K477="", "", 'AYIRA MINI MART FINAL MENU - Pr'!K477)</f>
        <v/>
      </c>
      <c r="F477" s="56"/>
      <c r="G477" s="56"/>
      <c r="H477" s="56"/>
      <c r="I477" s="56"/>
      <c r="J477" s="56"/>
      <c r="L477" s="56" t="str">
        <f>IF('AYIRA MINI MART FINAL MENU - Pr'!L477="", "", 'AYIRA MINI MART FINAL MENU - Pr'!L477)</f>
        <v/>
      </c>
      <c r="M477" s="56" t="str">
        <f>IF('AYIRA MINI MART FINAL MENU - Pr'!M477="", "", 'AYIRA MINI MART FINAL MENU - Pr'!M477)</f>
        <v/>
      </c>
      <c r="N477" s="56" t="str">
        <f>IF('AYIRA MINI MART FINAL MENU - Pr'!N477="", "", 'AYIRA MINI MART FINAL MENU - Pr'!N477)</f>
        <v/>
      </c>
      <c r="O477" s="57"/>
      <c r="P477" s="57"/>
      <c r="Q477" s="57"/>
      <c r="R477" s="57"/>
      <c r="S477" s="57"/>
      <c r="T477" s="57"/>
      <c r="U477" s="57"/>
      <c r="V477" s="57"/>
      <c r="W477" s="57"/>
      <c r="X477" s="57"/>
      <c r="Y477" s="57"/>
      <c r="Z477" s="57"/>
    </row>
    <row r="478">
      <c r="A478" s="56" t="str">
        <f>IFERROR(__xludf.DUMMYFUNCTION("IF('AYIRA MINI MART FINAL MENU - Pr'!A478="""", """", IF(LEN(IFERROR(TRIM(REGEXREPLACE(TRIM(REGEXEXTRACT('AYIRA MINI MART FINAL MENU - Pr'!A478, ""^[^\x{0600}-\x{06FF}]+"")), ""[-–]+$"", """")), """"))&gt;0, IFERROR(TRIM(REGEXREPLACE(TRIM(REGEXEXTRACT('AYIRA"&amp;" MINI MART FINAL MENU - Pr'!A478, ""^[^\x{0600}-\x{06FF}]+"")), ""[-–]+$"", """")), """"), GOOGLETRANSLATE('AYIRA MINI MART FINAL MENU - Pr'!A478, ""ar"", ""en"")))"),"Al Mudhish Potato Chips 15g – Al Mudhish Potato")</f>
        <v>Al Mudhish Potato Chips 15g – Al Mudhish Potato</v>
      </c>
      <c r="B478" s="56" t="str">
        <f>IFERROR(__xludf.DUMMYFUNCTION("IF('AYIRA MINI MART FINAL MENU - Pr'!B478="""", """", IF(LEN(IFERROR(TRIM(REGEXREPLACE(TRIM(REGEXEXTRACT('AYIRA MINI MART FINAL MENU - Pr'!B478, ""^[^\x{0600}-\x{06FF}]+"")), ""[-–]+$"", """")), """"))&gt;0, IFERROR(TRIM(REGEXREPLACE(TRIM(REGEXEXTRACT('AYIRA"&amp;" MINI MART FINAL MENU - Pr'!B478, ""^[^\x{0600}-\x{06FF}]+"")), ""[-–]+$"", """")), """"), GOOGLETRANSLATE('AYIRA MINI MART FINAL MENU - Pr'!B478, ""ar"", ""en"")))"),"Chips &amp; Crisps")</f>
        <v>Chips &amp; Crisps</v>
      </c>
      <c r="C478" s="58">
        <f>IF('AYIRA MINI MART FINAL MENU - Pr'!C478="", "", 'AYIRA MINI MART FINAL MENU - Pr'!C478)</f>
        <v>1</v>
      </c>
      <c r="D478" s="56" t="str">
        <f>IFERROR(__xludf.DUMMYFUNCTION("IF('AYIRA MINI MART FINAL MENU - Pr'!D478="""", """", GOOGLETRANSLATE('AYIRA MINI MART FINAL MENU - Pr'!D478, ""ar"", ""en""))"),"Don't be able to resist the taste of Al Mudhish Potato Chips 15g, your perfect companion for relaxing and watching matches. Their unique crunch and varied flavors make every handful a delightful experience. Prepared with the finest ingredients using the l"&amp;"atest manufacturing techniques to ensure an unparalleled taste. Ideal as a snack for adults and children alike between meals. Aira Mini Mart offers them in the size and flavor that suits you best.")</f>
        <v>Don't be able to resist the taste of Al Mudhish Potato Chips 15g,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size and flavor that suits you best.</v>
      </c>
      <c r="E478" s="56" t="str">
        <f>IF('AYIRA MINI MART FINAL MENU - Pr'!K478="", "", 'AYIRA MINI MART FINAL MENU - Pr'!K478)</f>
        <v/>
      </c>
      <c r="F478" s="56"/>
      <c r="G478" s="56"/>
      <c r="H478" s="56"/>
      <c r="I478" s="56"/>
      <c r="J478" s="56"/>
      <c r="L478" s="56" t="str">
        <f>IF('AYIRA MINI MART FINAL MENU - Pr'!L478="", "", 'AYIRA MINI MART FINAL MENU - Pr'!L478)</f>
        <v/>
      </c>
      <c r="M478" s="56" t="str">
        <f>IF('AYIRA MINI MART FINAL MENU - Pr'!M478="", "", 'AYIRA MINI MART FINAL MENU - Pr'!M478)</f>
        <v/>
      </c>
      <c r="N478" s="56" t="str">
        <f>IF('AYIRA MINI MART FINAL MENU - Pr'!N478="", "", 'AYIRA MINI MART FINAL MENU - Pr'!N478)</f>
        <v/>
      </c>
      <c r="O478" s="57"/>
      <c r="P478" s="57"/>
      <c r="Q478" s="57"/>
      <c r="R478" s="57"/>
      <c r="S478" s="57"/>
      <c r="T478" s="57"/>
      <c r="U478" s="57"/>
      <c r="V478" s="57"/>
      <c r="W478" s="57"/>
      <c r="X478" s="57"/>
      <c r="Y478" s="57"/>
      <c r="Z478" s="57"/>
    </row>
    <row r="479">
      <c r="A479" s="56" t="str">
        <f>IFERROR(__xludf.DUMMYFUNCTION("IF('AYIRA MINI MART FINAL MENU - Pr'!A479="""", """", IF(LEN(IFERROR(TRIM(REGEXREPLACE(TRIM(REGEXEXTRACT('AYIRA MINI MART FINAL MENU - Pr'!A479, ""^[^\x{0600}-\x{06FF}]+"")), ""[-–]+$"", """")), """"))&gt;0, IFERROR(TRIM(REGEXREPLACE(TRIM(REGEXEXTRACT('AYIRA"&amp;" MINI MART FINAL MENU - Pr'!A479, ""^[^\x{0600}-\x{06FF}]+"")), ""[-–]+$"", """")), """"), GOOGLETRANSLATE('AYIRA MINI MART FINAL MENU - Pr'!A479, ""ar"", ""en"")))"),"Al Mudhish Potato Chips Ripples Sour Cream &amp; Onion 15g – Al Mudhish Potato")</f>
        <v>Al Mudhish Potato Chips Ripples Sour Cream &amp; Onion 15g – Al Mudhish Potato</v>
      </c>
      <c r="B479" s="56" t="str">
        <f>IFERROR(__xludf.DUMMYFUNCTION("IF('AYIRA MINI MART FINAL MENU - Pr'!B479="""", """", IF(LEN(IFERROR(TRIM(REGEXREPLACE(TRIM(REGEXEXTRACT('AYIRA MINI MART FINAL MENU - Pr'!B479, ""^[^\x{0600}-\x{06FF}]+"")), ""[-–]+$"", """")), """"))&gt;0, IFERROR(TRIM(REGEXREPLACE(TRIM(REGEXEXTRACT('AYIRA"&amp;" MINI MART FINAL MENU - Pr'!B479, ""^[^\x{0600}-\x{06FF}]+"")), ""[-–]+$"", """")), """"), GOOGLETRANSLATE('AYIRA MINI MART FINAL MENU - Pr'!B479, ""ar"", ""en"")))"),"Chips &amp; Crisps")</f>
        <v>Chips &amp; Crisps</v>
      </c>
      <c r="C479" s="58">
        <f>IF('AYIRA MINI MART FINAL MENU - Pr'!C479="", "", 'AYIRA MINI MART FINAL MENU - Pr'!C479)</f>
        <v>1</v>
      </c>
      <c r="D479" s="56" t="str">
        <f>IFERROR(__xludf.DUMMYFUNCTION("IF('AYIRA MINI MART FINAL MENU - Pr'!D479="""", """", GOOGLETRANSLATE('AYIRA MINI MART FINAL MENU - Pr'!D479, ""ar"", ""en""))"),"Don't be able to resist the taste of Al Mudhish Potato Chips Ripples Sour Cream &amp; Onion 15g, your perfect companion for relaxing and watching matches. Their unique crunch and varied flavors make every handful a delightful experience. Prepared with the fin"&amp;"est ingredients using the latest manufacturing techniques to ensure an unparalleled taste. Ideal as a snack for adults and children alike between meals. Aira Mini Mart offers them in the size and flavor that suits you best.")</f>
        <v>Don't be able to resist the taste of Al Mudhish Potato Chips Ripples Sour Cream &amp; Onion 15g,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size and flavor that suits you best.</v>
      </c>
      <c r="E479" s="56" t="str">
        <f>IF('AYIRA MINI MART FINAL MENU - Pr'!K479="", "", 'AYIRA MINI MART FINAL MENU - Pr'!K479)</f>
        <v/>
      </c>
      <c r="F479" s="56"/>
      <c r="G479" s="56"/>
      <c r="H479" s="56"/>
      <c r="I479" s="56"/>
      <c r="J479" s="56"/>
      <c r="L479" s="56" t="str">
        <f>IF('AYIRA MINI MART FINAL MENU - Pr'!L479="", "", 'AYIRA MINI MART FINAL MENU - Pr'!L479)</f>
        <v/>
      </c>
      <c r="M479" s="56" t="str">
        <f>IF('AYIRA MINI MART FINAL MENU - Pr'!M479="", "", 'AYIRA MINI MART FINAL MENU - Pr'!M479)</f>
        <v/>
      </c>
      <c r="N479" s="56" t="str">
        <f>IF('AYIRA MINI MART FINAL MENU - Pr'!N479="", "", 'AYIRA MINI MART FINAL MENU - Pr'!N479)</f>
        <v/>
      </c>
      <c r="O479" s="57"/>
      <c r="P479" s="57"/>
      <c r="Q479" s="57"/>
      <c r="R479" s="57"/>
      <c r="S479" s="57"/>
      <c r="T479" s="57"/>
      <c r="U479" s="57"/>
      <c r="V479" s="57"/>
      <c r="W479" s="57"/>
      <c r="X479" s="57"/>
      <c r="Y479" s="57"/>
      <c r="Z479" s="57"/>
    </row>
    <row r="480">
      <c r="A480" s="56" t="str">
        <f>IFERROR(__xludf.DUMMYFUNCTION("IF('AYIRA MINI MART FINAL MENU - Pr'!A480="""", """", IF(LEN(IFERROR(TRIM(REGEXREPLACE(TRIM(REGEXEXTRACT('AYIRA MINI MART FINAL MENU - Pr'!A480, ""^[^\x{0600}-\x{06FF}]+"")), ""[-–]+$"", """")), """"))&gt;0, IFERROR(TRIM(REGEXREPLACE(TRIM(REGEXEXTRACT('AYIRA"&amp;" MINI MART FINAL MENU - Pr'!A480, ""^[^\x{0600}-\x{06FF}]+"")), ""[-–]+$"", """")), """"), GOOGLETRANSLATE('AYIRA MINI MART FINAL MENU - Pr'!A480, ""ar"", ""en"")))"),"Dr Puffs Hot Cheese 18g – Dr Puffs")</f>
        <v>Dr Puffs Hot Cheese 18g – Dr Puffs</v>
      </c>
      <c r="B480" s="56" t="str">
        <f>IFERROR(__xludf.DUMMYFUNCTION("IF('AYIRA MINI MART FINAL MENU - Pr'!B480="""", """", IF(LEN(IFERROR(TRIM(REGEXREPLACE(TRIM(REGEXEXTRACT('AYIRA MINI MART FINAL MENU - Pr'!B480, ""^[^\x{0600}-\x{06FF}]+"")), ""[-–]+$"", """")), """"))&gt;0, IFERROR(TRIM(REGEXREPLACE(TRIM(REGEXEXTRACT('AYIRA"&amp;" MINI MART FINAL MENU - Pr'!B480, ""^[^\x{0600}-\x{06FF}]+"")), ""[-–]+$"", """")), """"), GOOGLETRANSLATE('AYIRA MINI MART FINAL MENU - Pr'!B480, ""ar"", ""en"")))"),"Chips &amp; Crisps")</f>
        <v>Chips &amp; Crisps</v>
      </c>
      <c r="C480" s="58">
        <f>IF('AYIRA MINI MART FINAL MENU - Pr'!C480="", "", 'AYIRA MINI MART FINAL MENU - Pr'!C480)</f>
        <v>1</v>
      </c>
      <c r="D480" s="56" t="str">
        <f>IFERROR(__xludf.DUMMYFUNCTION("IF('AYIRA MINI MART FINAL MENU - Pr'!D480="""", """", GOOGLETRANSLATE('AYIRA MINI MART FINAL MENU - Pr'!D480, ""ar"", ""en""))"),"Don't be able to resist the taste of Dr. Puffs Hot Cheese 18g, your perfect companion for relaxing and watching the game. Its unique crunch and varied flavors make every handful a delightful experience. Made with the finest ingredients using the latest ma"&amp;"nufacturing techniques to ensure an unparalleled taste. Ideal as a snack for adults and children alike between meals. Aira Mini Mart offers it in the perfect size and flavor for you.")</f>
        <v>Don't be able to resist the taste of Dr. Puffs Hot Cheese 18g, your perfect companion for relaxing and watching the game. Its unique crunch and varied flavors make every handful a delightful experience. Made with the finest ingredients using the latest manufacturing techniques to ensure an unparalleled taste. Ideal as a snack for adults and children alike between meals. Aira Mini Mart offers it in the perfect size and flavor for you.</v>
      </c>
      <c r="E480" s="56" t="str">
        <f>IF('AYIRA MINI MART FINAL MENU - Pr'!K480="", "", 'AYIRA MINI MART FINAL MENU - Pr'!K480)</f>
        <v/>
      </c>
      <c r="F480" s="56"/>
      <c r="G480" s="56"/>
      <c r="H480" s="56"/>
      <c r="I480" s="56"/>
      <c r="J480" s="56"/>
      <c r="L480" s="56" t="str">
        <f>IF('AYIRA MINI MART FINAL MENU - Pr'!L480="", "", 'AYIRA MINI MART FINAL MENU - Pr'!L480)</f>
        <v/>
      </c>
      <c r="M480" s="56" t="str">
        <f>IF('AYIRA MINI MART FINAL MENU - Pr'!M480="", "", 'AYIRA MINI MART FINAL MENU - Pr'!M480)</f>
        <v/>
      </c>
      <c r="N480" s="56" t="str">
        <f>IF('AYIRA MINI MART FINAL MENU - Pr'!N480="", "", 'AYIRA MINI MART FINAL MENU - Pr'!N480)</f>
        <v/>
      </c>
      <c r="O480" s="57"/>
      <c r="P480" s="57"/>
      <c r="Q480" s="57"/>
      <c r="R480" s="57"/>
      <c r="S480" s="57"/>
      <c r="T480" s="57"/>
      <c r="U480" s="57"/>
      <c r="V480" s="57"/>
      <c r="W480" s="57"/>
      <c r="X480" s="57"/>
      <c r="Y480" s="57"/>
      <c r="Z480" s="57"/>
    </row>
    <row r="481">
      <c r="A481" s="56" t="str">
        <f>IFERROR(__xludf.DUMMYFUNCTION("IF('AYIRA MINI MART FINAL MENU - Pr'!A481="""", """", IF(LEN(IFERROR(TRIM(REGEXREPLACE(TRIM(REGEXEXTRACT('AYIRA MINI MART FINAL MENU - Pr'!A481, ""^[^\x{0600}-\x{06FF}]+"")), ""[-–]+$"", """")), """"))&gt;0, IFERROR(TRIM(REGEXREPLACE(TRIM(REGEXEXTRACT('AYIRA"&amp;" MINI MART FINAL MENU - Pr'!A481, ""^[^\x{0600}-\x{06FF}]+"")), ""[-–]+$"", """")), """"), GOOGLETRANSLATE('AYIRA MINI MART FINAL MENU - Pr'!A481, ""ar"", ""en"")))"),"Karkish Salt &amp; Vinegar 40g – Karkish")</f>
        <v>Karkish Salt &amp; Vinegar 40g – Karkish</v>
      </c>
      <c r="B481" s="56" t="str">
        <f>IFERROR(__xludf.DUMMYFUNCTION("IF('AYIRA MINI MART FINAL MENU - Pr'!B481="""", """", IF(LEN(IFERROR(TRIM(REGEXREPLACE(TRIM(REGEXEXTRACT('AYIRA MINI MART FINAL MENU - Pr'!B481, ""^[^\x{0600}-\x{06FF}]+"")), ""[-–]+$"", """")), """"))&gt;0, IFERROR(TRIM(REGEXREPLACE(TRIM(REGEXEXTRACT('AYIRA"&amp;" MINI MART FINAL MENU - Pr'!B481, ""^[^\x{0600}-\x{06FF}]+"")), ""[-–]+$"", """")), """"), GOOGLETRANSLATE('AYIRA MINI MART FINAL MENU - Pr'!B481, ""ar"", ""en"")))"),"Chips &amp; Crisps")</f>
        <v>Chips &amp; Crisps</v>
      </c>
      <c r="C481" s="58">
        <f>IF('AYIRA MINI MART FINAL MENU - Pr'!C481="", "", 'AYIRA MINI MART FINAL MENU - Pr'!C481)</f>
        <v>2.5</v>
      </c>
      <c r="D481" s="56" t="str">
        <f>IFERROR(__xludf.DUMMYFUNCTION("IF('AYIRA MINI MART FINAL MENU - Pr'!D481="""", """", GOOGLETRANSLATE('AYIRA MINI MART FINAL MENU - Pr'!D481, ""ar"", ""en""))"),"Don't be able to resist the taste of Karkish Salt &amp; Vinegar 40g, your perfect companion for relaxing and watching matches. Its unique crunch and diverse flavors make every handful a delightful experience. Prepared with the finest ingredients using the lat"&amp;"est manufacturing techniques to ensure an unparalleled taste. Ideal as a snack for adults and children between meals. Aira Mini Mart offers it in the perfect size and flavor for you.")</f>
        <v>Don't be able to resist the taste of Karkish Salt &amp; Vinegar 40g,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481" s="56" t="str">
        <f>IF('AYIRA MINI MART FINAL MENU - Pr'!K481="", "", 'AYIRA MINI MART FINAL MENU - Pr'!K481)</f>
        <v/>
      </c>
      <c r="F481" s="56"/>
      <c r="G481" s="56"/>
      <c r="H481" s="56"/>
      <c r="I481" s="56"/>
      <c r="J481" s="56"/>
      <c r="L481" s="56" t="str">
        <f>IF('AYIRA MINI MART FINAL MENU - Pr'!L481="", "", 'AYIRA MINI MART FINAL MENU - Pr'!L481)</f>
        <v/>
      </c>
      <c r="M481" s="56" t="str">
        <f>IF('AYIRA MINI MART FINAL MENU - Pr'!M481="", "", 'AYIRA MINI MART FINAL MENU - Pr'!M481)</f>
        <v/>
      </c>
      <c r="N481" s="56" t="str">
        <f>IF('AYIRA MINI MART FINAL MENU - Pr'!N481="", "", 'AYIRA MINI MART FINAL MENU - Pr'!N481)</f>
        <v/>
      </c>
      <c r="O481" s="57"/>
      <c r="P481" s="57"/>
      <c r="Q481" s="57"/>
      <c r="R481" s="57"/>
      <c r="S481" s="57"/>
      <c r="T481" s="57"/>
      <c r="U481" s="57"/>
      <c r="V481" s="57"/>
      <c r="W481" s="57"/>
      <c r="X481" s="57"/>
      <c r="Y481" s="57"/>
      <c r="Z481" s="57"/>
    </row>
    <row r="482">
      <c r="A482" s="56" t="str">
        <f>IFERROR(__xludf.DUMMYFUNCTION("IF('AYIRA MINI MART FINAL MENU - Pr'!A482="""", """", IF(LEN(IFERROR(TRIM(REGEXREPLACE(TRIM(REGEXEXTRACT('AYIRA MINI MART FINAL MENU - Pr'!A482, ""^[^\x{0600}-\x{06FF}]+"")), ""[-–]+$"", """")), """"))&gt;0, IFERROR(TRIM(REGEXREPLACE(TRIM(REGEXEXTRACT('AYIRA"&amp;" MINI MART FINAL MENU - Pr'!A482, ""^[^\x{0600}-\x{06FF}]+"")), ""[-–]+$"", """")), """"), GOOGLETRANSLATE('AYIRA MINI MART FINAL MENU - Pr'!A482, ""ar"", ""en"")))"),"Dragos Flamin’ Lime Flavour 25g – Dragos Flamin’ Lime Flavour 25")</f>
        <v>Dragos Flamin’ Lime Flavour 25g – Dragos Flamin’ Lime Flavour 25</v>
      </c>
      <c r="B482" s="56" t="str">
        <f>IFERROR(__xludf.DUMMYFUNCTION("IF('AYIRA MINI MART FINAL MENU - Pr'!B482="""", """", IF(LEN(IFERROR(TRIM(REGEXREPLACE(TRIM(REGEXEXTRACT('AYIRA MINI MART FINAL MENU - Pr'!B482, ""^[^\x{0600}-\x{06FF}]+"")), ""[-–]+$"", """")), """"))&gt;0, IFERROR(TRIM(REGEXREPLACE(TRIM(REGEXEXTRACT('AYIRA"&amp;" MINI MART FINAL MENU - Pr'!B482, ""^[^\x{0600}-\x{06FF}]+"")), ""[-–]+$"", """")), """"), GOOGLETRANSLATE('AYIRA MINI MART FINAL MENU - Pr'!B482, ""ar"", ""en"")))"),"Chips &amp; Crisps")</f>
        <v>Chips &amp; Crisps</v>
      </c>
      <c r="C482" s="58">
        <f>IF('AYIRA MINI MART FINAL MENU - Pr'!C482="", "", 'AYIRA MINI MART FINAL MENU - Pr'!C482)</f>
        <v>2</v>
      </c>
      <c r="D482" s="56" t="str">
        <f>IFERROR(__xludf.DUMMYFUNCTION("IF('AYIRA MINI MART FINAL MENU - Pr'!D482="""", """", GOOGLETRANSLATE('AYIRA MINI MART FINAL MENU - Pr'!D482, ""ar"", ""en""))"),"Don't be able to resist the taste of Dragos Flamin' Lime Flavor 25g, your perfect companion for relaxing and watching the game. Its unique crunch and varied flavors make every handful a delightful experience. Prepared with the finest ingredients using the"&amp;" latest manufacturing techniques to ensure an unparalleled taste. Ideal as a snack for adults and children alike between meals. Aira Mini Mart offers it in the perfect size and flavor for you.")</f>
        <v>Don't be able to resist the taste of Dragos Flamin' Lime Flavor 25g,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82" s="56" t="str">
        <f>IF('AYIRA MINI MART FINAL MENU - Pr'!K482="", "", 'AYIRA MINI MART FINAL MENU - Pr'!K482)</f>
        <v/>
      </c>
      <c r="F482" s="56"/>
      <c r="G482" s="56"/>
      <c r="H482" s="56"/>
      <c r="I482" s="56"/>
      <c r="J482" s="56"/>
      <c r="L482" s="56" t="str">
        <f>IF('AYIRA MINI MART FINAL MENU - Pr'!L482="", "", 'AYIRA MINI MART FINAL MENU - Pr'!L482)</f>
        <v/>
      </c>
      <c r="M482" s="56" t="str">
        <f>IF('AYIRA MINI MART FINAL MENU - Pr'!M482="", "", 'AYIRA MINI MART FINAL MENU - Pr'!M482)</f>
        <v/>
      </c>
      <c r="N482" s="56" t="str">
        <f>IF('AYIRA MINI MART FINAL MENU - Pr'!N482="", "", 'AYIRA MINI MART FINAL MENU - Pr'!N482)</f>
        <v/>
      </c>
      <c r="O482" s="57"/>
      <c r="P482" s="57"/>
      <c r="Q482" s="57"/>
      <c r="R482" s="57"/>
      <c r="S482" s="57"/>
      <c r="T482" s="57"/>
      <c r="U482" s="57"/>
      <c r="V482" s="57"/>
      <c r="W482" s="57"/>
      <c r="X482" s="57"/>
      <c r="Y482" s="57"/>
      <c r="Z482" s="57"/>
    </row>
    <row r="483">
      <c r="A483" s="56" t="str">
        <f>IFERROR(__xludf.DUMMYFUNCTION("IF('AYIRA MINI MART FINAL MENU - Pr'!A483="""", """", IF(LEN(IFERROR(TRIM(REGEXREPLACE(TRIM(REGEXEXTRACT('AYIRA MINI MART FINAL MENU - Pr'!A483, ""^[^\x{0600}-\x{06FF}]+"")), ""[-–]+$"", """")), """"))&gt;0, IFERROR(TRIM(REGEXREPLACE(TRIM(REGEXEXTRACT('AYIRA"&amp;" MINI MART FINAL MENU - Pr'!A483, ""^[^\x{0600}-\x{06FF}]+"")), ""[-–]+$"", """")), """"), GOOGLETRANSLATE('AYIRA MINI MART FINAL MENU - Pr'!A483, ""ar"", ""en"")))"),"Dragos Cheddar Cheese Flavour 25g – Dragos Cheddar")</f>
        <v>Dragos Cheddar Cheese Flavour 25g – Dragos Cheddar</v>
      </c>
      <c r="B483" s="56" t="str">
        <f>IFERROR(__xludf.DUMMYFUNCTION("IF('AYIRA MINI MART FINAL MENU - Pr'!B483="""", """", IF(LEN(IFERROR(TRIM(REGEXREPLACE(TRIM(REGEXEXTRACT('AYIRA MINI MART FINAL MENU - Pr'!B483, ""^[^\x{0600}-\x{06FF}]+"")), ""[-–]+$"", """")), """"))&gt;0, IFERROR(TRIM(REGEXREPLACE(TRIM(REGEXEXTRACT('AYIRA"&amp;" MINI MART FINAL MENU - Pr'!B483, ""^[^\x{0600}-\x{06FF}]+"")), ""[-–]+$"", """")), """"), GOOGLETRANSLATE('AYIRA MINI MART FINAL MENU - Pr'!B483, ""ar"", ""en"")))"),"Chips &amp; Crisps")</f>
        <v>Chips &amp; Crisps</v>
      </c>
      <c r="C483" s="58">
        <f>IF('AYIRA MINI MART FINAL MENU - Pr'!C483="", "", 'AYIRA MINI MART FINAL MENU - Pr'!C483)</f>
        <v>2</v>
      </c>
      <c r="D483" s="56" t="str">
        <f>IFERROR(__xludf.DUMMYFUNCTION("IF('AYIRA MINI MART FINAL MENU - Pr'!D483="""", """", GOOGLETRANSLATE('AYIRA MINI MART FINAL MENU - Pr'!D483, ""ar"", ""en""))"),"Don't be able to resist the taste of Dragos Cheddar Cheese Flavor 25g, your perfect companion for relaxing and watching the game. Its unique crunch and diverse flavors make every handful a delightful experience. Prepared with the finest ingredients using "&amp;"the latest manufacturing techniques to ensure an unparalleled taste. Ideal as a snack for adults and children alike between meals. Aira Mini Mart offers it in the perfect size and flavor for you.")</f>
        <v>Don't be able to resist the taste of Dragos Cheddar Cheese Flavor 25g,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83" s="56" t="str">
        <f>IF('AYIRA MINI MART FINAL MENU - Pr'!K483="", "", 'AYIRA MINI MART FINAL MENU - Pr'!K483)</f>
        <v/>
      </c>
      <c r="F483" s="56"/>
      <c r="G483" s="56"/>
      <c r="H483" s="56"/>
      <c r="I483" s="56"/>
      <c r="J483" s="56"/>
      <c r="L483" s="56" t="str">
        <f>IF('AYIRA MINI MART FINAL MENU - Pr'!L483="", "", 'AYIRA MINI MART FINAL MENU - Pr'!L483)</f>
        <v/>
      </c>
      <c r="M483" s="56" t="str">
        <f>IF('AYIRA MINI MART FINAL MENU - Pr'!M483="", "", 'AYIRA MINI MART FINAL MENU - Pr'!M483)</f>
        <v/>
      </c>
      <c r="N483" s="56" t="str">
        <f>IF('AYIRA MINI MART FINAL MENU - Pr'!N483="", "", 'AYIRA MINI MART FINAL MENU - Pr'!N483)</f>
        <v/>
      </c>
      <c r="O483" s="57"/>
      <c r="P483" s="57"/>
      <c r="Q483" s="57"/>
      <c r="R483" s="57"/>
      <c r="S483" s="57"/>
      <c r="T483" s="57"/>
      <c r="U483" s="57"/>
      <c r="V483" s="57"/>
      <c r="W483" s="57"/>
      <c r="X483" s="57"/>
      <c r="Y483" s="57"/>
      <c r="Z483" s="57"/>
    </row>
    <row r="484">
      <c r="A484" s="56" t="str">
        <f>IFERROR(__xludf.DUMMYFUNCTION("IF('AYIRA MINI MART FINAL MENU - Pr'!A484="""", """", IF(LEN(IFERROR(TRIM(REGEXREPLACE(TRIM(REGEXEXTRACT('AYIRA MINI MART FINAL MENU - Pr'!A484, ""^[^\x{0600}-\x{06FF}]+"")), ""[-–]+$"", """")), """"))&gt;0, IFERROR(TRIM(REGEXREPLACE(TRIM(REGEXEXTRACT('AYIRA"&amp;" MINI MART FINAL MENU - Pr'!A484, ""^[^\x{0600}-\x{06FF}]+"")), ""[-–]+$"", """")), """"), GOOGLETRANSLATE('AYIRA MINI MART FINAL MENU - Pr'!A484, ""ar"", ""en"")))"),"Al Batal Popcorn Chilli Flavour 14g – Al Batal")</f>
        <v>Al Batal Popcorn Chilli Flavour 14g – Al Batal</v>
      </c>
      <c r="B484" s="56" t="str">
        <f>IFERROR(__xludf.DUMMYFUNCTION("IF('AYIRA MINI MART FINAL MENU - Pr'!B484="""", """", IF(LEN(IFERROR(TRIM(REGEXREPLACE(TRIM(REGEXEXTRACT('AYIRA MINI MART FINAL MENU - Pr'!B484, ""^[^\x{0600}-\x{06FF}]+"")), ""[-–]+$"", """")), """"))&gt;0, IFERROR(TRIM(REGEXREPLACE(TRIM(REGEXEXTRACT('AYIRA"&amp;" MINI MART FINAL MENU - Pr'!B484, ""^[^\x{0600}-\x{06FF}]+"")), ""[-–]+$"", """")), """"), GOOGLETRANSLATE('AYIRA MINI MART FINAL MENU - Pr'!B484, ""ar"", ""en"")))"),"Chips &amp; Crisps")</f>
        <v>Chips &amp; Crisps</v>
      </c>
      <c r="C484" s="58">
        <f>IF('AYIRA MINI MART FINAL MENU - Pr'!C484="", "", 'AYIRA MINI MART FINAL MENU - Pr'!C484)</f>
        <v>1</v>
      </c>
      <c r="D484" s="56" t="str">
        <f>IFERROR(__xludf.DUMMYFUNCTION("IF('AYIRA MINI MART FINAL MENU - Pr'!D484="""", """", GOOGLETRANSLATE('AYIRA MINI MART FINAL MENU - Pr'!D484, ""ar"", ""en""))"),"Don't be able to resist the taste of Al Batal Popcorn Chilli Flavor 14g, your perfect companion for relaxing and watching the game. Its unique crunch and varied flavors make every handful a delightful experience. Prepared with the finest ingredients using"&amp;" the latest manufacturing techniques to ensure an unparalleled taste. Ideal as a snack for adults and children alike between meals. Aira Mini Mart offers it in the perfect size and flavor for you.")</f>
        <v>Don't be able to resist the taste of Al Batal Popcorn Chilli Flavor 14g,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84" s="56" t="str">
        <f>IF('AYIRA MINI MART FINAL MENU - Pr'!K484="", "", 'AYIRA MINI MART FINAL MENU - Pr'!K484)</f>
        <v/>
      </c>
      <c r="F484" s="56"/>
      <c r="G484" s="56"/>
      <c r="H484" s="56"/>
      <c r="I484" s="56"/>
      <c r="J484" s="56"/>
      <c r="L484" s="56" t="str">
        <f>IF('AYIRA MINI MART FINAL MENU - Pr'!L484="", "", 'AYIRA MINI MART FINAL MENU - Pr'!L484)</f>
        <v/>
      </c>
      <c r="M484" s="56" t="str">
        <f>IF('AYIRA MINI MART FINAL MENU - Pr'!M484="", "", 'AYIRA MINI MART FINAL MENU - Pr'!M484)</f>
        <v/>
      </c>
      <c r="N484" s="56" t="str">
        <f>IF('AYIRA MINI MART FINAL MENU - Pr'!N484="", "", 'AYIRA MINI MART FINAL MENU - Pr'!N484)</f>
        <v/>
      </c>
      <c r="O484" s="57"/>
      <c r="P484" s="57"/>
      <c r="Q484" s="57"/>
      <c r="R484" s="57"/>
      <c r="S484" s="57"/>
      <c r="T484" s="57"/>
      <c r="U484" s="57"/>
      <c r="V484" s="57"/>
      <c r="W484" s="57"/>
      <c r="X484" s="57"/>
      <c r="Y484" s="57"/>
      <c r="Z484" s="57"/>
    </row>
    <row r="485">
      <c r="A485" s="56" t="str">
        <f>IFERROR(__xludf.DUMMYFUNCTION("IF('AYIRA MINI MART FINAL MENU - Pr'!A485="""", """", IF(LEN(IFERROR(TRIM(REGEXREPLACE(TRIM(REGEXEXTRACT('AYIRA MINI MART FINAL MENU - Pr'!A485, ""^[^\x{0600}-\x{06FF}]+"")), ""[-–]+$"", """")), """"))&gt;0, IFERROR(TRIM(REGEXREPLACE(TRIM(REGEXEXTRACT('AYIRA"&amp;" MINI MART FINAL MENU - Pr'!A485, ""^[^\x{0600}-\x{06FF}]+"")), ""[-–]+$"", """")), """"), GOOGLETRANSLATE('AYIRA MINI MART FINAL MENU - Pr'!A485, ""ar"", ""en"")))"),"Balaji Wafers Chataka Pataka Chilli Flavour 65g – Balaji Wafers Chataka Pataka Chilli Flavour 65")</f>
        <v>Balaji Wafers Chataka Pataka Chilli Flavour 65g – Balaji Wafers Chataka Pataka Chilli Flavour 65</v>
      </c>
      <c r="B485" s="56" t="str">
        <f>IFERROR(__xludf.DUMMYFUNCTION("IF('AYIRA MINI MART FINAL MENU - Pr'!B485="""", """", IF(LEN(IFERROR(TRIM(REGEXREPLACE(TRIM(REGEXEXTRACT('AYIRA MINI MART FINAL MENU - Pr'!B485, ""^[^\x{0600}-\x{06FF}]+"")), ""[-–]+$"", """")), """"))&gt;0, IFERROR(TRIM(REGEXREPLACE(TRIM(REGEXEXTRACT('AYIRA"&amp;" MINI MART FINAL MENU - Pr'!B485, ""^[^\x{0600}-\x{06FF}]+"")), ""[-–]+$"", """")), """"), GOOGLETRANSLATE('AYIRA MINI MART FINAL MENU - Pr'!B485, ""ar"", ""en"")))"),"Chips &amp; Crisps")</f>
        <v>Chips &amp; Crisps</v>
      </c>
      <c r="C485" s="58">
        <f>IF('AYIRA MINI MART FINAL MENU - Pr'!C485="", "", 'AYIRA MINI MART FINAL MENU - Pr'!C485)</f>
        <v>2.5</v>
      </c>
      <c r="D485" s="56" t="str">
        <f>IFERROR(__xludf.DUMMYFUNCTION("IF('AYIRA MINI MART FINAL MENU - Pr'!D485="""", """", GOOGLETRANSLATE('AYIRA MINI MART FINAL MENU - Pr'!D485, ""ar"", ""en""))"),"Don't be able to resist the taste of Balaji Wafers Chataka Pataka Chilli Flavor 65g, your perfect companion for relaxing and watching the game. Their unique crunch and varied flavors make every handful a delightful experience. Prepared with the finest ing"&amp;"redients using the latest manufacturing techniques to ensure an unparalleled taste. Ideal as a snack for adults and children alike between meals. Aira Mini Mart offers them in the perfect size and flavor for you.")</f>
        <v>Don't be able to resist the taste of Balaji Wafers Chataka Pataka Chilli Flavor 65g,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85" s="56" t="str">
        <f>IF('AYIRA MINI MART FINAL MENU - Pr'!K485="", "", 'AYIRA MINI MART FINAL MENU - Pr'!K485)</f>
        <v/>
      </c>
      <c r="F485" s="56"/>
      <c r="G485" s="56"/>
      <c r="H485" s="56"/>
      <c r="I485" s="56"/>
      <c r="J485" s="56"/>
      <c r="L485" s="56" t="str">
        <f>IF('AYIRA MINI MART FINAL MENU - Pr'!L485="", "", 'AYIRA MINI MART FINAL MENU - Pr'!L485)</f>
        <v/>
      </c>
      <c r="M485" s="56" t="str">
        <f>IF('AYIRA MINI MART FINAL MENU - Pr'!M485="", "", 'AYIRA MINI MART FINAL MENU - Pr'!M485)</f>
        <v/>
      </c>
      <c r="N485" s="56" t="str">
        <f>IF('AYIRA MINI MART FINAL MENU - Pr'!N485="", "", 'AYIRA MINI MART FINAL MENU - Pr'!N485)</f>
        <v/>
      </c>
      <c r="O485" s="57"/>
      <c r="P485" s="57"/>
      <c r="Q485" s="57"/>
      <c r="R485" s="57"/>
      <c r="S485" s="57"/>
      <c r="T485" s="57"/>
      <c r="U485" s="57"/>
      <c r="V485" s="57"/>
      <c r="W485" s="57"/>
      <c r="X485" s="57"/>
      <c r="Y485" s="57"/>
      <c r="Z485" s="57"/>
    </row>
    <row r="486">
      <c r="A486" s="56" t="str">
        <f>IFERROR(__xludf.DUMMYFUNCTION("IF('AYIRA MINI MART FINAL MENU - Pr'!A486="""", """", IF(LEN(IFERROR(TRIM(REGEXREPLACE(TRIM(REGEXEXTRACT('AYIRA MINI MART FINAL MENU - Pr'!A486, ""^[^\x{0600}-\x{06FF}]+"")), ""[-–]+$"", """")), """"))&gt;0, IFERROR(TRIM(REGEXREPLACE(TRIM(REGEXEXTRACT('AYIRA"&amp;" MINI MART FINAL MENU - Pr'!A486, ""^[^\x{0600}-\x{06FF}]+"")), ""[-–]+$"", """")), """"), GOOGLETRANSLATE('AYIRA MINI MART FINAL MENU - Pr'!A486, ""ar"", ""en"")))"),"Balaji Wafers Chataka Pataka Tomato Flavour 65g – Balaji Wafers Chataka Pataka Tomato Flavour 65")</f>
        <v>Balaji Wafers Chataka Pataka Tomato Flavour 65g – Balaji Wafers Chataka Pataka Tomato Flavour 65</v>
      </c>
      <c r="B486" s="56" t="str">
        <f>IFERROR(__xludf.DUMMYFUNCTION("IF('AYIRA MINI MART FINAL MENU - Pr'!B486="""", """", IF(LEN(IFERROR(TRIM(REGEXREPLACE(TRIM(REGEXEXTRACT('AYIRA MINI MART FINAL MENU - Pr'!B486, ""^[^\x{0600}-\x{06FF}]+"")), ""[-–]+$"", """")), """"))&gt;0, IFERROR(TRIM(REGEXREPLACE(TRIM(REGEXEXTRACT('AYIRA"&amp;" MINI MART FINAL MENU - Pr'!B486, ""^[^\x{0600}-\x{06FF}]+"")), ""[-–]+$"", """")), """"), GOOGLETRANSLATE('AYIRA MINI MART FINAL MENU - Pr'!B486, ""ar"", ""en"")))"),"Chips &amp; Crisps")</f>
        <v>Chips &amp; Crisps</v>
      </c>
      <c r="C486" s="58">
        <f>IF('AYIRA MINI MART FINAL MENU - Pr'!C486="", "", 'AYIRA MINI MART FINAL MENU - Pr'!C486)</f>
        <v>2.5</v>
      </c>
      <c r="D486" s="56" t="str">
        <f>IFERROR(__xludf.DUMMYFUNCTION("IF('AYIRA MINI MART FINAL MENU - Pr'!D486="""", """", GOOGLETRANSLATE('AYIRA MINI MART FINAL MENU - Pr'!D486, ""ar"", ""en""))"),"Don't be able to resist the taste of Balaji Wafers Chataka Pataka Tomato Flavor 65g, your perfect companion for relaxing and watching the game. Their unique crunch and varied flavors make every handful a delightful experience. Prepared with the finest ing"&amp;"redients using the latest manufacturing techniques to ensure an unparalleled taste. Ideal as a snack for adults and children alike between meals. Aira Mini Mart offers them in the perfect size and flavor for you.")</f>
        <v>Don't be able to resist the taste of Balaji Wafers Chataka Pataka Tomato Flavor 65g,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86" s="56" t="str">
        <f>IF('AYIRA MINI MART FINAL MENU - Pr'!K486="", "", 'AYIRA MINI MART FINAL MENU - Pr'!K486)</f>
        <v/>
      </c>
      <c r="F486" s="56"/>
      <c r="G486" s="56"/>
      <c r="H486" s="56"/>
      <c r="I486" s="56"/>
      <c r="J486" s="56"/>
      <c r="L486" s="56" t="str">
        <f>IF('AYIRA MINI MART FINAL MENU - Pr'!L486="", "", 'AYIRA MINI MART FINAL MENU - Pr'!L486)</f>
        <v/>
      </c>
      <c r="M486" s="56" t="str">
        <f>IF('AYIRA MINI MART FINAL MENU - Pr'!M486="", "", 'AYIRA MINI MART FINAL MENU - Pr'!M486)</f>
        <v/>
      </c>
      <c r="N486" s="56" t="str">
        <f>IF('AYIRA MINI MART FINAL MENU - Pr'!N486="", "", 'AYIRA MINI MART FINAL MENU - Pr'!N486)</f>
        <v/>
      </c>
      <c r="O486" s="57"/>
      <c r="P486" s="57"/>
      <c r="Q486" s="57"/>
      <c r="R486" s="57"/>
      <c r="S486" s="57"/>
      <c r="T486" s="57"/>
      <c r="U486" s="57"/>
      <c r="V486" s="57"/>
      <c r="W486" s="57"/>
      <c r="X486" s="57"/>
      <c r="Y486" s="57"/>
      <c r="Z486" s="57"/>
    </row>
    <row r="487">
      <c r="A487" s="56" t="str">
        <f>IFERROR(__xludf.DUMMYFUNCTION("IF('AYIRA MINI MART FINAL MENU - Pr'!A487="""", """", IF(LEN(IFERROR(TRIM(REGEXREPLACE(TRIM(REGEXEXTRACT('AYIRA MINI MART FINAL MENU - Pr'!A487, ""^[^\x{0600}-\x{06FF}]+"")), ""[-–]+$"", """")), """"))&gt;0, IFERROR(TRIM(REGEXREPLACE(TRIM(REGEXEXTRACT('AYIRA"&amp;" MINI MART FINAL MENU - Pr'!A487, ""^[^\x{0600}-\x{06FF}]+"")), ""[-–]+$"", """")), """"), GOOGLETRANSLATE('AYIRA MINI MART FINAL MENU - Pr'!A487, ""ar"", ""en"")))"),"Lay’s Maxx Mexican Chilli 105g – Lay’s Maxx Mexican Chilli 105")</f>
        <v>Lay’s Maxx Mexican Chilli 105g – Lay’s Maxx Mexican Chilli 105</v>
      </c>
      <c r="B487" s="56" t="str">
        <f>IFERROR(__xludf.DUMMYFUNCTION("IF('AYIRA MINI MART FINAL MENU - Pr'!B487="""", """", IF(LEN(IFERROR(TRIM(REGEXREPLACE(TRIM(REGEXEXTRACT('AYIRA MINI MART FINAL MENU - Pr'!B487, ""^[^\x{0600}-\x{06FF}]+"")), ""[-–]+$"", """")), """"))&gt;0, IFERROR(TRIM(REGEXREPLACE(TRIM(REGEXEXTRACT('AYIRA"&amp;" MINI MART FINAL MENU - Pr'!B487, ""^[^\x{0600}-\x{06FF}]+"")), ""[-–]+$"", """")), """"), GOOGLETRANSLATE('AYIRA MINI MART FINAL MENU - Pr'!B487, ""ar"", ""en"")))"),"Chips &amp; Crisps")</f>
        <v>Chips &amp; Crisps</v>
      </c>
      <c r="C487" s="58">
        <f>IF('AYIRA MINI MART FINAL MENU - Pr'!C487="", "", 'AYIRA MINI MART FINAL MENU - Pr'!C487)</f>
        <v>8</v>
      </c>
      <c r="D487" s="56" t="str">
        <f>IFERROR(__xludf.DUMMYFUNCTION("IF('AYIRA MINI MART FINAL MENU - Pr'!D487="""", """", GOOGLETRANSLATE('AYIRA MINI MART FINAL MENU - Pr'!D487, ""ar"", ""en""))"),"Don't be able to resist the taste of Lay's Maxx Mexican Chilli 105g, your perfect companion for relaxing and watching the game. Its unique crunch and diverse flavors make every handful a delightful experience. Prepared with the finest ingredients using th"&amp;"e latest manufacturing techniques to ensure an unparalleled taste. Ideal as a snack for adults and children alike between meals. Aira Mini Mart offers it in the perfect size and flavor for you.")</f>
        <v>Don't be able to resist the taste of Lay's Maxx Mexican Chilli 105g,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87" s="56" t="str">
        <f>IF('AYIRA MINI MART FINAL MENU - Pr'!K487="", "", 'AYIRA MINI MART FINAL MENU - Pr'!K487)</f>
        <v/>
      </c>
      <c r="F487" s="56"/>
      <c r="G487" s="56"/>
      <c r="H487" s="56"/>
      <c r="I487" s="56"/>
      <c r="J487" s="56"/>
      <c r="L487" s="56" t="str">
        <f>IF('AYIRA MINI MART FINAL MENU - Pr'!L487="", "", 'AYIRA MINI MART FINAL MENU - Pr'!L487)</f>
        <v/>
      </c>
      <c r="M487" s="56" t="str">
        <f>IF('AYIRA MINI MART FINAL MENU - Pr'!M487="", "", 'AYIRA MINI MART FINAL MENU - Pr'!M487)</f>
        <v/>
      </c>
      <c r="N487" s="56" t="str">
        <f>IF('AYIRA MINI MART FINAL MENU - Pr'!N487="", "", 'AYIRA MINI MART FINAL MENU - Pr'!N487)</f>
        <v/>
      </c>
      <c r="O487" s="57"/>
      <c r="P487" s="57"/>
      <c r="Q487" s="57"/>
      <c r="R487" s="57"/>
      <c r="S487" s="57"/>
      <c r="T487" s="57"/>
      <c r="U487" s="57"/>
      <c r="V487" s="57"/>
      <c r="W487" s="57"/>
      <c r="X487" s="57"/>
      <c r="Y487" s="57"/>
      <c r="Z487" s="57"/>
    </row>
    <row r="488">
      <c r="A488" s="56" t="str">
        <f>IFERROR(__xludf.DUMMYFUNCTION("IF('AYIRA MINI MART FINAL MENU - Pr'!A488="""", """", IF(LEN(IFERROR(TRIM(REGEXREPLACE(TRIM(REGEXEXTRACT('AYIRA MINI MART FINAL MENU - Pr'!A488, ""^[^\x{0600}-\x{06FF}]+"")), ""[-–]+$"", """")), """"))&gt;0, IFERROR(TRIM(REGEXREPLACE(TRIM(REGEXEXTRACT('AYIRA"&amp;" MINI MART FINAL MENU - Pr'!A488, ""^[^\x{0600}-\x{06FF}]+"")), ""[-–]+$"", """")), """"), GOOGLETRANSLATE('AYIRA MINI MART FINAL MENU - Pr'!A488, ""ar"", ""en"")))"),"Lay’s Maxx Chicago Hot Wings 160g – Lay’s Maxx Chicago")</f>
        <v>Lay’s Maxx Chicago Hot Wings 160g – Lay’s Maxx Chicago</v>
      </c>
      <c r="B488" s="56" t="str">
        <f>IFERROR(__xludf.DUMMYFUNCTION("IF('AYIRA MINI MART FINAL MENU - Pr'!B488="""", """", IF(LEN(IFERROR(TRIM(REGEXREPLACE(TRIM(REGEXEXTRACT('AYIRA MINI MART FINAL MENU - Pr'!B488, ""^[^\x{0600}-\x{06FF}]+"")), ""[-–]+$"", """")), """"))&gt;0, IFERROR(TRIM(REGEXREPLACE(TRIM(REGEXEXTRACT('AYIRA"&amp;" MINI MART FINAL MENU - Pr'!B488, ""^[^\x{0600}-\x{06FF}]+"")), ""[-–]+$"", """")), """"), GOOGLETRANSLATE('AYIRA MINI MART FINAL MENU - Pr'!B488, ""ar"", ""en"")))"),"Chips &amp; Crisps")</f>
        <v>Chips &amp; Crisps</v>
      </c>
      <c r="C488" s="58">
        <f>IF('AYIRA MINI MART FINAL MENU - Pr'!C488="", "", 'AYIRA MINI MART FINAL MENU - Pr'!C488)</f>
        <v>10</v>
      </c>
      <c r="D488" s="56" t="str">
        <f>IFERROR(__xludf.DUMMYFUNCTION("IF('AYIRA MINI MART FINAL MENU - Pr'!D488="""", """", GOOGLETRANSLATE('AYIRA MINI MART FINAL MENU - Pr'!D488, ""ar"", ""en""))"),"Don't be able to resist the taste of Lay's Maxx Chicago Hot Wings 160g, your perfect companion for relaxing and watching the game. Their unique crunch and varied flavors make every handful a delightful experience. Prepared with the finest ingredients usin"&amp;"g the latest manufacturing techniques to ensure an unparalleled taste. Ideal as a snack for adults and children alike between meals. Aira Mini Mart offers them in the perfect size and flavor for you.")</f>
        <v>Don't be able to resist the taste of Lay's Maxx Chicago Hot Wings 160g,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88" s="56" t="str">
        <f>IF('AYIRA MINI MART FINAL MENU - Pr'!K488="", "", 'AYIRA MINI MART FINAL MENU - Pr'!K488)</f>
        <v/>
      </c>
      <c r="F488" s="56"/>
      <c r="G488" s="56"/>
      <c r="H488" s="56"/>
      <c r="I488" s="56"/>
      <c r="J488" s="56"/>
      <c r="L488" s="56" t="str">
        <f>IF('AYIRA MINI MART FINAL MENU - Pr'!L488="", "", 'AYIRA MINI MART FINAL MENU - Pr'!L488)</f>
        <v/>
      </c>
      <c r="M488" s="56" t="str">
        <f>IF('AYIRA MINI MART FINAL MENU - Pr'!M488="", "", 'AYIRA MINI MART FINAL MENU - Pr'!M488)</f>
        <v/>
      </c>
      <c r="N488" s="56" t="str">
        <f>IF('AYIRA MINI MART FINAL MENU - Pr'!N488="", "", 'AYIRA MINI MART FINAL MENU - Pr'!N488)</f>
        <v/>
      </c>
      <c r="O488" s="57"/>
      <c r="P488" s="57"/>
      <c r="Q488" s="57"/>
      <c r="R488" s="57"/>
      <c r="S488" s="57"/>
      <c r="T488" s="57"/>
      <c r="U488" s="57"/>
      <c r="V488" s="57"/>
      <c r="W488" s="57"/>
      <c r="X488" s="57"/>
      <c r="Y488" s="57"/>
      <c r="Z488" s="57"/>
    </row>
    <row r="489">
      <c r="A489" s="56" t="str">
        <f>IFERROR(__xludf.DUMMYFUNCTION("IF('AYIRA MINI MART FINAL MENU - Pr'!A489="""", """", IF(LEN(IFERROR(TRIM(REGEXREPLACE(TRIM(REGEXEXTRACT('AYIRA MINI MART FINAL MENU - Pr'!A489, ""^[^\x{0600}-\x{06FF}]+"")), ""[-–]+$"", """")), """"))&gt;0, IFERROR(TRIM(REGEXREPLACE(TRIM(REGEXEXTRACT('AYIRA"&amp;" MINI MART FINAL MENU - Pr'!A489, ""^[^\x{0600}-\x{06FF}]+"")), ""[-–]+$"", """")), """"), GOOGLETRANSLATE('AYIRA MINI MART FINAL MENU - Pr'!A489, ""ar"", ""en"")))"),"Lay’s Flamin’ Hot 48g – Lay’s Flamin’")</f>
        <v>Lay’s Flamin’ Hot 48g – Lay’s Flamin’</v>
      </c>
      <c r="B489" s="56" t="str">
        <f>IFERROR(__xludf.DUMMYFUNCTION("IF('AYIRA MINI MART FINAL MENU - Pr'!B489="""", """", IF(LEN(IFERROR(TRIM(REGEXREPLACE(TRIM(REGEXEXTRACT('AYIRA MINI MART FINAL MENU - Pr'!B489, ""^[^\x{0600}-\x{06FF}]+"")), ""[-–]+$"", """")), """"))&gt;0, IFERROR(TRIM(REGEXREPLACE(TRIM(REGEXEXTRACT('AYIRA"&amp;" MINI MART FINAL MENU - Pr'!B489, ""^[^\x{0600}-\x{06FF}]+"")), ""[-–]+$"", """")), """"), GOOGLETRANSLATE('AYIRA MINI MART FINAL MENU - Pr'!B489, ""ar"", ""en"")))"),"Chips &amp; Crisps")</f>
        <v>Chips &amp; Crisps</v>
      </c>
      <c r="C489" s="58">
        <f>IF('AYIRA MINI MART FINAL MENU - Pr'!C489="", "", 'AYIRA MINI MART FINAL MENU - Pr'!C489)</f>
        <v>4</v>
      </c>
      <c r="D489" s="56" t="str">
        <f>IFERROR(__xludf.DUMMYFUNCTION("IF('AYIRA MINI MART FINAL MENU - Pr'!D489="""", """", GOOGLETRANSLATE('AYIRA MINI MART FINAL MENU - Pr'!D489, ""ar"", ""en""))"),"Don't be able to resist the taste of Lay's Flamin' Hot 48g, your perfect companion for relaxing and watching the game. Its unique crunch and diverse flavors make every handful a delightful experience. Prepared with the finest ingredients using the latest "&amp;"manufacturing techniques to ensure an unparalleled taste. Ideal as a snack for adults and children alike between meals. Aira Mini Mart offers it in the perfect size and flavor for you.")</f>
        <v>Don't be able to resist the taste of Lay's Flamin' Hot 48g,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89" s="56" t="str">
        <f>IF('AYIRA MINI MART FINAL MENU - Pr'!K489="", "", 'AYIRA MINI MART FINAL MENU - Pr'!K489)</f>
        <v/>
      </c>
      <c r="F489" s="56"/>
      <c r="G489" s="56"/>
      <c r="H489" s="56"/>
      <c r="I489" s="56"/>
      <c r="J489" s="56"/>
      <c r="L489" s="56" t="str">
        <f>IF('AYIRA MINI MART FINAL MENU - Pr'!L489="", "", 'AYIRA MINI MART FINAL MENU - Pr'!L489)</f>
        <v/>
      </c>
      <c r="M489" s="56" t="str">
        <f>IF('AYIRA MINI MART FINAL MENU - Pr'!M489="", "", 'AYIRA MINI MART FINAL MENU - Pr'!M489)</f>
        <v/>
      </c>
      <c r="N489" s="56" t="str">
        <f>IF('AYIRA MINI MART FINAL MENU - Pr'!N489="", "", 'AYIRA MINI MART FINAL MENU - Pr'!N489)</f>
        <v/>
      </c>
      <c r="O489" s="57"/>
      <c r="P489" s="57"/>
      <c r="Q489" s="57"/>
      <c r="R489" s="57"/>
      <c r="S489" s="57"/>
      <c r="T489" s="57"/>
      <c r="U489" s="57"/>
      <c r="V489" s="57"/>
      <c r="W489" s="57"/>
      <c r="X489" s="57"/>
      <c r="Y489" s="57"/>
      <c r="Z489" s="57"/>
    </row>
    <row r="490">
      <c r="A490" s="56" t="str">
        <f>IFERROR(__xludf.DUMMYFUNCTION("IF('AYIRA MINI MART FINAL MENU - Pr'!A490="""", """", IF(LEN(IFERROR(TRIM(REGEXREPLACE(TRIM(REGEXEXTRACT('AYIRA MINI MART FINAL MENU - Pr'!A490, ""^[^\x{0600}-\x{06FF}]+"")), ""[-–]+$"", """")), """"))&gt;0, IFERROR(TRIM(REGEXREPLACE(TRIM(REGEXEXTRACT('AYIRA"&amp;" MINI MART FINAL MENU - Pr'!A490, ""^[^\x{0600}-\x{06FF}]+"")), ""[-–]+$"", """")), """"), GOOGLETRANSLATE('AYIRA MINI MART FINAL MENU - Pr'!A490, ""ar"", ""en"")))"),"Balaji Chataka Pataka Spicy Rice &amp; Corn Snacks 75g – Balaji Chataka Pataka")</f>
        <v>Balaji Chataka Pataka Spicy Rice &amp; Corn Snacks 75g – Balaji Chataka Pataka</v>
      </c>
      <c r="B490" s="56" t="str">
        <f>IFERROR(__xludf.DUMMYFUNCTION("IF('AYIRA MINI MART FINAL MENU - Pr'!B490="""", """", IF(LEN(IFERROR(TRIM(REGEXREPLACE(TRIM(REGEXEXTRACT('AYIRA MINI MART FINAL MENU - Pr'!B490, ""^[^\x{0600}-\x{06FF}]+"")), ""[-–]+$"", """")), """"))&gt;0, IFERROR(TRIM(REGEXREPLACE(TRIM(REGEXEXTRACT('AYIRA"&amp;" MINI MART FINAL MENU - Pr'!B490, ""^[^\x{0600}-\x{06FF}]+"")), ""[-–]+$"", """")), """"), GOOGLETRANSLATE('AYIRA MINI MART FINAL MENU - Pr'!B490, ""ar"", ""en"")))"),"Chips &amp; Crisps")</f>
        <v>Chips &amp; Crisps</v>
      </c>
      <c r="C490" s="58">
        <f>IF('AYIRA MINI MART FINAL MENU - Pr'!C490="", "", 'AYIRA MINI MART FINAL MENU - Pr'!C490)</f>
        <v>2.5</v>
      </c>
      <c r="D490" s="56" t="str">
        <f>IFERROR(__xludf.DUMMYFUNCTION("IF('AYIRA MINI MART FINAL MENU - Pr'!D490="""", """", GOOGLETRANSLATE('AYIRA MINI MART FINAL MENU - Pr'!D490, ""ar"", ""en""))"),"Don't be able to resist the taste of Balaji Chataka Pataka Spicy Rice &amp; Corn Snacks 75g, your perfect companion for relaxing and watching the game. Its unique crunch and varied flavors make every handful a delightful experience. Prepared with the finest i"&amp;"ngredients using the latest manufacturing techniques to ensure an unparalleled taste. Ideal as a snack for adults and children alike between meals. Aira Mini Mart offers it in the perfect size and flavor for you.")</f>
        <v>Don't be able to resist the taste of Balaji Chataka Pataka Spicy Rice &amp; Corn Snacks 75g,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90" s="56" t="str">
        <f>IF('AYIRA MINI MART FINAL MENU - Pr'!K490="", "", 'AYIRA MINI MART FINAL MENU - Pr'!K490)</f>
        <v/>
      </c>
      <c r="F490" s="56"/>
      <c r="G490" s="56"/>
      <c r="H490" s="56"/>
      <c r="I490" s="56"/>
      <c r="J490" s="56"/>
      <c r="L490" s="56" t="str">
        <f>IF('AYIRA MINI MART FINAL MENU - Pr'!L490="", "", 'AYIRA MINI MART FINAL MENU - Pr'!L490)</f>
        <v/>
      </c>
      <c r="M490" s="56" t="str">
        <f>IF('AYIRA MINI MART FINAL MENU - Pr'!M490="", "", 'AYIRA MINI MART FINAL MENU - Pr'!M490)</f>
        <v/>
      </c>
      <c r="N490" s="56" t="str">
        <f>IF('AYIRA MINI MART FINAL MENU - Pr'!N490="", "", 'AYIRA MINI MART FINAL MENU - Pr'!N490)</f>
        <v/>
      </c>
      <c r="O490" s="57"/>
      <c r="P490" s="57"/>
      <c r="Q490" s="57"/>
      <c r="R490" s="57"/>
      <c r="S490" s="57"/>
      <c r="T490" s="57"/>
      <c r="U490" s="57"/>
      <c r="V490" s="57"/>
      <c r="W490" s="57"/>
      <c r="X490" s="57"/>
      <c r="Y490" s="57"/>
      <c r="Z490" s="57"/>
    </row>
    <row r="491">
      <c r="A491" s="56" t="str">
        <f>IFERROR(__xludf.DUMMYFUNCTION("IF('AYIRA MINI MART FINAL MENU - Pr'!A491="""", """", IF(LEN(IFERROR(TRIM(REGEXREPLACE(TRIM(REGEXEXTRACT('AYIRA MINI MART FINAL MENU - Pr'!A491, ""^[^\x{0600}-\x{06FF}]+"")), ""[-–]+$"", """")), """"))&gt;0, IFERROR(TRIM(REGEXREPLACE(TRIM(REGEXEXTRACT('AYIRA"&amp;" MINI MART FINAL MENU - Pr'!A491, ""^[^\x{0600}-\x{06FF}]+"")), ""[-–]+$"", """")), """"), GOOGLETRANSLATE('AYIRA MINI MART FINAL MENU - Pr'!A491, ""ar"", ""en"")))"),"Molto Chips Chilli &amp; Vinegar Flavour 16g – Molto")</f>
        <v>Molto Chips Chilli &amp; Vinegar Flavour 16g – Molto</v>
      </c>
      <c r="B491" s="56" t="str">
        <f>IFERROR(__xludf.DUMMYFUNCTION("IF('AYIRA MINI MART FINAL MENU - Pr'!B491="""", """", IF(LEN(IFERROR(TRIM(REGEXREPLACE(TRIM(REGEXEXTRACT('AYIRA MINI MART FINAL MENU - Pr'!B491, ""^[^\x{0600}-\x{06FF}]+"")), ""[-–]+$"", """")), """"))&gt;0, IFERROR(TRIM(REGEXREPLACE(TRIM(REGEXEXTRACT('AYIRA"&amp;" MINI MART FINAL MENU - Pr'!B491, ""^[^\x{0600}-\x{06FF}]+"")), ""[-–]+$"", """")), """"), GOOGLETRANSLATE('AYIRA MINI MART FINAL MENU - Pr'!B491, ""ar"", ""en"")))"),"Chips &amp; Crisps")</f>
        <v>Chips &amp; Crisps</v>
      </c>
      <c r="C491" s="58">
        <f>IF('AYIRA MINI MART FINAL MENU - Pr'!C491="", "", 'AYIRA MINI MART FINAL MENU - Pr'!C491)</f>
        <v>1</v>
      </c>
      <c r="D491" s="56" t="str">
        <f>IFERROR(__xludf.DUMMYFUNCTION("IF('AYIRA MINI MART FINAL MENU - Pr'!D491="""", """", GOOGLETRANSLATE('AYIRA MINI MART FINAL MENU - Pr'!D491, ""ar"", ""en""))"),"Don't be able to resist the taste of Molto Chips Chilli &amp; Vinegar Flavor 16g, your perfect companion for relaxing and watching the game. Their unique crunch and varied flavors make every handful a delightful experience. Made with the finest ingredients us"&amp;"ing the latest manufacturing techniques to ensure an unparalleled taste. Ideal as a snack for adults and children alike between meals. Aira Mini Mart offers them in the perfect size and flavor for you.")</f>
        <v>Don't be able to resist the taste of Molto Chips Chilli &amp; Vinegar Flavor 16g,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91" s="56" t="str">
        <f>IF('AYIRA MINI MART FINAL MENU - Pr'!K491="", "", 'AYIRA MINI MART FINAL MENU - Pr'!K491)</f>
        <v/>
      </c>
      <c r="F491" s="56"/>
      <c r="G491" s="56"/>
      <c r="H491" s="56"/>
      <c r="I491" s="56"/>
      <c r="J491" s="56"/>
      <c r="L491" s="56" t="str">
        <f>IF('AYIRA MINI MART FINAL MENU - Pr'!L491="", "", 'AYIRA MINI MART FINAL MENU - Pr'!L491)</f>
        <v/>
      </c>
      <c r="M491" s="56" t="str">
        <f>IF('AYIRA MINI MART FINAL MENU - Pr'!M491="", "", 'AYIRA MINI MART FINAL MENU - Pr'!M491)</f>
        <v/>
      </c>
      <c r="N491" s="56" t="str">
        <f>IF('AYIRA MINI MART FINAL MENU - Pr'!N491="", "", 'AYIRA MINI MART FINAL MENU - Pr'!N491)</f>
        <v/>
      </c>
      <c r="O491" s="57"/>
      <c r="P491" s="57"/>
      <c r="Q491" s="57"/>
      <c r="R491" s="57"/>
      <c r="S491" s="57"/>
      <c r="T491" s="57"/>
      <c r="U491" s="57"/>
      <c r="V491" s="57"/>
      <c r="W491" s="57"/>
      <c r="X491" s="57"/>
      <c r="Y491" s="57"/>
      <c r="Z491" s="57"/>
    </row>
    <row r="492">
      <c r="A492" s="56" t="str">
        <f>IFERROR(__xludf.DUMMYFUNCTION("IF('AYIRA MINI MART FINAL MENU - Pr'!A492="""", """", IF(LEN(IFERROR(TRIM(REGEXREPLACE(TRIM(REGEXEXTRACT('AYIRA MINI MART FINAL MENU - Pr'!A492, ""^[^\x{0600}-\x{06FF}]+"")), ""[-–]+$"", """")), """"))&gt;0, IFERROR(TRIM(REGEXREPLACE(TRIM(REGEXEXTRACT('AYIRA"&amp;" MINI MART FINAL MENU - Pr'!A492, ""^[^\x{0600}-\x{06FF}]+"")), ""[-–]+$"", """")), """"), GOOGLETRANSLATE('AYIRA MINI MART FINAL MENU - Pr'!A492, ""ar"", ""en"")))"),"Molto Chips Cheese Flavour 16g – Molto")</f>
        <v>Molto Chips Cheese Flavour 16g – Molto</v>
      </c>
      <c r="B492" s="56" t="str">
        <f>IFERROR(__xludf.DUMMYFUNCTION("IF('AYIRA MINI MART FINAL MENU - Pr'!B492="""", """", IF(LEN(IFERROR(TRIM(REGEXREPLACE(TRIM(REGEXEXTRACT('AYIRA MINI MART FINAL MENU - Pr'!B492, ""^[^\x{0600}-\x{06FF}]+"")), ""[-–]+$"", """")), """"))&gt;0, IFERROR(TRIM(REGEXREPLACE(TRIM(REGEXEXTRACT('AYIRA"&amp;" MINI MART FINAL MENU - Pr'!B492, ""^[^\x{0600}-\x{06FF}]+"")), ""[-–]+$"", """")), """"), GOOGLETRANSLATE('AYIRA MINI MART FINAL MENU - Pr'!B492, ""ar"", ""en"")))"),"Chips &amp; Crisps")</f>
        <v>Chips &amp; Crisps</v>
      </c>
      <c r="C492" s="58">
        <f>IF('AYIRA MINI MART FINAL MENU - Pr'!C492="", "", 'AYIRA MINI MART FINAL MENU - Pr'!C492)</f>
        <v>1</v>
      </c>
      <c r="D492" s="56" t="str">
        <f>IFERROR(__xludf.DUMMYFUNCTION("IF('AYIRA MINI MART FINAL MENU - Pr'!D492="""", """", GOOGLETRANSLATE('AYIRA MINI MART FINAL MENU - Pr'!D492, ""ar"", ""en""))"),"Don't be able to resist the taste of Molto Chips Cheese Flavor 16g, your perfect companion for relaxing and watching the game. Their unique crunch and varied flavors make every handful a delightful experience. Made with the finest ingredients using the la"&amp;"test manufacturing techniques to ensure an unparalleled taste. Ideal as a snack for adults and children alike between meals. Aira Mini Mart offers them in the perfect size and flavor for you.")</f>
        <v>Don't be able to resist the taste of Molto Chips Cheese Flavor 16g,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92" s="56" t="str">
        <f>IF('AYIRA MINI MART FINAL MENU - Pr'!K492="", "", 'AYIRA MINI MART FINAL MENU - Pr'!K492)</f>
        <v/>
      </c>
      <c r="F492" s="56"/>
      <c r="G492" s="56"/>
      <c r="H492" s="56"/>
      <c r="I492" s="56"/>
      <c r="J492" s="56"/>
      <c r="L492" s="56" t="str">
        <f>IF('AYIRA MINI MART FINAL MENU - Pr'!L492="", "", 'AYIRA MINI MART FINAL MENU - Pr'!L492)</f>
        <v/>
      </c>
      <c r="M492" s="56" t="str">
        <f>IF('AYIRA MINI MART FINAL MENU - Pr'!M492="", "", 'AYIRA MINI MART FINAL MENU - Pr'!M492)</f>
        <v/>
      </c>
      <c r="N492" s="56" t="str">
        <f>IF('AYIRA MINI MART FINAL MENU - Pr'!N492="", "", 'AYIRA MINI MART FINAL MENU - Pr'!N492)</f>
        <v/>
      </c>
      <c r="O492" s="57"/>
      <c r="P492" s="57"/>
      <c r="Q492" s="57"/>
      <c r="R492" s="57"/>
      <c r="S492" s="57"/>
      <c r="T492" s="57"/>
      <c r="U492" s="57"/>
      <c r="V492" s="57"/>
      <c r="W492" s="57"/>
      <c r="X492" s="57"/>
      <c r="Y492" s="57"/>
      <c r="Z492" s="57"/>
    </row>
    <row r="493">
      <c r="A493" s="56" t="str">
        <f>IFERROR(__xludf.DUMMYFUNCTION("IF('AYIRA MINI MART FINAL MENU - Pr'!A493="""", """", IF(LEN(IFERROR(TRIM(REGEXREPLACE(TRIM(REGEXEXTRACT('AYIRA MINI MART FINAL MENU - Pr'!A493, ""^[^\x{0600}-\x{06FF}]+"")), ""[-–]+$"", """")), """"))&gt;0, IFERROR(TRIM(REGEXREPLACE(TRIM(REGEXEXTRACT('AYIRA"&amp;" MINI MART FINAL MENU - Pr'!A493, ""^[^\x{0600}-\x{06FF}]+"")), ""[-–]+$"", """")), """"), GOOGLETRANSLATE('AYIRA MINI MART FINAL MENU - Pr'!A493, ""ar"", ""en"")))"),"Molto Chips Ketchup Flavour 16g – Molto")</f>
        <v>Molto Chips Ketchup Flavour 16g – Molto</v>
      </c>
      <c r="B493" s="56" t="str">
        <f>IFERROR(__xludf.DUMMYFUNCTION("IF('AYIRA MINI MART FINAL MENU - Pr'!B493="""", """", IF(LEN(IFERROR(TRIM(REGEXREPLACE(TRIM(REGEXEXTRACT('AYIRA MINI MART FINAL MENU - Pr'!B493, ""^[^\x{0600}-\x{06FF}]+"")), ""[-–]+$"", """")), """"))&gt;0, IFERROR(TRIM(REGEXREPLACE(TRIM(REGEXEXTRACT('AYIRA"&amp;" MINI MART FINAL MENU - Pr'!B493, ""^[^\x{0600}-\x{06FF}]+"")), ""[-–]+$"", """")), """"), GOOGLETRANSLATE('AYIRA MINI MART FINAL MENU - Pr'!B493, ""ar"", ""en"")))"),"Chips &amp; Crisps")</f>
        <v>Chips &amp; Crisps</v>
      </c>
      <c r="C493" s="58">
        <f>IF('AYIRA MINI MART FINAL MENU - Pr'!C493="", "", 'AYIRA MINI MART FINAL MENU - Pr'!C493)</f>
        <v>1</v>
      </c>
      <c r="D493" s="56" t="str">
        <f>IFERROR(__xludf.DUMMYFUNCTION("IF('AYIRA MINI MART FINAL MENU - Pr'!D493="""", """", GOOGLETRANSLATE('AYIRA MINI MART FINAL MENU - Pr'!D493, ""ar"", ""en""))"),"Don't be able to resist the taste of Molto Chips Ketchup Flavor 16g
Your perfect companion for relaxing and watching the game. Their unique crunch and varied flavors make every handful a delightful experience. Prepared with the finest ingredients using t"&amp;"he latest manufacturing techniques to ensure an unparalleled taste. Ideal as a snack for adults and children between meals. Aira Mini Mart offers them in the perfect size and flavor for you.")</f>
        <v>Don't be able to resist the taste of Molto Chips Ketchup Flavor 16g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perfect size and flavor for you.</v>
      </c>
      <c r="E493" s="56" t="str">
        <f>IF('AYIRA MINI MART FINAL MENU - Pr'!K493="", "", 'AYIRA MINI MART FINAL MENU - Pr'!K493)</f>
        <v/>
      </c>
      <c r="F493" s="56"/>
      <c r="G493" s="56"/>
      <c r="H493" s="56"/>
      <c r="I493" s="56"/>
      <c r="J493" s="56"/>
      <c r="L493" s="56" t="str">
        <f>IF('AYIRA MINI MART FINAL MENU - Pr'!L493="", "", 'AYIRA MINI MART FINAL MENU - Pr'!L493)</f>
        <v/>
      </c>
      <c r="M493" s="56" t="str">
        <f>IF('AYIRA MINI MART FINAL MENU - Pr'!M493="", "", 'AYIRA MINI MART FINAL MENU - Pr'!M493)</f>
        <v/>
      </c>
      <c r="N493" s="56" t="str">
        <f>IF('AYIRA MINI MART FINAL MENU - Pr'!N493="", "", 'AYIRA MINI MART FINAL MENU - Pr'!N493)</f>
        <v/>
      </c>
      <c r="O493" s="57"/>
      <c r="P493" s="57"/>
      <c r="Q493" s="57"/>
      <c r="R493" s="57"/>
      <c r="S493" s="57"/>
      <c r="T493" s="57"/>
      <c r="U493" s="57"/>
      <c r="V493" s="57"/>
      <c r="W493" s="57"/>
      <c r="X493" s="57"/>
      <c r="Y493" s="57"/>
      <c r="Z493" s="57"/>
    </row>
    <row r="494">
      <c r="A494" s="56" t="str">
        <f>IFERROR(__xludf.DUMMYFUNCTION("IF('AYIRA MINI MART FINAL MENU - Pr'!A494="""", """", IF(LEN(IFERROR(TRIM(REGEXREPLACE(TRIM(REGEXEXTRACT('AYIRA MINI MART FINAL MENU - Pr'!A494, ""^[^\x{0600}-\x{06FF}]+"")), ""[-–]+$"", """")), """"))&gt;0, IFERROR(TRIM(REGEXREPLACE(TRIM(REGEXEXTRACT('AYIRA"&amp;" MINI MART FINAL MENU - Pr'!A494, ""^[^\x{0600}-\x{06FF}]+"")), ""[-–]+$"", """")), """"), GOOGLETRANSLATE('AYIRA MINI MART FINAL MENU - Pr'!A494, ""ar"", ""en"")))"),"Raja Potato Crunchies 12g – Raja Potato Crunchies 12")</f>
        <v>Raja Potato Crunchies 12g – Raja Potato Crunchies 12</v>
      </c>
      <c r="B494" s="56" t="str">
        <f>IFERROR(__xludf.DUMMYFUNCTION("IF('AYIRA MINI MART FINAL MENU - Pr'!B494="""", """", IF(LEN(IFERROR(TRIM(REGEXREPLACE(TRIM(REGEXEXTRACT('AYIRA MINI MART FINAL MENU - Pr'!B494, ""^[^\x{0600}-\x{06FF}]+"")), ""[-–]+$"", """")), """"))&gt;0, IFERROR(TRIM(REGEXREPLACE(TRIM(REGEXEXTRACT('AYIRA"&amp;" MINI MART FINAL MENU - Pr'!B494, ""^[^\x{0600}-\x{06FF}]+"")), ""[-–]+$"", """")), """"), GOOGLETRANSLATE('AYIRA MINI MART FINAL MENU - Pr'!B494, ""ar"", ""en"")))"),"Chips &amp; Crisps")</f>
        <v>Chips &amp; Crisps</v>
      </c>
      <c r="C494" s="58">
        <f>IF('AYIRA MINI MART FINAL MENU - Pr'!C494="", "", 'AYIRA MINI MART FINAL MENU - Pr'!C494)</f>
        <v>1</v>
      </c>
      <c r="D494" s="56" t="str">
        <f>IFERROR(__xludf.DUMMYFUNCTION("IF('AYIRA MINI MART FINAL MENU - Pr'!D494="""", """", GOOGLETRANSLATE('AYIRA MINI MART FINAL MENU - Pr'!D494, ""ar"", ""en""))"),"Don't be able to resist the taste of Raja Potato Crunchies 12g, your perfect companion for relaxing and watching the game. Their unique crunch and varied flavors make every handful a delightful experience. Made with the finest ingredients using the latest"&amp;" manufacturing techniques to ensure an unparalleled taste. Ideal as a snack for adults and children alike between meals. Aira Mini Mart offers them in the perfect size and flavor for you.")</f>
        <v>Don't be able to resist the taste of Raja Potato Crunchies 12g,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94" s="56" t="str">
        <f>IF('AYIRA MINI MART FINAL MENU - Pr'!K494="", "", 'AYIRA MINI MART FINAL MENU - Pr'!K494)</f>
        <v/>
      </c>
      <c r="F494" s="56"/>
      <c r="G494" s="56"/>
      <c r="H494" s="56"/>
      <c r="I494" s="56"/>
      <c r="J494" s="56"/>
      <c r="L494" s="56" t="str">
        <f>IF('AYIRA MINI MART FINAL MENU - Pr'!L494="", "", 'AYIRA MINI MART FINAL MENU - Pr'!L494)</f>
        <v/>
      </c>
      <c r="M494" s="56" t="str">
        <f>IF('AYIRA MINI MART FINAL MENU - Pr'!M494="", "", 'AYIRA MINI MART FINAL MENU - Pr'!M494)</f>
        <v/>
      </c>
      <c r="N494" s="56" t="str">
        <f>IF('AYIRA MINI MART FINAL MENU - Pr'!N494="", "", 'AYIRA MINI MART FINAL MENU - Pr'!N494)</f>
        <v/>
      </c>
      <c r="O494" s="57"/>
      <c r="P494" s="57"/>
      <c r="Q494" s="57"/>
      <c r="R494" s="57"/>
      <c r="S494" s="57"/>
      <c r="T494" s="57"/>
      <c r="U494" s="57"/>
      <c r="V494" s="57"/>
      <c r="W494" s="57"/>
      <c r="X494" s="57"/>
      <c r="Y494" s="57"/>
      <c r="Z494" s="57"/>
    </row>
    <row r="495">
      <c r="A495" s="56" t="str">
        <f>IFERROR(__xludf.DUMMYFUNCTION("IF('AYIRA MINI MART FINAL MENU - Pr'!A495="""", """", IF(LEN(IFERROR(TRIM(REGEXREPLACE(TRIM(REGEXEXTRACT('AYIRA MINI MART FINAL MENU - Pr'!A495, ""^[^\x{0600}-\x{06FF}]+"")), ""[-–]+$"", """")), """"))&gt;0, IFERROR(TRIM(REGEXREPLACE(TRIM(REGEXEXTRACT('AYIRA"&amp;" MINI MART FINAL MENU - Pr'!A495, ""^[^\x{0600}-\x{06FF}]+"")), ""[-–]+$"", """")), """"), GOOGLETRANSLATE('AYIRA MINI MART FINAL MENU - Pr'!A495, ""ar"", ""en"")))"),"Rubiyan Cheesy Flavour 18g – Rubiyan Cheesy Flavour 18")</f>
        <v>Rubiyan Cheesy Flavour 18g – Rubiyan Cheesy Flavour 18</v>
      </c>
      <c r="B495" s="56" t="str">
        <f>IFERROR(__xludf.DUMMYFUNCTION("IF('AYIRA MINI MART FINAL MENU - Pr'!B495="""", """", IF(LEN(IFERROR(TRIM(REGEXREPLACE(TRIM(REGEXEXTRACT('AYIRA MINI MART FINAL MENU - Pr'!B495, ""^[^\x{0600}-\x{06FF}]+"")), ""[-–]+$"", """")), """"))&gt;0, IFERROR(TRIM(REGEXREPLACE(TRIM(REGEXEXTRACT('AYIRA"&amp;" MINI MART FINAL MENU - Pr'!B495, ""^[^\x{0600}-\x{06FF}]+"")), ""[-–]+$"", """")), """"), GOOGLETRANSLATE('AYIRA MINI MART FINAL MENU - Pr'!B495, ""ar"", ""en"")))"),"Chips &amp; Crisps")</f>
        <v>Chips &amp; Crisps</v>
      </c>
      <c r="C495" s="58">
        <f>IF('AYIRA MINI MART FINAL MENU - Pr'!C495="", "", 'AYIRA MINI MART FINAL MENU - Pr'!C495)</f>
        <v>1</v>
      </c>
      <c r="D495" s="56" t="str">
        <f>IFERROR(__xludf.DUMMYFUNCTION("IF('AYIRA MINI MART FINAL MENU - Pr'!D495="""", """", GOOGLETRANSLATE('AYIRA MINI MART FINAL MENU - Pr'!D495, ""ar"", ""en""))"),"Don't be able to resist the taste of Rubiyan Cheesy Flavor 18g, your perfect companion for relaxing and watching the game. Its unique crunch and varied flavors make every handful a delightful experience. Prepared with the finest ingredients using the late"&amp;"st manufacturing techniques to ensure an unparalleled taste. Ideal as a snack for adults and children between meals. Aira Mini Mart offers it in the perfect size and flavor for you.")</f>
        <v>Don't be able to resist the taste of Rubiyan Cheesy Flavor 18g,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495" s="56" t="str">
        <f>IF('AYIRA MINI MART FINAL MENU - Pr'!K495="", "", 'AYIRA MINI MART FINAL MENU - Pr'!K495)</f>
        <v/>
      </c>
      <c r="F495" s="56"/>
      <c r="G495" s="56"/>
      <c r="H495" s="56"/>
      <c r="I495" s="56"/>
      <c r="J495" s="56"/>
      <c r="L495" s="56" t="str">
        <f>IF('AYIRA MINI MART FINAL MENU - Pr'!L495="", "", 'AYIRA MINI MART FINAL MENU - Pr'!L495)</f>
        <v/>
      </c>
      <c r="M495" s="56" t="str">
        <f>IF('AYIRA MINI MART FINAL MENU - Pr'!M495="", "", 'AYIRA MINI MART FINAL MENU - Pr'!M495)</f>
        <v/>
      </c>
      <c r="N495" s="56" t="str">
        <f>IF('AYIRA MINI MART FINAL MENU - Pr'!N495="", "", 'AYIRA MINI MART FINAL MENU - Pr'!N495)</f>
        <v/>
      </c>
      <c r="O495" s="57"/>
      <c r="P495" s="57"/>
      <c r="Q495" s="57"/>
      <c r="R495" s="57"/>
      <c r="S495" s="57"/>
      <c r="T495" s="57"/>
      <c r="U495" s="57"/>
      <c r="V495" s="57"/>
      <c r="W495" s="57"/>
      <c r="X495" s="57"/>
      <c r="Y495" s="57"/>
      <c r="Z495" s="57"/>
    </row>
    <row r="496">
      <c r="A496" s="56" t="str">
        <f>IFERROR(__xludf.DUMMYFUNCTION("IF('AYIRA MINI MART FINAL MENU - Pr'!A496="""", """", IF(LEN(IFERROR(TRIM(REGEXREPLACE(TRIM(REGEXEXTRACT('AYIRA MINI MART FINAL MENU - Pr'!A496, ""^[^\x{0600}-\x{06FF}]+"")), ""[-–]+$"", """")), """"))&gt;0, IFERROR(TRIM(REGEXREPLACE(TRIM(REGEXEXTRACT('AYIRA"&amp;" MINI MART FINAL MENU - Pr'!A496, ""^[^\x{0600}-\x{06FF}]+"")), ""[-–]+$"", """")), """"), GOOGLETRANSLATE('AYIRA MINI MART FINAL MENU - Pr'!A496, ""ar"", ""en"")))"),"Rubiyan Chips Spicy Cheese Flavour 20g – Rubiyan")</f>
        <v>Rubiyan Chips Spicy Cheese Flavour 20g – Rubiyan</v>
      </c>
      <c r="B496" s="56" t="str">
        <f>IFERROR(__xludf.DUMMYFUNCTION("IF('AYIRA MINI MART FINAL MENU - Pr'!B496="""", """", IF(LEN(IFERROR(TRIM(REGEXREPLACE(TRIM(REGEXEXTRACT('AYIRA MINI MART FINAL MENU - Pr'!B496, ""^[^\x{0600}-\x{06FF}]+"")), ""[-–]+$"", """")), """"))&gt;0, IFERROR(TRIM(REGEXREPLACE(TRIM(REGEXEXTRACT('AYIRA"&amp;" MINI MART FINAL MENU - Pr'!B496, ""^[^\x{0600}-\x{06FF}]+"")), ""[-–]+$"", """")), """"), GOOGLETRANSLATE('AYIRA MINI MART FINAL MENU - Pr'!B496, ""ar"", ""en"")))"),"Chips &amp; Crisps")</f>
        <v>Chips &amp; Crisps</v>
      </c>
      <c r="C496" s="58">
        <f>IF('AYIRA MINI MART FINAL MENU - Pr'!C496="", "", 'AYIRA MINI MART FINAL MENU - Pr'!C496)</f>
        <v>1</v>
      </c>
      <c r="D496" s="56" t="str">
        <f>IFERROR(__xludf.DUMMYFUNCTION("IF('AYIRA MINI MART FINAL MENU - Pr'!D496="""", """", GOOGLETRANSLATE('AYIRA MINI MART FINAL MENU - Pr'!D496, ""ar"", ""en""))"),"Don't be able to resist the taste of Rubiyan Chips Spicy Cheese Flavor 20g, your perfect companion for relaxing and watching the game. Their unique crunch and varied flavors make every handful a delightful experience. Prepared with the finest ingredients "&amp;"using the latest manufacturing techniques to ensure an unparalleled taste. Ideal as a snack for adults and children alike between meals. Aira Mini Mart offers them in the perfect size and flavor for you.")</f>
        <v>Don't be able to resist the taste of Rubiyan Chips Spicy Cheese Flavor 20g,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496" s="56" t="str">
        <f>IF('AYIRA MINI MART FINAL MENU - Pr'!K496="", "", 'AYIRA MINI MART FINAL MENU - Pr'!K496)</f>
        <v/>
      </c>
      <c r="F496" s="56"/>
      <c r="G496" s="56"/>
      <c r="H496" s="56"/>
      <c r="I496" s="56"/>
      <c r="J496" s="56"/>
      <c r="L496" s="56" t="str">
        <f>IF('AYIRA MINI MART FINAL MENU - Pr'!L496="", "", 'AYIRA MINI MART FINAL MENU - Pr'!L496)</f>
        <v/>
      </c>
      <c r="M496" s="56" t="str">
        <f>IF('AYIRA MINI MART FINAL MENU - Pr'!M496="", "", 'AYIRA MINI MART FINAL MENU - Pr'!M496)</f>
        <v/>
      </c>
      <c r="N496" s="56" t="str">
        <f>IF('AYIRA MINI MART FINAL MENU - Pr'!N496="", "", 'AYIRA MINI MART FINAL MENU - Pr'!N496)</f>
        <v/>
      </c>
      <c r="O496" s="57"/>
      <c r="P496" s="57"/>
      <c r="Q496" s="57"/>
      <c r="R496" s="57"/>
      <c r="S496" s="57"/>
      <c r="T496" s="57"/>
      <c r="U496" s="57"/>
      <c r="V496" s="57"/>
      <c r="W496" s="57"/>
      <c r="X496" s="57"/>
      <c r="Y496" s="57"/>
      <c r="Z496" s="57"/>
    </row>
    <row r="497">
      <c r="A497" s="56" t="str">
        <f>IFERROR(__xludf.DUMMYFUNCTION("IF('AYIRA MINI MART FINAL MENU - Pr'!A497="""", """", IF(LEN(IFERROR(TRIM(REGEXREPLACE(TRIM(REGEXEXTRACT('AYIRA MINI MART FINAL MENU - Pr'!A497, ""^[^\x{0600}-\x{06FF}]+"")), ""[-–]+$"", """")), """"))&gt;0, IFERROR(TRIM(REGEXREPLACE(TRIM(REGEXEXTRACT('AYIRA"&amp;" MINI MART FINAL MENU - Pr'!A497, ""^[^\x{0600}-\x{06FF}]+"")), ""[-–]+$"", """")), """"), GOOGLETRANSLATE('AYIRA MINI MART FINAL MENU - Pr'!A497, ""ar"", ""en"")))"),"Rubiyan Corn Stick Spicy Cheese Flavour 18g – Rubiyan Corn")</f>
        <v>Rubiyan Corn Stick Spicy Cheese Flavour 18g – Rubiyan Corn</v>
      </c>
      <c r="B497" s="56" t="str">
        <f>IFERROR(__xludf.DUMMYFUNCTION("IF('AYIRA MINI MART FINAL MENU - Pr'!B497="""", """", IF(LEN(IFERROR(TRIM(REGEXREPLACE(TRIM(REGEXEXTRACT('AYIRA MINI MART FINAL MENU - Pr'!B497, ""^[^\x{0600}-\x{06FF}]+"")), ""[-–]+$"", """")), """"))&gt;0, IFERROR(TRIM(REGEXREPLACE(TRIM(REGEXEXTRACT('AYIRA"&amp;" MINI MART FINAL MENU - Pr'!B497, ""^[^\x{0600}-\x{06FF}]+"")), ""[-–]+$"", """")), """"), GOOGLETRANSLATE('AYIRA MINI MART FINAL MENU - Pr'!B497, ""ar"", ""en"")))"),"Chips &amp; Crisps")</f>
        <v>Chips &amp; Crisps</v>
      </c>
      <c r="C497" s="58">
        <f>IF('AYIRA MINI MART FINAL MENU - Pr'!C497="", "", 'AYIRA MINI MART FINAL MENU - Pr'!C497)</f>
        <v>1</v>
      </c>
      <c r="D497" s="56" t="str">
        <f>IFERROR(__xludf.DUMMYFUNCTION("IF('AYIRA MINI MART FINAL MENU - Pr'!D497="""", """", GOOGLETRANSLATE('AYIRA MINI MART FINAL MENU - Pr'!D497, ""ar"", ""en""))"),"Don't be able to resist the taste of Rubiyan Corn Stick Spicy Cheese Flavor 18g, your perfect companion for relaxing and watching the game. Its unique crunch and varied flavors make every handful a delightful experience. Prepared with the finest ingredien"&amp;"ts using the latest manufacturing techniques to ensure an unparalleled taste. Ideal as a snack for adults and children alike between meals. Aira Mini Mart offers it in the perfect size and flavor for you.")</f>
        <v>Don't be able to resist the taste of Rubiyan Corn Stick Spicy Cheese Flavor 18g,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497" s="56" t="str">
        <f>IF('AYIRA MINI MART FINAL MENU - Pr'!K497="", "", 'AYIRA MINI MART FINAL MENU - Pr'!K497)</f>
        <v/>
      </c>
      <c r="F497" s="56"/>
      <c r="G497" s="56"/>
      <c r="H497" s="56"/>
      <c r="I497" s="56"/>
      <c r="J497" s="56"/>
      <c r="L497" s="56" t="str">
        <f>IF('AYIRA MINI MART FINAL MENU - Pr'!L497="", "", 'AYIRA MINI MART FINAL MENU - Pr'!L497)</f>
        <v/>
      </c>
      <c r="M497" s="56" t="str">
        <f>IF('AYIRA MINI MART FINAL MENU - Pr'!M497="", "", 'AYIRA MINI MART FINAL MENU - Pr'!M497)</f>
        <v/>
      </c>
      <c r="N497" s="56" t="str">
        <f>IF('AYIRA MINI MART FINAL MENU - Pr'!N497="", "", 'AYIRA MINI MART FINAL MENU - Pr'!N497)</f>
        <v/>
      </c>
      <c r="O497" s="57"/>
      <c r="P497" s="57"/>
      <c r="Q497" s="57"/>
      <c r="R497" s="57"/>
      <c r="S497" s="57"/>
      <c r="T497" s="57"/>
      <c r="U497" s="57"/>
      <c r="V497" s="57"/>
      <c r="W497" s="57"/>
      <c r="X497" s="57"/>
      <c r="Y497" s="57"/>
      <c r="Z497" s="57"/>
    </row>
    <row r="498">
      <c r="A498" s="56" t="str">
        <f>IFERROR(__xludf.DUMMYFUNCTION("IF('AYIRA MINI MART FINAL MENU - Pr'!A498="""", """", IF(LEN(IFERROR(TRIM(REGEXREPLACE(TRIM(REGEXEXTRACT('AYIRA MINI MART FINAL MENU - Pr'!A498, ""^[^\x{0600}-\x{06FF}]+"")), ""[-–]+$"", """")), """"))&gt;0, IFERROR(TRIM(REGEXREPLACE(TRIM(REGEXEXTRACT('AYIRA"&amp;" MINI MART FINAL MENU - Pr'!A498, ""^[^\x{0600}-\x{06FF}]+"")), ""[-–]+$"", """")), """"), GOOGLETRANSLATE('AYIRA MINI MART FINAL MENU - Pr'!A498, ""ar"", ""en"")))"),"Al Mudhish Ripples Chips 15g – Al Mudhish Ripples")</f>
        <v>Al Mudhish Ripples Chips 15g – Al Mudhish Ripples</v>
      </c>
      <c r="B498" s="56" t="str">
        <f>IFERROR(__xludf.DUMMYFUNCTION("IF('AYIRA MINI MART FINAL MENU - Pr'!B498="""", """", IF(LEN(IFERROR(TRIM(REGEXREPLACE(TRIM(REGEXEXTRACT('AYIRA MINI MART FINAL MENU - Pr'!B498, ""^[^\x{0600}-\x{06FF}]+"")), ""[-–]+$"", """")), """"))&gt;0, IFERROR(TRIM(REGEXREPLACE(TRIM(REGEXEXTRACT('AYIRA"&amp;" MINI MART FINAL MENU - Pr'!B498, ""^[^\x{0600}-\x{06FF}]+"")), ""[-–]+$"", """")), """"), GOOGLETRANSLATE('AYIRA MINI MART FINAL MENU - Pr'!B498, ""ar"", ""en"")))"),"Chips &amp; Crisps")</f>
        <v>Chips &amp; Crisps</v>
      </c>
      <c r="C498" s="58">
        <f>IF('AYIRA MINI MART FINAL MENU - Pr'!C498="", "", 'AYIRA MINI MART FINAL MENU - Pr'!C498)</f>
        <v>1</v>
      </c>
      <c r="D498" s="56" t="str">
        <f>IFERROR(__xludf.DUMMYFUNCTION("IF('AYIRA MINI MART FINAL MENU - Pr'!D498="""", """", GOOGLETRANSLATE('AYIRA MINI MART FINAL MENU - Pr'!D498, ""ar"", ""en""))"),"Don't be able to resist the taste of Al Mudhish Ripples Chips 15g, your perfect companion for relaxing and watching matches. Their unique crunch and diverse flavors make every handful a delightful experience. Prepared with the finest ingredients using the"&amp;" latest manufacturing techniques to ensure an unparalleled taste. Ideal as a snack for adults and children alike between meals. Aira Mini Mart offers them in the size and flavor that suits you best.")</f>
        <v>Don't be able to resist the taste of Al Mudhish Ripples Chips 15g, your perfect companion for relaxing and watching matches. Their unique crunch and diverse flavors make every handful a delightful experience. Prepared with the finest ingredients using the latest manufacturing techniques to ensure an unparalleled taste. Ideal as a snack for adults and children alike between meals. Aira Mini Mart offers them in the size and flavor that suits you best.</v>
      </c>
      <c r="E498" s="56" t="str">
        <f>IF('AYIRA MINI MART FINAL MENU - Pr'!K498="", "", 'AYIRA MINI MART FINAL MENU - Pr'!K498)</f>
        <v/>
      </c>
      <c r="F498" s="56"/>
      <c r="G498" s="56"/>
      <c r="H498" s="56"/>
      <c r="I498" s="56"/>
      <c r="J498" s="56"/>
      <c r="L498" s="56" t="str">
        <f>IF('AYIRA MINI MART FINAL MENU - Pr'!L498="", "", 'AYIRA MINI MART FINAL MENU - Pr'!L498)</f>
        <v/>
      </c>
      <c r="M498" s="56" t="str">
        <f>IF('AYIRA MINI MART FINAL MENU - Pr'!M498="", "", 'AYIRA MINI MART FINAL MENU - Pr'!M498)</f>
        <v/>
      </c>
      <c r="N498" s="56" t="str">
        <f>IF('AYIRA MINI MART FINAL MENU - Pr'!N498="", "", 'AYIRA MINI MART FINAL MENU - Pr'!N498)</f>
        <v/>
      </c>
      <c r="O498" s="57"/>
      <c r="P498" s="57"/>
      <c r="Q498" s="57"/>
      <c r="R498" s="57"/>
      <c r="S498" s="57"/>
      <c r="T498" s="57"/>
      <c r="U498" s="57"/>
      <c r="V498" s="57"/>
      <c r="W498" s="57"/>
      <c r="X498" s="57"/>
      <c r="Y498" s="57"/>
      <c r="Z498" s="57"/>
    </row>
    <row r="499">
      <c r="A499" s="56" t="str">
        <f>IFERROR(__xludf.DUMMYFUNCTION("IF('AYIRA MINI MART FINAL MENU - Pr'!A499="""", """", IF(LEN(IFERROR(TRIM(REGEXREPLACE(TRIM(REGEXEXTRACT('AYIRA MINI MART FINAL MENU - Pr'!A499, ""^[^\x{0600}-\x{06FF}]+"")), ""[-–]+$"", """")), """"))&gt;0, IFERROR(TRIM(REGEXREPLACE(TRIM(REGEXEXTRACT('AYIRA"&amp;" MINI MART FINAL MENU - Pr'!A499, ""^[^\x{0600}-\x{06FF}]+"")), ""[-–]+$"", """")), """"), GOOGLETRANSLATE('AYIRA MINI MART FINAL MENU - Pr'!A499, ""ar"", ""en"")))"),"Raja Potato Crunchies Ketchup 12g – Raja Potato Crunchies")</f>
        <v>Raja Potato Crunchies Ketchup 12g – Raja Potato Crunchies</v>
      </c>
      <c r="B499" s="56" t="str">
        <f>IFERROR(__xludf.DUMMYFUNCTION("IF('AYIRA MINI MART FINAL MENU - Pr'!B499="""", """", IF(LEN(IFERROR(TRIM(REGEXREPLACE(TRIM(REGEXEXTRACT('AYIRA MINI MART FINAL MENU - Pr'!B499, ""^[^\x{0600}-\x{06FF}]+"")), ""[-–]+$"", """")), """"))&gt;0, IFERROR(TRIM(REGEXREPLACE(TRIM(REGEXEXTRACT('AYIRA"&amp;" MINI MART FINAL MENU - Pr'!B499, ""^[^\x{0600}-\x{06FF}]+"")), ""[-–]+$"", """")), """"), GOOGLETRANSLATE('AYIRA MINI MART FINAL MENU - Pr'!B499, ""ar"", ""en"")))"),"Chips &amp; Crisps")</f>
        <v>Chips &amp; Crisps</v>
      </c>
      <c r="C499" s="58">
        <f>IF('AYIRA MINI MART FINAL MENU - Pr'!C499="", "", 'AYIRA MINI MART FINAL MENU - Pr'!C499)</f>
        <v>1</v>
      </c>
      <c r="D499" s="56" t="str">
        <f>IFERROR(__xludf.DUMMYFUNCTION("IF('AYIRA MINI MART FINAL MENU - Pr'!D499="""", """", GOOGLETRANSLATE('AYIRA MINI MART FINAL MENU - Pr'!D499, ""ar"", ""en""))"),"Don't be able to resist the taste of Raja Potato Crunchies Ketchup 12g, your perfect companion for relaxing and watching the game. Their unique crunch and varied flavors make every handful a delightful experience. Made with the finest ingredients using th"&amp;"e latest manufacturing techniques to ensure an unparalleled taste. Ideal as a snack for adults and children alike between meals. Aira Mini Mart offers them in the perfect size and flavor for you.")</f>
        <v>Don't be able to resist the taste of Raja Potato Crunchies Ketchup 12g,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499" s="56" t="str">
        <f>IF('AYIRA MINI MART FINAL MENU - Pr'!K499="", "", 'AYIRA MINI MART FINAL MENU - Pr'!K499)</f>
        <v/>
      </c>
      <c r="F499" s="56"/>
      <c r="G499" s="56"/>
      <c r="H499" s="56"/>
      <c r="I499" s="56"/>
      <c r="J499" s="56"/>
      <c r="L499" s="56" t="str">
        <f>IF('AYIRA MINI MART FINAL MENU - Pr'!L499="", "", 'AYIRA MINI MART FINAL MENU - Pr'!L499)</f>
        <v/>
      </c>
      <c r="M499" s="56" t="str">
        <f>IF('AYIRA MINI MART FINAL MENU - Pr'!M499="", "", 'AYIRA MINI MART FINAL MENU - Pr'!M499)</f>
        <v/>
      </c>
      <c r="N499" s="56" t="str">
        <f>IF('AYIRA MINI MART FINAL MENU - Pr'!N499="", "", 'AYIRA MINI MART FINAL MENU - Pr'!N499)</f>
        <v/>
      </c>
      <c r="O499" s="57"/>
      <c r="P499" s="57"/>
      <c r="Q499" s="57"/>
      <c r="R499" s="57"/>
      <c r="S499" s="57"/>
      <c r="T499" s="57"/>
      <c r="U499" s="57"/>
      <c r="V499" s="57"/>
      <c r="W499" s="57"/>
      <c r="X499" s="57"/>
      <c r="Y499" s="57"/>
      <c r="Z499" s="57"/>
    </row>
    <row r="500">
      <c r="A500" s="56" t="str">
        <f>IFERROR(__xludf.DUMMYFUNCTION("IF('AYIRA MINI MART FINAL MENU - Pr'!A500="""", """", IF(LEN(IFERROR(TRIM(REGEXREPLACE(TRIM(REGEXEXTRACT('AYIRA MINI MART FINAL MENU - Pr'!A500, ""^[^\x{0600}-\x{06FF}]+"")), ""[-–]+$"", """")), """"))&gt;0, IFERROR(TRIM(REGEXREPLACE(TRIM(REGEXEXTRACT('AYIRA"&amp;" MINI MART FINAL MENU - Pr'!A500, ""^[^\x{0600}-\x{06FF}]+"")), ""[-–]+$"", """")), """"), GOOGLETRANSLATE('AYIRA MINI MART FINAL MENU - Pr'!A500, ""ar"", ""en"")))"),"Extra Refreshers Strawberry Citrus Sugar Free 30 pcs – Extra Refreshers")</f>
        <v>Extra Refreshers Strawberry Citrus Sugar Free 30 pcs – Extra Refreshers</v>
      </c>
      <c r="B500" s="56" t="str">
        <f>IFERROR(__xludf.DUMMYFUNCTION("IF('AYIRA MINI MART FINAL MENU - Pr'!B500="""", """", IF(LEN(IFERROR(TRIM(REGEXREPLACE(TRIM(REGEXEXTRACT('AYIRA MINI MART FINAL MENU - Pr'!B500, ""^[^\x{0600}-\x{06FF}]+"")), ""[-–]+$"", """")), """"))&gt;0, IFERROR(TRIM(REGEXREPLACE(TRIM(REGEXEXTRACT('AYIRA"&amp;" MINI MART FINAL MENU - Pr'!B500, ""^[^\x{0600}-\x{06FF}]+"")), ""[-–]+$"", """")), """"), GOOGLETRANSLATE('AYIRA MINI MART FINAL MENU - Pr'!B500, ""ar"", ""en"")))"),"Gums |")</f>
        <v>Gums |</v>
      </c>
      <c r="C500" s="58">
        <f>IF('AYIRA MINI MART FINAL MENU - Pr'!C500="", "", 'AYIRA MINI MART FINAL MENU - Pr'!C500)</f>
        <v>16</v>
      </c>
      <c r="D500" s="56" t="str">
        <f>IFERROR(__xludf.DUMMYFUNCTION("IF('AYIRA MINI MART FINAL MENU - Pr'!D500="""", """", GOOGLETRANSLATE('AYIRA MINI MART FINAL MENU - Pr'!D500,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00" s="56" t="str">
        <f>IF('AYIRA MINI MART FINAL MENU - Pr'!K500="", "", 'AYIRA MINI MART FINAL MENU - Pr'!K500)</f>
        <v/>
      </c>
      <c r="F500" s="56"/>
      <c r="G500" s="56"/>
      <c r="H500" s="56"/>
      <c r="I500" s="56"/>
      <c r="J500" s="56"/>
      <c r="L500" s="56" t="str">
        <f>IF('AYIRA MINI MART FINAL MENU - Pr'!L500="", "", 'AYIRA MINI MART FINAL MENU - Pr'!L500)</f>
        <v/>
      </c>
      <c r="M500" s="56" t="str">
        <f>IF('AYIRA MINI MART FINAL MENU - Pr'!M500="", "", 'AYIRA MINI MART FINAL MENU - Pr'!M500)</f>
        <v/>
      </c>
      <c r="N500" s="56" t="str">
        <f>IF('AYIRA MINI MART FINAL MENU - Pr'!N500="", "", 'AYIRA MINI MART FINAL MENU - Pr'!N500)</f>
        <v/>
      </c>
      <c r="O500" s="57"/>
      <c r="P500" s="57"/>
      <c r="Q500" s="57"/>
      <c r="R500" s="57"/>
      <c r="S500" s="57"/>
      <c r="T500" s="57"/>
      <c r="U500" s="57"/>
      <c r="V500" s="57"/>
      <c r="W500" s="57"/>
      <c r="X500" s="57"/>
      <c r="Y500" s="57"/>
      <c r="Z500" s="57"/>
    </row>
    <row r="501">
      <c r="A501" s="56" t="str">
        <f>IFERROR(__xludf.DUMMYFUNCTION("IF('AYIRA MINI MART FINAL MENU - Pr'!A501="""", """", IF(LEN(IFERROR(TRIM(REGEXREPLACE(TRIM(REGEXEXTRACT('AYIRA MINI MART FINAL MENU - Pr'!A501, ""^[^\x{0600}-\x{06FF}]+"")), ""[-–]+$"", """")), """"))&gt;0, IFERROR(TRIM(REGEXREPLACE(TRIM(REGEXEXTRACT('AYIRA"&amp;" MINI MART FINAL MENU - Pr'!A501, ""^[^\x{0600}-\x{06FF}]+"")), ""[-–]+$"", """")), """"), GOOGLETRANSLATE('AYIRA MINI MART FINAL MENU - Pr'!A501, ""ar"", ""en"")))"),"Extra Peppermint Flavour Sugar Free 60 pcs – Extra Peppermint Flavour")</f>
        <v>Extra Peppermint Flavour Sugar Free 60 pcs – Extra Peppermint Flavour</v>
      </c>
      <c r="B501" s="56" t="str">
        <f>IFERROR(__xludf.DUMMYFUNCTION("IF('AYIRA MINI MART FINAL MENU - Pr'!B501="""", """", IF(LEN(IFERROR(TRIM(REGEXREPLACE(TRIM(REGEXEXTRACT('AYIRA MINI MART FINAL MENU - Pr'!B501, ""^[^\x{0600}-\x{06FF}]+"")), ""[-–]+$"", """")), """"))&gt;0, IFERROR(TRIM(REGEXREPLACE(TRIM(REGEXEXTRACT('AYIRA"&amp;" MINI MART FINAL MENU - Pr'!B501, ""^[^\x{0600}-\x{06FF}]+"")), ""[-–]+$"", """")), """"), GOOGLETRANSLATE('AYIRA MINI MART FINAL MENU - Pr'!B501, ""ar"", ""en"")))"),"Gums |")</f>
        <v>Gums |</v>
      </c>
      <c r="C501" s="58">
        <f>IF('AYIRA MINI MART FINAL MENU - Pr'!C501="", "", 'AYIRA MINI MART FINAL MENU - Pr'!C501)</f>
        <v>15</v>
      </c>
      <c r="D501" s="56" t="str">
        <f>IFERROR(__xludf.DUMMYFUNCTION("IF('AYIRA MINI MART FINAL MENU - Pr'!D501="""", """", GOOGLETRANSLATE('AYIRA MINI MART FINAL MENU - Pr'!D501, ""ar"", ""en""))"),"Add a sweet touch to your day with Extra, the delicious treat loved by everyone. Its variety of flavors and vibrant colors make it suitable for all ages. Perfect as a small reward or a light gift for friends and family. Made with high-quality ingredients "&amp;"to ensure a great taste in every piece. Get yours from Aira Mini Mart and spread joy to your loved ones.")</f>
        <v>Add a sweet touch to your day with Extra, the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joy to your loved ones.</v>
      </c>
      <c r="E501" s="56" t="str">
        <f>IF('AYIRA MINI MART FINAL MENU - Pr'!K501="", "", 'AYIRA MINI MART FINAL MENU - Pr'!K501)</f>
        <v/>
      </c>
      <c r="F501" s="56"/>
      <c r="G501" s="56"/>
      <c r="H501" s="56"/>
      <c r="I501" s="56"/>
      <c r="J501" s="56"/>
      <c r="L501" s="56" t="str">
        <f>IF('AYIRA MINI MART FINAL MENU - Pr'!L501="", "", 'AYIRA MINI MART FINAL MENU - Pr'!L501)</f>
        <v/>
      </c>
      <c r="M501" s="56" t="str">
        <f>IF('AYIRA MINI MART FINAL MENU - Pr'!M501="", "", 'AYIRA MINI MART FINAL MENU - Pr'!M501)</f>
        <v/>
      </c>
      <c r="N501" s="56" t="str">
        <f>IF('AYIRA MINI MART FINAL MENU - Pr'!N501="", "", 'AYIRA MINI MART FINAL MENU - Pr'!N501)</f>
        <v/>
      </c>
      <c r="O501" s="57"/>
      <c r="P501" s="57"/>
      <c r="Q501" s="57"/>
      <c r="R501" s="57"/>
      <c r="S501" s="57"/>
      <c r="T501" s="57"/>
      <c r="U501" s="57"/>
      <c r="V501" s="57"/>
      <c r="W501" s="57"/>
      <c r="X501" s="57"/>
      <c r="Y501" s="57"/>
      <c r="Z501" s="57"/>
    </row>
    <row r="502">
      <c r="A502" s="56" t="str">
        <f>IFERROR(__xludf.DUMMYFUNCTION("IF('AYIRA MINI MART FINAL MENU - Pr'!A502="""", """", IF(LEN(IFERROR(TRIM(REGEXREPLACE(TRIM(REGEXEXTRACT('AYIRA MINI MART FINAL MENU - Pr'!A502, ""^[^\x{0600}-\x{06FF}]+"")), ""[-–]+$"", """")), """"))&gt;0, IFERROR(TRIM(REGEXREPLACE(TRIM(REGEXEXTRACT('AYIRA"&amp;" MINI MART FINAL MENU - Pr'!A502, ""^[^\x{0600}-\x{06FF}]+"")), ""[-–]+$"", """")), """"), GOOGLETRANSLATE('AYIRA MINI MART FINAL MENU - Pr'!A502, ""ar"", ""en"")))"),"Extra Refreshers Tropical Flavour Sugar Free 30 pcs – Extra Refreshers")</f>
        <v>Extra Refreshers Tropical Flavour Sugar Free 30 pcs – Extra Refreshers</v>
      </c>
      <c r="B502" s="56" t="str">
        <f>IFERROR(__xludf.DUMMYFUNCTION("IF('AYIRA MINI MART FINAL MENU - Pr'!B502="""", """", IF(LEN(IFERROR(TRIM(REGEXREPLACE(TRIM(REGEXEXTRACT('AYIRA MINI MART FINAL MENU - Pr'!B502, ""^[^\x{0600}-\x{06FF}]+"")), ""[-–]+$"", """")), """"))&gt;0, IFERROR(TRIM(REGEXREPLACE(TRIM(REGEXEXTRACT('AYIRA"&amp;" MINI MART FINAL MENU - Pr'!B502, ""^[^\x{0600}-\x{06FF}]+"")), ""[-–]+$"", """")), """"), GOOGLETRANSLATE('AYIRA MINI MART FINAL MENU - Pr'!B502, ""ar"", ""en"")))"),"Gums |")</f>
        <v>Gums |</v>
      </c>
      <c r="C502" s="58">
        <f>IF('AYIRA MINI MART FINAL MENU - Pr'!C502="", "", 'AYIRA MINI MART FINAL MENU - Pr'!C502)</f>
        <v>16</v>
      </c>
      <c r="D502" s="56" t="str">
        <f>IFERROR(__xludf.DUMMYFUNCTION("IF('AYIRA MINI MART FINAL MENU - Pr'!D502="""", """", GOOGLETRANSLATE('AYIRA MINI MART FINAL MENU - Pr'!D502,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02" s="56" t="str">
        <f>IF('AYIRA MINI MART FINAL MENU - Pr'!K502="", "", 'AYIRA MINI MART FINAL MENU - Pr'!K502)</f>
        <v/>
      </c>
      <c r="F502" s="56"/>
      <c r="G502" s="56"/>
      <c r="H502" s="56"/>
      <c r="I502" s="56"/>
      <c r="J502" s="56"/>
      <c r="L502" s="56" t="str">
        <f>IF('AYIRA MINI MART FINAL MENU - Pr'!L502="", "", 'AYIRA MINI MART FINAL MENU - Pr'!L502)</f>
        <v/>
      </c>
      <c r="M502" s="56" t="str">
        <f>IF('AYIRA MINI MART FINAL MENU - Pr'!M502="", "", 'AYIRA MINI MART FINAL MENU - Pr'!M502)</f>
        <v/>
      </c>
      <c r="N502" s="56" t="str">
        <f>IF('AYIRA MINI MART FINAL MENU - Pr'!N502="", "", 'AYIRA MINI MART FINAL MENU - Pr'!N502)</f>
        <v/>
      </c>
      <c r="O502" s="57"/>
      <c r="P502" s="57"/>
      <c r="Q502" s="57"/>
      <c r="R502" s="57"/>
      <c r="S502" s="57"/>
      <c r="T502" s="57"/>
      <c r="U502" s="57"/>
      <c r="V502" s="57"/>
      <c r="W502" s="57"/>
      <c r="X502" s="57"/>
      <c r="Y502" s="57"/>
      <c r="Z502" s="57"/>
    </row>
    <row r="503">
      <c r="A503" s="56" t="str">
        <f>IFERROR(__xludf.DUMMYFUNCTION("IF('AYIRA MINI MART FINAL MENU - Pr'!A503="""", """", IF(LEN(IFERROR(TRIM(REGEXREPLACE(TRIM(REGEXEXTRACT('AYIRA MINI MART FINAL MENU - Pr'!A503, ""^[^\x{0600}-\x{06FF}]+"")), ""[-–]+$"", """")), """"))&gt;0, IFERROR(TRIM(REGEXREPLACE(TRIM(REGEXEXTRACT('AYIRA"&amp;" MINI MART FINAL MENU - Pr'!A503, ""^[^\x{0600}-\x{06FF}]+"")), ""[-–]+$"", """")), """"), GOOGLETRANSLATE('AYIRA MINI MART FINAL MENU - Pr'!A503, ""ar"", ""en"")))"),"Extra Spearmint Flavour 60 pcs")</f>
        <v>Extra Spearmint Flavour 60 pcs</v>
      </c>
      <c r="B503" s="56" t="str">
        <f>IFERROR(__xludf.DUMMYFUNCTION("IF('AYIRA MINI MART FINAL MENU - Pr'!B503="""", """", IF(LEN(IFERROR(TRIM(REGEXREPLACE(TRIM(REGEXEXTRACT('AYIRA MINI MART FINAL MENU - Pr'!B503, ""^[^\x{0600}-\x{06FF}]+"")), ""[-–]+$"", """")), """"))&gt;0, IFERROR(TRIM(REGEXREPLACE(TRIM(REGEXEXTRACT('AYIRA"&amp;" MINI MART FINAL MENU - Pr'!B503, ""^[^\x{0600}-\x{06FF}]+"")), ""[-–]+$"", """")), """"), GOOGLETRANSLATE('AYIRA MINI MART FINAL MENU - Pr'!B503, ""ar"", ""en"")))"),"Gums |")</f>
        <v>Gums |</v>
      </c>
      <c r="C503" s="58">
        <f>IF('AYIRA MINI MART FINAL MENU - Pr'!C503="", "", 'AYIRA MINI MART FINAL MENU - Pr'!C503)</f>
        <v>15</v>
      </c>
      <c r="D503" s="56" t="str">
        <f>IFERROR(__xludf.DUMMYFUNCTION("IF('AYIRA MINI MART FINAL MENU - Pr'!D503="""", """", GOOGLETRANSLATE('AYIRA MINI MART FINAL MENU - Pr'!D503, ""ar"", ""en""))"),"Add a sweet touch to your day with Extra, the delicious treat loved by everyone. Its variety of flavors and vibrant colors make it suitable for all ages. Perfect as a small reward or a light gift for friends and family. Made with high-quality ingredients "&amp;"to ensure a great taste in every piece. Get yours from Aira Mini Mart and spread joy to your loved ones.")</f>
        <v>Add a sweet touch to your day with Extra, the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joy to your loved ones.</v>
      </c>
      <c r="E503" s="56" t="str">
        <f>IF('AYIRA MINI MART FINAL MENU - Pr'!K503="", "", 'AYIRA MINI MART FINAL MENU - Pr'!K503)</f>
        <v/>
      </c>
      <c r="F503" s="56"/>
      <c r="G503" s="56"/>
      <c r="H503" s="56"/>
      <c r="I503" s="56"/>
      <c r="J503" s="56"/>
      <c r="L503" s="56" t="str">
        <f>IF('AYIRA MINI MART FINAL MENU - Pr'!L503="", "", 'AYIRA MINI MART FINAL MENU - Pr'!L503)</f>
        <v/>
      </c>
      <c r="M503" s="56" t="str">
        <f>IF('AYIRA MINI MART FINAL MENU - Pr'!M503="", "", 'AYIRA MINI MART FINAL MENU - Pr'!M503)</f>
        <v/>
      </c>
      <c r="N503" s="56" t="str">
        <f>IF('AYIRA MINI MART FINAL MENU - Pr'!N503="", "", 'AYIRA MINI MART FINAL MENU - Pr'!N503)</f>
        <v/>
      </c>
      <c r="O503" s="57"/>
      <c r="P503" s="57"/>
      <c r="Q503" s="57"/>
      <c r="R503" s="57"/>
      <c r="S503" s="57"/>
      <c r="T503" s="57"/>
      <c r="U503" s="57"/>
      <c r="V503" s="57"/>
      <c r="W503" s="57"/>
      <c r="X503" s="57"/>
      <c r="Y503" s="57"/>
      <c r="Z503" s="57"/>
    </row>
    <row r="504">
      <c r="A504" s="56" t="str">
        <f>IFERROR(__xludf.DUMMYFUNCTION("IF('AYIRA MINI MART FINAL MENU - Pr'!A504="""", """", IF(LEN(IFERROR(TRIM(REGEXREPLACE(TRIM(REGEXEXTRACT('AYIRA MINI MART FINAL MENU - Pr'!A504, ""^[^\x{0600}-\x{06FF}]+"")), ""[-–]+$"", """")), """"))&gt;0, IFERROR(TRIM(REGEXREPLACE(TRIM(REGEXEXTRACT('AYIRA"&amp;" MINI MART FINAL MENU - Pr'!A504, ""^[^\x{0600}-\x{06FF}]+"")), ""[-–]+$"", """")), """"), GOOGLETRANSLATE('AYIRA MINI MART FINAL MENU - Pr'!A504, ""ar"", ""en"")))"),"Airwaves Chewing Gum 46 pcs")</f>
        <v>Airwaves Chewing Gum 46 pcs</v>
      </c>
      <c r="B504" s="56" t="str">
        <f>IFERROR(__xludf.DUMMYFUNCTION("IF('AYIRA MINI MART FINAL MENU - Pr'!B504="""", """", IF(LEN(IFERROR(TRIM(REGEXREPLACE(TRIM(REGEXEXTRACT('AYIRA MINI MART FINAL MENU - Pr'!B504, ""^[^\x{0600}-\x{06FF}]+"")), ""[-–]+$"", """")), """"))&gt;0, IFERROR(TRIM(REGEXREPLACE(TRIM(REGEXEXTRACT('AYIRA"&amp;" MINI MART FINAL MENU - Pr'!B504, ""^[^\x{0600}-\x{06FF}]+"")), ""[-–]+$"", """")), """"), GOOGLETRANSLATE('AYIRA MINI MART FINAL MENU - Pr'!B504, ""ar"", ""en"")))"),"Gums |")</f>
        <v>Gums |</v>
      </c>
      <c r="C504" s="58">
        <f>IF('AYIRA MINI MART FINAL MENU - Pr'!C504="", "", 'AYIRA MINI MART FINAL MENU - Pr'!C504)</f>
        <v>12</v>
      </c>
      <c r="D504" s="56" t="str">
        <f>IFERROR(__xludf.DUMMYFUNCTION("IF('AYIRA MINI MART FINAL MENU - Pr'!D504="""", """", GOOGLETRANSLATE('AYIRA MINI MART FINAL MENU - Pr'!D504, ""ar"", ""en""))"),"Enjoy Airwaves Chewing Gum 46 pcs, the refreshing gum that keeps your mouth clean and fresh all day long. Its long-lasting flavor and unique formula make it the perfect choice for those seeking continuous freshness throughout the day. It helps to invigora"&amp;"te teeth and freshen breath beautifully. Suitable anytime, anywhere. Get it from Aira Mini Mart and enjoy continuous freshness.")</f>
        <v>Enjoy Airwaves Chewing Gum 46 pcs,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04" s="56" t="str">
        <f>IF('AYIRA MINI MART FINAL MENU - Pr'!K504="", "", 'AYIRA MINI MART FINAL MENU - Pr'!K504)</f>
        <v/>
      </c>
      <c r="F504" s="56"/>
      <c r="G504" s="56"/>
      <c r="H504" s="56"/>
      <c r="I504" s="56"/>
      <c r="J504" s="56"/>
      <c r="L504" s="56" t="str">
        <f>IF('AYIRA MINI MART FINAL MENU - Pr'!L504="", "", 'AYIRA MINI MART FINAL MENU - Pr'!L504)</f>
        <v/>
      </c>
      <c r="M504" s="56" t="str">
        <f>IF('AYIRA MINI MART FINAL MENU - Pr'!M504="", "", 'AYIRA MINI MART FINAL MENU - Pr'!M504)</f>
        <v/>
      </c>
      <c r="N504" s="56" t="str">
        <f>IF('AYIRA MINI MART FINAL MENU - Pr'!N504="", "", 'AYIRA MINI MART FINAL MENU - Pr'!N504)</f>
        <v/>
      </c>
      <c r="O504" s="57"/>
      <c r="P504" s="57"/>
      <c r="Q504" s="57"/>
      <c r="R504" s="57"/>
      <c r="S504" s="57"/>
      <c r="T504" s="57"/>
      <c r="U504" s="57"/>
      <c r="V504" s="57"/>
      <c r="W504" s="57"/>
      <c r="X504" s="57"/>
      <c r="Y504" s="57"/>
      <c r="Z504" s="57"/>
    </row>
    <row r="505">
      <c r="A505" s="56" t="str">
        <f>IFERROR(__xludf.DUMMYFUNCTION("IF('AYIRA MINI MART FINAL MENU - Pr'!A505="""", """", IF(LEN(IFERROR(TRIM(REGEXREPLACE(TRIM(REGEXEXTRACT('AYIRA MINI MART FINAL MENU - Pr'!A505, ""^[^\x{0600}-\x{06FF}]+"")), ""[-–]+$"", """")), """"))&gt;0, IFERROR(TRIM(REGEXREPLACE(TRIM(REGEXEXTRACT('AYIRA"&amp;" MINI MART FINAL MENU - Pr'!A505, ""^[^\x{0600}-\x{06FF}]+"")), ""[-–]+$"", """")), """"), GOOGLETRANSLATE('AYIRA MINI MART FINAL MENU - Pr'!A505, ""ar"", ""en"")))"),"Extra Bubblemint Flavour 60 pcs")</f>
        <v>Extra Bubblemint Flavour 60 pcs</v>
      </c>
      <c r="B505" s="56" t="str">
        <f>IFERROR(__xludf.DUMMYFUNCTION("IF('AYIRA MINI MART FINAL MENU - Pr'!B505="""", """", IF(LEN(IFERROR(TRIM(REGEXREPLACE(TRIM(REGEXEXTRACT('AYIRA MINI MART FINAL MENU - Pr'!B505, ""^[^\x{0600}-\x{06FF}]+"")), ""[-–]+$"", """")), """"))&gt;0, IFERROR(TRIM(REGEXREPLACE(TRIM(REGEXEXTRACT('AYIRA"&amp;" MINI MART FINAL MENU - Pr'!B505, ""^[^\x{0600}-\x{06FF}]+"")), ""[-–]+$"", """")), """"), GOOGLETRANSLATE('AYIRA MINI MART FINAL MENU - Pr'!B505, ""ar"", ""en"")))"),"Gums |")</f>
        <v>Gums |</v>
      </c>
      <c r="C505" s="58">
        <f>IF('AYIRA MINI MART FINAL MENU - Pr'!C505="", "", 'AYIRA MINI MART FINAL MENU - Pr'!C505)</f>
        <v>15</v>
      </c>
      <c r="D505" s="56" t="str">
        <f>IFERROR(__xludf.DUMMYFUNCTION("IF('AYIRA MINI MART FINAL MENU - Pr'!D505="""", """", GOOGLETRANSLATE('AYIRA MINI MART FINAL MENU - Pr'!D505, ""ar"", ""en""))"),"Add a sweet touch to your day with Extra, the delicious treat loved by everyone. Its variety of flavors and vibrant colors make it suitable for all ages. Perfect as a small reward or a light gift for friends and family. Made with high-quality ingredients "&amp;"to ensure a great taste in every piece. Get yours from Aira Mini Mart and spread joy to your loved ones.")</f>
        <v>Add a sweet touch to your day with Extra, the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joy to your loved ones.</v>
      </c>
      <c r="E505" s="56" t="str">
        <f>IF('AYIRA MINI MART FINAL MENU - Pr'!K505="", "", 'AYIRA MINI MART FINAL MENU - Pr'!K505)</f>
        <v/>
      </c>
      <c r="F505" s="56"/>
      <c r="G505" s="56"/>
      <c r="H505" s="56"/>
      <c r="I505" s="56"/>
      <c r="J505" s="56"/>
      <c r="L505" s="56" t="str">
        <f>IF('AYIRA MINI MART FINAL MENU - Pr'!L505="", "", 'AYIRA MINI MART FINAL MENU - Pr'!L505)</f>
        <v/>
      </c>
      <c r="M505" s="56" t="str">
        <f>IF('AYIRA MINI MART FINAL MENU - Pr'!M505="", "", 'AYIRA MINI MART FINAL MENU - Pr'!M505)</f>
        <v/>
      </c>
      <c r="N505" s="56" t="str">
        <f>IF('AYIRA MINI MART FINAL MENU - Pr'!N505="", "", 'AYIRA MINI MART FINAL MENU - Pr'!N505)</f>
        <v/>
      </c>
      <c r="O505" s="57"/>
      <c r="P505" s="57"/>
      <c r="Q505" s="57"/>
      <c r="R505" s="57"/>
      <c r="S505" s="57"/>
      <c r="T505" s="57"/>
      <c r="U505" s="57"/>
      <c r="V505" s="57"/>
      <c r="W505" s="57"/>
      <c r="X505" s="57"/>
      <c r="Y505" s="57"/>
      <c r="Z505" s="57"/>
    </row>
    <row r="506">
      <c r="A506" s="56" t="str">
        <f>IFERROR(__xludf.DUMMYFUNCTION("IF('AYIRA MINI MART FINAL MENU - Pr'!A506="""", """", IF(LEN(IFERROR(TRIM(REGEXREPLACE(TRIM(REGEXEXTRACT('AYIRA MINI MART FINAL MENU - Pr'!A506, ""^[^\x{0600}-\x{06FF}]+"")), ""[-–]+$"", """")), """"))&gt;0, IFERROR(TRIM(REGEXREPLACE(TRIM(REGEXEXTRACT('AYIRA"&amp;" MINI MART FINAL MENU - Pr'!A506, ""^[^\x{0600}-\x{06FF}]+"")), ""[-–]+$"", """")), """"), GOOGLETRANSLATE('AYIRA MINI MART FINAL MENU - Pr'!A506, ""ar"", ""en"")))"),"Extra Watermelon Flavour 60 pcs")</f>
        <v>Extra Watermelon Flavour 60 pcs</v>
      </c>
      <c r="B506" s="56" t="str">
        <f>IFERROR(__xludf.DUMMYFUNCTION("IF('AYIRA MINI MART FINAL MENU - Pr'!B506="""", """", IF(LEN(IFERROR(TRIM(REGEXREPLACE(TRIM(REGEXEXTRACT('AYIRA MINI MART FINAL MENU - Pr'!B506, ""^[^\x{0600}-\x{06FF}]+"")), ""[-–]+$"", """")), """"))&gt;0, IFERROR(TRIM(REGEXREPLACE(TRIM(REGEXEXTRACT('AYIRA"&amp;" MINI MART FINAL MENU - Pr'!B506, ""^[^\x{0600}-\x{06FF}]+"")), ""[-–]+$"", """")), """"), GOOGLETRANSLATE('AYIRA MINI MART FINAL MENU - Pr'!B506, ""ar"", ""en"")))"),"Gums |")</f>
        <v>Gums |</v>
      </c>
      <c r="C506" s="58">
        <f>IF('AYIRA MINI MART FINAL MENU - Pr'!C506="", "", 'AYIRA MINI MART FINAL MENU - Pr'!C506)</f>
        <v>15</v>
      </c>
      <c r="D506" s="56" t="str">
        <f>IFERROR(__xludf.DUMMYFUNCTION("IF('AYIRA MINI MART FINAL MENU - Pr'!D506="""", """", GOOGLETRANSLATE('AYIRA MINI MART FINAL MENU - Pr'!D506, ""ar"", ""en""))"),"Drink Extra,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Extra,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506" s="56" t="str">
        <f>IF('AYIRA MINI MART FINAL MENU - Pr'!K506="", "", 'AYIRA MINI MART FINAL MENU - Pr'!K506)</f>
        <v/>
      </c>
      <c r="F506" s="56"/>
      <c r="G506" s="56"/>
      <c r="H506" s="56"/>
      <c r="I506" s="56"/>
      <c r="J506" s="56"/>
      <c r="L506" s="56" t="str">
        <f>IF('AYIRA MINI MART FINAL MENU - Pr'!L506="", "", 'AYIRA MINI MART FINAL MENU - Pr'!L506)</f>
        <v/>
      </c>
      <c r="M506" s="56" t="str">
        <f>IF('AYIRA MINI MART FINAL MENU - Pr'!M506="", "", 'AYIRA MINI MART FINAL MENU - Pr'!M506)</f>
        <v/>
      </c>
      <c r="N506" s="56" t="str">
        <f>IF('AYIRA MINI MART FINAL MENU - Pr'!N506="", "", 'AYIRA MINI MART FINAL MENU - Pr'!N506)</f>
        <v/>
      </c>
      <c r="O506" s="57"/>
      <c r="P506" s="57"/>
      <c r="Q506" s="57"/>
      <c r="R506" s="57"/>
      <c r="S506" s="57"/>
      <c r="T506" s="57"/>
      <c r="U506" s="57"/>
      <c r="V506" s="57"/>
      <c r="W506" s="57"/>
      <c r="X506" s="57"/>
      <c r="Y506" s="57"/>
      <c r="Z506" s="57"/>
    </row>
    <row r="507">
      <c r="A507" s="56" t="str">
        <f>IFERROR(__xludf.DUMMYFUNCTION("IF('AYIRA MINI MART FINAL MENU - Pr'!A507="""", """", IF(LEN(IFERROR(TRIM(REGEXREPLACE(TRIM(REGEXEXTRACT('AYIRA MINI MART FINAL MENU - Pr'!A507, ""^[^\x{0600}-\x{06FF}]+"")), ""[-–]+$"", """")), """"))&gt;0, IFERROR(TRIM(REGEXREPLACE(TRIM(REGEXEXTRACT('AYIRA"&amp;" MINI MART FINAL MENU - Pr'!A507, ""^[^\x{0600}-\x{06FF}]+"")), ""[-–]+$"", """")), """"), GOOGLETRANSLATE('AYIRA MINI MART FINAL MENU - Pr'!A507, ""ar"", ""en"")))"),"Extra Refreshers Bubblemint Flavour Sugar Free 30 pcs – Extra Refreshers Bubblemint Flavour")</f>
        <v>Extra Refreshers Bubblemint Flavour Sugar Free 30 pcs – Extra Refreshers Bubblemint Flavour</v>
      </c>
      <c r="B507" s="56" t="str">
        <f>IFERROR(__xludf.DUMMYFUNCTION("IF('AYIRA MINI MART FINAL MENU - Pr'!B507="""", """", IF(LEN(IFERROR(TRIM(REGEXREPLACE(TRIM(REGEXEXTRACT('AYIRA MINI MART FINAL MENU - Pr'!B507, ""^[^\x{0600}-\x{06FF}]+"")), ""[-–]+$"", """")), """"))&gt;0, IFERROR(TRIM(REGEXREPLACE(TRIM(REGEXEXTRACT('AYIRA"&amp;" MINI MART FINAL MENU - Pr'!B507, ""^[^\x{0600}-\x{06FF}]+"")), ""[-–]+$"", """")), """"), GOOGLETRANSLATE('AYIRA MINI MART FINAL MENU - Pr'!B507, ""ar"", ""en"")))"),"Gums |")</f>
        <v>Gums |</v>
      </c>
      <c r="C507" s="58">
        <f>IF('AYIRA MINI MART FINAL MENU - Pr'!C507="", "", 'AYIRA MINI MART FINAL MENU - Pr'!C507)</f>
        <v>15</v>
      </c>
      <c r="D507" s="56" t="str">
        <f>IFERROR(__xludf.DUMMYFUNCTION("IF('AYIRA MINI MART FINAL MENU - Pr'!D507="""", """", GOOGLETRANSLATE('AYIRA MINI MART FINAL MENU - Pr'!D507, ""ar"", ""en""))"),"Add a sweet touch to your day with Extra, the delicious treat loved by everyone. Its variety of flavors and vibrant colors make it suitable for all ages. Perfect as a small reward or a light gift for friends and family. Made with high-quality ingredients "&amp;"to ensure a great taste in every piece. Get yours from Aira Mini Mart and spread joy to your loved ones.")</f>
        <v>Add a sweet touch to your day with Extra, the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joy to your loved ones.</v>
      </c>
      <c r="E507" s="56" t="str">
        <f>IF('AYIRA MINI MART FINAL MENU - Pr'!K507="", "", 'AYIRA MINI MART FINAL MENU - Pr'!K507)</f>
        <v/>
      </c>
      <c r="F507" s="56"/>
      <c r="G507" s="56"/>
      <c r="H507" s="56"/>
      <c r="I507" s="56"/>
      <c r="J507" s="56"/>
      <c r="L507" s="56" t="str">
        <f>IF('AYIRA MINI MART FINAL MENU - Pr'!L507="", "", 'AYIRA MINI MART FINAL MENU - Pr'!L507)</f>
        <v/>
      </c>
      <c r="M507" s="56" t="str">
        <f>IF('AYIRA MINI MART FINAL MENU - Pr'!M507="", "", 'AYIRA MINI MART FINAL MENU - Pr'!M507)</f>
        <v/>
      </c>
      <c r="N507" s="56" t="str">
        <f>IF('AYIRA MINI MART FINAL MENU - Pr'!N507="", "", 'AYIRA MINI MART FINAL MENU - Pr'!N507)</f>
        <v/>
      </c>
      <c r="O507" s="57"/>
      <c r="P507" s="57"/>
      <c r="Q507" s="57"/>
      <c r="R507" s="57"/>
      <c r="S507" s="57"/>
      <c r="T507" s="57"/>
      <c r="U507" s="57"/>
      <c r="V507" s="57"/>
      <c r="W507" s="57"/>
      <c r="X507" s="57"/>
      <c r="Y507" s="57"/>
      <c r="Z507" s="57"/>
    </row>
    <row r="508">
      <c r="A508" s="56" t="str">
        <f>IFERROR(__xludf.DUMMYFUNCTION("IF('AYIRA MINI MART FINAL MENU - Pr'!A508="""", """", IF(LEN(IFERROR(TRIM(REGEXREPLACE(TRIM(REGEXEXTRACT('AYIRA MINI MART FINAL MENU - Pr'!A508, ""^[^\x{0600}-\x{06FF}]+"")), ""[-–]+$"", """")), """"))&gt;0, IFERROR(TRIM(REGEXREPLACE(TRIM(REGEXEXTRACT('AYIRA"&amp;" MINI MART FINAL MENU - Pr'!A508, ""^[^\x{0600}-\x{06FF}]+"")), ""[-–]+$"", """")), """"), GOOGLETRANSLATE('AYIRA MINI MART FINAL MENU - Pr'!A508, ""ar"", ""en"")))"),"Extra Blueberry Flavour 60 pcs")</f>
        <v>Extra Blueberry Flavour 60 pcs</v>
      </c>
      <c r="B508" s="56" t="str">
        <f>IFERROR(__xludf.DUMMYFUNCTION("IF('AYIRA MINI MART FINAL MENU - Pr'!B508="""", """", IF(LEN(IFERROR(TRIM(REGEXREPLACE(TRIM(REGEXEXTRACT('AYIRA MINI MART FINAL MENU - Pr'!B508, ""^[^\x{0600}-\x{06FF}]+"")), ""[-–]+$"", """")), """"))&gt;0, IFERROR(TRIM(REGEXREPLACE(TRIM(REGEXEXTRACT('AYIRA"&amp;" MINI MART FINAL MENU - Pr'!B508, ""^[^\x{0600}-\x{06FF}]+"")), ""[-–]+$"", """")), """"), GOOGLETRANSLATE('AYIRA MINI MART FINAL MENU - Pr'!B508, ""ar"", ""en"")))"),"Gums |")</f>
        <v>Gums |</v>
      </c>
      <c r="C508" s="58">
        <f>IF('AYIRA MINI MART FINAL MENU - Pr'!C508="", "", 'AYIRA MINI MART FINAL MENU - Pr'!C508)</f>
        <v>15</v>
      </c>
      <c r="D508" s="56" t="str">
        <f>IFERROR(__xludf.DUMMYFUNCTION("IF('AYIRA MINI MART FINAL MENU - Pr'!D508="""", """", GOOGLETRANSLATE('AYIRA MINI MART FINAL MENU - Pr'!D508,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08" s="56" t="str">
        <f>IF('AYIRA MINI MART FINAL MENU - Pr'!K508="", "", 'AYIRA MINI MART FINAL MENU - Pr'!K508)</f>
        <v/>
      </c>
      <c r="F508" s="56"/>
      <c r="G508" s="56"/>
      <c r="H508" s="56"/>
      <c r="I508" s="56"/>
      <c r="J508" s="56"/>
      <c r="L508" s="56" t="str">
        <f>IF('AYIRA MINI MART FINAL MENU - Pr'!L508="", "", 'AYIRA MINI MART FINAL MENU - Pr'!L508)</f>
        <v/>
      </c>
      <c r="M508" s="56" t="str">
        <f>IF('AYIRA MINI MART FINAL MENU - Pr'!M508="", "", 'AYIRA MINI MART FINAL MENU - Pr'!M508)</f>
        <v/>
      </c>
      <c r="N508" s="56" t="str">
        <f>IF('AYIRA MINI MART FINAL MENU - Pr'!N508="", "", 'AYIRA MINI MART FINAL MENU - Pr'!N508)</f>
        <v/>
      </c>
      <c r="O508" s="57"/>
      <c r="P508" s="57"/>
      <c r="Q508" s="57"/>
      <c r="R508" s="57"/>
      <c r="S508" s="57"/>
      <c r="T508" s="57"/>
      <c r="U508" s="57"/>
      <c r="V508" s="57"/>
      <c r="W508" s="57"/>
      <c r="X508" s="57"/>
      <c r="Y508" s="57"/>
      <c r="Z508" s="57"/>
    </row>
    <row r="509">
      <c r="A509" s="56" t="str">
        <f>IFERROR(__xludf.DUMMYFUNCTION("IF('AYIRA MINI MART FINAL MENU - Pr'!A509="""", """", IF(LEN(IFERROR(TRIM(REGEXREPLACE(TRIM(REGEXEXTRACT('AYIRA MINI MART FINAL MENU - Pr'!A509, ""^[^\x{0600}-\x{06FF}]+"")), ""[-–]+$"", """")), """"))&gt;0, IFERROR(TRIM(REGEXREPLACE(TRIM(REGEXEXTRACT('AYIRA"&amp;" MINI MART FINAL MENU - Pr'!A509, ""^[^\x{0600}-\x{06FF}]+"")), ""[-–]+$"", """")), """"), GOOGLETRANSLATE('AYIRA MINI MART FINAL MENU - Pr'!A509, ""ar"", ""en"")))"),"Extra Refreshers Watermelon Raspberry Flavour Sugar Free 30 pcs – Extra Refreshers Watermelon Raspberry Flavour")</f>
        <v>Extra Refreshers Watermelon Raspberry Flavour Sugar Free 30 pcs – Extra Refreshers Watermelon Raspberry Flavour</v>
      </c>
      <c r="B509" s="56" t="str">
        <f>IFERROR(__xludf.DUMMYFUNCTION("IF('AYIRA MINI MART FINAL MENU - Pr'!B509="""", """", IF(LEN(IFERROR(TRIM(REGEXREPLACE(TRIM(REGEXEXTRACT('AYIRA MINI MART FINAL MENU - Pr'!B509, ""^[^\x{0600}-\x{06FF}]+"")), ""[-–]+$"", """")), """"))&gt;0, IFERROR(TRIM(REGEXREPLACE(TRIM(REGEXEXTRACT('AYIRA"&amp;" MINI MART FINAL MENU - Pr'!B509, ""^[^\x{0600}-\x{06FF}]+"")), ""[-–]+$"", """")), """"), GOOGLETRANSLATE('AYIRA MINI MART FINAL MENU - Pr'!B509, ""ar"", ""en"")))"),"Gums |")</f>
        <v>Gums |</v>
      </c>
      <c r="C509" s="58">
        <f>IF('AYIRA MINI MART FINAL MENU - Pr'!C509="", "", 'AYIRA MINI MART FINAL MENU - Pr'!C509)</f>
        <v>16</v>
      </c>
      <c r="D509" s="56" t="str">
        <f>IFERROR(__xludf.DUMMYFUNCTION("IF('AYIRA MINI MART FINAL MENU - Pr'!D509="""", """", GOOGLETRANSLATE('AYIRA MINI MART FINAL MENU - Pr'!D509, ""ar"", ""en""))"),"Drink Extra,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Extra,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509" s="56" t="str">
        <f>IF('AYIRA MINI MART FINAL MENU - Pr'!K509="", "", 'AYIRA MINI MART FINAL MENU - Pr'!K509)</f>
        <v/>
      </c>
      <c r="F509" s="56"/>
      <c r="G509" s="56"/>
      <c r="H509" s="56"/>
      <c r="I509" s="56"/>
      <c r="J509" s="56"/>
      <c r="L509" s="56" t="str">
        <f>IF('AYIRA MINI MART FINAL MENU - Pr'!L509="", "", 'AYIRA MINI MART FINAL MENU - Pr'!L509)</f>
        <v/>
      </c>
      <c r="M509" s="56" t="str">
        <f>IF('AYIRA MINI MART FINAL MENU - Pr'!M509="", "", 'AYIRA MINI MART FINAL MENU - Pr'!M509)</f>
        <v/>
      </c>
      <c r="N509" s="56" t="str">
        <f>IF('AYIRA MINI MART FINAL MENU - Pr'!N509="", "", 'AYIRA MINI MART FINAL MENU - Pr'!N509)</f>
        <v/>
      </c>
      <c r="O509" s="57"/>
      <c r="P509" s="57"/>
      <c r="Q509" s="57"/>
      <c r="R509" s="57"/>
      <c r="S509" s="57"/>
      <c r="T509" s="57"/>
      <c r="U509" s="57"/>
      <c r="V509" s="57"/>
      <c r="W509" s="57"/>
      <c r="X509" s="57"/>
      <c r="Y509" s="57"/>
      <c r="Z509" s="57"/>
    </row>
    <row r="510">
      <c r="A510" s="56" t="str">
        <f>IFERROR(__xludf.DUMMYFUNCTION("IF('AYIRA MINI MART FINAL MENU - Pr'!A510="""", """", IF(LEN(IFERROR(TRIM(REGEXREPLACE(TRIM(REGEXEXTRACT('AYIRA MINI MART FINAL MENU - Pr'!A510, ""^[^\x{0600}-\x{06FF}]+"")), ""[-–]+$"", """")), """"))&gt;0, IFERROR(TRIM(REGEXREPLACE(TRIM(REGEXEXTRACT('AYIRA"&amp;" MINI MART FINAL MENU - Pr'!A510, ""^[^\x{0600}-\x{06FF}]+"")), ""[-–]+$"", """")), """"), GOOGLETRANSLATE('AYIRA MINI MART FINAL MENU - Pr'!A510, ""ar"", ""en"")))"),"Extra Strawberry Flavour 60 pcs – Extra")</f>
        <v>Extra Strawberry Flavour 60 pcs – Extra</v>
      </c>
      <c r="B510" s="56" t="str">
        <f>IFERROR(__xludf.DUMMYFUNCTION("IF('AYIRA MINI MART FINAL MENU - Pr'!B510="""", """", IF(LEN(IFERROR(TRIM(REGEXREPLACE(TRIM(REGEXEXTRACT('AYIRA MINI MART FINAL MENU - Pr'!B510, ""^[^\x{0600}-\x{06FF}]+"")), ""[-–]+$"", """")), """"))&gt;0, IFERROR(TRIM(REGEXREPLACE(TRIM(REGEXEXTRACT('AYIRA"&amp;" MINI MART FINAL MENU - Pr'!B510, ""^[^\x{0600}-\x{06FF}]+"")), ""[-–]+$"", """")), """"), GOOGLETRANSLATE('AYIRA MINI MART FINAL MENU - Pr'!B510, ""ar"", ""en"")))"),"Gums |")</f>
        <v>Gums |</v>
      </c>
      <c r="C510" s="58">
        <f>IF('AYIRA MINI MART FINAL MENU - Pr'!C510="", "", 'AYIRA MINI MART FINAL MENU - Pr'!C510)</f>
        <v>15</v>
      </c>
      <c r="D510" s="56" t="str">
        <f>IFERROR(__xludf.DUMMYFUNCTION("IF('AYIRA MINI MART FINAL MENU - Pr'!D510="""", """", GOOGLETRANSLATE('AYIRA MINI MART FINAL MENU - Pr'!D510,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10" s="56" t="str">
        <f>IF('AYIRA MINI MART FINAL MENU - Pr'!K510="", "", 'AYIRA MINI MART FINAL MENU - Pr'!K510)</f>
        <v/>
      </c>
      <c r="F510" s="56"/>
      <c r="G510" s="56"/>
      <c r="H510" s="56"/>
      <c r="I510" s="56"/>
      <c r="J510" s="56"/>
      <c r="L510" s="56" t="str">
        <f>IF('AYIRA MINI MART FINAL MENU - Pr'!L510="", "", 'AYIRA MINI MART FINAL MENU - Pr'!L510)</f>
        <v/>
      </c>
      <c r="M510" s="56" t="str">
        <f>IF('AYIRA MINI MART FINAL MENU - Pr'!M510="", "", 'AYIRA MINI MART FINAL MENU - Pr'!M510)</f>
        <v/>
      </c>
      <c r="N510" s="56" t="str">
        <f>IF('AYIRA MINI MART FINAL MENU - Pr'!N510="", "", 'AYIRA MINI MART FINAL MENU - Pr'!N510)</f>
        <v/>
      </c>
      <c r="O510" s="57"/>
      <c r="P510" s="57"/>
      <c r="Q510" s="57"/>
      <c r="R510" s="57"/>
      <c r="S510" s="57"/>
      <c r="T510" s="57"/>
      <c r="U510" s="57"/>
      <c r="V510" s="57"/>
      <c r="W510" s="57"/>
      <c r="X510" s="57"/>
      <c r="Y510" s="57"/>
      <c r="Z510" s="57"/>
    </row>
    <row r="511">
      <c r="A511" s="56" t="str">
        <f>IFERROR(__xludf.DUMMYFUNCTION("IF('AYIRA MINI MART FINAL MENU - Pr'!A511="""", """", IF(LEN(IFERROR(TRIM(REGEXREPLACE(TRIM(REGEXEXTRACT('AYIRA MINI MART FINAL MENU - Pr'!A511, ""^[^\x{0600}-\x{06FF}]+"")), ""[-–]+$"", """")), """"))&gt;0, IFERROR(TRIM(REGEXREPLACE(TRIM(REGEXEXTRACT('AYIRA"&amp;" MINI MART FINAL MENU - Pr'!A511, ""^[^\x{0600}-\x{06FF}]+"")), ""[-–]+$"", """")), """"), GOOGLETRANSLATE('AYIRA MINI MART FINAL MENU - Pr'!A511, ""ar"", ""en"")))"),"Extra Refreshers Spearmint Flavour Sugar Free 30 pcs – Extra Refreshers Spearmint Flavour")</f>
        <v>Extra Refreshers Spearmint Flavour Sugar Free 30 pcs – Extra Refreshers Spearmint Flavour</v>
      </c>
      <c r="B511" s="56" t="str">
        <f>IFERROR(__xludf.DUMMYFUNCTION("IF('AYIRA MINI MART FINAL MENU - Pr'!B511="""", """", IF(LEN(IFERROR(TRIM(REGEXREPLACE(TRIM(REGEXEXTRACT('AYIRA MINI MART FINAL MENU - Pr'!B511, ""^[^\x{0600}-\x{06FF}]+"")), ""[-–]+$"", """")), """"))&gt;0, IFERROR(TRIM(REGEXREPLACE(TRIM(REGEXEXTRACT('AYIRA"&amp;" MINI MART FINAL MENU - Pr'!B511, ""^[^\x{0600}-\x{06FF}]+"")), ""[-–]+$"", """")), """"), GOOGLETRANSLATE('AYIRA MINI MART FINAL MENU - Pr'!B511, ""ar"", ""en"")))"),"Gums |")</f>
        <v>Gums |</v>
      </c>
      <c r="C511" s="58">
        <f>IF('AYIRA MINI MART FINAL MENU - Pr'!C511="", "", 'AYIRA MINI MART FINAL MENU - Pr'!C511)</f>
        <v>16</v>
      </c>
      <c r="D511" s="56" t="str">
        <f>IFERROR(__xludf.DUMMYFUNCTION("IF('AYIRA MINI MART FINAL MENU - Pr'!D511="""", """", GOOGLETRANSLATE('AYIRA MINI MART FINAL MENU - Pr'!D511, ""ar"", ""en""))"),"Add a sweet touch to your day with Extra, the delicious treat loved by everyone. Its variety of flavors and vibrant colors make it suitable for all ages. Perfect as a small reward or a light gift for friends and family. Made with high-quality ingredients "&amp;"to ensure a great taste in every piece. Get yours from Aira Mini Mart and spread joy to your loved ones.")</f>
        <v>Add a sweet touch to your day with Extra, the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joy to your loved ones.</v>
      </c>
      <c r="E511" s="56" t="str">
        <f>IF('AYIRA MINI MART FINAL MENU - Pr'!K511="", "", 'AYIRA MINI MART FINAL MENU - Pr'!K511)</f>
        <v/>
      </c>
      <c r="F511" s="56"/>
      <c r="G511" s="56"/>
      <c r="H511" s="56"/>
      <c r="I511" s="56"/>
      <c r="J511" s="56"/>
      <c r="L511" s="56" t="str">
        <f>IF('AYIRA MINI MART FINAL MENU - Pr'!L511="", "", 'AYIRA MINI MART FINAL MENU - Pr'!L511)</f>
        <v/>
      </c>
      <c r="M511" s="56" t="str">
        <f>IF('AYIRA MINI MART FINAL MENU - Pr'!M511="", "", 'AYIRA MINI MART FINAL MENU - Pr'!M511)</f>
        <v/>
      </c>
      <c r="N511" s="56" t="str">
        <f>IF('AYIRA MINI MART FINAL MENU - Pr'!N511="", "", 'AYIRA MINI MART FINAL MENU - Pr'!N511)</f>
        <v/>
      </c>
      <c r="O511" s="57"/>
      <c r="P511" s="57"/>
      <c r="Q511" s="57"/>
      <c r="R511" s="57"/>
      <c r="S511" s="57"/>
      <c r="T511" s="57"/>
      <c r="U511" s="57"/>
      <c r="V511" s="57"/>
      <c r="W511" s="57"/>
      <c r="X511" s="57"/>
      <c r="Y511" s="57"/>
      <c r="Z511" s="57"/>
    </row>
    <row r="512">
      <c r="A512" s="56" t="str">
        <f>IFERROR(__xludf.DUMMYFUNCTION("IF('AYIRA MINI MART FINAL MENU - Pr'!A512="""", """", IF(LEN(IFERROR(TRIM(REGEXREPLACE(TRIM(REGEXEXTRACT('AYIRA MINI MART FINAL MENU - Pr'!A512, ""^[^\x{0600}-\x{06FF}]+"")), ""[-–]+$"", """")), """"))&gt;0, IFERROR(TRIM(REGEXREPLACE(TRIM(REGEXEXTRACT('AYIRA"&amp;" MINI MART FINAL MENU - Pr'!A512, ""^[^\x{0600}-\x{06FF}]+"")), ""[-–]+$"", """")), """"), GOOGLETRANSLATE('AYIRA MINI MART FINAL MENU - Pr'!A512, ""ar"", ""en"")))"),"Extra Mega Spearmint Chewing Gum 23 Cubes")</f>
        <v>Extra Mega Spearmint Chewing Gum 23 Cubes</v>
      </c>
      <c r="B512" s="56" t="str">
        <f>IFERROR(__xludf.DUMMYFUNCTION("IF('AYIRA MINI MART FINAL MENU - Pr'!B512="""", """", IF(LEN(IFERROR(TRIM(REGEXREPLACE(TRIM(REGEXEXTRACT('AYIRA MINI MART FINAL MENU - Pr'!B512, ""^[^\x{0600}-\x{06FF}]+"")), ""[-–]+$"", """")), """"))&gt;0, IFERROR(TRIM(REGEXREPLACE(TRIM(REGEXEXTRACT('AYIRA"&amp;" MINI MART FINAL MENU - Pr'!B512, ""^[^\x{0600}-\x{06FF}]+"")), ""[-–]+$"", """")), """"), GOOGLETRANSLATE('AYIRA MINI MART FINAL MENU - Pr'!B512, ""ar"", ""en"")))"),"Gums |")</f>
        <v>Gums |</v>
      </c>
      <c r="C512" s="58">
        <f>IF('AYIRA MINI MART FINAL MENU - Pr'!C512="", "", 'AYIRA MINI MART FINAL MENU - Pr'!C512)</f>
        <v>12.5</v>
      </c>
      <c r="D512" s="56" t="str">
        <f>IFERROR(__xludf.DUMMYFUNCTION("IF('AYIRA MINI MART FINAL MENU - Pr'!D512="""", """", GOOGLETRANSLATE('AYIRA MINI MART FINAL MENU - Pr'!D512,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12" s="56" t="str">
        <f>IF('AYIRA MINI MART FINAL MENU - Pr'!K512="", "", 'AYIRA MINI MART FINAL MENU - Pr'!K512)</f>
        <v/>
      </c>
      <c r="F512" s="56"/>
      <c r="G512" s="56"/>
      <c r="H512" s="56"/>
      <c r="I512" s="56"/>
      <c r="J512" s="56"/>
      <c r="L512" s="56" t="str">
        <f>IF('AYIRA MINI MART FINAL MENU - Pr'!L512="", "", 'AYIRA MINI MART FINAL MENU - Pr'!L512)</f>
        <v/>
      </c>
      <c r="M512" s="56" t="str">
        <f>IF('AYIRA MINI MART FINAL MENU - Pr'!M512="", "", 'AYIRA MINI MART FINAL MENU - Pr'!M512)</f>
        <v/>
      </c>
      <c r="N512" s="56" t="str">
        <f>IF('AYIRA MINI MART FINAL MENU - Pr'!N512="", "", 'AYIRA MINI MART FINAL MENU - Pr'!N512)</f>
        <v/>
      </c>
      <c r="O512" s="57"/>
      <c r="P512" s="57"/>
      <c r="Q512" s="57"/>
      <c r="R512" s="57"/>
      <c r="S512" s="57"/>
      <c r="T512" s="57"/>
      <c r="U512" s="57"/>
      <c r="V512" s="57"/>
      <c r="W512" s="57"/>
      <c r="X512" s="57"/>
      <c r="Y512" s="57"/>
      <c r="Z512" s="57"/>
    </row>
    <row r="513">
      <c r="A513" s="56" t="str">
        <f>IFERROR(__xludf.DUMMYFUNCTION("IF('AYIRA MINI MART FINAL MENU - Pr'!A513="""", """", IF(LEN(IFERROR(TRIM(REGEXREPLACE(TRIM(REGEXEXTRACT('AYIRA MINI MART FINAL MENU - Pr'!A513, ""^[^\x{0600}-\x{06FF}]+"")), ""[-–]+$"", """")), """"))&gt;0, IFERROR(TRIM(REGEXREPLACE(TRIM(REGEXEXTRACT('AYIRA"&amp;" MINI MART FINAL MENU - Pr'!A513, ""^[^\x{0600}-\x{06FF}]+"")), ""[-–]+$"", """")), """"), GOOGLETRANSLATE('AYIRA MINI MART FINAL MENU - Pr'!A513, ""ar"", ""en"")))"),"Airwaves Chewing Gum 40 pcs")</f>
        <v>Airwaves Chewing Gum 40 pcs</v>
      </c>
      <c r="B513" s="56" t="str">
        <f>IFERROR(__xludf.DUMMYFUNCTION("IF('AYIRA MINI MART FINAL MENU - Pr'!B513="""", """", IF(LEN(IFERROR(TRIM(REGEXREPLACE(TRIM(REGEXEXTRACT('AYIRA MINI MART FINAL MENU - Pr'!B513, ""^[^\x{0600}-\x{06FF}]+"")), ""[-–]+$"", """")), """"))&gt;0, IFERROR(TRIM(REGEXREPLACE(TRIM(REGEXEXTRACT('AYIRA"&amp;" MINI MART FINAL MENU - Pr'!B513, ""^[^\x{0600}-\x{06FF}]+"")), ""[-–]+$"", """")), """"), GOOGLETRANSLATE('AYIRA MINI MART FINAL MENU - Pr'!B513, ""ar"", ""en"")))"),"Gums |")</f>
        <v>Gums |</v>
      </c>
      <c r="C513" s="58">
        <f>IF('AYIRA MINI MART FINAL MENU - Pr'!C513="", "", 'AYIRA MINI MART FINAL MENU - Pr'!C513)</f>
        <v>12</v>
      </c>
      <c r="D513" s="56" t="str">
        <f>IFERROR(__xludf.DUMMYFUNCTION("IF('AYIRA MINI MART FINAL MENU - Pr'!D513="""", """", GOOGLETRANSLATE('AYIRA MINI MART FINAL MENU - Pr'!D513, ""ar"", ""en""))"),"Enjoy Airwaves Chewing Gum 40 pcs, the refreshing gum that keeps your mouth clean and fresh all day long. Its long-lasting flavor and unique formula make it the perfect choice for those seeking continuous freshness throughout the day. It helps to invigora"&amp;"te teeth and freshen breath beautifully. Suitable anytime, anywhere. Get it from Aira Mini Mart and enjoy continuous freshness.")</f>
        <v>Enjoy Airwaves Chewing Gum 40 pcs,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13" s="56" t="str">
        <f>IF('AYIRA MINI MART FINAL MENU - Pr'!K513="", "", 'AYIRA MINI MART FINAL MENU - Pr'!K513)</f>
        <v/>
      </c>
      <c r="F513" s="56"/>
      <c r="G513" s="56"/>
      <c r="H513" s="56"/>
      <c r="I513" s="56"/>
      <c r="J513" s="56"/>
      <c r="L513" s="56" t="str">
        <f>IF('AYIRA MINI MART FINAL MENU - Pr'!L513="", "", 'AYIRA MINI MART FINAL MENU - Pr'!L513)</f>
        <v/>
      </c>
      <c r="M513" s="56" t="str">
        <f>IF('AYIRA MINI MART FINAL MENU - Pr'!M513="", "", 'AYIRA MINI MART FINAL MENU - Pr'!M513)</f>
        <v/>
      </c>
      <c r="N513" s="56" t="str">
        <f>IF('AYIRA MINI MART FINAL MENU - Pr'!N513="", "", 'AYIRA MINI MART FINAL MENU - Pr'!N513)</f>
        <v/>
      </c>
      <c r="O513" s="57"/>
      <c r="P513" s="57"/>
      <c r="Q513" s="57"/>
      <c r="R513" s="57"/>
      <c r="S513" s="57"/>
      <c r="T513" s="57"/>
      <c r="U513" s="57"/>
      <c r="V513" s="57"/>
      <c r="W513" s="57"/>
      <c r="X513" s="57"/>
      <c r="Y513" s="57"/>
      <c r="Z513" s="57"/>
    </row>
    <row r="514">
      <c r="A514" s="56" t="str">
        <f>IFERROR(__xludf.DUMMYFUNCTION("IF('AYIRA MINI MART FINAL MENU - Pr'!A514="""", """", IF(LEN(IFERROR(TRIM(REGEXREPLACE(TRIM(REGEXEXTRACT('AYIRA MINI MART FINAL MENU - Pr'!A514, ""^[^\x{0600}-\x{06FF}]+"")), ""[-–]+$"", """")), """"))&gt;0, IFERROR(TRIM(REGEXREPLACE(TRIM(REGEXEXTRACT('AYIRA"&amp;" MINI MART FINAL MENU - Pr'!A514, ""^[^\x{0600}-\x{06FF}]+"")), ""[-–]+$"", """")), """"), GOOGLETRANSLATE('AYIRA MINI MART FINAL MENU - Pr'!A514, ""ar"", ""en"")))"),"Extra Mega Peppermint Chewing Gum 23 Cubes")</f>
        <v>Extra Mega Peppermint Chewing Gum 23 Cubes</v>
      </c>
      <c r="B514" s="56" t="str">
        <f>IFERROR(__xludf.DUMMYFUNCTION("IF('AYIRA MINI MART FINAL MENU - Pr'!B514="""", """", IF(LEN(IFERROR(TRIM(REGEXREPLACE(TRIM(REGEXEXTRACT('AYIRA MINI MART FINAL MENU - Pr'!B514, ""^[^\x{0600}-\x{06FF}]+"")), ""[-–]+$"", """")), """"))&gt;0, IFERROR(TRIM(REGEXREPLACE(TRIM(REGEXEXTRACT('AYIRA"&amp;" MINI MART FINAL MENU - Pr'!B514, ""^[^\x{0600}-\x{06FF}]+"")), ""[-–]+$"", """")), """"), GOOGLETRANSLATE('AYIRA MINI MART FINAL MENU - Pr'!B514, ""ar"", ""en"")))"),"Gums |")</f>
        <v>Gums |</v>
      </c>
      <c r="C514" s="58">
        <f>IF('AYIRA MINI MART FINAL MENU - Pr'!C514="", "", 'AYIRA MINI MART FINAL MENU - Pr'!C514)</f>
        <v>12.5</v>
      </c>
      <c r="D514" s="56" t="str">
        <f>IFERROR(__xludf.DUMMYFUNCTION("IF('AYIRA MINI MART FINAL MENU - Pr'!D514="""", """", GOOGLETRANSLATE('AYIRA MINI MART FINAL MENU - Pr'!D514,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14" s="56" t="str">
        <f>IF('AYIRA MINI MART FINAL MENU - Pr'!K514="", "", 'AYIRA MINI MART FINAL MENU - Pr'!K514)</f>
        <v/>
      </c>
      <c r="F514" s="56"/>
      <c r="G514" s="56"/>
      <c r="H514" s="56"/>
      <c r="I514" s="56"/>
      <c r="J514" s="56"/>
      <c r="L514" s="56" t="str">
        <f>IF('AYIRA MINI MART FINAL MENU - Pr'!L514="", "", 'AYIRA MINI MART FINAL MENU - Pr'!L514)</f>
        <v/>
      </c>
      <c r="M514" s="56" t="str">
        <f>IF('AYIRA MINI MART FINAL MENU - Pr'!M514="", "", 'AYIRA MINI MART FINAL MENU - Pr'!M514)</f>
        <v/>
      </c>
      <c r="N514" s="56" t="str">
        <f>IF('AYIRA MINI MART FINAL MENU - Pr'!N514="", "", 'AYIRA MINI MART FINAL MENU - Pr'!N514)</f>
        <v/>
      </c>
      <c r="O514" s="57"/>
      <c r="P514" s="57"/>
      <c r="Q514" s="57"/>
      <c r="R514" s="57"/>
      <c r="S514" s="57"/>
      <c r="T514" s="57"/>
      <c r="U514" s="57"/>
      <c r="V514" s="57"/>
      <c r="W514" s="57"/>
      <c r="X514" s="57"/>
      <c r="Y514" s="57"/>
      <c r="Z514" s="57"/>
    </row>
    <row r="515">
      <c r="A515" s="56" t="str">
        <f>IFERROR(__xludf.DUMMYFUNCTION("IF('AYIRA MINI MART FINAL MENU - Pr'!A515="""", """", IF(LEN(IFERROR(TRIM(REGEXREPLACE(TRIM(REGEXEXTRACT('AYIRA MINI MART FINAL MENU - Pr'!A515, ""^[^\x{0600}-\x{06FF}]+"")), ""[-–]+$"", """")), """"))&gt;0, IFERROR(TRIM(REGEXREPLACE(TRIM(REGEXEXTRACT('AYIRA"&amp;" MINI MART FINAL MENU - Pr'!A515, ""^[^\x{0600}-\x{06FF}]+"")), ""[-–]+$"", """")), """"), GOOGLETRANSLATE('AYIRA MINI MART FINAL MENU - Pr'!A515, ""ar"", ""en"")))"),"Extra Bubblemint Flavour Chewing Gum 14g – Extra Bubblemint Flavour Chewing Gum 14")</f>
        <v>Extra Bubblemint Flavour Chewing Gum 14g – Extra Bubblemint Flavour Chewing Gum 14</v>
      </c>
      <c r="B515" s="56" t="str">
        <f>IFERROR(__xludf.DUMMYFUNCTION("IF('AYIRA MINI MART FINAL MENU - Pr'!B515="""", """", IF(LEN(IFERROR(TRIM(REGEXREPLACE(TRIM(REGEXEXTRACT('AYIRA MINI MART FINAL MENU - Pr'!B515, ""^[^\x{0600}-\x{06FF}]+"")), ""[-–]+$"", """")), """"))&gt;0, IFERROR(TRIM(REGEXREPLACE(TRIM(REGEXEXTRACT('AYIRA"&amp;" MINI MART FINAL MENU - Pr'!B515, ""^[^\x{0600}-\x{06FF}]+"")), ""[-–]+$"", """")), """"), GOOGLETRANSLATE('AYIRA MINI MART FINAL MENU - Pr'!B515, ""ar"", ""en"")))"),"Gums |")</f>
        <v>Gums |</v>
      </c>
      <c r="C515" s="58">
        <f>IF('AYIRA MINI MART FINAL MENU - Pr'!C515="", "", 'AYIRA MINI MART FINAL MENU - Pr'!C515)</f>
        <v>2.5</v>
      </c>
      <c r="D515" s="56" t="str">
        <f>IFERROR(__xludf.DUMMYFUNCTION("IF('AYIRA MINI MART FINAL MENU - Pr'!D515="""", """", GOOGLETRANSLATE('AYIRA MINI MART FINAL MENU - Pr'!D515,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15" s="56" t="str">
        <f>IF('AYIRA MINI MART FINAL MENU - Pr'!K515="", "", 'AYIRA MINI MART FINAL MENU - Pr'!K515)</f>
        <v/>
      </c>
      <c r="F515" s="56"/>
      <c r="G515" s="56"/>
      <c r="H515" s="56"/>
      <c r="I515" s="56"/>
      <c r="J515" s="56"/>
      <c r="L515" s="56" t="str">
        <f>IF('AYIRA MINI MART FINAL MENU - Pr'!L515="", "", 'AYIRA MINI MART FINAL MENU - Pr'!L515)</f>
        <v/>
      </c>
      <c r="M515" s="56" t="str">
        <f>IF('AYIRA MINI MART FINAL MENU - Pr'!M515="", "", 'AYIRA MINI MART FINAL MENU - Pr'!M515)</f>
        <v/>
      </c>
      <c r="N515" s="56" t="str">
        <f>IF('AYIRA MINI MART FINAL MENU - Pr'!N515="", "", 'AYIRA MINI MART FINAL MENU - Pr'!N515)</f>
        <v/>
      </c>
      <c r="O515" s="57"/>
      <c r="P515" s="57"/>
      <c r="Q515" s="57"/>
      <c r="R515" s="57"/>
      <c r="S515" s="57"/>
      <c r="T515" s="57"/>
      <c r="U515" s="57"/>
      <c r="V515" s="57"/>
      <c r="W515" s="57"/>
      <c r="X515" s="57"/>
      <c r="Y515" s="57"/>
      <c r="Z515" s="57"/>
    </row>
    <row r="516">
      <c r="A516" s="56" t="str">
        <f>IFERROR(__xludf.DUMMYFUNCTION("IF('AYIRA MINI MART FINAL MENU - Pr'!A516="""", """", IF(LEN(IFERROR(TRIM(REGEXREPLACE(TRIM(REGEXEXTRACT('AYIRA MINI MART FINAL MENU - Pr'!A516, ""^[^\x{0600}-\x{06FF}]+"")), ""[-–]+$"", """")), """"))&gt;0, IFERROR(TRIM(REGEXREPLACE(TRIM(REGEXEXTRACT('AYIRA"&amp;" MINI MART FINAL MENU - Pr'!A516, ""^[^\x{0600}-\x{06FF}]+"")), ""[-–]+$"", """")), """"), GOOGLETRANSLATE('AYIRA MINI MART FINAL MENU - Pr'!A516, ""ar"", ""en"")))"),"Extra Peppermint Flavour Chewing Gum 14g – Extra Peppermint Flavour Chewing Gum 14")</f>
        <v>Extra Peppermint Flavour Chewing Gum 14g – Extra Peppermint Flavour Chewing Gum 14</v>
      </c>
      <c r="B516" s="56" t="str">
        <f>IFERROR(__xludf.DUMMYFUNCTION("IF('AYIRA MINI MART FINAL MENU - Pr'!B516="""", """", IF(LEN(IFERROR(TRIM(REGEXREPLACE(TRIM(REGEXEXTRACT('AYIRA MINI MART FINAL MENU - Pr'!B516, ""^[^\x{0600}-\x{06FF}]+"")), ""[-–]+$"", """")), """"))&gt;0, IFERROR(TRIM(REGEXREPLACE(TRIM(REGEXEXTRACT('AYIRA"&amp;" MINI MART FINAL MENU - Pr'!B516, ""^[^\x{0600}-\x{06FF}]+"")), ""[-–]+$"", """")), """"), GOOGLETRANSLATE('AYIRA MINI MART FINAL MENU - Pr'!B516, ""ar"", ""en"")))"),"Gums |")</f>
        <v>Gums |</v>
      </c>
      <c r="C516" s="58">
        <f>IF('AYIRA MINI MART FINAL MENU - Pr'!C516="", "", 'AYIRA MINI MART FINAL MENU - Pr'!C516)</f>
        <v>2.5</v>
      </c>
      <c r="D516" s="56" t="str">
        <f>IFERROR(__xludf.DUMMYFUNCTION("IF('AYIRA MINI MART FINAL MENU - Pr'!D516="""", """", GOOGLETRANSLATE('AYIRA MINI MART FINAL MENU - Pr'!D516,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16" s="56" t="str">
        <f>IF('AYIRA MINI MART FINAL MENU - Pr'!K516="", "", 'AYIRA MINI MART FINAL MENU - Pr'!K516)</f>
        <v/>
      </c>
      <c r="F516" s="56"/>
      <c r="G516" s="56"/>
      <c r="H516" s="56"/>
      <c r="I516" s="56"/>
      <c r="J516" s="56"/>
      <c r="L516" s="56" t="str">
        <f>IF('AYIRA MINI MART FINAL MENU - Pr'!L516="", "", 'AYIRA MINI MART FINAL MENU - Pr'!L516)</f>
        <v/>
      </c>
      <c r="M516" s="56" t="str">
        <f>IF('AYIRA MINI MART FINAL MENU - Pr'!M516="", "", 'AYIRA MINI MART FINAL MENU - Pr'!M516)</f>
        <v/>
      </c>
      <c r="N516" s="56" t="str">
        <f>IF('AYIRA MINI MART FINAL MENU - Pr'!N516="", "", 'AYIRA MINI MART FINAL MENU - Pr'!N516)</f>
        <v/>
      </c>
      <c r="O516" s="57"/>
      <c r="P516" s="57"/>
      <c r="Q516" s="57"/>
      <c r="R516" s="57"/>
      <c r="S516" s="57"/>
      <c r="T516" s="57"/>
      <c r="U516" s="57"/>
      <c r="V516" s="57"/>
      <c r="W516" s="57"/>
      <c r="X516" s="57"/>
      <c r="Y516" s="57"/>
      <c r="Z516" s="57"/>
    </row>
    <row r="517">
      <c r="A517" s="56" t="str">
        <f>IFERROR(__xludf.DUMMYFUNCTION("IF('AYIRA MINI MART FINAL MENU - Pr'!A517="""", """", IF(LEN(IFERROR(TRIM(REGEXREPLACE(TRIM(REGEXEXTRACT('AYIRA MINI MART FINAL MENU - Pr'!A517, ""^[^\x{0600}-\x{06FF}]+"")), ""[-–]+$"", """")), """"))&gt;0, IFERROR(TRIM(REGEXREPLACE(TRIM(REGEXEXTRACT('AYIRA"&amp;" MINI MART FINAL MENU - Pr'!A517, ""^[^\x{0600}-\x{06FF}]+"")), ""[-–]+$"", """")), """"), GOOGLETRANSLATE('AYIRA MINI MART FINAL MENU - Pr'!A517, ""ar"", ""en"")))"),"Extra Spearmint Flavour Chewing Gum 14g – Extra Spearmint Flavour Chewing Gum 14")</f>
        <v>Extra Spearmint Flavour Chewing Gum 14g – Extra Spearmint Flavour Chewing Gum 14</v>
      </c>
      <c r="B517" s="56" t="str">
        <f>IFERROR(__xludf.DUMMYFUNCTION("IF('AYIRA MINI MART FINAL MENU - Pr'!B517="""", """", IF(LEN(IFERROR(TRIM(REGEXREPLACE(TRIM(REGEXEXTRACT('AYIRA MINI MART FINAL MENU - Pr'!B517, ""^[^\x{0600}-\x{06FF}]+"")), ""[-–]+$"", """")), """"))&gt;0, IFERROR(TRIM(REGEXREPLACE(TRIM(REGEXEXTRACT('AYIRA"&amp;" MINI MART FINAL MENU - Pr'!B517, ""^[^\x{0600}-\x{06FF}]+"")), ""[-–]+$"", """")), """"), GOOGLETRANSLATE('AYIRA MINI MART FINAL MENU - Pr'!B517, ""ar"", ""en"")))"),"Gums |")</f>
        <v>Gums |</v>
      </c>
      <c r="C517" s="58">
        <f>IF('AYIRA MINI MART FINAL MENU - Pr'!C517="", "", 'AYIRA MINI MART FINAL MENU - Pr'!C517)</f>
        <v>2.5</v>
      </c>
      <c r="D517" s="56" t="str">
        <f>IFERROR(__xludf.DUMMYFUNCTION("IF('AYIRA MINI MART FINAL MENU - Pr'!D517="""", """", GOOGLETRANSLATE('AYIRA MINI MART FINAL MENU - Pr'!D517,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17" s="56" t="str">
        <f>IF('AYIRA MINI MART FINAL MENU - Pr'!K517="", "", 'AYIRA MINI MART FINAL MENU - Pr'!K517)</f>
        <v/>
      </c>
      <c r="F517" s="56"/>
      <c r="G517" s="56"/>
      <c r="H517" s="56"/>
      <c r="I517" s="56"/>
      <c r="J517" s="56"/>
      <c r="L517" s="56" t="str">
        <f>IF('AYIRA MINI MART FINAL MENU - Pr'!L517="", "", 'AYIRA MINI MART FINAL MENU - Pr'!L517)</f>
        <v/>
      </c>
      <c r="M517" s="56" t="str">
        <f>IF('AYIRA MINI MART FINAL MENU - Pr'!M517="", "", 'AYIRA MINI MART FINAL MENU - Pr'!M517)</f>
        <v/>
      </c>
      <c r="N517" s="56" t="str">
        <f>IF('AYIRA MINI MART FINAL MENU - Pr'!N517="", "", 'AYIRA MINI MART FINAL MENU - Pr'!N517)</f>
        <v/>
      </c>
      <c r="O517" s="57"/>
      <c r="P517" s="57"/>
      <c r="Q517" s="57"/>
      <c r="R517" s="57"/>
      <c r="S517" s="57"/>
      <c r="T517" s="57"/>
      <c r="U517" s="57"/>
      <c r="V517" s="57"/>
      <c r="W517" s="57"/>
      <c r="X517" s="57"/>
      <c r="Y517" s="57"/>
      <c r="Z517" s="57"/>
    </row>
    <row r="518">
      <c r="A518" s="56" t="str">
        <f>IFERROR(__xludf.DUMMYFUNCTION("IF('AYIRA MINI MART FINAL MENU - Pr'!A518="""", """", IF(LEN(IFERROR(TRIM(REGEXREPLACE(TRIM(REGEXEXTRACT('AYIRA MINI MART FINAL MENU - Pr'!A518, ""^[^\x{0600}-\x{06FF}]+"")), ""[-–]+$"", """")), """"))&gt;0, IFERROR(TRIM(REGEXREPLACE(TRIM(REGEXEXTRACT('AYIRA"&amp;" MINI MART FINAL MENU - Pr'!A518, ""^[^\x{0600}-\x{06FF}]+"")), ""[-–]+$"", """")), """"), GOOGLETRANSLATE('AYIRA MINI MART FINAL MENU - Pr'!A518, ""ar"", ""en"")))"),"Airwaves Chewing Gum 14g – Airwaves Chewing Gum 14")</f>
        <v>Airwaves Chewing Gum 14g – Airwaves Chewing Gum 14</v>
      </c>
      <c r="B518" s="56" t="str">
        <f>IFERROR(__xludf.DUMMYFUNCTION("IF('AYIRA MINI MART FINAL MENU - Pr'!B518="""", """", IF(LEN(IFERROR(TRIM(REGEXREPLACE(TRIM(REGEXEXTRACT('AYIRA MINI MART FINAL MENU - Pr'!B518, ""^[^\x{0600}-\x{06FF}]+"")), ""[-–]+$"", """")), """"))&gt;0, IFERROR(TRIM(REGEXREPLACE(TRIM(REGEXEXTRACT('AYIRA"&amp;" MINI MART FINAL MENU - Pr'!B518, ""^[^\x{0600}-\x{06FF}]+"")), ""[-–]+$"", """")), """"), GOOGLETRANSLATE('AYIRA MINI MART FINAL MENU - Pr'!B518, ""ar"", ""en"")))"),"Gums |")</f>
        <v>Gums |</v>
      </c>
      <c r="C518" s="58">
        <f>IF('AYIRA MINI MART FINAL MENU - Pr'!C518="", "", 'AYIRA MINI MART FINAL MENU - Pr'!C518)</f>
        <v>2.5</v>
      </c>
      <c r="D518" s="56" t="str">
        <f>IFERROR(__xludf.DUMMYFUNCTION("IF('AYIRA MINI MART FINAL MENU - Pr'!D518="""", """", GOOGLETRANSLATE('AYIRA MINI MART FINAL MENU - Pr'!D518, ""ar"", ""en""))"),"Enjoy Airwaves Chewing Gum 14g, the refreshing gum that keeps your mouth clean and fresh all day long. Its long-lasting flavor and unique formula make it the perfect choice for those seeking continuous freshness throughout the day. It helps to invigorate "&amp;"teeth and freshen breath beautifully. Suitable anytime, anywhere. Get it from Aira Mini Mart and enjoy continuous freshness.")</f>
        <v>Enjoy Airwaves Chewing Gum 14g,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18" s="56" t="str">
        <f>IF('AYIRA MINI MART FINAL MENU - Pr'!K518="", "", 'AYIRA MINI MART FINAL MENU - Pr'!K518)</f>
        <v/>
      </c>
      <c r="F518" s="56"/>
      <c r="G518" s="56"/>
      <c r="H518" s="56"/>
      <c r="I518" s="56"/>
      <c r="J518" s="56"/>
      <c r="L518" s="56" t="str">
        <f>IF('AYIRA MINI MART FINAL MENU - Pr'!L518="", "", 'AYIRA MINI MART FINAL MENU - Pr'!L518)</f>
        <v/>
      </c>
      <c r="M518" s="56" t="str">
        <f>IF('AYIRA MINI MART FINAL MENU - Pr'!M518="", "", 'AYIRA MINI MART FINAL MENU - Pr'!M518)</f>
        <v/>
      </c>
      <c r="N518" s="56" t="str">
        <f>IF('AYIRA MINI MART FINAL MENU - Pr'!N518="", "", 'AYIRA MINI MART FINAL MENU - Pr'!N518)</f>
        <v/>
      </c>
      <c r="O518" s="57"/>
      <c r="P518" s="57"/>
      <c r="Q518" s="57"/>
      <c r="R518" s="57"/>
      <c r="S518" s="57"/>
      <c r="T518" s="57"/>
      <c r="U518" s="57"/>
      <c r="V518" s="57"/>
      <c r="W518" s="57"/>
      <c r="X518" s="57"/>
      <c r="Y518" s="57"/>
      <c r="Z518" s="57"/>
    </row>
    <row r="519">
      <c r="A519" s="56" t="str">
        <f>IFERROR(__xludf.DUMMYFUNCTION("IF('AYIRA MINI MART FINAL MENU - Pr'!A519="""", """", IF(LEN(IFERROR(TRIM(REGEXREPLACE(TRIM(REGEXEXTRACT('AYIRA MINI MART FINAL MENU - Pr'!A519, ""^[^\x{0600}-\x{06FF}]+"")), ""[-–]+$"", """")), """"))&gt;0, IFERROR(TRIM(REGEXREPLACE(TRIM(REGEXEXTRACT('AYIRA"&amp;" MINI MART FINAL MENU - Pr'!A519, ""^[^\x{0600}-\x{06FF}]+"")), ""[-–]+$"", """")), """"), GOOGLETRANSLATE('AYIRA MINI MART FINAL MENU - Pr'!A519, ""ar"", ""en"")))"),"Extra Strawberry Flavour Chewing Gum 14g – Extra")</f>
        <v>Extra Strawberry Flavour Chewing Gum 14g – Extra</v>
      </c>
      <c r="B519" s="56" t="str">
        <f>IFERROR(__xludf.DUMMYFUNCTION("IF('AYIRA MINI MART FINAL MENU - Pr'!B519="""", """", IF(LEN(IFERROR(TRIM(REGEXREPLACE(TRIM(REGEXEXTRACT('AYIRA MINI MART FINAL MENU - Pr'!B519, ""^[^\x{0600}-\x{06FF}]+"")), ""[-–]+$"", """")), """"))&gt;0, IFERROR(TRIM(REGEXREPLACE(TRIM(REGEXEXTRACT('AYIRA"&amp;" MINI MART FINAL MENU - Pr'!B519, ""^[^\x{0600}-\x{06FF}]+"")), ""[-–]+$"", """")), """"), GOOGLETRANSLATE('AYIRA MINI MART FINAL MENU - Pr'!B519, ""ar"", ""en"")))"),"Gums |")</f>
        <v>Gums |</v>
      </c>
      <c r="C519" s="58">
        <f>IF('AYIRA MINI MART FINAL MENU - Pr'!C519="", "", 'AYIRA MINI MART FINAL MENU - Pr'!C519)</f>
        <v>2.5</v>
      </c>
      <c r="D519" s="56" t="str">
        <f>IFERROR(__xludf.DUMMYFUNCTION("IF('AYIRA MINI MART FINAL MENU - Pr'!D519="""", """", GOOGLETRANSLATE('AYIRA MINI MART FINAL MENU - Pr'!D519, ""ar"", ""en""))"),"Enjoy Extra, the refreshing gum that keeps your mouth clean and fresh all day long. Its long-lasting flavor and unique formula make it the perfect choice for those seeking continuous freshness throughout the day. It helps to invigorate teeth and freshen b"&amp;"reath beautifully. Suitable anytime, anywhere. Get it from Aira Mini Mart and enjoy continuous freshness.")</f>
        <v>Enjoy Extra,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19" s="56" t="str">
        <f>IF('AYIRA MINI MART FINAL MENU - Pr'!K519="", "", 'AYIRA MINI MART FINAL MENU - Pr'!K519)</f>
        <v/>
      </c>
      <c r="F519" s="56"/>
      <c r="G519" s="56"/>
      <c r="H519" s="56"/>
      <c r="I519" s="56"/>
      <c r="J519" s="56"/>
      <c r="L519" s="56" t="str">
        <f>IF('AYIRA MINI MART FINAL MENU - Pr'!L519="", "", 'AYIRA MINI MART FINAL MENU - Pr'!L519)</f>
        <v/>
      </c>
      <c r="M519" s="56" t="str">
        <f>IF('AYIRA MINI MART FINAL MENU - Pr'!M519="", "", 'AYIRA MINI MART FINAL MENU - Pr'!M519)</f>
        <v/>
      </c>
      <c r="N519" s="56" t="str">
        <f>IF('AYIRA MINI MART FINAL MENU - Pr'!N519="", "", 'AYIRA MINI MART FINAL MENU - Pr'!N519)</f>
        <v/>
      </c>
      <c r="O519" s="57"/>
      <c r="P519" s="57"/>
      <c r="Q519" s="57"/>
      <c r="R519" s="57"/>
      <c r="S519" s="57"/>
      <c r="T519" s="57"/>
      <c r="U519" s="57"/>
      <c r="V519" s="57"/>
      <c r="W519" s="57"/>
      <c r="X519" s="57"/>
      <c r="Y519" s="57"/>
      <c r="Z519" s="57"/>
    </row>
    <row r="520">
      <c r="A520" s="56" t="str">
        <f>IFERROR(__xludf.DUMMYFUNCTION("IF('AYIRA MINI MART FINAL MENU - Pr'!A520="""", """", IF(LEN(IFERROR(TRIM(REGEXREPLACE(TRIM(REGEXEXTRACT('AYIRA MINI MART FINAL MENU - Pr'!A520, ""^[^\x{0600}-\x{06FF}]+"")), ""[-–]+$"", """")), """"))&gt;0, IFERROR(TRIM(REGEXREPLACE(TRIM(REGEXEXTRACT('AYIRA"&amp;" MINI MART FINAL MENU - Pr'!A520, ""^[^\x{0600}-\x{06FF}]+"")), ""[-–]+$"", """")), """"), GOOGLETRANSLATE('AYIRA MINI MART FINAL MENU - Pr'!A520, ""ar"", ""en"")))"),"Extra Watermelon Flavour Chewing Gum 14g – Extra Watermelon Flavour Chewing Gum 14")</f>
        <v>Extra Watermelon Flavour Chewing Gum 14g – Extra Watermelon Flavour Chewing Gum 14</v>
      </c>
      <c r="B520" s="56" t="str">
        <f>IFERROR(__xludf.DUMMYFUNCTION("IF('AYIRA MINI MART FINAL MENU - Pr'!B520="""", """", IF(LEN(IFERROR(TRIM(REGEXREPLACE(TRIM(REGEXEXTRACT('AYIRA MINI MART FINAL MENU - Pr'!B520, ""^[^\x{0600}-\x{06FF}]+"")), ""[-–]+$"", """")), """"))&gt;0, IFERROR(TRIM(REGEXREPLACE(TRIM(REGEXEXTRACT('AYIRA"&amp;" MINI MART FINAL MENU - Pr'!B520, ""^[^\x{0600}-\x{06FF}]+"")), ""[-–]+$"", """")), """"), GOOGLETRANSLATE('AYIRA MINI MART FINAL MENU - Pr'!B520, ""ar"", ""en"")))"),"Gums |")</f>
        <v>Gums |</v>
      </c>
      <c r="C520" s="58">
        <f>IF('AYIRA MINI MART FINAL MENU - Pr'!C520="", "", 'AYIRA MINI MART FINAL MENU - Pr'!C520)</f>
        <v>2.5</v>
      </c>
      <c r="D520" s="56" t="str">
        <f>IFERROR(__xludf.DUMMYFUNCTION("IF('AYIRA MINI MART FINAL MENU - Pr'!D520="""", """", GOOGLETRANSLATE('AYIRA MINI MART FINAL MENU - Pr'!D520, ""ar"", ""en""))"),"Drink Extra, the pure water that restores your body's natural balance. Sourced from the purest natural sources and bottled to the highest standards of quality and hygiene to ensure it reaches you in perfect condition. Proper hydration is essential for a g"&amp;"ood life, and choosing this water reflects your commitment to your well-being. Make sure to drink enough water daily to maintain your energy and vitality. Aira Mini Mart offers this premium water at competitive prices.")</f>
        <v>Drink Extra,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520" s="56" t="str">
        <f>IF('AYIRA MINI MART FINAL MENU - Pr'!K520="", "", 'AYIRA MINI MART FINAL MENU - Pr'!K520)</f>
        <v/>
      </c>
      <c r="F520" s="56"/>
      <c r="G520" s="56"/>
      <c r="H520" s="56"/>
      <c r="I520" s="56"/>
      <c r="J520" s="56"/>
      <c r="L520" s="56" t="str">
        <f>IF('AYIRA MINI MART FINAL MENU - Pr'!L520="", "", 'AYIRA MINI MART FINAL MENU - Pr'!L520)</f>
        <v/>
      </c>
      <c r="M520" s="56" t="str">
        <f>IF('AYIRA MINI MART FINAL MENU - Pr'!M520="", "", 'AYIRA MINI MART FINAL MENU - Pr'!M520)</f>
        <v/>
      </c>
      <c r="N520" s="56" t="str">
        <f>IF('AYIRA MINI MART FINAL MENU - Pr'!N520="", "", 'AYIRA MINI MART FINAL MENU - Pr'!N520)</f>
        <v/>
      </c>
      <c r="O520" s="57"/>
      <c r="P520" s="57"/>
      <c r="Q520" s="57"/>
      <c r="R520" s="57"/>
      <c r="S520" s="57"/>
      <c r="T520" s="57"/>
      <c r="U520" s="57"/>
      <c r="V520" s="57"/>
      <c r="W520" s="57"/>
      <c r="X520" s="57"/>
      <c r="Y520" s="57"/>
      <c r="Z520" s="57"/>
    </row>
    <row r="521">
      <c r="A521" s="56" t="str">
        <f>IFERROR(__xludf.DUMMYFUNCTION("IF('AYIRA MINI MART FINAL MENU - Pr'!A521="""", """", IF(LEN(IFERROR(TRIM(REGEXREPLACE(TRIM(REGEXEXTRACT('AYIRA MINI MART FINAL MENU - Pr'!A521, ""^[^\x{0600}-\x{06FF}]+"")), ""[-–]+$"", """")), """"))&gt;0, IFERROR(TRIM(REGEXREPLACE(TRIM(REGEXEXTRACT('AYIRA"&amp;" MINI MART FINAL MENU - Pr'!A521, ""^[^\x{0600}-\x{06FF}]+"")), ""[-–]+$"", """")), """"), GOOGLETRANSLATE('AYIRA MINI MART FINAL MENU - Pr'!A521, ""ar"", ""en"")))"),"Wrigley’s Doublemint Chewing Gum 5 Sticks")</f>
        <v>Wrigley’s Doublemint Chewing Gum 5 Sticks</v>
      </c>
      <c r="B521" s="56" t="str">
        <f>IFERROR(__xludf.DUMMYFUNCTION("IF('AYIRA MINI MART FINAL MENU - Pr'!B521="""", """", IF(LEN(IFERROR(TRIM(REGEXREPLACE(TRIM(REGEXEXTRACT('AYIRA MINI MART FINAL MENU - Pr'!B521, ""^[^\x{0600}-\x{06FF}]+"")), ""[-–]+$"", """")), """"))&gt;0, IFERROR(TRIM(REGEXREPLACE(TRIM(REGEXEXTRACT('AYIRA"&amp;" MINI MART FINAL MENU - Pr'!B521, ""^[^\x{0600}-\x{06FF}]+"")), ""[-–]+$"", """")), """"), GOOGLETRANSLATE('AYIRA MINI MART FINAL MENU - Pr'!B521, ""ar"", ""en"")))"),"Gums |")</f>
        <v>Gums |</v>
      </c>
      <c r="C521" s="58">
        <f>IF('AYIRA MINI MART FINAL MENU - Pr'!C521="", "", 'AYIRA MINI MART FINAL MENU - Pr'!C521)</f>
        <v>2.5</v>
      </c>
      <c r="D521" s="56" t="str">
        <f>IFERROR(__xludf.DUMMYFUNCTION("IF('AYIRA MINI MART FINAL MENU - Pr'!D521="""", """", GOOGLETRANSLATE('AYIRA MINI MART FINAL MENU - Pr'!D521, ""ar"", ""en""))"),"Enjoy Wrigley, the refreshing gum that keeps your mouth clean and fresh all day long. Its long-lasting flavor and unique formula make it the perfect choice for those seeking continuous freshness throughout the day. It helps to invigorate teeth and freshen"&amp;" breath beautifully. Suitable anytime, anywhere. Get it from Aira Mini Mart and enjoy continuous freshness.")</f>
        <v>Enjoy Wrigley,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521" s="56" t="str">
        <f>IF('AYIRA MINI MART FINAL MENU - Pr'!K521="", "", 'AYIRA MINI MART FINAL MENU - Pr'!K521)</f>
        <v/>
      </c>
      <c r="F521" s="56"/>
      <c r="G521" s="56"/>
      <c r="H521" s="56"/>
      <c r="I521" s="56"/>
      <c r="J521" s="56"/>
      <c r="L521" s="56" t="str">
        <f>IF('AYIRA MINI MART FINAL MENU - Pr'!L521="", "", 'AYIRA MINI MART FINAL MENU - Pr'!L521)</f>
        <v/>
      </c>
      <c r="M521" s="56" t="str">
        <f>IF('AYIRA MINI MART FINAL MENU - Pr'!M521="", "", 'AYIRA MINI MART FINAL MENU - Pr'!M521)</f>
        <v/>
      </c>
      <c r="N521" s="56" t="str">
        <f>IF('AYIRA MINI MART FINAL MENU - Pr'!N521="", "", 'AYIRA MINI MART FINAL MENU - Pr'!N521)</f>
        <v/>
      </c>
      <c r="O521" s="57"/>
      <c r="P521" s="57"/>
      <c r="Q521" s="57"/>
      <c r="R521" s="57"/>
      <c r="S521" s="57"/>
      <c r="T521" s="57"/>
      <c r="U521" s="57"/>
      <c r="V521" s="57"/>
      <c r="W521" s="57"/>
      <c r="X521" s="57"/>
      <c r="Y521" s="57"/>
      <c r="Z521" s="57"/>
    </row>
    <row r="522">
      <c r="A522" s="56" t="str">
        <f>IFERROR(__xludf.DUMMYFUNCTION("IF('AYIRA MINI MART FINAL MENU - Pr'!A522="""", """", IF(LEN(IFERROR(TRIM(REGEXREPLACE(TRIM(REGEXEXTRACT('AYIRA MINI MART FINAL MENU - Pr'!A522, ""^[^\x{0600}-\x{06FF}]+"")), ""[-–]+$"", """")), """"))&gt;0, IFERROR(TRIM(REGEXREPLACE(TRIM(REGEXEXTRACT('AYIRA"&amp;" MINI MART FINAL MENU - Pr'!A522, ""^[^\x{0600}-\x{06FF}]+"")), ""[-–]+$"", """")), """"), GOOGLETRANSLATE('AYIRA MINI MART FINAL MENU - Pr'!A522, ""ar"", ""en"")))"),"DORITOS Sweet Chili Pepper 175g")</f>
        <v>DORITOS Sweet Chili Pepper 175g</v>
      </c>
      <c r="B522" s="56" t="str">
        <f>IFERROR(__xludf.DUMMYFUNCTION("IF('AYIRA MINI MART FINAL MENU - Pr'!B522="""", """", IF(LEN(IFERROR(TRIM(REGEXREPLACE(TRIM(REGEXEXTRACT('AYIRA MINI MART FINAL MENU - Pr'!B522, ""^[^\x{0600}-\x{06FF}]+"")), ""[-–]+$"", """")), """"))&gt;0, IFERROR(TRIM(REGEXREPLACE(TRIM(REGEXEXTRACT('AYIRA"&amp;" MINI MART FINAL MENU - Pr'!B522, ""^[^\x{0600}-\x{06FF}]+"")), ""[-–]+$"", """")), """"), GOOGLETRANSLATE('AYIRA MINI MART FINAL MENU - Pr'!B522, ""ar"", ""en"")))"),"Chips &amp; Crisps")</f>
        <v>Chips &amp; Crisps</v>
      </c>
      <c r="C522" s="58">
        <f>IF('AYIRA MINI MART FINAL MENU - Pr'!C522="", "", 'AYIRA MINI MART FINAL MENU - Pr'!C522)</f>
        <v>12</v>
      </c>
      <c r="D522" s="56" t="str">
        <f>IFERROR(__xludf.DUMMYFUNCTION("IF('AYIRA MINI MART FINAL MENU - Pr'!D522="""", """", GOOGLETRANSLATE('AYIRA MINI MART FINAL MENU - Pr'!D522,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522" s="56" t="str">
        <f>IF('AYIRA MINI MART FINAL MENU - Pr'!K522="", "", 'AYIRA MINI MART FINAL MENU - Pr'!K522)</f>
        <v/>
      </c>
      <c r="F522" s="56"/>
      <c r="G522" s="56"/>
      <c r="H522" s="56"/>
      <c r="I522" s="56"/>
      <c r="J522" s="56"/>
      <c r="L522" s="56" t="str">
        <f>IF('AYIRA MINI MART FINAL MENU - Pr'!L522="", "", 'AYIRA MINI MART FINAL MENU - Pr'!L522)</f>
        <v/>
      </c>
      <c r="M522" s="56" t="str">
        <f>IF('AYIRA MINI MART FINAL MENU - Pr'!M522="", "", 'AYIRA MINI MART FINAL MENU - Pr'!M522)</f>
        <v/>
      </c>
      <c r="N522" s="56" t="str">
        <f>IF('AYIRA MINI MART FINAL MENU - Pr'!N522="", "", 'AYIRA MINI MART FINAL MENU - Pr'!N522)</f>
        <v/>
      </c>
      <c r="O522" s="57"/>
      <c r="P522" s="57"/>
      <c r="Q522" s="57"/>
      <c r="R522" s="57"/>
      <c r="S522" s="57"/>
      <c r="T522" s="57"/>
      <c r="U522" s="57"/>
      <c r="V522" s="57"/>
      <c r="W522" s="57"/>
      <c r="X522" s="57"/>
      <c r="Y522" s="57"/>
      <c r="Z522" s="57"/>
    </row>
    <row r="523">
      <c r="A523" s="56" t="str">
        <f>IFERROR(__xludf.DUMMYFUNCTION("IF('AYIRA MINI MART FINAL MENU - Pr'!A523="""", """", IF(LEN(IFERROR(TRIM(REGEXREPLACE(TRIM(REGEXEXTRACT('AYIRA MINI MART FINAL MENU - Pr'!A523, ""^[^\x{0600}-\x{06FF}]+"")), ""[-–]+$"", """")), """"))&gt;0, IFERROR(TRIM(REGEXREPLACE(TRIM(REGEXEXTRACT('AYIRA"&amp;" MINI MART FINAL MENU - Pr'!A523, ""^[^\x{0600}-\x{06FF}]+"")), ""[-–]+$"", """")), """"), GOOGLETRANSLATE('AYIRA MINI MART FINAL MENU - Pr'!A523, ""ar"", ""en"")))"),"CHEETOS Crunchy Cheese 190g")</f>
        <v>CHEETOS Crunchy Cheese 190g</v>
      </c>
      <c r="B523" s="56" t="str">
        <f>IFERROR(__xludf.DUMMYFUNCTION("IF('AYIRA MINI MART FINAL MENU - Pr'!B523="""", """", IF(LEN(IFERROR(TRIM(REGEXREPLACE(TRIM(REGEXEXTRACT('AYIRA MINI MART FINAL MENU - Pr'!B523, ""^[^\x{0600}-\x{06FF}]+"")), ""[-–]+$"", """")), """"))&gt;0, IFERROR(TRIM(REGEXREPLACE(TRIM(REGEXEXTRACT('AYIRA"&amp;" MINI MART FINAL MENU - Pr'!B523, ""^[^\x{0600}-\x{06FF}]+"")), ""[-–]+$"", """")), """"), GOOGLETRANSLATE('AYIRA MINI MART FINAL MENU - Pr'!B523, ""ar"", ""en"")))"),"Chips &amp; Crisps")</f>
        <v>Chips &amp; Crisps</v>
      </c>
      <c r="C523" s="58">
        <f>IF('AYIRA MINI MART FINAL MENU - Pr'!C523="", "", 'AYIRA MINI MART FINAL MENU - Pr'!C523)</f>
        <v>18</v>
      </c>
      <c r="D523" s="56" t="str">
        <f>IFERROR(__xludf.DUMMYFUNCTION("IF('AYIRA MINI MART FINAL MENU - Pr'!D523="""", """", GOOGLETRANSLATE('AYIRA MINI MART FINAL MENU - Pr'!D523,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523" s="56" t="str">
        <f>IF('AYIRA MINI MART FINAL MENU - Pr'!K523="", "", 'AYIRA MINI MART FINAL MENU - Pr'!K523)</f>
        <v/>
      </c>
      <c r="F523" s="56"/>
      <c r="G523" s="56"/>
      <c r="H523" s="56"/>
      <c r="I523" s="56"/>
      <c r="J523" s="56"/>
      <c r="L523" s="56" t="str">
        <f>IF('AYIRA MINI MART FINAL MENU - Pr'!L523="", "", 'AYIRA MINI MART FINAL MENU - Pr'!L523)</f>
        <v/>
      </c>
      <c r="M523" s="56" t="str">
        <f>IF('AYIRA MINI MART FINAL MENU - Pr'!M523="", "", 'AYIRA MINI MART FINAL MENU - Pr'!M523)</f>
        <v/>
      </c>
      <c r="N523" s="56" t="str">
        <f>IF('AYIRA MINI MART FINAL MENU - Pr'!N523="", "", 'AYIRA MINI MART FINAL MENU - Pr'!N523)</f>
        <v/>
      </c>
      <c r="O523" s="57"/>
      <c r="P523" s="57"/>
      <c r="Q523" s="57"/>
      <c r="R523" s="57"/>
      <c r="S523" s="57"/>
      <c r="T523" s="57"/>
      <c r="U523" s="57"/>
      <c r="V523" s="57"/>
      <c r="W523" s="57"/>
      <c r="X523" s="57"/>
      <c r="Y523" s="57"/>
      <c r="Z523" s="57"/>
    </row>
    <row r="524">
      <c r="A524" s="56" t="str">
        <f>IFERROR(__xludf.DUMMYFUNCTION("IF('AYIRA MINI MART FINAL MENU - Pr'!A524="""", """", IF(LEN(IFERROR(TRIM(REGEXREPLACE(TRIM(REGEXEXTRACT('AYIRA MINI MART FINAL MENU - Pr'!A524, ""^[^\x{0600}-\x{06FF}]+"")), ""[-–]+$"", """")), """"))&gt;0, IFERROR(TRIM(REGEXREPLACE(TRIM(REGEXEXTRACT('AYIRA"&amp;" MINI MART FINAL MENU - Pr'!A524, ""^[^\x{0600}-\x{06FF}]+"")), ""[-–]+$"", """")), """"), GOOGLETRANSLATE('AYIRA MINI MART FINAL MENU - Pr'!A524, ""ar"", ""en"")))"),"LAYS Original Taste 155g")</f>
        <v>LAYS Original Taste 155g</v>
      </c>
      <c r="B524" s="56" t="str">
        <f>IFERROR(__xludf.DUMMYFUNCTION("IF('AYIRA MINI MART FINAL MENU - Pr'!B524="""", """", IF(LEN(IFERROR(TRIM(REGEXREPLACE(TRIM(REGEXEXTRACT('AYIRA MINI MART FINAL MENU - Pr'!B524, ""^[^\x{0600}-\x{06FF}]+"")), ""[-–]+$"", """")), """"))&gt;0, IFERROR(TRIM(REGEXREPLACE(TRIM(REGEXEXTRACT('AYIRA"&amp;" MINI MART FINAL MENU - Pr'!B524, ""^[^\x{0600}-\x{06FF}]+"")), ""[-–]+$"", """")), """"), GOOGLETRANSLATE('AYIRA MINI MART FINAL MENU - Pr'!B524, ""ar"", ""en"")))"),"Chips &amp; Crisps")</f>
        <v>Chips &amp; Crisps</v>
      </c>
      <c r="C524" s="58">
        <f>IF('AYIRA MINI MART FINAL MENU - Pr'!C524="", "", 'AYIRA MINI MART FINAL MENU - Pr'!C524)</f>
        <v>10</v>
      </c>
      <c r="D524" s="56" t="str">
        <f>IFERROR(__xludf.DUMMYFUNCTION("IF('AYIRA MINI MART FINAL MENU - Pr'!D524="""", """", GOOGLETRANSLATE('AYIRA MINI MART FINAL MENU - Pr'!D524,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524" s="56" t="str">
        <f>IF('AYIRA MINI MART FINAL MENU - Pr'!K524="", "", 'AYIRA MINI MART FINAL MENU - Pr'!K524)</f>
        <v/>
      </c>
      <c r="F524" s="56"/>
      <c r="G524" s="56"/>
      <c r="H524" s="56"/>
      <c r="I524" s="56"/>
      <c r="J524" s="56"/>
      <c r="L524" s="56" t="str">
        <f>IF('AYIRA MINI MART FINAL MENU - Pr'!L524="", "", 'AYIRA MINI MART FINAL MENU - Pr'!L524)</f>
        <v/>
      </c>
      <c r="M524" s="56" t="str">
        <f>IF('AYIRA MINI MART FINAL MENU - Pr'!M524="", "", 'AYIRA MINI MART FINAL MENU - Pr'!M524)</f>
        <v/>
      </c>
      <c r="N524" s="56" t="str">
        <f>IF('AYIRA MINI MART FINAL MENU - Pr'!N524="", "", 'AYIRA MINI MART FINAL MENU - Pr'!N524)</f>
        <v/>
      </c>
      <c r="O524" s="57"/>
      <c r="P524" s="57"/>
      <c r="Q524" s="57"/>
      <c r="R524" s="57"/>
      <c r="S524" s="57"/>
      <c r="T524" s="57"/>
      <c r="U524" s="57"/>
      <c r="V524" s="57"/>
      <c r="W524" s="57"/>
      <c r="X524" s="57"/>
      <c r="Y524" s="57"/>
      <c r="Z524" s="57"/>
    </row>
    <row r="525">
      <c r="A525" s="56" t="str">
        <f>IFERROR(__xludf.DUMMYFUNCTION("IF('AYIRA MINI MART FINAL MENU - Pr'!A525="""", """", IF(LEN(IFERROR(TRIM(REGEXREPLACE(TRIM(REGEXEXTRACT('AYIRA MINI MART FINAL MENU - Pr'!A525, ""^[^\x{0600}-\x{06FF}]+"")), ""[-–]+$"", """")), """"))&gt;0, IFERROR(TRIM(REGEXREPLACE(TRIM(REGEXEXTRACT('AYIRA"&amp;" MINI MART FINAL MENU - Pr'!A525, ""^[^\x{0600}-\x{06FF}]+"")), ""[-–]+$"", """")), """"), GOOGLETRANSLATE('AYIRA MINI MART FINAL MENU - Pr'!A525, ""ar"", ""en"")))"),"Balaji Wafers Crunchem Chaat Chaska 135g – Balaji Wafers Crunchem Chaat Chaska 135")</f>
        <v>Balaji Wafers Crunchem Chaat Chaska 135g – Balaji Wafers Crunchem Chaat Chaska 135</v>
      </c>
      <c r="B525" s="56" t="str">
        <f>IFERROR(__xludf.DUMMYFUNCTION("IF('AYIRA MINI MART FINAL MENU - Pr'!B525="""", """", IF(LEN(IFERROR(TRIM(REGEXREPLACE(TRIM(REGEXEXTRACT('AYIRA MINI MART FINAL MENU - Pr'!B525, ""^[^\x{0600}-\x{06FF}]+"")), ""[-–]+$"", """")), """"))&gt;0, IFERROR(TRIM(REGEXREPLACE(TRIM(REGEXEXTRACT('AYIRA"&amp;" MINI MART FINAL MENU - Pr'!B525, ""^[^\x{0600}-\x{06FF}]+"")), ""[-–]+$"", """")), """"), GOOGLETRANSLATE('AYIRA MINI MART FINAL MENU - Pr'!B525, ""ar"", ""en"")))"),"Chips &amp; Crisps")</f>
        <v>Chips &amp; Crisps</v>
      </c>
      <c r="C525" s="58">
        <f>IF('AYIRA MINI MART FINAL MENU - Pr'!C525="", "", 'AYIRA MINI MART FINAL MENU - Pr'!C525)</f>
        <v>6.5</v>
      </c>
      <c r="D525" s="56" t="str">
        <f>IFERROR(__xludf.DUMMYFUNCTION("IF('AYIRA MINI MART FINAL MENU - Pr'!D525="""", """", GOOGLETRANSLATE('AYIRA MINI MART FINAL MENU - Pr'!D525, ""ar"", ""en""))"),"Don't be able to resist the taste of Balaji Wafers Crunchem Chaat Chaska 135g, your perfect companion for relaxing and watching the game. Their unique crunch and varied flavors make every handful a delightful experience. Prepared with the finest ingredien"&amp;"ts using the latest manufacturing techniques to ensure an unparalleled taste. Ideal as a snack for adults and children alike between meals. Aira Mini Mart offers them in the perfect size and flavor for you.")</f>
        <v>Don't be able to resist the taste of Balaji Wafers Crunchem Chaat Chaska 135g,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25" s="56" t="str">
        <f>IF('AYIRA MINI MART FINAL MENU - Pr'!K525="", "", 'AYIRA MINI MART FINAL MENU - Pr'!K525)</f>
        <v/>
      </c>
      <c r="F525" s="56"/>
      <c r="G525" s="56"/>
      <c r="H525" s="56"/>
      <c r="I525" s="56"/>
      <c r="J525" s="56"/>
      <c r="L525" s="56" t="str">
        <f>IF('AYIRA MINI MART FINAL MENU - Pr'!L525="", "", 'AYIRA MINI MART FINAL MENU - Pr'!L525)</f>
        <v/>
      </c>
      <c r="M525" s="56" t="str">
        <f>IF('AYIRA MINI MART FINAL MENU - Pr'!M525="", "", 'AYIRA MINI MART FINAL MENU - Pr'!M525)</f>
        <v/>
      </c>
      <c r="N525" s="56" t="str">
        <f>IF('AYIRA MINI MART FINAL MENU - Pr'!N525="", "", 'AYIRA MINI MART FINAL MENU - Pr'!N525)</f>
        <v/>
      </c>
      <c r="O525" s="57"/>
      <c r="P525" s="57"/>
      <c r="Q525" s="57"/>
      <c r="R525" s="57"/>
      <c r="S525" s="57"/>
      <c r="T525" s="57"/>
      <c r="U525" s="57"/>
      <c r="V525" s="57"/>
      <c r="W525" s="57"/>
      <c r="X525" s="57"/>
      <c r="Y525" s="57"/>
      <c r="Z525" s="57"/>
    </row>
    <row r="526">
      <c r="A526" s="56" t="str">
        <f>IFERROR(__xludf.DUMMYFUNCTION("IF('AYIRA MINI MART FINAL MENU - Pr'!A526="""", """", IF(LEN(IFERROR(TRIM(REGEXREPLACE(TRIM(REGEXEXTRACT('AYIRA MINI MART FINAL MENU - Pr'!A526, ""^[^\x{0600}-\x{06FF}]+"")), ""[-–]+$"", """")), """"))&gt;0, IFERROR(TRIM(REGEXREPLACE(TRIM(REGEXEXTRACT('AYIRA"&amp;" MINI MART FINAL MENU - Pr'!A526, ""^[^\x{0600}-\x{06FF}]+"")), ""[-–]+$"", """")), """"), GOOGLETRANSLATE('AYIRA MINI MART FINAL MENU - Pr'!A526, ""ar"", ""en"")))"),"Cheetos Flamin’ Hot Crunchy Export 226.8g")</f>
        <v>Cheetos Flamin’ Hot Crunchy Export 226.8g</v>
      </c>
      <c r="B526" s="56" t="str">
        <f>IFERROR(__xludf.DUMMYFUNCTION("IF('AYIRA MINI MART FINAL MENU - Pr'!B526="""", """", IF(LEN(IFERROR(TRIM(REGEXREPLACE(TRIM(REGEXEXTRACT('AYIRA MINI MART FINAL MENU - Pr'!B526, ""^[^\x{0600}-\x{06FF}]+"")), ""[-–]+$"", """")), """"))&gt;0, IFERROR(TRIM(REGEXREPLACE(TRIM(REGEXEXTRACT('AYIRA"&amp;" MINI MART FINAL MENU - Pr'!B526, ""^[^\x{0600}-\x{06FF}]+"")), ""[-–]+$"", """")), """"), GOOGLETRANSLATE('AYIRA MINI MART FINAL MENU - Pr'!B526, ""ar"", ""en"")))"),"Chips &amp; Crisps")</f>
        <v>Chips &amp; Crisps</v>
      </c>
      <c r="C526" s="58">
        <f>IF('AYIRA MINI MART FINAL MENU - Pr'!C526="", "", 'AYIRA MINI MART FINAL MENU - Pr'!C526)</f>
        <v>18</v>
      </c>
      <c r="D526" s="56" t="str">
        <f>IFERROR(__xludf.DUMMYFUNCTION("IF('AYIRA MINI MART FINAL MENU - Pr'!D526="""", """", GOOGLETRANSLATE('AYIRA MINI MART FINAL MENU - Pr'!D526,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526" s="56" t="str">
        <f>IF('AYIRA MINI MART FINAL MENU - Pr'!K526="", "", 'AYIRA MINI MART FINAL MENU - Pr'!K526)</f>
        <v/>
      </c>
      <c r="F526" s="56"/>
      <c r="G526" s="56"/>
      <c r="H526" s="56"/>
      <c r="I526" s="56"/>
      <c r="J526" s="56"/>
      <c r="L526" s="56" t="str">
        <f>IF('AYIRA MINI MART FINAL MENU - Pr'!L526="", "", 'AYIRA MINI MART FINAL MENU - Pr'!L526)</f>
        <v/>
      </c>
      <c r="M526" s="56" t="str">
        <f>IF('AYIRA MINI MART FINAL MENU - Pr'!M526="", "", 'AYIRA MINI MART FINAL MENU - Pr'!M526)</f>
        <v/>
      </c>
      <c r="N526" s="56" t="str">
        <f>IF('AYIRA MINI MART FINAL MENU - Pr'!N526="", "", 'AYIRA MINI MART FINAL MENU - Pr'!N526)</f>
        <v/>
      </c>
      <c r="O526" s="57"/>
      <c r="P526" s="57"/>
      <c r="Q526" s="57"/>
      <c r="R526" s="57"/>
      <c r="S526" s="57"/>
      <c r="T526" s="57"/>
      <c r="U526" s="57"/>
      <c r="V526" s="57"/>
      <c r="W526" s="57"/>
      <c r="X526" s="57"/>
      <c r="Y526" s="57"/>
      <c r="Z526" s="57"/>
    </row>
    <row r="527">
      <c r="A527" s="56" t="str">
        <f>IFERROR(__xludf.DUMMYFUNCTION("IF('AYIRA MINI MART FINAL MENU - Pr'!A527="""", """", IF(LEN(IFERROR(TRIM(REGEXREPLACE(TRIM(REGEXEXTRACT('AYIRA MINI MART FINAL MENU - Pr'!A527, ""^[^\x{0600}-\x{06FF}]+"")), ""[-–]+$"", """")), """"))&gt;0, IFERROR(TRIM(REGEXREPLACE(TRIM(REGEXEXTRACT('AYIRA"&amp;" MINI MART FINAL MENU - Pr'!A527, ""^[^\x{0600}-\x{06FF}]+"")), ""[-–]+$"", """")), """"), GOOGLETRANSLATE('AYIRA MINI MART FINAL MENU - Pr'!A527, ""ar"", ""en"")))"),"DORITOS Sweet Chili Pepper 105g")</f>
        <v>DORITOS Sweet Chili Pepper 105g</v>
      </c>
      <c r="B527" s="56" t="str">
        <f>IFERROR(__xludf.DUMMYFUNCTION("IF('AYIRA MINI MART FINAL MENU - Pr'!B527="""", """", IF(LEN(IFERROR(TRIM(REGEXREPLACE(TRIM(REGEXEXTRACT('AYIRA MINI MART FINAL MENU - Pr'!B527, ""^[^\x{0600}-\x{06FF}]+"")), ""[-–]+$"", """")), """"))&gt;0, IFERROR(TRIM(REGEXREPLACE(TRIM(REGEXEXTRACT('AYIRA"&amp;" MINI MART FINAL MENU - Pr'!B527, ""^[^\x{0600}-\x{06FF}]+"")), ""[-–]+$"", """")), """"), GOOGLETRANSLATE('AYIRA MINI MART FINAL MENU - Pr'!B527, ""ar"", ""en"")))"),"Chips &amp; Crisps")</f>
        <v>Chips &amp; Crisps</v>
      </c>
      <c r="C527" s="58">
        <f>IF('AYIRA MINI MART FINAL MENU - Pr'!C527="", "", 'AYIRA MINI MART FINAL MENU - Pr'!C527)</f>
        <v>8</v>
      </c>
      <c r="D527" s="56" t="str">
        <f>IFERROR(__xludf.DUMMYFUNCTION("IF('AYIRA MINI MART FINAL MENU - Pr'!D527="""", """", GOOGLETRANSLATE('AYIRA MINI MART FINAL MENU - Pr'!D527,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527" s="56" t="str">
        <f>IF('AYIRA MINI MART FINAL MENU - Pr'!K527="", "", 'AYIRA MINI MART FINAL MENU - Pr'!K527)</f>
        <v/>
      </c>
      <c r="F527" s="56"/>
      <c r="G527" s="56"/>
      <c r="H527" s="56"/>
      <c r="I527" s="56"/>
      <c r="J527" s="56"/>
      <c r="L527" s="56" t="str">
        <f>IF('AYIRA MINI MART FINAL MENU - Pr'!L527="", "", 'AYIRA MINI MART FINAL MENU - Pr'!L527)</f>
        <v/>
      </c>
      <c r="M527" s="56" t="str">
        <f>IF('AYIRA MINI MART FINAL MENU - Pr'!M527="", "", 'AYIRA MINI MART FINAL MENU - Pr'!M527)</f>
        <v/>
      </c>
      <c r="N527" s="56" t="str">
        <f>IF('AYIRA MINI MART FINAL MENU - Pr'!N527="", "", 'AYIRA MINI MART FINAL MENU - Pr'!N527)</f>
        <v/>
      </c>
      <c r="O527" s="57"/>
      <c r="P527" s="57"/>
      <c r="Q527" s="57"/>
      <c r="R527" s="57"/>
      <c r="S527" s="57"/>
      <c r="T527" s="57"/>
      <c r="U527" s="57"/>
      <c r="V527" s="57"/>
      <c r="W527" s="57"/>
      <c r="X527" s="57"/>
      <c r="Y527" s="57"/>
      <c r="Z527" s="57"/>
    </row>
    <row r="528">
      <c r="A528" s="56" t="str">
        <f>IFERROR(__xludf.DUMMYFUNCTION("IF('AYIRA MINI MART FINAL MENU - Pr'!A528="""", """", IF(LEN(IFERROR(TRIM(REGEXREPLACE(TRIM(REGEXEXTRACT('AYIRA MINI MART FINAL MENU - Pr'!A528, ""^[^\x{0600}-\x{06FF}]+"")), ""[-–]+$"", """")), """"))&gt;0, IFERROR(TRIM(REGEXREPLACE(TRIM(REGEXEXTRACT('AYIRA"&amp;" MINI MART FINAL MENU - Pr'!A528, ""^[^\x{0600}-\x{06FF}]+"")), ""[-–]+$"", """")), """"), GOOGLETRANSLATE('AYIRA MINI MART FINAL MENU - Pr'!A528, ""ar"", ""en"")))"),"LAYS Tomato Ketchup 155g")</f>
        <v>LAYS Tomato Ketchup 155g</v>
      </c>
      <c r="B528" s="56" t="str">
        <f>IFERROR(__xludf.DUMMYFUNCTION("IF('AYIRA MINI MART FINAL MENU - Pr'!B528="""", """", IF(LEN(IFERROR(TRIM(REGEXREPLACE(TRIM(REGEXEXTRACT('AYIRA MINI MART FINAL MENU - Pr'!B528, ""^[^\x{0600}-\x{06FF}]+"")), ""[-–]+$"", """")), """"))&gt;0, IFERROR(TRIM(REGEXREPLACE(TRIM(REGEXEXTRACT('AYIRA"&amp;" MINI MART FINAL MENU - Pr'!B528, ""^[^\x{0600}-\x{06FF}]+"")), ""[-–]+$"", """")), """"), GOOGLETRANSLATE('AYIRA MINI MART FINAL MENU - Pr'!B528, ""ar"", ""en"")))"),"Chips &amp; Crisps")</f>
        <v>Chips &amp; Crisps</v>
      </c>
      <c r="C528" s="58">
        <f>IF('AYIRA MINI MART FINAL MENU - Pr'!C528="", "", 'AYIRA MINI MART FINAL MENU - Pr'!C528)</f>
        <v>10</v>
      </c>
      <c r="D528" s="56" t="str">
        <f>IFERROR(__xludf.DUMMYFUNCTION("IF('AYIRA MINI MART FINAL MENU - Pr'!D528="""", """", GOOGLETRANSLATE('AYIRA MINI MART FINAL MENU - Pr'!D528,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528" s="56" t="str">
        <f>IF('AYIRA MINI MART FINAL MENU - Pr'!K528="", "", 'AYIRA MINI MART FINAL MENU - Pr'!K528)</f>
        <v/>
      </c>
      <c r="F528" s="56"/>
      <c r="G528" s="56"/>
      <c r="H528" s="56"/>
      <c r="I528" s="56"/>
      <c r="J528" s="56"/>
      <c r="L528" s="56" t="str">
        <f>IF('AYIRA MINI MART FINAL MENU - Pr'!L528="", "", 'AYIRA MINI MART FINAL MENU - Pr'!L528)</f>
        <v/>
      </c>
      <c r="M528" s="56" t="str">
        <f>IF('AYIRA MINI MART FINAL MENU - Pr'!M528="", "", 'AYIRA MINI MART FINAL MENU - Pr'!M528)</f>
        <v/>
      </c>
      <c r="N528" s="56" t="str">
        <f>IF('AYIRA MINI MART FINAL MENU - Pr'!N528="", "", 'AYIRA MINI MART FINAL MENU - Pr'!N528)</f>
        <v/>
      </c>
      <c r="O528" s="57"/>
      <c r="P528" s="57"/>
      <c r="Q528" s="57"/>
      <c r="R528" s="57"/>
      <c r="S528" s="57"/>
      <c r="T528" s="57"/>
      <c r="U528" s="57"/>
      <c r="V528" s="57"/>
      <c r="W528" s="57"/>
      <c r="X528" s="57"/>
      <c r="Y528" s="57"/>
      <c r="Z528" s="57"/>
    </row>
    <row r="529">
      <c r="A529" s="56" t="str">
        <f>IFERROR(__xludf.DUMMYFUNCTION("IF('AYIRA MINI MART FINAL MENU - Pr'!A529="""", """", IF(LEN(IFERROR(TRIM(REGEXREPLACE(TRIM(REGEXEXTRACT('AYIRA MINI MART FINAL MENU - Pr'!A529, ""^[^\x{0600}-\x{06FF}]+"")), ""[-–]+$"", """")), """"))&gt;0, IFERROR(TRIM(REGEXREPLACE(TRIM(REGEXEXTRACT('AYIRA"&amp;" MINI MART FINAL MENU - Pr'!A529, ""^[^\x{0600}-\x{06FF}]+"")), ""[-–]+$"", """")), """"), GOOGLETRANSLATE('AYIRA MINI MART FINAL MENU - Pr'!A529, ""ar"", ""en"")))"),"LAYS Salted 155g")</f>
        <v>LAYS Salted 155g</v>
      </c>
      <c r="B529" s="56" t="str">
        <f>IFERROR(__xludf.DUMMYFUNCTION("IF('AYIRA MINI MART FINAL MENU - Pr'!B529="""", """", IF(LEN(IFERROR(TRIM(REGEXREPLACE(TRIM(REGEXEXTRACT('AYIRA MINI MART FINAL MENU - Pr'!B529, ""^[^\x{0600}-\x{06FF}]+"")), ""[-–]+$"", """")), """"))&gt;0, IFERROR(TRIM(REGEXREPLACE(TRIM(REGEXEXTRACT('AYIRA"&amp;" MINI MART FINAL MENU - Pr'!B529, ""^[^\x{0600}-\x{06FF}]+"")), ""[-–]+$"", """")), """"), GOOGLETRANSLATE('AYIRA MINI MART FINAL MENU - Pr'!B529, ""ar"", ""en"")))"),"Chips &amp; Crisps")</f>
        <v>Chips &amp; Crisps</v>
      </c>
      <c r="C529" s="58">
        <f>IF('AYIRA MINI MART FINAL MENU - Pr'!C529="", "", 'AYIRA MINI MART FINAL MENU - Pr'!C529)</f>
        <v>10</v>
      </c>
      <c r="D529" s="56" t="str">
        <f>IFERROR(__xludf.DUMMYFUNCTION("IF('AYIRA MINI MART FINAL MENU - Pr'!D529="""", """", GOOGLETRANSLATE('AYIRA MINI MART FINAL MENU - Pr'!D529, ""ar"", ""en""))"),"Don't be able to resist the taste of Lay's, your perfect companion for relaxing and watching the game. Its unique crunch and diverse flavors make every handful a delightful experience. Made with the finest ingredients using the latest manufacturing techni"&amp;"ques to guarantee an unparalleled taste. Ideal as a snack for adults and children between meals. Aira Mini Mart offers it in the perfect size and flavor for you.")</f>
        <v>Don't be able to resist the taste of Lay's,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between meals. Aira Mini Mart offers it in the perfect size and flavor for you.</v>
      </c>
      <c r="E529" s="56" t="str">
        <f>IF('AYIRA MINI MART FINAL MENU - Pr'!K529="", "", 'AYIRA MINI MART FINAL MENU - Pr'!K529)</f>
        <v/>
      </c>
      <c r="F529" s="56"/>
      <c r="G529" s="56"/>
      <c r="H529" s="56"/>
      <c r="I529" s="56"/>
      <c r="J529" s="56"/>
      <c r="L529" s="56" t="str">
        <f>IF('AYIRA MINI MART FINAL MENU - Pr'!L529="", "", 'AYIRA MINI MART FINAL MENU - Pr'!L529)</f>
        <v/>
      </c>
      <c r="M529" s="56" t="str">
        <f>IF('AYIRA MINI MART FINAL MENU - Pr'!M529="", "", 'AYIRA MINI MART FINAL MENU - Pr'!M529)</f>
        <v/>
      </c>
      <c r="N529" s="56" t="str">
        <f>IF('AYIRA MINI MART FINAL MENU - Pr'!N529="", "", 'AYIRA MINI MART FINAL MENU - Pr'!N529)</f>
        <v/>
      </c>
      <c r="O529" s="57"/>
      <c r="P529" s="57"/>
      <c r="Q529" s="57"/>
      <c r="R529" s="57"/>
      <c r="S529" s="57"/>
      <c r="T529" s="57"/>
      <c r="U529" s="57"/>
      <c r="V529" s="57"/>
      <c r="W529" s="57"/>
      <c r="X529" s="57"/>
      <c r="Y529" s="57"/>
      <c r="Z529" s="57"/>
    </row>
    <row r="530">
      <c r="A530" s="56" t="str">
        <f>IFERROR(__xludf.DUMMYFUNCTION("IF('AYIRA MINI MART FINAL MENU - Pr'!A530="""", """", IF(LEN(IFERROR(TRIM(REGEXREPLACE(TRIM(REGEXEXTRACT('AYIRA MINI MART FINAL MENU - Pr'!A530, ""^[^\x{0600}-\x{06FF}]+"")), ""[-–]+$"", """")), """"))&gt;0, IFERROR(TRIM(REGEXREPLACE(TRIM(REGEXEXTRACT('AYIRA"&amp;" MINI MART FINAL MENU - Pr'!A530, ""^[^\x{0600}-\x{06FF}]+"")), ""[-–]+$"", """")), """"), GOOGLETRANSLATE('AYIRA MINI MART FINAL MENU - Pr'!A530, ""ar"", ""en"")))"),"Balaji Crunchem Simply Salted 155g – Balaji Crunchem Simply")</f>
        <v>Balaji Crunchem Simply Salted 155g – Balaji Crunchem Simply</v>
      </c>
      <c r="B530" s="56" t="str">
        <f>IFERROR(__xludf.DUMMYFUNCTION("IF('AYIRA MINI MART FINAL MENU - Pr'!B530="""", """", IF(LEN(IFERROR(TRIM(REGEXREPLACE(TRIM(REGEXEXTRACT('AYIRA MINI MART FINAL MENU - Pr'!B530, ""^[^\x{0600}-\x{06FF}]+"")), ""[-–]+$"", """")), """"))&gt;0, IFERROR(TRIM(REGEXREPLACE(TRIM(REGEXEXTRACT('AYIRA"&amp;" MINI MART FINAL MENU - Pr'!B530, ""^[^\x{0600}-\x{06FF}]+"")), ""[-–]+$"", """")), """"), GOOGLETRANSLATE('AYIRA MINI MART FINAL MENU - Pr'!B530, ""ar"", ""en"")))"),"Chips &amp; Crisps")</f>
        <v>Chips &amp; Crisps</v>
      </c>
      <c r="C530" s="58">
        <f>IF('AYIRA MINI MART FINAL MENU - Pr'!C530="", "", 'AYIRA MINI MART FINAL MENU - Pr'!C530)</f>
        <v>6.5</v>
      </c>
      <c r="D530" s="56" t="str">
        <f>IFERROR(__xludf.DUMMYFUNCTION("IF('AYIRA MINI MART FINAL MENU - Pr'!D530="""", """", GOOGLETRANSLATE('AYIRA MINI MART FINAL MENU - Pr'!D530, ""ar"", ""en""))"),"Don't be able to resist the taste of Balaji Crunchem Simply Salted 155g, your perfect companion for relaxing and watching the game. Its unique crunch and varied flavors make every handful a delightful experience. Prepared with the finest ingredients using"&amp;" the latest manufacturing techniques to ensure an unparalleled taste. Ideal as a snack for adults and children alike between meals. Aira Mini Mart offers it in the perfect size and flavor for you.")</f>
        <v>Don't be able to resist the taste of Balaji Crunchem Simply Salted 155g,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530" s="56" t="str">
        <f>IF('AYIRA MINI MART FINAL MENU - Pr'!K530="", "", 'AYIRA MINI MART FINAL MENU - Pr'!K530)</f>
        <v/>
      </c>
      <c r="F530" s="56"/>
      <c r="G530" s="56"/>
      <c r="H530" s="56"/>
      <c r="I530" s="56"/>
      <c r="J530" s="56"/>
      <c r="L530" s="56" t="str">
        <f>IF('AYIRA MINI MART FINAL MENU - Pr'!L530="", "", 'AYIRA MINI MART FINAL MENU - Pr'!L530)</f>
        <v/>
      </c>
      <c r="M530" s="56" t="str">
        <f>IF('AYIRA MINI MART FINAL MENU - Pr'!M530="", "", 'AYIRA MINI MART FINAL MENU - Pr'!M530)</f>
        <v/>
      </c>
      <c r="N530" s="56" t="str">
        <f>IF('AYIRA MINI MART FINAL MENU - Pr'!N530="", "", 'AYIRA MINI MART FINAL MENU - Pr'!N530)</f>
        <v/>
      </c>
      <c r="O530" s="57"/>
      <c r="P530" s="57"/>
      <c r="Q530" s="57"/>
      <c r="R530" s="57"/>
      <c r="S530" s="57"/>
      <c r="T530" s="57"/>
      <c r="U530" s="57"/>
      <c r="V530" s="57"/>
      <c r="W530" s="57"/>
      <c r="X530" s="57"/>
      <c r="Y530" s="57"/>
      <c r="Z530" s="57"/>
    </row>
    <row r="531">
      <c r="A531" s="56" t="str">
        <f>IFERROR(__xludf.DUMMYFUNCTION("IF('AYIRA MINI MART FINAL MENU - Pr'!A531="""", """", IF(LEN(IFERROR(TRIM(REGEXREPLACE(TRIM(REGEXEXTRACT('AYIRA MINI MART FINAL MENU - Pr'!A531, ""^[^\x{0600}-\x{06FF}]+"")), ""[-–]+$"", """")), """"))&gt;0, IFERROR(TRIM(REGEXREPLACE(TRIM(REGEXEXTRACT('AYIRA"&amp;" MINI MART FINAL MENU - Pr'!A531, ""^[^\x{0600}-\x{06FF}]+"")), ""[-–]+$"", """")), """"), GOOGLETRANSLATE('AYIRA MINI MART FINAL MENU - Pr'!A531, ""ar"", ""en"")))"),"Cheetos Flamin’ Hot 40g")</f>
        <v>Cheetos Flamin’ Hot 40g</v>
      </c>
      <c r="B531" s="56" t="str">
        <f>IFERROR(__xludf.DUMMYFUNCTION("IF('AYIRA MINI MART FINAL MENU - Pr'!B531="""", """", IF(LEN(IFERROR(TRIM(REGEXREPLACE(TRIM(REGEXEXTRACT('AYIRA MINI MART FINAL MENU - Pr'!B531, ""^[^\x{0600}-\x{06FF}]+"")), ""[-–]+$"", """")), """"))&gt;0, IFERROR(TRIM(REGEXREPLACE(TRIM(REGEXEXTRACT('AYIRA"&amp;" MINI MART FINAL MENU - Pr'!B531, ""^[^\x{0600}-\x{06FF}]+"")), ""[-–]+$"", """")), """"), GOOGLETRANSLATE('AYIRA MINI MART FINAL MENU - Pr'!B531, ""ar"", ""en"")))"),"Chips &amp; Crisps")</f>
        <v>Chips &amp; Crisps</v>
      </c>
      <c r="C531" s="58">
        <f>IF('AYIRA MINI MART FINAL MENU - Pr'!C531="", "", 'AYIRA MINI MART FINAL MENU - Pr'!C531)</f>
        <v>4</v>
      </c>
      <c r="D531" s="56" t="str">
        <f>IFERROR(__xludf.DUMMYFUNCTION("IF('AYIRA MINI MART FINAL MENU - Pr'!D531="""", """", GOOGLETRANSLATE('AYIRA MINI MART FINAL MENU - Pr'!D531,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531" s="56" t="str">
        <f>IF('AYIRA MINI MART FINAL MENU - Pr'!K531="", "", 'AYIRA MINI MART FINAL MENU - Pr'!K531)</f>
        <v/>
      </c>
      <c r="F531" s="56"/>
      <c r="G531" s="56"/>
      <c r="H531" s="56"/>
      <c r="I531" s="56"/>
      <c r="J531" s="56"/>
      <c r="L531" s="56" t="str">
        <f>IF('AYIRA MINI MART FINAL MENU - Pr'!L531="", "", 'AYIRA MINI MART FINAL MENU - Pr'!L531)</f>
        <v/>
      </c>
      <c r="M531" s="56" t="str">
        <f>IF('AYIRA MINI MART FINAL MENU - Pr'!M531="", "", 'AYIRA MINI MART FINAL MENU - Pr'!M531)</f>
        <v/>
      </c>
      <c r="N531" s="56" t="str">
        <f>IF('AYIRA MINI MART FINAL MENU - Pr'!N531="", "", 'AYIRA MINI MART FINAL MENU - Pr'!N531)</f>
        <v/>
      </c>
      <c r="O531" s="57"/>
      <c r="P531" s="57"/>
      <c r="Q531" s="57"/>
      <c r="R531" s="57"/>
      <c r="S531" s="57"/>
      <c r="T531" s="57"/>
      <c r="U531" s="57"/>
      <c r="V531" s="57"/>
      <c r="W531" s="57"/>
      <c r="X531" s="57"/>
      <c r="Y531" s="57"/>
      <c r="Z531" s="57"/>
    </row>
    <row r="532">
      <c r="A532" s="56" t="str">
        <f>IFERROR(__xludf.DUMMYFUNCTION("IF('AYIRA MINI MART FINAL MENU - Pr'!A532="""", """", IF(LEN(IFERROR(TRIM(REGEXREPLACE(TRIM(REGEXEXTRACT('AYIRA MINI MART FINAL MENU - Pr'!A532, ""^[^\x{0600}-\x{06FF}]+"")), ""[-–]+$"", """")), """"))&gt;0, IFERROR(TRIM(REGEXREPLACE(TRIM(REGEXEXTRACT('AYIRA"&amp;" MINI MART FINAL MENU - Pr'!A532, ""^[^\x{0600}-\x{06FF}]+"")), ""[-–]+$"", """")), """"), GOOGLETRANSLATE('AYIRA MINI MART FINAL MENU - Pr'!A532, ""ar"", ""en"")))"),"Al Mudhish Potato Ripples Crunch Sour Cream &amp; Onion Flavour 75g – Al Mudhish Potato Ripples Crunch Sour")</f>
        <v>Al Mudhish Potato Ripples Crunch Sour Cream &amp; Onion Flavour 75g – Al Mudhish Potato Ripples Crunch Sour</v>
      </c>
      <c r="B532" s="56" t="str">
        <f>IFERROR(__xludf.DUMMYFUNCTION("IF('AYIRA MINI MART FINAL MENU - Pr'!B532="""", """", IF(LEN(IFERROR(TRIM(REGEXREPLACE(TRIM(REGEXEXTRACT('AYIRA MINI MART FINAL MENU - Pr'!B532, ""^[^\x{0600}-\x{06FF}]+"")), ""[-–]+$"", """")), """"))&gt;0, IFERROR(TRIM(REGEXREPLACE(TRIM(REGEXEXTRACT('AYIRA"&amp;" MINI MART FINAL MENU - Pr'!B532, ""^[^\x{0600}-\x{06FF}]+"")), ""[-–]+$"", """")), """"), GOOGLETRANSLATE('AYIRA MINI MART FINAL MENU - Pr'!B532, ""ar"", ""en"")))"),"Chips &amp; Crisps")</f>
        <v>Chips &amp; Crisps</v>
      </c>
      <c r="C532" s="58">
        <f>IF('AYIRA MINI MART FINAL MENU - Pr'!C532="", "", 'AYIRA MINI MART FINAL MENU - Pr'!C532)</f>
        <v>4</v>
      </c>
      <c r="D532" s="56" t="str">
        <f>IFERROR(__xludf.DUMMYFUNCTION("IF('AYIRA MINI MART FINAL MENU - Pr'!D532="""", """", GOOGLETRANSLATE('AYIRA MINI MART FINAL MENU - Pr'!D532, ""ar"", ""en""))"),"Don't be able to resist the taste of Al Mudhish Potato Ripples Crunch Sour Cream &amp; Onion Flavor 75g, your perfect companion for relaxing and watching matches. Its unique crunch and varied flavors make every handful a delightful experience. Prepared with t"&amp;"he finest ingredients using the latest manufacturing techniques to ensure an unparalleled taste. Ideal as a snack for adults and children alike between meals. Aira Mini Mart offers it in the size and flavor that suits you best.")</f>
        <v>Don't be able to resist the taste of Al Mudhish Potato Ripples Crunch Sour Cream &amp; Onion Flavor 75g, your perfect companion for relaxing and watching matches.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size and flavor that suits you best.</v>
      </c>
      <c r="E532" s="56" t="str">
        <f>IF('AYIRA MINI MART FINAL MENU - Pr'!K532="", "", 'AYIRA MINI MART FINAL MENU - Pr'!K532)</f>
        <v/>
      </c>
      <c r="F532" s="56"/>
      <c r="G532" s="56"/>
      <c r="H532" s="56"/>
      <c r="I532" s="56"/>
      <c r="J532" s="56"/>
      <c r="L532" s="56" t="str">
        <f>IF('AYIRA MINI MART FINAL MENU - Pr'!L532="", "", 'AYIRA MINI MART FINAL MENU - Pr'!L532)</f>
        <v/>
      </c>
      <c r="M532" s="56" t="str">
        <f>IF('AYIRA MINI MART FINAL MENU - Pr'!M532="", "", 'AYIRA MINI MART FINAL MENU - Pr'!M532)</f>
        <v/>
      </c>
      <c r="N532" s="56" t="str">
        <f>IF('AYIRA MINI MART FINAL MENU - Pr'!N532="", "", 'AYIRA MINI MART FINAL MENU - Pr'!N532)</f>
        <v/>
      </c>
      <c r="O532" s="57"/>
      <c r="P532" s="57"/>
      <c r="Q532" s="57"/>
      <c r="R532" s="57"/>
      <c r="S532" s="57"/>
      <c r="T532" s="57"/>
      <c r="U532" s="57"/>
      <c r="V532" s="57"/>
      <c r="W532" s="57"/>
      <c r="X532" s="57"/>
      <c r="Y532" s="57"/>
      <c r="Z532" s="57"/>
    </row>
    <row r="533">
      <c r="A533" s="56" t="str">
        <f>IFERROR(__xludf.DUMMYFUNCTION("IF('AYIRA MINI MART FINAL MENU - Pr'!A533="""", """", IF(LEN(IFERROR(TRIM(REGEXREPLACE(TRIM(REGEXEXTRACT('AYIRA MINI MART FINAL MENU - Pr'!A533, ""^[^\x{0600}-\x{06FF}]+"")), ""[-–]+$"", """")), """"))&gt;0, IFERROR(TRIM(REGEXREPLACE(TRIM(REGEXEXTRACT('AYIRA"&amp;" MINI MART FINAL MENU - Pr'!A533, ""^[^\x{0600}-\x{06FF}]+"")), ""[-–]+$"", """")), """"), GOOGLETRANSLATE('AYIRA MINI MART FINAL MENU - Pr'!A533, ""ar"", ""en"")))"),"Crispy Potato Chips Mexican Chilli 75g – Crispy Potato")</f>
        <v>Crispy Potato Chips Mexican Chilli 75g – Crispy Potato</v>
      </c>
      <c r="B533" s="56" t="str">
        <f>IFERROR(__xludf.DUMMYFUNCTION("IF('AYIRA MINI MART FINAL MENU - Pr'!B533="""", """", IF(LEN(IFERROR(TRIM(REGEXREPLACE(TRIM(REGEXEXTRACT('AYIRA MINI MART FINAL MENU - Pr'!B533, ""^[^\x{0600}-\x{06FF}]+"")), ""[-–]+$"", """")), """"))&gt;0, IFERROR(TRIM(REGEXREPLACE(TRIM(REGEXEXTRACT('AYIRA"&amp;" MINI MART FINAL MENU - Pr'!B533, ""^[^\x{0600}-\x{06FF}]+"")), ""[-–]+$"", """")), """"), GOOGLETRANSLATE('AYIRA MINI MART FINAL MENU - Pr'!B533, ""ar"", ""en"")))"),"Chips &amp; Crisps")</f>
        <v>Chips &amp; Crisps</v>
      </c>
      <c r="C533" s="58">
        <f>IF('AYIRA MINI MART FINAL MENU - Pr'!C533="", "", 'AYIRA MINI MART FINAL MENU - Pr'!C533)</f>
        <v>4</v>
      </c>
      <c r="D533" s="56" t="str">
        <f>IFERROR(__xludf.DUMMYFUNCTION("IF('AYIRA MINI MART FINAL MENU - Pr'!D533="""", """", GOOGLETRANSLATE('AYIRA MINI MART FINAL MENU - Pr'!D533, ""ar"", ""en""))"),"Don't be able to resist the taste of Crispy Potato Chips Mexican Chilli 75g, your perfect companion for relaxing and watching the game. Their unique crunch and varied flavors make every handful a delightful experience. Prepared with the finest ingredients"&amp;" using the latest manufacturing techniques to guarantee an unparalleled taste. Ideal as a snack for adults and children alike between meals. Aira Mini Mart offers them in the perfect size and flavor for you.")</f>
        <v>Don't be able to resist the taste of Crispy Potato Chips Mexican Chilli 75g,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33" s="56" t="str">
        <f>IF('AYIRA MINI MART FINAL MENU - Pr'!K533="", "", 'AYIRA MINI MART FINAL MENU - Pr'!K533)</f>
        <v/>
      </c>
      <c r="F533" s="56"/>
      <c r="G533" s="56"/>
      <c r="H533" s="56"/>
      <c r="I533" s="56"/>
      <c r="J533" s="56"/>
      <c r="L533" s="56" t="str">
        <f>IF('AYIRA MINI MART FINAL MENU - Pr'!L533="", "", 'AYIRA MINI MART FINAL MENU - Pr'!L533)</f>
        <v/>
      </c>
      <c r="M533" s="56" t="str">
        <f>IF('AYIRA MINI MART FINAL MENU - Pr'!M533="", "", 'AYIRA MINI MART FINAL MENU - Pr'!M533)</f>
        <v/>
      </c>
      <c r="N533" s="56" t="str">
        <f>IF('AYIRA MINI MART FINAL MENU - Pr'!N533="", "", 'AYIRA MINI MART FINAL MENU - Pr'!N533)</f>
        <v/>
      </c>
      <c r="O533" s="57"/>
      <c r="P533" s="57"/>
      <c r="Q533" s="57"/>
      <c r="R533" s="57"/>
      <c r="S533" s="57"/>
      <c r="T533" s="57"/>
      <c r="U533" s="57"/>
      <c r="V533" s="57"/>
      <c r="W533" s="57"/>
      <c r="X533" s="57"/>
      <c r="Y533" s="57"/>
      <c r="Z533" s="57"/>
    </row>
    <row r="534">
      <c r="A534" s="56" t="str">
        <f>IFERROR(__xludf.DUMMYFUNCTION("IF('AYIRA MINI MART FINAL MENU - Pr'!A534="""", """", IF(LEN(IFERROR(TRIM(REGEXREPLACE(TRIM(REGEXEXTRACT('AYIRA MINI MART FINAL MENU - Pr'!A534, ""^[^\x{0600}-\x{06FF}]+"")), ""[-–]+$"", """")), """"))&gt;0, IFERROR(TRIM(REGEXREPLACE(TRIM(REGEXEXTRACT('AYIRA"&amp;" MINI MART FINAL MENU - Pr'!A534, ""^[^\x{0600}-\x{06FF}]+"")), ""[-–]+$"", """")), """"), GOOGLETRANSLATE('AYIRA MINI MART FINAL MENU - Pr'!A534, ""ar"", ""en"")))"),"ABC Salt &amp; Vinegar Chips 80g – ABC")</f>
        <v>ABC Salt &amp; Vinegar Chips 80g – ABC</v>
      </c>
      <c r="B534" s="56" t="str">
        <f>IFERROR(__xludf.DUMMYFUNCTION("IF('AYIRA MINI MART FINAL MENU - Pr'!B534="""", """", IF(LEN(IFERROR(TRIM(REGEXREPLACE(TRIM(REGEXEXTRACT('AYIRA MINI MART FINAL MENU - Pr'!B534, ""^[^\x{0600}-\x{06FF}]+"")), ""[-–]+$"", """")), """"))&gt;0, IFERROR(TRIM(REGEXREPLACE(TRIM(REGEXEXTRACT('AYIRA"&amp;" MINI MART FINAL MENU - Pr'!B534, ""^[^\x{0600}-\x{06FF}]+"")), ""[-–]+$"", """")), """"), GOOGLETRANSLATE('AYIRA MINI MART FINAL MENU - Pr'!B534, ""ar"", ""en"")))"),"Chips &amp; Crisps")</f>
        <v>Chips &amp; Crisps</v>
      </c>
      <c r="C534" s="58">
        <f>IF('AYIRA MINI MART FINAL MENU - Pr'!C534="", "", 'AYIRA MINI MART FINAL MENU - Pr'!C534)</f>
        <v>4</v>
      </c>
      <c r="D534" s="56" t="str">
        <f>IFERROR(__xludf.DUMMYFUNCTION("IF('AYIRA MINI MART FINAL MENU - Pr'!D534="""", """", GOOGLETRANSLATE('AYIRA MINI MART FINAL MENU - Pr'!D534, ""ar"", ""en""))"),"Don't be able to resist the taste of ABC Salt &amp; Vinegar Chips 80g, your perfect companion for relaxing and watching the game. Their unique crunch and varied flavors make every handful a delightful experience. Prepared with the finest ingredients using the"&amp;" latest manufacturing techniques to ensure an unparalleled taste. Ideal as a snack for adults and children alike between meals. Aira Mini Mart offers them in the perfect size and flavor for you.")</f>
        <v>Don't be able to resist the taste of ABC Salt &amp; Vinegar Chips 80g,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34" s="56" t="str">
        <f>IF('AYIRA MINI MART FINAL MENU - Pr'!K534="", "", 'AYIRA MINI MART FINAL MENU - Pr'!K534)</f>
        <v/>
      </c>
      <c r="F534" s="56"/>
      <c r="G534" s="56"/>
      <c r="H534" s="56"/>
      <c r="I534" s="56"/>
      <c r="J534" s="56"/>
      <c r="L534" s="56" t="str">
        <f>IF('AYIRA MINI MART FINAL MENU - Pr'!L534="", "", 'AYIRA MINI MART FINAL MENU - Pr'!L534)</f>
        <v/>
      </c>
      <c r="M534" s="56" t="str">
        <f>IF('AYIRA MINI MART FINAL MENU - Pr'!M534="", "", 'AYIRA MINI MART FINAL MENU - Pr'!M534)</f>
        <v/>
      </c>
      <c r="N534" s="56" t="str">
        <f>IF('AYIRA MINI MART FINAL MENU - Pr'!N534="", "", 'AYIRA MINI MART FINAL MENU - Pr'!N534)</f>
        <v/>
      </c>
      <c r="O534" s="57"/>
      <c r="P534" s="57"/>
      <c r="Q534" s="57"/>
      <c r="R534" s="57"/>
      <c r="S534" s="57"/>
      <c r="T534" s="57"/>
      <c r="U534" s="57"/>
      <c r="V534" s="57"/>
      <c r="W534" s="57"/>
      <c r="X534" s="57"/>
      <c r="Y534" s="57"/>
      <c r="Z534" s="57"/>
    </row>
    <row r="535">
      <c r="A535" s="56" t="str">
        <f>IFERROR(__xludf.DUMMYFUNCTION("IF('AYIRA MINI MART FINAL MENU - Pr'!A535="""", """", IF(LEN(IFERROR(TRIM(REGEXREPLACE(TRIM(REGEXEXTRACT('AYIRA MINI MART FINAL MENU - Pr'!A535, ""^[^\x{0600}-\x{06FF}]+"")), ""[-–]+$"", """")), """"))&gt;0, IFERROR(TRIM(REGEXREPLACE(TRIM(REGEXEXTRACT('AYIRA"&amp;" MINI MART FINAL MENU - Pr'!A535, ""^[^\x{0600}-\x{06FF}]+"")), ""[-–]+$"", """")), """"), GOOGLETRANSLATE('AYIRA MINI MART FINAL MENU - Pr'!A535, ""ar"", ""en"")))"),"Al Mudhish Natural Potato Sticks 75g – Al Mudhish")</f>
        <v>Al Mudhish Natural Potato Sticks 75g – Al Mudhish</v>
      </c>
      <c r="B535" s="56" t="str">
        <f>IFERROR(__xludf.DUMMYFUNCTION("IF('AYIRA MINI MART FINAL MENU - Pr'!B535="""", """", IF(LEN(IFERROR(TRIM(REGEXREPLACE(TRIM(REGEXEXTRACT('AYIRA MINI MART FINAL MENU - Pr'!B535, ""^[^\x{0600}-\x{06FF}]+"")), ""[-–]+$"", """")), """"))&gt;0, IFERROR(TRIM(REGEXREPLACE(TRIM(REGEXEXTRACT('AYIRA"&amp;" MINI MART FINAL MENU - Pr'!B535, ""^[^\x{0600}-\x{06FF}]+"")), ""[-–]+$"", """")), """"), GOOGLETRANSLATE('AYIRA MINI MART FINAL MENU - Pr'!B535, ""ar"", ""en"")))"),"Chips &amp; Crisps")</f>
        <v>Chips &amp; Crisps</v>
      </c>
      <c r="C535" s="58">
        <f>IF('AYIRA MINI MART FINAL MENU - Pr'!C535="", "", 'AYIRA MINI MART FINAL MENU - Pr'!C535)</f>
        <v>4</v>
      </c>
      <c r="D535" s="56" t="str">
        <f>IFERROR(__xludf.DUMMYFUNCTION("IF('AYIRA MINI MART FINAL MENU - Pr'!D535="""", """", GOOGLETRANSLATE('AYIRA MINI MART FINAL MENU - Pr'!D535, ""ar"", ""en""))"),"Don't be able to resist the taste of Al Mudhish Natural Potato Sticks 75g, your perfect companion for relaxing and watching matches. Their unique crunch and varied flavors make every handful a delightful experience. Prepared with the finest ingredients us"&amp;"ing the latest manufacturing techniques to ensure an unparalleled taste. Ideal as a snack for adults and children alike between meals. Aira Mini Mart offers them in the size and flavor that suits you best.")</f>
        <v>Don't be able to resist the taste of Al Mudhish Natural Potato Sticks 75g,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size and flavor that suits you best.</v>
      </c>
      <c r="E535" s="56" t="str">
        <f>IF('AYIRA MINI MART FINAL MENU - Pr'!K535="", "", 'AYIRA MINI MART FINAL MENU - Pr'!K535)</f>
        <v/>
      </c>
      <c r="F535" s="56"/>
      <c r="G535" s="56"/>
      <c r="H535" s="56"/>
      <c r="I535" s="56"/>
      <c r="J535" s="56"/>
      <c r="L535" s="56" t="str">
        <f>IF('AYIRA MINI MART FINAL MENU - Pr'!L535="", "", 'AYIRA MINI MART FINAL MENU - Pr'!L535)</f>
        <v/>
      </c>
      <c r="M535" s="56" t="str">
        <f>IF('AYIRA MINI MART FINAL MENU - Pr'!M535="", "", 'AYIRA MINI MART FINAL MENU - Pr'!M535)</f>
        <v/>
      </c>
      <c r="N535" s="56" t="str">
        <f>IF('AYIRA MINI MART FINAL MENU - Pr'!N535="", "", 'AYIRA MINI MART FINAL MENU - Pr'!N535)</f>
        <v/>
      </c>
      <c r="O535" s="57"/>
      <c r="P535" s="57"/>
      <c r="Q535" s="57"/>
      <c r="R535" s="57"/>
      <c r="S535" s="57"/>
      <c r="T535" s="57"/>
      <c r="U535" s="57"/>
      <c r="V535" s="57"/>
      <c r="W535" s="57"/>
      <c r="X535" s="57"/>
      <c r="Y535" s="57"/>
      <c r="Z535" s="57"/>
    </row>
    <row r="536">
      <c r="A536" s="56" t="str">
        <f>IFERROR(__xludf.DUMMYFUNCTION("IF('AYIRA MINI MART FINAL MENU - Pr'!A536="""", """", IF(LEN(IFERROR(TRIM(REGEXREPLACE(TRIM(REGEXEXTRACT('AYIRA MINI MART FINAL MENU - Pr'!A536, ""^[^\x{0600}-\x{06FF}]+"")), ""[-–]+$"", """")), """"))&gt;0, IFERROR(TRIM(REGEXREPLACE(TRIM(REGEXEXTRACT('AYIRA"&amp;" MINI MART FINAL MENU - Pr'!A536, ""^[^\x{0600}-\x{06FF}]+"")), ""[-–]+$"", """")), """"), GOOGLETRANSLATE('AYIRA MINI MART FINAL MENU - Pr'!A536, ""ar"", ""en"")))"),"Chilli Out Fire Fingers Spicy Masala 60g – Chilli Out Fire Fingers")</f>
        <v>Chilli Out Fire Fingers Spicy Masala 60g – Chilli Out Fire Fingers</v>
      </c>
      <c r="B536" s="56" t="str">
        <f>IFERROR(__xludf.DUMMYFUNCTION("IF('AYIRA MINI MART FINAL MENU - Pr'!B536="""", """", IF(LEN(IFERROR(TRIM(REGEXREPLACE(TRIM(REGEXEXTRACT('AYIRA MINI MART FINAL MENU - Pr'!B536, ""^[^\x{0600}-\x{06FF}]+"")), ""[-–]+$"", """")), """"))&gt;0, IFERROR(TRIM(REGEXREPLACE(TRIM(REGEXEXTRACT('AYIRA"&amp;" MINI MART FINAL MENU - Pr'!B536, ""^[^\x{0600}-\x{06FF}]+"")), ""[-–]+$"", """")), """"), GOOGLETRANSLATE('AYIRA MINI MART FINAL MENU - Pr'!B536, ""ar"", ""en"")))"),"Chips &amp; Crisps")</f>
        <v>Chips &amp; Crisps</v>
      </c>
      <c r="C536" s="58">
        <f>IF('AYIRA MINI MART FINAL MENU - Pr'!C536="", "", 'AYIRA MINI MART FINAL MENU - Pr'!C536)</f>
        <v>2.5</v>
      </c>
      <c r="D536" s="56" t="str">
        <f>IFERROR(__xludf.DUMMYFUNCTION("IF('AYIRA MINI MART FINAL MENU - Pr'!D536="""", """", GOOGLETRANSLATE('AYIRA MINI MART FINAL MENU - Pr'!D536, ""ar"", ""en""))"),"Don't be able to resist the taste of Chilli Out Fire Fingers Spicy Masala 60g, your perfect companion for relaxing and watching the game. Its unique crunch and varied flavors make every handful a delightful experience. Prepared with the finest ingredients"&amp;" using the latest manufacturing techniques to ensure an unparalleled taste. Ideal as a snack for adults and children alike between meals. Aira Mini Mart offers it in the perfect size and flavor for you.")</f>
        <v>Don't be able to resist the taste of Chilli Out Fire Fingers Spicy Masala 60g,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536" s="56" t="str">
        <f>IF('AYIRA MINI MART FINAL MENU - Pr'!K536="", "", 'AYIRA MINI MART FINAL MENU - Pr'!K536)</f>
        <v/>
      </c>
      <c r="F536" s="56"/>
      <c r="G536" s="56"/>
      <c r="H536" s="56"/>
      <c r="I536" s="56"/>
      <c r="J536" s="56"/>
      <c r="L536" s="56" t="str">
        <f>IF('AYIRA MINI MART FINAL MENU - Pr'!L536="", "", 'AYIRA MINI MART FINAL MENU - Pr'!L536)</f>
        <v/>
      </c>
      <c r="M536" s="56" t="str">
        <f>IF('AYIRA MINI MART FINAL MENU - Pr'!M536="", "", 'AYIRA MINI MART FINAL MENU - Pr'!M536)</f>
        <v/>
      </c>
      <c r="N536" s="56" t="str">
        <f>IF('AYIRA MINI MART FINAL MENU - Pr'!N536="", "", 'AYIRA MINI MART FINAL MENU - Pr'!N536)</f>
        <v/>
      </c>
      <c r="O536" s="57"/>
      <c r="P536" s="57"/>
      <c r="Q536" s="57"/>
      <c r="R536" s="57"/>
      <c r="S536" s="57"/>
      <c r="T536" s="57"/>
      <c r="U536" s="57"/>
      <c r="V536" s="57"/>
      <c r="W536" s="57"/>
      <c r="X536" s="57"/>
      <c r="Y536" s="57"/>
      <c r="Z536" s="57"/>
    </row>
    <row r="537">
      <c r="A537" s="56" t="str">
        <f>IFERROR(__xludf.DUMMYFUNCTION("IF('AYIRA MINI MART FINAL MENU - Pr'!A537="""", """", IF(LEN(IFERROR(TRIM(REGEXREPLACE(TRIM(REGEXEXTRACT('AYIRA MINI MART FINAL MENU - Pr'!A537, ""^[^\x{0600}-\x{06FF}]+"")), ""[-–]+$"", """")), """"))&gt;0, IFERROR(TRIM(REGEXREPLACE(TRIM(REGEXEXTRACT('AYIRA"&amp;" MINI MART FINAL MENU - Pr'!A537, ""^[^\x{0600}-\x{06FF}]+"")), ""[-–]+$"", """")), """"), GOOGLETRANSLATE('AYIRA MINI MART FINAL MENU - Pr'!A537, ""ar"", ""en"")))"),"Chilli Out Fire Fingers Spicy Honey 60g – Chilli Out Fire Fingers")</f>
        <v>Chilli Out Fire Fingers Spicy Honey 60g – Chilli Out Fire Fingers</v>
      </c>
      <c r="B537" s="56" t="str">
        <f>IFERROR(__xludf.DUMMYFUNCTION("IF('AYIRA MINI MART FINAL MENU - Pr'!B537="""", """", IF(LEN(IFERROR(TRIM(REGEXREPLACE(TRIM(REGEXEXTRACT('AYIRA MINI MART FINAL MENU - Pr'!B537, ""^[^\x{0600}-\x{06FF}]+"")), ""[-–]+$"", """")), """"))&gt;0, IFERROR(TRIM(REGEXREPLACE(TRIM(REGEXEXTRACT('AYIRA"&amp;" MINI MART FINAL MENU - Pr'!B537, ""^[^\x{0600}-\x{06FF}]+"")), ""[-–]+$"", """")), """"), GOOGLETRANSLATE('AYIRA MINI MART FINAL MENU - Pr'!B537, ""ar"", ""en"")))"),"Chips &amp; Crisps")</f>
        <v>Chips &amp; Crisps</v>
      </c>
      <c r="C537" s="58">
        <f>IF('AYIRA MINI MART FINAL MENU - Pr'!C537="", "", 'AYIRA MINI MART FINAL MENU - Pr'!C537)</f>
        <v>2.5</v>
      </c>
      <c r="D537" s="56" t="str">
        <f>IFERROR(__xludf.DUMMYFUNCTION("IF('AYIRA MINI MART FINAL MENU - Pr'!D537="""", """", GOOGLETRANSLATE('AYIRA MINI MART FINAL MENU - Pr'!D537, ""ar"", ""en""))"),"Don't be able to resist the taste of Chilli Out Fire Fingers Spicy Honey 60g, your perfect companion for relaxing and watching the game. Its unique crunch and varied flavors make every handful a delightful experience. Prepared with the finest ingredients "&amp;"using the latest manufacturing techniques to ensure an unparalleled taste. Ideal as a snack for adults and children alike between meals. Aira Mini Mart offers it in the perfect size and flavor for you.")</f>
        <v>Don't be able to resist the taste of Chilli Out Fire Fingers Spicy Honey 60g,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537" s="56" t="str">
        <f>IF('AYIRA MINI MART FINAL MENU - Pr'!K537="", "", 'AYIRA MINI MART FINAL MENU - Pr'!K537)</f>
        <v/>
      </c>
      <c r="F537" s="56"/>
      <c r="G537" s="56"/>
      <c r="H537" s="56"/>
      <c r="I537" s="56"/>
      <c r="J537" s="56"/>
      <c r="L537" s="56" t="str">
        <f>IF('AYIRA MINI MART FINAL MENU - Pr'!L537="", "", 'AYIRA MINI MART FINAL MENU - Pr'!L537)</f>
        <v/>
      </c>
      <c r="M537" s="56" t="str">
        <f>IF('AYIRA MINI MART FINAL MENU - Pr'!M537="", "", 'AYIRA MINI MART FINAL MENU - Pr'!M537)</f>
        <v/>
      </c>
      <c r="N537" s="56" t="str">
        <f>IF('AYIRA MINI MART FINAL MENU - Pr'!N537="", "", 'AYIRA MINI MART FINAL MENU - Pr'!N537)</f>
        <v/>
      </c>
      <c r="O537" s="57"/>
      <c r="P537" s="57"/>
      <c r="Q537" s="57"/>
      <c r="R537" s="57"/>
      <c r="S537" s="57"/>
      <c r="T537" s="57"/>
      <c r="U537" s="57"/>
      <c r="V537" s="57"/>
      <c r="W537" s="57"/>
      <c r="X537" s="57"/>
      <c r="Y537" s="57"/>
      <c r="Z537" s="57"/>
    </row>
    <row r="538">
      <c r="A538" s="56" t="str">
        <f>IFERROR(__xludf.DUMMYFUNCTION("IF('AYIRA MINI MART FINAL MENU - Pr'!A538="""", """", IF(LEN(IFERROR(TRIM(REGEXREPLACE(TRIM(REGEXEXTRACT('AYIRA MINI MART FINAL MENU - Pr'!A538, ""^[^\x{0600}-\x{06FF}]+"")), ""[-–]+$"", """")), """"))&gt;0, IFERROR(TRIM(REGEXREPLACE(TRIM(REGEXEXTRACT('AYIRA"&amp;" MINI MART FINAL MENU - Pr'!A538, ""^[^\x{0600}-\x{06FF}]+"")), ""[-–]+$"", """")), """"), GOOGLETRANSLATE('AYIRA MINI MART FINAL MENU - Pr'!A538, ""ar"", ""en"")))"),"Chilli Out Fire Fingers Spicy Lemon 60g – Chilli Out Fire Fingers")</f>
        <v>Chilli Out Fire Fingers Spicy Lemon 60g – Chilli Out Fire Fingers</v>
      </c>
      <c r="B538" s="56" t="str">
        <f>IFERROR(__xludf.DUMMYFUNCTION("IF('AYIRA MINI MART FINAL MENU - Pr'!B538="""", """", IF(LEN(IFERROR(TRIM(REGEXREPLACE(TRIM(REGEXEXTRACT('AYIRA MINI MART FINAL MENU - Pr'!B538, ""^[^\x{0600}-\x{06FF}]+"")), ""[-–]+$"", """")), """"))&gt;0, IFERROR(TRIM(REGEXREPLACE(TRIM(REGEXEXTRACT('AYIRA"&amp;" MINI MART FINAL MENU - Pr'!B538, ""^[^\x{0600}-\x{06FF}]+"")), ""[-–]+$"", """")), """"), GOOGLETRANSLATE('AYIRA MINI MART FINAL MENU - Pr'!B538, ""ar"", ""en"")))"),"Chips &amp; Crisps")</f>
        <v>Chips &amp; Crisps</v>
      </c>
      <c r="C538" s="58">
        <f>IF('AYIRA MINI MART FINAL MENU - Pr'!C538="", "", 'AYIRA MINI MART FINAL MENU - Pr'!C538)</f>
        <v>2.5</v>
      </c>
      <c r="D538" s="56" t="str">
        <f>IFERROR(__xludf.DUMMYFUNCTION("IF('AYIRA MINI MART FINAL MENU - Pr'!D538="""", """", GOOGLETRANSLATE('AYIRA MINI MART FINAL MENU - Pr'!D538, ""ar"", ""en""))"),"Don't be able to resist the taste of Chilli Out Fire Fingers Spicy Lemon 60g, your perfect companion for relaxing and watching the game. Its unique crunch and varied flavors make every handful a delightful experience. Prepared with the finest ingredients "&amp;"using the latest manufacturing techniques to ensure an unparalleled taste. Ideal as a snack for adults and children alike between meals. Aira Mini Mart offers it in the perfect size and flavor for you.")</f>
        <v>Don't be able to resist the taste of Chilli Out Fire Fingers Spicy Lemon 60g,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538" s="56" t="str">
        <f>IF('AYIRA MINI MART FINAL MENU - Pr'!K538="", "", 'AYIRA MINI MART FINAL MENU - Pr'!K538)</f>
        <v/>
      </c>
      <c r="F538" s="56"/>
      <c r="G538" s="56"/>
      <c r="H538" s="56"/>
      <c r="I538" s="56"/>
      <c r="J538" s="56"/>
      <c r="L538" s="56" t="str">
        <f>IF('AYIRA MINI MART FINAL MENU - Pr'!L538="", "", 'AYIRA MINI MART FINAL MENU - Pr'!L538)</f>
        <v/>
      </c>
      <c r="M538" s="56" t="str">
        <f>IF('AYIRA MINI MART FINAL MENU - Pr'!M538="", "", 'AYIRA MINI MART FINAL MENU - Pr'!M538)</f>
        <v/>
      </c>
      <c r="N538" s="56" t="str">
        <f>IF('AYIRA MINI MART FINAL MENU - Pr'!N538="", "", 'AYIRA MINI MART FINAL MENU - Pr'!N538)</f>
        <v/>
      </c>
      <c r="O538" s="57"/>
      <c r="P538" s="57"/>
      <c r="Q538" s="57"/>
      <c r="R538" s="57"/>
      <c r="S538" s="57"/>
      <c r="T538" s="57"/>
      <c r="U538" s="57"/>
      <c r="V538" s="57"/>
      <c r="W538" s="57"/>
      <c r="X538" s="57"/>
      <c r="Y538" s="57"/>
      <c r="Z538" s="57"/>
    </row>
    <row r="539">
      <c r="A539" s="56" t="str">
        <f>IFERROR(__xludf.DUMMYFUNCTION("IF('AYIRA MINI MART FINAL MENU - Pr'!A539="""", """", IF(LEN(IFERROR(TRIM(REGEXREPLACE(TRIM(REGEXEXTRACT('AYIRA MINI MART FINAL MENU - Pr'!A539, ""^[^\x{0600}-\x{06FF}]+"")), ""[-–]+$"", """")), """"))&gt;0, IFERROR(TRIM(REGEXREPLACE(TRIM(REGEXEXTRACT('AYIRA"&amp;" MINI MART FINAL MENU - Pr'!A539, ""^[^\x{0600}-\x{06FF}]+"")), ""[-–]+$"", """")), """"), GOOGLETRANSLATE('AYIRA MINI MART FINAL MENU - Pr'!A539, ""ar"", ""en"")))"),"Mexita Hot Chilli &amp; Lime Tortilla Chips 40g – Mexita")</f>
        <v>Mexita Hot Chilli &amp; Lime Tortilla Chips 40g – Mexita</v>
      </c>
      <c r="B539" s="56" t="str">
        <f>IFERROR(__xludf.DUMMYFUNCTION("IF('AYIRA MINI MART FINAL MENU - Pr'!B539="""", """", IF(LEN(IFERROR(TRIM(REGEXREPLACE(TRIM(REGEXEXTRACT('AYIRA MINI MART FINAL MENU - Pr'!B539, ""^[^\x{0600}-\x{06FF}]+"")), ""[-–]+$"", """")), """"))&gt;0, IFERROR(TRIM(REGEXREPLACE(TRIM(REGEXEXTRACT('AYIRA"&amp;" MINI MART FINAL MENU - Pr'!B539, ""^[^\x{0600}-\x{06FF}]+"")), ""[-–]+$"", """")), """"), GOOGLETRANSLATE('AYIRA MINI MART FINAL MENU - Pr'!B539, ""ar"", ""en"")))"),"Chips &amp; Crisps")</f>
        <v>Chips &amp; Crisps</v>
      </c>
      <c r="C539" s="58">
        <f>IF('AYIRA MINI MART FINAL MENU - Pr'!C539="", "", 'AYIRA MINI MART FINAL MENU - Pr'!C539)</f>
        <v>2.5</v>
      </c>
      <c r="D539" s="56" t="str">
        <f>IFERROR(__xludf.DUMMYFUNCTION("IF('AYIRA MINI MART FINAL MENU - Pr'!D539="""", """", GOOGLETRANSLATE('AYIRA MINI MART FINAL MENU - Pr'!D539, ""ar"", ""en""))"),"Don't be able to resist the taste of Mexita Hot Chilli &amp; Lime Tortilla Chips 40g, your perfect companion for relaxing and watching the game. Their unique crunch and varied flavors make every handful a delightful experience. Made with the finest ingredient"&amp;"s using the latest manufacturing techniques to ensure an unparalleled taste. Ideal as a snack for adults and children alike between meals. Aira Mini Mart offers them in the perfect size and flavor for you.")</f>
        <v>Don't be able to resist the taste of Mexita Hot Chilli &amp; Lime Tortilla Chips 40g,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539" s="56" t="str">
        <f>IF('AYIRA MINI MART FINAL MENU - Pr'!K539="", "", 'AYIRA MINI MART FINAL MENU - Pr'!K539)</f>
        <v/>
      </c>
      <c r="F539" s="56"/>
      <c r="G539" s="56"/>
      <c r="H539" s="56"/>
      <c r="I539" s="56"/>
      <c r="J539" s="56"/>
      <c r="L539" s="56" t="str">
        <f>IF('AYIRA MINI MART FINAL MENU - Pr'!L539="", "", 'AYIRA MINI MART FINAL MENU - Pr'!L539)</f>
        <v/>
      </c>
      <c r="M539" s="56" t="str">
        <f>IF('AYIRA MINI MART FINAL MENU - Pr'!M539="", "", 'AYIRA MINI MART FINAL MENU - Pr'!M539)</f>
        <v/>
      </c>
      <c r="N539" s="56" t="str">
        <f>IF('AYIRA MINI MART FINAL MENU - Pr'!N539="", "", 'AYIRA MINI MART FINAL MENU - Pr'!N539)</f>
        <v/>
      </c>
      <c r="O539" s="57"/>
      <c r="P539" s="57"/>
      <c r="Q539" s="57"/>
      <c r="R539" s="57"/>
      <c r="S539" s="57"/>
      <c r="T539" s="57"/>
      <c r="U539" s="57"/>
      <c r="V539" s="57"/>
      <c r="W539" s="57"/>
      <c r="X539" s="57"/>
      <c r="Y539" s="57"/>
      <c r="Z539" s="57"/>
    </row>
    <row r="540">
      <c r="A540" s="56" t="str">
        <f>IFERROR(__xludf.DUMMYFUNCTION("IF('AYIRA MINI MART FINAL MENU - Pr'!A540="""", """", IF(LEN(IFERROR(TRIM(REGEXREPLACE(TRIM(REGEXEXTRACT('AYIRA MINI MART FINAL MENU - Pr'!A540, ""^[^\x{0600}-\x{06FF}]+"")), ""[-–]+$"", """")), """"))&gt;0, IFERROR(TRIM(REGEXREPLACE(TRIM(REGEXEXTRACT('AYIRA"&amp;" MINI MART FINAL MENU - Pr'!A540, ""^[^\x{0600}-\x{06FF}]+"")), ""[-–]+$"", """")), """"), GOOGLETRANSLATE('AYIRA MINI MART FINAL MENU - Pr'!A540, ""ar"", ""en"")))"),"Mexita Sweet Chilli Pepper Tortilla Chips 40g – Mexita Sweet Chilli Pepper Tortilla")</f>
        <v>Mexita Sweet Chilli Pepper Tortilla Chips 40g – Mexita Sweet Chilli Pepper Tortilla</v>
      </c>
      <c r="B540" s="56" t="str">
        <f>IFERROR(__xludf.DUMMYFUNCTION("IF('AYIRA MINI MART FINAL MENU - Pr'!B540="""", """", IF(LEN(IFERROR(TRIM(REGEXREPLACE(TRIM(REGEXEXTRACT('AYIRA MINI MART FINAL MENU - Pr'!B540, ""^[^\x{0600}-\x{06FF}]+"")), ""[-–]+$"", """")), """"))&gt;0, IFERROR(TRIM(REGEXREPLACE(TRIM(REGEXEXTRACT('AYIRA"&amp;" MINI MART FINAL MENU - Pr'!B540, ""^[^\x{0600}-\x{06FF}]+"")), ""[-–]+$"", """")), """"), GOOGLETRANSLATE('AYIRA MINI MART FINAL MENU - Pr'!B540, ""ar"", ""en"")))"),"Chips &amp; Crisps")</f>
        <v>Chips &amp; Crisps</v>
      </c>
      <c r="C540" s="58">
        <f>IF('AYIRA MINI MART FINAL MENU - Pr'!C540="", "", 'AYIRA MINI MART FINAL MENU - Pr'!C540)</f>
        <v>2.5</v>
      </c>
      <c r="D540" s="56" t="str">
        <f>IFERROR(__xludf.DUMMYFUNCTION("IF('AYIRA MINI MART FINAL MENU - Pr'!D540="""", """", GOOGLETRANSLATE('AYIRA MINI MART FINAL MENU - Pr'!D540, ""ar"", ""en""))"),"Don't be able to resist the taste of Mexita Sweet Chilli Pepper Tortilla Chips 40g, your perfect companion for relaxing and watching the game. Their unique crunch and varied flavors make every handful a delightful experience. Made with the finest ingredie"&amp;"nts using the latest manufacturing techniques to ensure an unparalleled taste. Ideal as a snack for adults and children alike between meals. Aira Mini Mart offers them in the perfect size and flavor for you.")</f>
        <v>Don't be able to resist the taste of Mexita Sweet Chilli Pepper Tortilla Chips 40g,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540" s="56" t="str">
        <f>IF('AYIRA MINI MART FINAL MENU - Pr'!K540="", "", 'AYIRA MINI MART FINAL MENU - Pr'!K540)</f>
        <v/>
      </c>
      <c r="F540" s="56"/>
      <c r="G540" s="56"/>
      <c r="H540" s="56"/>
      <c r="I540" s="56"/>
      <c r="J540" s="56"/>
      <c r="L540" s="56" t="str">
        <f>IF('AYIRA MINI MART FINAL MENU - Pr'!L540="", "", 'AYIRA MINI MART FINAL MENU - Pr'!L540)</f>
        <v/>
      </c>
      <c r="M540" s="56" t="str">
        <f>IF('AYIRA MINI MART FINAL MENU - Pr'!M540="", "", 'AYIRA MINI MART FINAL MENU - Pr'!M540)</f>
        <v/>
      </c>
      <c r="N540" s="56" t="str">
        <f>IF('AYIRA MINI MART FINAL MENU - Pr'!N540="", "", 'AYIRA MINI MART FINAL MENU - Pr'!N540)</f>
        <v/>
      </c>
      <c r="O540" s="57"/>
      <c r="P540" s="57"/>
      <c r="Q540" s="57"/>
      <c r="R540" s="57"/>
      <c r="S540" s="57"/>
      <c r="T540" s="57"/>
      <c r="U540" s="57"/>
      <c r="V540" s="57"/>
      <c r="W540" s="57"/>
      <c r="X540" s="57"/>
      <c r="Y540" s="57"/>
      <c r="Z540" s="57"/>
    </row>
    <row r="541">
      <c r="A541" s="56" t="str">
        <f>IFERROR(__xludf.DUMMYFUNCTION("IF('AYIRA MINI MART FINAL MENU - Pr'!A541="""", """", IF(LEN(IFERROR(TRIM(REGEXREPLACE(TRIM(REGEXEXTRACT('AYIRA MINI MART FINAL MENU - Pr'!A541, ""^[^\x{0600}-\x{06FF}]+"")), ""[-–]+$"", """")), """"))&gt;0, IFERROR(TRIM(REGEXREPLACE(TRIM(REGEXEXTRACT('AYIRA"&amp;" MINI MART FINAL MENU - Pr'!A541, ""^[^\x{0600}-\x{06FF}]+"")), ""[-–]+$"", """")), """"), GOOGLETRANSLATE('AYIRA MINI MART FINAL MENU - Pr'!A541, ""ar"", ""en"")))"),"Mazoon Snack 20g – Mazoon Snack 20")</f>
        <v>Mazoon Snack 20g – Mazoon Snack 20</v>
      </c>
      <c r="B541" s="56" t="str">
        <f>IFERROR(__xludf.DUMMYFUNCTION("IF('AYIRA MINI MART FINAL MENU - Pr'!B541="""", """", IF(LEN(IFERROR(TRIM(REGEXREPLACE(TRIM(REGEXEXTRACT('AYIRA MINI MART FINAL MENU - Pr'!B541, ""^[^\x{0600}-\x{06FF}]+"")), ""[-–]+$"", """")), """"))&gt;0, IFERROR(TRIM(REGEXREPLACE(TRIM(REGEXEXTRACT('AYIRA"&amp;" MINI MART FINAL MENU - Pr'!B541, ""^[^\x{0600}-\x{06FF}]+"")), ""[-–]+$"", """")), """"), GOOGLETRANSLATE('AYIRA MINI MART FINAL MENU - Pr'!B541, ""ar"", ""en"")))"),"Chips &amp; Crisps")</f>
        <v>Chips &amp; Crisps</v>
      </c>
      <c r="C541" s="58">
        <f>IF('AYIRA MINI MART FINAL MENU - Pr'!C541="", "", 'AYIRA MINI MART FINAL MENU - Pr'!C541)</f>
        <v>1</v>
      </c>
      <c r="D541" s="56" t="str">
        <f>IFERROR(__xludf.DUMMYFUNCTION("IF('AYIRA MINI MART FINAL MENU - Pr'!D541="""", """", GOOGLETRANSLATE('AYIRA MINI MART FINAL MENU - Pr'!D541, ""ar"", ""en""))"),"Don't be able to resist the taste of Mazoon Snack 20g, your perfect companion for relaxing and watching matches. Its unique crunch and diverse flavors make every handful a delightful experience. Prepared with the finest ingredients using the latest manufa"&amp;"cturing techniques to ensure an unparalleled taste. Ideal as a snack for adults and children between meals. Aira Mini Mart offers it in the perfect size and flavor for you.")</f>
        <v>Don't be able to resist the taste of Mazoon Snack 20g,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541" s="56" t="str">
        <f>IF('AYIRA MINI MART FINAL MENU - Pr'!K541="", "", 'AYIRA MINI MART FINAL MENU - Pr'!K541)</f>
        <v/>
      </c>
      <c r="F541" s="56"/>
      <c r="G541" s="56"/>
      <c r="H541" s="56"/>
      <c r="I541" s="56"/>
      <c r="J541" s="56"/>
      <c r="L541" s="56" t="str">
        <f>IF('AYIRA MINI MART FINAL MENU - Pr'!L541="", "", 'AYIRA MINI MART FINAL MENU - Pr'!L541)</f>
        <v/>
      </c>
      <c r="M541" s="56" t="str">
        <f>IF('AYIRA MINI MART FINAL MENU - Pr'!M541="", "", 'AYIRA MINI MART FINAL MENU - Pr'!M541)</f>
        <v/>
      </c>
      <c r="N541" s="56" t="str">
        <f>IF('AYIRA MINI MART FINAL MENU - Pr'!N541="", "", 'AYIRA MINI MART FINAL MENU - Pr'!N541)</f>
        <v/>
      </c>
      <c r="O541" s="57"/>
      <c r="P541" s="57"/>
      <c r="Q541" s="57"/>
      <c r="R541" s="57"/>
      <c r="S541" s="57"/>
      <c r="T541" s="57"/>
      <c r="U541" s="57"/>
      <c r="V541" s="57"/>
      <c r="W541" s="57"/>
      <c r="X541" s="57"/>
      <c r="Y541" s="57"/>
      <c r="Z541" s="57"/>
    </row>
    <row r="542">
      <c r="A542" s="56" t="str">
        <f>IFERROR(__xludf.DUMMYFUNCTION("IF('AYIRA MINI MART FINAL MENU - Pr'!A542="""", """", IF(LEN(IFERROR(TRIM(REGEXREPLACE(TRIM(REGEXEXTRACT('AYIRA MINI MART FINAL MENU - Pr'!A542, ""^[^\x{0600}-\x{06FF}]+"")), ""[-–]+$"", """")), """"))&gt;0, IFERROR(TRIM(REGEXREPLACE(TRIM(REGEXEXTRACT('AYIRA"&amp;" MINI MART FINAL MENU - Pr'!A542, ""^[^\x{0600}-\x{06FF}]+"")), ""[-–]+$"", """")), """"), GOOGLETRANSLATE('AYIRA MINI MART FINAL MENU - Pr'!A542, ""ar"", ""en"")))"),"Al Batal Salt &amp; Vinegar Potato Chips 12g – Al Batal")</f>
        <v>Al Batal Salt &amp; Vinegar Potato Chips 12g – Al Batal</v>
      </c>
      <c r="B542" s="56" t="str">
        <f>IFERROR(__xludf.DUMMYFUNCTION("IF('AYIRA MINI MART FINAL MENU - Pr'!B542="""", """", IF(LEN(IFERROR(TRIM(REGEXREPLACE(TRIM(REGEXEXTRACT('AYIRA MINI MART FINAL MENU - Pr'!B542, ""^[^\x{0600}-\x{06FF}]+"")), ""[-–]+$"", """")), """"))&gt;0, IFERROR(TRIM(REGEXREPLACE(TRIM(REGEXEXTRACT('AYIRA"&amp;" MINI MART FINAL MENU - Pr'!B542, ""^[^\x{0600}-\x{06FF}]+"")), ""[-–]+$"", """")), """"), GOOGLETRANSLATE('AYIRA MINI MART FINAL MENU - Pr'!B542, ""ar"", ""en"")))"),"Chips &amp; Crisps")</f>
        <v>Chips &amp; Crisps</v>
      </c>
      <c r="C542" s="58">
        <f>IF('AYIRA MINI MART FINAL MENU - Pr'!C542="", "", 'AYIRA MINI MART FINAL MENU - Pr'!C542)</f>
        <v>1</v>
      </c>
      <c r="D542" s="56" t="str">
        <f>IFERROR(__xludf.DUMMYFUNCTION("IF('AYIRA MINI MART FINAL MENU - Pr'!D542="""", """", GOOGLETRANSLATE('AYIRA MINI MART FINAL MENU - Pr'!D542, ""ar"", ""en""))"),"Don't be able to resist the taste of Al Batal Salt &amp; Vinegar Potato Chips 12g, your perfect companion for relaxing and watching matches. Their unique crunch and varied flavors make every handful a delightful experience. Prepared with the finest ingredient"&amp;"s using the latest manufacturing techniques to ensure an unparalleled taste. Ideal as a snack for adults and children alike between meals. Aira Mini Mart offers them in the perfect size and flavor for you.")</f>
        <v>Don't be able to resist the taste of Al Batal Salt &amp; Vinegar Potato Chips 12g,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42" s="56" t="str">
        <f>IF('AYIRA MINI MART FINAL MENU - Pr'!K542="", "", 'AYIRA MINI MART FINAL MENU - Pr'!K542)</f>
        <v/>
      </c>
      <c r="F542" s="56"/>
      <c r="G542" s="56"/>
      <c r="H542" s="56"/>
      <c r="I542" s="56"/>
      <c r="J542" s="56"/>
      <c r="L542" s="56" t="str">
        <f>IF('AYIRA MINI MART FINAL MENU - Pr'!L542="", "", 'AYIRA MINI MART FINAL MENU - Pr'!L542)</f>
        <v/>
      </c>
      <c r="M542" s="56" t="str">
        <f>IF('AYIRA MINI MART FINAL MENU - Pr'!M542="", "", 'AYIRA MINI MART FINAL MENU - Pr'!M542)</f>
        <v/>
      </c>
      <c r="N542" s="56" t="str">
        <f>IF('AYIRA MINI MART FINAL MENU - Pr'!N542="", "", 'AYIRA MINI MART FINAL MENU - Pr'!N542)</f>
        <v/>
      </c>
      <c r="O542" s="57"/>
      <c r="P542" s="57"/>
      <c r="Q542" s="57"/>
      <c r="R542" s="57"/>
      <c r="S542" s="57"/>
      <c r="T542" s="57"/>
      <c r="U542" s="57"/>
      <c r="V542" s="57"/>
      <c r="W542" s="57"/>
      <c r="X542" s="57"/>
      <c r="Y542" s="57"/>
      <c r="Z542" s="57"/>
    </row>
    <row r="543">
      <c r="A543" s="56" t="str">
        <f>IFERROR(__xludf.DUMMYFUNCTION("IF('AYIRA MINI MART FINAL MENU - Pr'!A543="""", """", IF(LEN(IFERROR(TRIM(REGEXREPLACE(TRIM(REGEXEXTRACT('AYIRA MINI MART FINAL MENU - Pr'!A543, ""^[^\x{0600}-\x{06FF}]+"")), ""[-–]+$"", """")), """"))&gt;0, IFERROR(TRIM(REGEXREPLACE(TRIM(REGEXEXTRACT('AYIRA"&amp;" MINI MART FINAL MENU - Pr'!A543, ""^[^\x{0600}-\x{06FF}]+"")), ""[-–]+$"", """")), """"), GOOGLETRANSLATE('AYIRA MINI MART FINAL MENU - Pr'!A543, ""ar"", ""en"")))"),"Al Batal Potato Chips Ketchup Flavour 12g – Al Batal Potato")</f>
        <v>Al Batal Potato Chips Ketchup Flavour 12g – Al Batal Potato</v>
      </c>
      <c r="B543" s="56" t="str">
        <f>IFERROR(__xludf.DUMMYFUNCTION("IF('AYIRA MINI MART FINAL MENU - Pr'!B543="""", """", IF(LEN(IFERROR(TRIM(REGEXREPLACE(TRIM(REGEXEXTRACT('AYIRA MINI MART FINAL MENU - Pr'!B543, ""^[^\x{0600}-\x{06FF}]+"")), ""[-–]+$"", """")), """"))&gt;0, IFERROR(TRIM(REGEXREPLACE(TRIM(REGEXEXTRACT('AYIRA"&amp;" MINI MART FINAL MENU - Pr'!B543, ""^[^\x{0600}-\x{06FF}]+"")), ""[-–]+$"", """")), """"), GOOGLETRANSLATE('AYIRA MINI MART FINAL MENU - Pr'!B543, ""ar"", ""en"")))"),"Chips &amp; Crisps")</f>
        <v>Chips &amp; Crisps</v>
      </c>
      <c r="C543" s="58">
        <f>IF('AYIRA MINI MART FINAL MENU - Pr'!C543="", "", 'AYIRA MINI MART FINAL MENU - Pr'!C543)</f>
        <v>1</v>
      </c>
      <c r="D543" s="56" t="str">
        <f>IFERROR(__xludf.DUMMYFUNCTION("IF('AYIRA MINI MART FINAL MENU - Pr'!D543="""", """", GOOGLETRANSLATE('AYIRA MINI MART FINAL MENU - Pr'!D543, ""ar"", ""en""))"),"Don't be able to resist the taste of Al Batal Potato Chips Ketchup Flavor 12g, your perfect companion for relaxing and watching matches. Their unique crunch and varied flavors make every handful a delightful experience. Prepared with the finest ingredient"&amp;"s using the latest manufacturing techniques to ensure an unparalleled taste. Ideal as a snack for adults and children alike between meals. Aira Mini Mart offers them in the size and flavor that suits you best.")</f>
        <v>Don't be able to resist the taste of Al Batal Potato Chips Ketchup Flavor 12g,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size and flavor that suits you best.</v>
      </c>
      <c r="E543" s="56" t="str">
        <f>IF('AYIRA MINI MART FINAL MENU - Pr'!K543="", "", 'AYIRA MINI MART FINAL MENU - Pr'!K543)</f>
        <v/>
      </c>
      <c r="F543" s="56"/>
      <c r="G543" s="56"/>
      <c r="H543" s="56"/>
      <c r="I543" s="56"/>
      <c r="J543" s="56"/>
      <c r="L543" s="56" t="str">
        <f>IF('AYIRA MINI MART FINAL MENU - Pr'!L543="", "", 'AYIRA MINI MART FINAL MENU - Pr'!L543)</f>
        <v/>
      </c>
      <c r="M543" s="56" t="str">
        <f>IF('AYIRA MINI MART FINAL MENU - Pr'!M543="", "", 'AYIRA MINI MART FINAL MENU - Pr'!M543)</f>
        <v/>
      </c>
      <c r="N543" s="56" t="str">
        <f>IF('AYIRA MINI MART FINAL MENU - Pr'!N543="", "", 'AYIRA MINI MART FINAL MENU - Pr'!N543)</f>
        <v/>
      </c>
      <c r="O543" s="57"/>
      <c r="P543" s="57"/>
      <c r="Q543" s="57"/>
      <c r="R543" s="57"/>
      <c r="S543" s="57"/>
      <c r="T543" s="57"/>
      <c r="U543" s="57"/>
      <c r="V543" s="57"/>
      <c r="W543" s="57"/>
      <c r="X543" s="57"/>
      <c r="Y543" s="57"/>
      <c r="Z543" s="57"/>
    </row>
    <row r="544">
      <c r="A544" s="56" t="str">
        <f>IFERROR(__xludf.DUMMYFUNCTION("IF('AYIRA MINI MART FINAL MENU - Pr'!A544="""", """", IF(LEN(IFERROR(TRIM(REGEXREPLACE(TRIM(REGEXEXTRACT('AYIRA MINI MART FINAL MENU - Pr'!A544, ""^[^\x{0600}-\x{06FF}]+"")), ""[-–]+$"", """")), """"))&gt;0, IFERROR(TRIM(REGEXREPLACE(TRIM(REGEXEXTRACT('AYIRA"&amp;" MINI MART FINAL MENU - Pr'!A544, ""^[^\x{0600}-\x{06FF}]+"")), ""[-–]+$"", """")), """"), GOOGLETRANSLATE('AYIRA MINI MART FINAL MENU - Pr'!A544, ""ar"", ""en"")))"),"Al Batal Potato Chips Cheese Flavour 12g – Al Batal Potato")</f>
        <v>Al Batal Potato Chips Cheese Flavour 12g – Al Batal Potato</v>
      </c>
      <c r="B544" s="56" t="str">
        <f>IFERROR(__xludf.DUMMYFUNCTION("IF('AYIRA MINI MART FINAL MENU - Pr'!B544="""", """", IF(LEN(IFERROR(TRIM(REGEXREPLACE(TRIM(REGEXEXTRACT('AYIRA MINI MART FINAL MENU - Pr'!B544, ""^[^\x{0600}-\x{06FF}]+"")), ""[-–]+$"", """")), """"))&gt;0, IFERROR(TRIM(REGEXREPLACE(TRIM(REGEXEXTRACT('AYIRA"&amp;" MINI MART FINAL MENU - Pr'!B544, ""^[^\x{0600}-\x{06FF}]+"")), ""[-–]+$"", """")), """"), GOOGLETRANSLATE('AYIRA MINI MART FINAL MENU - Pr'!B544, ""ar"", ""en"")))"),"Chips &amp; Crisps")</f>
        <v>Chips &amp; Crisps</v>
      </c>
      <c r="C544" s="58">
        <f>IF('AYIRA MINI MART FINAL MENU - Pr'!C544="", "", 'AYIRA MINI MART FINAL MENU - Pr'!C544)</f>
        <v>1</v>
      </c>
      <c r="D544" s="56" t="str">
        <f>IFERROR(__xludf.DUMMYFUNCTION("IF('AYIRA MINI MART FINAL MENU - Pr'!D544="""", """", GOOGLETRANSLATE('AYIRA MINI MART FINAL MENU - Pr'!D544, ""ar"", ""en""))"),"Don't be able to resist the taste of Al Batal Potato Chips Cheese Flavor 12g, your perfect companion for relaxing and watching the game. Their unique crunch and varied flavors make every handful a delightful experience. Prepared with the finest ingredient"&amp;"s using the latest manufacturing techniques to ensure an unparalleled taste. Ideal as a snack for adults and children alike between meals. Aira Mini Mart offers them in the perfect size and flavor for you.")</f>
        <v>Don't be able to resist the taste of Al Batal Potato Chips Cheese Flavor 12g,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44" s="56" t="str">
        <f>IF('AYIRA MINI MART FINAL MENU - Pr'!K544="", "", 'AYIRA MINI MART FINAL MENU - Pr'!K544)</f>
        <v/>
      </c>
      <c r="F544" s="56"/>
      <c r="G544" s="56"/>
      <c r="H544" s="56"/>
      <c r="I544" s="56"/>
      <c r="J544" s="56"/>
      <c r="L544" s="56" t="str">
        <f>IF('AYIRA MINI MART FINAL MENU - Pr'!L544="", "", 'AYIRA MINI MART FINAL MENU - Pr'!L544)</f>
        <v/>
      </c>
      <c r="M544" s="56" t="str">
        <f>IF('AYIRA MINI MART FINAL MENU - Pr'!M544="", "", 'AYIRA MINI MART FINAL MENU - Pr'!M544)</f>
        <v/>
      </c>
      <c r="N544" s="56" t="str">
        <f>IF('AYIRA MINI MART FINAL MENU - Pr'!N544="", "", 'AYIRA MINI MART FINAL MENU - Pr'!N544)</f>
        <v/>
      </c>
      <c r="O544" s="57"/>
      <c r="P544" s="57"/>
      <c r="Q544" s="57"/>
      <c r="R544" s="57"/>
      <c r="S544" s="57"/>
      <c r="T544" s="57"/>
      <c r="U544" s="57"/>
      <c r="V544" s="57"/>
      <c r="W544" s="57"/>
      <c r="X544" s="57"/>
      <c r="Y544" s="57"/>
      <c r="Z544" s="57"/>
    </row>
    <row r="545">
      <c r="A545" s="56" t="str">
        <f>IFERROR(__xludf.DUMMYFUNCTION("IF('AYIRA MINI MART FINAL MENU - Pr'!A545="""", """", IF(LEN(IFERROR(TRIM(REGEXREPLACE(TRIM(REGEXEXTRACT('AYIRA MINI MART FINAL MENU - Pr'!A545, ""^[^\x{0600}-\x{06FF}]+"")), ""[-–]+$"", """")), """"))&gt;0, IFERROR(TRIM(REGEXREPLACE(TRIM(REGEXEXTRACT('AYIRA"&amp;" MINI MART FINAL MENU - Pr'!A545, ""^[^\x{0600}-\x{06FF}]+"")), ""[-–]+$"", """")), """"), GOOGLETRANSLATE('AYIRA MINI MART FINAL MENU - Pr'!A545, ""ar"", ""en"")))"),"Al Batal Potato Chips Salt Flavour 12g – Al Batal Potato")</f>
        <v>Al Batal Potato Chips Salt Flavour 12g – Al Batal Potato</v>
      </c>
      <c r="B545" s="56" t="str">
        <f>IFERROR(__xludf.DUMMYFUNCTION("IF('AYIRA MINI MART FINAL MENU - Pr'!B545="""", """", IF(LEN(IFERROR(TRIM(REGEXREPLACE(TRIM(REGEXEXTRACT('AYIRA MINI MART FINAL MENU - Pr'!B545, ""^[^\x{0600}-\x{06FF}]+"")), ""[-–]+$"", """")), """"))&gt;0, IFERROR(TRIM(REGEXREPLACE(TRIM(REGEXEXTRACT('AYIRA"&amp;" MINI MART FINAL MENU - Pr'!B545, ""^[^\x{0600}-\x{06FF}]+"")), ""[-–]+$"", """")), """"), GOOGLETRANSLATE('AYIRA MINI MART FINAL MENU - Pr'!B545, ""ar"", ""en"")))"),"Chips &amp; Crisps")</f>
        <v>Chips &amp; Crisps</v>
      </c>
      <c r="C545" s="58">
        <f>IF('AYIRA MINI MART FINAL MENU - Pr'!C545="", "", 'AYIRA MINI MART FINAL MENU - Pr'!C545)</f>
        <v>1</v>
      </c>
      <c r="D545" s="56" t="str">
        <f>IFERROR(__xludf.DUMMYFUNCTION("IF('AYIRA MINI MART FINAL MENU - Pr'!D545="""", """", GOOGLETRANSLATE('AYIRA MINI MART FINAL MENU - Pr'!D545, ""ar"", ""en""))"),"Don't be able to resist the taste of Al Batal Potato Chips Salt Flavor 12g, your perfect companion for relaxing and watching matches. Their unique crunch and varied flavors make every handful a delightful experience. Prepared with the finest ingredients u"&amp;"sing the latest manufacturing techniques to ensure an unparalleled taste. Ideal as a snack for adults and children alike between meals. Aira Mini Mart offers them in the perfect size and flavor for you.")</f>
        <v>Don't be able to resist the taste of Al Batal Potato Chips Salt Flavor 12g,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45" s="56" t="str">
        <f>IF('AYIRA MINI MART FINAL MENU - Pr'!K545="", "", 'AYIRA MINI MART FINAL MENU - Pr'!K545)</f>
        <v/>
      </c>
      <c r="F545" s="56"/>
      <c r="G545" s="56"/>
      <c r="H545" s="56"/>
      <c r="I545" s="56"/>
      <c r="J545" s="56"/>
      <c r="L545" s="56" t="str">
        <f>IF('AYIRA MINI MART FINAL MENU - Pr'!L545="", "", 'AYIRA MINI MART FINAL MENU - Pr'!L545)</f>
        <v/>
      </c>
      <c r="M545" s="56" t="str">
        <f>IF('AYIRA MINI MART FINAL MENU - Pr'!M545="", "", 'AYIRA MINI MART FINAL MENU - Pr'!M545)</f>
        <v/>
      </c>
      <c r="N545" s="56" t="str">
        <f>IF('AYIRA MINI MART FINAL MENU - Pr'!N545="", "", 'AYIRA MINI MART FINAL MENU - Pr'!N545)</f>
        <v/>
      </c>
      <c r="O545" s="57"/>
      <c r="P545" s="57"/>
      <c r="Q545" s="57"/>
      <c r="R545" s="57"/>
      <c r="S545" s="57"/>
      <c r="T545" s="57"/>
      <c r="U545" s="57"/>
      <c r="V545" s="57"/>
      <c r="W545" s="57"/>
      <c r="X545" s="57"/>
      <c r="Y545" s="57"/>
      <c r="Z545" s="57"/>
    </row>
    <row r="546">
      <c r="A546" s="56" t="str">
        <f>IFERROR(__xludf.DUMMYFUNCTION("IF('AYIRA MINI MART FINAL MENU - Pr'!A546="""", """", IF(LEN(IFERROR(TRIM(REGEXREPLACE(TRIM(REGEXEXTRACT('AYIRA MINI MART FINAL MENU - Pr'!A546, ""^[^\x{0600}-\x{06FF}]+"")), ""[-–]+$"", """")), """"))&gt;0, IFERROR(TRIM(REGEXREPLACE(TRIM(REGEXEXTRACT('AYIRA"&amp;" MINI MART FINAL MENU - Pr'!A546, ""^[^\x{0600}-\x{06FF}]+"")), ""[-–]+$"", """")), """"), GOOGLETRANSLATE('AYIRA MINI MART FINAL MENU - Pr'!A546, ""ar"", ""en"")))"),"Balaji Wafers Crunchem Chaat Chaska 135g – Balaji Wafers Crunchem Chaat Chaska 135")</f>
        <v>Balaji Wafers Crunchem Chaat Chaska 135g – Balaji Wafers Crunchem Chaat Chaska 135</v>
      </c>
      <c r="B546" s="56" t="str">
        <f>IFERROR(__xludf.DUMMYFUNCTION("IF('AYIRA MINI MART FINAL MENU - Pr'!B546="""", """", IF(LEN(IFERROR(TRIM(REGEXREPLACE(TRIM(REGEXEXTRACT('AYIRA MINI MART FINAL MENU - Pr'!B546, ""^[^\x{0600}-\x{06FF}]+"")), ""[-–]+$"", """")), """"))&gt;0, IFERROR(TRIM(REGEXREPLACE(TRIM(REGEXEXTRACT('AYIRA"&amp;" MINI MART FINAL MENU - Pr'!B546, ""^[^\x{0600}-\x{06FF}]+"")), ""[-–]+$"", """")), """"), GOOGLETRANSLATE('AYIRA MINI MART FINAL MENU - Pr'!B546, ""ar"", ""en"")))"),"Chips &amp; Crisps")</f>
        <v>Chips &amp; Crisps</v>
      </c>
      <c r="C546" s="58">
        <f>IF('AYIRA MINI MART FINAL MENU - Pr'!C546="", "", 'AYIRA MINI MART FINAL MENU - Pr'!C546)</f>
        <v>6.5</v>
      </c>
      <c r="D546" s="56" t="str">
        <f>IFERROR(__xludf.DUMMYFUNCTION("IF('AYIRA MINI MART FINAL MENU - Pr'!D546="""", """", GOOGLETRANSLATE('AYIRA MINI MART FINAL MENU - Pr'!D546, ""ar"", ""en""))"),"Don't be able to resist the taste of Balaji Wafers Crunchem Chaat Chaska 135g, your perfect companion for relaxing and watching the game. Their unique crunch and varied flavors make every handful a delightful experience. Prepared with the finest ingredien"&amp;"ts using the latest manufacturing techniques to ensure an unparalleled taste. Ideal as a snack for adults and children alike between meals. Aira Mini Mart offers them in the perfect size and flavor for you.")</f>
        <v>Don't be able to resist the taste of Balaji Wafers Crunchem Chaat Chaska 135g,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46" s="56" t="str">
        <f>IF('AYIRA MINI MART FINAL MENU - Pr'!K546="", "", 'AYIRA MINI MART FINAL MENU - Pr'!K546)</f>
        <v/>
      </c>
      <c r="F546" s="56"/>
      <c r="G546" s="56"/>
      <c r="H546" s="56"/>
      <c r="I546" s="56"/>
      <c r="J546" s="56"/>
      <c r="L546" s="56" t="str">
        <f>IF('AYIRA MINI MART FINAL MENU - Pr'!L546="", "", 'AYIRA MINI MART FINAL MENU - Pr'!L546)</f>
        <v/>
      </c>
      <c r="M546" s="56" t="str">
        <f>IF('AYIRA MINI MART FINAL MENU - Pr'!M546="", "", 'AYIRA MINI MART FINAL MENU - Pr'!M546)</f>
        <v/>
      </c>
      <c r="N546" s="56" t="str">
        <f>IF('AYIRA MINI MART FINAL MENU - Pr'!N546="", "", 'AYIRA MINI MART FINAL MENU - Pr'!N546)</f>
        <v/>
      </c>
      <c r="O546" s="57"/>
      <c r="P546" s="57"/>
      <c r="Q546" s="57"/>
      <c r="R546" s="57"/>
      <c r="S546" s="57"/>
      <c r="T546" s="57"/>
      <c r="U546" s="57"/>
      <c r="V546" s="57"/>
      <c r="W546" s="57"/>
      <c r="X546" s="57"/>
      <c r="Y546" s="57"/>
      <c r="Z546" s="57"/>
    </row>
    <row r="547">
      <c r="A547" s="56" t="str">
        <f>IFERROR(__xludf.DUMMYFUNCTION("IF('AYIRA MINI MART FINAL MENU - Pr'!A547="""", """", IF(LEN(IFERROR(TRIM(REGEXREPLACE(TRIM(REGEXEXTRACT('AYIRA MINI MART FINAL MENU - Pr'!A547, ""^[^\x{0600}-\x{06FF}]+"")), ""[-–]+$"", """")), """"))&gt;0, IFERROR(TRIM(REGEXREPLACE(TRIM(REGEXEXTRACT('AYIRA"&amp;" MINI MART FINAL MENU - Pr'!A547, ""^[^\x{0600}-\x{06FF}]+"")), ""[-–]+$"", """")), """"), GOOGLETRANSLATE('AYIRA MINI MART FINAL MENU - Pr'!A547, ""ar"", ""en"")))"),"Cheetos Flamin’ Hot Crunchy Cheese Flavour Snacks")</f>
        <v>Cheetos Flamin’ Hot Crunchy Cheese Flavour Snacks</v>
      </c>
      <c r="B547" s="56" t="str">
        <f>IFERROR(__xludf.DUMMYFUNCTION("IF('AYIRA MINI MART FINAL MENU - Pr'!B547="""", """", IF(LEN(IFERROR(TRIM(REGEXREPLACE(TRIM(REGEXEXTRACT('AYIRA MINI MART FINAL MENU - Pr'!B547, ""^[^\x{0600}-\x{06FF}]+"")), ""[-–]+$"", """")), """"))&gt;0, IFERROR(TRIM(REGEXREPLACE(TRIM(REGEXEXTRACT('AYIRA"&amp;" MINI MART FINAL MENU - Pr'!B547, ""^[^\x{0600}-\x{06FF}]+"")), ""[-–]+$"", """")), """"), GOOGLETRANSLATE('AYIRA MINI MART FINAL MENU - Pr'!B547, ""ar"", ""en"")))"),"Chips &amp; Crisps")</f>
        <v>Chips &amp; Crisps</v>
      </c>
      <c r="C547" s="56" t="str">
        <f>IF('AYIRA MINI MART FINAL MENU - Pr'!C547="", "", 'AYIRA MINI MART FINAL MENU - Pr'!C547)</f>
        <v/>
      </c>
      <c r="D547" s="56" t="str">
        <f>IFERROR(__xludf.DUMMYFUNCTION("IF('AYIRA MINI MART FINAL MENU - Pr'!D547="""", """", GOOGLETRANSLATE('AYIRA MINI MART FINAL MENU - Pr'!D547, ""ar"", ""en""))"),"Don't be able to resist the taste of Cheetos, your perfect companion for relaxing and watching the game. Their unique crunch and diverse flavors make every handful a delightful experience. Made with the finest ingredients using the latest manufacturing te"&amp;"chniques to guarantee an unparalleled taste. Ideal as a snack for adults and children alike between meals. Aira Mini Mart offers them in the perfect size and flavor for you.")</f>
        <v>Don't be able to resist the taste of Cheetos,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547" s="56" t="str">
        <f>IF('AYIRA MINI MART FINAL MENU - Pr'!K547="", "", 'AYIRA MINI MART FINAL MENU - Pr'!K547)</f>
        <v/>
      </c>
      <c r="F547" s="56"/>
      <c r="G547" s="56"/>
      <c r="H547" s="56"/>
      <c r="I547" s="56"/>
      <c r="J547" s="56"/>
      <c r="L547" s="56" t="str">
        <f>IF('AYIRA MINI MART FINAL MENU - Pr'!L547="", "", 'AYIRA MINI MART FINAL MENU - Pr'!L547)</f>
        <v/>
      </c>
      <c r="M547" s="56" t="str">
        <f>IF('AYIRA MINI MART FINAL MENU - Pr'!M547="", "", 'AYIRA MINI MART FINAL MENU - Pr'!M547)</f>
        <v/>
      </c>
      <c r="N547" s="56" t="str">
        <f>IF('AYIRA MINI MART FINAL MENU - Pr'!N547="", "", 'AYIRA MINI MART FINAL MENU - Pr'!N547)</f>
        <v/>
      </c>
      <c r="O547" s="57"/>
      <c r="P547" s="57"/>
      <c r="Q547" s="57"/>
      <c r="R547" s="57"/>
      <c r="S547" s="57"/>
      <c r="T547" s="57"/>
      <c r="U547" s="57"/>
      <c r="V547" s="57"/>
      <c r="W547" s="57"/>
      <c r="X547" s="57"/>
      <c r="Y547" s="57"/>
      <c r="Z547" s="57"/>
    </row>
    <row r="548">
      <c r="A548" s="56" t="str">
        <f>IFERROR(__xludf.DUMMYFUNCTION("IF('AYIRA MINI MART FINAL MENU - Pr'!A548="""", """", IF(LEN(IFERROR(TRIM(REGEXREPLACE(TRIM(REGEXEXTRACT('AYIRA MINI MART FINAL MENU - Pr'!A548, ""^[^\x{0600}-\x{06FF}]+"")), ""[-–]+$"", """")), """"))&gt;0, IFERROR(TRIM(REGEXREPLACE(TRIM(REGEXEXTRACT('AYIRA"&amp;" MINI MART FINAL MENU - Pr'!A548, ""^[^\x{0600}-\x{06FF}]+"")), ""[-–]+$"", """")), """"), GOOGLETRANSLATE('AYIRA MINI MART FINAL MENU - Pr'!A548, ""ar"", ""en"")))"),"Doritos Spicy Sweet Chili Flavoured")</f>
        <v>Doritos Spicy Sweet Chili Flavoured</v>
      </c>
      <c r="B548" s="56" t="str">
        <f>IFERROR(__xludf.DUMMYFUNCTION("IF('AYIRA MINI MART FINAL MENU - Pr'!B548="""", """", IF(LEN(IFERROR(TRIM(REGEXREPLACE(TRIM(REGEXEXTRACT('AYIRA MINI MART FINAL MENU - Pr'!B548, ""^[^\x{0600}-\x{06FF}]+"")), ""[-–]+$"", """")), """"))&gt;0, IFERROR(TRIM(REGEXREPLACE(TRIM(REGEXEXTRACT('AYIRA"&amp;" MINI MART FINAL MENU - Pr'!B548, ""^[^\x{0600}-\x{06FF}]+"")), ""[-–]+$"", """")), """"), GOOGLETRANSLATE('AYIRA MINI MART FINAL MENU - Pr'!B548, ""ar"", ""en"")))"),"Chips &amp; Crisps")</f>
        <v>Chips &amp; Crisps</v>
      </c>
      <c r="C548" s="58">
        <f>IF('AYIRA MINI MART FINAL MENU - Pr'!C548="", "", 'AYIRA MINI MART FINAL MENU - Pr'!C548)</f>
        <v>9</v>
      </c>
      <c r="D548" s="56" t="str">
        <f>IFERROR(__xludf.DUMMYFUNCTION("IF('AYIRA MINI MART FINAL MENU - Pr'!D548="""", """", GOOGLETRANSLATE('AYIRA MINI MART FINAL MENU - Pr'!D548, ""ar"", ""en""))"),"Don't be able to resist the taste of Doritos, your perfect companion for relaxing and watching the game. Their unique crunch and diverse flavors make every handful a delightful experience. Made with the finest ingredients using the latest manufacturing te"&amp;"chniques to ensure an unparalleled taste. Ideal as a snack for adults and children alike between meals. Aira Mini Mart offers them in the perfect size and flavor for you.")</f>
        <v>Don't be able to resist the taste of Doritos,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548" s="56" t="str">
        <f>IF('AYIRA MINI MART FINAL MENU - Pr'!K548="", "", 'AYIRA MINI MART FINAL MENU - Pr'!K548)</f>
        <v/>
      </c>
      <c r="F548" s="56"/>
      <c r="G548" s="56"/>
      <c r="H548" s="56"/>
      <c r="I548" s="56"/>
      <c r="J548" s="56"/>
      <c r="L548" s="56" t="str">
        <f>IF('AYIRA MINI MART FINAL MENU - Pr'!L548="", "", 'AYIRA MINI MART FINAL MENU - Pr'!L548)</f>
        <v/>
      </c>
      <c r="M548" s="56" t="str">
        <f>IF('AYIRA MINI MART FINAL MENU - Pr'!M548="", "", 'AYIRA MINI MART FINAL MENU - Pr'!M548)</f>
        <v/>
      </c>
      <c r="N548" s="56" t="str">
        <f>IF('AYIRA MINI MART FINAL MENU - Pr'!N548="", "", 'AYIRA MINI MART FINAL MENU - Pr'!N548)</f>
        <v/>
      </c>
      <c r="O548" s="57"/>
      <c r="P548" s="57"/>
      <c r="Q548" s="57"/>
      <c r="R548" s="57"/>
      <c r="S548" s="57"/>
      <c r="T548" s="57"/>
      <c r="U548" s="57"/>
      <c r="V548" s="57"/>
      <c r="W548" s="57"/>
      <c r="X548" s="57"/>
      <c r="Y548" s="57"/>
      <c r="Z548" s="57"/>
    </row>
    <row r="549">
      <c r="A549" s="56" t="str">
        <f>IFERROR(__xludf.DUMMYFUNCTION("IF('AYIRA MINI MART FINAL MENU - Pr'!A549="""", """", IF(LEN(IFERROR(TRIM(REGEXREPLACE(TRIM(REGEXEXTRACT('AYIRA MINI MART FINAL MENU - Pr'!A549, ""^[^\x{0600}-\x{06FF}]+"")), ""[-–]+$"", """")), """"))&gt;0, IFERROR(TRIM(REGEXREPLACE(TRIM(REGEXEXTRACT('AYIRA"&amp;" MINI MART FINAL MENU - Pr'!A549, ""^[^\x{0600}-\x{06FF}]+"")), ""[-–]+$"", """")), """"), GOOGLETRANSLATE('AYIRA MINI MART FINAL MENU - Pr'!A549, ""ar"", ""en"")))"),"Suroor Natural Potato Chips Ready Salted 14 g")</f>
        <v>Suroor Natural Potato Chips Ready Salted 14 g</v>
      </c>
      <c r="B549" s="56" t="str">
        <f>IFERROR(__xludf.DUMMYFUNCTION("IF('AYIRA MINI MART FINAL MENU - Pr'!B549="""", """", IF(LEN(IFERROR(TRIM(REGEXREPLACE(TRIM(REGEXEXTRACT('AYIRA MINI MART FINAL MENU - Pr'!B549, ""^[^\x{0600}-\x{06FF}]+"")), ""[-–]+$"", """")), """"))&gt;0, IFERROR(TRIM(REGEXREPLACE(TRIM(REGEXEXTRACT('AYIRA"&amp;" MINI MART FINAL MENU - Pr'!B549, ""^[^\x{0600}-\x{06FF}]+"")), ""[-–]+$"", """")), """"), GOOGLETRANSLATE('AYIRA MINI MART FINAL MENU - Pr'!B549, ""ar"", ""en"")))"),"Chips &amp; Crisps")</f>
        <v>Chips &amp; Crisps</v>
      </c>
      <c r="C549" s="58">
        <f>IF('AYIRA MINI MART FINAL MENU - Pr'!C549="", "", 'AYIRA MINI MART FINAL MENU - Pr'!C549)</f>
        <v>1</v>
      </c>
      <c r="D549" s="56" t="str">
        <f>IFERROR(__xludf.DUMMYFUNCTION("IF('AYIRA MINI MART FINAL MENU - Pr'!D549="""", """", GOOGLETRANSLATE('AYIRA MINI MART FINAL MENU - Pr'!D549, ""ar"", ""en""))"),"Don't be able to resist the taste of Suroor Natural Potato Chips Ready Salted 14g
Suroor Natural Potato Chips Ready Salted 14g are the perfect companion for relaxing and watching the game. Their unique crunch and varied flavors make every handful a delig"&amp;"htful experience. Prepared with the finest ingredients using the latest manufacturing techniques to ensure an unparalleled taste. Ideal as a snack for adults and children between meals. Aira Mini Mart offers them in the size and flavor that suits you best"&amp;".")</f>
        <v>Don't be able to resist the taste of Suroor Natural Potato Chips Ready Salted 14g
Suroor Natural Potato Chips Ready Salted 14g are the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size and flavor that suits you best.</v>
      </c>
      <c r="E549" s="56" t="str">
        <f>IF('AYIRA MINI MART FINAL MENU - Pr'!K549="", "", 'AYIRA MINI MART FINAL MENU - Pr'!K549)</f>
        <v/>
      </c>
      <c r="F549" s="56"/>
      <c r="G549" s="56"/>
      <c r="H549" s="56"/>
      <c r="I549" s="56"/>
      <c r="J549" s="56"/>
      <c r="L549" s="56" t="str">
        <f>IF('AYIRA MINI MART FINAL MENU - Pr'!L549="", "", 'AYIRA MINI MART FINAL MENU - Pr'!L549)</f>
        <v/>
      </c>
      <c r="M549" s="56" t="str">
        <f>IF('AYIRA MINI MART FINAL MENU - Pr'!M549="", "", 'AYIRA MINI MART FINAL MENU - Pr'!M549)</f>
        <v/>
      </c>
      <c r="N549" s="56" t="str">
        <f>IF('AYIRA MINI MART FINAL MENU - Pr'!N549="", "", 'AYIRA MINI MART FINAL MENU - Pr'!N549)</f>
        <v/>
      </c>
      <c r="O549" s="57"/>
      <c r="P549" s="57"/>
      <c r="Q549" s="57"/>
      <c r="R549" s="57"/>
      <c r="S549" s="57"/>
      <c r="T549" s="57"/>
      <c r="U549" s="57"/>
      <c r="V549" s="57"/>
      <c r="W549" s="57"/>
      <c r="X549" s="57"/>
      <c r="Y549" s="57"/>
      <c r="Z549" s="57"/>
    </row>
    <row r="550">
      <c r="A550" s="56" t="str">
        <f>IFERROR(__xludf.DUMMYFUNCTION("IF('AYIRA MINI MART FINAL MENU - Pr'!A550="""", """", IF(LEN(IFERROR(TRIM(REGEXREPLACE(TRIM(REGEXEXTRACT('AYIRA MINI MART FINAL MENU - Pr'!A550, ""^[^\x{0600}-\x{06FF}]+"")), ""[-–]+$"", """")), """"))&gt;0, IFERROR(TRIM(REGEXREPLACE(TRIM(REGEXEXTRACT('AYIRA"&amp;" MINI MART FINAL MENU - Pr'!A550, ""^[^\x{0600}-\x{06FF}]+"")), ""[-–]+$"", """")), """"), GOOGLETRANSLATE('AYIRA MINI MART FINAL MENU - Pr'!A550, ""ar"", ""en"")))"),"Suroor Natural Potato Chips Chilli 14 g")</f>
        <v>Suroor Natural Potato Chips Chilli 14 g</v>
      </c>
      <c r="B550" s="56" t="str">
        <f>IFERROR(__xludf.DUMMYFUNCTION("IF('AYIRA MINI MART FINAL MENU - Pr'!B550="""", """", IF(LEN(IFERROR(TRIM(REGEXREPLACE(TRIM(REGEXEXTRACT('AYIRA MINI MART FINAL MENU - Pr'!B550, ""^[^\x{0600}-\x{06FF}]+"")), ""[-–]+$"", """")), """"))&gt;0, IFERROR(TRIM(REGEXREPLACE(TRIM(REGEXEXTRACT('AYIRA"&amp;" MINI MART FINAL MENU - Pr'!B550, ""^[^\x{0600}-\x{06FF}]+"")), ""[-–]+$"", """")), """"), GOOGLETRANSLATE('AYIRA MINI MART FINAL MENU - Pr'!B550, ""ar"", ""en"")))"),"Chips &amp; Crisps")</f>
        <v>Chips &amp; Crisps</v>
      </c>
      <c r="C550" s="58">
        <f>IF('AYIRA MINI MART FINAL MENU - Pr'!C550="", "", 'AYIRA MINI MART FINAL MENU - Pr'!C550)</f>
        <v>1</v>
      </c>
      <c r="D550" s="56" t="str">
        <f>IFERROR(__xludf.DUMMYFUNCTION("IF('AYIRA MINI MART FINAL MENU - Pr'!D550="""", """", GOOGLETRANSLATE('AYIRA MINI MART FINAL MENU - Pr'!D550, ""ar"", ""en""))"),"Don't be able to resist the taste of Suroor Natural Potato Chips Chilli 14g
Suroor Natural Potato Chips with Chilli Flavor, 14g, are the perfect companion for relaxing and watching the game. Their unique crunch and varied flavors make every handful a del"&amp;"ightful experience. Prepared with the finest ingredients using the latest manufacturing techniques to ensure an unparalleled taste. Ideal as a snack for adults and children between meals. Aira Mini Mart offers them in the perfect size and flavor for you.")</f>
        <v>Don't be able to resist the taste of Suroor Natural Potato Chips Chilli 14g
Suroor Natural Potato Chips with Chilli Flavor, 14g, are the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perfect size and flavor for you.</v>
      </c>
      <c r="E550" s="56" t="str">
        <f>IF('AYIRA MINI MART FINAL MENU - Pr'!K550="", "", 'AYIRA MINI MART FINAL MENU - Pr'!K550)</f>
        <v/>
      </c>
      <c r="F550" s="56"/>
      <c r="G550" s="56"/>
      <c r="H550" s="56"/>
      <c r="I550" s="56"/>
      <c r="J550" s="56"/>
      <c r="L550" s="56" t="str">
        <f>IF('AYIRA MINI MART FINAL MENU - Pr'!L550="", "", 'AYIRA MINI MART FINAL MENU - Pr'!L550)</f>
        <v/>
      </c>
      <c r="M550" s="56" t="str">
        <f>IF('AYIRA MINI MART FINAL MENU - Pr'!M550="", "", 'AYIRA MINI MART FINAL MENU - Pr'!M550)</f>
        <v/>
      </c>
      <c r="N550" s="56" t="str">
        <f>IF('AYIRA MINI MART FINAL MENU - Pr'!N550="", "", 'AYIRA MINI MART FINAL MENU - Pr'!N550)</f>
        <v/>
      </c>
      <c r="O550" s="57"/>
      <c r="P550" s="57"/>
      <c r="Q550" s="57"/>
      <c r="R550" s="57"/>
      <c r="S550" s="57"/>
      <c r="T550" s="57"/>
      <c r="U550" s="57"/>
      <c r="V550" s="57"/>
      <c r="W550" s="57"/>
      <c r="X550" s="57"/>
      <c r="Y550" s="57"/>
      <c r="Z550" s="57"/>
    </row>
    <row r="551">
      <c r="A551" s="56" t="str">
        <f>IFERROR(__xludf.DUMMYFUNCTION("IF('AYIRA MINI MART FINAL MENU - Pr'!A551="""", """", IF(LEN(IFERROR(TRIM(REGEXREPLACE(TRIM(REGEXEXTRACT('AYIRA MINI MART FINAL MENU - Pr'!A551, ""^[^\x{0600}-\x{06FF}]+"")), ""[-–]+$"", """")), """"))&gt;0, IFERROR(TRIM(REGEXREPLACE(TRIM(REGEXEXTRACT('AYIRA"&amp;" MINI MART FINAL MENU - Pr'!A551, ""^[^\x{0600}-\x{06FF}]+"")), ""[-–]+$"", """")), """"), GOOGLETRANSLATE('AYIRA MINI MART FINAL MENU - Pr'!A551, ""ar"", ""en"")))"),"Al Mudhish Potato Chips Ripples Crunch Sour Cream &amp; Onion Flavour 15 g")</f>
        <v>Al Mudhish Potato Chips Ripples Crunch Sour Cream &amp; Onion Flavour 15 g</v>
      </c>
      <c r="B551" s="56" t="str">
        <f>IFERROR(__xludf.DUMMYFUNCTION("IF('AYIRA MINI MART FINAL MENU - Pr'!B551="""", """", IF(LEN(IFERROR(TRIM(REGEXREPLACE(TRIM(REGEXEXTRACT('AYIRA MINI MART FINAL MENU - Pr'!B551, ""^[^\x{0600}-\x{06FF}]+"")), ""[-–]+$"", """")), """"))&gt;0, IFERROR(TRIM(REGEXREPLACE(TRIM(REGEXEXTRACT('AYIRA"&amp;" MINI MART FINAL MENU - Pr'!B551, ""^[^\x{0600}-\x{06FF}]+"")), ""[-–]+$"", """")), """"), GOOGLETRANSLATE('AYIRA MINI MART FINAL MENU - Pr'!B551, ""ar"", ""en"")))"),"Chips &amp; Crisps")</f>
        <v>Chips &amp; Crisps</v>
      </c>
      <c r="C551" s="58">
        <f>IF('AYIRA MINI MART FINAL MENU - Pr'!C551="", "", 'AYIRA MINI MART FINAL MENU - Pr'!C551)</f>
        <v>1</v>
      </c>
      <c r="D551" s="56" t="str">
        <f>IFERROR(__xludf.DUMMYFUNCTION("IF('AYIRA MINI MART FINAL MENU - Pr'!D551="""", """", GOOGLETRANSLATE('AYIRA MINI MART FINAL MENU - Pr'!D551, ""ar"", ""en""))"),"Don't be able to resist the taste of Al Mudhish Potato Chips Ripples Crunch Sour Cream &amp; Onion Flavor 15g
Al Mudhish crispy ripple potato chips with sour cream and onion flavor (15g) are the perfect companion for relaxing and watching the game. Their uni"&amp;"que crunch and varied flavors make every handful a delightful experience. Prepared with the finest ingredients using the latest manufacturing techniques to ensure an unparalleled taste. Ideal as a snack for adults and children between meals. Available at "&amp;"Aira Mini Mart in the perfect size and flavor for you.")</f>
        <v>Don't be able to resist the taste of Al Mudhish Potato Chips Ripples Crunch Sour Cream &amp; Onion Flavor 15g
Al Mudhish crispy ripple potato chips with sour cream and onion flavor (15g) are the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Available at Aira Mini Mart in the perfect size and flavor for you.</v>
      </c>
      <c r="E551" s="56" t="str">
        <f>IF('AYIRA MINI MART FINAL MENU - Pr'!K551="", "", 'AYIRA MINI MART FINAL MENU - Pr'!K551)</f>
        <v/>
      </c>
      <c r="F551" s="56"/>
      <c r="G551" s="56"/>
      <c r="H551" s="56"/>
      <c r="I551" s="56"/>
      <c r="J551" s="56"/>
      <c r="L551" s="56" t="str">
        <f>IF('AYIRA MINI MART FINAL MENU - Pr'!L551="", "", 'AYIRA MINI MART FINAL MENU - Pr'!L551)</f>
        <v/>
      </c>
      <c r="M551" s="56" t="str">
        <f>IF('AYIRA MINI MART FINAL MENU - Pr'!M551="", "", 'AYIRA MINI MART FINAL MENU - Pr'!M551)</f>
        <v/>
      </c>
      <c r="N551" s="56" t="str">
        <f>IF('AYIRA MINI MART FINAL MENU - Pr'!N551="", "", 'AYIRA MINI MART FINAL MENU - Pr'!N551)</f>
        <v/>
      </c>
      <c r="O551" s="57"/>
      <c r="P551" s="57"/>
      <c r="Q551" s="57"/>
      <c r="R551" s="57"/>
      <c r="S551" s="57"/>
      <c r="T551" s="57"/>
      <c r="U551" s="57"/>
      <c r="V551" s="57"/>
      <c r="W551" s="57"/>
      <c r="X551" s="57"/>
      <c r="Y551" s="57"/>
      <c r="Z551" s="57"/>
    </row>
    <row r="552">
      <c r="A552" s="56" t="str">
        <f>IFERROR(__xludf.DUMMYFUNCTION("IF('AYIRA MINI MART FINAL MENU - Pr'!A552="""", """", IF(LEN(IFERROR(TRIM(REGEXREPLACE(TRIM(REGEXEXTRACT('AYIRA MINI MART FINAL MENU - Pr'!A552, ""^[^\x{0600}-\x{06FF}]+"")), ""[-–]+$"", """")), """"))&gt;0, IFERROR(TRIM(REGEXREPLACE(TRIM(REGEXEXTRACT('AYIRA"&amp;" MINI MART FINAL MENU - Pr'!A552, ""^[^\x{0600}-\x{06FF}]+"")), ""[-–]+$"", """")), """"), GOOGLETRANSLATE('AYIRA MINI MART FINAL MENU - Pr'!A552, ""ar"", ""en"")))"),"Suroor Natural Potato Chips Tomato Ketchup 14 g")</f>
        <v>Suroor Natural Potato Chips Tomato Ketchup 14 g</v>
      </c>
      <c r="B552" s="56" t="str">
        <f>IFERROR(__xludf.DUMMYFUNCTION("IF('AYIRA MINI MART FINAL MENU - Pr'!B552="""", """", IF(LEN(IFERROR(TRIM(REGEXREPLACE(TRIM(REGEXEXTRACT('AYIRA MINI MART FINAL MENU - Pr'!B552, ""^[^\x{0600}-\x{06FF}]+"")), ""[-–]+$"", """")), """"))&gt;0, IFERROR(TRIM(REGEXREPLACE(TRIM(REGEXEXTRACT('AYIRA"&amp;" MINI MART FINAL MENU - Pr'!B552, ""^[^\x{0600}-\x{06FF}]+"")), ""[-–]+$"", """")), """"), GOOGLETRANSLATE('AYIRA MINI MART FINAL MENU - Pr'!B552, ""ar"", ""en"")))"),"Chips &amp; Crisps")</f>
        <v>Chips &amp; Crisps</v>
      </c>
      <c r="C552" s="58">
        <f>IF('AYIRA MINI MART FINAL MENU - Pr'!C552="", "", 'AYIRA MINI MART FINAL MENU - Pr'!C552)</f>
        <v>1</v>
      </c>
      <c r="D552" s="56" t="str">
        <f>IFERROR(__xludf.DUMMYFUNCTION("IF('AYIRA MINI MART FINAL MENU - Pr'!D552="""", """", GOOGLETRANSLATE('AYIRA MINI MART FINAL MENU - Pr'!D552, ""ar"", ""en""))"),"Don't be able to resist the taste of Suroor Natural Potato Chips Tomato Ketchup 14g
Suroor Natural Potato Chips with Tomato Ketchup 14g are the perfect companion for relaxing and watching the game. Their unique crunch and varied flavors make every handfu"&amp;"l a delightful experience. Prepared with the finest ingredients using the latest manufacturing techniques to ensure an unparalleled taste. Ideal as a snack for adults and children between meals. Aira Mini Mart offers them in the size and flavor that suits"&amp;" you best.")</f>
        <v>Don't be able to resist the taste of Suroor Natural Potato Chips Tomato Ketchup 14g
Suroor Natural Potato Chips with Tomato Ketchup 14g are the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size and flavor that suits you best.</v>
      </c>
      <c r="E552" s="56" t="str">
        <f>IF('AYIRA MINI MART FINAL MENU - Pr'!K552="", "", 'AYIRA MINI MART FINAL MENU - Pr'!K552)</f>
        <v/>
      </c>
      <c r="F552" s="56"/>
      <c r="G552" s="56"/>
      <c r="H552" s="56"/>
      <c r="I552" s="56"/>
      <c r="J552" s="56"/>
      <c r="L552" s="56" t="str">
        <f>IF('AYIRA MINI MART FINAL MENU - Pr'!L552="", "", 'AYIRA MINI MART FINAL MENU - Pr'!L552)</f>
        <v/>
      </c>
      <c r="M552" s="56" t="str">
        <f>IF('AYIRA MINI MART FINAL MENU - Pr'!M552="", "", 'AYIRA MINI MART FINAL MENU - Pr'!M552)</f>
        <v/>
      </c>
      <c r="N552" s="56" t="str">
        <f>IF('AYIRA MINI MART FINAL MENU - Pr'!N552="", "", 'AYIRA MINI MART FINAL MENU - Pr'!N552)</f>
        <v/>
      </c>
      <c r="O552" s="57"/>
      <c r="P552" s="57"/>
      <c r="Q552" s="57"/>
      <c r="R552" s="57"/>
      <c r="S552" s="57"/>
      <c r="T552" s="57"/>
      <c r="U552" s="57"/>
      <c r="V552" s="57"/>
      <c r="W552" s="57"/>
      <c r="X552" s="57"/>
      <c r="Y552" s="57"/>
      <c r="Z552" s="57"/>
    </row>
    <row r="553">
      <c r="A553" s="56" t="str">
        <f>IFERROR(__xludf.DUMMYFUNCTION("IF('AYIRA MINI MART FINAL MENU - Pr'!A553="""", """", IF(LEN(IFERROR(TRIM(REGEXREPLACE(TRIM(REGEXEXTRACT('AYIRA MINI MART FINAL MENU - Pr'!A553, ""^[^\x{0600}-\x{06FF}]+"")), ""[-–]+$"", """")), """"))&gt;0, IFERROR(TRIM(REGEXREPLACE(TRIM(REGEXEXTRACT('AYIRA"&amp;" MINI MART FINAL MENU - Pr'!A553, ""^[^\x{0600}-\x{06FF}]+"")), ""[-–]+$"", """")), """"), GOOGLETRANSLATE('AYIRA MINI MART FINAL MENU - Pr'!A553, ""ar"", ""en"")))"),"Suroor Natural Potato Chips Salt &amp; Vinegar 14 g")</f>
        <v>Suroor Natural Potato Chips Salt &amp; Vinegar 14 g</v>
      </c>
      <c r="B553" s="56" t="str">
        <f>IFERROR(__xludf.DUMMYFUNCTION("IF('AYIRA MINI MART FINAL MENU - Pr'!B553="""", """", IF(LEN(IFERROR(TRIM(REGEXREPLACE(TRIM(REGEXEXTRACT('AYIRA MINI MART FINAL MENU - Pr'!B553, ""^[^\x{0600}-\x{06FF}]+"")), ""[-–]+$"", """")), """"))&gt;0, IFERROR(TRIM(REGEXREPLACE(TRIM(REGEXEXTRACT('AYIRA"&amp;" MINI MART FINAL MENU - Pr'!B553, ""^[^\x{0600}-\x{06FF}]+"")), ""[-–]+$"", """")), """"), GOOGLETRANSLATE('AYIRA MINI MART FINAL MENU - Pr'!B553, ""ar"", ""en"")))"),"Chips &amp; Crisps")</f>
        <v>Chips &amp; Crisps</v>
      </c>
      <c r="C553" s="58">
        <f>IF('AYIRA MINI MART FINAL MENU - Pr'!C553="", "", 'AYIRA MINI MART FINAL MENU - Pr'!C553)</f>
        <v>1</v>
      </c>
      <c r="D553" s="56" t="str">
        <f>IFERROR(__xludf.DUMMYFUNCTION("IF('AYIRA MINI MART FINAL MENU - Pr'!D553="""", """", GOOGLETRANSLATE('AYIRA MINI MART FINAL MENU - Pr'!D553, ""ar"", ""en""))"),"Don't be able to resist the taste of Suroor Natural Potato Chips Salt &amp; Vinegar 14g
Suroor Natural Potato Chips with Salt &amp; Vinegar 14g are the perfect companion for relaxing and watching the game. Their unique crunch and varied flavors make every handfu"&amp;"l a delightful experience. Prepared with the finest ingredients using the latest manufacturing techniques to ensure an unparalleled taste. Ideal as a snack for adults and children between meals. Aira Mini Mart offers them in the perfect size and flavor fo"&amp;"r you.")</f>
        <v>Don't be able to resist the taste of Suroor Natural Potato Chips Salt &amp; Vinegar 14g
Suroor Natural Potato Chips with Salt &amp; Vinegar 14g are the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perfect size and flavor for you.</v>
      </c>
      <c r="E553" s="56" t="str">
        <f>IF('AYIRA MINI MART FINAL MENU - Pr'!K553="", "", 'AYIRA MINI MART FINAL MENU - Pr'!K553)</f>
        <v/>
      </c>
      <c r="F553" s="56"/>
      <c r="G553" s="56"/>
      <c r="H553" s="56"/>
      <c r="I553" s="56"/>
      <c r="J553" s="56"/>
      <c r="L553" s="56" t="str">
        <f>IF('AYIRA MINI MART FINAL MENU - Pr'!L553="", "", 'AYIRA MINI MART FINAL MENU - Pr'!L553)</f>
        <v/>
      </c>
      <c r="M553" s="56" t="str">
        <f>IF('AYIRA MINI MART FINAL MENU - Pr'!M553="", "", 'AYIRA MINI MART FINAL MENU - Pr'!M553)</f>
        <v/>
      </c>
      <c r="N553" s="56" t="str">
        <f>IF('AYIRA MINI MART FINAL MENU - Pr'!N553="", "", 'AYIRA MINI MART FINAL MENU - Pr'!N553)</f>
        <v/>
      </c>
      <c r="O553" s="57"/>
      <c r="P553" s="57"/>
      <c r="Q553" s="57"/>
      <c r="R553" s="57"/>
      <c r="S553" s="57"/>
      <c r="T553" s="57"/>
      <c r="U553" s="57"/>
      <c r="V553" s="57"/>
      <c r="W553" s="57"/>
      <c r="X553" s="57"/>
      <c r="Y553" s="57"/>
      <c r="Z553" s="57"/>
    </row>
    <row r="554">
      <c r="A554" s="56" t="str">
        <f>IFERROR(__xludf.DUMMYFUNCTION("IF('AYIRA MINI MART FINAL MENU - Pr'!A554="""", """", IF(LEN(IFERROR(TRIM(REGEXREPLACE(TRIM(REGEXEXTRACT('AYIRA MINI MART FINAL MENU - Pr'!A554, ""^[^\x{0600}-\x{06FF}]+"")), ""[-–]+$"", """")), """"))&gt;0, IFERROR(TRIM(REGEXREPLACE(TRIM(REGEXEXTRACT('AYIRA"&amp;" MINI MART FINAL MENU - Pr'!A554, ""^[^\x{0600}-\x{06FF}]+"")), ""[-–]+$"", """")), """"), GOOGLETRANSLATE('AYIRA MINI MART FINAL MENU - Pr'!A554, ""ar"", ""en"")))"),"Sohar Chips 22 g – Sohar")</f>
        <v>Sohar Chips 22 g – Sohar</v>
      </c>
      <c r="B554" s="56" t="str">
        <f>IFERROR(__xludf.DUMMYFUNCTION("IF('AYIRA MINI MART FINAL MENU - Pr'!B554="""", """", IF(LEN(IFERROR(TRIM(REGEXREPLACE(TRIM(REGEXEXTRACT('AYIRA MINI MART FINAL MENU - Pr'!B554, ""^[^\x{0600}-\x{06FF}]+"")), ""[-–]+$"", """")), """"))&gt;0, IFERROR(TRIM(REGEXREPLACE(TRIM(REGEXEXTRACT('AYIRA"&amp;" MINI MART FINAL MENU - Pr'!B554, ""^[^\x{0600}-\x{06FF}]+"")), ""[-–]+$"", """")), """"), GOOGLETRANSLATE('AYIRA MINI MART FINAL MENU - Pr'!B554, ""ar"", ""en"")))"),"Chips &amp; Crisps")</f>
        <v>Chips &amp; Crisps</v>
      </c>
      <c r="C554" s="58">
        <f>IF('AYIRA MINI MART FINAL MENU - Pr'!C554="", "", 'AYIRA MINI MART FINAL MENU - Pr'!C554)</f>
        <v>2</v>
      </c>
      <c r="D554" s="56" t="str">
        <f>IFERROR(__xludf.DUMMYFUNCTION("IF('AYIRA MINI MART FINAL MENU - Pr'!D554="""", """", GOOGLETRANSLATE('AYIRA MINI MART FINAL MENU - Pr'!D554, ""ar"", ""en""))"),"Don't be able to resist the taste of Sohar Chips 22g, your perfect companion for relaxing and watching the game. Their unique crunch and varied flavors make every handful a delightful experience. Made with the finest ingredients using the latest manufactu"&amp;"ring techniques to ensure an unparalleled taste. Ideal as a snack for adults and children alike between meals. Aira Mini Mart offers them in the perfect size and flavor for you.")</f>
        <v>Don't be able to resist the taste of Sohar Chips 22g,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554" s="56" t="str">
        <f>IF('AYIRA MINI MART FINAL MENU - Pr'!K554="", "", 'AYIRA MINI MART FINAL MENU - Pr'!K554)</f>
        <v/>
      </c>
      <c r="F554" s="56"/>
      <c r="G554" s="56"/>
      <c r="H554" s="56"/>
      <c r="I554" s="56"/>
      <c r="J554" s="56"/>
      <c r="L554" s="56" t="str">
        <f>IF('AYIRA MINI MART FINAL MENU - Pr'!L554="", "", 'AYIRA MINI MART FINAL MENU - Pr'!L554)</f>
        <v/>
      </c>
      <c r="M554" s="56" t="str">
        <f>IF('AYIRA MINI MART FINAL MENU - Pr'!M554="", "", 'AYIRA MINI MART FINAL MENU - Pr'!M554)</f>
        <v/>
      </c>
      <c r="N554" s="56" t="str">
        <f>IF('AYIRA MINI MART FINAL MENU - Pr'!N554="", "", 'AYIRA MINI MART FINAL MENU - Pr'!N554)</f>
        <v/>
      </c>
      <c r="O554" s="57"/>
      <c r="P554" s="57"/>
      <c r="Q554" s="57"/>
      <c r="R554" s="57"/>
      <c r="S554" s="57"/>
      <c r="T554" s="57"/>
      <c r="U554" s="57"/>
      <c r="V554" s="57"/>
      <c r="W554" s="57"/>
      <c r="X554" s="57"/>
      <c r="Y554" s="57"/>
      <c r="Z554" s="57"/>
    </row>
    <row r="555">
      <c r="A555" s="56" t="str">
        <f>IFERROR(__xludf.DUMMYFUNCTION("IF('AYIRA MINI MART FINAL MENU - Pr'!A555="""", """", IF(LEN(IFERROR(TRIM(REGEXREPLACE(TRIM(REGEXEXTRACT('AYIRA MINI MART FINAL MENU - Pr'!A555, ""^[^\x{0600}-\x{06FF}]+"")), ""[-–]+$"", """")), """"))&gt;0, IFERROR(TRIM(REGEXREPLACE(TRIM(REGEXEXTRACT('AYIRA"&amp;" MINI MART FINAL MENU - Pr'!A555, ""^[^\x{0600}-\x{06FF}]+"")), ""[-–]+$"", """")), """"), GOOGLETRANSLATE('AYIRA MINI MART FINAL MENU - Pr'!A555, ""ar"", ""en"")))"),"Al Mudish Tortilla Chips – Pizza Flavour 20 g – Al Mudish Tortilla")</f>
        <v>Al Mudish Tortilla Chips – Pizza Flavour 20 g – Al Mudish Tortilla</v>
      </c>
      <c r="B555" s="56" t="str">
        <f>IFERROR(__xludf.DUMMYFUNCTION("IF('AYIRA MINI MART FINAL MENU - Pr'!B555="""", """", IF(LEN(IFERROR(TRIM(REGEXREPLACE(TRIM(REGEXEXTRACT('AYIRA MINI MART FINAL MENU - Pr'!B555, ""^[^\x{0600}-\x{06FF}]+"")), ""[-–]+$"", """")), """"))&gt;0, IFERROR(TRIM(REGEXREPLACE(TRIM(REGEXEXTRACT('AYIRA"&amp;" MINI MART FINAL MENU - Pr'!B555, ""^[^\x{0600}-\x{06FF}]+"")), ""[-–]+$"", """")), """"), GOOGLETRANSLATE('AYIRA MINI MART FINAL MENU - Pr'!B555, ""ar"", ""en"")))"),"Chips &amp; Crisps")</f>
        <v>Chips &amp; Crisps</v>
      </c>
      <c r="C555" s="58">
        <f>IF('AYIRA MINI MART FINAL MENU - Pr'!C555="", "", 'AYIRA MINI MART FINAL MENU - Pr'!C555)</f>
        <v>1</v>
      </c>
      <c r="D555" s="56" t="str">
        <f>IFERROR(__xludf.DUMMYFUNCTION("IF('AYIRA MINI MART FINAL MENU - Pr'!D555="""", """", GOOGLETRANSLATE('AYIRA MINI MART FINAL MENU - Pr'!D555, ""ar"", ""en""))"),"Don't be able to resist the taste of Al Mudish Tortilla Chips – Pizza Flavor 20g, your perfect companion for relaxing and watching the game. Their unique crunch and diverse flavors make every handful a delightful experience. Prepared with the finest ingre"&amp;"dients using the latest manufacturing techniques to guarantee an unparalleled taste. Ideal as a snack for adults and children alike between meals. Aira Mini Mart offers them in the perfect size and flavor for you.")</f>
        <v>Don't be able to resist the taste of Al Mudish Tortilla Chips – Pizza Flavor 20g, your perfect companion for relaxing and watching the game. Their unique crunch and diverse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55" s="56" t="str">
        <f>IF('AYIRA MINI MART FINAL MENU - Pr'!K555="", "", 'AYIRA MINI MART FINAL MENU - Pr'!K555)</f>
        <v/>
      </c>
      <c r="F555" s="56"/>
      <c r="G555" s="56"/>
      <c r="H555" s="56"/>
      <c r="I555" s="56"/>
      <c r="J555" s="56"/>
      <c r="L555" s="56" t="str">
        <f>IF('AYIRA MINI MART FINAL MENU - Pr'!L555="", "", 'AYIRA MINI MART FINAL MENU - Pr'!L555)</f>
        <v/>
      </c>
      <c r="M555" s="56" t="str">
        <f>IF('AYIRA MINI MART FINAL MENU - Pr'!M555="", "", 'AYIRA MINI MART FINAL MENU - Pr'!M555)</f>
        <v/>
      </c>
      <c r="N555" s="56" t="str">
        <f>IF('AYIRA MINI MART FINAL MENU - Pr'!N555="", "", 'AYIRA MINI MART FINAL MENU - Pr'!N555)</f>
        <v/>
      </c>
      <c r="O555" s="57"/>
      <c r="P555" s="57"/>
      <c r="Q555" s="57"/>
      <c r="R555" s="57"/>
      <c r="S555" s="57"/>
      <c r="T555" s="57"/>
      <c r="U555" s="57"/>
      <c r="V555" s="57"/>
      <c r="W555" s="57"/>
      <c r="X555" s="57"/>
      <c r="Y555" s="57"/>
      <c r="Z555" s="57"/>
    </row>
    <row r="556">
      <c r="A556" s="56" t="str">
        <f>IFERROR(__xludf.DUMMYFUNCTION("IF('AYIRA MINI MART FINAL MENU - Pr'!A556="""", """", IF(LEN(IFERROR(TRIM(REGEXREPLACE(TRIM(REGEXEXTRACT('AYIRA MINI MART FINAL MENU - Pr'!A556, ""^[^\x{0600}-\x{06FF}]+"")), ""[-–]+$"", """")), """"))&gt;0, IFERROR(TRIM(REGEXREPLACE(TRIM(REGEXEXTRACT('AYIRA"&amp;" MINI MART FINAL MENU - Pr'!A556, ""^[^\x{0600}-\x{06FF}]+"")), ""[-–]+$"", """")), """"), GOOGLETRANSLATE('AYIRA MINI MART FINAL MENU - Pr'!A556, ""ar"", ""en"")))"),"Qatar Pafki 15 g – Qatar Pafki 15")</f>
        <v>Qatar Pafki 15 g – Qatar Pafki 15</v>
      </c>
      <c r="B556" s="56" t="str">
        <f>IFERROR(__xludf.DUMMYFUNCTION("IF('AYIRA MINI MART FINAL MENU - Pr'!B556="""", """", IF(LEN(IFERROR(TRIM(REGEXREPLACE(TRIM(REGEXEXTRACT('AYIRA MINI MART FINAL MENU - Pr'!B556, ""^[^\x{0600}-\x{06FF}]+"")), ""[-–]+$"", """")), """"))&gt;0, IFERROR(TRIM(REGEXREPLACE(TRIM(REGEXEXTRACT('AYIRA"&amp;" MINI MART FINAL MENU - Pr'!B556, ""^[^\x{0600}-\x{06FF}]+"")), ""[-–]+$"", """")), """"), GOOGLETRANSLATE('AYIRA MINI MART FINAL MENU - Pr'!B556, ""ar"", ""en"")))"),"Chips &amp; Crisps")</f>
        <v>Chips &amp; Crisps</v>
      </c>
      <c r="C556" s="58">
        <f>IF('AYIRA MINI MART FINAL MENU - Pr'!C556="", "", 'AYIRA MINI MART FINAL MENU - Pr'!C556)</f>
        <v>1</v>
      </c>
      <c r="D556" s="56" t="str">
        <f>IFERROR(__xludf.DUMMYFUNCTION("IF('AYIRA MINI MART FINAL MENU - Pr'!D556="""", """", GOOGLETRANSLATE('AYIRA MINI MART FINAL MENU - Pr'!D556, ""ar"", ""en""))"),"Don't be able to resist the taste of Qatar Pafki 15g, your perfect companion for relaxing and watching matches. Its unique crunch and diverse flavors make every handful a delightful experience. Prepared with the finest ingredients using the latest manufac"&amp;"turing techniques to ensure an unparalleled taste. Ideal as a snack for adults and children between meals. Aira Mini Mart offers it in the perfect size and flavor for you.")</f>
        <v>Don't be able to resist the taste of Qatar Pafki 15g,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556" s="56" t="str">
        <f>IF('AYIRA MINI MART FINAL MENU - Pr'!K556="", "", 'AYIRA MINI MART FINAL MENU - Pr'!K556)</f>
        <v/>
      </c>
      <c r="F556" s="56"/>
      <c r="G556" s="56"/>
      <c r="H556" s="56"/>
      <c r="I556" s="56"/>
      <c r="J556" s="56"/>
      <c r="L556" s="56" t="str">
        <f>IF('AYIRA MINI MART FINAL MENU - Pr'!L556="", "", 'AYIRA MINI MART FINAL MENU - Pr'!L556)</f>
        <v/>
      </c>
      <c r="M556" s="56" t="str">
        <f>IF('AYIRA MINI MART FINAL MENU - Pr'!M556="", "", 'AYIRA MINI MART FINAL MENU - Pr'!M556)</f>
        <v/>
      </c>
      <c r="N556" s="56" t="str">
        <f>IF('AYIRA MINI MART FINAL MENU - Pr'!N556="", "", 'AYIRA MINI MART FINAL MENU - Pr'!N556)</f>
        <v/>
      </c>
      <c r="O556" s="57"/>
      <c r="P556" s="57"/>
      <c r="Q556" s="57"/>
      <c r="R556" s="57"/>
      <c r="S556" s="57"/>
      <c r="T556" s="57"/>
      <c r="U556" s="57"/>
      <c r="V556" s="57"/>
      <c r="W556" s="57"/>
      <c r="X556" s="57"/>
      <c r="Y556" s="57"/>
      <c r="Z556" s="57"/>
    </row>
    <row r="557">
      <c r="A557" s="56" t="str">
        <f>IFERROR(__xludf.DUMMYFUNCTION("IF('AYIRA MINI MART FINAL MENU - Pr'!A557="""", """", IF(LEN(IFERROR(TRIM(REGEXREPLACE(TRIM(REGEXEXTRACT('AYIRA MINI MART FINAL MENU - Pr'!A557, ""^[^\x{0600}-\x{06FF}]+"")), ""[-–]+$"", """")), """"))&gt;0, IFERROR(TRIM(REGEXREPLACE(TRIM(REGEXEXTRACT('AYIRA"&amp;" MINI MART FINAL MENU - Pr'!A557, ""^[^\x{0600}-\x{06FF}]+"")), ""[-–]+$"", """")), """"), GOOGLETRANSLATE('AYIRA MINI MART FINAL MENU - Pr'!A557, ""ar"", ""en"")))"),"Bliss Veggie Straws Original 27 g – Bliss Veggie Straws")</f>
        <v>Bliss Veggie Straws Original 27 g – Bliss Veggie Straws</v>
      </c>
      <c r="B557" s="56" t="str">
        <f>IFERROR(__xludf.DUMMYFUNCTION("IF('AYIRA MINI MART FINAL MENU - Pr'!B557="""", """", IF(LEN(IFERROR(TRIM(REGEXREPLACE(TRIM(REGEXEXTRACT('AYIRA MINI MART FINAL MENU - Pr'!B557, ""^[^\x{0600}-\x{06FF}]+"")), ""[-–]+$"", """")), """"))&gt;0, IFERROR(TRIM(REGEXREPLACE(TRIM(REGEXEXTRACT('AYIRA"&amp;" MINI MART FINAL MENU - Pr'!B557, ""^[^\x{0600}-\x{06FF}]+"")), ""[-–]+$"", """")), """"), GOOGLETRANSLATE('AYIRA MINI MART FINAL MENU - Pr'!B557, ""ar"", ""en"")))"),"Chips &amp; Crisps")</f>
        <v>Chips &amp; Crisps</v>
      </c>
      <c r="C557" s="56" t="str">
        <f>IF('AYIRA MINI MART FINAL MENU - Pr'!C557="", "", 'AYIRA MINI MART FINAL MENU - Pr'!C557)</f>
        <v/>
      </c>
      <c r="D557" s="56" t="str">
        <f>IFERROR(__xludf.DUMMYFUNCTION("IF('AYIRA MINI MART FINAL MENU - Pr'!D557="""", """", GOOGLETRANSLATE('AYIRA MINI MART FINAL MENU - Pr'!D557, ""ar"", ""en""))"),"Don't be able to resist the taste of Bliss Veggie Straws Original 27g, your perfect companion for relaxing and watching the game. Their unique crunch and varied flavors make every handful a delightful experience. Prepared with the finest ingredients using"&amp;" the latest manufacturing techniques to ensure an unparalleled taste. Ideal as a snack for adults and children alike between meals. Aira Mini Mart offers them in the perfect size and flavor for you.")</f>
        <v>Don't be able to resist the taste of Bliss Veggie Straws Original 27g,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57" s="56" t="str">
        <f>IF('AYIRA MINI MART FINAL MENU - Pr'!K557="", "", 'AYIRA MINI MART FINAL MENU - Pr'!K557)</f>
        <v/>
      </c>
      <c r="F557" s="56"/>
      <c r="G557" s="56"/>
      <c r="H557" s="56"/>
      <c r="I557" s="56"/>
      <c r="J557" s="56"/>
      <c r="L557" s="56" t="str">
        <f>IF('AYIRA MINI MART FINAL MENU - Pr'!L557="", "", 'AYIRA MINI MART FINAL MENU - Pr'!L557)</f>
        <v/>
      </c>
      <c r="M557" s="56" t="str">
        <f>IF('AYIRA MINI MART FINAL MENU - Pr'!M557="", "", 'AYIRA MINI MART FINAL MENU - Pr'!M557)</f>
        <v/>
      </c>
      <c r="N557" s="56" t="str">
        <f>IF('AYIRA MINI MART FINAL MENU - Pr'!N557="", "", 'AYIRA MINI MART FINAL MENU - Pr'!N557)</f>
        <v/>
      </c>
      <c r="O557" s="57"/>
      <c r="P557" s="57"/>
      <c r="Q557" s="57"/>
      <c r="R557" s="57"/>
      <c r="S557" s="57"/>
      <c r="T557" s="57"/>
      <c r="U557" s="57"/>
      <c r="V557" s="57"/>
      <c r="W557" s="57"/>
      <c r="X557" s="57"/>
      <c r="Y557" s="57"/>
      <c r="Z557" s="57"/>
    </row>
    <row r="558">
      <c r="A558" s="56" t="str">
        <f>IFERROR(__xludf.DUMMYFUNCTION("IF('AYIRA MINI MART FINAL MENU - Pr'!A558="""", """", IF(LEN(IFERROR(TRIM(REGEXREPLACE(TRIM(REGEXEXTRACT('AYIRA MINI MART FINAL MENU - Pr'!A558, ""^[^\x{0600}-\x{06FF}]+"")), ""[-–]+$"", """")), """"))&gt;0, IFERROR(TRIM(REGEXREPLACE(TRIM(REGEXEXTRACT('AYIRA"&amp;" MINI MART FINAL MENU - Pr'!A558, ""^[^\x{0600}-\x{06FF}]+"")), ""[-–]+$"", """")), """"), GOOGLETRANSLATE('AYIRA MINI MART FINAL MENU - Pr'!A558, ""ar"", ""en"")))"),"Batatos Smokey BBQ 15 g – Batatos Smokey")</f>
        <v>Batatos Smokey BBQ 15 g – Batatos Smokey</v>
      </c>
      <c r="B558" s="56" t="str">
        <f>IFERROR(__xludf.DUMMYFUNCTION("IF('AYIRA MINI MART FINAL MENU - Pr'!B558="""", """", IF(LEN(IFERROR(TRIM(REGEXREPLACE(TRIM(REGEXEXTRACT('AYIRA MINI MART FINAL MENU - Pr'!B558, ""^[^\x{0600}-\x{06FF}]+"")), ""[-–]+$"", """")), """"))&gt;0, IFERROR(TRIM(REGEXREPLACE(TRIM(REGEXEXTRACT('AYIRA"&amp;" MINI MART FINAL MENU - Pr'!B558, ""^[^\x{0600}-\x{06FF}]+"")), ""[-–]+$"", """")), """"), GOOGLETRANSLATE('AYIRA MINI MART FINAL MENU - Pr'!B558, ""ar"", ""en"")))"),"Chips &amp; Crisps")</f>
        <v>Chips &amp; Crisps</v>
      </c>
      <c r="C558" s="58">
        <f>IF('AYIRA MINI MART FINAL MENU - Pr'!C558="", "", 'AYIRA MINI MART FINAL MENU - Pr'!C558)</f>
        <v>1</v>
      </c>
      <c r="D558" s="56" t="str">
        <f>IFERROR(__xludf.DUMMYFUNCTION("IF('AYIRA MINI MART FINAL MENU - Pr'!D558="""", """", GOOGLETRANSLATE('AYIRA MINI MART FINAL MENU - Pr'!D558, ""ar"", ""en""))"),"Don't be able to resist the taste of Batatos Smokey BBQ 15g, your perfect companion for relaxing and watching the game. Its unique crunch and varied flavors make every handful a delightful experience. Prepared with the finest ingredients using the latest "&amp;"manufacturing techniques to guarantee an unparalleled taste. Ideal as a snack for adults and children alike between meals. Aira Mini Mart offers it in the perfect size and flavor for you.")</f>
        <v>Don't be able to resist the taste of Batatos Smokey BBQ 15g,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558" s="56" t="str">
        <f>IF('AYIRA MINI MART FINAL MENU - Pr'!K558="", "", 'AYIRA MINI MART FINAL MENU - Pr'!K558)</f>
        <v/>
      </c>
      <c r="F558" s="56"/>
      <c r="G558" s="56"/>
      <c r="H558" s="56"/>
      <c r="I558" s="56"/>
      <c r="J558" s="56"/>
      <c r="L558" s="56" t="str">
        <f>IF('AYIRA MINI MART FINAL MENU - Pr'!L558="", "", 'AYIRA MINI MART FINAL MENU - Pr'!L558)</f>
        <v/>
      </c>
      <c r="M558" s="56" t="str">
        <f>IF('AYIRA MINI MART FINAL MENU - Pr'!M558="", "", 'AYIRA MINI MART FINAL MENU - Pr'!M558)</f>
        <v/>
      </c>
      <c r="N558" s="56" t="str">
        <f>IF('AYIRA MINI MART FINAL MENU - Pr'!N558="", "", 'AYIRA MINI MART FINAL MENU - Pr'!N558)</f>
        <v/>
      </c>
      <c r="O558" s="57"/>
      <c r="P558" s="57"/>
      <c r="Q558" s="57"/>
      <c r="R558" s="57"/>
      <c r="S558" s="57"/>
      <c r="T558" s="57"/>
      <c r="U558" s="57"/>
      <c r="V558" s="57"/>
      <c r="W558" s="57"/>
      <c r="X558" s="57"/>
      <c r="Y558" s="57"/>
      <c r="Z558" s="57"/>
    </row>
    <row r="559">
      <c r="A559" s="56" t="str">
        <f>IFERROR(__xludf.DUMMYFUNCTION("IF('AYIRA MINI MART FINAL MENU - Pr'!A559="""", """", IF(LEN(IFERROR(TRIM(REGEXREPLACE(TRIM(REGEXEXTRACT('AYIRA MINI MART FINAL MENU - Pr'!A559, ""^[^\x{0600}-\x{06FF}]+"")), ""[-–]+$"", """")), """"))&gt;0, IFERROR(TRIM(REGEXREPLACE(TRIM(REGEXEXTRACT('AYIRA"&amp;" MINI MART FINAL MENU - Pr'!A559, ""^[^\x{0600}-\x{06FF}]+"")), ""[-–]+$"", """")), """"), GOOGLETRANSLATE('AYIRA MINI MART FINAL MENU - Pr'!A559, ""ar"", ""en"")))"),"Al Mudhish Potato Rings – Salsa Flavour 15 g – Al Mudhish Potato Rings – Salsa Flavour 15")</f>
        <v>Al Mudhish Potato Rings – Salsa Flavour 15 g – Al Mudhish Potato Rings – Salsa Flavour 15</v>
      </c>
      <c r="B559" s="56" t="str">
        <f>IFERROR(__xludf.DUMMYFUNCTION("IF('AYIRA MINI MART FINAL MENU - Pr'!B559="""", """", IF(LEN(IFERROR(TRIM(REGEXREPLACE(TRIM(REGEXEXTRACT('AYIRA MINI MART FINAL MENU - Pr'!B559, ""^[^\x{0600}-\x{06FF}]+"")), ""[-–]+$"", """")), """"))&gt;0, IFERROR(TRIM(REGEXREPLACE(TRIM(REGEXEXTRACT('AYIRA"&amp;" MINI MART FINAL MENU - Pr'!B559, ""^[^\x{0600}-\x{06FF}]+"")), ""[-–]+$"", """")), """"), GOOGLETRANSLATE('AYIRA MINI MART FINAL MENU - Pr'!B559, ""ar"", ""en"")))"),"Chips &amp; Crisps")</f>
        <v>Chips &amp; Crisps</v>
      </c>
      <c r="C559" s="58">
        <f>IF('AYIRA MINI MART FINAL MENU - Pr'!C559="", "", 'AYIRA MINI MART FINAL MENU - Pr'!C559)</f>
        <v>1</v>
      </c>
      <c r="D559" s="56" t="str">
        <f>IFERROR(__xludf.DUMMYFUNCTION("IF('AYIRA MINI MART FINAL MENU - Pr'!D559="""", """", GOOGLETRANSLATE('AYIRA MINI MART FINAL MENU - Pr'!D559, ""ar"", ""en""))"),"Don't be able to resist the taste of Al Mudhish Potato Rings – Salsa Flavor 15g, your perfect companion for relaxing and watching matches. Their unique crunch and varied flavors make every handful a delightful experience. Prepared with the finest ingredie"&amp;"nts using the latest manufacturing techniques to guarantee an unparalleled taste. Ideal as a snack for adults and children alike between meals. Aira Mini Mart offers them in the perfect size and flavor for you.")</f>
        <v>Don't be able to resist the taste of Al Mudhish Potato Rings – Salsa Flavor 15g, your perfect companion for relaxing and watching matches.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59" s="56" t="str">
        <f>IF('AYIRA MINI MART FINAL MENU - Pr'!K559="", "", 'AYIRA MINI MART FINAL MENU - Pr'!K559)</f>
        <v/>
      </c>
      <c r="F559" s="56"/>
      <c r="G559" s="56"/>
      <c r="H559" s="56"/>
      <c r="I559" s="56"/>
      <c r="J559" s="56"/>
      <c r="L559" s="56" t="str">
        <f>IF('AYIRA MINI MART FINAL MENU - Pr'!L559="", "", 'AYIRA MINI MART FINAL MENU - Pr'!L559)</f>
        <v/>
      </c>
      <c r="M559" s="56" t="str">
        <f>IF('AYIRA MINI MART FINAL MENU - Pr'!M559="", "", 'AYIRA MINI MART FINAL MENU - Pr'!M559)</f>
        <v/>
      </c>
      <c r="N559" s="56" t="str">
        <f>IF('AYIRA MINI MART FINAL MENU - Pr'!N559="", "", 'AYIRA MINI MART FINAL MENU - Pr'!N559)</f>
        <v/>
      </c>
      <c r="O559" s="57"/>
      <c r="P559" s="57"/>
      <c r="Q559" s="57"/>
      <c r="R559" s="57"/>
      <c r="S559" s="57"/>
      <c r="T559" s="57"/>
      <c r="U559" s="57"/>
      <c r="V559" s="57"/>
      <c r="W559" s="57"/>
      <c r="X559" s="57"/>
      <c r="Y559" s="57"/>
      <c r="Z559" s="57"/>
    </row>
    <row r="560">
      <c r="A560" s="56" t="str">
        <f>IFERROR(__xludf.DUMMYFUNCTION("IF('AYIRA MINI MART FINAL MENU - Pr'!A560="""", """", IF(LEN(IFERROR(TRIM(REGEXREPLACE(TRIM(REGEXEXTRACT('AYIRA MINI MART FINAL MENU - Pr'!A560, ""^[^\x{0600}-\x{06FF}]+"")), ""[-–]+$"", """")), """"))&gt;0, IFERROR(TRIM(REGEXREPLACE(TRIM(REGEXEXTRACT('AYIRA"&amp;" MINI MART FINAL MENU - Pr'!A560, ""^[^\x{0600}-\x{06FF}]+"")), ""[-–]+$"", """")), """"), GOOGLETRANSLATE('AYIRA MINI MART FINAL MENU - Pr'!A560, ""ar"", ""en"")))"),"Nice Hot &amp; Spicy Natural Potato Chips 167 g – Nice")</f>
        <v>Nice Hot &amp; Spicy Natural Potato Chips 167 g – Nice</v>
      </c>
      <c r="B560" s="56" t="str">
        <f>IFERROR(__xludf.DUMMYFUNCTION("IF('AYIRA MINI MART FINAL MENU - Pr'!B560="""", """", IF(LEN(IFERROR(TRIM(REGEXREPLACE(TRIM(REGEXEXTRACT('AYIRA MINI MART FINAL MENU - Pr'!B560, ""^[^\x{0600}-\x{06FF}]+"")), ""[-–]+$"", """")), """"))&gt;0, IFERROR(TRIM(REGEXREPLACE(TRIM(REGEXEXTRACT('AYIRA"&amp;" MINI MART FINAL MENU - Pr'!B560, ""^[^\x{0600}-\x{06FF}]+"")), ""[-–]+$"", """")), """"), GOOGLETRANSLATE('AYIRA MINI MART FINAL MENU - Pr'!B560, ""ar"", ""en"")))"),"Chips &amp; Crisps")</f>
        <v>Chips &amp; Crisps</v>
      </c>
      <c r="C560" s="58">
        <f>IF('AYIRA MINI MART FINAL MENU - Pr'!C560="", "", 'AYIRA MINI MART FINAL MENU - Pr'!C560)</f>
        <v>7</v>
      </c>
      <c r="D560" s="56" t="str">
        <f>IFERROR(__xludf.DUMMYFUNCTION("IF('AYIRA MINI MART FINAL MENU - Pr'!D560="""", """", GOOGLETRANSLATE('AYIRA MINI MART FINAL MENU - Pr'!D560, ""ar"", ""en""))"),"Don't be able to resist the taste of Nice Hot &amp; Spicy Natural Potato Chips 167g, your perfect companion for relaxing and watching the game. Their unique crunch and varied flavors make every handful a delightful experience. Prepared with the finest ingredi"&amp;"ents using the latest manufacturing techniques to ensure an unparalleled taste. Ideal as a snack for adults and children alike between meals. Aira Mini Mart offers them in the perfect size and flavor for you.")</f>
        <v>Don't be able to resist the taste of Nice Hot &amp; Spicy Natural Potato Chips 167g,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60" s="56" t="str">
        <f>IF('AYIRA MINI MART FINAL MENU - Pr'!K560="", "", 'AYIRA MINI MART FINAL MENU - Pr'!K560)</f>
        <v/>
      </c>
      <c r="F560" s="56"/>
      <c r="G560" s="56"/>
      <c r="H560" s="56"/>
      <c r="I560" s="56"/>
      <c r="J560" s="56"/>
      <c r="L560" s="56" t="str">
        <f>IF('AYIRA MINI MART FINAL MENU - Pr'!L560="", "", 'AYIRA MINI MART FINAL MENU - Pr'!L560)</f>
        <v/>
      </c>
      <c r="M560" s="56" t="str">
        <f>IF('AYIRA MINI MART FINAL MENU - Pr'!M560="", "", 'AYIRA MINI MART FINAL MENU - Pr'!M560)</f>
        <v/>
      </c>
      <c r="N560" s="56" t="str">
        <f>IF('AYIRA MINI MART FINAL MENU - Pr'!N560="", "", 'AYIRA MINI MART FINAL MENU - Pr'!N560)</f>
        <v/>
      </c>
      <c r="O560" s="57"/>
      <c r="P560" s="57"/>
      <c r="Q560" s="57"/>
      <c r="R560" s="57"/>
      <c r="S560" s="57"/>
      <c r="T560" s="57"/>
      <c r="U560" s="57"/>
      <c r="V560" s="57"/>
      <c r="W560" s="57"/>
      <c r="X560" s="57"/>
      <c r="Y560" s="57"/>
      <c r="Z560" s="57"/>
    </row>
    <row r="561">
      <c r="A561" s="56" t="str">
        <f>IFERROR(__xludf.DUMMYFUNCTION("IF('AYIRA MINI MART FINAL MENU - Pr'!A561="""", """", IF(LEN(IFERROR(TRIM(REGEXREPLACE(TRIM(REGEXEXTRACT('AYIRA MINI MART FINAL MENU - Pr'!A561, ""^[^\x{0600}-\x{06FF}]+"")), ""[-–]+$"", """")), """"))&gt;0, IFERROR(TRIM(REGEXREPLACE(TRIM(REGEXEXTRACT('AYIRA"&amp;" MINI MART FINAL MENU - Pr'!A561, ""^[^\x{0600}-\x{06FF}]+"")), ""[-–]+$"", """")), """"), GOOGLETRANSLATE('AYIRA MINI MART FINAL MENU - Pr'!A561, ""ar"", ""en"")))"),"Nice Lightly Salted Natural Potato Chips 167 g – Nice Lightly")</f>
        <v>Nice Lightly Salted Natural Potato Chips 167 g – Nice Lightly</v>
      </c>
      <c r="B561" s="56" t="str">
        <f>IFERROR(__xludf.DUMMYFUNCTION("IF('AYIRA MINI MART FINAL MENU - Pr'!B561="""", """", IF(LEN(IFERROR(TRIM(REGEXREPLACE(TRIM(REGEXEXTRACT('AYIRA MINI MART FINAL MENU - Pr'!B561, ""^[^\x{0600}-\x{06FF}]+"")), ""[-–]+$"", """")), """"))&gt;0, IFERROR(TRIM(REGEXREPLACE(TRIM(REGEXEXTRACT('AYIRA"&amp;" MINI MART FINAL MENU - Pr'!B561, ""^[^\x{0600}-\x{06FF}]+"")), ""[-–]+$"", """")), """"), GOOGLETRANSLATE('AYIRA MINI MART FINAL MENU - Pr'!B561, ""ar"", ""en"")))"),"Chips &amp; Crisps")</f>
        <v>Chips &amp; Crisps</v>
      </c>
      <c r="C561" s="58">
        <f>IF('AYIRA MINI MART FINAL MENU - Pr'!C561="", "", 'AYIRA MINI MART FINAL MENU - Pr'!C561)</f>
        <v>7</v>
      </c>
      <c r="D561" s="56" t="str">
        <f>IFERROR(__xludf.DUMMYFUNCTION("IF('AYIRA MINI MART FINAL MENU - Pr'!D561="""", """", GOOGLETRANSLATE('AYIRA MINI MART FINAL MENU - Pr'!D561, ""ar"", ""en""))"),"Don't be able to resist the taste of Nice Lightly Salted Natural Potato Chips 167g, your perfect companion for relaxing and watching the game. Their unique crunch and varied flavors make every handful a delightful experience. Prepared with the finest ingr"&amp;"edients using the latest manufacturing techniques to ensure an unparalleled taste. Ideal as a snack for adults and children alike between meals. Aira Mini Mart offers them in the perfect size and flavor for you.")</f>
        <v>Don't be able to resist the taste of Nice Lightly Salted Natural Potato Chips 167g,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61" s="56" t="str">
        <f>IF('AYIRA MINI MART FINAL MENU - Pr'!K561="", "", 'AYIRA MINI MART FINAL MENU - Pr'!K561)</f>
        <v/>
      </c>
      <c r="F561" s="56"/>
      <c r="G561" s="56"/>
      <c r="H561" s="56"/>
      <c r="I561" s="56"/>
      <c r="J561" s="56"/>
      <c r="L561" s="56" t="str">
        <f>IF('AYIRA MINI MART FINAL MENU - Pr'!L561="", "", 'AYIRA MINI MART FINAL MENU - Pr'!L561)</f>
        <v/>
      </c>
      <c r="M561" s="56" t="str">
        <f>IF('AYIRA MINI MART FINAL MENU - Pr'!M561="", "", 'AYIRA MINI MART FINAL MENU - Pr'!M561)</f>
        <v/>
      </c>
      <c r="N561" s="56" t="str">
        <f>IF('AYIRA MINI MART FINAL MENU - Pr'!N561="", "", 'AYIRA MINI MART FINAL MENU - Pr'!N561)</f>
        <v/>
      </c>
      <c r="O561" s="57"/>
      <c r="P561" s="57"/>
      <c r="Q561" s="57"/>
      <c r="R561" s="57"/>
      <c r="S561" s="57"/>
      <c r="T561" s="57"/>
      <c r="U561" s="57"/>
      <c r="V561" s="57"/>
      <c r="W561" s="57"/>
      <c r="X561" s="57"/>
      <c r="Y561" s="57"/>
      <c r="Z561" s="57"/>
    </row>
    <row r="562">
      <c r="A562" s="56" t="str">
        <f>IFERROR(__xludf.DUMMYFUNCTION("IF('AYIRA MINI MART FINAL MENU - Pr'!A562="""", """", IF(LEN(IFERROR(TRIM(REGEXREPLACE(TRIM(REGEXEXTRACT('AYIRA MINI MART FINAL MENU - Pr'!A562, ""^[^\x{0600}-\x{06FF}]+"")), ""[-–]+$"", """")), """"))&gt;0, IFERROR(TRIM(REGEXREPLACE(TRIM(REGEXEXTRACT('AYIRA"&amp;" MINI MART FINAL MENU - Pr'!A562, ""^[^\x{0600}-\x{06FF}]+"")), ""[-–]+$"", """")), """"), GOOGLETRANSLATE('AYIRA MINI MART FINAL MENU - Pr'!A562, ""ar"", ""en"")))"),"Nice Paprika Natural Potato Chips 167 g – Nice Paprika")</f>
        <v>Nice Paprika Natural Potato Chips 167 g – Nice Paprika</v>
      </c>
      <c r="B562" s="56" t="str">
        <f>IFERROR(__xludf.DUMMYFUNCTION("IF('AYIRA MINI MART FINAL MENU - Pr'!B562="""", """", IF(LEN(IFERROR(TRIM(REGEXREPLACE(TRIM(REGEXEXTRACT('AYIRA MINI MART FINAL MENU - Pr'!B562, ""^[^\x{0600}-\x{06FF}]+"")), ""[-–]+$"", """")), """"))&gt;0, IFERROR(TRIM(REGEXREPLACE(TRIM(REGEXEXTRACT('AYIRA"&amp;" MINI MART FINAL MENU - Pr'!B562, ""^[^\x{0600}-\x{06FF}]+"")), ""[-–]+$"", """")), """"), GOOGLETRANSLATE('AYIRA MINI MART FINAL MENU - Pr'!B562, ""ar"", ""en"")))"),"Chips &amp; Crisps")</f>
        <v>Chips &amp; Crisps</v>
      </c>
      <c r="C562" s="58">
        <f>IF('AYIRA MINI MART FINAL MENU - Pr'!C562="", "", 'AYIRA MINI MART FINAL MENU - Pr'!C562)</f>
        <v>7</v>
      </c>
      <c r="D562" s="56" t="str">
        <f>IFERROR(__xludf.DUMMYFUNCTION("IF('AYIRA MINI MART FINAL MENU - Pr'!D562="""", """", GOOGLETRANSLATE('AYIRA MINI MART FINAL MENU - Pr'!D562, ""ar"", ""en""))"),"Don't be able to resist the taste of Nice Paprika Natural Potato Chips 167g, your perfect companion for relaxing and watching the game. Their unique crunch and varied flavors make every handful a delightful experience. Prepared with the finest ingredients"&amp;" using the latest manufacturing techniques to ensure an unparalleled taste. Ideal as a snack for adults and children alike between meals. Aira Mini Mart offers them in the perfect size and flavor for you.")</f>
        <v>Don't be able to resist the taste of Nice Paprika Natural Potato Chips 167g,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62" s="56" t="str">
        <f>IF('AYIRA MINI MART FINAL MENU - Pr'!K562="", "", 'AYIRA MINI MART FINAL MENU - Pr'!K562)</f>
        <v/>
      </c>
      <c r="F562" s="56"/>
      <c r="G562" s="56"/>
      <c r="H562" s="56"/>
      <c r="I562" s="56"/>
      <c r="J562" s="56"/>
      <c r="L562" s="56" t="str">
        <f>IF('AYIRA MINI MART FINAL MENU - Pr'!L562="", "", 'AYIRA MINI MART FINAL MENU - Pr'!L562)</f>
        <v/>
      </c>
      <c r="M562" s="56" t="str">
        <f>IF('AYIRA MINI MART FINAL MENU - Pr'!M562="", "", 'AYIRA MINI MART FINAL MENU - Pr'!M562)</f>
        <v/>
      </c>
      <c r="N562" s="56" t="str">
        <f>IF('AYIRA MINI MART FINAL MENU - Pr'!N562="", "", 'AYIRA MINI MART FINAL MENU - Pr'!N562)</f>
        <v/>
      </c>
      <c r="O562" s="57"/>
      <c r="P562" s="57"/>
      <c r="Q562" s="57"/>
      <c r="R562" s="57"/>
      <c r="S562" s="57"/>
      <c r="T562" s="57"/>
      <c r="U562" s="57"/>
      <c r="V562" s="57"/>
      <c r="W562" s="57"/>
      <c r="X562" s="57"/>
      <c r="Y562" s="57"/>
      <c r="Z562" s="57"/>
    </row>
    <row r="563">
      <c r="A563" s="56" t="str">
        <f>IFERROR(__xludf.DUMMYFUNCTION("IF('AYIRA MINI MART FINAL MENU - Pr'!A563="""", """", IF(LEN(IFERROR(TRIM(REGEXREPLACE(TRIM(REGEXEXTRACT('AYIRA MINI MART FINAL MENU - Pr'!A563, ""^[^\x{0600}-\x{06FF}]+"")), ""[-–]+$"", """")), """"))&gt;0, IFERROR(TRIM(REGEXREPLACE(TRIM(REGEXEXTRACT('AYIRA"&amp;" MINI MART FINAL MENU - Pr'!A563, ""^[^\x{0600}-\x{06FF}]+"")), ""[-–]+$"", """")), """"), GOOGLETRANSLATE('AYIRA MINI MART FINAL MENU - Pr'!A563, ""ar"", ""en"")))"),"Nice Salt &amp; Vinegar Natural Potato Chips 167 g – Nice")</f>
        <v>Nice Salt &amp; Vinegar Natural Potato Chips 167 g – Nice</v>
      </c>
      <c r="B563" s="56" t="str">
        <f>IFERROR(__xludf.DUMMYFUNCTION("IF('AYIRA MINI MART FINAL MENU - Pr'!B563="""", """", IF(LEN(IFERROR(TRIM(REGEXREPLACE(TRIM(REGEXEXTRACT('AYIRA MINI MART FINAL MENU - Pr'!B563, ""^[^\x{0600}-\x{06FF}]+"")), ""[-–]+$"", """")), """"))&gt;0, IFERROR(TRIM(REGEXREPLACE(TRIM(REGEXEXTRACT('AYIRA"&amp;" MINI MART FINAL MENU - Pr'!B563, ""^[^\x{0600}-\x{06FF}]+"")), ""[-–]+$"", """")), """"), GOOGLETRANSLATE('AYIRA MINI MART FINAL MENU - Pr'!B563, ""ar"", ""en"")))"),"Chips &amp; Crisps")</f>
        <v>Chips &amp; Crisps</v>
      </c>
      <c r="C563" s="58">
        <f>IF('AYIRA MINI MART FINAL MENU - Pr'!C563="", "", 'AYIRA MINI MART FINAL MENU - Pr'!C563)</f>
        <v>7</v>
      </c>
      <c r="D563" s="56" t="str">
        <f>IFERROR(__xludf.DUMMYFUNCTION("IF('AYIRA MINI MART FINAL MENU - Pr'!D563="""", """", GOOGLETRANSLATE('AYIRA MINI MART FINAL MENU - Pr'!D563, ""ar"", ""en""))"),"Don't be able to resist the taste of Nice Salt &amp; Vinegar Natural Potato Chips 167g, your perfect companion for relaxing and watching the game. Their unique crunch and varied flavors make every handful a delightful experience. Prepared with the finest ingr"&amp;"edients using the latest manufacturing techniques to ensure an unparalleled taste. Ideal as a snack for adults and children alike between meals. Aira Mini Mart offers them in the perfect size and flavor for you.")</f>
        <v>Don't be able to resist the taste of Nice Salt &amp; Vinegar Natural Potato Chips 167g,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63" s="56" t="str">
        <f>IF('AYIRA MINI MART FINAL MENU - Pr'!K563="", "", 'AYIRA MINI MART FINAL MENU - Pr'!K563)</f>
        <v/>
      </c>
      <c r="F563" s="56"/>
      <c r="G563" s="56"/>
      <c r="H563" s="56"/>
      <c r="I563" s="56"/>
      <c r="J563" s="56"/>
      <c r="L563" s="56" t="str">
        <f>IF('AYIRA MINI MART FINAL MENU - Pr'!L563="", "", 'AYIRA MINI MART FINAL MENU - Pr'!L563)</f>
        <v/>
      </c>
      <c r="M563" s="56" t="str">
        <f>IF('AYIRA MINI MART FINAL MENU - Pr'!M563="", "", 'AYIRA MINI MART FINAL MENU - Pr'!M563)</f>
        <v/>
      </c>
      <c r="N563" s="56" t="str">
        <f>IF('AYIRA MINI MART FINAL MENU - Pr'!N563="", "", 'AYIRA MINI MART FINAL MENU - Pr'!N563)</f>
        <v/>
      </c>
      <c r="O563" s="57"/>
      <c r="P563" s="57"/>
      <c r="Q563" s="57"/>
      <c r="R563" s="57"/>
      <c r="S563" s="57"/>
      <c r="T563" s="57"/>
      <c r="U563" s="57"/>
      <c r="V563" s="57"/>
      <c r="W563" s="57"/>
      <c r="X563" s="57"/>
      <c r="Y563" s="57"/>
      <c r="Z563" s="57"/>
    </row>
    <row r="564">
      <c r="A564" s="56" t="str">
        <f>IFERROR(__xludf.DUMMYFUNCTION("IF('AYIRA MINI MART FINAL MENU - Pr'!A564="""", """", IF(LEN(IFERROR(TRIM(REGEXREPLACE(TRIM(REGEXEXTRACT('AYIRA MINI MART FINAL MENU - Pr'!A564, ""^[^\x{0600}-\x{06FF}]+"")), ""[-–]+$"", """")), """"))&gt;0, IFERROR(TRIM(REGEXREPLACE(TRIM(REGEXEXTRACT('AYIRA"&amp;" MINI MART FINAL MENU - Pr'!A564, ""^[^\x{0600}-\x{06FF}]+"")), ""[-–]+$"", """")), """"), GOOGLETRANSLATE('AYIRA MINI MART FINAL MENU - Pr'!A564, ""ar"", ""en"")))"),"Nice French Cheese Natural Potato Chips 80 g – Nice French")</f>
        <v>Nice French Cheese Natural Potato Chips 80 g – Nice French</v>
      </c>
      <c r="B564" s="56" t="str">
        <f>IFERROR(__xludf.DUMMYFUNCTION("IF('AYIRA MINI MART FINAL MENU - Pr'!B564="""", """", IF(LEN(IFERROR(TRIM(REGEXREPLACE(TRIM(REGEXEXTRACT('AYIRA MINI MART FINAL MENU - Pr'!B564, ""^[^\x{0600}-\x{06FF}]+"")), ""[-–]+$"", """")), """"))&gt;0, IFERROR(TRIM(REGEXREPLACE(TRIM(REGEXEXTRACT('AYIRA"&amp;" MINI MART FINAL MENU - Pr'!B564, ""^[^\x{0600}-\x{06FF}]+"")), ""[-–]+$"", """")), """"), GOOGLETRANSLATE('AYIRA MINI MART FINAL MENU - Pr'!B564, ""ar"", ""en"")))"),"Chips &amp; Crisps")</f>
        <v>Chips &amp; Crisps</v>
      </c>
      <c r="C564" s="58">
        <f>IF('AYIRA MINI MART FINAL MENU - Pr'!C564="", "", 'AYIRA MINI MART FINAL MENU - Pr'!C564)</f>
        <v>4</v>
      </c>
      <c r="D564" s="56" t="str">
        <f>IFERROR(__xludf.DUMMYFUNCTION("IF('AYIRA MINI MART FINAL MENU - Pr'!D564="""", """", GOOGLETRANSLATE('AYIRA MINI MART FINAL MENU - Pr'!D564, ""ar"", ""en""))"),"Don't be able to resist the taste of Nice French Cheese Natural Potato Chips 80g, your perfect companion for relaxing and watching the game. Their unique crunch and varied flavors make every handful a delightful experience. Prepared with the finest ingred"&amp;"ients using the latest manufacturing techniques to guarantee an unparalleled taste. Ideal as a snack for adults and children alike between meals. Aira Mini Mart offers them in the perfect size and flavor for you.")</f>
        <v>Don't be able to resist the taste of Nice French Cheese Natural Potato Chips 80g,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64" s="56" t="str">
        <f>IF('AYIRA MINI MART FINAL MENU - Pr'!K564="", "", 'AYIRA MINI MART FINAL MENU - Pr'!K564)</f>
        <v/>
      </c>
      <c r="F564" s="56"/>
      <c r="G564" s="56"/>
      <c r="H564" s="56"/>
      <c r="I564" s="56"/>
      <c r="J564" s="56"/>
      <c r="L564" s="56" t="str">
        <f>IF('AYIRA MINI MART FINAL MENU - Pr'!L564="", "", 'AYIRA MINI MART FINAL MENU - Pr'!L564)</f>
        <v/>
      </c>
      <c r="M564" s="56" t="str">
        <f>IF('AYIRA MINI MART FINAL MENU - Pr'!M564="", "", 'AYIRA MINI MART FINAL MENU - Pr'!M564)</f>
        <v/>
      </c>
      <c r="N564" s="56" t="str">
        <f>IF('AYIRA MINI MART FINAL MENU - Pr'!N564="", "", 'AYIRA MINI MART FINAL MENU - Pr'!N564)</f>
        <v/>
      </c>
      <c r="O564" s="57"/>
      <c r="P564" s="57"/>
      <c r="Q564" s="57"/>
      <c r="R564" s="57"/>
      <c r="S564" s="57"/>
      <c r="T564" s="57"/>
      <c r="U564" s="57"/>
      <c r="V564" s="57"/>
      <c r="W564" s="57"/>
      <c r="X564" s="57"/>
      <c r="Y564" s="57"/>
      <c r="Z564" s="57"/>
    </row>
    <row r="565">
      <c r="A565" s="56" t="str">
        <f>IFERROR(__xludf.DUMMYFUNCTION("IF('AYIRA MINI MART FINAL MENU - Pr'!A565="""", """", IF(LEN(IFERROR(TRIM(REGEXREPLACE(TRIM(REGEXEXTRACT('AYIRA MINI MART FINAL MENU - Pr'!A565, ""^[^\x{0600}-\x{06FF}]+"")), ""[-–]+$"", """")), """"))&gt;0, IFERROR(TRIM(REGEXREPLACE(TRIM(REGEXEXTRACT('AYIRA"&amp;" MINI MART FINAL MENU - Pr'!A565, ""^[^\x{0600}-\x{06FF}]+"")), ""[-–]+$"", """")), """"), GOOGLETRANSLATE('AYIRA MINI MART FINAL MENU - Pr'!A565, ""ar"", ""en"")))"),"Nice Paprika Natural Potato Chips 80 g – Nice Paprika")</f>
        <v>Nice Paprika Natural Potato Chips 80 g – Nice Paprika</v>
      </c>
      <c r="B565" s="56" t="str">
        <f>IFERROR(__xludf.DUMMYFUNCTION("IF('AYIRA MINI MART FINAL MENU - Pr'!B565="""", """", IF(LEN(IFERROR(TRIM(REGEXREPLACE(TRIM(REGEXEXTRACT('AYIRA MINI MART FINAL MENU - Pr'!B565, ""^[^\x{0600}-\x{06FF}]+"")), ""[-–]+$"", """")), """"))&gt;0, IFERROR(TRIM(REGEXREPLACE(TRIM(REGEXEXTRACT('AYIRA"&amp;" MINI MART FINAL MENU - Pr'!B565, ""^[^\x{0600}-\x{06FF}]+"")), ""[-–]+$"", """")), """"), GOOGLETRANSLATE('AYIRA MINI MART FINAL MENU - Pr'!B565, ""ar"", ""en"")))"),"Chips &amp; Crisps")</f>
        <v>Chips &amp; Crisps</v>
      </c>
      <c r="C565" s="58">
        <f>IF('AYIRA MINI MART FINAL MENU - Pr'!C565="", "", 'AYIRA MINI MART FINAL MENU - Pr'!C565)</f>
        <v>4</v>
      </c>
      <c r="D565" s="56" t="str">
        <f>IFERROR(__xludf.DUMMYFUNCTION("IF('AYIRA MINI MART FINAL MENU - Pr'!D565="""", """", GOOGLETRANSLATE('AYIRA MINI MART FINAL MENU - Pr'!D565, ""ar"", ""en""))"),"Don't be able to resist the taste of Nice Paprika Natural Potato Chips 80g, your perfect companion for relaxing and watching the game. Their unique crunch and varied flavors make every handful a delightful experience. Prepared with the finest ingredients "&amp;"using the latest manufacturing techniques to guarantee an unparalleled taste. Ideal as a snack for adults and children alike between meals. Aira Mini Mart offers them in the perfect size and flavor for you.")</f>
        <v>Don't be able to resist the taste of Nice Paprika Natural Potato Chips 80g,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65" s="56" t="str">
        <f>IF('AYIRA MINI MART FINAL MENU - Pr'!K565="", "", 'AYIRA MINI MART FINAL MENU - Pr'!K565)</f>
        <v/>
      </c>
      <c r="F565" s="56"/>
      <c r="G565" s="56"/>
      <c r="H565" s="56"/>
      <c r="I565" s="56"/>
      <c r="J565" s="56"/>
      <c r="L565" s="56" t="str">
        <f>IF('AYIRA MINI MART FINAL MENU - Pr'!L565="", "", 'AYIRA MINI MART FINAL MENU - Pr'!L565)</f>
        <v/>
      </c>
      <c r="M565" s="56" t="str">
        <f>IF('AYIRA MINI MART FINAL MENU - Pr'!M565="", "", 'AYIRA MINI MART FINAL MENU - Pr'!M565)</f>
        <v/>
      </c>
      <c r="N565" s="56" t="str">
        <f>IF('AYIRA MINI MART FINAL MENU - Pr'!N565="", "", 'AYIRA MINI MART FINAL MENU - Pr'!N565)</f>
        <v/>
      </c>
      <c r="O565" s="57"/>
      <c r="P565" s="57"/>
      <c r="Q565" s="57"/>
      <c r="R565" s="57"/>
      <c r="S565" s="57"/>
      <c r="T565" s="57"/>
      <c r="U565" s="57"/>
      <c r="V565" s="57"/>
      <c r="W565" s="57"/>
      <c r="X565" s="57"/>
      <c r="Y565" s="57"/>
      <c r="Z565" s="57"/>
    </row>
    <row r="566">
      <c r="A566" s="56" t="str">
        <f>IFERROR(__xludf.DUMMYFUNCTION("IF('AYIRA MINI MART FINAL MENU - Pr'!A566="""", """", IF(LEN(IFERROR(TRIM(REGEXREPLACE(TRIM(REGEXEXTRACT('AYIRA MINI MART FINAL MENU - Pr'!A566, ""^[^\x{0600}-\x{06FF}]+"")), ""[-–]+$"", """")), """"))&gt;0, IFERROR(TRIM(REGEXREPLACE(TRIM(REGEXEXTRACT('AYIRA"&amp;" MINI MART FINAL MENU - Pr'!A566, ""^[^\x{0600}-\x{06FF}]+"")), ""[-–]+$"", """")), """"), GOOGLETRANSLATE('AYIRA MINI MART FINAL MENU - Pr'!A566, ""ar"", ""en"")))"),"Nice Tomato Ketchup Natural Potato Chips 80 g – Nice Tomato")</f>
        <v>Nice Tomato Ketchup Natural Potato Chips 80 g – Nice Tomato</v>
      </c>
      <c r="B566" s="56" t="str">
        <f>IFERROR(__xludf.DUMMYFUNCTION("IF('AYIRA MINI MART FINAL MENU - Pr'!B566="""", """", IF(LEN(IFERROR(TRIM(REGEXREPLACE(TRIM(REGEXEXTRACT('AYIRA MINI MART FINAL MENU - Pr'!B566, ""^[^\x{0600}-\x{06FF}]+"")), ""[-–]+$"", """")), """"))&gt;0, IFERROR(TRIM(REGEXREPLACE(TRIM(REGEXEXTRACT('AYIRA"&amp;" MINI MART FINAL MENU - Pr'!B566, ""^[^\x{0600}-\x{06FF}]+"")), ""[-–]+$"", """")), """"), GOOGLETRANSLATE('AYIRA MINI MART FINAL MENU - Pr'!B566, ""ar"", ""en"")))"),"Chips &amp; Crisps")</f>
        <v>Chips &amp; Crisps</v>
      </c>
      <c r="C566" s="58">
        <f>IF('AYIRA MINI MART FINAL MENU - Pr'!C566="", "", 'AYIRA MINI MART FINAL MENU - Pr'!C566)</f>
        <v>4</v>
      </c>
      <c r="D566" s="56" t="str">
        <f>IFERROR(__xludf.DUMMYFUNCTION("IF('AYIRA MINI MART FINAL MENU - Pr'!D566="""", """", GOOGLETRANSLATE('AYIRA MINI MART FINAL MENU - Pr'!D566, ""ar"", ""en""))"),"Don't be able to resist the taste of Nice Tomato Ketchup Natural Potato Chips 80g, your perfect companion for relaxing and watching the game. Their unique crunch and varied flavors make every handful a delightful experience. Prepared with the finest ingre"&amp;"dients using the latest manufacturing techniques to ensure an unparalleled taste. Ideal as a snack for adults and children alike between meals. Aira Mini Mart offers them in the perfect size and flavor for you.")</f>
        <v>Don't be able to resist the taste of Nice Tomato Ketchup Natural Potato Chips 80g,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66" s="56" t="str">
        <f>IF('AYIRA MINI MART FINAL MENU - Pr'!K566="", "", 'AYIRA MINI MART FINAL MENU - Pr'!K566)</f>
        <v/>
      </c>
      <c r="F566" s="56"/>
      <c r="G566" s="56"/>
      <c r="H566" s="56"/>
      <c r="I566" s="56"/>
      <c r="J566" s="56"/>
      <c r="L566" s="56" t="str">
        <f>IF('AYIRA MINI MART FINAL MENU - Pr'!L566="", "", 'AYIRA MINI MART FINAL MENU - Pr'!L566)</f>
        <v/>
      </c>
      <c r="M566" s="56" t="str">
        <f>IF('AYIRA MINI MART FINAL MENU - Pr'!M566="", "", 'AYIRA MINI MART FINAL MENU - Pr'!M566)</f>
        <v/>
      </c>
      <c r="N566" s="56" t="str">
        <f>IF('AYIRA MINI MART FINAL MENU - Pr'!N566="", "", 'AYIRA MINI MART FINAL MENU - Pr'!N566)</f>
        <v/>
      </c>
      <c r="O566" s="57"/>
      <c r="P566" s="57"/>
      <c r="Q566" s="57"/>
      <c r="R566" s="57"/>
      <c r="S566" s="57"/>
      <c r="T566" s="57"/>
      <c r="U566" s="57"/>
      <c r="V566" s="57"/>
      <c r="W566" s="57"/>
      <c r="X566" s="57"/>
      <c r="Y566" s="57"/>
      <c r="Z566" s="57"/>
    </row>
    <row r="567">
      <c r="A567" s="56" t="str">
        <f>IFERROR(__xludf.DUMMYFUNCTION("IF('AYIRA MINI MART FINAL MENU - Pr'!A567="""", """", IF(LEN(IFERROR(TRIM(REGEXREPLACE(TRIM(REGEXEXTRACT('AYIRA MINI MART FINAL MENU - Pr'!A567, ""^[^\x{0600}-\x{06FF}]+"")), ""[-–]+$"", """")), """"))&gt;0, IFERROR(TRIM(REGEXREPLACE(TRIM(REGEXEXTRACT('AYIRA"&amp;" MINI MART FINAL MENU - Pr'!A567, ""^[^\x{0600}-\x{06FF}]+"")), ""[-–]+$"", """")), """"), GOOGLETRANSLATE('AYIRA MINI MART FINAL MENU - Pr'!A567, ""ar"", ""en"")))"),"Nice Lightly Salted Natural Potato Chips 80 g – Nice Lightly")</f>
        <v>Nice Lightly Salted Natural Potato Chips 80 g – Nice Lightly</v>
      </c>
      <c r="B567" s="56" t="str">
        <f>IFERROR(__xludf.DUMMYFUNCTION("IF('AYIRA MINI MART FINAL MENU - Pr'!B567="""", """", IF(LEN(IFERROR(TRIM(REGEXREPLACE(TRIM(REGEXEXTRACT('AYIRA MINI MART FINAL MENU - Pr'!B567, ""^[^\x{0600}-\x{06FF}]+"")), ""[-–]+$"", """")), """"))&gt;0, IFERROR(TRIM(REGEXREPLACE(TRIM(REGEXEXTRACT('AYIRA"&amp;" MINI MART FINAL MENU - Pr'!B567, ""^[^\x{0600}-\x{06FF}]+"")), ""[-–]+$"", """")), """"), GOOGLETRANSLATE('AYIRA MINI MART FINAL MENU - Pr'!B567, ""ar"", ""en"")))"),"Chips &amp; Crisps")</f>
        <v>Chips &amp; Crisps</v>
      </c>
      <c r="C567" s="58">
        <f>IF('AYIRA MINI MART FINAL MENU - Pr'!C567="", "", 'AYIRA MINI MART FINAL MENU - Pr'!C567)</f>
        <v>4</v>
      </c>
      <c r="D567" s="56" t="str">
        <f>IFERROR(__xludf.DUMMYFUNCTION("IF('AYIRA MINI MART FINAL MENU - Pr'!D567="""", """", GOOGLETRANSLATE('AYIRA MINI MART FINAL MENU - Pr'!D567, ""ar"", ""en""))"),"Don't be able to resist the taste of Nice Lightly Salted Natural Potato Chips 80g, your perfect companion for relaxing and watching the game. Their unique crunch and varied flavors make every handful a delightful experience. Prepared with the finest ingre"&amp;"dients using the latest manufacturing techniques to ensure an unparalleled taste. Ideal as a snack for adults and children alike between meals. Aira Mini Mart offers them in the perfect size and flavor for you.")</f>
        <v>Don't be able to resist the taste of Nice Lightly Salted Natural Potato Chips 80g,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67" s="56" t="str">
        <f>IF('AYIRA MINI MART FINAL MENU - Pr'!K567="", "", 'AYIRA MINI MART FINAL MENU - Pr'!K567)</f>
        <v/>
      </c>
      <c r="F567" s="56"/>
      <c r="G567" s="56"/>
      <c r="H567" s="56"/>
      <c r="I567" s="56"/>
      <c r="J567" s="56"/>
      <c r="L567" s="56" t="str">
        <f>IF('AYIRA MINI MART FINAL MENU - Pr'!L567="", "", 'AYIRA MINI MART FINAL MENU - Pr'!L567)</f>
        <v/>
      </c>
      <c r="M567" s="56" t="str">
        <f>IF('AYIRA MINI MART FINAL MENU - Pr'!M567="", "", 'AYIRA MINI MART FINAL MENU - Pr'!M567)</f>
        <v/>
      </c>
      <c r="N567" s="56" t="str">
        <f>IF('AYIRA MINI MART FINAL MENU - Pr'!N567="", "", 'AYIRA MINI MART FINAL MENU - Pr'!N567)</f>
        <v/>
      </c>
      <c r="O567" s="57"/>
      <c r="P567" s="57"/>
      <c r="Q567" s="57"/>
      <c r="R567" s="57"/>
      <c r="S567" s="57"/>
      <c r="T567" s="57"/>
      <c r="U567" s="57"/>
      <c r="V567" s="57"/>
      <c r="W567" s="57"/>
      <c r="X567" s="57"/>
      <c r="Y567" s="57"/>
      <c r="Z567" s="57"/>
    </row>
    <row r="568">
      <c r="A568" s="56" t="str">
        <f>IFERROR(__xludf.DUMMYFUNCTION("IF('AYIRA MINI MART FINAL MENU - Pr'!A568="""", """", IF(LEN(IFERROR(TRIM(REGEXREPLACE(TRIM(REGEXEXTRACT('AYIRA MINI MART FINAL MENU - Pr'!A568, ""^[^\x{0600}-\x{06FF}]+"")), ""[-–]+$"", """")), """"))&gt;0, IFERROR(TRIM(REGEXREPLACE(TRIM(REGEXEXTRACT('AYIRA"&amp;" MINI MART FINAL MENU - Pr'!A568, ""^[^\x{0600}-\x{06FF}]+"")), ""[-–]+$"", """")), """"), GOOGLETRANSLATE('AYIRA MINI MART FINAL MENU - Pr'!A568, ""ar"", ""en"")))"),"Chips Oman Chili Flavour 100 g")</f>
        <v>Chips Oman Chili Flavour 100 g</v>
      </c>
      <c r="B568" s="56" t="str">
        <f>IFERROR(__xludf.DUMMYFUNCTION("IF('AYIRA MINI MART FINAL MENU - Pr'!B568="""", """", IF(LEN(IFERROR(TRIM(REGEXREPLACE(TRIM(REGEXEXTRACT('AYIRA MINI MART FINAL MENU - Pr'!B568, ""^[^\x{0600}-\x{06FF}]+"")), ""[-–]+$"", """")), """"))&gt;0, IFERROR(TRIM(REGEXREPLACE(TRIM(REGEXEXTRACT('AYIRA"&amp;" MINI MART FINAL MENU - Pr'!B568, ""^[^\x{0600}-\x{06FF}]+"")), ""[-–]+$"", """")), """"), GOOGLETRANSLATE('AYIRA MINI MART FINAL MENU - Pr'!B568, ""ar"", ""en"")))"),"Chips &amp; Crisps")</f>
        <v>Chips &amp; Crisps</v>
      </c>
      <c r="C568" s="58">
        <f>IF('AYIRA MINI MART FINAL MENU - Pr'!C568="", "", 'AYIRA MINI MART FINAL MENU - Pr'!C568)</f>
        <v>6</v>
      </c>
      <c r="D568" s="56" t="str">
        <f>IFERROR(__xludf.DUMMYFUNCTION("IF('AYIRA MINI MART FINAL MENU - Pr'!D568="""", """", GOOGLETRANSLATE('AYIRA MINI MART FINAL MENU - Pr'!D568, ""ar"", ""en""))"),"Don't be able to resist the taste of Oman Chili Flavor Chips 100g, your perfect companion for relaxing and watching matches. Their unique crunch and diverse flavors make every handful a delightful experience. Prepared with the finest ingredients using the"&amp;" latest manufacturing techniques to ensure an unparalleled taste. Ideal as a snack for adults and children between meals. Aira Mini Mart offers them in the size and flavor that suits you best.")</f>
        <v>Don't be able to resist the taste of Oman Chili Flavor Chips 100g, your perfect companion for relaxing and watching matches. Their unique crunch and diverse flavors make every handful a delightful experience. Prepared with the finest ingredients using the latest manufacturing techniques to ensure an unparalleled taste. Ideal as a snack for adults and children between meals. Aira Mini Mart offers them in the size and flavor that suits you best.</v>
      </c>
      <c r="E568" s="56" t="str">
        <f>IF('AYIRA MINI MART FINAL MENU - Pr'!K568="", "", 'AYIRA MINI MART FINAL MENU - Pr'!K568)</f>
        <v/>
      </c>
      <c r="F568" s="56"/>
      <c r="G568" s="56"/>
      <c r="H568" s="56"/>
      <c r="I568" s="56"/>
      <c r="J568" s="56"/>
      <c r="L568" s="56" t="str">
        <f>IF('AYIRA MINI MART FINAL MENU - Pr'!L568="", "", 'AYIRA MINI MART FINAL MENU - Pr'!L568)</f>
        <v/>
      </c>
      <c r="M568" s="56" t="str">
        <f>IF('AYIRA MINI MART FINAL MENU - Pr'!M568="", "", 'AYIRA MINI MART FINAL MENU - Pr'!M568)</f>
        <v/>
      </c>
      <c r="N568" s="56" t="str">
        <f>IF('AYIRA MINI MART FINAL MENU - Pr'!N568="", "", 'AYIRA MINI MART FINAL MENU - Pr'!N568)</f>
        <v/>
      </c>
      <c r="O568" s="57"/>
      <c r="P568" s="57"/>
      <c r="Q568" s="57"/>
      <c r="R568" s="57"/>
      <c r="S568" s="57"/>
      <c r="T568" s="57"/>
      <c r="U568" s="57"/>
      <c r="V568" s="57"/>
      <c r="W568" s="57"/>
      <c r="X568" s="57"/>
      <c r="Y568" s="57"/>
      <c r="Z568" s="57"/>
    </row>
    <row r="569">
      <c r="A569" s="56" t="str">
        <f>IFERROR(__xludf.DUMMYFUNCTION("IF('AYIRA MINI MART FINAL MENU - Pr'!A569="""", """", IF(LEN(IFERROR(TRIM(REGEXREPLACE(TRIM(REGEXEXTRACT('AYIRA MINI MART FINAL MENU - Pr'!A569, ""^[^\x{0600}-\x{06FF}]+"")), ""[-–]+$"", """")), """"))&gt;0, IFERROR(TRIM(REGEXREPLACE(TRIM(REGEXEXTRACT('AYIRA"&amp;" MINI MART FINAL MENU - Pr'!A569, ""^[^\x{0600}-\x{06FF}]+"")), ""[-–]+$"", """")), """"), GOOGLETRANSLATE('AYIRA MINI MART FINAL MENU - Pr'!A569, ""ar"", ""en"")))"),"Salad Chips 75 g – Salad")</f>
        <v>Salad Chips 75 g – Salad</v>
      </c>
      <c r="B569" s="56" t="str">
        <f>IFERROR(__xludf.DUMMYFUNCTION("IF('AYIRA MINI MART FINAL MENU - Pr'!B569="""", """", IF(LEN(IFERROR(TRIM(REGEXREPLACE(TRIM(REGEXEXTRACT('AYIRA MINI MART FINAL MENU - Pr'!B569, ""^[^\x{0600}-\x{06FF}]+"")), ""[-–]+$"", """")), """"))&gt;0, IFERROR(TRIM(REGEXREPLACE(TRIM(REGEXEXTRACT('AYIRA"&amp;" MINI MART FINAL MENU - Pr'!B569, ""^[^\x{0600}-\x{06FF}]+"")), ""[-–]+$"", """")), """"), GOOGLETRANSLATE('AYIRA MINI MART FINAL MENU - Pr'!B569, ""ar"", ""en"")))"),"Chips &amp; Crisps")</f>
        <v>Chips &amp; Crisps</v>
      </c>
      <c r="C569" s="58">
        <f>IF('AYIRA MINI MART FINAL MENU - Pr'!C569="", "", 'AYIRA MINI MART FINAL MENU - Pr'!C569)</f>
        <v>5</v>
      </c>
      <c r="D569" s="56" t="str">
        <f>IFERROR(__xludf.DUMMYFUNCTION("IF('AYIRA MINI MART FINAL MENU - Pr'!D569="""", """", GOOGLETRANSLATE('AYIRA MINI MART FINAL MENU - Pr'!D569, ""ar"", ""en""))"),"Don't be able to resist the taste of Salad Chips 75g, your perfect companion for relaxing and watching the game. Their unique crunch and varied flavors make every handful a delightful experience. Prepared with the finest ingredients using the latest manuf"&amp;"acturing techniques to guarantee an unparalleled taste. Ideal as a snack for adults and children alike between meals. Aira Mini Mart offers them in the perfect size and flavor for you.")</f>
        <v>Don't be able to resist the taste of Salad Chips 75g,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69" s="56" t="str">
        <f>IF('AYIRA MINI MART FINAL MENU - Pr'!K569="", "", 'AYIRA MINI MART FINAL MENU - Pr'!K569)</f>
        <v/>
      </c>
      <c r="F569" s="56"/>
      <c r="G569" s="56"/>
      <c r="H569" s="56"/>
      <c r="I569" s="56"/>
      <c r="J569" s="56"/>
      <c r="L569" s="56" t="str">
        <f>IF('AYIRA MINI MART FINAL MENU - Pr'!L569="", "", 'AYIRA MINI MART FINAL MENU - Pr'!L569)</f>
        <v/>
      </c>
      <c r="M569" s="56" t="str">
        <f>IF('AYIRA MINI MART FINAL MENU - Pr'!M569="", "", 'AYIRA MINI MART FINAL MENU - Pr'!M569)</f>
        <v/>
      </c>
      <c r="N569" s="56" t="str">
        <f>IF('AYIRA MINI MART FINAL MENU - Pr'!N569="", "", 'AYIRA MINI MART FINAL MENU - Pr'!N569)</f>
        <v/>
      </c>
      <c r="O569" s="57"/>
      <c r="P569" s="57"/>
      <c r="Q569" s="57"/>
      <c r="R569" s="57"/>
      <c r="S569" s="57"/>
      <c r="T569" s="57"/>
      <c r="U569" s="57"/>
      <c r="V569" s="57"/>
      <c r="W569" s="57"/>
      <c r="X569" s="57"/>
      <c r="Y569" s="57"/>
      <c r="Z569" s="57"/>
    </row>
    <row r="570">
      <c r="A570" s="56" t="str">
        <f>IFERROR(__xludf.DUMMYFUNCTION("IF('AYIRA MINI MART FINAL MENU - Pr'!A570="""", """", IF(LEN(IFERROR(TRIM(REGEXREPLACE(TRIM(REGEXEXTRACT('AYIRA MINI MART FINAL MENU - Pr'!A570, ""^[^\x{0600}-\x{06FF}]+"")), ""[-–]+$"", """")), """"))&gt;0, IFERROR(TRIM(REGEXREPLACE(TRIM(REGEXEXTRACT('AYIRA"&amp;" MINI MART FINAL MENU - Pr'!A570, ""^[^\x{0600}-\x{06FF}]+"")), ""[-–]+$"", """")), """"), GOOGLETRANSLATE('AYIRA MINI MART FINAL MENU - Pr'!A570, ""ar"", ""en"")))"),"Molto Chips Cheese Flavour 70 g – Molto")</f>
        <v>Molto Chips Cheese Flavour 70 g – Molto</v>
      </c>
      <c r="B570" s="56" t="str">
        <f>IFERROR(__xludf.DUMMYFUNCTION("IF('AYIRA MINI MART FINAL MENU - Pr'!B570="""", """", IF(LEN(IFERROR(TRIM(REGEXREPLACE(TRIM(REGEXEXTRACT('AYIRA MINI MART FINAL MENU - Pr'!B570, ""^[^\x{0600}-\x{06FF}]+"")), ""[-–]+$"", """")), """"))&gt;0, IFERROR(TRIM(REGEXREPLACE(TRIM(REGEXEXTRACT('AYIRA"&amp;" MINI MART FINAL MENU - Pr'!B570, ""^[^\x{0600}-\x{06FF}]+"")), ""[-–]+$"", """")), """"), GOOGLETRANSLATE('AYIRA MINI MART FINAL MENU - Pr'!B570, ""ar"", ""en"")))"),"Chips &amp; Crisps")</f>
        <v>Chips &amp; Crisps</v>
      </c>
      <c r="C570" s="58">
        <f>IF('AYIRA MINI MART FINAL MENU - Pr'!C570="", "", 'AYIRA MINI MART FINAL MENU - Pr'!C570)</f>
        <v>3.5</v>
      </c>
      <c r="D570" s="56" t="str">
        <f>IFERROR(__xludf.DUMMYFUNCTION("IF('AYIRA MINI MART FINAL MENU - Pr'!D570="""", """", GOOGLETRANSLATE('AYIRA MINI MART FINAL MENU - Pr'!D570, ""ar"", ""en""))"),"Don't be able to resist the taste of Molto Chips Cheese Flavor 70g, your perfect companion for relaxing and watching the game. Their unique crunch and varied flavors make every handful a delightful experience. Prepared with the finest ingredients using th"&amp;"e latest manufacturing techniques to guarantee an unparalleled taste. Ideal as a snack for adults and children alike between meals. Aira Mini Mart offers them in the perfect size and flavor for you.")</f>
        <v>Don't be able to resist the taste of Molto Chips Cheese Flavor 70g,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70" s="56" t="str">
        <f>IF('AYIRA MINI MART FINAL MENU - Pr'!K570="", "", 'AYIRA MINI MART FINAL MENU - Pr'!K570)</f>
        <v/>
      </c>
      <c r="F570" s="56"/>
      <c r="G570" s="56"/>
      <c r="H570" s="56"/>
      <c r="I570" s="56"/>
      <c r="J570" s="56"/>
      <c r="L570" s="56" t="str">
        <f>IF('AYIRA MINI MART FINAL MENU - Pr'!L570="", "", 'AYIRA MINI MART FINAL MENU - Pr'!L570)</f>
        <v/>
      </c>
      <c r="M570" s="56" t="str">
        <f>IF('AYIRA MINI MART FINAL MENU - Pr'!M570="", "", 'AYIRA MINI MART FINAL MENU - Pr'!M570)</f>
        <v/>
      </c>
      <c r="N570" s="56" t="str">
        <f>IF('AYIRA MINI MART FINAL MENU - Pr'!N570="", "", 'AYIRA MINI MART FINAL MENU - Pr'!N570)</f>
        <v/>
      </c>
      <c r="O570" s="57"/>
      <c r="P570" s="57"/>
      <c r="Q570" s="57"/>
      <c r="R570" s="57"/>
      <c r="S570" s="57"/>
      <c r="T570" s="57"/>
      <c r="U570" s="57"/>
      <c r="V570" s="57"/>
      <c r="W570" s="57"/>
      <c r="X570" s="57"/>
      <c r="Y570" s="57"/>
      <c r="Z570" s="57"/>
    </row>
    <row r="571">
      <c r="A571" s="56" t="str">
        <f>IFERROR(__xludf.DUMMYFUNCTION("IF('AYIRA MINI MART FINAL MENU - Pr'!A571="""", """", IF(LEN(IFERROR(TRIM(REGEXREPLACE(TRIM(REGEXEXTRACT('AYIRA MINI MART FINAL MENU - Pr'!A571, ""^[^\x{0600}-\x{06FF}]+"")), ""[-–]+$"", """")), """"))&gt;0, IFERROR(TRIM(REGEXREPLACE(TRIM(REGEXEXTRACT('AYIRA"&amp;" MINI MART FINAL MENU - Pr'!A571, ""^[^\x{0600}-\x{06FF}]+"")), ""[-–]+$"", """")), """"), GOOGLETRANSLATE('AYIRA MINI MART FINAL MENU - Pr'!A571, ""ar"", ""en"")))"),"Molto Chips Barbecue Flavour 70 g – Molto")</f>
        <v>Molto Chips Barbecue Flavour 70 g – Molto</v>
      </c>
      <c r="B571" s="56" t="str">
        <f>IFERROR(__xludf.DUMMYFUNCTION("IF('AYIRA MINI MART FINAL MENU - Pr'!B571="""", """", IF(LEN(IFERROR(TRIM(REGEXREPLACE(TRIM(REGEXEXTRACT('AYIRA MINI MART FINAL MENU - Pr'!B571, ""^[^\x{0600}-\x{06FF}]+"")), ""[-–]+$"", """")), """"))&gt;0, IFERROR(TRIM(REGEXREPLACE(TRIM(REGEXEXTRACT('AYIRA"&amp;" MINI MART FINAL MENU - Pr'!B571, ""^[^\x{0600}-\x{06FF}]+"")), ""[-–]+$"", """")), """"), GOOGLETRANSLATE('AYIRA MINI MART FINAL MENU - Pr'!B571, ""ar"", ""en"")))"),"Chips &amp; Crisps")</f>
        <v>Chips &amp; Crisps</v>
      </c>
      <c r="C571" s="58">
        <f>IF('AYIRA MINI MART FINAL MENU - Pr'!C571="", "", 'AYIRA MINI MART FINAL MENU - Pr'!C571)</f>
        <v>3.5</v>
      </c>
      <c r="D571" s="56" t="str">
        <f>IFERROR(__xludf.DUMMYFUNCTION("IF('AYIRA MINI MART FINAL MENU - Pr'!D571="""", """", GOOGLETRANSLATE('AYIRA MINI MART FINAL MENU - Pr'!D571, ""ar"", ""en""))"),"Don't be able to resist the taste of Molto Chips Barbecue Flavor 70g, your perfect companion for relaxing and watching the game. Their unique crunch and varied flavors make every handful a delightful experience. Prepared with the finest ingredients using "&amp;"the latest manufacturing techniques to guarantee an unparalleled taste. Ideal as a snack for adults and children alike between meals. Aira Mini Mart offers them in the perfect size and flavor for you.")</f>
        <v>Don't be able to resist the taste of Molto Chips Barbecue Flavor 70g,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71" s="56" t="str">
        <f>IF('AYIRA MINI MART FINAL MENU - Pr'!K571="", "", 'AYIRA MINI MART FINAL MENU - Pr'!K571)</f>
        <v/>
      </c>
      <c r="F571" s="56"/>
      <c r="G571" s="56"/>
      <c r="H571" s="56"/>
      <c r="I571" s="56"/>
      <c r="J571" s="56"/>
      <c r="L571" s="56" t="str">
        <f>IF('AYIRA MINI MART FINAL MENU - Pr'!L571="", "", 'AYIRA MINI MART FINAL MENU - Pr'!L571)</f>
        <v/>
      </c>
      <c r="M571" s="56" t="str">
        <f>IF('AYIRA MINI MART FINAL MENU - Pr'!M571="", "", 'AYIRA MINI MART FINAL MENU - Pr'!M571)</f>
        <v/>
      </c>
      <c r="N571" s="56" t="str">
        <f>IF('AYIRA MINI MART FINAL MENU - Pr'!N571="", "", 'AYIRA MINI MART FINAL MENU - Pr'!N571)</f>
        <v/>
      </c>
      <c r="O571" s="57"/>
      <c r="P571" s="57"/>
      <c r="Q571" s="57"/>
      <c r="R571" s="57"/>
      <c r="S571" s="57"/>
      <c r="T571" s="57"/>
      <c r="U571" s="57"/>
      <c r="V571" s="57"/>
      <c r="W571" s="57"/>
      <c r="X571" s="57"/>
      <c r="Y571" s="57"/>
      <c r="Z571" s="57"/>
    </row>
    <row r="572">
      <c r="A572" s="56" t="str">
        <f>IFERROR(__xludf.DUMMYFUNCTION("IF('AYIRA MINI MART FINAL MENU - Pr'!A572="""", """", IF(LEN(IFERROR(TRIM(REGEXREPLACE(TRIM(REGEXEXTRACT('AYIRA MINI MART FINAL MENU - Pr'!A572, ""^[^\x{0600}-\x{06FF}]+"")), ""[-–]+$"", """")), """"))&gt;0, IFERROR(TRIM(REGEXREPLACE(TRIM(REGEXEXTRACT('AYIRA"&amp;" MINI MART FINAL MENU - Pr'!A572, ""^[^\x{0600}-\x{06FF}]+"")), ""[-–]+$"", """")), """"), GOOGLETRANSLATE('AYIRA MINI MART FINAL MENU - Pr'!A572, ""ar"", ""en"")))"),"Molto Chips Chilli &amp; Lemon Flavour 70 g – Molto")</f>
        <v>Molto Chips Chilli &amp; Lemon Flavour 70 g – Molto</v>
      </c>
      <c r="B572" s="56" t="str">
        <f>IFERROR(__xludf.DUMMYFUNCTION("IF('AYIRA MINI MART FINAL MENU - Pr'!B572="""", """", IF(LEN(IFERROR(TRIM(REGEXREPLACE(TRIM(REGEXEXTRACT('AYIRA MINI MART FINAL MENU - Pr'!B572, ""^[^\x{0600}-\x{06FF}]+"")), ""[-–]+$"", """")), """"))&gt;0, IFERROR(TRIM(REGEXREPLACE(TRIM(REGEXEXTRACT('AYIRA"&amp;" MINI MART FINAL MENU - Pr'!B572, ""^[^\x{0600}-\x{06FF}]+"")), ""[-–]+$"", """")), """"), GOOGLETRANSLATE('AYIRA MINI MART FINAL MENU - Pr'!B572, ""ar"", ""en"")))"),"Chips &amp; Crisps")</f>
        <v>Chips &amp; Crisps</v>
      </c>
      <c r="C572" s="58">
        <f>IF('AYIRA MINI MART FINAL MENU - Pr'!C572="", "", 'AYIRA MINI MART FINAL MENU - Pr'!C572)</f>
        <v>3.5</v>
      </c>
      <c r="D572" s="56" t="str">
        <f>IFERROR(__xludf.DUMMYFUNCTION("IF('AYIRA MINI MART FINAL MENU - Pr'!D572="""", """", GOOGLETRANSLATE('AYIRA MINI MART FINAL MENU - Pr'!D572, ""ar"", ""en""))"),"Don't be able to resist the taste of Molto Chips Chilli &amp; Lemon Flavor 70g, your perfect companion for relaxing and watching the game. Their unique crunch and varied flavors make every handful a delightful experience. Prepared with the finest ingredients "&amp;"using the latest manufacturing techniques to ensure an unparalleled taste. Ideal as a snack for adults and children alike between meals. Aira Mini Mart offers them in the perfect size and flavor for you.")</f>
        <v>Don't be able to resist the taste of Molto Chips Chilli &amp; Lemon Flavor 70g,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72" s="56" t="str">
        <f>IF('AYIRA MINI MART FINAL MENU - Pr'!K572="", "", 'AYIRA MINI MART FINAL MENU - Pr'!K572)</f>
        <v/>
      </c>
      <c r="F572" s="56"/>
      <c r="G572" s="56"/>
      <c r="H572" s="56"/>
      <c r="I572" s="56"/>
      <c r="J572" s="56"/>
      <c r="L572" s="56" t="str">
        <f>IF('AYIRA MINI MART FINAL MENU - Pr'!L572="", "", 'AYIRA MINI MART FINAL MENU - Pr'!L572)</f>
        <v/>
      </c>
      <c r="M572" s="56" t="str">
        <f>IF('AYIRA MINI MART FINAL MENU - Pr'!M572="", "", 'AYIRA MINI MART FINAL MENU - Pr'!M572)</f>
        <v/>
      </c>
      <c r="N572" s="56" t="str">
        <f>IF('AYIRA MINI MART FINAL MENU - Pr'!N572="", "", 'AYIRA MINI MART FINAL MENU - Pr'!N572)</f>
        <v/>
      </c>
      <c r="O572" s="57"/>
      <c r="P572" s="57"/>
      <c r="Q572" s="57"/>
      <c r="R572" s="57"/>
      <c r="S572" s="57"/>
      <c r="T572" s="57"/>
      <c r="U572" s="57"/>
      <c r="V572" s="57"/>
      <c r="W572" s="57"/>
      <c r="X572" s="57"/>
      <c r="Y572" s="57"/>
      <c r="Z572" s="57"/>
    </row>
    <row r="573">
      <c r="A573" s="56" t="str">
        <f>IFERROR(__xludf.DUMMYFUNCTION("IF('AYIRA MINI MART FINAL MENU - Pr'!A573="""", """", IF(LEN(IFERROR(TRIM(REGEXREPLACE(TRIM(REGEXEXTRACT('AYIRA MINI MART FINAL MENU - Pr'!A573, ""^[^\x{0600}-\x{06FF}]+"")), ""[-–]+$"", """")), """"))&gt;0, IFERROR(TRIM(REGEXREPLACE(TRIM(REGEXEXTRACT('AYIRA"&amp;" MINI MART FINAL MENU - Pr'!A573, ""^[^\x{0600}-\x{06FF}]+"")), ""[-–]+$"", """")), """"), GOOGLETRANSLATE('AYIRA MINI MART FINAL MENU - Pr'!A573, ""ar"", ""en"")))"),"Molto Chips Salt Flavour 70 g – Molto")</f>
        <v>Molto Chips Salt Flavour 70 g – Molto</v>
      </c>
      <c r="B573" s="56" t="str">
        <f>IFERROR(__xludf.DUMMYFUNCTION("IF('AYIRA MINI MART FINAL MENU - Pr'!B573="""", """", IF(LEN(IFERROR(TRIM(REGEXREPLACE(TRIM(REGEXEXTRACT('AYIRA MINI MART FINAL MENU - Pr'!B573, ""^[^\x{0600}-\x{06FF}]+"")), ""[-–]+$"", """")), """"))&gt;0, IFERROR(TRIM(REGEXREPLACE(TRIM(REGEXEXTRACT('AYIRA"&amp;" MINI MART FINAL MENU - Pr'!B573, ""^[^\x{0600}-\x{06FF}]+"")), ""[-–]+$"", """")), """"), GOOGLETRANSLATE('AYIRA MINI MART FINAL MENU - Pr'!B573, ""ar"", ""en"")))"),"Chips &amp; Crisps")</f>
        <v>Chips &amp; Crisps</v>
      </c>
      <c r="C573" s="58">
        <f>IF('AYIRA MINI MART FINAL MENU - Pr'!C573="", "", 'AYIRA MINI MART FINAL MENU - Pr'!C573)</f>
        <v>3.5</v>
      </c>
      <c r="D573" s="56" t="str">
        <f>IFERROR(__xludf.DUMMYFUNCTION("IF('AYIRA MINI MART FINAL MENU - Pr'!D573="""", """", GOOGLETRANSLATE('AYIRA MINI MART FINAL MENU - Pr'!D573, ""ar"", ""en""))"),"Don't be able to resist the taste of Molto Chips Salt Flavor 70g, your perfect companion for relaxing and watching the game. Their unique crunch and varied flavors make every handful a delightful experience. Prepared with the finest ingredients using the "&amp;"latest manufacturing techniques to guarantee an unparalleled taste. Ideal as a snack for adults and children alike between meals. Aira Mini Mart offers them in the perfect size and flavor for you.")</f>
        <v>Don't be able to resist the taste of Molto Chips Salt Flavor 70g,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73" s="56" t="str">
        <f>IF('AYIRA MINI MART FINAL MENU - Pr'!K573="", "", 'AYIRA MINI MART FINAL MENU - Pr'!K573)</f>
        <v/>
      </c>
      <c r="F573" s="56"/>
      <c r="G573" s="56"/>
      <c r="H573" s="56"/>
      <c r="I573" s="56"/>
      <c r="J573" s="56"/>
      <c r="L573" s="56" t="str">
        <f>IF('AYIRA MINI MART FINAL MENU - Pr'!L573="", "", 'AYIRA MINI MART FINAL MENU - Pr'!L573)</f>
        <v/>
      </c>
      <c r="M573" s="56" t="str">
        <f>IF('AYIRA MINI MART FINAL MENU - Pr'!M573="", "", 'AYIRA MINI MART FINAL MENU - Pr'!M573)</f>
        <v/>
      </c>
      <c r="N573" s="56" t="str">
        <f>IF('AYIRA MINI MART FINAL MENU - Pr'!N573="", "", 'AYIRA MINI MART FINAL MENU - Pr'!N573)</f>
        <v/>
      </c>
      <c r="O573" s="57"/>
      <c r="P573" s="57"/>
      <c r="Q573" s="57"/>
      <c r="R573" s="57"/>
      <c r="S573" s="57"/>
      <c r="T573" s="57"/>
      <c r="U573" s="57"/>
      <c r="V573" s="57"/>
      <c r="W573" s="57"/>
      <c r="X573" s="57"/>
      <c r="Y573" s="57"/>
      <c r="Z573" s="57"/>
    </row>
    <row r="574">
      <c r="A574" s="56" t="str">
        <f>IFERROR(__xludf.DUMMYFUNCTION("IF('AYIRA MINI MART FINAL MENU - Pr'!A574="""", """", IF(LEN(IFERROR(TRIM(REGEXREPLACE(TRIM(REGEXEXTRACT('AYIRA MINI MART FINAL MENU - Pr'!A574, ""^[^\x{0600}-\x{06FF}]+"")), ""[-–]+$"", """")), """"))&gt;0, IFERROR(TRIM(REGEXREPLACE(TRIM(REGEXEXTRACT('AYIRA"&amp;" MINI MART FINAL MENU - Pr'!A574, ""^[^\x{0600}-\x{06FF}]+"")), ""[-–]+$"", """")), """"), GOOGLETRANSLATE('AYIRA MINI MART FINAL MENU - Pr'!A574, ""ar"", ""en"")))"),"Molto Chips Ketchup Flavour 70 g – Molto")</f>
        <v>Molto Chips Ketchup Flavour 70 g – Molto</v>
      </c>
      <c r="B574" s="56" t="str">
        <f>IFERROR(__xludf.DUMMYFUNCTION("IF('AYIRA MINI MART FINAL MENU - Pr'!B574="""", """", IF(LEN(IFERROR(TRIM(REGEXREPLACE(TRIM(REGEXEXTRACT('AYIRA MINI MART FINAL MENU - Pr'!B574, ""^[^\x{0600}-\x{06FF}]+"")), ""[-–]+$"", """")), """"))&gt;0, IFERROR(TRIM(REGEXREPLACE(TRIM(REGEXEXTRACT('AYIRA"&amp;" MINI MART FINAL MENU - Pr'!B574, ""^[^\x{0600}-\x{06FF}]+"")), ""[-–]+$"", """")), """"), GOOGLETRANSLATE('AYIRA MINI MART FINAL MENU - Pr'!B574, ""ar"", ""en"")))"),"Chips &amp; Crisps")</f>
        <v>Chips &amp; Crisps</v>
      </c>
      <c r="C574" s="58">
        <f>IF('AYIRA MINI MART FINAL MENU - Pr'!C574="", "", 'AYIRA MINI MART FINAL MENU - Pr'!C574)</f>
        <v>3.5</v>
      </c>
      <c r="D574" s="56" t="str">
        <f>IFERROR(__xludf.DUMMYFUNCTION("IF('AYIRA MINI MART FINAL MENU - Pr'!D574="""", """", GOOGLETRANSLATE('AYIRA MINI MART FINAL MENU - Pr'!D574, ""ar"", ""en""))"),"Don't be able to resist the taste of Molto Chips Ketchup Flavor 70g, your perfect companion for relaxing and watching the game. Their unique crunch and varied flavors make every handful a delightful experience. Prepared with the finest ingredients using t"&amp;"he latest manufacturing techniques to ensure an unparalleled taste. Ideal as a snack for adults and children between meals. Aira Mini Mart offers them in the perfect size and flavor for you.")</f>
        <v>Don't be able to resist the taste of Molto Chips Ketchup Flavor 70g,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perfect size and flavor for you.</v>
      </c>
      <c r="E574" s="56" t="str">
        <f>IF('AYIRA MINI MART FINAL MENU - Pr'!K574="", "", 'AYIRA MINI MART FINAL MENU - Pr'!K574)</f>
        <v/>
      </c>
      <c r="F574" s="56"/>
      <c r="G574" s="56"/>
      <c r="H574" s="56"/>
      <c r="I574" s="56"/>
      <c r="J574" s="56"/>
      <c r="L574" s="56" t="str">
        <f>IF('AYIRA MINI MART FINAL MENU - Pr'!L574="", "", 'AYIRA MINI MART FINAL MENU - Pr'!L574)</f>
        <v/>
      </c>
      <c r="M574" s="56" t="str">
        <f>IF('AYIRA MINI MART FINAL MENU - Pr'!M574="", "", 'AYIRA MINI MART FINAL MENU - Pr'!M574)</f>
        <v/>
      </c>
      <c r="N574" s="56" t="str">
        <f>IF('AYIRA MINI MART FINAL MENU - Pr'!N574="", "", 'AYIRA MINI MART FINAL MENU - Pr'!N574)</f>
        <v/>
      </c>
      <c r="O574" s="57"/>
      <c r="P574" s="57"/>
      <c r="Q574" s="57"/>
      <c r="R574" s="57"/>
      <c r="S574" s="57"/>
      <c r="T574" s="57"/>
      <c r="U574" s="57"/>
      <c r="V574" s="57"/>
      <c r="W574" s="57"/>
      <c r="X574" s="57"/>
      <c r="Y574" s="57"/>
      <c r="Z574" s="57"/>
    </row>
    <row r="575">
      <c r="A575" s="56" t="str">
        <f>IFERROR(__xludf.DUMMYFUNCTION("IF('AYIRA MINI MART FINAL MENU - Pr'!A575="""", """", IF(LEN(IFERROR(TRIM(REGEXREPLACE(TRIM(REGEXEXTRACT('AYIRA MINI MART FINAL MENU - Pr'!A575, ""^[^\x{0600}-\x{06FF}]+"")), ""[-–]+$"", """")), """"))&gt;0, IFERROR(TRIM(REGEXREPLACE(TRIM(REGEXEXTRACT('AYIRA"&amp;" MINI MART FINAL MENU - Pr'!A575, ""^[^\x{0600}-\x{06FF}]+"")), ""[-–]+$"", """")), """"), GOOGLETRANSLATE('AYIRA MINI MART FINAL MENU - Pr'!A575, ""ar"", ""en"")))"),"Karkish Natural Potato Chips Barbecue Flavour 40 g – Karkish")</f>
        <v>Karkish Natural Potato Chips Barbecue Flavour 40 g – Karkish</v>
      </c>
      <c r="B575" s="56" t="str">
        <f>IFERROR(__xludf.DUMMYFUNCTION("IF('AYIRA MINI MART FINAL MENU - Pr'!B575="""", """", IF(LEN(IFERROR(TRIM(REGEXREPLACE(TRIM(REGEXEXTRACT('AYIRA MINI MART FINAL MENU - Pr'!B575, ""^[^\x{0600}-\x{06FF}]+"")), ""[-–]+$"", """")), """"))&gt;0, IFERROR(TRIM(REGEXREPLACE(TRIM(REGEXEXTRACT('AYIRA"&amp;" MINI MART FINAL MENU - Pr'!B575, ""^[^\x{0600}-\x{06FF}]+"")), ""[-–]+$"", """")), """"), GOOGLETRANSLATE('AYIRA MINI MART FINAL MENU - Pr'!B575, ""ar"", ""en"")))"),"Chips &amp; Crisps")</f>
        <v>Chips &amp; Crisps</v>
      </c>
      <c r="C575" s="58">
        <f>IF('AYIRA MINI MART FINAL MENU - Pr'!C575="", "", 'AYIRA MINI MART FINAL MENU - Pr'!C575)</f>
        <v>3.5</v>
      </c>
      <c r="D575" s="56" t="str">
        <f>IFERROR(__xludf.DUMMYFUNCTION("IF('AYIRA MINI MART FINAL MENU - Pr'!D575="""", """", GOOGLETRANSLATE('AYIRA MINI MART FINAL MENU - Pr'!D575, ""ar"", ""en""))"),"Don't be able to resist the taste of Karkish Natural Potato Chips Barbecue Flavor 40g, your perfect companion for relaxing and watching the game. Their unique crunch and varied flavors make every handful a delightful experience. Prepared with the finest i"&amp;"ngredients using the latest manufacturing techniques to ensure an unparalleled taste. Ideal as a snack for adults and children alike between meals. Aira Mini Mart offers them in the perfect size and flavor for you.")</f>
        <v>Don't be able to resist the taste of Karkish Natural Potato Chips Barbecue Flavor 40g,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75" s="56" t="str">
        <f>IF('AYIRA MINI MART FINAL MENU - Pr'!K575="", "", 'AYIRA MINI MART FINAL MENU - Pr'!K575)</f>
        <v/>
      </c>
      <c r="F575" s="56"/>
      <c r="G575" s="56"/>
      <c r="H575" s="56"/>
      <c r="I575" s="56"/>
      <c r="J575" s="56"/>
      <c r="L575" s="56" t="str">
        <f>IF('AYIRA MINI MART FINAL MENU - Pr'!L575="", "", 'AYIRA MINI MART FINAL MENU - Pr'!L575)</f>
        <v/>
      </c>
      <c r="M575" s="56" t="str">
        <f>IF('AYIRA MINI MART FINAL MENU - Pr'!M575="", "", 'AYIRA MINI MART FINAL MENU - Pr'!M575)</f>
        <v/>
      </c>
      <c r="N575" s="56" t="str">
        <f>IF('AYIRA MINI MART FINAL MENU - Pr'!N575="", "", 'AYIRA MINI MART FINAL MENU - Pr'!N575)</f>
        <v/>
      </c>
      <c r="O575" s="57"/>
      <c r="P575" s="57"/>
      <c r="Q575" s="57"/>
      <c r="R575" s="57"/>
      <c r="S575" s="57"/>
      <c r="T575" s="57"/>
      <c r="U575" s="57"/>
      <c r="V575" s="57"/>
      <c r="W575" s="57"/>
      <c r="X575" s="57"/>
      <c r="Y575" s="57"/>
      <c r="Z575" s="57"/>
    </row>
    <row r="576">
      <c r="A576" s="56" t="str">
        <f>IFERROR(__xludf.DUMMYFUNCTION("IF('AYIRA MINI MART FINAL MENU - Pr'!A576="""", """", IF(LEN(IFERROR(TRIM(REGEXREPLACE(TRIM(REGEXEXTRACT('AYIRA MINI MART FINAL MENU - Pr'!A576, ""^[^\x{0600}-\x{06FF}]+"")), ""[-–]+$"", """")), """"))&gt;0, IFERROR(TRIM(REGEXREPLACE(TRIM(REGEXEXTRACT('AYIRA"&amp;" MINI MART FINAL MENU - Pr'!A576, ""^[^\x{0600}-\x{06FF}]+"")), ""[-–]+$"", """")), """"), GOOGLETRANSLATE('AYIRA MINI MART FINAL MENU - Pr'!A576, ""ar"", ""en"")))"),"Takis Fuego Hot Chili Pepper &amp; Lime Tortilla Chips, Artificially Flavoured 113.4 g – Takis Fuego")</f>
        <v>Takis Fuego Hot Chili Pepper &amp; Lime Tortilla Chips, Artificially Flavoured 113.4 g – Takis Fuego</v>
      </c>
      <c r="B576" s="56" t="str">
        <f>IFERROR(__xludf.DUMMYFUNCTION("IF('AYIRA MINI MART FINAL MENU - Pr'!B576="""", """", IF(LEN(IFERROR(TRIM(REGEXREPLACE(TRIM(REGEXEXTRACT('AYIRA MINI MART FINAL MENU - Pr'!B576, ""^[^\x{0600}-\x{06FF}]+"")), ""[-–]+$"", """")), """"))&gt;0, IFERROR(TRIM(REGEXREPLACE(TRIM(REGEXEXTRACT('AYIRA"&amp;" MINI MART FINAL MENU - Pr'!B576, ""^[^\x{0600}-\x{06FF}]+"")), ""[-–]+$"", """")), """"), GOOGLETRANSLATE('AYIRA MINI MART FINAL MENU - Pr'!B576, ""ar"", ""en"")))"),"Chips &amp; Crisps")</f>
        <v>Chips &amp; Crisps</v>
      </c>
      <c r="C576" s="58">
        <f>IF('AYIRA MINI MART FINAL MENU - Pr'!C576="", "", 'AYIRA MINI MART FINAL MENU - Pr'!C576)</f>
        <v>14</v>
      </c>
      <c r="D576" s="56" t="str">
        <f>IFERROR(__xludf.DUMMYFUNCTION("IF('AYIRA MINI MART FINAL MENU - Pr'!D576="""", """", GOOGLETRANSLATE('AYIRA MINI MART FINAL MENU - Pr'!D576, ""ar"", ""en""))"),"Don't be able to resist the taste of Takis Fuego Hot Chili Pepper &amp; Lime Tortilla Chips, Artificially Flavored 113.4g, your perfect companion for relaxing and watching the game. Their unique crunch and varied flavors make every handful a delightful experi"&amp;"ence. Prepared with the finest ingredients using the latest manufacturing techniques to ensure an unparalleled taste. Ideal as a snack for adults and children alike between meals. Aira Mini Mart offers them in the perfect size and flavor for you.")</f>
        <v>Don't be able to resist the taste of Takis Fuego Hot Chili Pepper &amp; Lime Tortilla Chips, Artificially Flavored 113.4g,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76" s="56" t="str">
        <f>IF('AYIRA MINI MART FINAL MENU - Pr'!K576="", "", 'AYIRA MINI MART FINAL MENU - Pr'!K576)</f>
        <v/>
      </c>
      <c r="F576" s="56"/>
      <c r="G576" s="56"/>
      <c r="H576" s="56"/>
      <c r="I576" s="56"/>
      <c r="J576" s="56"/>
      <c r="L576" s="56" t="str">
        <f>IF('AYIRA MINI MART FINAL MENU - Pr'!L576="", "", 'AYIRA MINI MART FINAL MENU - Pr'!L576)</f>
        <v/>
      </c>
      <c r="M576" s="56" t="str">
        <f>IF('AYIRA MINI MART FINAL MENU - Pr'!M576="", "", 'AYIRA MINI MART FINAL MENU - Pr'!M576)</f>
        <v/>
      </c>
      <c r="N576" s="56" t="str">
        <f>IF('AYIRA MINI MART FINAL MENU - Pr'!N576="", "", 'AYIRA MINI MART FINAL MENU - Pr'!N576)</f>
        <v/>
      </c>
      <c r="O576" s="57"/>
      <c r="P576" s="57"/>
      <c r="Q576" s="57"/>
      <c r="R576" s="57"/>
      <c r="S576" s="57"/>
      <c r="T576" s="57"/>
      <c r="U576" s="57"/>
      <c r="V576" s="57"/>
      <c r="W576" s="57"/>
      <c r="X576" s="57"/>
      <c r="Y576" s="57"/>
      <c r="Z576" s="57"/>
    </row>
    <row r="577">
      <c r="A577" s="56" t="str">
        <f>IFERROR(__xludf.DUMMYFUNCTION("IF('AYIRA MINI MART FINAL MENU - Pr'!A577="""", """", IF(LEN(IFERROR(TRIM(REGEXREPLACE(TRIM(REGEXEXTRACT('AYIRA MINI MART FINAL MENU - Pr'!A577, ""^[^\x{0600}-\x{06FF}]+"")), ""[-–]+$"", """")), """"))&gt;0, IFERROR(TRIM(REGEXREPLACE(TRIM(REGEXEXTRACT('AYIRA"&amp;" MINI MART FINAL MENU - Pr'!A577, ""^[^\x{0600}-\x{06FF}]+"")), ""[-–]+$"", """")), """"), GOOGLETRANSLATE('AYIRA MINI MART FINAL MENU - Pr'!A577, ""ar"", ""en"")))"),"Takis Zombie Habanero &amp; Cucumber Tortilla Chips, Artificially Flavoured 92.3 g – Takis Zombie Habanero &amp; Cucumber Tortilla Chips, Artificially Flavoured 92.3")</f>
        <v>Takis Zombie Habanero &amp; Cucumber Tortilla Chips, Artificially Flavoured 92.3 g – Takis Zombie Habanero &amp; Cucumber Tortilla Chips, Artificially Flavoured 92.3</v>
      </c>
      <c r="B577" s="56" t="str">
        <f>IFERROR(__xludf.DUMMYFUNCTION("IF('AYIRA MINI MART FINAL MENU - Pr'!B577="""", """", IF(LEN(IFERROR(TRIM(REGEXREPLACE(TRIM(REGEXEXTRACT('AYIRA MINI MART FINAL MENU - Pr'!B577, ""^[^\x{0600}-\x{06FF}]+"")), ""[-–]+$"", """")), """"))&gt;0, IFERROR(TRIM(REGEXREPLACE(TRIM(REGEXEXTRACT('AYIRA"&amp;" MINI MART FINAL MENU - Pr'!B577, ""^[^\x{0600}-\x{06FF}]+"")), ""[-–]+$"", """")), """"), GOOGLETRANSLATE('AYIRA MINI MART FINAL MENU - Pr'!B577, ""ar"", ""en"")))"),"Chips &amp; Crisps")</f>
        <v>Chips &amp; Crisps</v>
      </c>
      <c r="C577" s="58">
        <f>IF('AYIRA MINI MART FINAL MENU - Pr'!C577="", "", 'AYIRA MINI MART FINAL MENU - Pr'!C577)</f>
        <v>14</v>
      </c>
      <c r="D577" s="56" t="str">
        <f>IFERROR(__xludf.DUMMYFUNCTION("IF('AYIRA MINI MART FINAL MENU - Pr'!D577="""", """", GOOGLETRANSLATE('AYIRA MINI MART FINAL MENU - Pr'!D577, ""ar"", ""en""))"),"Don't be able to resist the taste of Takis Zombie Habanero &amp; Cucumber Tortilla Chips, Artificially Flavored 92.3g, your perfect companion for relaxing and watching the game. Their unique crunch and varied flavors make every handful a delightful experience"&amp;". Prepared with the finest ingredients using the latest manufacturing techniques to ensure an unparalleled taste. Ideal as a snack for adults and children alike between meals. Aira Mini Mart offers them in the perfect size and flavor for you.")</f>
        <v>Don't be able to resist the taste of Takis Zombie Habanero &amp; Cucumber Tortilla Chips, Artificially Flavored 92.3g,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77" s="56" t="str">
        <f>IF('AYIRA MINI MART FINAL MENU - Pr'!K577="", "", 'AYIRA MINI MART FINAL MENU - Pr'!K577)</f>
        <v/>
      </c>
      <c r="F577" s="56"/>
      <c r="G577" s="56"/>
      <c r="H577" s="56"/>
      <c r="I577" s="56"/>
      <c r="J577" s="56"/>
      <c r="L577" s="56" t="str">
        <f>IF('AYIRA MINI MART FINAL MENU - Pr'!L577="", "", 'AYIRA MINI MART FINAL MENU - Pr'!L577)</f>
        <v/>
      </c>
      <c r="M577" s="56" t="str">
        <f>IF('AYIRA MINI MART FINAL MENU - Pr'!M577="", "", 'AYIRA MINI MART FINAL MENU - Pr'!M577)</f>
        <v/>
      </c>
      <c r="N577" s="56" t="str">
        <f>IF('AYIRA MINI MART FINAL MENU - Pr'!N577="", "", 'AYIRA MINI MART FINAL MENU - Pr'!N577)</f>
        <v/>
      </c>
      <c r="O577" s="57"/>
      <c r="P577" s="57"/>
      <c r="Q577" s="57"/>
      <c r="R577" s="57"/>
      <c r="S577" s="57"/>
      <c r="T577" s="57"/>
      <c r="U577" s="57"/>
      <c r="V577" s="57"/>
      <c r="W577" s="57"/>
      <c r="X577" s="57"/>
      <c r="Y577" s="57"/>
      <c r="Z577" s="57"/>
    </row>
    <row r="578">
      <c r="A578" s="56" t="str">
        <f>IFERROR(__xludf.DUMMYFUNCTION("IF('AYIRA MINI MART FINAL MENU - Pr'!A578="""", """", IF(LEN(IFERROR(TRIM(REGEXREPLACE(TRIM(REGEXEXTRACT('AYIRA MINI MART FINAL MENU - Pr'!A578, ""^[^\x{0600}-\x{06FF}]+"")), ""[-–]+$"", """")), """"))&gt;0, IFERROR(TRIM(REGEXREPLACE(TRIM(REGEXEXTRACT('AYIRA"&amp;" MINI MART FINAL MENU - Pr'!A578, ""^[^\x{0600}-\x{06FF}]+"")), ""[-–]+$"", """")), """"), GOOGLETRANSLATE('AYIRA MINI MART FINAL MENU - Pr'!A578, ""ar"", ""en"")))"),"Takis Blue Heat Hot Chili Pepper &amp; Lime Tortilla Chips, Artificially Flavoured 113.4 g – Takis Blue Heat")</f>
        <v>Takis Blue Heat Hot Chili Pepper &amp; Lime Tortilla Chips, Artificially Flavoured 113.4 g – Takis Blue Heat</v>
      </c>
      <c r="B578" s="56" t="str">
        <f>IFERROR(__xludf.DUMMYFUNCTION("IF('AYIRA MINI MART FINAL MENU - Pr'!B578="""", """", IF(LEN(IFERROR(TRIM(REGEXREPLACE(TRIM(REGEXEXTRACT('AYIRA MINI MART FINAL MENU - Pr'!B578, ""^[^\x{0600}-\x{06FF}]+"")), ""[-–]+$"", """")), """"))&gt;0, IFERROR(TRIM(REGEXREPLACE(TRIM(REGEXEXTRACT('AYIRA"&amp;" MINI MART FINAL MENU - Pr'!B578, ""^[^\x{0600}-\x{06FF}]+"")), ""[-–]+$"", """")), """"), GOOGLETRANSLATE('AYIRA MINI MART FINAL MENU - Pr'!B578, ""ar"", ""en"")))"),"Chips &amp; Crisps")</f>
        <v>Chips &amp; Crisps</v>
      </c>
      <c r="C578" s="58">
        <f>IF('AYIRA MINI MART FINAL MENU - Pr'!C578="", "", 'AYIRA MINI MART FINAL MENU - Pr'!C578)</f>
        <v>23</v>
      </c>
      <c r="D578" s="56" t="str">
        <f>IFERROR(__xludf.DUMMYFUNCTION("IF('AYIRA MINI MART FINAL MENU - Pr'!D578="""", """", GOOGLETRANSLATE('AYIRA MINI MART FINAL MENU - Pr'!D578, ""ar"", ""en""))"),"Don't be able to resist the taste of Takis Blue Heat Hot Chili Pepper &amp; Lime Tortilla Chips, Artificially Flavored 113.4g, your perfect companion for relaxing and watching the game. Their unique crunch and varied flavors make every handful a delightful ex"&amp;"perience. Prepared with the finest ingredients using the latest manufacturing techniques to ensure an unparalleled taste. Ideal as a snack for adults and children alike between meals. Aira Mini Mart offers them in the perfect size and flavor for you.")</f>
        <v>Don't be able to resist the taste of Takis Blue Heat Hot Chili Pepper &amp; Lime Tortilla Chips, Artificially Flavored 113.4g,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78" s="56" t="str">
        <f>IF('AYIRA MINI MART FINAL MENU - Pr'!K578="", "", 'AYIRA MINI MART FINAL MENU - Pr'!K578)</f>
        <v/>
      </c>
      <c r="F578" s="56"/>
      <c r="G578" s="56"/>
      <c r="H578" s="56"/>
      <c r="I578" s="56"/>
      <c r="J578" s="56"/>
      <c r="L578" s="56" t="str">
        <f>IF('AYIRA MINI MART FINAL MENU - Pr'!L578="", "", 'AYIRA MINI MART FINAL MENU - Pr'!L578)</f>
        <v/>
      </c>
      <c r="M578" s="56" t="str">
        <f>IF('AYIRA MINI MART FINAL MENU - Pr'!M578="", "", 'AYIRA MINI MART FINAL MENU - Pr'!M578)</f>
        <v/>
      </c>
      <c r="N578" s="56" t="str">
        <f>IF('AYIRA MINI MART FINAL MENU - Pr'!N578="", "", 'AYIRA MINI MART FINAL MENU - Pr'!N578)</f>
        <v/>
      </c>
      <c r="O578" s="57"/>
      <c r="P578" s="57"/>
      <c r="Q578" s="57"/>
      <c r="R578" s="57"/>
      <c r="S578" s="57"/>
      <c r="T578" s="57"/>
      <c r="U578" s="57"/>
      <c r="V578" s="57"/>
      <c r="W578" s="57"/>
      <c r="X578" s="57"/>
      <c r="Y578" s="57"/>
      <c r="Z578" s="57"/>
    </row>
    <row r="579">
      <c r="A579" s="56" t="str">
        <f>IFERROR(__xludf.DUMMYFUNCTION("IF('AYIRA MINI MART FINAL MENU - Pr'!A579="""", """", IF(LEN(IFERROR(TRIM(REGEXREPLACE(TRIM(REGEXEXTRACT('AYIRA MINI MART FINAL MENU - Pr'!A579, ""^[^\x{0600}-\x{06FF}]+"")), ""[-–]+$"", """")), """"))&gt;0, IFERROR(TRIM(REGEXREPLACE(TRIM(REGEXEXTRACT('AYIRA"&amp;" MINI MART FINAL MENU - Pr'!A579, ""^[^\x{0600}-\x{06FF}]+"")), ""[-–]+$"", """")), """"), GOOGLETRANSLATE('AYIRA MINI MART FINAL MENU - Pr'!A579, ""ar"", ""en"")))"),"ABC Ketchup 12 g – ABC")</f>
        <v>ABC Ketchup 12 g – ABC</v>
      </c>
      <c r="B579" s="56" t="str">
        <f>IFERROR(__xludf.DUMMYFUNCTION("IF('AYIRA MINI MART FINAL MENU - Pr'!B579="""", """", IF(LEN(IFERROR(TRIM(REGEXREPLACE(TRIM(REGEXEXTRACT('AYIRA MINI MART FINAL MENU - Pr'!B579, ""^[^\x{0600}-\x{06FF}]+"")), ""[-–]+$"", """")), """"))&gt;0, IFERROR(TRIM(REGEXREPLACE(TRIM(REGEXEXTRACT('AYIRA"&amp;" MINI MART FINAL MENU - Pr'!B579, ""^[^\x{0600}-\x{06FF}]+"")), ""[-–]+$"", """")), """"), GOOGLETRANSLATE('AYIRA MINI MART FINAL MENU - Pr'!B579, ""ar"", ""en"")))"),"Chips &amp; Crisps")</f>
        <v>Chips &amp; Crisps</v>
      </c>
      <c r="C579" s="58">
        <f>IF('AYIRA MINI MART FINAL MENU - Pr'!C579="", "", 'AYIRA MINI MART FINAL MENU - Pr'!C579)</f>
        <v>1</v>
      </c>
      <c r="D579" s="56" t="str">
        <f>IFERROR(__xludf.DUMMYFUNCTION("IF('AYIRA MINI MART FINAL MENU - Pr'!D579="""", """", GOOGLETRANSLATE('AYIRA MINI MART FINAL MENU - Pr'!D579, ""ar"", ""en""))"),"Don't be able to resist the taste of ABC Ketchup 12g, your perfect companion for relaxing and watching the game. Its unique crunch and diverse flavors make every handful a delightful experience. Prepared with the finest ingredients using the latest manufa"&amp;"cturing techniques to guarantee an unparalleled taste. Ideal as a snack for adults and children alike between meals. Aira Mini Mart offers it in the perfect size and flavor for you.")</f>
        <v>Don't be able to resist the taste of ABC Ketchup 12g,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579" s="56" t="str">
        <f>IF('AYIRA MINI MART FINAL MENU - Pr'!K579="", "", 'AYIRA MINI MART FINAL MENU - Pr'!K579)</f>
        <v/>
      </c>
      <c r="F579" s="56"/>
      <c r="G579" s="56"/>
      <c r="H579" s="56"/>
      <c r="I579" s="56"/>
      <c r="J579" s="56"/>
      <c r="L579" s="56" t="str">
        <f>IF('AYIRA MINI MART FINAL MENU - Pr'!L579="", "", 'AYIRA MINI MART FINAL MENU - Pr'!L579)</f>
        <v/>
      </c>
      <c r="M579" s="56" t="str">
        <f>IF('AYIRA MINI MART FINAL MENU - Pr'!M579="", "", 'AYIRA MINI MART FINAL MENU - Pr'!M579)</f>
        <v/>
      </c>
      <c r="N579" s="56" t="str">
        <f>IF('AYIRA MINI MART FINAL MENU - Pr'!N579="", "", 'AYIRA MINI MART FINAL MENU - Pr'!N579)</f>
        <v/>
      </c>
      <c r="O579" s="57"/>
      <c r="P579" s="57"/>
      <c r="Q579" s="57"/>
      <c r="R579" s="57"/>
      <c r="S579" s="57"/>
      <c r="T579" s="57"/>
      <c r="U579" s="57"/>
      <c r="V579" s="57"/>
      <c r="W579" s="57"/>
      <c r="X579" s="57"/>
      <c r="Y579" s="57"/>
      <c r="Z579" s="57"/>
    </row>
    <row r="580">
      <c r="A580" s="56" t="str">
        <f>IFERROR(__xludf.DUMMYFUNCTION("IF('AYIRA MINI MART FINAL MENU - Pr'!A580="""", """", IF(LEN(IFERROR(TRIM(REGEXREPLACE(TRIM(REGEXEXTRACT('AYIRA MINI MART FINAL MENU - Pr'!A580, ""^[^\x{0600}-\x{06FF}]+"")), ""[-–]+$"", """")), """"))&gt;0, IFERROR(TRIM(REGEXREPLACE(TRIM(REGEXEXTRACT('AYIRA"&amp;" MINI MART FINAL MENU - Pr'!A580, ""^[^\x{0600}-\x{06FF}]+"")), ""[-–]+$"", """")), """"), GOOGLETRANSLATE('AYIRA MINI MART FINAL MENU - Pr'!A580, ""ar"", ""en"")))"),"Chips Oman Chili Flavour 15 g")</f>
        <v>Chips Oman Chili Flavour 15 g</v>
      </c>
      <c r="B580" s="56" t="str">
        <f>IFERROR(__xludf.DUMMYFUNCTION("IF('AYIRA MINI MART FINAL MENU - Pr'!B580="""", """", IF(LEN(IFERROR(TRIM(REGEXREPLACE(TRIM(REGEXEXTRACT('AYIRA MINI MART FINAL MENU - Pr'!B580, ""^[^\x{0600}-\x{06FF}]+"")), ""[-–]+$"", """")), """"))&gt;0, IFERROR(TRIM(REGEXREPLACE(TRIM(REGEXEXTRACT('AYIRA"&amp;" MINI MART FINAL MENU - Pr'!B580, ""^[^\x{0600}-\x{06FF}]+"")), ""[-–]+$"", """")), """"), GOOGLETRANSLATE('AYIRA MINI MART FINAL MENU - Pr'!B580, ""ar"", ""en"")))"),"Chips &amp; Crisps")</f>
        <v>Chips &amp; Crisps</v>
      </c>
      <c r="C580" s="58">
        <f>IF('AYIRA MINI MART FINAL MENU - Pr'!C580="", "", 'AYIRA MINI MART FINAL MENU - Pr'!C580)</f>
        <v>1</v>
      </c>
      <c r="D580" s="56" t="str">
        <f>IFERROR(__xludf.DUMMYFUNCTION("IF('AYIRA MINI MART FINAL MENU - Pr'!D580="""", """", GOOGLETRANSLATE('AYIRA MINI MART FINAL MENU - Pr'!D580, ""ar"", ""en""))"),"Don't be able to resist the taste of Oman Chili Flavor Chips 15g, your perfect companion for relaxing and watching matches. Their unique crunch and varied flavors make every handful a delightful experience. Prepared with the finest ingredients using the l"&amp;"atest manufacturing techniques to ensure an unparalleled taste. Ideal as a snack for adults and children between meals. Aira Mini Mart offers them in the size and flavor that suits you best.")</f>
        <v>Don't be able to resist the taste of Oman Chili Flavor Chips 15g,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size and flavor that suits you best.</v>
      </c>
      <c r="E580" s="56" t="str">
        <f>IF('AYIRA MINI MART FINAL MENU - Pr'!K580="", "", 'AYIRA MINI MART FINAL MENU - Pr'!K580)</f>
        <v/>
      </c>
      <c r="F580" s="56"/>
      <c r="G580" s="56"/>
      <c r="H580" s="56"/>
      <c r="I580" s="56"/>
      <c r="J580" s="56"/>
      <c r="L580" s="56" t="str">
        <f>IF('AYIRA MINI MART FINAL MENU - Pr'!L580="", "", 'AYIRA MINI MART FINAL MENU - Pr'!L580)</f>
        <v/>
      </c>
      <c r="M580" s="56" t="str">
        <f>IF('AYIRA MINI MART FINAL MENU - Pr'!M580="", "", 'AYIRA MINI MART FINAL MENU - Pr'!M580)</f>
        <v/>
      </c>
      <c r="N580" s="56" t="str">
        <f>IF('AYIRA MINI MART FINAL MENU - Pr'!N580="", "", 'AYIRA MINI MART FINAL MENU - Pr'!N580)</f>
        <v/>
      </c>
      <c r="O580" s="57"/>
      <c r="P580" s="57"/>
      <c r="Q580" s="57"/>
      <c r="R580" s="57"/>
      <c r="S580" s="57"/>
      <c r="T580" s="57"/>
      <c r="U580" s="57"/>
      <c r="V580" s="57"/>
      <c r="W580" s="57"/>
      <c r="X580" s="57"/>
      <c r="Y580" s="57"/>
      <c r="Z580" s="57"/>
    </row>
    <row r="581">
      <c r="A581" s="56" t="str">
        <f>IFERROR(__xludf.DUMMYFUNCTION("IF('AYIRA MINI MART FINAL MENU - Pr'!A581="""", """", IF(LEN(IFERROR(TRIM(REGEXREPLACE(TRIM(REGEXEXTRACT('AYIRA MINI MART FINAL MENU - Pr'!A581, ""^[^\x{0600}-\x{06FF}]+"")), ""[-–]+$"", """")), """"))&gt;0, IFERROR(TRIM(REGEXREPLACE(TRIM(REGEXEXTRACT('AYIRA"&amp;" MINI MART FINAL MENU - Pr'!A581, ""^[^\x{0600}-\x{06FF}]+"")), ""[-–]+$"", """")), """"), GOOGLETRANSLATE('AYIRA MINI MART FINAL MENU - Pr'!A581, ""ar"", ""en"")))"),"Salad Chips 15 g – Salad")</f>
        <v>Salad Chips 15 g – Salad</v>
      </c>
      <c r="B581" s="56" t="str">
        <f>IFERROR(__xludf.DUMMYFUNCTION("IF('AYIRA MINI MART FINAL MENU - Pr'!B581="""", """", IF(LEN(IFERROR(TRIM(REGEXREPLACE(TRIM(REGEXEXTRACT('AYIRA MINI MART FINAL MENU - Pr'!B581, ""^[^\x{0600}-\x{06FF}]+"")), ""[-–]+$"", """")), """"))&gt;0, IFERROR(TRIM(REGEXREPLACE(TRIM(REGEXEXTRACT('AYIRA"&amp;" MINI MART FINAL MENU - Pr'!B581, ""^[^\x{0600}-\x{06FF}]+"")), ""[-–]+$"", """")), """"), GOOGLETRANSLATE('AYIRA MINI MART FINAL MENU - Pr'!B581, ""ar"", ""en"")))"),"Chips &amp; Crisps")</f>
        <v>Chips &amp; Crisps</v>
      </c>
      <c r="C581" s="58">
        <f>IF('AYIRA MINI MART FINAL MENU - Pr'!C581="", "", 'AYIRA MINI MART FINAL MENU - Pr'!C581)</f>
        <v>1</v>
      </c>
      <c r="D581" s="56" t="str">
        <f>IFERROR(__xludf.DUMMYFUNCTION("IF('AYIRA MINI MART FINAL MENU - Pr'!D581="""", """", GOOGLETRANSLATE('AYIRA MINI MART FINAL MENU - Pr'!D581, ""ar"", ""en""))"),"Don't be able to resist the taste of Salad Chips 15g, your perfect companion for relaxing and watching the game. Their unique crunch and varied flavors make every handful a delightful experience. Prepared with the finest ingredients using the latest manuf"&amp;"acturing techniques to guarantee an unparalleled taste. Ideal as a snack for adults and children alike between meals. Aira Mini Mart offers them in the perfect size and flavor for you.")</f>
        <v>Don't be able to resist the taste of Salad Chips 15g,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581" s="56" t="str">
        <f>IF('AYIRA MINI MART FINAL MENU - Pr'!K581="", "", 'AYIRA MINI MART FINAL MENU - Pr'!K581)</f>
        <v/>
      </c>
      <c r="F581" s="56"/>
      <c r="G581" s="56"/>
      <c r="H581" s="56"/>
      <c r="I581" s="56"/>
      <c r="J581" s="56"/>
      <c r="L581" s="56" t="str">
        <f>IF('AYIRA MINI MART FINAL MENU - Pr'!L581="", "", 'AYIRA MINI MART FINAL MENU - Pr'!L581)</f>
        <v/>
      </c>
      <c r="M581" s="56" t="str">
        <f>IF('AYIRA MINI MART FINAL MENU - Pr'!M581="", "", 'AYIRA MINI MART FINAL MENU - Pr'!M581)</f>
        <v/>
      </c>
      <c r="N581" s="56" t="str">
        <f>IF('AYIRA MINI MART FINAL MENU - Pr'!N581="", "", 'AYIRA MINI MART FINAL MENU - Pr'!N581)</f>
        <v/>
      </c>
      <c r="O581" s="57"/>
      <c r="P581" s="57"/>
      <c r="Q581" s="57"/>
      <c r="R581" s="57"/>
      <c r="S581" s="57"/>
      <c r="T581" s="57"/>
      <c r="U581" s="57"/>
      <c r="V581" s="57"/>
      <c r="W581" s="57"/>
      <c r="X581" s="57"/>
      <c r="Y581" s="57"/>
      <c r="Z581" s="57"/>
    </row>
    <row r="582">
      <c r="A582" s="56" t="str">
        <f>IFERROR(__xludf.DUMMYFUNCTION("IF('AYIRA MINI MART FINAL MENU - Pr'!A582="""", """", IF(LEN(IFERROR(TRIM(REGEXREPLACE(TRIM(REGEXEXTRACT('AYIRA MINI MART FINAL MENU - Pr'!A582, ""^[^\x{0600}-\x{06FF}]+"")), ""[-–]+$"", """")), """"))&gt;0, IFERROR(TRIM(REGEXREPLACE(TRIM(REGEXEXTRACT('AYIRA"&amp;" MINI MART FINAL MENU - Pr'!A582, ""^[^\x{0600}-\x{06FF}]+"")), ""[-–]+$"", """")), """"), GOOGLETRANSLATE('AYIRA MINI MART FINAL MENU - Pr'!A582, ""ar"", ""en"")))"),"Mini Takis Fuego Hot Chili Pepper &amp; Lime Artificially Flavoured Tortilla Chips 35 g")</f>
        <v>Mini Takis Fuego Hot Chili Pepper &amp; Lime Artificially Flavoured Tortilla Chips 35 g</v>
      </c>
      <c r="B582" s="56" t="str">
        <f>IFERROR(__xludf.DUMMYFUNCTION("IF('AYIRA MINI MART FINAL MENU - Pr'!B582="""", """", IF(LEN(IFERROR(TRIM(REGEXREPLACE(TRIM(REGEXEXTRACT('AYIRA MINI MART FINAL MENU - Pr'!B582, ""^[^\x{0600}-\x{06FF}]+"")), ""[-–]+$"", """")), """"))&gt;0, IFERROR(TRIM(REGEXREPLACE(TRIM(REGEXEXTRACT('AYIRA"&amp;" MINI MART FINAL MENU - Pr'!B582, ""^[^\x{0600}-\x{06FF}]+"")), ""[-–]+$"", """")), """"), GOOGLETRANSLATE('AYIRA MINI MART FINAL MENU - Pr'!B582, ""ar"", ""en"")))"),"Chips &amp; Crisps")</f>
        <v>Chips &amp; Crisps</v>
      </c>
      <c r="C582" s="58">
        <f>IF('AYIRA MINI MART FINAL MENU - Pr'!C582="", "", 'AYIRA MINI MART FINAL MENU - Pr'!C582)</f>
        <v>3.5</v>
      </c>
      <c r="D582" s="56" t="str">
        <f>IFERROR(__xludf.DUMMYFUNCTION("IF('AYIRA MINI MART FINAL MENU - Pr'!D582="""", """", GOOGLETRANSLATE('AYIRA MINI MART FINAL MENU - Pr'!D582, ""ar"", ""en""))"),"Don't be able to resist the taste of Mini Takis Fuego Hot Chili Pepper &amp; Lime Artificially Flavored Tortilla Chips 35g, your perfect companion for relaxing and watching the game. Their unique crunch and varied flavors make every handful a delightful exper"&amp;"ience. Prepared with the finest ingredients using the latest manufacturing techniques to ensure an unparalleled taste. Ideal as a snack for adults and children alike between meals. Aira Mini Mart offers them in the perfect size and flavor for you.")</f>
        <v>Don't be able to resist the taste of Mini Takis Fuego Hot Chili Pepper &amp; Lime Artificially Flavored Tortilla Chips 35g,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82" s="56" t="str">
        <f>IF('AYIRA MINI MART FINAL MENU - Pr'!K582="", "", 'AYIRA MINI MART FINAL MENU - Pr'!K582)</f>
        <v/>
      </c>
      <c r="F582" s="56"/>
      <c r="G582" s="56"/>
      <c r="H582" s="56"/>
      <c r="I582" s="56"/>
      <c r="J582" s="56"/>
      <c r="L582" s="56" t="str">
        <f>IF('AYIRA MINI MART FINAL MENU - Pr'!L582="", "", 'AYIRA MINI MART FINAL MENU - Pr'!L582)</f>
        <v/>
      </c>
      <c r="M582" s="56" t="str">
        <f>IF('AYIRA MINI MART FINAL MENU - Pr'!M582="", "", 'AYIRA MINI MART FINAL MENU - Pr'!M582)</f>
        <v/>
      </c>
      <c r="N582" s="56" t="str">
        <f>IF('AYIRA MINI MART FINAL MENU - Pr'!N582="", "", 'AYIRA MINI MART FINAL MENU - Pr'!N582)</f>
        <v/>
      </c>
      <c r="O582" s="57"/>
      <c r="P582" s="57"/>
      <c r="Q582" s="57"/>
      <c r="R582" s="57"/>
      <c r="S582" s="57"/>
      <c r="T582" s="57"/>
      <c r="U582" s="57"/>
      <c r="V582" s="57"/>
      <c r="W582" s="57"/>
      <c r="X582" s="57"/>
      <c r="Y582" s="57"/>
      <c r="Z582" s="57"/>
    </row>
    <row r="583">
      <c r="A583" s="56" t="str">
        <f>IFERROR(__xludf.DUMMYFUNCTION("IF('AYIRA MINI MART FINAL MENU - Pr'!A583="""", """", IF(LEN(IFERROR(TRIM(REGEXREPLACE(TRIM(REGEXEXTRACT('AYIRA MINI MART FINAL MENU - Pr'!A583, ""^[^\x{0600}-\x{06FF}]+"")), ""[-–]+$"", """")), """"))&gt;0, IFERROR(TRIM(REGEXREPLACE(TRIM(REGEXEXTRACT('AYIRA"&amp;" MINI MART FINAL MENU - Pr'!A583, ""^[^\x{0600}-\x{06FF}]+"")), ""[-–]+$"", """")), """"), GOOGLETRANSLATE('AYIRA MINI MART FINAL MENU - Pr'!A583, ""ar"", ""en"")))"),"Raja Potatos Crunchies Ketchup 60 g – Raja Potatos Crunchies")</f>
        <v>Raja Potatos Crunchies Ketchup 60 g – Raja Potatos Crunchies</v>
      </c>
      <c r="B583" s="56" t="str">
        <f>IFERROR(__xludf.DUMMYFUNCTION("IF('AYIRA MINI MART FINAL MENU - Pr'!B583="""", """", IF(LEN(IFERROR(TRIM(REGEXREPLACE(TRIM(REGEXEXTRACT('AYIRA MINI MART FINAL MENU - Pr'!B583, ""^[^\x{0600}-\x{06FF}]+"")), ""[-–]+$"", """")), """"))&gt;0, IFERROR(TRIM(REGEXREPLACE(TRIM(REGEXEXTRACT('AYIRA"&amp;" MINI MART FINAL MENU - Pr'!B583, ""^[^\x{0600}-\x{06FF}]+"")), ""[-–]+$"", """")), """"), GOOGLETRANSLATE('AYIRA MINI MART FINAL MENU - Pr'!B583, ""ar"", ""en"")))"),"Chips &amp; Crisps")</f>
        <v>Chips &amp; Crisps</v>
      </c>
      <c r="C583" s="58">
        <f>IF('AYIRA MINI MART FINAL MENU - Pr'!C583="", "", 'AYIRA MINI MART FINAL MENU - Pr'!C583)</f>
        <v>5</v>
      </c>
      <c r="D583" s="56" t="str">
        <f>IFERROR(__xludf.DUMMYFUNCTION("IF('AYIRA MINI MART FINAL MENU - Pr'!D583="""", """", GOOGLETRANSLATE('AYIRA MINI MART FINAL MENU - Pr'!D583, ""ar"", ""en""))"),"Don't be able to resist the taste of Raja Potatoes Crunchies Ketchup 60g, your perfect companion for relaxing and watching the game. Their unique crunch and varied flavors make every handful a delightful experience. Prepared with the finest ingredients us"&amp;"ing the latest manufacturing techniques to ensure an unparalleled taste. Ideal as a snack for adults and children alike between meals. Aira Mini Mart offers them in the perfect size and flavor for you.")</f>
        <v>Don't be able to resist the taste of Raja Potatoes Crunchies Ketchup 60g,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583" s="56" t="str">
        <f>IF('AYIRA MINI MART FINAL MENU - Pr'!K583="", "", 'AYIRA MINI MART FINAL MENU - Pr'!K583)</f>
        <v/>
      </c>
      <c r="F583" s="56"/>
      <c r="G583" s="56"/>
      <c r="H583" s="56"/>
      <c r="I583" s="56"/>
      <c r="J583" s="56"/>
      <c r="L583" s="56" t="str">
        <f>IF('AYIRA MINI MART FINAL MENU - Pr'!L583="", "", 'AYIRA MINI MART FINAL MENU - Pr'!L583)</f>
        <v/>
      </c>
      <c r="M583" s="56" t="str">
        <f>IF('AYIRA MINI MART FINAL MENU - Pr'!M583="", "", 'AYIRA MINI MART FINAL MENU - Pr'!M583)</f>
        <v/>
      </c>
      <c r="N583" s="56" t="str">
        <f>IF('AYIRA MINI MART FINAL MENU - Pr'!N583="", "", 'AYIRA MINI MART FINAL MENU - Pr'!N583)</f>
        <v/>
      </c>
      <c r="O583" s="57"/>
      <c r="P583" s="57"/>
      <c r="Q583" s="57"/>
      <c r="R583" s="57"/>
      <c r="S583" s="57"/>
      <c r="T583" s="57"/>
      <c r="U583" s="57"/>
      <c r="V583" s="57"/>
      <c r="W583" s="57"/>
      <c r="X583" s="57"/>
      <c r="Y583" s="57"/>
      <c r="Z583" s="57"/>
    </row>
    <row r="584">
      <c r="A584" s="56" t="str">
        <f>IFERROR(__xludf.DUMMYFUNCTION("IF('AYIRA MINI MART FINAL MENU - Pr'!A584="""", """", IF(LEN(IFERROR(TRIM(REGEXREPLACE(TRIM(REGEXEXTRACT('AYIRA MINI MART FINAL MENU - Pr'!A584, ""^[^\x{0600}-\x{06FF}]+"")), ""[-–]+$"", """")), """"))&gt;0, IFERROR(TRIM(REGEXREPLACE(TRIM(REGEXEXTRACT('AYIRA"&amp;" MINI MART FINAL MENU - Pr'!A584, ""^[^\x{0600}-\x{06FF}]+"")), ""[-–]+$"", """")), """"), GOOGLETRANSLATE('AYIRA MINI MART FINAL MENU - Pr'!A584, ""ar"", ""en"")))"),"Chilli Out Fire Fingers Spicy Shrimp 60 g – Chilli Out Fire Fingers")</f>
        <v>Chilli Out Fire Fingers Spicy Shrimp 60 g – Chilli Out Fire Fingers</v>
      </c>
      <c r="B584" s="56" t="str">
        <f>IFERROR(__xludf.DUMMYFUNCTION("IF('AYIRA MINI MART FINAL MENU - Pr'!B584="""", """", IF(LEN(IFERROR(TRIM(REGEXREPLACE(TRIM(REGEXEXTRACT('AYIRA MINI MART FINAL MENU - Pr'!B584, ""^[^\x{0600}-\x{06FF}]+"")), ""[-–]+$"", """")), """"))&gt;0, IFERROR(TRIM(REGEXREPLACE(TRIM(REGEXEXTRACT('AYIRA"&amp;" MINI MART FINAL MENU - Pr'!B584, ""^[^\x{0600}-\x{06FF}]+"")), ""[-–]+$"", """")), """"), GOOGLETRANSLATE('AYIRA MINI MART FINAL MENU - Pr'!B584, ""ar"", ""en"")))"),"Chips &amp; Crisps")</f>
        <v>Chips &amp; Crisps</v>
      </c>
      <c r="C584" s="58">
        <f>IF('AYIRA MINI MART FINAL MENU - Pr'!C584="", "", 'AYIRA MINI MART FINAL MENU - Pr'!C584)</f>
        <v>2.5</v>
      </c>
      <c r="D584" s="56" t="str">
        <f>IFERROR(__xludf.DUMMYFUNCTION("IF('AYIRA MINI MART FINAL MENU - Pr'!D584="""", """", GOOGLETRANSLATE('AYIRA MINI MART FINAL MENU - Pr'!D584, ""ar"", ""en""))"),"Don't be able to resist the taste of Chilli Out Fire Fingers Spicy Shrimp 60g, your perfect companion for relaxing and watching the game. Its unique crunch and varied flavors make every handful a delightful experience. Prepared with the finest ingredients"&amp;" using the latest manufacturing techniques to ensure an unparalleled taste. Ideal as a snack for adults and children alike between meals. Aira Mini Mart offers it in the perfect size and flavor for you.")</f>
        <v>Don't be able to resist the taste of Chilli Out Fire Fingers Spicy Shrimp 60g,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584" s="56" t="str">
        <f>IF('AYIRA MINI MART FINAL MENU - Pr'!K584="", "", 'AYIRA MINI MART FINAL MENU - Pr'!K584)</f>
        <v/>
      </c>
      <c r="F584" s="56"/>
      <c r="G584" s="56"/>
      <c r="H584" s="56"/>
      <c r="I584" s="56"/>
      <c r="J584" s="56"/>
      <c r="L584" s="56" t="str">
        <f>IF('AYIRA MINI MART FINAL MENU - Pr'!L584="", "", 'AYIRA MINI MART FINAL MENU - Pr'!L584)</f>
        <v/>
      </c>
      <c r="M584" s="56" t="str">
        <f>IF('AYIRA MINI MART FINAL MENU - Pr'!M584="", "", 'AYIRA MINI MART FINAL MENU - Pr'!M584)</f>
        <v/>
      </c>
      <c r="N584" s="56" t="str">
        <f>IF('AYIRA MINI MART FINAL MENU - Pr'!N584="", "", 'AYIRA MINI MART FINAL MENU - Pr'!N584)</f>
        <v/>
      </c>
      <c r="O584" s="57"/>
      <c r="P584" s="57"/>
      <c r="Q584" s="57"/>
      <c r="R584" s="57"/>
      <c r="S584" s="57"/>
      <c r="T584" s="57"/>
      <c r="U584" s="57"/>
      <c r="V584" s="57"/>
      <c r="W584" s="57"/>
      <c r="X584" s="57"/>
      <c r="Y584" s="57"/>
      <c r="Z584" s="57"/>
    </row>
    <row r="585">
      <c r="A585" s="56" t="str">
        <f>IFERROR(__xludf.DUMMYFUNCTION("IF('AYIRA MINI MART FINAL MENU - Pr'!A585="""", """", IF(LEN(IFERROR(TRIM(REGEXREPLACE(TRIM(REGEXEXTRACT('AYIRA MINI MART FINAL MENU - Pr'!A585, ""^[^\x{0600}-\x{06FF}]+"")), ""[-–]+$"", """")), """"))&gt;0, IFERROR(TRIM(REGEXREPLACE(TRIM(REGEXEXTRACT('AYIRA"&amp;" MINI MART FINAL MENU - Pr'!A585, ""^[^\x{0600}-\x{06FF}]+"")), ""[-–]+$"", """")), """"), GOOGLETRANSLATE('AYIRA MINI MART FINAL MENU - Pr'!A585, ""ar"", ""en"")))"),"Chilli Out Fire Fingers Spicy Chicken 60 g – Chilli Out Fire Fingers")</f>
        <v>Chilli Out Fire Fingers Spicy Chicken 60 g – Chilli Out Fire Fingers</v>
      </c>
      <c r="B585" s="56" t="str">
        <f>IFERROR(__xludf.DUMMYFUNCTION("IF('AYIRA MINI MART FINAL MENU - Pr'!B585="""", """", IF(LEN(IFERROR(TRIM(REGEXREPLACE(TRIM(REGEXEXTRACT('AYIRA MINI MART FINAL MENU - Pr'!B585, ""^[^\x{0600}-\x{06FF}]+"")), ""[-–]+$"", """")), """"))&gt;0, IFERROR(TRIM(REGEXREPLACE(TRIM(REGEXEXTRACT('AYIRA"&amp;" MINI MART FINAL MENU - Pr'!B585, ""^[^\x{0600}-\x{06FF}]+"")), ""[-–]+$"", """")), """"), GOOGLETRANSLATE('AYIRA MINI MART FINAL MENU - Pr'!B585, ""ar"", ""en"")))"),"Chips &amp; Crisps")</f>
        <v>Chips &amp; Crisps</v>
      </c>
      <c r="C585" s="58">
        <f>IF('AYIRA MINI MART FINAL MENU - Pr'!C585="", "", 'AYIRA MINI MART FINAL MENU - Pr'!C585)</f>
        <v>2.5</v>
      </c>
      <c r="D585" s="56" t="str">
        <f>IFERROR(__xludf.DUMMYFUNCTION("IF('AYIRA MINI MART FINAL MENU - Pr'!D585="""", """", GOOGLETRANSLATE('AYIRA MINI MART FINAL MENU - Pr'!D585, ""ar"", ""en""))"),"Don't be able to resist the taste of Chilli Out Fire Fingers Spicy Chicken 60g, your perfect companion for relaxing and watching the game. Its unique crunch and varied flavors make every handful a delightful experience. Prepared with the finest ingredient"&amp;"s using the latest manufacturing techniques to guarantee an unparalleled taste. Ideal as a snack for adults and children alike between meals. Aira Mini Mart offers it in the perfect size and flavor for you.")</f>
        <v>Don't be able to resist the taste of Chilli Out Fire Fingers Spicy Chicken 60g,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585" s="56" t="str">
        <f>IF('AYIRA MINI MART FINAL MENU - Pr'!K585="", "", 'AYIRA MINI MART FINAL MENU - Pr'!K585)</f>
        <v/>
      </c>
      <c r="F585" s="56"/>
      <c r="G585" s="56"/>
      <c r="H585" s="56"/>
      <c r="I585" s="56"/>
      <c r="J585" s="56"/>
      <c r="L585" s="56" t="str">
        <f>IF('AYIRA MINI MART FINAL MENU - Pr'!L585="", "", 'AYIRA MINI MART FINAL MENU - Pr'!L585)</f>
        <v/>
      </c>
      <c r="M585" s="56" t="str">
        <f>IF('AYIRA MINI MART FINAL MENU - Pr'!M585="", "", 'AYIRA MINI MART FINAL MENU - Pr'!M585)</f>
        <v/>
      </c>
      <c r="N585" s="56" t="str">
        <f>IF('AYIRA MINI MART FINAL MENU - Pr'!N585="", "", 'AYIRA MINI MART FINAL MENU - Pr'!N585)</f>
        <v/>
      </c>
      <c r="O585" s="57"/>
      <c r="P585" s="57"/>
      <c r="Q585" s="57"/>
      <c r="R585" s="57"/>
      <c r="S585" s="57"/>
      <c r="T585" s="57"/>
      <c r="U585" s="57"/>
      <c r="V585" s="57"/>
      <c r="W585" s="57"/>
      <c r="X585" s="57"/>
      <c r="Y585" s="57"/>
      <c r="Z585" s="57"/>
    </row>
    <row r="586">
      <c r="A586" s="56" t="str">
        <f>IFERROR(__xludf.DUMMYFUNCTION("IF('AYIRA MINI MART FINAL MENU - Pr'!A586="""", """", IF(LEN(IFERROR(TRIM(REGEXREPLACE(TRIM(REGEXEXTRACT('AYIRA MINI MART FINAL MENU - Pr'!A586, ""^[^\x{0600}-\x{06FF}]+"")), ""[-–]+$"", """")), """"))&gt;0, IFERROR(TRIM(REGEXREPLACE(TRIM(REGEXEXTRACT('AYIRA"&amp;" MINI MART FINAL MENU - Pr'!A586, ""^[^\x{0600}-\x{06FF}]+"")), ""[-–]+$"", """")), """"), GOOGLETRANSLATE('AYIRA MINI MART FINAL MENU - Pr'!A586, ""ar"", ""en"")))"),"ABC Cheese 12 g – ABC")</f>
        <v>ABC Cheese 12 g – ABC</v>
      </c>
      <c r="B586" s="56" t="str">
        <f>IFERROR(__xludf.DUMMYFUNCTION("IF('AYIRA MINI MART FINAL MENU - Pr'!B586="""", """", IF(LEN(IFERROR(TRIM(REGEXREPLACE(TRIM(REGEXEXTRACT('AYIRA MINI MART FINAL MENU - Pr'!B586, ""^[^\x{0600}-\x{06FF}]+"")), ""[-–]+$"", """")), """"))&gt;0, IFERROR(TRIM(REGEXREPLACE(TRIM(REGEXEXTRACT('AYIRA"&amp;" MINI MART FINAL MENU - Pr'!B586, ""^[^\x{0600}-\x{06FF}]+"")), ""[-–]+$"", """")), """"), GOOGLETRANSLATE('AYIRA MINI MART FINAL MENU - Pr'!B586, ""ar"", ""en"")))"),"Chips &amp; Crisps")</f>
        <v>Chips &amp; Crisps</v>
      </c>
      <c r="C586" s="58">
        <f>IF('AYIRA MINI MART FINAL MENU - Pr'!C586="", "", 'AYIRA MINI MART FINAL MENU - Pr'!C586)</f>
        <v>1</v>
      </c>
      <c r="D586" s="56" t="str">
        <f>IFERROR(__xludf.DUMMYFUNCTION("IF('AYIRA MINI MART FINAL MENU - Pr'!D586="""", """", GOOGLETRANSLATE('AYIRA MINI MART FINAL MENU - Pr'!D586, ""ar"", ""en""))"),"Don't be able to resist the taste of ABC Cheese 12g, your perfect companion for relaxing and watching the game. Its unique crunch and diverse flavors make every handful a delightful experience. Prepared with the finest ingredients using the latest manufac"&amp;"turing techniques to ensure an unparalleled taste. Ideal as a snack for adults and children alike between meals. Aira Mini Mart offers it in the perfect size and flavor for you.")</f>
        <v>Don't be able to resist the taste of ABC Cheese 12g,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586" s="56" t="str">
        <f>IF('AYIRA MINI MART FINAL MENU - Pr'!K586="", "", 'AYIRA MINI MART FINAL MENU - Pr'!K586)</f>
        <v/>
      </c>
      <c r="F586" s="56"/>
      <c r="G586" s="56"/>
      <c r="H586" s="56"/>
      <c r="I586" s="56"/>
      <c r="J586" s="56"/>
      <c r="L586" s="56" t="str">
        <f>IF('AYIRA MINI MART FINAL MENU - Pr'!L586="", "", 'AYIRA MINI MART FINAL MENU - Pr'!L586)</f>
        <v/>
      </c>
      <c r="M586" s="56" t="str">
        <f>IF('AYIRA MINI MART FINAL MENU - Pr'!M586="", "", 'AYIRA MINI MART FINAL MENU - Pr'!M586)</f>
        <v/>
      </c>
      <c r="N586" s="56" t="str">
        <f>IF('AYIRA MINI MART FINAL MENU - Pr'!N586="", "", 'AYIRA MINI MART FINAL MENU - Pr'!N586)</f>
        <v/>
      </c>
      <c r="O586" s="57"/>
      <c r="P586" s="57"/>
      <c r="Q586" s="57"/>
      <c r="R586" s="57"/>
      <c r="S586" s="57"/>
      <c r="T586" s="57"/>
      <c r="U586" s="57"/>
      <c r="V586" s="57"/>
      <c r="W586" s="57"/>
      <c r="X586" s="57"/>
      <c r="Y586" s="57"/>
      <c r="Z586" s="57"/>
    </row>
    <row r="587">
      <c r="A587" s="56" t="str">
        <f>IFERROR(__xludf.DUMMYFUNCTION("IF('AYIRA MINI MART FINAL MENU - Pr'!A587="""", """", IF(LEN(IFERROR(TRIM(REGEXREPLACE(TRIM(REGEXEXTRACT('AYIRA MINI MART FINAL MENU - Pr'!A587, ""^[^\x{0600}-\x{06FF}]+"")), ""[-–]+$"", """")), """"))&gt;0, IFERROR(TRIM(REGEXREPLACE(TRIM(REGEXEXTRACT('AYIRA"&amp;" MINI MART FINAL MENU - Pr'!A587, ""^[^\x{0600}-\x{06FF}]+"")), ""[-–]+$"", """")), """"), GOOGLETRANSLATE('AYIRA MINI MART FINAL MENU - Pr'!A587, ""ar"", ""en"")))"),"Date &amp; Almond Bar Granio Milk Chocolate 40 GM – Date &amp;")</f>
        <v>Date &amp; Almond Bar Granio Milk Chocolate 40 GM – Date &amp;</v>
      </c>
      <c r="B587" s="56" t="str">
        <f>IFERROR(__xludf.DUMMYFUNCTION("IF('AYIRA MINI MART FINAL MENU - Pr'!B587="""", """", IF(LEN(IFERROR(TRIM(REGEXREPLACE(TRIM(REGEXEXTRACT('AYIRA MINI MART FINAL MENU - Pr'!B587, ""^[^\x{0600}-\x{06FF}]+"")), ""[-–]+$"", """")), """"))&gt;0, IFERROR(TRIM(REGEXREPLACE(TRIM(REGEXEXTRACT('AYIRA"&amp;" MINI MART FINAL MENU - Pr'!B587, ""^[^\x{0600}-\x{06FF}]+"")), ""[-–]+$"", """")), """"), GOOGLETRANSLATE('AYIRA MINI MART FINAL MENU - Pr'!B587, ""ar"", ""en"")))"),"Chocolates")</f>
        <v>Chocolates</v>
      </c>
      <c r="C587" s="58">
        <f>IF('AYIRA MINI MART FINAL MENU - Pr'!C587="", "", 'AYIRA MINI MART FINAL MENU - Pr'!C587)</f>
        <v>2.5</v>
      </c>
      <c r="D587" s="56" t="str">
        <f>IFERROR(__xludf.DUMMYFUNCTION("IF('AYIRA MINI MART FINAL MENU - Pr'!D587="""", """", GOOGLETRANSLATE('AYIRA MINI MART FINAL MENU - Pr'!D587, ""ar"", ""en""))"),"Indulge your senses with Date &amp; Almond Bar Granio Milk Chocolate 40 GM, a luxurious chocolate that blends rich flavor with a perfect texture. Made from the finest selected cocoa beans, it delivers an exceptional dessert experience every time. Whether you'"&amp;"re looking for a special gift or want to treat yourself, this chocolate is the perfect choice. Savor every piece and immerse yourself in a world of smoothness and sweetness. Get yours from Aira Mini Mart and experience moments of pure delight.")</f>
        <v>Indulge your senses with Date &amp; Almond Bar Granio Milk Chocolate 40 GM,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587" s="56" t="str">
        <f>IF('AYIRA MINI MART FINAL MENU - Pr'!K587="", "", 'AYIRA MINI MART FINAL MENU - Pr'!K587)</f>
        <v/>
      </c>
      <c r="F587" s="56"/>
      <c r="G587" s="56"/>
      <c r="H587" s="56"/>
      <c r="I587" s="56"/>
      <c r="J587" s="56"/>
      <c r="L587" s="56" t="str">
        <f>IF('AYIRA MINI MART FINAL MENU - Pr'!L587="", "", 'AYIRA MINI MART FINAL MENU - Pr'!L587)</f>
        <v/>
      </c>
      <c r="M587" s="56" t="str">
        <f>IF('AYIRA MINI MART FINAL MENU - Pr'!M587="", "", 'AYIRA MINI MART FINAL MENU - Pr'!M587)</f>
        <v/>
      </c>
      <c r="N587" s="56" t="str">
        <f>IF('AYIRA MINI MART FINAL MENU - Pr'!N587="", "", 'AYIRA MINI MART FINAL MENU - Pr'!N587)</f>
        <v/>
      </c>
      <c r="O587" s="57"/>
      <c r="P587" s="57"/>
      <c r="Q587" s="57"/>
      <c r="R587" s="57"/>
      <c r="S587" s="57"/>
      <c r="T587" s="57"/>
      <c r="U587" s="57"/>
      <c r="V587" s="57"/>
      <c r="W587" s="57"/>
      <c r="X587" s="57"/>
      <c r="Y587" s="57"/>
      <c r="Z587" s="57"/>
    </row>
    <row r="588">
      <c r="A588" s="56" t="str">
        <f>IFERROR(__xludf.DUMMYFUNCTION("IF('AYIRA MINI MART FINAL MENU - Pr'!A588="""", """", IF(LEN(IFERROR(TRIM(REGEXREPLACE(TRIM(REGEXEXTRACT('AYIRA MINI MART FINAL MENU - Pr'!A588, ""^[^\x{0600}-\x{06FF}]+"")), ""[-–]+$"", """")), """"))&gt;0, IFERROR(TRIM(REGEXREPLACE(TRIM(REGEXEXTRACT('AYIRA"&amp;" MINI MART FINAL MENU - Pr'!A588, ""^[^\x{0600}-\x{06FF}]+"")), ""[-–]+$"", """")), """"), GOOGLETRANSLATE('AYIRA MINI MART FINAL MENU - Pr'!A588, ""ar"", ""en"")))"),"Nutella Biscuits 1.4 GM")</f>
        <v>Nutella Biscuits 1.4 GM</v>
      </c>
      <c r="B588" s="56" t="str">
        <f>IFERROR(__xludf.DUMMYFUNCTION("IF('AYIRA MINI MART FINAL MENU - Pr'!B588="""", """", IF(LEN(IFERROR(TRIM(REGEXREPLACE(TRIM(REGEXEXTRACT('AYIRA MINI MART FINAL MENU - Pr'!B588, ""^[^\x{0600}-\x{06FF}]+"")), ""[-–]+$"", """")), """"))&gt;0, IFERROR(TRIM(REGEXREPLACE(TRIM(REGEXEXTRACT('AYIRA"&amp;" MINI MART FINAL MENU - Pr'!B588, ""^[^\x{0600}-\x{06FF}]+"")), ""[-–]+$"", """")), """"), GOOGLETRANSLATE('AYIRA MINI MART FINAL MENU - Pr'!B588, ""ar"", ""en"")))"),"Chocolates")</f>
        <v>Chocolates</v>
      </c>
      <c r="C588" s="58">
        <f>IF('AYIRA MINI MART FINAL MENU - Pr'!C588="", "", 'AYIRA MINI MART FINAL MENU - Pr'!C588)</f>
        <v>3.5</v>
      </c>
      <c r="D588" s="56" t="str">
        <f>IFERROR(__xludf.DUMMYFUNCTION("IF('AYIRA MINI MART FINAL MENU - Pr'!D588="""", """", GOOGLETRANSLATE('AYIRA MINI MART FINAL MENU - Pr'!D588, ""ar"", ""en""))"),"Indulge your senses with Nutella, the luxurious chocolate spread that combines rich flavor with a perfect texture. Made from the finest selected cocoa beans, it delivers an exceptional dessert experience every time. Whether you're looking for a special gi"&amp;"ft or want to treat yourself, this chocolate spread is the perfect choice. Savor every bite and immerse yourself in a world of smoothness and sweetness. Get yours from Aira Mini Mart and experience moments of pure delight.")</f>
        <v>Indulge your senses with Nutella, the luxurious chocolate spread that combines rich flavor with a perfect texture. Made from the finest selected cocoa beans, it delivers an exceptional dessert experience every time. Whether you're looking for a special gift or want to treat yourself, this chocolate spread is the perfect choice. Savor every bite and immerse yourself in a world of smoothness and sweetness. Get yours from Aira Mini Mart and experience moments of pure delight.</v>
      </c>
      <c r="E588" s="56" t="str">
        <f>IF('AYIRA MINI MART FINAL MENU - Pr'!K588="", "", 'AYIRA MINI MART FINAL MENU - Pr'!K588)</f>
        <v/>
      </c>
      <c r="F588" s="56"/>
      <c r="G588" s="56"/>
      <c r="H588" s="56"/>
      <c r="I588" s="56"/>
      <c r="J588" s="56"/>
      <c r="L588" s="56" t="str">
        <f>IF('AYIRA MINI MART FINAL MENU - Pr'!L588="", "", 'AYIRA MINI MART FINAL MENU - Pr'!L588)</f>
        <v/>
      </c>
      <c r="M588" s="56" t="str">
        <f>IF('AYIRA MINI MART FINAL MENU - Pr'!M588="", "", 'AYIRA MINI MART FINAL MENU - Pr'!M588)</f>
        <v/>
      </c>
      <c r="N588" s="56" t="str">
        <f>IF('AYIRA MINI MART FINAL MENU - Pr'!N588="", "", 'AYIRA MINI MART FINAL MENU - Pr'!N588)</f>
        <v/>
      </c>
      <c r="O588" s="57"/>
      <c r="P588" s="57"/>
      <c r="Q588" s="57"/>
      <c r="R588" s="57"/>
      <c r="S588" s="57"/>
      <c r="T588" s="57"/>
      <c r="U588" s="57"/>
      <c r="V588" s="57"/>
      <c r="W588" s="57"/>
      <c r="X588" s="57"/>
      <c r="Y588" s="57"/>
      <c r="Z588" s="57"/>
    </row>
    <row r="589">
      <c r="A589" s="56" t="str">
        <f>IFERROR(__xludf.DUMMYFUNCTION("IF('AYIRA MINI MART FINAL MENU - Pr'!A589="""", """", IF(LEN(IFERROR(TRIM(REGEXREPLACE(TRIM(REGEXEXTRACT('AYIRA MINI MART FINAL MENU - Pr'!A589, ""^[^\x{0600}-\x{06FF}]+"")), ""[-–]+$"", """")), """"))&gt;0, IFERROR(TRIM(REGEXREPLACE(TRIM(REGEXEXTRACT('AYIRA"&amp;" MINI MART FINAL MENU - Pr'!A589, ""^[^\x{0600}-\x{06FF}]+"")), ""[-–]+$"", """")), """"), GOOGLETRANSLATE('AYIRA MINI MART FINAL MENU - Pr'!A589, ""ar"", ""en"")))"),"Ülker Rulokat 24 GM")</f>
        <v>Ülker Rulokat 24 GM</v>
      </c>
      <c r="B589" s="56" t="str">
        <f>IFERROR(__xludf.DUMMYFUNCTION("IF('AYIRA MINI MART FINAL MENU - Pr'!B589="""", """", IF(LEN(IFERROR(TRIM(REGEXREPLACE(TRIM(REGEXEXTRACT('AYIRA MINI MART FINAL MENU - Pr'!B589, ""^[^\x{0600}-\x{06FF}]+"")), ""[-–]+$"", """")), """"))&gt;0, IFERROR(TRIM(REGEXREPLACE(TRIM(REGEXEXTRACT('AYIRA"&amp;" MINI MART FINAL MENU - Pr'!B589, ""^[^\x{0600}-\x{06FF}]+"")), ""[-–]+$"", """")), """"), GOOGLETRANSLATE('AYIRA MINI MART FINAL MENU - Pr'!B589, ""ar"", ""en"")))"),"Chocolates")</f>
        <v>Chocolates</v>
      </c>
      <c r="C589" s="58">
        <f>IF('AYIRA MINI MART FINAL MENU - Pr'!C589="", "", 'AYIRA MINI MART FINAL MENU - Pr'!C589)</f>
        <v>1.5</v>
      </c>
      <c r="D589" s="56" t="str">
        <f>IFERROR(__xludf.DUMMYFUNCTION("IF('AYIRA MINI MART FINAL MENU - Pr'!D589="""", """", GOOGLETRANSLATE('AYIRA MINI MART FINAL MENU - Pr'!D589, ""ar"", ""en""))"),"Don't be able to resist the taste of Ülker Rulokat 24 GM, your perfect companion for relaxing and watching matches. Its unique crunch and varied flavors make every handful a delightful experience. Prepared with the finest ingredients using the latest manu"&amp;"facturing techniques to guarantee an unparalleled taste. Ideal as a snack for adults and children between meals. Aira Mini Mart offers it in the size and flavor that suits you best.")</f>
        <v>Don't be able to resist the taste of Ülker Rulokat 24 GM, your perfect companion for relaxing and watching matches. Its unique crunch and varied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589" s="56" t="str">
        <f>IF('AYIRA MINI MART FINAL MENU - Pr'!K589="", "", 'AYIRA MINI MART FINAL MENU - Pr'!K589)</f>
        <v/>
      </c>
      <c r="F589" s="56"/>
      <c r="G589" s="56"/>
      <c r="H589" s="56"/>
      <c r="I589" s="56"/>
      <c r="J589" s="56"/>
      <c r="L589" s="56" t="str">
        <f>IF('AYIRA MINI MART FINAL MENU - Pr'!L589="", "", 'AYIRA MINI MART FINAL MENU - Pr'!L589)</f>
        <v/>
      </c>
      <c r="M589" s="56" t="str">
        <f>IF('AYIRA MINI MART FINAL MENU - Pr'!M589="", "", 'AYIRA MINI MART FINAL MENU - Pr'!M589)</f>
        <v/>
      </c>
      <c r="N589" s="56" t="str">
        <f>IF('AYIRA MINI MART FINAL MENU - Pr'!N589="", "", 'AYIRA MINI MART FINAL MENU - Pr'!N589)</f>
        <v/>
      </c>
      <c r="O589" s="57"/>
      <c r="P589" s="57"/>
      <c r="Q589" s="57"/>
      <c r="R589" s="57"/>
      <c r="S589" s="57"/>
      <c r="T589" s="57"/>
      <c r="U589" s="57"/>
      <c r="V589" s="57"/>
      <c r="W589" s="57"/>
      <c r="X589" s="57"/>
      <c r="Y589" s="57"/>
      <c r="Z589" s="57"/>
    </row>
    <row r="590">
      <c r="A590" s="56" t="str">
        <f>IFERROR(__xludf.DUMMYFUNCTION("IF('AYIRA MINI MART FINAL MENU - Pr'!A590="""", """", IF(LEN(IFERROR(TRIM(REGEXREPLACE(TRIM(REGEXEXTRACT('AYIRA MINI MART FINAL MENU - Pr'!A590, ""^[^\x{0600}-\x{06FF}]+"")), ""[-–]+$"", """")), """"))&gt;0, IFERROR(TRIM(REGEXREPLACE(TRIM(REGEXEXTRACT('AYIRA"&amp;" MINI MART FINAL MENU - Pr'!A590, ""^[^\x{0600}-\x{06FF}]+"")), ""[-–]+$"", """")), """"), GOOGLETRANSLATE('AYIRA MINI MART FINAL MENU - Pr'!A590, ""ar"", ""en"")))"),"Jordina Tropi 35 GM")</f>
        <v>Jordina Tropi 35 GM</v>
      </c>
      <c r="B590" s="56" t="str">
        <f>IFERROR(__xludf.DUMMYFUNCTION("IF('AYIRA MINI MART FINAL MENU - Pr'!B590="""", """", IF(LEN(IFERROR(TRIM(REGEXREPLACE(TRIM(REGEXEXTRACT('AYIRA MINI MART FINAL MENU - Pr'!B590, ""^[^\x{0600}-\x{06FF}]+"")), ""[-–]+$"", """")), """"))&gt;0, IFERROR(TRIM(REGEXREPLACE(TRIM(REGEXEXTRACT('AYIRA"&amp;" MINI MART FINAL MENU - Pr'!B590, ""^[^\x{0600}-\x{06FF}]+"")), ""[-–]+$"", """")), """"), GOOGLETRANSLATE('AYIRA MINI MART FINAL MENU - Pr'!B590, ""ar"", ""en"")))"),"Chocolates")</f>
        <v>Chocolates</v>
      </c>
      <c r="C590" s="56" t="str">
        <f>IF('AYIRA MINI MART FINAL MENU - Pr'!C590="", "", 'AYIRA MINI MART FINAL MENU - Pr'!C590)</f>
        <v/>
      </c>
      <c r="D590" s="56" t="str">
        <f>IFERROR(__xludf.DUMMYFUNCTION("IF('AYIRA MINI MART FINAL MENU - Pr'!D590="""", """", GOOGLETRANSLATE('AYIRA MINI MART FINAL MENU - Pr'!D590, ""ar"", ""en""))"),"Don't be able to resist the taste of Jordina Tropi 35 GM, your perfect companion for relaxing and watching the game. Its unique crunch and diverse flavors make every handful a delightful experience. Prepared with the finest ingredients using the latest ma"&amp;"nufacturing techniques to guarantee an unparalleled taste. Ideal as a snack for adults and children between meals. Aira Mini Mart offers it in the size and flavor that suits you best.")</f>
        <v>Don't be able to resist the taste of Jordina Tropi 35 GM,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590" s="56" t="str">
        <f>IF('AYIRA MINI MART FINAL MENU - Pr'!K590="", "", 'AYIRA MINI MART FINAL MENU - Pr'!K590)</f>
        <v/>
      </c>
      <c r="F590" s="56"/>
      <c r="G590" s="56"/>
      <c r="H590" s="56"/>
      <c r="I590" s="56"/>
      <c r="J590" s="56"/>
      <c r="L590" s="56" t="str">
        <f>IF('AYIRA MINI MART FINAL MENU - Pr'!L590="", "", 'AYIRA MINI MART FINAL MENU - Pr'!L590)</f>
        <v/>
      </c>
      <c r="M590" s="56" t="str">
        <f>IF('AYIRA MINI MART FINAL MENU - Pr'!M590="", "", 'AYIRA MINI MART FINAL MENU - Pr'!M590)</f>
        <v/>
      </c>
      <c r="N590" s="56" t="str">
        <f>IF('AYIRA MINI MART FINAL MENU - Pr'!N590="", "", 'AYIRA MINI MART FINAL MENU - Pr'!N590)</f>
        <v/>
      </c>
      <c r="O590" s="57"/>
      <c r="P590" s="57"/>
      <c r="Q590" s="57"/>
      <c r="R590" s="57"/>
      <c r="S590" s="57"/>
      <c r="T590" s="57"/>
      <c r="U590" s="57"/>
      <c r="V590" s="57"/>
      <c r="W590" s="57"/>
      <c r="X590" s="57"/>
      <c r="Y590" s="57"/>
      <c r="Z590" s="57"/>
    </row>
    <row r="591">
      <c r="A591" s="56" t="str">
        <f>IFERROR(__xludf.DUMMYFUNCTION("IF('AYIRA MINI MART FINAL MENU - Pr'!A591="""", """", IF(LEN(IFERROR(TRIM(REGEXREPLACE(TRIM(REGEXEXTRACT('AYIRA MINI MART FINAL MENU - Pr'!A591, ""^[^\x{0600}-\x{06FF}]+"")), ""[-–]+$"", """")), """"))&gt;0, IFERROR(TRIM(REGEXREPLACE(TRIM(REGEXEXTRACT('AYIRA"&amp;" MINI MART FINAL MENU - Pr'!A591, ""^[^\x{0600}-\x{06FF}]+"")), ""[-–]+$"", """")), """"), GOOGLETRANSLATE('AYIRA MINI MART FINAL MENU - Pr'!A591, ""ar"", ""en"")))"),"Ülker Çikolatalı Gofret 36 GM")</f>
        <v>Ülker Çikolatalı Gofret 36 GM</v>
      </c>
      <c r="B591" s="56" t="str">
        <f>IFERROR(__xludf.DUMMYFUNCTION("IF('AYIRA MINI MART FINAL MENU - Pr'!B591="""", """", IF(LEN(IFERROR(TRIM(REGEXREPLACE(TRIM(REGEXEXTRACT('AYIRA MINI MART FINAL MENU - Pr'!B591, ""^[^\x{0600}-\x{06FF}]+"")), ""[-–]+$"", """")), """"))&gt;0, IFERROR(TRIM(REGEXREPLACE(TRIM(REGEXEXTRACT('AYIRA"&amp;" MINI MART FINAL MENU - Pr'!B591, ""^[^\x{0600}-\x{06FF}]+"")), ""[-–]+$"", """")), """"), GOOGLETRANSLATE('AYIRA MINI MART FINAL MENU - Pr'!B591, ""ar"", ""en"")))"),"Chocolates")</f>
        <v>Chocolates</v>
      </c>
      <c r="C591" s="58">
        <f>IF('AYIRA MINI MART FINAL MENU - Pr'!C591="", "", 'AYIRA MINI MART FINAL MENU - Pr'!C591)</f>
        <v>2</v>
      </c>
      <c r="D591" s="56" t="str">
        <f>IFERROR(__xludf.DUMMYFUNCTION("IF('AYIRA MINI MART FINAL MENU - Pr'!D591="""", """", GOOGLETRANSLATE('AYIRA MINI MART FINAL MENU - Pr'!D591, ""ar"", ""en""))"),"Don't be able to resist the taste of Ülker Çikolatalı Gofret 36 GM, your perfect companion for relaxing and watching the game. Its unique crunch and diverse flavors make every handful a delightful experience. Prepared with the finest ingredients using the"&amp;" latest manufacturing techniques to guarantee an unparalleled taste. Ideal as a snack for adults and children alike between meals. Aira Mini Mart offers it in the perfect size and flavor for you.")</f>
        <v>Don't be able to resist the taste of Ülker Çikolatalı Gofret 36 GM,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591" s="56" t="str">
        <f>IF('AYIRA MINI MART FINAL MENU - Pr'!K591="", "", 'AYIRA MINI MART FINAL MENU - Pr'!K591)</f>
        <v/>
      </c>
      <c r="F591" s="56"/>
      <c r="G591" s="56"/>
      <c r="H591" s="56"/>
      <c r="I591" s="56"/>
      <c r="J591" s="56"/>
      <c r="L591" s="56" t="str">
        <f>IF('AYIRA MINI MART FINAL MENU - Pr'!L591="", "", 'AYIRA MINI MART FINAL MENU - Pr'!L591)</f>
        <v/>
      </c>
      <c r="M591" s="56" t="str">
        <f>IF('AYIRA MINI MART FINAL MENU - Pr'!M591="", "", 'AYIRA MINI MART FINAL MENU - Pr'!M591)</f>
        <v/>
      </c>
      <c r="N591" s="56" t="str">
        <f>IF('AYIRA MINI MART FINAL MENU - Pr'!N591="", "", 'AYIRA MINI MART FINAL MENU - Pr'!N591)</f>
        <v/>
      </c>
      <c r="O591" s="57"/>
      <c r="P591" s="57"/>
      <c r="Q591" s="57"/>
      <c r="R591" s="57"/>
      <c r="S591" s="57"/>
      <c r="T591" s="57"/>
      <c r="U591" s="57"/>
      <c r="V591" s="57"/>
      <c r="W591" s="57"/>
      <c r="X591" s="57"/>
      <c r="Y591" s="57"/>
      <c r="Z591" s="57"/>
    </row>
    <row r="592">
      <c r="A592" s="56" t="str">
        <f>IFERROR(__xludf.DUMMYFUNCTION("IF('AYIRA MINI MART FINAL MENU - Pr'!A592="""", """", IF(LEN(IFERROR(TRIM(REGEXREPLACE(TRIM(REGEXEXTRACT('AYIRA MINI MART FINAL MENU - Pr'!A592, ""^[^\x{0600}-\x{06FF}]+"")), ""[-–]+$"", """")), """"))&gt;0, IFERROR(TRIM(REGEXREPLACE(TRIM(REGEXEXTRACT('AYIRA"&amp;" MINI MART FINAL MENU - Pr'!A592, ""^[^\x{0600}-\x{06FF}]+"")), ""[-–]+$"", """")), """"), GOOGLETRANSLATE('AYIRA MINI MART FINAL MENU - Pr'!A592, ""ar"", ""en"")))"),"Loacker Classic Cremkakao 45 GM – Loacker")</f>
        <v>Loacker Classic Cremkakao 45 GM – Loacker</v>
      </c>
      <c r="B592" s="56" t="str">
        <f>IFERROR(__xludf.DUMMYFUNCTION("IF('AYIRA MINI MART FINAL MENU - Pr'!B592="""", """", IF(LEN(IFERROR(TRIM(REGEXREPLACE(TRIM(REGEXEXTRACT('AYIRA MINI MART FINAL MENU - Pr'!B592, ""^[^\x{0600}-\x{06FF}]+"")), ""[-–]+$"", """")), """"))&gt;0, IFERROR(TRIM(REGEXREPLACE(TRIM(REGEXEXTRACT('AYIRA"&amp;" MINI MART FINAL MENU - Pr'!B592, ""^[^\x{0600}-\x{06FF}]+"")), ""[-–]+$"", """")), """"), GOOGLETRANSLATE('AYIRA MINI MART FINAL MENU - Pr'!B592, ""ar"", ""en"")))"),"Chocolates")</f>
        <v>Chocolates</v>
      </c>
      <c r="C592" s="58">
        <f>IF('AYIRA MINI MART FINAL MENU - Pr'!C592="", "", 'AYIRA MINI MART FINAL MENU - Pr'!C592)</f>
        <v>3</v>
      </c>
      <c r="D592" s="56" t="str">
        <f>IFERROR(__xludf.DUMMYFUNCTION("IF('AYIRA MINI MART FINAL MENU - Pr'!D592="""", """", GOOGLETRANSLATE('AYIRA MINI MART FINAL MENU - Pr'!D592, ""ar"", ""en""))"),"Don't be able to resist the taste of Loacker Classic Cremkakao 45 GM, your perfect companion for relaxing and watching the game. Its unique crunch and varied flavors make every handful a delightful experience. Prepared with the finest ingredients using th"&amp;"e latest manufacturing techniques to ensure an unparalleled taste. Ideal as a snack for adults and children alike between meals. Aira Mini Mart offers it in the perfect size and flavor for you.")</f>
        <v>Don't be able to resist the taste of Loacker Classic Cremkakao 45 GM,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592" s="56" t="str">
        <f>IF('AYIRA MINI MART FINAL MENU - Pr'!K592="", "", 'AYIRA MINI MART FINAL MENU - Pr'!K592)</f>
        <v/>
      </c>
      <c r="F592" s="56"/>
      <c r="G592" s="56"/>
      <c r="H592" s="56"/>
      <c r="I592" s="56"/>
      <c r="J592" s="56"/>
      <c r="L592" s="56" t="str">
        <f>IF('AYIRA MINI MART FINAL MENU - Pr'!L592="", "", 'AYIRA MINI MART FINAL MENU - Pr'!L592)</f>
        <v/>
      </c>
      <c r="M592" s="56" t="str">
        <f>IF('AYIRA MINI MART FINAL MENU - Pr'!M592="", "", 'AYIRA MINI MART FINAL MENU - Pr'!M592)</f>
        <v/>
      </c>
      <c r="N592" s="56" t="str">
        <f>IF('AYIRA MINI MART FINAL MENU - Pr'!N592="", "", 'AYIRA MINI MART FINAL MENU - Pr'!N592)</f>
        <v/>
      </c>
      <c r="O592" s="57"/>
      <c r="P592" s="57"/>
      <c r="Q592" s="57"/>
      <c r="R592" s="57"/>
      <c r="S592" s="57"/>
      <c r="T592" s="57"/>
      <c r="U592" s="57"/>
      <c r="V592" s="57"/>
      <c r="W592" s="57"/>
      <c r="X592" s="57"/>
      <c r="Y592" s="57"/>
      <c r="Z592" s="57"/>
    </row>
    <row r="593">
      <c r="A593" s="56" t="str">
        <f>IFERROR(__xludf.DUMMYFUNCTION("IF('AYIRA MINI MART FINAL MENU - Pr'!A593="""", """", IF(LEN(IFERROR(TRIM(REGEXREPLACE(TRIM(REGEXEXTRACT('AYIRA MINI MART FINAL MENU - Pr'!A593, ""^[^\x{0600}-\x{06FF}]+"")), ""[-–]+$"", """")), """"))&gt;0, IFERROR(TRIM(REGEXREPLACE(TRIM(REGEXEXTRACT('AYIRA"&amp;" MINI MART FINAL MENU - Pr'!A593, ""^[^\x{0600}-\x{06FF}]+"")), ""[-–]+$"", """")), """"), GOOGLETRANSLATE('AYIRA MINI MART FINAL MENU - Pr'!A593, ""ar"", ""en"")))"),"Loacker Classic Napolitaner 45 GM – Loacker")</f>
        <v>Loacker Classic Napolitaner 45 GM – Loacker</v>
      </c>
      <c r="B593" s="56" t="str">
        <f>IFERROR(__xludf.DUMMYFUNCTION("IF('AYIRA MINI MART FINAL MENU - Pr'!B593="""", """", IF(LEN(IFERROR(TRIM(REGEXREPLACE(TRIM(REGEXEXTRACT('AYIRA MINI MART FINAL MENU - Pr'!B593, ""^[^\x{0600}-\x{06FF}]+"")), ""[-–]+$"", """")), """"))&gt;0, IFERROR(TRIM(REGEXREPLACE(TRIM(REGEXEXTRACT('AYIRA"&amp;" MINI MART FINAL MENU - Pr'!B593, ""^[^\x{0600}-\x{06FF}]+"")), ""[-–]+$"", """")), """"), GOOGLETRANSLATE('AYIRA MINI MART FINAL MENU - Pr'!B593, ""ar"", ""en"")))"),"Chocolates")</f>
        <v>Chocolates</v>
      </c>
      <c r="C593" s="58">
        <f>IF('AYIRA MINI MART FINAL MENU - Pr'!C593="", "", 'AYIRA MINI MART FINAL MENU - Pr'!C593)</f>
        <v>3</v>
      </c>
      <c r="D593" s="56" t="str">
        <f>IFERROR(__xludf.DUMMYFUNCTION("IF('AYIRA MINI MART FINAL MENU - Pr'!D593="""", """", GOOGLETRANSLATE('AYIRA MINI MART FINAL MENU - Pr'!D593, ""ar"", ""en""))"),"Don't be able to resist the taste of Loacker Classic Napolitaner 45 GM, your perfect companion for relaxing and watching the game. Its unique crunch and varied flavors make every handful a delightful experience. Prepared with the finest ingredients using "&amp;"the latest manufacturing techniques to ensure an unparalleled taste. Ideal as a snack for adults and children alike between meals. Aira Mini Mart offers it in the perfect size and flavor for you.")</f>
        <v>Don't be able to resist the taste of Loacker Classic Napolitaner 45 GM,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593" s="56" t="str">
        <f>IF('AYIRA MINI MART FINAL MENU - Pr'!K593="", "", 'AYIRA MINI MART FINAL MENU - Pr'!K593)</f>
        <v/>
      </c>
      <c r="F593" s="56"/>
      <c r="G593" s="56"/>
      <c r="H593" s="56"/>
      <c r="I593" s="56"/>
      <c r="J593" s="56"/>
      <c r="L593" s="56" t="str">
        <f>IF('AYIRA MINI MART FINAL MENU - Pr'!L593="", "", 'AYIRA MINI MART FINAL MENU - Pr'!L593)</f>
        <v/>
      </c>
      <c r="M593" s="56" t="str">
        <f>IF('AYIRA MINI MART FINAL MENU - Pr'!M593="", "", 'AYIRA MINI MART FINAL MENU - Pr'!M593)</f>
        <v/>
      </c>
      <c r="N593" s="56" t="str">
        <f>IF('AYIRA MINI MART FINAL MENU - Pr'!N593="", "", 'AYIRA MINI MART FINAL MENU - Pr'!N593)</f>
        <v/>
      </c>
      <c r="O593" s="57"/>
      <c r="P593" s="57"/>
      <c r="Q593" s="57"/>
      <c r="R593" s="57"/>
      <c r="S593" s="57"/>
      <c r="T593" s="57"/>
      <c r="U593" s="57"/>
      <c r="V593" s="57"/>
      <c r="W593" s="57"/>
      <c r="X593" s="57"/>
      <c r="Y593" s="57"/>
      <c r="Z593" s="57"/>
    </row>
    <row r="594">
      <c r="A594" s="56" t="str">
        <f>IFERROR(__xludf.DUMMYFUNCTION("IF('AYIRA MINI MART FINAL MENU - Pr'!A594="""", """", IF(LEN(IFERROR(TRIM(REGEXREPLACE(TRIM(REGEXEXTRACT('AYIRA MINI MART FINAL MENU - Pr'!A594, ""^[^\x{0600}-\x{06FF}]+"")), ""[-–]+$"", """")), """"))&gt;0, IFERROR(TRIM(REGEXREPLACE(TRIM(REGEXEXTRACT('AYIRA"&amp;" MINI MART FINAL MENU - Pr'!A594, ""^[^\x{0600}-\x{06FF}]+"")), ""[-–]+$"", """")), """"), GOOGLETRANSLATE('AYIRA MINI MART FINAL MENU - Pr'!A594, ""ar"", ""en"")))"),"Maltesers 37 GM")</f>
        <v>Maltesers 37 GM</v>
      </c>
      <c r="B594" s="56" t="str">
        <f>IFERROR(__xludf.DUMMYFUNCTION("IF('AYIRA MINI MART FINAL MENU - Pr'!B594="""", """", IF(LEN(IFERROR(TRIM(REGEXREPLACE(TRIM(REGEXEXTRACT('AYIRA MINI MART FINAL MENU - Pr'!B594, ""^[^\x{0600}-\x{06FF}]+"")), ""[-–]+$"", """")), """"))&gt;0, IFERROR(TRIM(REGEXREPLACE(TRIM(REGEXEXTRACT('AYIRA"&amp;" MINI MART FINAL MENU - Pr'!B594, ""^[^\x{0600}-\x{06FF}]+"")), ""[-–]+$"", """")), """"), GOOGLETRANSLATE('AYIRA MINI MART FINAL MENU - Pr'!B594, ""ar"", ""en"")))"),"Chocolates")</f>
        <v>Chocolates</v>
      </c>
      <c r="C594" s="58">
        <f>IF('AYIRA MINI MART FINAL MENU - Pr'!C594="", "", 'AYIRA MINI MART FINAL MENU - Pr'!C594)</f>
        <v>4.5</v>
      </c>
      <c r="D594" s="56" t="str">
        <f>IFERROR(__xludf.DUMMYFUNCTION("IF('AYIRA MINI MART FINAL MENU - Pr'!D594="""", """", GOOGLETRANSLATE('AYIRA MINI MART FINAL MENU - Pr'!D594, ""ar"", ""en""))"),"Don't be able to resist the taste of Maltesers 37 GM, your perfect companion for relaxing and watching the game. Their unique crunch and diverse flavors make every handful a delightful experience. Made with the finest ingredients using the latest manufact"&amp;"uring techniques to guarantee an unparalleled taste. Ideal as a snack for adults and children alike between meals. Aira Mini Mart offers them in the perfect size and flavor for you.")</f>
        <v>Don't be able to resist the taste of Maltesers 37 GM,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594" s="56" t="str">
        <f>IF('AYIRA MINI MART FINAL MENU - Pr'!K594="", "", 'AYIRA MINI MART FINAL MENU - Pr'!K594)</f>
        <v/>
      </c>
      <c r="F594" s="56"/>
      <c r="G594" s="56"/>
      <c r="H594" s="56"/>
      <c r="I594" s="56"/>
      <c r="J594" s="56"/>
      <c r="L594" s="56" t="str">
        <f>IF('AYIRA MINI MART FINAL MENU - Pr'!L594="", "", 'AYIRA MINI MART FINAL MENU - Pr'!L594)</f>
        <v/>
      </c>
      <c r="M594" s="56" t="str">
        <f>IF('AYIRA MINI MART FINAL MENU - Pr'!M594="", "", 'AYIRA MINI MART FINAL MENU - Pr'!M594)</f>
        <v/>
      </c>
      <c r="N594" s="56" t="str">
        <f>IF('AYIRA MINI MART FINAL MENU - Pr'!N594="", "", 'AYIRA MINI MART FINAL MENU - Pr'!N594)</f>
        <v/>
      </c>
      <c r="O594" s="57"/>
      <c r="P594" s="57"/>
      <c r="Q594" s="57"/>
      <c r="R594" s="57"/>
      <c r="S594" s="57"/>
      <c r="T594" s="57"/>
      <c r="U594" s="57"/>
      <c r="V594" s="57"/>
      <c r="W594" s="57"/>
      <c r="X594" s="57"/>
      <c r="Y594" s="57"/>
      <c r="Z594" s="57"/>
    </row>
    <row r="595">
      <c r="A595" s="56" t="str">
        <f>IFERROR(__xludf.DUMMYFUNCTION("IF('AYIRA MINI MART FINAL MENU - Pr'!A595="""", """", IF(LEN(IFERROR(TRIM(REGEXREPLACE(TRIM(REGEXEXTRACT('AYIRA MINI MART FINAL MENU - Pr'!A595, ""^[^\x{0600}-\x{06FF}]+"")), ""[-–]+$"", """")), """"))&gt;0, IFERROR(TRIM(REGEXREPLACE(TRIM(REGEXEXTRACT('AYIRA"&amp;" MINI MART FINAL MENU - Pr'!A595, ""^[^\x{0600}-\x{06FF}]+"")), ""[-–]+$"", """")), """"), GOOGLETRANSLATE('AYIRA MINI MART FINAL MENU - Pr'!A595, ""ar"", ""en"")))"),"Astor Mini Stick 20 GM – Astor")</f>
        <v>Astor Mini Stick 20 GM – Astor</v>
      </c>
      <c r="B595" s="56" t="str">
        <f>IFERROR(__xludf.DUMMYFUNCTION("IF('AYIRA MINI MART FINAL MENU - Pr'!B595="""", """", IF(LEN(IFERROR(TRIM(REGEXREPLACE(TRIM(REGEXEXTRACT('AYIRA MINI MART FINAL MENU - Pr'!B595, ""^[^\x{0600}-\x{06FF}]+"")), ""[-–]+$"", """")), """"))&gt;0, IFERROR(TRIM(REGEXREPLACE(TRIM(REGEXEXTRACT('AYIRA"&amp;" MINI MART FINAL MENU - Pr'!B595, ""^[^\x{0600}-\x{06FF}]+"")), ""[-–]+$"", """")), """"), GOOGLETRANSLATE('AYIRA MINI MART FINAL MENU - Pr'!B595, ""ar"", ""en"")))"),"Chocolates")</f>
        <v>Chocolates</v>
      </c>
      <c r="C595" s="58">
        <f>IF('AYIRA MINI MART FINAL MENU - Pr'!C595="", "", 'AYIRA MINI MART FINAL MENU - Pr'!C595)</f>
        <v>1</v>
      </c>
      <c r="D595" s="56" t="str">
        <f>IFERROR(__xludf.DUMMYFUNCTION("IF('AYIRA MINI MART FINAL MENU - Pr'!D595="""", """", GOOGLETRANSLATE('AYIRA MINI MART FINAL MENU - Pr'!D595, ""ar"", ""en""))"),"Don't be able to resist the taste of Astor Mini Stick 20 GM, your perfect companion for relaxing and watching the game. Its unique crunch and diverse flavors make every handful a delightful experience. Prepared with the finest ingredients using the latest"&amp;" manufacturing techniques to ensure an unparalleled taste. Ideal as a snack for adults and children between meals. Aira Mini Mart offers it in the perfect size and flavor for you.")</f>
        <v>Don't be able to resist the taste of Astor Mini Stick 20 GM,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595" s="56" t="str">
        <f>IF('AYIRA MINI MART FINAL MENU - Pr'!K595="", "", 'AYIRA MINI MART FINAL MENU - Pr'!K595)</f>
        <v/>
      </c>
      <c r="F595" s="56"/>
      <c r="G595" s="56"/>
      <c r="H595" s="56"/>
      <c r="I595" s="56"/>
      <c r="J595" s="56"/>
      <c r="L595" s="56" t="str">
        <f>IF('AYIRA MINI MART FINAL MENU - Pr'!L595="", "", 'AYIRA MINI MART FINAL MENU - Pr'!L595)</f>
        <v/>
      </c>
      <c r="M595" s="56" t="str">
        <f>IF('AYIRA MINI MART FINAL MENU - Pr'!M595="", "", 'AYIRA MINI MART FINAL MENU - Pr'!M595)</f>
        <v/>
      </c>
      <c r="N595" s="56" t="str">
        <f>IF('AYIRA MINI MART FINAL MENU - Pr'!N595="", "", 'AYIRA MINI MART FINAL MENU - Pr'!N595)</f>
        <v/>
      </c>
      <c r="O595" s="57"/>
      <c r="P595" s="57"/>
      <c r="Q595" s="57"/>
      <c r="R595" s="57"/>
      <c r="S595" s="57"/>
      <c r="T595" s="57"/>
      <c r="U595" s="57"/>
      <c r="V595" s="57"/>
      <c r="W595" s="57"/>
      <c r="X595" s="57"/>
      <c r="Y595" s="57"/>
      <c r="Z595" s="57"/>
    </row>
    <row r="596">
      <c r="A596" s="56" t="str">
        <f>IFERROR(__xludf.DUMMYFUNCTION("IF('AYIRA MINI MART FINAL MENU - Pr'!A596="""", """", IF(LEN(IFERROR(TRIM(REGEXREPLACE(TRIM(REGEXEXTRACT('AYIRA MINI MART FINAL MENU - Pr'!A596, ""^[^\x{0600}-\x{06FF}]+"")), ""[-–]+$"", """")), """"))&gt;0, IFERROR(TRIM(REGEXREPLACE(TRIM(REGEXEXTRACT('AYIRA"&amp;" MINI MART FINAL MENU - Pr'!A596, ""^[^\x{0600}-\x{06FF}]+"")), ""[-–]+$"", """")), """"), GOOGLETRANSLATE('AYIRA MINI MART FINAL MENU - Pr'!A596, ""ar"", ""en"")))"),"M&amp;M’s Chocolate 45 GM – M&amp;M’s")</f>
        <v>M&amp;M’s Chocolate 45 GM – M&amp;M’s</v>
      </c>
      <c r="B596" s="56" t="str">
        <f>IFERROR(__xludf.DUMMYFUNCTION("IF('AYIRA MINI MART FINAL MENU - Pr'!B596="""", """", IF(LEN(IFERROR(TRIM(REGEXREPLACE(TRIM(REGEXEXTRACT('AYIRA MINI MART FINAL MENU - Pr'!B596, ""^[^\x{0600}-\x{06FF}]+"")), ""[-–]+$"", """")), """"))&gt;0, IFERROR(TRIM(REGEXREPLACE(TRIM(REGEXEXTRACT('AYIRA"&amp;" MINI MART FINAL MENU - Pr'!B596, ""^[^\x{0600}-\x{06FF}]+"")), ""[-–]+$"", """")), """"), GOOGLETRANSLATE('AYIRA MINI MART FINAL MENU - Pr'!B596, ""ar"", ""en"")))"),"Chocolates")</f>
        <v>Chocolates</v>
      </c>
      <c r="C596" s="58">
        <f>IF('AYIRA MINI MART FINAL MENU - Pr'!C596="", "", 'AYIRA MINI MART FINAL MENU - Pr'!C596)</f>
        <v>4</v>
      </c>
      <c r="D596" s="56" t="str">
        <f>IFERROR(__xludf.DUMMYFUNCTION("IF('AYIRA MINI MART FINAL MENU - Pr'!D596="""", """", GOOGLETRANSLATE('AYIRA MINI MART FINAL MENU - Pr'!D596, ""ar"", ""en""))"),"Indulge your senses with M&amp;M's, the premium chocolate that combines rich flavor with a perfect texture. Made from the finest selected cocoa beans, it delivers an exceptional sweet treat every time. Whether you're looking for a special gift or want to trea"&amp;"t yourself, this chocolate is the perfect choice. Savor every piece and immerse yourself in a world of smoothness and sweetness. Get yours from Aira Mini Mart and experience moments of pure delight.")</f>
        <v>Indulge your senses with M&amp;M's, the premium chocolate that combines rich flavor with a perfect texture. Made from the finest selected cocoa beans, it delivers an exceptional sweet treat every time. Whether you're looking for a special gift or want to treat yourself, this chocolate is the perfect choice. Savor every piece and immerse yourself in a world of smoothness and sweetness. Get yours from Aira Mini Mart and experience moments of pure delight.</v>
      </c>
      <c r="E596" s="56" t="str">
        <f>IF('AYIRA MINI MART FINAL MENU - Pr'!K596="", "", 'AYIRA MINI MART FINAL MENU - Pr'!K596)</f>
        <v/>
      </c>
      <c r="F596" s="56"/>
      <c r="G596" s="56"/>
      <c r="H596" s="56"/>
      <c r="I596" s="56"/>
      <c r="J596" s="56"/>
      <c r="L596" s="56" t="str">
        <f>IF('AYIRA MINI MART FINAL MENU - Pr'!L596="", "", 'AYIRA MINI MART FINAL MENU - Pr'!L596)</f>
        <v/>
      </c>
      <c r="M596" s="56" t="str">
        <f>IF('AYIRA MINI MART FINAL MENU - Pr'!M596="", "", 'AYIRA MINI MART FINAL MENU - Pr'!M596)</f>
        <v/>
      </c>
      <c r="N596" s="56" t="str">
        <f>IF('AYIRA MINI MART FINAL MENU - Pr'!N596="", "", 'AYIRA MINI MART FINAL MENU - Pr'!N596)</f>
        <v/>
      </c>
      <c r="O596" s="57"/>
      <c r="P596" s="57"/>
      <c r="Q596" s="57"/>
      <c r="R596" s="57"/>
      <c r="S596" s="57"/>
      <c r="T596" s="57"/>
      <c r="U596" s="57"/>
      <c r="V596" s="57"/>
      <c r="W596" s="57"/>
      <c r="X596" s="57"/>
      <c r="Y596" s="57"/>
      <c r="Z596" s="57"/>
    </row>
    <row r="597">
      <c r="A597" s="56" t="str">
        <f>IFERROR(__xludf.DUMMYFUNCTION("IF('AYIRA MINI MART FINAL MENU - Pr'!A597="""", """", IF(LEN(IFERROR(TRIM(REGEXREPLACE(TRIM(REGEXEXTRACT('AYIRA MINI MART FINAL MENU - Pr'!A597, ""^[^\x{0600}-\x{06FF}]+"")), ""[-–]+$"", """")), """"))&gt;0, IFERROR(TRIM(REGEXREPLACE(TRIM(REGEXEXTRACT('AYIRA"&amp;" MINI MART FINAL MENU - Pr'!A597, ""^[^\x{0600}-\x{06FF}]+"")), ""[-–]+$"", """")), """"), GOOGLETRANSLATE('AYIRA MINI MART FINAL MENU - Pr'!A597, ""ar"", ""en"")))"),"Nestlé Lion 30 GM")</f>
        <v>Nestlé Lion 30 GM</v>
      </c>
      <c r="B597" s="56" t="str">
        <f>IFERROR(__xludf.DUMMYFUNCTION("IF('AYIRA MINI MART FINAL MENU - Pr'!B597="""", """", IF(LEN(IFERROR(TRIM(REGEXREPLACE(TRIM(REGEXEXTRACT('AYIRA MINI MART FINAL MENU - Pr'!B597, ""^[^\x{0600}-\x{06FF}]+"")), ""[-–]+$"", """")), """"))&gt;0, IFERROR(TRIM(REGEXREPLACE(TRIM(REGEXEXTRACT('AYIRA"&amp;" MINI MART FINAL MENU - Pr'!B597, ""^[^\x{0600}-\x{06FF}]+"")), ""[-–]+$"", """")), """"), GOOGLETRANSLATE('AYIRA MINI MART FINAL MENU - Pr'!B597, ""ar"", ""en"")))"),"Chocolates")</f>
        <v>Chocolates</v>
      </c>
      <c r="C597" s="58">
        <f>IF('AYIRA MINI MART FINAL MENU - Pr'!C597="", "", 'AYIRA MINI MART FINAL MENU - Pr'!C597)</f>
        <v>3</v>
      </c>
      <c r="D597" s="56" t="str">
        <f>IFERROR(__xludf.DUMMYFUNCTION("IF('AYIRA MINI MART FINAL MENU - Pr'!D597="""", """", GOOGLETRANSLATE('AYIRA MINI MART FINAL MENU - Pr'!D597, ""ar"", ""en""))"),"Don't be able to resist the taste of Nestlé Lion 30g, your perfect companion for relaxing and watching the game. Its unique crunch and diverse flavors make every handful a delightful experience. Prepared with the finest ingredients using the latest manufa"&amp;"cturing techniques to guarantee an unparalleled taste. Ideal as a snack for adults and children between meals. Aira Mini Mart offers it in the perfect size and flavor for you.")</f>
        <v>Don't be able to resist the taste of Nestlé Lion 30g,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597" s="56" t="str">
        <f>IF('AYIRA MINI MART FINAL MENU - Pr'!K597="", "", 'AYIRA MINI MART FINAL MENU - Pr'!K597)</f>
        <v/>
      </c>
      <c r="F597" s="56"/>
      <c r="G597" s="56"/>
      <c r="H597" s="56"/>
      <c r="I597" s="56"/>
      <c r="J597" s="56"/>
      <c r="L597" s="56" t="str">
        <f>IF('AYIRA MINI MART FINAL MENU - Pr'!L597="", "", 'AYIRA MINI MART FINAL MENU - Pr'!L597)</f>
        <v/>
      </c>
      <c r="M597" s="56" t="str">
        <f>IF('AYIRA MINI MART FINAL MENU - Pr'!M597="", "", 'AYIRA MINI MART FINAL MENU - Pr'!M597)</f>
        <v/>
      </c>
      <c r="N597" s="56" t="str">
        <f>IF('AYIRA MINI MART FINAL MENU - Pr'!N597="", "", 'AYIRA MINI MART FINAL MENU - Pr'!N597)</f>
        <v/>
      </c>
      <c r="O597" s="57"/>
      <c r="P597" s="57"/>
      <c r="Q597" s="57"/>
      <c r="R597" s="57"/>
      <c r="S597" s="57"/>
      <c r="T597" s="57"/>
      <c r="U597" s="57"/>
      <c r="V597" s="57"/>
      <c r="W597" s="57"/>
      <c r="X597" s="57"/>
      <c r="Y597" s="57"/>
      <c r="Z597" s="57"/>
    </row>
    <row r="598">
      <c r="A598" s="56" t="str">
        <f>IFERROR(__xludf.DUMMYFUNCTION("IF('AYIRA MINI MART FINAL MENU - Pr'!A598="""", """", IF(LEN(IFERROR(TRIM(REGEXREPLACE(TRIM(REGEXEXTRACT('AYIRA MINI MART FINAL MENU - Pr'!A598, ""^[^\x{0600}-\x{06FF}]+"")), ""[-–]+$"", """")), """"))&gt;0, IFERROR(TRIM(REGEXREPLACE(TRIM(REGEXEXTRACT('AYIRA"&amp;" MINI MART FINAL MENU - Pr'!A598, ""^[^\x{0600}-\x{06FF}]+"")), ""[-–]+$"", """")), """"), GOOGLETRANSLATE('AYIRA MINI MART FINAL MENU - Pr'!A598, ""ar"", ""en"")))"),"M&amp;M’s Peanut 45 GM – M&amp;M’s")</f>
        <v>M&amp;M’s Peanut 45 GM – M&amp;M’s</v>
      </c>
      <c r="B598" s="56" t="str">
        <f>IFERROR(__xludf.DUMMYFUNCTION("IF('AYIRA MINI MART FINAL MENU - Pr'!B598="""", """", IF(LEN(IFERROR(TRIM(REGEXREPLACE(TRIM(REGEXEXTRACT('AYIRA MINI MART FINAL MENU - Pr'!B598, ""^[^\x{0600}-\x{06FF}]+"")), ""[-–]+$"", """")), """"))&gt;0, IFERROR(TRIM(REGEXREPLACE(TRIM(REGEXEXTRACT('AYIRA"&amp;" MINI MART FINAL MENU - Pr'!B598, ""^[^\x{0600}-\x{06FF}]+"")), ""[-–]+$"", """")), """"), GOOGLETRANSLATE('AYIRA MINI MART FINAL MENU - Pr'!B598, ""ar"", ""en"")))"),"Chocolates")</f>
        <v>Chocolates</v>
      </c>
      <c r="C598" s="58">
        <f>IF('AYIRA MINI MART FINAL MENU - Pr'!C598="", "", 'AYIRA MINI MART FINAL MENU - Pr'!C598)</f>
        <v>4</v>
      </c>
      <c r="D598" s="56" t="str">
        <f>IFERROR(__xludf.DUMMYFUNCTION("IF('AYIRA MINI MART FINAL MENU - Pr'!D598="""", """", GOOGLETRANSLATE('AYIRA MINI MART FINAL MENU - Pr'!D598, ""ar"", ""en""))"),"Choose M&amp;M's, natural nuts packed with protein and healthy fats essential for your body. Made from the finest, carefully selected nuts to ensure the highest levels of purity and taste. A perfect healthy and nutritious snack between meals. Supports heart h"&amp;"ealth and provides the energy you need. Available at Aira Mini Mart at the highest quality and best prices.")</f>
        <v>Choose M&amp;M's, natural nuts packed with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at the highest quality and best prices.</v>
      </c>
      <c r="E598" s="56" t="str">
        <f>IF('AYIRA MINI MART FINAL MENU - Pr'!K598="", "", 'AYIRA MINI MART FINAL MENU - Pr'!K598)</f>
        <v/>
      </c>
      <c r="F598" s="56"/>
      <c r="G598" s="56"/>
      <c r="H598" s="56"/>
      <c r="I598" s="56"/>
      <c r="J598" s="56"/>
      <c r="L598" s="56" t="str">
        <f>IF('AYIRA MINI MART FINAL MENU - Pr'!L598="", "", 'AYIRA MINI MART FINAL MENU - Pr'!L598)</f>
        <v/>
      </c>
      <c r="M598" s="56" t="str">
        <f>IF('AYIRA MINI MART FINAL MENU - Pr'!M598="", "", 'AYIRA MINI MART FINAL MENU - Pr'!M598)</f>
        <v/>
      </c>
      <c r="N598" s="56" t="str">
        <f>IF('AYIRA MINI MART FINAL MENU - Pr'!N598="", "", 'AYIRA MINI MART FINAL MENU - Pr'!N598)</f>
        <v/>
      </c>
      <c r="O598" s="57"/>
      <c r="P598" s="57"/>
      <c r="Q598" s="57"/>
      <c r="R598" s="57"/>
      <c r="S598" s="57"/>
      <c r="T598" s="57"/>
      <c r="U598" s="57"/>
      <c r="V598" s="57"/>
      <c r="W598" s="57"/>
      <c r="X598" s="57"/>
      <c r="Y598" s="57"/>
      <c r="Z598" s="57"/>
    </row>
    <row r="599">
      <c r="A599" s="56" t="str">
        <f>IFERROR(__xludf.DUMMYFUNCTION("IF('AYIRA MINI MART FINAL MENU - Pr'!A599="""", """", IF(LEN(IFERROR(TRIM(REGEXREPLACE(TRIM(REGEXEXTRACT('AYIRA MINI MART FINAL MENU - Pr'!A599, ""^[^\x{0600}-\x{06FF}]+"")), ""[-–]+$"", """")), """"))&gt;0, IFERROR(TRIM(REGEXREPLACE(TRIM(REGEXEXTRACT('AYIRA"&amp;" MINI MART FINAL MENU - Pr'!A599, ""^[^\x{0600}-\x{06FF}]+"")), ""[-–]+$"", """")), """"), GOOGLETRANSLATE('AYIRA MINI MART FINAL MENU - Pr'!A599, ""ar"", ""en"")))"),"Go On Protein Cocoa Chocolate Vitamin 7 – 50 GM – Go On Protein Cocoa")</f>
        <v>Go On Protein Cocoa Chocolate Vitamin 7 – 50 GM – Go On Protein Cocoa</v>
      </c>
      <c r="B599" s="56" t="str">
        <f>IFERROR(__xludf.DUMMYFUNCTION("IF('AYIRA MINI MART FINAL MENU - Pr'!B599="""", """", IF(LEN(IFERROR(TRIM(REGEXREPLACE(TRIM(REGEXEXTRACT('AYIRA MINI MART FINAL MENU - Pr'!B599, ""^[^\x{0600}-\x{06FF}]+"")), ""[-–]+$"", """")), """"))&gt;0, IFERROR(TRIM(REGEXREPLACE(TRIM(REGEXEXTRACT('AYIRA"&amp;" MINI MART FINAL MENU - Pr'!B599, ""^[^\x{0600}-\x{06FF}]+"")), ""[-–]+$"", """")), """"), GOOGLETRANSLATE('AYIRA MINI MART FINAL MENU - Pr'!B599, ""ar"", ""en"")))"),"Chocolates")</f>
        <v>Chocolates</v>
      </c>
      <c r="C599" s="58">
        <f>IF('AYIRA MINI MART FINAL MENU - Pr'!C599="", "", 'AYIRA MINI MART FINAL MENU - Pr'!C599)</f>
        <v>7</v>
      </c>
      <c r="D599" s="56" t="str">
        <f>IFERROR(__xludf.DUMMYFUNCTION("IF('AYIRA MINI MART FINAL MENU - Pr'!D599="""", """", GOOGLETRANSLATE('AYIRA MINI MART FINAL MENU - Pr'!D599, ""ar"", ""en""))"),"Indulge your senses with Go On Protein Cocoa Chocolate Vitamin 7 – 50 GM, a luxurious chocolate that blends rich taste with a perfect texture. Made from the finest selected cocoa beans, it delivers an exceptional dessert experience every time. Whether you"&amp;"'re looking for a special gift or want to treat yourself, this chocolate is the perfect choice. Savor every piece and immerse yourself in a world of smoothness and sweetness. Get yours from Aira Mini Mart and experience moments of pure delight.")</f>
        <v>Indulge your senses with Go On Protein Cocoa Chocolate Vitamin 7 – 50 GM, a luxurious chocolate that blends rich taste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599" s="56" t="str">
        <f>IF('AYIRA MINI MART FINAL MENU - Pr'!K599="", "", 'AYIRA MINI MART FINAL MENU - Pr'!K599)</f>
        <v/>
      </c>
      <c r="F599" s="56"/>
      <c r="G599" s="56"/>
      <c r="H599" s="56"/>
      <c r="I599" s="56"/>
      <c r="J599" s="56"/>
      <c r="L599" s="56" t="str">
        <f>IF('AYIRA MINI MART FINAL MENU - Pr'!L599="", "", 'AYIRA MINI MART FINAL MENU - Pr'!L599)</f>
        <v/>
      </c>
      <c r="M599" s="56" t="str">
        <f>IF('AYIRA MINI MART FINAL MENU - Pr'!M599="", "", 'AYIRA MINI MART FINAL MENU - Pr'!M599)</f>
        <v/>
      </c>
      <c r="N599" s="56" t="str">
        <f>IF('AYIRA MINI MART FINAL MENU - Pr'!N599="", "", 'AYIRA MINI MART FINAL MENU - Pr'!N599)</f>
        <v/>
      </c>
      <c r="O599" s="57"/>
      <c r="P599" s="57"/>
      <c r="Q599" s="57"/>
      <c r="R599" s="57"/>
      <c r="S599" s="57"/>
      <c r="T599" s="57"/>
      <c r="U599" s="57"/>
      <c r="V599" s="57"/>
      <c r="W599" s="57"/>
      <c r="X599" s="57"/>
      <c r="Y599" s="57"/>
      <c r="Z599" s="57"/>
    </row>
    <row r="600">
      <c r="A600" s="56" t="str">
        <f>IFERROR(__xludf.DUMMYFUNCTION("IF('AYIRA MINI MART FINAL MENU - Pr'!A600="""", """", IF(LEN(IFERROR(TRIM(REGEXREPLACE(TRIM(REGEXEXTRACT('AYIRA MINI MART FINAL MENU - Pr'!A600, ""^[^\x{0600}-\x{06FF}]+"")), ""[-–]+$"", """")), """"))&gt;0, IFERROR(TRIM(REGEXREPLACE(TRIM(REGEXEXTRACT('AYIRA"&amp;" MINI MART FINAL MENU - Pr'!A600, ""^[^\x{0600}-\x{06FF}]+"")), ""[-–]+$"", """")), """"), GOOGLETRANSLATE('AYIRA MINI MART FINAL MENU - Pr'!A600, ""ar"", ""en"")))"),"Go On Vitamin L-Carnitine Magnesium 7 Vitamins 50 GM – Go On")</f>
        <v>Go On Vitamin L-Carnitine Magnesium 7 Vitamins 50 GM – Go On</v>
      </c>
      <c r="B600" s="56" t="str">
        <f>IFERROR(__xludf.DUMMYFUNCTION("IF('AYIRA MINI MART FINAL MENU - Pr'!B600="""", """", IF(LEN(IFERROR(TRIM(REGEXREPLACE(TRIM(REGEXEXTRACT('AYIRA MINI MART FINAL MENU - Pr'!B600, ""^[^\x{0600}-\x{06FF}]+"")), ""[-–]+$"", """")), """"))&gt;0, IFERROR(TRIM(REGEXREPLACE(TRIM(REGEXEXTRACT('AYIRA"&amp;" MINI MART FINAL MENU - Pr'!B600, ""^[^\x{0600}-\x{06FF}]+"")), ""[-–]+$"", """")), """"), GOOGLETRANSLATE('AYIRA MINI MART FINAL MENU - Pr'!B600, ""ar"", ""en"")))"),"Chocolates")</f>
        <v>Chocolates</v>
      </c>
      <c r="C600" s="58">
        <f>IF('AYIRA MINI MART FINAL MENU - Pr'!C600="", "", 'AYIRA MINI MART FINAL MENU - Pr'!C600)</f>
        <v>4</v>
      </c>
      <c r="D600" s="56" t="str">
        <f>IFERROR(__xludf.DUMMYFUNCTION("IF('AYIRA MINI MART FINAL MENU - Pr'!D600="""", """", GOOGLETRANSLATE('AYIRA MINI MART FINAL MENU - Pr'!D600, ""ar"", ""en""))"),"Don't be able to resist the taste of Go On Vitamin L-Carnitine Magnesium 7 Vitamins 50 GM, your perfect companion for relaxing and watching the game. Its unique crunch and varied flavors make every handful a delightful experience. Prepared with the finest"&amp;" ingredients using the latest manufacturing techniques to ensure an unparalleled taste. Ideal as a snack for adults and children between meals. Aira Mini Mart offers it in the size and flavor that suits you best.")</f>
        <v>Don't be able to resist the taste of Go On Vitamin L-Carnitine Magnesium 7 Vitamins 50 GM,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size and flavor that suits you best.</v>
      </c>
      <c r="E600" s="56" t="str">
        <f>IF('AYIRA MINI MART FINAL MENU - Pr'!K600="", "", 'AYIRA MINI MART FINAL MENU - Pr'!K600)</f>
        <v/>
      </c>
      <c r="F600" s="56"/>
      <c r="G600" s="56"/>
      <c r="H600" s="56"/>
      <c r="I600" s="56"/>
      <c r="J600" s="56"/>
      <c r="L600" s="56" t="str">
        <f>IF('AYIRA MINI MART FINAL MENU - Pr'!L600="", "", 'AYIRA MINI MART FINAL MENU - Pr'!L600)</f>
        <v/>
      </c>
      <c r="M600" s="56" t="str">
        <f>IF('AYIRA MINI MART FINAL MENU - Pr'!M600="", "", 'AYIRA MINI MART FINAL MENU - Pr'!M600)</f>
        <v/>
      </c>
      <c r="N600" s="56" t="str">
        <f>IF('AYIRA MINI MART FINAL MENU - Pr'!N600="", "", 'AYIRA MINI MART FINAL MENU - Pr'!N600)</f>
        <v/>
      </c>
      <c r="O600" s="57"/>
      <c r="P600" s="57"/>
      <c r="Q600" s="57"/>
      <c r="R600" s="57"/>
      <c r="S600" s="57"/>
      <c r="T600" s="57"/>
      <c r="U600" s="57"/>
      <c r="V600" s="57"/>
      <c r="W600" s="57"/>
      <c r="X600" s="57"/>
      <c r="Y600" s="57"/>
      <c r="Z600" s="57"/>
    </row>
    <row r="601">
      <c r="A601" s="56" t="str">
        <f>IFERROR(__xludf.DUMMYFUNCTION("IF('AYIRA MINI MART FINAL MENU - Pr'!A601="""", """", IF(LEN(IFERROR(TRIM(REGEXREPLACE(TRIM(REGEXEXTRACT('AYIRA MINI MART FINAL MENU - Pr'!A601, ""^[^\x{0600}-\x{06FF}]+"")), ""[-–]+$"", """")), """"))&gt;0, IFERROR(TRIM(REGEXREPLACE(TRIM(REGEXEXTRACT('AYIRA"&amp;" MINI MART FINAL MENU - Pr'!A601, ""^[^\x{0600}-\x{06FF}]+"")), ""[-–]+$"", """")), """"), GOOGLETRANSLATE('AYIRA MINI MART FINAL MENU - Pr'!A601, ""ar"", ""en"")))"),"Galaxy Minstrels Pleasure Worth Sharing 42 GM")</f>
        <v>Galaxy Minstrels Pleasure Worth Sharing 42 GM</v>
      </c>
      <c r="B601" s="56" t="str">
        <f>IFERROR(__xludf.DUMMYFUNCTION("IF('AYIRA MINI MART FINAL MENU - Pr'!B601="""", """", IF(LEN(IFERROR(TRIM(REGEXREPLACE(TRIM(REGEXEXTRACT('AYIRA MINI MART FINAL MENU - Pr'!B601, ""^[^\x{0600}-\x{06FF}]+"")), ""[-–]+$"", """")), """"))&gt;0, IFERROR(TRIM(REGEXREPLACE(TRIM(REGEXEXTRACT('AYIRA"&amp;" MINI MART FINAL MENU - Pr'!B601, ""^[^\x{0600}-\x{06FF}]+"")), ""[-–]+$"", """")), """"), GOOGLETRANSLATE('AYIRA MINI MART FINAL MENU - Pr'!B601, ""ar"", ""en"")))"),"Chocolates")</f>
        <v>Chocolates</v>
      </c>
      <c r="C601" s="58">
        <f>IF('AYIRA MINI MART FINAL MENU - Pr'!C601="", "", 'AYIRA MINI MART FINAL MENU - Pr'!C601)</f>
        <v>4.5</v>
      </c>
      <c r="D601" s="56" t="str">
        <f>IFERROR(__xludf.DUMMYFUNCTION("IF('AYIRA MINI MART FINAL MENU - Pr'!D601="""", """", GOOGLETRANSLATE('AYIRA MINI MART FINAL MENU - Pr'!D601, ""ar"", ""en""))"),"Don't be able to resist the taste of Galaxy Minstrels Pleasure Worth Sharing 42 GM, your perfect companion for relaxing and watching the game. Its unique crunch and varied flavors make every handful a delightful experience. Prepared with the finest ingred"&amp;"ients using the latest manufacturing techniques to ensure an unparalleled taste. Ideal as a snack for adults and children between meals. Aira Mini Mart offers it in the perfect size and flavor for you.")</f>
        <v>Don't be able to resist the taste of Galaxy Minstrels Pleasure Worth Sharing 42 GM,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601" s="56" t="str">
        <f>IF('AYIRA MINI MART FINAL MENU - Pr'!K601="", "", 'AYIRA MINI MART FINAL MENU - Pr'!K601)</f>
        <v/>
      </c>
      <c r="F601" s="56"/>
      <c r="G601" s="56"/>
      <c r="H601" s="56"/>
      <c r="I601" s="56"/>
      <c r="J601" s="56"/>
      <c r="L601" s="56" t="str">
        <f>IF('AYIRA MINI MART FINAL MENU - Pr'!L601="", "", 'AYIRA MINI MART FINAL MENU - Pr'!L601)</f>
        <v/>
      </c>
      <c r="M601" s="56" t="str">
        <f>IF('AYIRA MINI MART FINAL MENU - Pr'!M601="", "", 'AYIRA MINI MART FINAL MENU - Pr'!M601)</f>
        <v/>
      </c>
      <c r="N601" s="56" t="str">
        <f>IF('AYIRA MINI MART FINAL MENU - Pr'!N601="", "", 'AYIRA MINI MART FINAL MENU - Pr'!N601)</f>
        <v/>
      </c>
      <c r="O601" s="57"/>
      <c r="P601" s="57"/>
      <c r="Q601" s="57"/>
      <c r="R601" s="57"/>
      <c r="S601" s="57"/>
      <c r="T601" s="57"/>
      <c r="U601" s="57"/>
      <c r="V601" s="57"/>
      <c r="W601" s="57"/>
      <c r="X601" s="57"/>
      <c r="Y601" s="57"/>
      <c r="Z601" s="57"/>
    </row>
    <row r="602">
      <c r="A602" s="56" t="str">
        <f>IFERROR(__xludf.DUMMYFUNCTION("IF('AYIRA MINI MART FINAL MENU - Pr'!A602="""", """", IF(LEN(IFERROR(TRIM(REGEXREPLACE(TRIM(REGEXEXTRACT('AYIRA MINI MART FINAL MENU - Pr'!A602, ""^[^\x{0600}-\x{06FF}]+"")), ""[-–]+$"", """")), """"))&gt;0, IFERROR(TRIM(REGEXREPLACE(TRIM(REGEXEXTRACT('AYIRA"&amp;" MINI MART FINAL MENU - Pr'!A602, ""^[^\x{0600}-\x{06FF}]+"")), ""[-–]+$"", """")), """"), GOOGLETRANSLATE('AYIRA MINI MART FINAL MENU - Pr'!A602, ""ar"", ""en"")))"),"Nestlé KitKat 36.5 GM")</f>
        <v>Nestlé KitKat 36.5 GM</v>
      </c>
      <c r="B602" s="56" t="str">
        <f>IFERROR(__xludf.DUMMYFUNCTION("IF('AYIRA MINI MART FINAL MENU - Pr'!B602="""", """", IF(LEN(IFERROR(TRIM(REGEXREPLACE(TRIM(REGEXEXTRACT('AYIRA MINI MART FINAL MENU - Pr'!B602, ""^[^\x{0600}-\x{06FF}]+"")), ""[-–]+$"", """")), """"))&gt;0, IFERROR(TRIM(REGEXREPLACE(TRIM(REGEXEXTRACT('AYIRA"&amp;" MINI MART FINAL MENU - Pr'!B602, ""^[^\x{0600}-\x{06FF}]+"")), ""[-–]+$"", """")), """"), GOOGLETRANSLATE('AYIRA MINI MART FINAL MENU - Pr'!B602, ""ar"", ""en"")))"),"Chocolates")</f>
        <v>Chocolates</v>
      </c>
      <c r="C602" s="58">
        <f>IF('AYIRA MINI MART FINAL MENU - Pr'!C602="", "", 'AYIRA MINI MART FINAL MENU - Pr'!C602)</f>
        <v>4</v>
      </c>
      <c r="D602" s="56" t="str">
        <f>IFERROR(__xludf.DUMMYFUNCTION("IF('AYIRA MINI MART FINAL MENU - Pr'!D602="""", """", GOOGLETRANSLATE('AYIRA MINI MART FINAL MENU - Pr'!D602, ""ar"", ""en""))"),"Indulge your senses with Kit Kat, the luxurious chocolate that combines rich flavor with a perfect texture. Made from the finest selected cocoa beans, it delivers an exceptional sweet experience every time. Whether you're looking for a special gift or wan"&amp;"t to treat yourself, this chocolate is the perfect choice. Savor every piece and immerse yourself in a world of smoothness and sweetness. Get yours from Aira Mini Mart and experience moments of pure delight.")</f>
        <v>Indulge your senses with Kit Kat, the luxurious chocolate that combines rich flavor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02" s="56" t="str">
        <f>IF('AYIRA MINI MART FINAL MENU - Pr'!K602="", "", 'AYIRA MINI MART FINAL MENU - Pr'!K602)</f>
        <v/>
      </c>
      <c r="F602" s="56"/>
      <c r="G602" s="56"/>
      <c r="H602" s="56"/>
      <c r="I602" s="56"/>
      <c r="J602" s="56"/>
      <c r="L602" s="56" t="str">
        <f>IF('AYIRA MINI MART FINAL MENU - Pr'!L602="", "", 'AYIRA MINI MART FINAL MENU - Pr'!L602)</f>
        <v/>
      </c>
      <c r="M602" s="56" t="str">
        <f>IF('AYIRA MINI MART FINAL MENU - Pr'!M602="", "", 'AYIRA MINI MART FINAL MENU - Pr'!M602)</f>
        <v/>
      </c>
      <c r="N602" s="56" t="str">
        <f>IF('AYIRA MINI MART FINAL MENU - Pr'!N602="", "", 'AYIRA MINI MART FINAL MENU - Pr'!N602)</f>
        <v/>
      </c>
      <c r="O602" s="57"/>
      <c r="P602" s="57"/>
      <c r="Q602" s="57"/>
      <c r="R602" s="57"/>
      <c r="S602" s="57"/>
      <c r="T602" s="57"/>
      <c r="U602" s="57"/>
      <c r="V602" s="57"/>
      <c r="W602" s="57"/>
      <c r="X602" s="57"/>
      <c r="Y602" s="57"/>
      <c r="Z602" s="57"/>
    </row>
    <row r="603">
      <c r="A603" s="56" t="str">
        <f>IFERROR(__xludf.DUMMYFUNCTION("IF('AYIRA MINI MART FINAL MENU - Pr'!A603="""", """", IF(LEN(IFERROR(TRIM(REGEXREPLACE(TRIM(REGEXEXTRACT('AYIRA MINI MART FINAL MENU - Pr'!A603, ""^[^\x{0600}-\x{06FF}]+"")), ""[-–]+$"", """")), """"))&gt;0, IFERROR(TRIM(REGEXREPLACE(TRIM(REGEXEXTRACT('AYIRA"&amp;" MINI MART FINAL MENU - Pr'!A603, ""^[^\x{0600}-\x{06FF}]+"")), ""[-–]+$"", """")), """"), GOOGLETRANSLATE('AYIRA MINI MART FINAL MENU - Pr'!A603, ""ar"", ""en"")))"),"Nestlé KitKat 18 GM")</f>
        <v>Nestlé KitKat 18 GM</v>
      </c>
      <c r="B603" s="56" t="str">
        <f>IFERROR(__xludf.DUMMYFUNCTION("IF('AYIRA MINI MART FINAL MENU - Pr'!B603="""", """", IF(LEN(IFERROR(TRIM(REGEXREPLACE(TRIM(REGEXEXTRACT('AYIRA MINI MART FINAL MENU - Pr'!B603, ""^[^\x{0600}-\x{06FF}]+"")), ""[-–]+$"", """")), """"))&gt;0, IFERROR(TRIM(REGEXREPLACE(TRIM(REGEXEXTRACT('AYIRA"&amp;" MINI MART FINAL MENU - Pr'!B603, ""^[^\x{0600}-\x{06FF}]+"")), ""[-–]+$"", """")), """"), GOOGLETRANSLATE('AYIRA MINI MART FINAL MENU - Pr'!B603, ""ar"", ""en"")))"),"Chocolates")</f>
        <v>Chocolates</v>
      </c>
      <c r="C603" s="58">
        <f>IF('AYIRA MINI MART FINAL MENU - Pr'!C603="", "", 'AYIRA MINI MART FINAL MENU - Pr'!C603)</f>
        <v>2</v>
      </c>
      <c r="D603" s="56" t="str">
        <f>IFERROR(__xludf.DUMMYFUNCTION("IF('AYIRA MINI MART FINAL MENU - Pr'!D603="""", """", GOOGLETRANSLATE('AYIRA MINI MART FINAL MENU - Pr'!D603, ""ar"", ""en""))"),"Indulge your senses with Kit Kat, the luxurious chocolate that combines rich flavor with a perfect texture. Made from the finest selected cocoa beans, it delivers an exceptional sweet experience every time. Whether you're looking for a special gift or wan"&amp;"t to treat yourself, this chocolate is the perfect choice. Savor every piece and immerse yourself in a world of smoothness and sweetness. Get yours from Aira Mini Mart and experience moments of pure delight.")</f>
        <v>Indulge your senses with Kit Kat, the luxurious chocolate that combines rich flavor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03" s="56" t="str">
        <f>IF('AYIRA MINI MART FINAL MENU - Pr'!K603="", "", 'AYIRA MINI MART FINAL MENU - Pr'!K603)</f>
        <v/>
      </c>
      <c r="F603" s="56"/>
      <c r="G603" s="56"/>
      <c r="H603" s="56"/>
      <c r="I603" s="56"/>
      <c r="J603" s="56"/>
      <c r="L603" s="56" t="str">
        <f>IF('AYIRA MINI MART FINAL MENU - Pr'!L603="", "", 'AYIRA MINI MART FINAL MENU - Pr'!L603)</f>
        <v/>
      </c>
      <c r="M603" s="56" t="str">
        <f>IF('AYIRA MINI MART FINAL MENU - Pr'!M603="", "", 'AYIRA MINI MART FINAL MENU - Pr'!M603)</f>
        <v/>
      </c>
      <c r="N603" s="56" t="str">
        <f>IF('AYIRA MINI MART FINAL MENU - Pr'!N603="", "", 'AYIRA MINI MART FINAL MENU - Pr'!N603)</f>
        <v/>
      </c>
      <c r="O603" s="57"/>
      <c r="P603" s="57"/>
      <c r="Q603" s="57"/>
      <c r="R603" s="57"/>
      <c r="S603" s="57"/>
      <c r="T603" s="57"/>
      <c r="U603" s="57"/>
      <c r="V603" s="57"/>
      <c r="W603" s="57"/>
      <c r="X603" s="57"/>
      <c r="Y603" s="57"/>
      <c r="Z603" s="57"/>
    </row>
    <row r="604">
      <c r="A604" s="56" t="str">
        <f>IFERROR(__xludf.DUMMYFUNCTION("IF('AYIRA MINI MART FINAL MENU - Pr'!A604="""", """", IF(LEN(IFERROR(TRIM(REGEXREPLACE(TRIM(REGEXEXTRACT('AYIRA MINI MART FINAL MENU - Pr'!A604, ""^[^\x{0600}-\x{06FF}]+"")), ""[-–]+$"", """")), """"))&gt;0, IFERROR(TRIM(REGEXREPLACE(TRIM(REGEXEXTRACT('AYIRA"&amp;" MINI MART FINAL MENU - Pr'!A604, ""^[^\x{0600}-\x{06FF}]+"")), ""[-–]+$"", """")), """"), GOOGLETRANSLATE('AYIRA MINI MART FINAL MENU - Pr'!A604, ""ar"", ""en"")))"),"Flake 32 GM")</f>
        <v>Flake 32 GM</v>
      </c>
      <c r="B604" s="56" t="str">
        <f>IFERROR(__xludf.DUMMYFUNCTION("IF('AYIRA MINI MART FINAL MENU - Pr'!B604="""", """", IF(LEN(IFERROR(TRIM(REGEXREPLACE(TRIM(REGEXEXTRACT('AYIRA MINI MART FINAL MENU - Pr'!B604, ""^[^\x{0600}-\x{06FF}]+"")), ""[-–]+$"", """")), """"))&gt;0, IFERROR(TRIM(REGEXREPLACE(TRIM(REGEXEXTRACT('AYIRA"&amp;" MINI MART FINAL MENU - Pr'!B604, ""^[^\x{0600}-\x{06FF}]+"")), ""[-–]+$"", """")), """"), GOOGLETRANSLATE('AYIRA MINI MART FINAL MENU - Pr'!B604, ""ar"", ""en"")))"),"Chocolates")</f>
        <v>Chocolates</v>
      </c>
      <c r="C604" s="58">
        <f>IF('AYIRA MINI MART FINAL MENU - Pr'!C604="", "", 'AYIRA MINI MART FINAL MENU - Pr'!C604)</f>
        <v>3.5</v>
      </c>
      <c r="D604" s="56" t="str">
        <f>IFERROR(__xludf.DUMMYFUNCTION("IF('AYIRA MINI MART FINAL MENU - Pr'!D604="""", """", GOOGLETRANSLATE('AYIRA MINI MART FINAL MENU - Pr'!D604, ""ar"", ""en""))"),"Don't be able to resist the taste of Flake 32 GM, your perfect companion for relaxing and watching the game. Its unique crunch and diverse flavors make every handful a delightful experience. Prepared with the finest ingredients using the latest manufactur"&amp;"ing techniques to guarantee an unparalleled taste. Ideal as a snack for adults and children alike between meals. Aira Mini Mart offers it in the perfect size and flavor for you.")</f>
        <v>Don't be able to resist the taste of Flake 32 GM,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604" s="56" t="str">
        <f>IF('AYIRA MINI MART FINAL MENU - Pr'!K604="", "", 'AYIRA MINI MART FINAL MENU - Pr'!K604)</f>
        <v/>
      </c>
      <c r="F604" s="56"/>
      <c r="G604" s="56"/>
      <c r="H604" s="56"/>
      <c r="I604" s="56"/>
      <c r="J604" s="56"/>
      <c r="L604" s="56" t="str">
        <f>IF('AYIRA MINI MART FINAL MENU - Pr'!L604="", "", 'AYIRA MINI MART FINAL MENU - Pr'!L604)</f>
        <v/>
      </c>
      <c r="M604" s="56" t="str">
        <f>IF('AYIRA MINI MART FINAL MENU - Pr'!M604="", "", 'AYIRA MINI MART FINAL MENU - Pr'!M604)</f>
        <v/>
      </c>
      <c r="N604" s="56" t="str">
        <f>IF('AYIRA MINI MART FINAL MENU - Pr'!N604="", "", 'AYIRA MINI MART FINAL MENU - Pr'!N604)</f>
        <v/>
      </c>
      <c r="O604" s="57"/>
      <c r="P604" s="57"/>
      <c r="Q604" s="57"/>
      <c r="R604" s="57"/>
      <c r="S604" s="57"/>
      <c r="T604" s="57"/>
      <c r="U604" s="57"/>
      <c r="V604" s="57"/>
      <c r="W604" s="57"/>
      <c r="X604" s="57"/>
      <c r="Y604" s="57"/>
      <c r="Z604" s="57"/>
    </row>
    <row r="605">
      <c r="A605" s="56" t="str">
        <f>IFERROR(__xludf.DUMMYFUNCTION("IF('AYIRA MINI MART FINAL MENU - Pr'!A605="""", """", IF(LEN(IFERROR(TRIM(REGEXREPLACE(TRIM(REGEXEXTRACT('AYIRA MINI MART FINAL MENU - Pr'!A605, ""^[^\x{0600}-\x{06FF}]+"")), ""[-–]+$"", """")), """"))&gt;0, IFERROR(TRIM(REGEXREPLACE(TRIM(REGEXEXTRACT('AYIRA"&amp;" MINI MART FINAL MENU - Pr'!A605, ""^[^\x{0600}-\x{06FF}]+"")), ""[-–]+$"", """")), """"), GOOGLETRANSLATE('AYIRA MINI MART FINAL MENU - Pr'!A605, ""ar"", ""en"")))"),"M&amp;M's Snacks 36 GM")</f>
        <v>M&amp;M's Snacks 36 GM</v>
      </c>
      <c r="B605" s="56" t="str">
        <f>IFERROR(__xludf.DUMMYFUNCTION("IF('AYIRA MINI MART FINAL MENU - Pr'!B605="""", """", IF(LEN(IFERROR(TRIM(REGEXREPLACE(TRIM(REGEXEXTRACT('AYIRA MINI MART FINAL MENU - Pr'!B605, ""^[^\x{0600}-\x{06FF}]+"")), ""[-–]+$"", """")), """"))&gt;0, IFERROR(TRIM(REGEXREPLACE(TRIM(REGEXEXTRACT('AYIRA"&amp;" MINI MART FINAL MENU - Pr'!B605, ""^[^\x{0600}-\x{06FF}]+"")), ""[-–]+$"", """")), """"), GOOGLETRANSLATE('AYIRA MINI MART FINAL MENU - Pr'!B605, ""ar"", ""en"")))"),"Chocolates")</f>
        <v>Chocolates</v>
      </c>
      <c r="C605" s="58">
        <f>IF('AYIRA MINI MART FINAL MENU - Pr'!C605="", "", 'AYIRA MINI MART FINAL MENU - Pr'!C605)</f>
        <v>4</v>
      </c>
      <c r="D605" s="56" t="str">
        <f>IFERROR(__xludf.DUMMYFUNCTION("IF('AYIRA MINI MART FINAL MENU - Pr'!D605="""", """", GOOGLETRANSLATE('AYIRA MINI MART FINAL MENU - Pr'!D605, ""ar"", ""en""))"),"Don't be able to resist the taste of M&amp;M's, your perfect companion for relaxing and watching the game. Their unique crunch and diverse flavors make every handful a delightful experience. Made with the finest ingredients using the latest manufacturing tech"&amp;"niques to ensure an unparalleled taste. Ideal as a snack for adults and children alike between meals. Aira Mini Mart offers them in the perfect size and flavor for you.")</f>
        <v>Don't be able to resist the taste of M&amp;M's,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605" s="56" t="str">
        <f>IF('AYIRA MINI MART FINAL MENU - Pr'!K605="", "", 'AYIRA MINI MART FINAL MENU - Pr'!K605)</f>
        <v/>
      </c>
      <c r="F605" s="56"/>
      <c r="G605" s="56"/>
      <c r="H605" s="56"/>
      <c r="I605" s="56"/>
      <c r="J605" s="56"/>
      <c r="L605" s="56" t="str">
        <f>IF('AYIRA MINI MART FINAL MENU - Pr'!L605="", "", 'AYIRA MINI MART FINAL MENU - Pr'!L605)</f>
        <v/>
      </c>
      <c r="M605" s="56" t="str">
        <f>IF('AYIRA MINI MART FINAL MENU - Pr'!M605="", "", 'AYIRA MINI MART FINAL MENU - Pr'!M605)</f>
        <v/>
      </c>
      <c r="N605" s="56" t="str">
        <f>IF('AYIRA MINI MART FINAL MENU - Pr'!N605="", "", 'AYIRA MINI MART FINAL MENU - Pr'!N605)</f>
        <v/>
      </c>
      <c r="O605" s="57"/>
      <c r="P605" s="57"/>
      <c r="Q605" s="57"/>
      <c r="R605" s="57"/>
      <c r="S605" s="57"/>
      <c r="T605" s="57"/>
      <c r="U605" s="57"/>
      <c r="V605" s="57"/>
      <c r="W605" s="57"/>
      <c r="X605" s="57"/>
      <c r="Y605" s="57"/>
      <c r="Z605" s="57"/>
    </row>
    <row r="606">
      <c r="A606" s="56" t="str">
        <f>IFERROR(__xludf.DUMMYFUNCTION("IF('AYIRA MINI MART FINAL MENU - Pr'!A606="""", """", IF(LEN(IFERROR(TRIM(REGEXREPLACE(TRIM(REGEXEXTRACT('AYIRA MINI MART FINAL MENU - Pr'!A606, ""^[^\x{0600}-\x{06FF}]+"")), ""[-–]+$"", """")), """"))&gt;0, IFERROR(TRIM(REGEXREPLACE(TRIM(REGEXEXTRACT('AYIRA"&amp;" MINI MART FINAL MENU - Pr'!A606, ""^[^\x{0600}-\x{06FF}]+"")), ""[-–]+$"", """")), """"), GOOGLETRANSLATE('AYIRA MINI MART FINAL MENU - Pr'!A606, ""ar"", ""en"")))"),"Nestlé KitKat Crunchy 40 GM")</f>
        <v>Nestlé KitKat Crunchy 40 GM</v>
      </c>
      <c r="B606" s="56" t="str">
        <f>IFERROR(__xludf.DUMMYFUNCTION("IF('AYIRA MINI MART FINAL MENU - Pr'!B606="""", """", IF(LEN(IFERROR(TRIM(REGEXREPLACE(TRIM(REGEXEXTRACT('AYIRA MINI MART FINAL MENU - Pr'!B606, ""^[^\x{0600}-\x{06FF}]+"")), ""[-–]+$"", """")), """"))&gt;0, IFERROR(TRIM(REGEXREPLACE(TRIM(REGEXEXTRACT('AYIRA"&amp;" MINI MART FINAL MENU - Pr'!B606, ""^[^\x{0600}-\x{06FF}]+"")), ""[-–]+$"", """")), """"), GOOGLETRANSLATE('AYIRA MINI MART FINAL MENU - Pr'!B606, ""ar"", ""en"")))"),"Chocolates")</f>
        <v>Chocolates</v>
      </c>
      <c r="C606" s="58">
        <f>IF('AYIRA MINI MART FINAL MENU - Pr'!C606="", "", 'AYIRA MINI MART FINAL MENU - Pr'!C606)</f>
        <v>4</v>
      </c>
      <c r="D606" s="56" t="str">
        <f>IFERROR(__xludf.DUMMYFUNCTION("IF('AYIRA MINI MART FINAL MENU - Pr'!D606="""", """", GOOGLETRANSLATE('AYIRA MINI MART FINAL MENU - Pr'!D606, ""ar"", ""en""))"),"Indulge your senses with Kit Kat, the luxurious chocolate that combines rich flavor with a perfect texture. Made from the finest selected cocoa beans, it delivers an exceptional sweet experience every time. Whether you're looking for a special gift or wan"&amp;"t to treat yourself, this chocolate is the perfect choice. Savor every piece and immerse yourself in a world of smoothness and sweetness. Get yours from Aira Mini Mart and experience moments of pure delight.")</f>
        <v>Indulge your senses with Kit Kat, the luxurious chocolate that combines rich flavor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06" s="56" t="str">
        <f>IF('AYIRA MINI MART FINAL MENU - Pr'!K606="", "", 'AYIRA MINI MART FINAL MENU - Pr'!K606)</f>
        <v/>
      </c>
      <c r="F606" s="56"/>
      <c r="G606" s="56"/>
      <c r="H606" s="56"/>
      <c r="I606" s="56"/>
      <c r="J606" s="56"/>
      <c r="L606" s="56" t="str">
        <f>IF('AYIRA MINI MART FINAL MENU - Pr'!L606="", "", 'AYIRA MINI MART FINAL MENU - Pr'!L606)</f>
        <v/>
      </c>
      <c r="M606" s="56" t="str">
        <f>IF('AYIRA MINI MART FINAL MENU - Pr'!M606="", "", 'AYIRA MINI MART FINAL MENU - Pr'!M606)</f>
        <v/>
      </c>
      <c r="N606" s="56" t="str">
        <f>IF('AYIRA MINI MART FINAL MENU - Pr'!N606="", "", 'AYIRA MINI MART FINAL MENU - Pr'!N606)</f>
        <v/>
      </c>
      <c r="O606" s="57"/>
      <c r="P606" s="57"/>
      <c r="Q606" s="57"/>
      <c r="R606" s="57"/>
      <c r="S606" s="57"/>
      <c r="T606" s="57"/>
      <c r="U606" s="57"/>
      <c r="V606" s="57"/>
      <c r="W606" s="57"/>
      <c r="X606" s="57"/>
      <c r="Y606" s="57"/>
      <c r="Z606" s="57"/>
    </row>
    <row r="607">
      <c r="A607" s="56" t="str">
        <f>IFERROR(__xludf.DUMMYFUNCTION("IF('AYIRA MINI MART FINAL MENU - Pr'!A607="""", """", IF(LEN(IFERROR(TRIM(REGEXREPLACE(TRIM(REGEXEXTRACT('AYIRA MINI MART FINAL MENU - Pr'!A607, ""^[^\x{0600}-\x{06FF}]+"")), ""[-–]+$"", """")), """"))&gt;0, IFERROR(TRIM(REGEXREPLACE(TRIM(REGEXEXTRACT('AYIRA"&amp;" MINI MART FINAL MENU - Pr'!A607, ""^[^\x{0600}-\x{06FF}]+"")), ""[-–]+$"", """")), """"), GOOGLETRANSLATE('AYIRA MINI MART FINAL MENU - Pr'!A607, ""ar"", ""en"")))"),"Sando Italian Recipe Chocolate Wafer 32 GM – Sando Italian Recipe")</f>
        <v>Sando Italian Recipe Chocolate Wafer 32 GM – Sando Italian Recipe</v>
      </c>
      <c r="B607" s="56" t="str">
        <f>IFERROR(__xludf.DUMMYFUNCTION("IF('AYIRA MINI MART FINAL MENU - Pr'!B607="""", """", IF(LEN(IFERROR(TRIM(REGEXREPLACE(TRIM(REGEXEXTRACT('AYIRA MINI MART FINAL MENU - Pr'!B607, ""^[^\x{0600}-\x{06FF}]+"")), ""[-–]+$"", """")), """"))&gt;0, IFERROR(TRIM(REGEXREPLACE(TRIM(REGEXEXTRACT('AYIRA"&amp;" MINI MART FINAL MENU - Pr'!B607, ""^[^\x{0600}-\x{06FF}]+"")), ""[-–]+$"", """")), """"), GOOGLETRANSLATE('AYIRA MINI MART FINAL MENU - Pr'!B607, ""ar"", ""en"")))"),"Chocolates")</f>
        <v>Chocolates</v>
      </c>
      <c r="C607" s="58">
        <f>IF('AYIRA MINI MART FINAL MENU - Pr'!C607="", "", 'AYIRA MINI MART FINAL MENU - Pr'!C607)</f>
        <v>1</v>
      </c>
      <c r="D607" s="56" t="str">
        <f>IFERROR(__xludf.DUMMYFUNCTION("IF('AYIRA MINI MART FINAL MENU - Pr'!D607="""", """", GOOGLETRANSLATE('AYIRA MINI MART FINAL MENU - Pr'!D607, ""ar"", ""en""))"),"Indulge your senses with Sando Italian Recipe Chocolate Wafer 32 GM, a luxurious chocolate that blends rich flavor with a perfect texture. Made from the finest selected cocoa beans, it delivers an exceptional dessert experience every time. Whether you're "&amp;"looking for a special gift or want to treat yourself, this chocolate is the perfect choice. Savor every piece and immerse yourself in a world of smoothness and sweetness. Get yours from Aira Mini Mart and experience moments of pure delight.")</f>
        <v>Indulge your senses with Sando Italian Recipe Chocolate Wafer 32 GM,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07" s="56" t="str">
        <f>IF('AYIRA MINI MART FINAL MENU - Pr'!K607="", "", 'AYIRA MINI MART FINAL MENU - Pr'!K607)</f>
        <v/>
      </c>
      <c r="F607" s="56"/>
      <c r="G607" s="56"/>
      <c r="H607" s="56"/>
      <c r="I607" s="56"/>
      <c r="J607" s="56"/>
      <c r="L607" s="56" t="str">
        <f>IF('AYIRA MINI MART FINAL MENU - Pr'!L607="", "", 'AYIRA MINI MART FINAL MENU - Pr'!L607)</f>
        <v/>
      </c>
      <c r="M607" s="56" t="str">
        <f>IF('AYIRA MINI MART FINAL MENU - Pr'!M607="", "", 'AYIRA MINI MART FINAL MENU - Pr'!M607)</f>
        <v/>
      </c>
      <c r="N607" s="56" t="str">
        <f>IF('AYIRA MINI MART FINAL MENU - Pr'!N607="", "", 'AYIRA MINI MART FINAL MENU - Pr'!N607)</f>
        <v/>
      </c>
      <c r="O607" s="57"/>
      <c r="P607" s="57"/>
      <c r="Q607" s="57"/>
      <c r="R607" s="57"/>
      <c r="S607" s="57"/>
      <c r="T607" s="57"/>
      <c r="U607" s="57"/>
      <c r="V607" s="57"/>
      <c r="W607" s="57"/>
      <c r="X607" s="57"/>
      <c r="Y607" s="57"/>
      <c r="Z607" s="57"/>
    </row>
    <row r="608">
      <c r="A608" s="56" t="str">
        <f>IFERROR(__xludf.DUMMYFUNCTION("IF('AYIRA MINI MART FINAL MENU - Pr'!A608="""", """", IF(LEN(IFERROR(TRIM(REGEXREPLACE(TRIM(REGEXEXTRACT('AYIRA MINI MART FINAL MENU - Pr'!A608, ""^[^\x{0600}-\x{06FF}]+"")), ""[-–]+$"", """")), """"))&gt;0, IFERROR(TRIM(REGEXREPLACE(TRIM(REGEXEXTRACT('AYIRA"&amp;" MINI MART FINAL MENU - Pr'!A608, ""^[^\x{0600}-\x{06FF}]+"")), ""[-–]+$"", """")), """"), GOOGLETRANSLATE('AYIRA MINI MART FINAL MENU - Pr'!A608, ""ar"", ""en"")))"),"Ferrero Rocher 37.5 GM")</f>
        <v>Ferrero Rocher 37.5 GM</v>
      </c>
      <c r="B608" s="56" t="str">
        <f>IFERROR(__xludf.DUMMYFUNCTION("IF('AYIRA MINI MART FINAL MENU - Pr'!B608="""", """", IF(LEN(IFERROR(TRIM(REGEXREPLACE(TRIM(REGEXEXTRACT('AYIRA MINI MART FINAL MENU - Pr'!B608, ""^[^\x{0600}-\x{06FF}]+"")), ""[-–]+$"", """")), """"))&gt;0, IFERROR(TRIM(REGEXREPLACE(TRIM(REGEXEXTRACT('AYIRA"&amp;" MINI MART FINAL MENU - Pr'!B608, ""^[^\x{0600}-\x{06FF}]+"")), ""[-–]+$"", """")), """"), GOOGLETRANSLATE('AYIRA MINI MART FINAL MENU - Pr'!B608, ""ar"", ""en"")))"),"Chocolates")</f>
        <v>Chocolates</v>
      </c>
      <c r="C608" s="58">
        <f>IF('AYIRA MINI MART FINAL MENU - Pr'!C608="", "", 'AYIRA MINI MART FINAL MENU - Pr'!C608)</f>
        <v>6.5</v>
      </c>
      <c r="D608" s="56" t="str">
        <f>IFERROR(__xludf.DUMMYFUNCTION("IF('AYIRA MINI MART FINAL MENU - Pr'!D608="""", """", GOOGLETRANSLATE('AYIRA MINI MART FINAL MENU - Pr'!D608, ""ar"", ""en""))"),"Indulge your senses with Ferrero, the luxurious chocolate that blends rich flavor with perfect texture. Made from the finest selected cocoa beans, it delivers an exceptional dessert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Ferrero, the luxurious chocolate that blends rich flavor with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08" s="56" t="str">
        <f>IF('AYIRA MINI MART FINAL MENU - Pr'!K608="", "", 'AYIRA MINI MART FINAL MENU - Pr'!K608)</f>
        <v/>
      </c>
      <c r="F608" s="56"/>
      <c r="G608" s="56"/>
      <c r="H608" s="56"/>
      <c r="I608" s="56"/>
      <c r="J608" s="56"/>
      <c r="L608" s="56" t="str">
        <f>IF('AYIRA MINI MART FINAL MENU - Pr'!L608="", "", 'AYIRA MINI MART FINAL MENU - Pr'!L608)</f>
        <v/>
      </c>
      <c r="M608" s="56" t="str">
        <f>IF('AYIRA MINI MART FINAL MENU - Pr'!M608="", "", 'AYIRA MINI MART FINAL MENU - Pr'!M608)</f>
        <v/>
      </c>
      <c r="N608" s="56" t="str">
        <f>IF('AYIRA MINI MART FINAL MENU - Pr'!N608="", "", 'AYIRA MINI MART FINAL MENU - Pr'!N608)</f>
        <v/>
      </c>
      <c r="O608" s="57"/>
      <c r="P608" s="57"/>
      <c r="Q608" s="57"/>
      <c r="R608" s="57"/>
      <c r="S608" s="57"/>
      <c r="T608" s="57"/>
      <c r="U608" s="57"/>
      <c r="V608" s="57"/>
      <c r="W608" s="57"/>
      <c r="X608" s="57"/>
      <c r="Y608" s="57"/>
      <c r="Z608" s="57"/>
    </row>
    <row r="609">
      <c r="A609" s="56" t="str">
        <f>IFERROR(__xludf.DUMMYFUNCTION("IF('AYIRA MINI MART FINAL MENU - Pr'!A609="""", """", IF(LEN(IFERROR(TRIM(REGEXREPLACE(TRIM(REGEXEXTRACT('AYIRA MINI MART FINAL MENU - Pr'!A609, ""^[^\x{0600}-\x{06FF}]+"")), ""[-–]+$"", """")), """"))&gt;0, IFERROR(TRIM(REGEXREPLACE(TRIM(REGEXEXTRACT('AYIRA"&amp;" MINI MART FINAL MENU - Pr'!A609, ""^[^\x{0600}-\x{06FF}]+"")), ""[-–]+$"", """")), """"), GOOGLETRANSLATE('AYIRA MINI MART FINAL MENU - Pr'!A609, ""ar"", ""en"")))"),"Confetteria Raffaello 30 GM – Confetteria")</f>
        <v>Confetteria Raffaello 30 GM – Confetteria</v>
      </c>
      <c r="B609" s="56" t="str">
        <f>IFERROR(__xludf.DUMMYFUNCTION("IF('AYIRA MINI MART FINAL MENU - Pr'!B609="""", """", IF(LEN(IFERROR(TRIM(REGEXREPLACE(TRIM(REGEXEXTRACT('AYIRA MINI MART FINAL MENU - Pr'!B609, ""^[^\x{0600}-\x{06FF}]+"")), ""[-–]+$"", """")), """"))&gt;0, IFERROR(TRIM(REGEXREPLACE(TRIM(REGEXEXTRACT('AYIRA"&amp;" MINI MART FINAL MENU - Pr'!B609, ""^[^\x{0600}-\x{06FF}]+"")), ""[-–]+$"", """")), """"), GOOGLETRANSLATE('AYIRA MINI MART FINAL MENU - Pr'!B609, ""ar"", ""en"")))"),"Chocolates")</f>
        <v>Chocolates</v>
      </c>
      <c r="C609" s="58">
        <f>IF('AYIRA MINI MART FINAL MENU - Pr'!C609="", "", 'AYIRA MINI MART FINAL MENU - Pr'!C609)</f>
        <v>5</v>
      </c>
      <c r="D609" s="56" t="str">
        <f>IFERROR(__xludf.DUMMYFUNCTION("IF('AYIRA MINI MART FINAL MENU - Pr'!D609="""", """", GOOGLETRANSLATE('AYIRA MINI MART FINAL MENU - Pr'!D609, ""ar"", ""en""))"),"Don't be able to resist the taste of Confetteria Raffaello 30 GM, your perfect companion for relaxing and watching the game. Its unique crunch and diverse flavors make every handful a delightful experience. Prepared with the finest ingredients using the l"&amp;"atest manufacturing techniques to guarantee an unparalleled taste. Ideal as a snack for adults and children alike between meals. Aira Mini Mart offers it in the perfect size and flavor for you.")</f>
        <v>Don't be able to resist the taste of Confetteria Raffaello 30 GM,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609" s="56" t="str">
        <f>IF('AYIRA MINI MART FINAL MENU - Pr'!K609="", "", 'AYIRA MINI MART FINAL MENU - Pr'!K609)</f>
        <v/>
      </c>
      <c r="F609" s="56"/>
      <c r="G609" s="56"/>
      <c r="H609" s="56"/>
      <c r="I609" s="56"/>
      <c r="J609" s="56"/>
      <c r="L609" s="56" t="str">
        <f>IF('AYIRA MINI MART FINAL MENU - Pr'!L609="", "", 'AYIRA MINI MART FINAL MENU - Pr'!L609)</f>
        <v/>
      </c>
      <c r="M609" s="56" t="str">
        <f>IF('AYIRA MINI MART FINAL MENU - Pr'!M609="", "", 'AYIRA MINI MART FINAL MENU - Pr'!M609)</f>
        <v/>
      </c>
      <c r="N609" s="56" t="str">
        <f>IF('AYIRA MINI MART FINAL MENU - Pr'!N609="", "", 'AYIRA MINI MART FINAL MENU - Pr'!N609)</f>
        <v/>
      </c>
      <c r="O609" s="57"/>
      <c r="P609" s="57"/>
      <c r="Q609" s="57"/>
      <c r="R609" s="57"/>
      <c r="S609" s="57"/>
      <c r="T609" s="57"/>
      <c r="U609" s="57"/>
      <c r="V609" s="57"/>
      <c r="W609" s="57"/>
      <c r="X609" s="57"/>
      <c r="Y609" s="57"/>
      <c r="Z609" s="57"/>
    </row>
    <row r="610">
      <c r="A610" s="56" t="str">
        <f>IFERROR(__xludf.DUMMYFUNCTION("IF('AYIRA MINI MART FINAL MENU - Pr'!A610="""", """", IF(LEN(IFERROR(TRIM(REGEXREPLACE(TRIM(REGEXEXTRACT('AYIRA MINI MART FINAL MENU - Pr'!A610, ""^[^\x{0600}-\x{06FF}]+"")), ""[-–]+$"", """")), """"))&gt;0, IFERROR(TRIM(REGEXREPLACE(TRIM(REGEXEXTRACT('AYIRA"&amp;" MINI MART FINAL MENU - Pr'!A610, ""^[^\x{0600}-\x{06FF}]+"")), ""[-–]+$"", """")), """"), GOOGLETRANSLATE('AYIRA MINI MART FINAL MENU - Pr'!A610, ""ar"", ""en"")))"),"X-Treme Sour Candy 18 GM")</f>
        <v>X-Treme Sour Candy 18 GM</v>
      </c>
      <c r="B610" s="56" t="str">
        <f>IFERROR(__xludf.DUMMYFUNCTION("IF('AYIRA MINI MART FINAL MENU - Pr'!B610="""", """", IF(LEN(IFERROR(TRIM(REGEXREPLACE(TRIM(REGEXEXTRACT('AYIRA MINI MART FINAL MENU - Pr'!B610, ""^[^\x{0600}-\x{06FF}]+"")), ""[-–]+$"", """")), """"))&gt;0, IFERROR(TRIM(REGEXREPLACE(TRIM(REGEXEXTRACT('AYIRA"&amp;" MINI MART FINAL MENU - Pr'!B610, ""^[^\x{0600}-\x{06FF}]+"")), ""[-–]+$"", """")), """"), GOOGLETRANSLATE('AYIRA MINI MART FINAL MENU - Pr'!B610, ""ar"", ""en"")))"),"Candy |")</f>
        <v>Candy |</v>
      </c>
      <c r="C610" s="58">
        <f>IF('AYIRA MINI MART FINAL MENU - Pr'!C610="", "", 'AYIRA MINI MART FINAL MENU - Pr'!C610)</f>
        <v>1</v>
      </c>
      <c r="D610" s="56" t="str">
        <f>IFERROR(__xludf.DUMMYFUNCTION("IF('AYIRA MINI MART FINAL MENU - Pr'!D610="""", """", GOOGLETRANSLATE('AYIRA MINI MART FINAL MENU - Pr'!D610, ""ar"", ""en""))"),"Add a sweet moment to your day with X-Treme Sour Candy 18g, a delicious treat loved by everyone. Its variety of flavors and vibrant colors make it suitable for all ages. Perfect as a small reward or a light gift for friends and family. Made with high-qual"&amp;"ity ingredients to ensure a great taste in every piece. Get yours from Aira Mini Mart and spread joy to your loved ones.")</f>
        <v>Add a sweet moment to your day with X-Treme Sour Candy 18g, a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joy to your loved ones.</v>
      </c>
      <c r="E610" s="56" t="str">
        <f>IF('AYIRA MINI MART FINAL MENU - Pr'!K610="", "", 'AYIRA MINI MART FINAL MENU - Pr'!K610)</f>
        <v/>
      </c>
      <c r="F610" s="56"/>
      <c r="G610" s="56"/>
      <c r="H610" s="56"/>
      <c r="I610" s="56"/>
      <c r="J610" s="56"/>
      <c r="L610" s="56" t="str">
        <f>IF('AYIRA MINI MART FINAL MENU - Pr'!L610="", "", 'AYIRA MINI MART FINAL MENU - Pr'!L610)</f>
        <v/>
      </c>
      <c r="M610" s="56" t="str">
        <f>IF('AYIRA MINI MART FINAL MENU - Pr'!M610="", "", 'AYIRA MINI MART FINAL MENU - Pr'!M610)</f>
        <v/>
      </c>
      <c r="N610" s="56" t="str">
        <f>IF('AYIRA MINI MART FINAL MENU - Pr'!N610="", "", 'AYIRA MINI MART FINAL MENU - Pr'!N610)</f>
        <v/>
      </c>
      <c r="O610" s="57"/>
      <c r="P610" s="57"/>
      <c r="Q610" s="57"/>
      <c r="R610" s="57"/>
      <c r="S610" s="57"/>
      <c r="T610" s="57"/>
      <c r="U610" s="57"/>
      <c r="V610" s="57"/>
      <c r="W610" s="57"/>
      <c r="X610" s="57"/>
      <c r="Y610" s="57"/>
      <c r="Z610" s="57"/>
    </row>
    <row r="611">
      <c r="A611" s="56" t="str">
        <f>IFERROR(__xludf.DUMMYFUNCTION("IF('AYIRA MINI MART FINAL MENU - Pr'!A611="""", """", IF(LEN(IFERROR(TRIM(REGEXREPLACE(TRIM(REGEXEXTRACT('AYIRA MINI MART FINAL MENU - Pr'!A611, ""^[^\x{0600}-\x{06FF}]+"")), ""[-–]+$"", """")), """"))&gt;0, IFERROR(TRIM(REGEXREPLACE(TRIM(REGEXEXTRACT('AYIRA"&amp;" MINI MART FINAL MENU - Pr'!A611, ""^[^\x{0600}-\x{06FF}]+"")), ""[-–]+$"", """")), """"), GOOGLETRANSLATE('AYIRA MINI MART FINAL MENU - Pr'!A611, ""ar"", ""en"")))"),"Brain Blasterz Sour Powder with Lolly Dipper 10 GM – Brain Blasterz Sour")</f>
        <v>Brain Blasterz Sour Powder with Lolly Dipper 10 GM – Brain Blasterz Sour</v>
      </c>
      <c r="B611" s="56" t="str">
        <f>IFERROR(__xludf.DUMMYFUNCTION("IF('AYIRA MINI MART FINAL MENU - Pr'!B611="""", """", IF(LEN(IFERROR(TRIM(REGEXREPLACE(TRIM(REGEXEXTRACT('AYIRA MINI MART FINAL MENU - Pr'!B611, ""^[^\x{0600}-\x{06FF}]+"")), ""[-–]+$"", """")), """"))&gt;0, IFERROR(TRIM(REGEXREPLACE(TRIM(REGEXEXTRACT('AYIRA"&amp;" MINI MART FINAL MENU - Pr'!B611, ""^[^\x{0600}-\x{06FF}]+"")), ""[-–]+$"", """")), """"), GOOGLETRANSLATE('AYIRA MINI MART FINAL MENU - Pr'!B611, ""ar"", ""en"")))"),"Candy |")</f>
        <v>Candy |</v>
      </c>
      <c r="C611" s="58">
        <f>IF('AYIRA MINI MART FINAL MENU - Pr'!C611="", "", 'AYIRA MINI MART FINAL MENU - Pr'!C611)</f>
        <v>1.5</v>
      </c>
      <c r="D611" s="56" t="str">
        <f>IFERROR(__xludf.DUMMYFUNCTION("IF('AYIRA MINI MART FINAL MENU - Pr'!D611="""", """", GOOGLETRANSLATE('AYIRA MINI MART FINAL MENU - Pr'!D611, ""ar"", ""en""))"),"Don't be able to resist the taste of Brain Blasterz Sour Powder with Lolly Dipper 10 GM, your perfect companion for relaxing and watching the game. Its unique crunch and varied flavors make every handful a delightful experience. Prepared with the finest i"&amp;"ngredients using the latest manufacturing techniques to ensure an unparalleled taste. Ideal as a snack for adults and children between meals. Aira Mini Mart offers it in the perfect size and flavor for you.")</f>
        <v>Don't be able to resist the taste of Brain Blasterz Sour Powder with Lolly Dipper 10 GM,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611" s="56" t="str">
        <f>IF('AYIRA MINI MART FINAL MENU - Pr'!K611="", "", 'AYIRA MINI MART FINAL MENU - Pr'!K611)</f>
        <v/>
      </c>
      <c r="F611" s="56"/>
      <c r="G611" s="56"/>
      <c r="H611" s="56"/>
      <c r="I611" s="56"/>
      <c r="J611" s="56"/>
      <c r="L611" s="56" t="str">
        <f>IF('AYIRA MINI MART FINAL MENU - Pr'!L611="", "", 'AYIRA MINI MART FINAL MENU - Pr'!L611)</f>
        <v/>
      </c>
      <c r="M611" s="56" t="str">
        <f>IF('AYIRA MINI MART FINAL MENU - Pr'!M611="", "", 'AYIRA MINI MART FINAL MENU - Pr'!M611)</f>
        <v/>
      </c>
      <c r="N611" s="56" t="str">
        <f>IF('AYIRA MINI MART FINAL MENU - Pr'!N611="", "", 'AYIRA MINI MART FINAL MENU - Pr'!N611)</f>
        <v/>
      </c>
      <c r="O611" s="57"/>
      <c r="P611" s="57"/>
      <c r="Q611" s="57"/>
      <c r="R611" s="57"/>
      <c r="S611" s="57"/>
      <c r="T611" s="57"/>
      <c r="U611" s="57"/>
      <c r="V611" s="57"/>
      <c r="W611" s="57"/>
      <c r="X611" s="57"/>
      <c r="Y611" s="57"/>
      <c r="Z611" s="57"/>
    </row>
    <row r="612">
      <c r="A612" s="56" t="str">
        <f>IFERROR(__xludf.DUMMYFUNCTION("IF('AYIRA MINI MART FINAL MENU - Pr'!A612="""", """", IF(LEN(IFERROR(TRIM(REGEXREPLACE(TRIM(REGEXEXTRACT('AYIRA MINI MART FINAL MENU - Pr'!A612, ""^[^\x{0600}-\x{06FF}]+"")), ""[-–]+$"", """")), """"))&gt;0, IFERROR(TRIM(REGEXREPLACE(TRIM(REGEXEXTRACT('AYIRA"&amp;" MINI MART FINAL MENU - Pr'!A612, ""^[^\x{0600}-\x{06FF}]+"")), ""[-–]+$"", """")), """"), GOOGLETRANSLATE('AYIRA MINI MART FINAL MENU - Pr'!A612, ""ar"", ""en"")))"),"Hot Dog with Candy Mustard 15 ML")</f>
        <v>Hot Dog with Candy Mustard 15 ML</v>
      </c>
      <c r="B612" s="56" t="str">
        <f>IFERROR(__xludf.DUMMYFUNCTION("IF('AYIRA MINI MART FINAL MENU - Pr'!B612="""", """", IF(LEN(IFERROR(TRIM(REGEXREPLACE(TRIM(REGEXEXTRACT('AYIRA MINI MART FINAL MENU - Pr'!B612, ""^[^\x{0600}-\x{06FF}]+"")), ""[-–]+$"", """")), """"))&gt;0, IFERROR(TRIM(REGEXREPLACE(TRIM(REGEXEXTRACT('AYIRA"&amp;" MINI MART FINAL MENU - Pr'!B612, ""^[^\x{0600}-\x{06FF}]+"")), ""[-–]+$"", """")), """"), GOOGLETRANSLATE('AYIRA MINI MART FINAL MENU - Pr'!B612, ""ar"", ""en"")))"),"Candy |")</f>
        <v>Candy |</v>
      </c>
      <c r="C612" s="58">
        <f>IF('AYIRA MINI MART FINAL MENU - Pr'!C612="", "", 'AYIRA MINI MART FINAL MENU - Pr'!C612)</f>
        <v>1.5</v>
      </c>
      <c r="D612" s="56" t="str">
        <f>IFERROR(__xludf.DUMMYFUNCTION("IF('AYIRA MINI MART FINAL MENU - Pr'!D612="""", """", GOOGLETRANSLATE('AYIRA MINI MART FINAL MENU - Pr'!D612, ""ar"", ""en""))"),"Add a sweet treat to your day with Hot Dog with Candy Mustard 15ml, a delicious treat loved by everyone. Its variety of flavors and attractive colors make it suitable for all ages. Perfect as a small reward or a light gift for friends and family. Made wit"&amp;"h high quality ingredients to ensure great taste in every single piece. Get yours from Aira Mini Mart and spread the joy to your loved ones.")</f>
        <v>Add a sweet treat to your day with Hot Dog with Candy Mustard 15ml, a delicious treat loved by everyone. Its variety of flavors and attractive colors make it suitable for all ages. Perfect as a small reward or a light gift for friends and family. Made with high quality ingredients to ensure great taste in every single piece. Get yours from Aira Mini Mart and spread the joy to your loved ones.</v>
      </c>
      <c r="E612" s="56" t="str">
        <f>IF('AYIRA MINI MART FINAL MENU - Pr'!K612="", "", 'AYIRA MINI MART FINAL MENU - Pr'!K612)</f>
        <v/>
      </c>
      <c r="F612" s="56"/>
      <c r="G612" s="56"/>
      <c r="H612" s="56"/>
      <c r="I612" s="56"/>
      <c r="J612" s="56"/>
      <c r="L612" s="56" t="str">
        <f>IF('AYIRA MINI MART FINAL MENU - Pr'!L612="", "", 'AYIRA MINI MART FINAL MENU - Pr'!L612)</f>
        <v/>
      </c>
      <c r="M612" s="56" t="str">
        <f>IF('AYIRA MINI MART FINAL MENU - Pr'!M612="", "", 'AYIRA MINI MART FINAL MENU - Pr'!M612)</f>
        <v/>
      </c>
      <c r="N612" s="56" t="str">
        <f>IF('AYIRA MINI MART FINAL MENU - Pr'!N612="", "", 'AYIRA MINI MART FINAL MENU - Pr'!N612)</f>
        <v/>
      </c>
      <c r="O612" s="57"/>
      <c r="P612" s="57"/>
      <c r="Q612" s="57"/>
      <c r="R612" s="57"/>
      <c r="S612" s="57"/>
      <c r="T612" s="57"/>
      <c r="U612" s="57"/>
      <c r="V612" s="57"/>
      <c r="W612" s="57"/>
      <c r="X612" s="57"/>
      <c r="Y612" s="57"/>
      <c r="Z612" s="57"/>
    </row>
    <row r="613">
      <c r="A613" s="56" t="str">
        <f>IFERROR(__xludf.DUMMYFUNCTION("IF('AYIRA MINI MART FINAL MENU - Pr'!A613="""", """", IF(LEN(IFERROR(TRIM(REGEXREPLACE(TRIM(REGEXEXTRACT('AYIRA MINI MART FINAL MENU - Pr'!A613, ""^[^\x{0600}-\x{06FF}]+"")), ""[-–]+$"", """")), """"))&gt;0, IFERROR(TRIM(REGEXREPLACE(TRIM(REGEXEXTRACT('AYIRA"&amp;" MINI MART FINAL MENU - Pr'!A613, ""^[^\x{0600}-\x{06FF}]+"")), ""[-–]+$"", """")), """"), GOOGLETRANSLATE('AYIRA MINI MART FINAL MENU - Pr'!A613, ""ar"", ""en"")))"),"Kiokpop Candy Orange 5G – Kiokpop Candy")</f>
        <v>Kiokpop Candy Orange 5G – Kiokpop Candy</v>
      </c>
      <c r="B613" s="56" t="str">
        <f>IFERROR(__xludf.DUMMYFUNCTION("IF('AYIRA MINI MART FINAL MENU - Pr'!B613="""", """", IF(LEN(IFERROR(TRIM(REGEXREPLACE(TRIM(REGEXEXTRACT('AYIRA MINI MART FINAL MENU - Pr'!B613, ""^[^\x{0600}-\x{06FF}]+"")), ""[-–]+$"", """")), """"))&gt;0, IFERROR(TRIM(REGEXREPLACE(TRIM(REGEXEXTRACT('AYIRA"&amp;" MINI MART FINAL MENU - Pr'!B613, ""^[^\x{0600}-\x{06FF}]+"")), ""[-–]+$"", """")), """"), GOOGLETRANSLATE('AYIRA MINI MART FINAL MENU - Pr'!B613, ""ar"", ""en"")))"),"Candy |")</f>
        <v>Candy |</v>
      </c>
      <c r="C613" s="58">
        <f>IF('AYIRA MINI MART FINAL MENU - Pr'!C613="", "", 'AYIRA MINI MART FINAL MENU - Pr'!C613)</f>
        <v>1</v>
      </c>
      <c r="D613" s="56" t="str">
        <f>IFERROR(__xludf.DUMMYFUNCTION("IF('AYIRA MINI MART FINAL MENU - Pr'!D613="""", """", GOOGLETRANSLATE('AYIRA MINI MART FINAL MENU - Pr'!D613, ""ar"", ""en""))"),"Add a sweet moment to your day with Kiokpop Candy Orange 5G, a delicious treat loved by everyone. Its variety of flavors and vibrant colors make it suitable for all ages. Perfect as a small reward or a light gift for friends and family. Made with high-qua"&amp;"lity ingredients to ensure a great taste in every piece. Get yours from Aira Mini Mart and spread the joy to your loved ones.")</f>
        <v>Add a sweet moment to your day with Kiokpop Candy Orange 5G, a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the joy to your loved ones.</v>
      </c>
      <c r="E613" s="56" t="str">
        <f>IF('AYIRA MINI MART FINAL MENU - Pr'!K613="", "", 'AYIRA MINI MART FINAL MENU - Pr'!K613)</f>
        <v/>
      </c>
      <c r="F613" s="56"/>
      <c r="G613" s="56"/>
      <c r="H613" s="56"/>
      <c r="I613" s="56"/>
      <c r="J613" s="56"/>
      <c r="L613" s="56" t="str">
        <f>IF('AYIRA MINI MART FINAL MENU - Pr'!L613="", "", 'AYIRA MINI MART FINAL MENU - Pr'!L613)</f>
        <v/>
      </c>
      <c r="M613" s="56" t="str">
        <f>IF('AYIRA MINI MART FINAL MENU - Pr'!M613="", "", 'AYIRA MINI MART FINAL MENU - Pr'!M613)</f>
        <v/>
      </c>
      <c r="N613" s="56" t="str">
        <f>IF('AYIRA MINI MART FINAL MENU - Pr'!N613="", "", 'AYIRA MINI MART FINAL MENU - Pr'!N613)</f>
        <v/>
      </c>
      <c r="O613" s="57"/>
      <c r="P613" s="57"/>
      <c r="Q613" s="57"/>
      <c r="R613" s="57"/>
      <c r="S613" s="57"/>
      <c r="T613" s="57"/>
      <c r="U613" s="57"/>
      <c r="V613" s="57"/>
      <c r="W613" s="57"/>
      <c r="X613" s="57"/>
      <c r="Y613" s="57"/>
      <c r="Z613" s="57"/>
    </row>
    <row r="614">
      <c r="A614" s="56" t="str">
        <f>IFERROR(__xludf.DUMMYFUNCTION("IF('AYIRA MINI MART FINAL MENU - Pr'!A614="""", """", IF(LEN(IFERROR(TRIM(REGEXREPLACE(TRIM(REGEXEXTRACT('AYIRA MINI MART FINAL MENU - Pr'!A614, ""^[^\x{0600}-\x{06FF}]+"")), ""[-–]+$"", """")), """"))&gt;0, IFERROR(TRIM(REGEXREPLACE(TRIM(REGEXEXTRACT('AYIRA"&amp;" MINI MART FINAL MENU - Pr'!A614, ""^[^\x{0600}-\x{06FF}]+"")), ""[-–]+$"", """")), """"), GOOGLETRANSLATE('AYIRA MINI MART FINAL MENU - Pr'!A614, ""ar"", ""en"")))"),"Chupa Chups Soft Bubble Gum Babol Tutti Frutti Flavour 27 GM")</f>
        <v>Chupa Chups Soft Bubble Gum Babol Tutti Frutti Flavour 27 GM</v>
      </c>
      <c r="B614" s="56" t="str">
        <f>IFERROR(__xludf.DUMMYFUNCTION("IF('AYIRA MINI MART FINAL MENU - Pr'!B614="""", """", IF(LEN(IFERROR(TRIM(REGEXREPLACE(TRIM(REGEXEXTRACT('AYIRA MINI MART FINAL MENU - Pr'!B614, ""^[^\x{0600}-\x{06FF}]+"")), ""[-–]+$"", """")), """"))&gt;0, IFERROR(TRIM(REGEXREPLACE(TRIM(REGEXEXTRACT('AYIRA"&amp;" MINI MART FINAL MENU - Pr'!B614, ""^[^\x{0600}-\x{06FF}]+"")), ""[-–]+$"", """")), """"), GOOGLETRANSLATE('AYIRA MINI MART FINAL MENU - Pr'!B614, ""ar"", ""en"")))"),"Gums |")</f>
        <v>Gums |</v>
      </c>
      <c r="C614" s="58">
        <f>IF('AYIRA MINI MART FINAL MENU - Pr'!C614="", "", 'AYIRA MINI MART FINAL MENU - Pr'!C614)</f>
        <v>1.5</v>
      </c>
      <c r="D614" s="56" t="str">
        <f>IFERROR(__xludf.DUMMYFUNCTION("IF('AYIRA MINI MART FINAL MENU - Pr'!D614="""", """", GOOGLETRANSLATE('AYIRA MINI MART FINAL MENU - Pr'!D614, ""ar"", ""en""))"),"Enjoy Chupa Chups Soft Bubble Gum Babol Tutti Frutti Flavor 27 GM, the refreshing gum that keeps your mouth clean and fresh all day long. Its long-lasting flavor and unique formula make it the perfect choice for those seeking continuous freshness througho"&amp;"ut the day. It helps to invigorate teeth and freshen breath beautifully. Suitable anytime, anywhere. Get it from Aira Mini Mart and enjoy continuous freshness.")</f>
        <v>Enjoy Chupa Chups Soft Bubble Gum Babol Tutti Frutti Flavor 27 GM,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614" s="56" t="str">
        <f>IF('AYIRA MINI MART FINAL MENU - Pr'!K614="", "", 'AYIRA MINI MART FINAL MENU - Pr'!K614)</f>
        <v/>
      </c>
      <c r="F614" s="56"/>
      <c r="G614" s="56"/>
      <c r="H614" s="56"/>
      <c r="I614" s="56"/>
      <c r="J614" s="56"/>
      <c r="L614" s="56" t="str">
        <f>IF('AYIRA MINI MART FINAL MENU - Pr'!L614="", "", 'AYIRA MINI MART FINAL MENU - Pr'!L614)</f>
        <v/>
      </c>
      <c r="M614" s="56" t="str">
        <f>IF('AYIRA MINI MART FINAL MENU - Pr'!M614="", "", 'AYIRA MINI MART FINAL MENU - Pr'!M614)</f>
        <v/>
      </c>
      <c r="N614" s="56" t="str">
        <f>IF('AYIRA MINI MART FINAL MENU - Pr'!N614="", "", 'AYIRA MINI MART FINAL MENU - Pr'!N614)</f>
        <v/>
      </c>
      <c r="O614" s="57"/>
      <c r="P614" s="57"/>
      <c r="Q614" s="57"/>
      <c r="R614" s="57"/>
      <c r="S614" s="57"/>
      <c r="T614" s="57"/>
      <c r="U614" s="57"/>
      <c r="V614" s="57"/>
      <c r="W614" s="57"/>
      <c r="X614" s="57"/>
      <c r="Y614" s="57"/>
      <c r="Z614" s="57"/>
    </row>
    <row r="615">
      <c r="A615" s="56" t="str">
        <f>IFERROR(__xludf.DUMMYFUNCTION("IF('AYIRA MINI MART FINAL MENU - Pr'!A615="""", """", IF(LEN(IFERROR(TRIM(REGEXREPLACE(TRIM(REGEXEXTRACT('AYIRA MINI MART FINAL MENU - Pr'!A615, ""^[^\x{0600}-\x{06FF}]+"")), ""[-–]+$"", """")), """"))&gt;0, IFERROR(TRIM(REGEXREPLACE(TRIM(REGEXEXTRACT('AYIRA"&amp;" MINI MART FINAL MENU - Pr'!A615, ""^[^\x{0600}-\x{06FF}]+"")), ""[-–]+$"", """")), """"), GOOGLETRANSLATE('AYIRA MINI MART FINAL MENU - Pr'!A615, ""ar"", ""en"")))"),"Chupa Chups Soft Bubble Gum Babol Strawberry Flavour 27 GM")</f>
        <v>Chupa Chups Soft Bubble Gum Babol Strawberry Flavour 27 GM</v>
      </c>
      <c r="B615" s="56" t="str">
        <f>IFERROR(__xludf.DUMMYFUNCTION("IF('AYIRA MINI MART FINAL MENU - Pr'!B615="""", """", IF(LEN(IFERROR(TRIM(REGEXREPLACE(TRIM(REGEXEXTRACT('AYIRA MINI MART FINAL MENU - Pr'!B615, ""^[^\x{0600}-\x{06FF}]+"")), ""[-–]+$"", """")), """"))&gt;0, IFERROR(TRIM(REGEXREPLACE(TRIM(REGEXEXTRACT('AYIRA"&amp;" MINI MART FINAL MENU - Pr'!B615, ""^[^\x{0600}-\x{06FF}]+"")), ""[-–]+$"", """")), """"), GOOGLETRANSLATE('AYIRA MINI MART FINAL MENU - Pr'!B615, ""ar"", ""en"")))"),"Gums |")</f>
        <v>Gums |</v>
      </c>
      <c r="C615" s="58">
        <f>IF('AYIRA MINI MART FINAL MENU - Pr'!C615="", "", 'AYIRA MINI MART FINAL MENU - Pr'!C615)</f>
        <v>1.5</v>
      </c>
      <c r="D615" s="56" t="str">
        <f>IFERROR(__xludf.DUMMYFUNCTION("IF('AYIRA MINI MART FINAL MENU - Pr'!D615="""", """", GOOGLETRANSLATE('AYIRA MINI MART FINAL MENU - Pr'!D615, ""ar"", ""en""))"),"Enjoy Chupa Chups Soft Bubble Gum in Strawberry Flavor (27g), a refreshing gum that keeps your mouth clean and fresh all day long. Its long-lasting flavor and unique formula make it the perfect choice for those seeking continuous freshness throughout the "&amp;"day. It helps to invigorate teeth and freshen breath beautifully. Suitable anytime, anywhere. Get it from Aira Mini Mart and enjoy continuous freshness.")</f>
        <v>Enjoy Chupa Chups Soft Bubble Gum in Strawberry Flavor (27g), a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615" s="56" t="str">
        <f>IF('AYIRA MINI MART FINAL MENU - Pr'!K615="", "", 'AYIRA MINI MART FINAL MENU - Pr'!K615)</f>
        <v/>
      </c>
      <c r="F615" s="56"/>
      <c r="G615" s="56"/>
      <c r="H615" s="56"/>
      <c r="I615" s="56"/>
      <c r="J615" s="56"/>
      <c r="L615" s="56" t="str">
        <f>IF('AYIRA MINI MART FINAL MENU - Pr'!L615="", "", 'AYIRA MINI MART FINAL MENU - Pr'!L615)</f>
        <v/>
      </c>
      <c r="M615" s="56" t="str">
        <f>IF('AYIRA MINI MART FINAL MENU - Pr'!M615="", "", 'AYIRA MINI MART FINAL MENU - Pr'!M615)</f>
        <v/>
      </c>
      <c r="N615" s="56" t="str">
        <f>IF('AYIRA MINI MART FINAL MENU - Pr'!N615="", "", 'AYIRA MINI MART FINAL MENU - Pr'!N615)</f>
        <v/>
      </c>
      <c r="O615" s="57"/>
      <c r="P615" s="57"/>
      <c r="Q615" s="57"/>
      <c r="R615" s="57"/>
      <c r="S615" s="57"/>
      <c r="T615" s="57"/>
      <c r="U615" s="57"/>
      <c r="V615" s="57"/>
      <c r="W615" s="57"/>
      <c r="X615" s="57"/>
      <c r="Y615" s="57"/>
      <c r="Z615" s="57"/>
    </row>
    <row r="616">
      <c r="A616" s="56" t="str">
        <f>IFERROR(__xludf.DUMMYFUNCTION("IF('AYIRA MINI MART FINAL MENU - Pr'!A616="""", """", IF(LEN(IFERROR(TRIM(REGEXREPLACE(TRIM(REGEXEXTRACT('AYIRA MINI MART FINAL MENU - Pr'!A616, ""^[^\x{0600}-\x{06FF}]+"")), ""[-–]+$"", """")), """"))&gt;0, IFERROR(TRIM(REGEXREPLACE(TRIM(REGEXEXTRACT('AYIRA"&amp;" MINI MART FINAL MENU - Pr'!A616, ""^[^\x{0600}-\x{06FF}]+"")), ""[-–]+$"", """")), """"), GOOGLETRANSLATE('AYIRA MINI MART FINAL MENU - Pr'!A616, ""ar"", ""en"")))"),"Galaxy Crispy 36 GM")</f>
        <v>Galaxy Crispy 36 GM</v>
      </c>
      <c r="B616" s="56" t="str">
        <f>IFERROR(__xludf.DUMMYFUNCTION("IF('AYIRA MINI MART FINAL MENU - Pr'!B616="""", """", IF(LEN(IFERROR(TRIM(REGEXREPLACE(TRIM(REGEXEXTRACT('AYIRA MINI MART FINAL MENU - Pr'!B616, ""^[^\x{0600}-\x{06FF}]+"")), ""[-–]+$"", """")), """"))&gt;0, IFERROR(TRIM(REGEXREPLACE(TRIM(REGEXEXTRACT('AYIRA"&amp;" MINI MART FINAL MENU - Pr'!B616, ""^[^\x{0600}-\x{06FF}]+"")), ""[-–]+$"", """")), """"), GOOGLETRANSLATE('AYIRA MINI MART FINAL MENU - Pr'!B616, ""ar"", ""en"")))"),"Chocolates")</f>
        <v>Chocolates</v>
      </c>
      <c r="C616" s="58">
        <f>IF('AYIRA MINI MART FINAL MENU - Pr'!C616="", "", 'AYIRA MINI MART FINAL MENU - Pr'!C616)</f>
        <v>4</v>
      </c>
      <c r="D616" s="56" t="str">
        <f>IFERROR(__xludf.DUMMYFUNCTION("IF('AYIRA MINI MART FINAL MENU - Pr'!D616="""", """", GOOGLETRANSLATE('AYIRA MINI MART FINAL MENU - Pr'!D616, ""ar"", ""en""))"),"Don't be able to resist the taste of Galaxy Crispy 36 GM, your perfect companion for relaxing and watching the game. Its unique crunch and diverse flavors make every handful a delightful experience. Prepared with the finest ingredients using the latest ma"&amp;"nufacturing techniques to guarantee an unparalleled taste. Ideal as a snack for adults and children alike between meals. Aira Mini Mart offers it in the size and flavor that suits you best.")</f>
        <v>Don't be able to resist the taste of Galaxy Crispy 36 GM,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size and flavor that suits you best.</v>
      </c>
      <c r="E616" s="56" t="str">
        <f>IF('AYIRA MINI MART FINAL MENU - Pr'!K616="", "", 'AYIRA MINI MART FINAL MENU - Pr'!K616)</f>
        <v/>
      </c>
      <c r="F616" s="56"/>
      <c r="G616" s="56"/>
      <c r="H616" s="56"/>
      <c r="I616" s="56"/>
      <c r="J616" s="56"/>
      <c r="L616" s="56" t="str">
        <f>IF('AYIRA MINI MART FINAL MENU - Pr'!L616="", "", 'AYIRA MINI MART FINAL MENU - Pr'!L616)</f>
        <v/>
      </c>
      <c r="M616" s="56" t="str">
        <f>IF('AYIRA MINI MART FINAL MENU - Pr'!M616="", "", 'AYIRA MINI MART FINAL MENU - Pr'!M616)</f>
        <v/>
      </c>
      <c r="N616" s="56" t="str">
        <f>IF('AYIRA MINI MART FINAL MENU - Pr'!N616="", "", 'AYIRA MINI MART FINAL MENU - Pr'!N616)</f>
        <v/>
      </c>
      <c r="O616" s="57"/>
      <c r="P616" s="57"/>
      <c r="Q616" s="57"/>
      <c r="R616" s="57"/>
      <c r="S616" s="57"/>
      <c r="T616" s="57"/>
      <c r="U616" s="57"/>
      <c r="V616" s="57"/>
      <c r="W616" s="57"/>
      <c r="X616" s="57"/>
      <c r="Y616" s="57"/>
      <c r="Z616" s="57"/>
    </row>
    <row r="617">
      <c r="A617" s="56" t="str">
        <f>IFERROR(__xludf.DUMMYFUNCTION("IF('AYIRA MINI MART FINAL MENU - Pr'!A617="""", """", IF(LEN(IFERROR(TRIM(REGEXREPLACE(TRIM(REGEXEXTRACT('AYIRA MINI MART FINAL MENU - Pr'!A617, ""^[^\x{0600}-\x{06FF}]+"")), ""[-–]+$"", """")), """"))&gt;0, IFERROR(TRIM(REGEXREPLACE(TRIM(REGEXEXTRACT('AYIRA"&amp;" MINI MART FINAL MENU - Pr'!A617, ""^[^\x{0600}-\x{06FF}]+"")), ""[-–]+$"", """")), """"), GOOGLETRANSLATE('AYIRA MINI MART FINAL MENU - Pr'!A617, ""ar"", ""en"")))"),"Snickers 70 GM")</f>
        <v>Snickers 70 GM</v>
      </c>
      <c r="B617" s="56" t="str">
        <f>IFERROR(__xludf.DUMMYFUNCTION("IF('AYIRA MINI MART FINAL MENU - Pr'!B617="""", """", IF(LEN(IFERROR(TRIM(REGEXREPLACE(TRIM(REGEXEXTRACT('AYIRA MINI MART FINAL MENU - Pr'!B617, ""^[^\x{0600}-\x{06FF}]+"")), ""[-–]+$"", """")), """"))&gt;0, IFERROR(TRIM(REGEXREPLACE(TRIM(REGEXEXTRACT('AYIRA"&amp;" MINI MART FINAL MENU - Pr'!B617, ""^[^\x{0600}-\x{06FF}]+"")), ""[-–]+$"", """")), """"), GOOGLETRANSLATE('AYIRA MINI MART FINAL MENU - Pr'!B617, ""ar"", ""en"")))"),"Chocolates")</f>
        <v>Chocolates</v>
      </c>
      <c r="C617" s="58">
        <f>IF('AYIRA MINI MART FINAL MENU - Pr'!C617="", "", 'AYIRA MINI MART FINAL MENU - Pr'!C617)</f>
        <v>5</v>
      </c>
      <c r="D617" s="56" t="str">
        <f>IFERROR(__xludf.DUMMYFUNCTION("IF('AYIRA MINI MART FINAL MENU - Pr'!D617="""", """", GOOGLETRANSLATE('AYIRA MINI MART FINAL MENU - Pr'!D617,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17" s="56" t="str">
        <f>IF('AYIRA MINI MART FINAL MENU - Pr'!K617="", "", 'AYIRA MINI MART FINAL MENU - Pr'!K617)</f>
        <v/>
      </c>
      <c r="F617" s="56"/>
      <c r="G617" s="56"/>
      <c r="H617" s="56"/>
      <c r="I617" s="56"/>
      <c r="J617" s="56"/>
      <c r="L617" s="56" t="str">
        <f>IF('AYIRA MINI MART FINAL MENU - Pr'!L617="", "", 'AYIRA MINI MART FINAL MENU - Pr'!L617)</f>
        <v/>
      </c>
      <c r="M617" s="56" t="str">
        <f>IF('AYIRA MINI MART FINAL MENU - Pr'!M617="", "", 'AYIRA MINI MART FINAL MENU - Pr'!M617)</f>
        <v/>
      </c>
      <c r="N617" s="56" t="str">
        <f>IF('AYIRA MINI MART FINAL MENU - Pr'!N617="", "", 'AYIRA MINI MART FINAL MENU - Pr'!N617)</f>
        <v/>
      </c>
      <c r="O617" s="57"/>
      <c r="P617" s="57"/>
      <c r="Q617" s="57"/>
      <c r="R617" s="57"/>
      <c r="S617" s="57"/>
      <c r="T617" s="57"/>
      <c r="U617" s="57"/>
      <c r="V617" s="57"/>
      <c r="W617" s="57"/>
      <c r="X617" s="57"/>
      <c r="Y617" s="57"/>
      <c r="Z617" s="57"/>
    </row>
    <row r="618">
      <c r="A618" s="56" t="str">
        <f>IFERROR(__xludf.DUMMYFUNCTION("IF('AYIRA MINI MART FINAL MENU - Pr'!A618="""", """", IF(LEN(IFERROR(TRIM(REGEXREPLACE(TRIM(REGEXEXTRACT('AYIRA MINI MART FINAL MENU - Pr'!A618, ""^[^\x{0600}-\x{06FF}]+"")), ""[-–]+$"", """")), """"))&gt;0, IFERROR(TRIM(REGEXREPLACE(TRIM(REGEXEXTRACT('AYIRA"&amp;" MINI MART FINAL MENU - Pr'!A618, ""^[^\x{0600}-\x{06FF}]+"")), ""[-–]+$"", """")), """"), GOOGLETRANSLATE('AYIRA MINI MART FINAL MENU - Pr'!A618, ""ar"", ""en"")))"),"Snickers 45 GM")</f>
        <v>Snickers 45 GM</v>
      </c>
      <c r="B618" s="56" t="str">
        <f>IFERROR(__xludf.DUMMYFUNCTION("IF('AYIRA MINI MART FINAL MENU - Pr'!B618="""", """", IF(LEN(IFERROR(TRIM(REGEXREPLACE(TRIM(REGEXEXTRACT('AYIRA MINI MART FINAL MENU - Pr'!B618, ""^[^\x{0600}-\x{06FF}]+"")), ""[-–]+$"", """")), """"))&gt;0, IFERROR(TRIM(REGEXREPLACE(TRIM(REGEXEXTRACT('AYIRA"&amp;" MINI MART FINAL MENU - Pr'!B618, ""^[^\x{0600}-\x{06FF}]+"")), ""[-–]+$"", """")), """"), GOOGLETRANSLATE('AYIRA MINI MART FINAL MENU - Pr'!B618, ""ar"", ""en"")))"),"Chocolates")</f>
        <v>Chocolates</v>
      </c>
      <c r="C618" s="58">
        <f>IF('AYIRA MINI MART FINAL MENU - Pr'!C618="", "", 'AYIRA MINI MART FINAL MENU - Pr'!C618)</f>
        <v>3</v>
      </c>
      <c r="D618" s="56" t="str">
        <f>IFERROR(__xludf.DUMMYFUNCTION("IF('AYIRA MINI MART FINAL MENU - Pr'!D618="""", """", GOOGLETRANSLATE('AYIRA MINI MART FINAL MENU - Pr'!D618,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18" s="56" t="str">
        <f>IF('AYIRA MINI MART FINAL MENU - Pr'!K618="", "", 'AYIRA MINI MART FINAL MENU - Pr'!K618)</f>
        <v/>
      </c>
      <c r="F618" s="56"/>
      <c r="G618" s="56"/>
      <c r="H618" s="56"/>
      <c r="I618" s="56"/>
      <c r="J618" s="56"/>
      <c r="L618" s="56" t="str">
        <f>IF('AYIRA MINI MART FINAL MENU - Pr'!L618="", "", 'AYIRA MINI MART FINAL MENU - Pr'!L618)</f>
        <v/>
      </c>
      <c r="M618" s="56" t="str">
        <f>IF('AYIRA MINI MART FINAL MENU - Pr'!M618="", "", 'AYIRA MINI MART FINAL MENU - Pr'!M618)</f>
        <v/>
      </c>
      <c r="N618" s="56" t="str">
        <f>IF('AYIRA MINI MART FINAL MENU - Pr'!N618="", "", 'AYIRA MINI MART FINAL MENU - Pr'!N618)</f>
        <v/>
      </c>
      <c r="O618" s="57"/>
      <c r="P618" s="57"/>
      <c r="Q618" s="57"/>
      <c r="R618" s="57"/>
      <c r="S618" s="57"/>
      <c r="T618" s="57"/>
      <c r="U618" s="57"/>
      <c r="V618" s="57"/>
      <c r="W618" s="57"/>
      <c r="X618" s="57"/>
      <c r="Y618" s="57"/>
      <c r="Z618" s="57"/>
    </row>
    <row r="619">
      <c r="A619" s="56" t="str">
        <f>IFERROR(__xludf.DUMMYFUNCTION("IF('AYIRA MINI MART FINAL MENU - Pr'!A619="""", """", IF(LEN(IFERROR(TRIM(REGEXREPLACE(TRIM(REGEXEXTRACT('AYIRA MINI MART FINAL MENU - Pr'!A619, ""^[^\x{0600}-\x{06FF}]+"")), ""[-–]+$"", """")), """"))&gt;0, IFERROR(TRIM(REGEXREPLACE(TRIM(REGEXEXTRACT('AYIRA"&amp;" MINI MART FINAL MENU - Pr'!A619, ""^[^\x{0600}-\x{06FF}]+"")), ""[-–]+$"", """")), """"), GOOGLETRANSLATE('AYIRA MINI MART FINAL MENU - Pr'!A619, ""ar"", ""en"")))"),"Snickers Creamy Peanut Butter 36.5 GM")</f>
        <v>Snickers Creamy Peanut Butter 36.5 GM</v>
      </c>
      <c r="B619" s="56" t="str">
        <f>IFERROR(__xludf.DUMMYFUNCTION("IF('AYIRA MINI MART FINAL MENU - Pr'!B619="""", """", IF(LEN(IFERROR(TRIM(REGEXREPLACE(TRIM(REGEXEXTRACT('AYIRA MINI MART FINAL MENU - Pr'!B619, ""^[^\x{0600}-\x{06FF}]+"")), ""[-–]+$"", """")), """"))&gt;0, IFERROR(TRIM(REGEXREPLACE(TRIM(REGEXEXTRACT('AYIRA"&amp;" MINI MART FINAL MENU - Pr'!B619, ""^[^\x{0600}-\x{06FF}]+"")), ""[-–]+$"", """")), """"), GOOGLETRANSLATE('AYIRA MINI MART FINAL MENU - Pr'!B619, ""ar"", ""en"")))"),"Chocolates")</f>
        <v>Chocolates</v>
      </c>
      <c r="C619" s="58">
        <f>IF('AYIRA MINI MART FINAL MENU - Pr'!C619="", "", 'AYIRA MINI MART FINAL MENU - Pr'!C619)</f>
        <v>3.5</v>
      </c>
      <c r="D619" s="56" t="str">
        <f>IFERROR(__xludf.DUMMYFUNCTION("IF('AYIRA MINI MART FINAL MENU - Pr'!D619="""", """", GOOGLETRANSLATE('AYIRA MINI MART FINAL MENU - Pr'!D619,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19" s="56" t="str">
        <f>IF('AYIRA MINI MART FINAL MENU - Pr'!K619="", "", 'AYIRA MINI MART FINAL MENU - Pr'!K619)</f>
        <v/>
      </c>
      <c r="F619" s="56"/>
      <c r="G619" s="56"/>
      <c r="H619" s="56"/>
      <c r="I619" s="56"/>
      <c r="J619" s="56"/>
      <c r="L619" s="56" t="str">
        <f>IF('AYIRA MINI MART FINAL MENU - Pr'!L619="", "", 'AYIRA MINI MART FINAL MENU - Pr'!L619)</f>
        <v/>
      </c>
      <c r="M619" s="56" t="str">
        <f>IF('AYIRA MINI MART FINAL MENU - Pr'!M619="", "", 'AYIRA MINI MART FINAL MENU - Pr'!M619)</f>
        <v/>
      </c>
      <c r="N619" s="56" t="str">
        <f>IF('AYIRA MINI MART FINAL MENU - Pr'!N619="", "", 'AYIRA MINI MART FINAL MENU - Pr'!N619)</f>
        <v/>
      </c>
      <c r="O619" s="57"/>
      <c r="P619" s="57"/>
      <c r="Q619" s="57"/>
      <c r="R619" s="57"/>
      <c r="S619" s="57"/>
      <c r="T619" s="57"/>
      <c r="U619" s="57"/>
      <c r="V619" s="57"/>
      <c r="W619" s="57"/>
      <c r="X619" s="57"/>
      <c r="Y619" s="57"/>
      <c r="Z619" s="57"/>
    </row>
    <row r="620">
      <c r="A620" s="56" t="str">
        <f>IFERROR(__xludf.DUMMYFUNCTION("IF('AYIRA MINI MART FINAL MENU - Pr'!A620="""", """", IF(LEN(IFERROR(TRIM(REGEXREPLACE(TRIM(REGEXEXTRACT('AYIRA MINI MART FINAL MENU - Pr'!A620, ""^[^\x{0600}-\x{06FF}]+"")), ""[-–]+$"", """")), """"))&gt;0, IFERROR(TRIM(REGEXREPLACE(TRIM(REGEXEXTRACT('AYIRA"&amp;" MINI MART FINAL MENU - Pr'!A620, ""^[^\x{0600}-\x{06FF}]+"")), ""[-–]+$"", """")), """"), GOOGLETRANSLATE('AYIRA MINI MART FINAL MENU - Pr'!A620, ""ar"", ""en"")))"),"Snickers Dark 42 GM")</f>
        <v>Snickers Dark 42 GM</v>
      </c>
      <c r="B620" s="56" t="str">
        <f>IFERROR(__xludf.DUMMYFUNCTION("IF('AYIRA MINI MART FINAL MENU - Pr'!B620="""", """", IF(LEN(IFERROR(TRIM(REGEXREPLACE(TRIM(REGEXEXTRACT('AYIRA MINI MART FINAL MENU - Pr'!B620, ""^[^\x{0600}-\x{06FF}]+"")), ""[-–]+$"", """")), """"))&gt;0, IFERROR(TRIM(REGEXREPLACE(TRIM(REGEXEXTRACT('AYIRA"&amp;" MINI MART FINAL MENU - Pr'!B620, ""^[^\x{0600}-\x{06FF}]+"")), ""[-–]+$"", """")), """"), GOOGLETRANSLATE('AYIRA MINI MART FINAL MENU - Pr'!B620, ""ar"", ""en"")))"),"Chocolates")</f>
        <v>Chocolates</v>
      </c>
      <c r="C620" s="58">
        <f>IF('AYIRA MINI MART FINAL MENU - Pr'!C620="", "", 'AYIRA MINI MART FINAL MENU - Pr'!C620)</f>
        <v>4</v>
      </c>
      <c r="D620" s="56" t="str">
        <f>IFERROR(__xludf.DUMMYFUNCTION("IF('AYIRA MINI MART FINAL MENU - Pr'!D620="""", """", GOOGLETRANSLATE('AYIRA MINI MART FINAL MENU - Pr'!D620,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20" s="56" t="str">
        <f>IF('AYIRA MINI MART FINAL MENU - Pr'!K620="", "", 'AYIRA MINI MART FINAL MENU - Pr'!K620)</f>
        <v/>
      </c>
      <c r="F620" s="56"/>
      <c r="G620" s="56"/>
      <c r="H620" s="56"/>
      <c r="I620" s="56"/>
      <c r="J620" s="56"/>
      <c r="L620" s="56" t="str">
        <f>IF('AYIRA MINI MART FINAL MENU - Pr'!L620="", "", 'AYIRA MINI MART FINAL MENU - Pr'!L620)</f>
        <v/>
      </c>
      <c r="M620" s="56" t="str">
        <f>IF('AYIRA MINI MART FINAL MENU - Pr'!M620="", "", 'AYIRA MINI MART FINAL MENU - Pr'!M620)</f>
        <v/>
      </c>
      <c r="N620" s="56" t="str">
        <f>IF('AYIRA MINI MART FINAL MENU - Pr'!N620="", "", 'AYIRA MINI MART FINAL MENU - Pr'!N620)</f>
        <v/>
      </c>
      <c r="O620" s="57"/>
      <c r="P620" s="57"/>
      <c r="Q620" s="57"/>
      <c r="R620" s="57"/>
      <c r="S620" s="57"/>
      <c r="T620" s="57"/>
      <c r="U620" s="57"/>
      <c r="V620" s="57"/>
      <c r="W620" s="57"/>
      <c r="X620" s="57"/>
      <c r="Y620" s="57"/>
      <c r="Z620" s="57"/>
    </row>
    <row r="621">
      <c r="A621" s="56" t="str">
        <f>IFERROR(__xludf.DUMMYFUNCTION("IF('AYIRA MINI MART FINAL MENU - Pr'!A621="""", """", IF(LEN(IFERROR(TRIM(REGEXREPLACE(TRIM(REGEXEXTRACT('AYIRA MINI MART FINAL MENU - Pr'!A621, ""^[^\x{0600}-\x{06FF}]+"")), ""[-–]+$"", """")), """"))&gt;0, IFERROR(TRIM(REGEXREPLACE(TRIM(REGEXEXTRACT('AYIRA"&amp;" MINI MART FINAL MENU - Pr'!A621, ""^[^\x{0600}-\x{06FF}]+"")), ""[-–]+$"", """")), """"), GOOGLETRANSLATE('AYIRA MINI MART FINAL MENU - Pr'!A621, ""ar"", ""en"")))"),"Snickers X-Treme 42 GM")</f>
        <v>Snickers X-Treme 42 GM</v>
      </c>
      <c r="B621" s="56" t="str">
        <f>IFERROR(__xludf.DUMMYFUNCTION("IF('AYIRA MINI MART FINAL MENU - Pr'!B621="""", """", IF(LEN(IFERROR(TRIM(REGEXREPLACE(TRIM(REGEXEXTRACT('AYIRA MINI MART FINAL MENU - Pr'!B621, ""^[^\x{0600}-\x{06FF}]+"")), ""[-–]+$"", """")), """"))&gt;0, IFERROR(TRIM(REGEXREPLACE(TRIM(REGEXEXTRACT('AYIRA"&amp;" MINI MART FINAL MENU - Pr'!B621, ""^[^\x{0600}-\x{06FF}]+"")), ""[-–]+$"", """")), """"), GOOGLETRANSLATE('AYIRA MINI MART FINAL MENU - Pr'!B621, ""ar"", ""en"")))"),"Chocolates")</f>
        <v>Chocolates</v>
      </c>
      <c r="C621" s="58">
        <f>IF('AYIRA MINI MART FINAL MENU - Pr'!C621="", "", 'AYIRA MINI MART FINAL MENU - Pr'!C621)</f>
        <v>3.5</v>
      </c>
      <c r="D621" s="56" t="str">
        <f>IFERROR(__xludf.DUMMYFUNCTION("IF('AYIRA MINI MART FINAL MENU - Pr'!D621="""", """", GOOGLETRANSLATE('AYIRA MINI MART FINAL MENU - Pr'!D621,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21" s="56" t="str">
        <f>IF('AYIRA MINI MART FINAL MENU - Pr'!K621="", "", 'AYIRA MINI MART FINAL MENU - Pr'!K621)</f>
        <v/>
      </c>
      <c r="F621" s="56"/>
      <c r="G621" s="56"/>
      <c r="H621" s="56"/>
      <c r="I621" s="56"/>
      <c r="J621" s="56"/>
      <c r="L621" s="56" t="str">
        <f>IF('AYIRA MINI MART FINAL MENU - Pr'!L621="", "", 'AYIRA MINI MART FINAL MENU - Pr'!L621)</f>
        <v/>
      </c>
      <c r="M621" s="56" t="str">
        <f>IF('AYIRA MINI MART FINAL MENU - Pr'!M621="", "", 'AYIRA MINI MART FINAL MENU - Pr'!M621)</f>
        <v/>
      </c>
      <c r="N621" s="56" t="str">
        <f>IF('AYIRA MINI MART FINAL MENU - Pr'!N621="", "", 'AYIRA MINI MART FINAL MENU - Pr'!N621)</f>
        <v/>
      </c>
      <c r="O621" s="57"/>
      <c r="P621" s="57"/>
      <c r="Q621" s="57"/>
      <c r="R621" s="57"/>
      <c r="S621" s="57"/>
      <c r="T621" s="57"/>
      <c r="U621" s="57"/>
      <c r="V621" s="57"/>
      <c r="W621" s="57"/>
      <c r="X621" s="57"/>
      <c r="Y621" s="57"/>
      <c r="Z621" s="57"/>
    </row>
    <row r="622">
      <c r="A622" s="56" t="str">
        <f>IFERROR(__xludf.DUMMYFUNCTION("IF('AYIRA MINI MART FINAL MENU - Pr'!A622="""", """", IF(LEN(IFERROR(TRIM(REGEXREPLACE(TRIM(REGEXEXTRACT('AYIRA MINI MART FINAL MENU - Pr'!A622, ""^[^\x{0600}-\x{06FF}]+"")), ""[-–]+$"", """")), """"))&gt;0, IFERROR(TRIM(REGEXREPLACE(TRIM(REGEXEXTRACT('AYIRA"&amp;" MINI MART FINAL MENU - Pr'!A622, ""^[^\x{0600}-\x{06FF}]+"")), ""[-–]+$"", """")), """"), GOOGLETRANSLATE('AYIRA MINI MART FINAL MENU - Pr'!A622, ""ar"", ""en"")))"),"Spark 18 gm")</f>
        <v>Spark 18 gm</v>
      </c>
      <c r="B622" s="56" t="str">
        <f>IFERROR(__xludf.DUMMYFUNCTION("IF('AYIRA MINI MART FINAL MENU - Pr'!B622="""", """", IF(LEN(IFERROR(TRIM(REGEXREPLACE(TRIM(REGEXEXTRACT('AYIRA MINI MART FINAL MENU - Pr'!B622, ""^[^\x{0600}-\x{06FF}]+"")), ""[-–]+$"", """")), """"))&gt;0, IFERROR(TRIM(REGEXREPLACE(TRIM(REGEXEXTRACT('AYIRA"&amp;" MINI MART FINAL MENU - Pr'!B622, ""^[^\x{0600}-\x{06FF}]+"")), ""[-–]+$"", """")), """"), GOOGLETRANSLATE('AYIRA MINI MART FINAL MENU - Pr'!B622, ""ar"", ""en"")))"),"Chocolates")</f>
        <v>Chocolates</v>
      </c>
      <c r="C622" s="58">
        <f>IF('AYIRA MINI MART FINAL MENU - Pr'!C622="", "", 'AYIRA MINI MART FINAL MENU - Pr'!C622)</f>
        <v>1</v>
      </c>
      <c r="D622" s="56" t="str">
        <f>IFERROR(__xludf.DUMMYFUNCTION("IF('AYIRA MINI MART FINAL MENU - Pr'!D622="""", """", GOOGLETRANSLATE('AYIRA MINI MART FINAL MENU - Pr'!D622, ""ar"", ""en""))"),"Don't be able to resist the taste of Spark 18gm, your perfect companion for relaxing and watching the game. Its unique crunch and diverse flavors make every handful a delightful experience. Prepared with the finest ingredients using the latest manufacturi"&amp;"ng techniques to guarantee an unparalleled taste. Ideal as a snack for adults and children between meals. Aira Mini Mart offers it in the perfect size and flavor for you.")</f>
        <v>Don't be able to resist the taste of Spark 18gm,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622" s="56" t="str">
        <f>IF('AYIRA MINI MART FINAL MENU - Pr'!K622="", "", 'AYIRA MINI MART FINAL MENU - Pr'!K622)</f>
        <v/>
      </c>
      <c r="F622" s="56"/>
      <c r="G622" s="56"/>
      <c r="H622" s="56"/>
      <c r="I622" s="56"/>
      <c r="J622" s="56"/>
      <c r="L622" s="56" t="str">
        <f>IF('AYIRA MINI MART FINAL MENU - Pr'!L622="", "", 'AYIRA MINI MART FINAL MENU - Pr'!L622)</f>
        <v/>
      </c>
      <c r="M622" s="56" t="str">
        <f>IF('AYIRA MINI MART FINAL MENU - Pr'!M622="", "", 'AYIRA MINI MART FINAL MENU - Pr'!M622)</f>
        <v/>
      </c>
      <c r="N622" s="56" t="str">
        <f>IF('AYIRA MINI MART FINAL MENU - Pr'!N622="", "", 'AYIRA MINI MART FINAL MENU - Pr'!N622)</f>
        <v/>
      </c>
      <c r="O622" s="57"/>
      <c r="P622" s="57"/>
      <c r="Q622" s="57"/>
      <c r="R622" s="57"/>
      <c r="S622" s="57"/>
      <c r="T622" s="57"/>
      <c r="U622" s="57"/>
      <c r="V622" s="57"/>
      <c r="W622" s="57"/>
      <c r="X622" s="57"/>
      <c r="Y622" s="57"/>
      <c r="Z622" s="57"/>
    </row>
    <row r="623">
      <c r="A623" s="56" t="str">
        <f>IFERROR(__xludf.DUMMYFUNCTION("IF('AYIRA MINI MART FINAL MENU - Pr'!A623="""", """", IF(LEN(IFERROR(TRIM(REGEXREPLACE(TRIM(REGEXEXTRACT('AYIRA MINI MART FINAL MENU - Pr'!A623, ""^[^\x{0600}-\x{06FF}]+"")), ""[-–]+$"", """")), """"))&gt;0, IFERROR(TRIM(REGEXREPLACE(TRIM(REGEXEXTRACT('AYIRA"&amp;" MINI MART FINAL MENU - Pr'!A623, ""^[^\x{0600}-\x{06FF}]+"")), ""[-–]+$"", """")), """"), GOOGLETRANSLATE('AYIRA MINI MART FINAL MENU - Pr'!A623, ""ar"", ""en"")))"),"Galaxy Cookie Crumble 36 gm")</f>
        <v>Galaxy Cookie Crumble 36 gm</v>
      </c>
      <c r="B623" s="56" t="str">
        <f>IFERROR(__xludf.DUMMYFUNCTION("IF('AYIRA MINI MART FINAL MENU - Pr'!B623="""", """", IF(LEN(IFERROR(TRIM(REGEXREPLACE(TRIM(REGEXEXTRACT('AYIRA MINI MART FINAL MENU - Pr'!B623, ""^[^\x{0600}-\x{06FF}]+"")), ""[-–]+$"", """")), """"))&gt;0, IFERROR(TRIM(REGEXREPLACE(TRIM(REGEXEXTRACT('AYIRA"&amp;" MINI MART FINAL MENU - Pr'!B623, ""^[^\x{0600}-\x{06FF}]+"")), ""[-–]+$"", """")), """"), GOOGLETRANSLATE('AYIRA MINI MART FINAL MENU - Pr'!B623, ""ar"", ""en"")))"),"Chocolates")</f>
        <v>Chocolates</v>
      </c>
      <c r="C623" s="58">
        <f>IF('AYIRA MINI MART FINAL MENU - Pr'!C623="", "", 'AYIRA MINI MART FINAL MENU - Pr'!C623)</f>
        <v>4</v>
      </c>
      <c r="D623" s="56" t="str">
        <f>IFERROR(__xludf.DUMMYFUNCTION("IF('AYIRA MINI MART FINAL MENU - Pr'!D623="""", """", GOOGLETRANSLATE('AYIRA MINI MART FINAL MENU - Pr'!D623, ""ar"", ""en""))"),"Don't be able to resist the taste of Galaxy Cookie Crumble 36g, your perfect companion for relaxing and watching the game. Its unique crunch and variety of flavors make every handful a delightful experience. Made with the finest ingredients using the late"&amp;"st manufacturing techniques to ensure an unparalleled taste. Ideal as a snack for adults and children alike between meals. Aira Mini Mart offers it in the perfect size and flavor for you.")</f>
        <v>Don't be able to resist the taste of Galaxy Cookie Crumble 36g, your perfect companion for relaxing and watching the game. Its unique crunch and variety of flavors make every handful a delightful experience. Made with the finest ingredients using the latest manufacturing techniques to ensure an unparalleled taste. Ideal as a snack for adults and children alike between meals. Aira Mini Mart offers it in the perfect size and flavor for you.</v>
      </c>
      <c r="E623" s="56" t="str">
        <f>IF('AYIRA MINI MART FINAL MENU - Pr'!K623="", "", 'AYIRA MINI MART FINAL MENU - Pr'!K623)</f>
        <v/>
      </c>
      <c r="F623" s="56"/>
      <c r="G623" s="56"/>
      <c r="H623" s="56"/>
      <c r="I623" s="56"/>
      <c r="J623" s="56"/>
      <c r="L623" s="56" t="str">
        <f>IF('AYIRA MINI MART FINAL MENU - Pr'!L623="", "", 'AYIRA MINI MART FINAL MENU - Pr'!L623)</f>
        <v/>
      </c>
      <c r="M623" s="56" t="str">
        <f>IF('AYIRA MINI MART FINAL MENU - Pr'!M623="", "", 'AYIRA MINI MART FINAL MENU - Pr'!M623)</f>
        <v/>
      </c>
      <c r="N623" s="56" t="str">
        <f>IF('AYIRA MINI MART FINAL MENU - Pr'!N623="", "", 'AYIRA MINI MART FINAL MENU - Pr'!N623)</f>
        <v/>
      </c>
      <c r="O623" s="57"/>
      <c r="P623" s="57"/>
      <c r="Q623" s="57"/>
      <c r="R623" s="57"/>
      <c r="S623" s="57"/>
      <c r="T623" s="57"/>
      <c r="U623" s="57"/>
      <c r="V623" s="57"/>
      <c r="W623" s="57"/>
      <c r="X623" s="57"/>
      <c r="Y623" s="57"/>
      <c r="Z623" s="57"/>
    </row>
    <row r="624">
      <c r="A624" s="56" t="str">
        <f>IFERROR(__xludf.DUMMYFUNCTION("IF('AYIRA MINI MART FINAL MENU - Pr'!A624="""", """", IF(LEN(IFERROR(TRIM(REGEXREPLACE(TRIM(REGEXEXTRACT('AYIRA MINI MART FINAL MENU - Pr'!A624, ""^[^\x{0600}-\x{06FF}]+"")), ""[-–]+$"", """")), """"))&gt;0, IFERROR(TRIM(REGEXREPLACE(TRIM(REGEXEXTRACT('AYIRA"&amp;" MINI MART FINAL MENU - Pr'!A624, ""^[^\x{0600}-\x{06FF}]+"")), ""[-–]+$"", """")), """"), GOOGLETRANSLATE('AYIRA MINI MART FINAL MENU - Pr'!A624, ""ar"", ""en"")))"),"Galaxy Fruit &amp; Nut 36 gm")</f>
        <v>Galaxy Fruit &amp; Nut 36 gm</v>
      </c>
      <c r="B624" s="56" t="str">
        <f>IFERROR(__xludf.DUMMYFUNCTION("IF('AYIRA MINI MART FINAL MENU - Pr'!B624="""", """", IF(LEN(IFERROR(TRIM(REGEXREPLACE(TRIM(REGEXEXTRACT('AYIRA MINI MART FINAL MENU - Pr'!B624, ""^[^\x{0600}-\x{06FF}]+"")), ""[-–]+$"", """")), """"))&gt;0, IFERROR(TRIM(REGEXREPLACE(TRIM(REGEXEXTRACT('AYIRA"&amp;" MINI MART FINAL MENU - Pr'!B624, ""^[^\x{0600}-\x{06FF}]+"")), ""[-–]+$"", """")), """"), GOOGLETRANSLATE('AYIRA MINI MART FINAL MENU - Pr'!B624, ""ar"", ""en"")))"),"Chocolates")</f>
        <v>Chocolates</v>
      </c>
      <c r="C624" s="58">
        <f>IF('AYIRA MINI MART FINAL MENU - Pr'!C624="", "", 'AYIRA MINI MART FINAL MENU - Pr'!C624)</f>
        <v>4</v>
      </c>
      <c r="D624" s="56" t="str">
        <f>IFERROR(__xludf.DUMMYFUNCTION("IF('AYIRA MINI MART FINAL MENU - Pr'!D624="""", """", GOOGLETRANSLATE('AYIRA MINI MART FINAL MENU - Pr'!D624, ""ar"", ""en""))"),"Choose Galaxy Fruit &amp; Nut 36g, natural nuts rich in protein and healthy fats essential for your body. Made from the finest nuts, carefully selected to ensure the highest levels of purity and taste. A perfect healthy and nutritious snack between meals. Sup"&amp;"ports heart health and provides the energy you need. Available at Aira Mini Mart with the highest quality and best prices.")</f>
        <v>Choose Galaxy Fruit &amp; Nut 36g, natural nuts rich in protein and healthy fats essential for your body. Made from the finest nuts, carefully selected to ensure the highest levels of purity and taste. A perfect healthy and nutritious snack between meals. Supports heart health and provides the energy you need. Available at Aira Mini Mart with the highest quality and best prices.</v>
      </c>
      <c r="E624" s="56" t="str">
        <f>IF('AYIRA MINI MART FINAL MENU - Pr'!K624="", "", 'AYIRA MINI MART FINAL MENU - Pr'!K624)</f>
        <v/>
      </c>
      <c r="F624" s="56"/>
      <c r="G624" s="56"/>
      <c r="H624" s="56"/>
      <c r="I624" s="56"/>
      <c r="J624" s="56"/>
      <c r="L624" s="56" t="str">
        <f>IF('AYIRA MINI MART FINAL MENU - Pr'!L624="", "", 'AYIRA MINI MART FINAL MENU - Pr'!L624)</f>
        <v/>
      </c>
      <c r="M624" s="56" t="str">
        <f>IF('AYIRA MINI MART FINAL MENU - Pr'!M624="", "", 'AYIRA MINI MART FINAL MENU - Pr'!M624)</f>
        <v/>
      </c>
      <c r="N624" s="56" t="str">
        <f>IF('AYIRA MINI MART FINAL MENU - Pr'!N624="", "", 'AYIRA MINI MART FINAL MENU - Pr'!N624)</f>
        <v/>
      </c>
      <c r="O624" s="57"/>
      <c r="P624" s="57"/>
      <c r="Q624" s="57"/>
      <c r="R624" s="57"/>
      <c r="S624" s="57"/>
      <c r="T624" s="57"/>
      <c r="U624" s="57"/>
      <c r="V624" s="57"/>
      <c r="W624" s="57"/>
      <c r="X624" s="57"/>
      <c r="Y624" s="57"/>
      <c r="Z624" s="57"/>
    </row>
    <row r="625">
      <c r="A625" s="56" t="str">
        <f>IFERROR(__xludf.DUMMYFUNCTION("IF('AYIRA MINI MART FINAL MENU - Pr'!A625="""", """", IF(LEN(IFERROR(TRIM(REGEXREPLACE(TRIM(REGEXEXTRACT('AYIRA MINI MART FINAL MENU - Pr'!A625, ""^[^\x{0600}-\x{06FF}]+"")), ""[-–]+$"", """")), """"))&gt;0, IFERROR(TRIM(REGEXREPLACE(TRIM(REGEXEXTRACT('AYIRA"&amp;" MINI MART FINAL MENU - Pr'!A625, ""^[^\x{0600}-\x{06FF}]+"")), ""[-–]+$"", """")), """"), GOOGLETRANSLATE('AYIRA MINI MART FINAL MENU - Pr'!A625, ""ar"", ""en"")))"),"Galaxy Hazelnut 36 gm")</f>
        <v>Galaxy Hazelnut 36 gm</v>
      </c>
      <c r="B625" s="56" t="str">
        <f>IFERROR(__xludf.DUMMYFUNCTION("IF('AYIRA MINI MART FINAL MENU - Pr'!B625="""", """", IF(LEN(IFERROR(TRIM(REGEXREPLACE(TRIM(REGEXEXTRACT('AYIRA MINI MART FINAL MENU - Pr'!B625, ""^[^\x{0600}-\x{06FF}]+"")), ""[-–]+$"", """")), """"))&gt;0, IFERROR(TRIM(REGEXREPLACE(TRIM(REGEXEXTRACT('AYIRA"&amp;" MINI MART FINAL MENU - Pr'!B625, ""^[^\x{0600}-\x{06FF}]+"")), ""[-–]+$"", """")), """"), GOOGLETRANSLATE('AYIRA MINI MART FINAL MENU - Pr'!B625, ""ar"", ""en"")))"),"Chocolates")</f>
        <v>Chocolates</v>
      </c>
      <c r="C625" s="58">
        <f>IF('AYIRA MINI MART FINAL MENU - Pr'!C625="", "", 'AYIRA MINI MART FINAL MENU - Pr'!C625)</f>
        <v>4</v>
      </c>
      <c r="D625" s="56" t="str">
        <f>IFERROR(__xludf.DUMMYFUNCTION("IF('AYIRA MINI MART FINAL MENU - Pr'!D625="""", """", GOOGLETRANSLATE('AYIRA MINI MART FINAL MENU - Pr'!D625, ""ar"", ""en""))"),"Choose Galaxy Hazelnut 36g, a natural nut rich in protein and healthy fats essential for your body. Made from the finest, carefully selected nuts to ensure the highest levels of purity and taste. It's the perfect healthy and nutritious snack between meals"&amp;". Supports heart health and provides the energy you need. Aira Mini Mart offers it at the highest quality and best prices.")</f>
        <v>Choose Galaxy Hazelnut 36g, a natural nut rich in protein and healthy fats essential for your body. Made from the finest, carefully selected nuts to ensure the highest levels of purity and taste. It's the perfect healthy and nutritious snack between meals. Supports heart health and provides the energy you need. Aira Mini Mart offers it at the highest quality and best prices.</v>
      </c>
      <c r="E625" s="56" t="str">
        <f>IF('AYIRA MINI MART FINAL MENU - Pr'!K625="", "", 'AYIRA MINI MART FINAL MENU - Pr'!K625)</f>
        <v/>
      </c>
      <c r="F625" s="56"/>
      <c r="G625" s="56"/>
      <c r="H625" s="56"/>
      <c r="I625" s="56"/>
      <c r="J625" s="56"/>
      <c r="L625" s="56" t="str">
        <f>IF('AYIRA MINI MART FINAL MENU - Pr'!L625="", "", 'AYIRA MINI MART FINAL MENU - Pr'!L625)</f>
        <v/>
      </c>
      <c r="M625" s="56" t="str">
        <f>IF('AYIRA MINI MART FINAL MENU - Pr'!M625="", "", 'AYIRA MINI MART FINAL MENU - Pr'!M625)</f>
        <v/>
      </c>
      <c r="N625" s="56" t="str">
        <f>IF('AYIRA MINI MART FINAL MENU - Pr'!N625="", "", 'AYIRA MINI MART FINAL MENU - Pr'!N625)</f>
        <v/>
      </c>
      <c r="O625" s="57"/>
      <c r="P625" s="57"/>
      <c r="Q625" s="57"/>
      <c r="R625" s="57"/>
      <c r="S625" s="57"/>
      <c r="T625" s="57"/>
      <c r="U625" s="57"/>
      <c r="V625" s="57"/>
      <c r="W625" s="57"/>
      <c r="X625" s="57"/>
      <c r="Y625" s="57"/>
      <c r="Z625" s="57"/>
    </row>
    <row r="626">
      <c r="A626" s="56" t="str">
        <f>IFERROR(__xludf.DUMMYFUNCTION("IF('AYIRA MINI MART FINAL MENU - Pr'!A626="""", """", IF(LEN(IFERROR(TRIM(REGEXREPLACE(TRIM(REGEXEXTRACT('AYIRA MINI MART FINAL MENU - Pr'!A626, ""^[^\x{0600}-\x{06FF}]+"")), ""[-–]+$"", """")), """"))&gt;0, IFERROR(TRIM(REGEXREPLACE(TRIM(REGEXEXTRACT('AYIRA"&amp;" MINI MART FINAL MENU - Pr'!A626, ""^[^\x{0600}-\x{06FF}]+"")), ""[-–]+$"", """")), """"), GOOGLETRANSLATE('AYIRA MINI MART FINAL MENU - Pr'!A626, ""ar"", ""en"")))"),"Galaxy Smooth Dark 40 gm")</f>
        <v>Galaxy Smooth Dark 40 gm</v>
      </c>
      <c r="B626" s="56" t="str">
        <f>IFERROR(__xludf.DUMMYFUNCTION("IF('AYIRA MINI MART FINAL MENU - Pr'!B626="""", """", IF(LEN(IFERROR(TRIM(REGEXREPLACE(TRIM(REGEXEXTRACT('AYIRA MINI MART FINAL MENU - Pr'!B626, ""^[^\x{0600}-\x{06FF}]+"")), ""[-–]+$"", """")), """"))&gt;0, IFERROR(TRIM(REGEXREPLACE(TRIM(REGEXEXTRACT('AYIRA"&amp;" MINI MART FINAL MENU - Pr'!B626, ""^[^\x{0600}-\x{06FF}]+"")), ""[-–]+$"", """")), """"), GOOGLETRANSLATE('AYIRA MINI MART FINAL MENU - Pr'!B626, ""ar"", ""en"")))"),"Chocolates")</f>
        <v>Chocolates</v>
      </c>
      <c r="C626" s="58">
        <f>IF('AYIRA MINI MART FINAL MENU - Pr'!C626="", "", 'AYIRA MINI MART FINAL MENU - Pr'!C626)</f>
        <v>4.5</v>
      </c>
      <c r="D626" s="56" t="str">
        <f>IFERROR(__xludf.DUMMYFUNCTION("IF('AYIRA MINI MART FINAL MENU - Pr'!D626="""", """", GOOGLETRANSLATE('AYIRA MINI MART FINAL MENU - Pr'!D626, ""ar"", ""en""))"),"Don't be able to resist the taste of Galaxy Smooth Dark 40g, your perfect companion for relaxing and watching the game. Its unique crunch and diverse flavors make every handful a delightful experience. Prepared with the finest ingredients using the latest"&amp;" manufacturing techniques to ensure an unparalleled taste. Ideal as a snack for adults and children between meals. Aira Mini Mart offers it in the size and flavor that suits you best.")</f>
        <v>Don't be able to resist the taste of Galaxy Smooth Dark 40g,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size and flavor that suits you best.</v>
      </c>
      <c r="E626" s="56" t="str">
        <f>IF('AYIRA MINI MART FINAL MENU - Pr'!K626="", "", 'AYIRA MINI MART FINAL MENU - Pr'!K626)</f>
        <v/>
      </c>
      <c r="F626" s="56"/>
      <c r="G626" s="56"/>
      <c r="H626" s="56"/>
      <c r="I626" s="56"/>
      <c r="J626" s="56"/>
      <c r="L626" s="56" t="str">
        <f>IF('AYIRA MINI MART FINAL MENU - Pr'!L626="", "", 'AYIRA MINI MART FINAL MENU - Pr'!L626)</f>
        <v/>
      </c>
      <c r="M626" s="56" t="str">
        <f>IF('AYIRA MINI MART FINAL MENU - Pr'!M626="", "", 'AYIRA MINI MART FINAL MENU - Pr'!M626)</f>
        <v/>
      </c>
      <c r="N626" s="56" t="str">
        <f>IF('AYIRA MINI MART FINAL MENU - Pr'!N626="", "", 'AYIRA MINI MART FINAL MENU - Pr'!N626)</f>
        <v/>
      </c>
      <c r="O626" s="57"/>
      <c r="P626" s="57"/>
      <c r="Q626" s="57"/>
      <c r="R626" s="57"/>
      <c r="S626" s="57"/>
      <c r="T626" s="57"/>
      <c r="U626" s="57"/>
      <c r="V626" s="57"/>
      <c r="W626" s="57"/>
      <c r="X626" s="57"/>
      <c r="Y626" s="57"/>
      <c r="Z626" s="57"/>
    </row>
    <row r="627">
      <c r="A627" s="56" t="str">
        <f>IFERROR(__xludf.DUMMYFUNCTION("IF('AYIRA MINI MART FINAL MENU - Pr'!A627="""", """", IF(LEN(IFERROR(TRIM(REGEXREPLACE(TRIM(REGEXEXTRACT('AYIRA MINI MART FINAL MENU - Pr'!A627, ""^[^\x{0600}-\x{06FF}]+"")), ""[-–]+$"", """")), """"))&gt;0, IFERROR(TRIM(REGEXREPLACE(TRIM(REGEXEXTRACT('AYIRA"&amp;" MINI MART FINAL MENU - Pr'!A627, ""^[^\x{0600}-\x{06FF}]+"")), ""[-–]+$"", """")), """"), GOOGLETRANSLATE('AYIRA MINI MART FINAL MENU - Pr'!A627, ""ar"", ""en"")))"),"Galaxy Smooth White 38 gm")</f>
        <v>Galaxy Smooth White 38 gm</v>
      </c>
      <c r="B627" s="56" t="str">
        <f>IFERROR(__xludf.DUMMYFUNCTION("IF('AYIRA MINI MART FINAL MENU - Pr'!B627="""", """", IF(LEN(IFERROR(TRIM(REGEXREPLACE(TRIM(REGEXEXTRACT('AYIRA MINI MART FINAL MENU - Pr'!B627, ""^[^\x{0600}-\x{06FF}]+"")), ""[-–]+$"", """")), """"))&gt;0, IFERROR(TRIM(REGEXREPLACE(TRIM(REGEXEXTRACT('AYIRA"&amp;" MINI MART FINAL MENU - Pr'!B627, ""^[^\x{0600}-\x{06FF}]+"")), ""[-–]+$"", """")), """"), GOOGLETRANSLATE('AYIRA MINI MART FINAL MENU - Pr'!B627, ""ar"", ""en"")))"),"Chocolates")</f>
        <v>Chocolates</v>
      </c>
      <c r="C627" s="58">
        <f>IF('AYIRA MINI MART FINAL MENU - Pr'!C627="", "", 'AYIRA MINI MART FINAL MENU - Pr'!C627)</f>
        <v>4.5</v>
      </c>
      <c r="D627" s="56" t="str">
        <f>IFERROR(__xludf.DUMMYFUNCTION("IF('AYIRA MINI MART FINAL MENU - Pr'!D627="""", """", GOOGLETRANSLATE('AYIRA MINI MART FINAL MENU - Pr'!D627, ""ar"", ""en""))"),"Don't be able to resist the taste of Galaxy Smooth White 38gm, your perfect companion for relaxing and watching the game. Its unique crunch and diverse flavors make every handful a delightful experience. Prepared with the finest ingredients using the late"&amp;"st manufacturing techniques to ensure an unparalleled taste. Ideal as a snack for adults and children between meals. Aira Mini Mart offers it in the size and flavor that suits you best.")</f>
        <v>Don't be able to resist the taste of Galaxy Smooth White 38gm,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size and flavor that suits you best.</v>
      </c>
      <c r="E627" s="56" t="str">
        <f>IF('AYIRA MINI MART FINAL MENU - Pr'!K627="", "", 'AYIRA MINI MART FINAL MENU - Pr'!K627)</f>
        <v/>
      </c>
      <c r="F627" s="56"/>
      <c r="G627" s="56"/>
      <c r="H627" s="56"/>
      <c r="I627" s="56"/>
      <c r="J627" s="56"/>
      <c r="L627" s="56" t="str">
        <f>IF('AYIRA MINI MART FINAL MENU - Pr'!L627="", "", 'AYIRA MINI MART FINAL MENU - Pr'!L627)</f>
        <v/>
      </c>
      <c r="M627" s="56" t="str">
        <f>IF('AYIRA MINI MART FINAL MENU - Pr'!M627="", "", 'AYIRA MINI MART FINAL MENU - Pr'!M627)</f>
        <v/>
      </c>
      <c r="N627" s="56" t="str">
        <f>IF('AYIRA MINI MART FINAL MENU - Pr'!N627="", "", 'AYIRA MINI MART FINAL MENU - Pr'!N627)</f>
        <v/>
      </c>
      <c r="O627" s="57"/>
      <c r="P627" s="57"/>
      <c r="Q627" s="57"/>
      <c r="R627" s="57"/>
      <c r="S627" s="57"/>
      <c r="T627" s="57"/>
      <c r="U627" s="57"/>
      <c r="V627" s="57"/>
      <c r="W627" s="57"/>
      <c r="X627" s="57"/>
      <c r="Y627" s="57"/>
      <c r="Z627" s="57"/>
    </row>
    <row r="628">
      <c r="A628" s="56" t="str">
        <f>IFERROR(__xludf.DUMMYFUNCTION("IF('AYIRA MINI MART FINAL MENU - Pr'!A628="""", """", IF(LEN(IFERROR(TRIM(REGEXREPLACE(TRIM(REGEXEXTRACT('AYIRA MINI MART FINAL MENU - Pr'!A628, ""^[^\x{0600}-\x{06FF}]+"")), ""[-–]+$"", """")), """"))&gt;0, IFERROR(TRIM(REGEXREPLACE(TRIM(REGEXEXTRACT('AYIRA"&amp;" MINI MART FINAL MENU - Pr'!A628, ""^[^\x{0600}-\x{06FF}]+"")), ""[-–]+$"", """")), """"), GOOGLETRANSLATE('AYIRA MINI MART FINAL MENU - Pr'!A628, ""ar"", ""en"")))"),"Galaxy Smooth Milk 36 gm")</f>
        <v>Galaxy Smooth Milk 36 gm</v>
      </c>
      <c r="B628" s="56" t="str">
        <f>IFERROR(__xludf.DUMMYFUNCTION("IF('AYIRA MINI MART FINAL MENU - Pr'!B628="""", """", IF(LEN(IFERROR(TRIM(REGEXREPLACE(TRIM(REGEXEXTRACT('AYIRA MINI MART FINAL MENU - Pr'!B628, ""^[^\x{0600}-\x{06FF}]+"")), ""[-–]+$"", """")), """"))&gt;0, IFERROR(TRIM(REGEXREPLACE(TRIM(REGEXEXTRACT('AYIRA"&amp;" MINI MART FINAL MENU - Pr'!B628, ""^[^\x{0600}-\x{06FF}]+"")), ""[-–]+$"", """")), """"), GOOGLETRANSLATE('AYIRA MINI MART FINAL MENU - Pr'!B628, ""ar"", ""en"")))"),"Chocolates")</f>
        <v>Chocolates</v>
      </c>
      <c r="C628" s="58">
        <f>IF('AYIRA MINI MART FINAL MENU - Pr'!C628="", "", 'AYIRA MINI MART FINAL MENU - Pr'!C628)</f>
        <v>4</v>
      </c>
      <c r="D628" s="56" t="str">
        <f>IFERROR(__xludf.DUMMYFUNCTION("IF('AYIRA MINI MART FINAL MENU - Pr'!D628="""", """", GOOGLETRANSLATE('AYIRA MINI MART FINAL MENU - Pr'!D628, ""ar"", ""en""))"),"Don't be able to resist the taste of Galaxy Smooth Milk 36gm, your perfect companion for relaxing and watching the game. Its unique crunch and diverse flavors make every handful a delightful experience. Prepared with the finest ingredients using the lates"&amp;"t manufacturing techniques to ensure an unparalleled taste. Ideal as a snack for adults and children between meals. Aira Mini Mart offers it in the size and flavor that suits you best.")</f>
        <v>Don't be able to resist the taste of Galaxy Smooth Milk 36gm,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size and flavor that suits you best.</v>
      </c>
      <c r="E628" s="56" t="str">
        <f>IF('AYIRA MINI MART FINAL MENU - Pr'!K628="", "", 'AYIRA MINI MART FINAL MENU - Pr'!K628)</f>
        <v/>
      </c>
      <c r="F628" s="56"/>
      <c r="G628" s="56"/>
      <c r="H628" s="56"/>
      <c r="I628" s="56"/>
      <c r="J628" s="56"/>
      <c r="L628" s="56" t="str">
        <f>IF('AYIRA MINI MART FINAL MENU - Pr'!L628="", "", 'AYIRA MINI MART FINAL MENU - Pr'!L628)</f>
        <v/>
      </c>
      <c r="M628" s="56" t="str">
        <f>IF('AYIRA MINI MART FINAL MENU - Pr'!M628="", "", 'AYIRA MINI MART FINAL MENU - Pr'!M628)</f>
        <v/>
      </c>
      <c r="N628" s="56" t="str">
        <f>IF('AYIRA MINI MART FINAL MENU - Pr'!N628="", "", 'AYIRA MINI MART FINAL MENU - Pr'!N628)</f>
        <v/>
      </c>
      <c r="O628" s="57"/>
      <c r="P628" s="57"/>
      <c r="Q628" s="57"/>
      <c r="R628" s="57"/>
      <c r="S628" s="57"/>
      <c r="T628" s="57"/>
      <c r="U628" s="57"/>
      <c r="V628" s="57"/>
      <c r="W628" s="57"/>
      <c r="X628" s="57"/>
      <c r="Y628" s="57"/>
      <c r="Z628" s="57"/>
    </row>
    <row r="629">
      <c r="A629" s="56" t="str">
        <f>IFERROR(__xludf.DUMMYFUNCTION("IF('AYIRA MINI MART FINAL MENU - Pr'!A629="""", """", IF(LEN(IFERROR(TRIM(REGEXREPLACE(TRIM(REGEXEXTRACT('AYIRA MINI MART FINAL MENU - Pr'!A629, ""^[^\x{0600}-\x{06FF}]+"")), ""[-–]+$"", """")), """"))&gt;0, IFERROR(TRIM(REGEXREPLACE(TRIM(REGEXEXTRACT('AYIRA"&amp;" MINI MART FINAL MENU - Pr'!A629, ""^[^\x{0600}-\x{06FF}]+"")), ""[-–]+$"", """")), """"), GOOGLETRANSLATE('AYIRA MINI MART FINAL MENU - Pr'!A629, ""ar"", ""en"")))"),"Ülker Laviva 35 gm")</f>
        <v>Ülker Laviva 35 gm</v>
      </c>
      <c r="B629" s="56" t="str">
        <f>IFERROR(__xludf.DUMMYFUNCTION("IF('AYIRA MINI MART FINAL MENU - Pr'!B629="""", """", IF(LEN(IFERROR(TRIM(REGEXREPLACE(TRIM(REGEXEXTRACT('AYIRA MINI MART FINAL MENU - Pr'!B629, ""^[^\x{0600}-\x{06FF}]+"")), ""[-–]+$"", """")), """"))&gt;0, IFERROR(TRIM(REGEXREPLACE(TRIM(REGEXEXTRACT('AYIRA"&amp;" MINI MART FINAL MENU - Pr'!B629, ""^[^\x{0600}-\x{06FF}]+"")), ""[-–]+$"", """")), """"), GOOGLETRANSLATE('AYIRA MINI MART FINAL MENU - Pr'!B629, ""ar"", ""en"")))"),"Chocolates")</f>
        <v>Chocolates</v>
      </c>
      <c r="C629" s="58">
        <f>IF('AYIRA MINI MART FINAL MENU - Pr'!C629="", "", 'AYIRA MINI MART FINAL MENU - Pr'!C629)</f>
        <v>3.5</v>
      </c>
      <c r="D629" s="56" t="str">
        <f>IFERROR(__xludf.DUMMYFUNCTION("IF('AYIRA MINI MART FINAL MENU - Pr'!D629="""", """", GOOGLETRANSLATE('AYIRA MINI MART FINAL MENU - Pr'!D629, ""ar"", ""en""))"),"Don't be able to resist the taste of Ülker Laviva 35gm, your perfect companion for relaxing and watching matches. Its unique crunch and diverse flavors make every handful a delightful experience. Prepared with the finest ingredients using the latest manuf"&amp;"acturing techniques to guarantee an unparalleled taste. Ideal as a snack for adults and children between meals. Aira Mini Mart offers it in the perfect size and flavor for you.")</f>
        <v>Don't be able to resist the taste of Ülker Laviva 35gm,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629" s="56" t="str">
        <f>IF('AYIRA MINI MART FINAL MENU - Pr'!K629="", "", 'AYIRA MINI MART FINAL MENU - Pr'!K629)</f>
        <v/>
      </c>
      <c r="F629" s="56"/>
      <c r="G629" s="56"/>
      <c r="H629" s="56"/>
      <c r="I629" s="56"/>
      <c r="J629" s="56"/>
      <c r="L629" s="56" t="str">
        <f>IF('AYIRA MINI MART FINAL MENU - Pr'!L629="", "", 'AYIRA MINI MART FINAL MENU - Pr'!L629)</f>
        <v/>
      </c>
      <c r="M629" s="56" t="str">
        <f>IF('AYIRA MINI MART FINAL MENU - Pr'!M629="", "", 'AYIRA MINI MART FINAL MENU - Pr'!M629)</f>
        <v/>
      </c>
      <c r="N629" s="56" t="str">
        <f>IF('AYIRA MINI MART FINAL MENU - Pr'!N629="", "", 'AYIRA MINI MART FINAL MENU - Pr'!N629)</f>
        <v/>
      </c>
      <c r="O629" s="57"/>
      <c r="P629" s="57"/>
      <c r="Q629" s="57"/>
      <c r="R629" s="57"/>
      <c r="S629" s="57"/>
      <c r="T629" s="57"/>
      <c r="U629" s="57"/>
      <c r="V629" s="57"/>
      <c r="W629" s="57"/>
      <c r="X629" s="57"/>
      <c r="Y629" s="57"/>
      <c r="Z629" s="57"/>
    </row>
    <row r="630">
      <c r="A630" s="56" t="str">
        <f>IFERROR(__xludf.DUMMYFUNCTION("IF('AYIRA MINI MART FINAL MENU - Pr'!A630="""", """", IF(LEN(IFERROR(TRIM(REGEXREPLACE(TRIM(REGEXEXTRACT('AYIRA MINI MART FINAL MENU - Pr'!A630, ""^[^\x{0600}-\x{06FF}]+"")), ""[-–]+$"", """")), """"))&gt;0, IFERROR(TRIM(REGEXREPLACE(TRIM(REGEXEXTRACT('AYIRA"&amp;" MINI MART FINAL MENU - Pr'!A630, ""^[^\x{0600}-\x{06FF}]+"")), ""[-–]+$"", """")), """"), GOOGLETRANSLATE('AYIRA MINI MART FINAL MENU - Pr'!A630, ""ar"", ""en"")))"),"Galaxy Caramel 40 gm")</f>
        <v>Galaxy Caramel 40 gm</v>
      </c>
      <c r="B630" s="56" t="str">
        <f>IFERROR(__xludf.DUMMYFUNCTION("IF('AYIRA MINI MART FINAL MENU - Pr'!B630="""", """", IF(LEN(IFERROR(TRIM(REGEXREPLACE(TRIM(REGEXEXTRACT('AYIRA MINI MART FINAL MENU - Pr'!B630, ""^[^\x{0600}-\x{06FF}]+"")), ""[-–]+$"", """")), """"))&gt;0, IFERROR(TRIM(REGEXREPLACE(TRIM(REGEXEXTRACT('AYIRA"&amp;" MINI MART FINAL MENU - Pr'!B630, ""^[^\x{0600}-\x{06FF}]+"")), ""[-–]+$"", """")), """"), GOOGLETRANSLATE('AYIRA MINI MART FINAL MENU - Pr'!B630, ""ar"", ""en"")))"),"Chocolates")</f>
        <v>Chocolates</v>
      </c>
      <c r="C630" s="58">
        <f>IF('AYIRA MINI MART FINAL MENU - Pr'!C630="", "", 'AYIRA MINI MART FINAL MENU - Pr'!C630)</f>
        <v>4</v>
      </c>
      <c r="D630" s="56" t="str">
        <f>IFERROR(__xludf.DUMMYFUNCTION("IF('AYIRA MINI MART FINAL MENU - Pr'!D630="""", """", GOOGLETRANSLATE('AYIRA MINI MART FINAL MENU - Pr'!D630, ""ar"", ""en""))"),"Don't be able to resist the taste of Galaxy Caramel 40g, your perfect companion for relaxing and watching the game. Its unique crunch and diverse flavors make every handful a delightful experience. Prepared with the finest ingredients using the latest man"&amp;"ufacturing techniques to guarantee an unparalleled taste. Ideal as a snack for adults and children alike between meals. Aira Mini Mart offers it in the size and flavor that suits you best.")</f>
        <v>Don't be able to resist the taste of Galaxy Caramel 40g,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size and flavor that suits you best.</v>
      </c>
      <c r="E630" s="56" t="str">
        <f>IF('AYIRA MINI MART FINAL MENU - Pr'!K630="", "", 'AYIRA MINI MART FINAL MENU - Pr'!K630)</f>
        <v/>
      </c>
      <c r="F630" s="56"/>
      <c r="G630" s="56"/>
      <c r="H630" s="56"/>
      <c r="I630" s="56"/>
      <c r="J630" s="56"/>
      <c r="L630" s="56" t="str">
        <f>IF('AYIRA MINI MART FINAL MENU - Pr'!L630="", "", 'AYIRA MINI MART FINAL MENU - Pr'!L630)</f>
        <v/>
      </c>
      <c r="M630" s="56" t="str">
        <f>IF('AYIRA MINI MART FINAL MENU - Pr'!M630="", "", 'AYIRA MINI MART FINAL MENU - Pr'!M630)</f>
        <v/>
      </c>
      <c r="N630" s="56" t="str">
        <f>IF('AYIRA MINI MART FINAL MENU - Pr'!N630="", "", 'AYIRA MINI MART FINAL MENU - Pr'!N630)</f>
        <v/>
      </c>
      <c r="O630" s="57"/>
      <c r="P630" s="57"/>
      <c r="Q630" s="57"/>
      <c r="R630" s="57"/>
      <c r="S630" s="57"/>
      <c r="T630" s="57"/>
      <c r="U630" s="57"/>
      <c r="V630" s="57"/>
      <c r="W630" s="57"/>
      <c r="X630" s="57"/>
      <c r="Y630" s="57"/>
      <c r="Z630" s="57"/>
    </row>
    <row r="631">
      <c r="A631" s="56" t="str">
        <f>IFERROR(__xludf.DUMMYFUNCTION("IF('AYIRA MINI MART FINAL MENU - Pr'!A631="""", """", IF(LEN(IFERROR(TRIM(REGEXREPLACE(TRIM(REGEXEXTRACT('AYIRA MINI MART FINAL MENU - Pr'!A631, ""^[^\x{0600}-\x{06FF}]+"")), ""[-–]+$"", """")), """"))&gt;0, IFERROR(TRIM(REGEXREPLACE(TRIM(REGEXEXTRACT('AYIRA"&amp;" MINI MART FINAL MENU - Pr'!A631, ""^[^\x{0600}-\x{06FF}]+"")), ""[-–]+$"", """")), """"), GOOGLETRANSLATE('AYIRA MINI MART FINAL MENU - Pr'!A631, ""ar"", ""en"")))"),"Godiva Belgium 1926 Double Chocolate Bar 35 gm")</f>
        <v>Godiva Belgium 1926 Double Chocolate Bar 35 gm</v>
      </c>
      <c r="B631" s="56" t="str">
        <f>IFERROR(__xludf.DUMMYFUNCTION("IF('AYIRA MINI MART FINAL MENU - Pr'!B631="""", """", IF(LEN(IFERROR(TRIM(REGEXREPLACE(TRIM(REGEXEXTRACT('AYIRA MINI MART FINAL MENU - Pr'!B631, ""^[^\x{0600}-\x{06FF}]+"")), ""[-–]+$"", """")), """"))&gt;0, IFERROR(TRIM(REGEXREPLACE(TRIM(REGEXEXTRACT('AYIRA"&amp;" MINI MART FINAL MENU - Pr'!B631, ""^[^\x{0600}-\x{06FF}]+"")), ""[-–]+$"", """")), """"), GOOGLETRANSLATE('AYIRA MINI MART FINAL MENU - Pr'!B631, ""ar"", ""en"")))"),"Chocolates")</f>
        <v>Chocolates</v>
      </c>
      <c r="C631" s="58">
        <f>IF('AYIRA MINI MART FINAL MENU - Pr'!C631="", "", 'AYIRA MINI MART FINAL MENU - Pr'!C631)</f>
        <v>4</v>
      </c>
      <c r="D631" s="56" t="str">
        <f>IFERROR(__xludf.DUMMYFUNCTION("IF('AYIRA MINI MART FINAL MENU - Pr'!D631="""", """", GOOGLETRANSLATE('AYIRA MINI MART FINAL MENU - Pr'!D631, ""ar"", ""en""))"),"Indulge your senses with Godiva Belgium 1926 Double Chocolate Bar 35g, a luxurious chocolate that blends rich flavor with perfect texture. Made from the finest selected cocoa beans, it delivers an exceptional dessert experience every time. Whether you're "&amp;"looking for a special gift or want to treat yourself, this chocolate is the perfect choice. Savor every piece and immerse yourself in a world of smoothness and sweetness. Get yours from Aira Mini Mart and experience moments of pure delight.")</f>
        <v>Indulge your senses with Godiva Belgium 1926 Double Chocolate Bar 35g, a luxurious chocolate that blends rich flavor with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31" s="56" t="str">
        <f>IF('AYIRA MINI MART FINAL MENU - Pr'!K631="", "", 'AYIRA MINI MART FINAL MENU - Pr'!K631)</f>
        <v/>
      </c>
      <c r="F631" s="56"/>
      <c r="G631" s="56"/>
      <c r="H631" s="56"/>
      <c r="I631" s="56"/>
      <c r="J631" s="56"/>
      <c r="L631" s="56" t="str">
        <f>IF('AYIRA MINI MART FINAL MENU - Pr'!L631="", "", 'AYIRA MINI MART FINAL MENU - Pr'!L631)</f>
        <v/>
      </c>
      <c r="M631" s="56" t="str">
        <f>IF('AYIRA MINI MART FINAL MENU - Pr'!M631="", "", 'AYIRA MINI MART FINAL MENU - Pr'!M631)</f>
        <v/>
      </c>
      <c r="N631" s="56" t="str">
        <f>IF('AYIRA MINI MART FINAL MENU - Pr'!N631="", "", 'AYIRA MINI MART FINAL MENU - Pr'!N631)</f>
        <v/>
      </c>
      <c r="O631" s="57"/>
      <c r="P631" s="57"/>
      <c r="Q631" s="57"/>
      <c r="R631" s="57"/>
      <c r="S631" s="57"/>
      <c r="T631" s="57"/>
      <c r="U631" s="57"/>
      <c r="V631" s="57"/>
      <c r="W631" s="57"/>
      <c r="X631" s="57"/>
      <c r="Y631" s="57"/>
      <c r="Z631" s="57"/>
    </row>
    <row r="632">
      <c r="A632" s="56" t="str">
        <f>IFERROR(__xludf.DUMMYFUNCTION("IF('AYIRA MINI MART FINAL MENU - Pr'!A632="""", """", IF(LEN(IFERROR(TRIM(REGEXREPLACE(TRIM(REGEXEXTRACT('AYIRA MINI MART FINAL MENU - Pr'!A632, ""^[^\x{0600}-\x{06FF}]+"")), ""[-–]+$"", """")), """"))&gt;0, IFERROR(TRIM(REGEXREPLACE(TRIM(REGEXEXTRACT('AYIRA"&amp;" MINI MART FINAL MENU - Pr'!A632, ""^[^\x{0600}-\x{06FF}]+"")), ""[-–]+$"", """")), """"), GOOGLETRANSLATE('AYIRA MINI MART FINAL MENU - Pr'!A632, ""ar"", ""en"")))"),"Snickers Wafer Rolls 24 gm")</f>
        <v>Snickers Wafer Rolls 24 gm</v>
      </c>
      <c r="B632" s="56" t="str">
        <f>IFERROR(__xludf.DUMMYFUNCTION("IF('AYIRA MINI MART FINAL MENU - Pr'!B632="""", """", IF(LEN(IFERROR(TRIM(REGEXREPLACE(TRIM(REGEXEXTRACT('AYIRA MINI MART FINAL MENU - Pr'!B632, ""^[^\x{0600}-\x{06FF}]+"")), ""[-–]+$"", """")), """"))&gt;0, IFERROR(TRIM(REGEXREPLACE(TRIM(REGEXEXTRACT('AYIRA"&amp;" MINI MART FINAL MENU - Pr'!B632, ""^[^\x{0600}-\x{06FF}]+"")), ""[-–]+$"", """")), """"), GOOGLETRANSLATE('AYIRA MINI MART FINAL MENU - Pr'!B632, ""ar"", ""en"")))"),"Chocolates")</f>
        <v>Chocolates</v>
      </c>
      <c r="C632" s="58">
        <f>IF('AYIRA MINI MART FINAL MENU - Pr'!C632="", "", 'AYIRA MINI MART FINAL MENU - Pr'!C632)</f>
        <v>2</v>
      </c>
      <c r="D632" s="56" t="str">
        <f>IFERROR(__xludf.DUMMYFUNCTION("IF('AYIRA MINI MART FINAL MENU - Pr'!D632="""", """", GOOGLETRANSLATE('AYIRA MINI MART FINAL MENU - Pr'!D632,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32" s="56" t="str">
        <f>IF('AYIRA MINI MART FINAL MENU - Pr'!K632="", "", 'AYIRA MINI MART FINAL MENU - Pr'!K632)</f>
        <v/>
      </c>
      <c r="F632" s="56"/>
      <c r="G632" s="56"/>
      <c r="H632" s="56"/>
      <c r="I632" s="56"/>
      <c r="J632" s="56"/>
      <c r="L632" s="56" t="str">
        <f>IF('AYIRA MINI MART FINAL MENU - Pr'!L632="", "", 'AYIRA MINI MART FINAL MENU - Pr'!L632)</f>
        <v/>
      </c>
      <c r="M632" s="56" t="str">
        <f>IF('AYIRA MINI MART FINAL MENU - Pr'!M632="", "", 'AYIRA MINI MART FINAL MENU - Pr'!M632)</f>
        <v/>
      </c>
      <c r="N632" s="56" t="str">
        <f>IF('AYIRA MINI MART FINAL MENU - Pr'!N632="", "", 'AYIRA MINI MART FINAL MENU - Pr'!N632)</f>
        <v/>
      </c>
      <c r="O632" s="57"/>
      <c r="P632" s="57"/>
      <c r="Q632" s="57"/>
      <c r="R632" s="57"/>
      <c r="S632" s="57"/>
      <c r="T632" s="57"/>
      <c r="U632" s="57"/>
      <c r="V632" s="57"/>
      <c r="W632" s="57"/>
      <c r="X632" s="57"/>
      <c r="Y632" s="57"/>
      <c r="Z632" s="57"/>
    </row>
    <row r="633">
      <c r="A633" s="56" t="str">
        <f>IFERROR(__xludf.DUMMYFUNCTION("IF('AYIRA MINI MART FINAL MENU - Pr'!A633="""", """", IF(LEN(IFERROR(TRIM(REGEXREPLACE(TRIM(REGEXEXTRACT('AYIRA MINI MART FINAL MENU - Pr'!A633, ""^[^\x{0600}-\x{06FF}]+"")), ""[-–]+$"", """")), """"))&gt;0, IFERROR(TRIM(REGEXREPLACE(TRIM(REGEXEXTRACT('AYIRA"&amp;" MINI MART FINAL MENU - Pr'!A633, ""^[^\x{0600}-\x{06FF}]+"")), ""[-–]+$"", """")), """"), GOOGLETRANSLATE('AYIRA MINI MART FINAL MENU - Pr'!A633, ""ar"", ""en"")))"),"Haribo Mega-Roulette 45 gm")</f>
        <v>Haribo Mega-Roulette 45 gm</v>
      </c>
      <c r="B633" s="56" t="str">
        <f>IFERROR(__xludf.DUMMYFUNCTION("IF('AYIRA MINI MART FINAL MENU - Pr'!B633="""", """", IF(LEN(IFERROR(TRIM(REGEXREPLACE(TRIM(REGEXEXTRACT('AYIRA MINI MART FINAL MENU - Pr'!B633, ""^[^\x{0600}-\x{06FF}]+"")), ""[-–]+$"", """")), """"))&gt;0, IFERROR(TRIM(REGEXREPLACE(TRIM(REGEXEXTRACT('AYIRA"&amp;" MINI MART FINAL MENU - Pr'!B633, ""^[^\x{0600}-\x{06FF}]+"")), ""[-–]+$"", """")), """"), GOOGLETRANSLATE('AYIRA MINI MART FINAL MENU - Pr'!B633, ""ar"", ""en"")))"),"Candy |")</f>
        <v>Candy |</v>
      </c>
      <c r="C633" s="58">
        <f>IF('AYIRA MINI MART FINAL MENU - Pr'!C633="", "", 'AYIRA MINI MART FINAL MENU - Pr'!C633)</f>
        <v>2.5</v>
      </c>
      <c r="D633" s="56" t="str">
        <f>IFERROR(__xludf.DUMMYFUNCTION("IF('AYIRA MINI MART FINAL MENU - Pr'!D633="""", """", GOOGLETRANSLATE('AYIRA MINI MART FINAL MENU - Pr'!D633, ""ar"", ""en""))"),"Add a sweet moment to your day with Haribo, the delicious treat loved by everyone. Its variety of flavors and vibrant colors make it suitable for all ages. Perfect as a small treat or a light gift for friends and family. Made with high quality ingredients"&amp;" to ensure a great taste in every piece. Get yours from Aira Mini Mart and spread the joy to your loved ones.")</f>
        <v>Add a sweet moment to your day with Haribo, the delicious treat loved by everyone. Its variety of flavors and vibrant colors make it suitable for all ages. Perfect as a small treat or a light gift for friends and family. Made with high quality ingredients to ensure a great taste in every piece. Get yours from Aira Mini Mart and spread the joy to your loved ones.</v>
      </c>
      <c r="E633" s="56" t="str">
        <f>IF('AYIRA MINI MART FINAL MENU - Pr'!K633="", "", 'AYIRA MINI MART FINAL MENU - Pr'!K633)</f>
        <v/>
      </c>
      <c r="F633" s="56"/>
      <c r="G633" s="56"/>
      <c r="H633" s="56"/>
      <c r="I633" s="56"/>
      <c r="J633" s="56"/>
      <c r="L633" s="56" t="str">
        <f>IF('AYIRA MINI MART FINAL MENU - Pr'!L633="", "", 'AYIRA MINI MART FINAL MENU - Pr'!L633)</f>
        <v/>
      </c>
      <c r="M633" s="56" t="str">
        <f>IF('AYIRA MINI MART FINAL MENU - Pr'!M633="", "", 'AYIRA MINI MART FINAL MENU - Pr'!M633)</f>
        <v/>
      </c>
      <c r="N633" s="56" t="str">
        <f>IF('AYIRA MINI MART FINAL MENU - Pr'!N633="", "", 'AYIRA MINI MART FINAL MENU - Pr'!N633)</f>
        <v/>
      </c>
      <c r="O633" s="57"/>
      <c r="P633" s="57"/>
      <c r="Q633" s="57"/>
      <c r="R633" s="57"/>
      <c r="S633" s="57"/>
      <c r="T633" s="57"/>
      <c r="U633" s="57"/>
      <c r="V633" s="57"/>
      <c r="W633" s="57"/>
      <c r="X633" s="57"/>
      <c r="Y633" s="57"/>
      <c r="Z633" s="57"/>
    </row>
    <row r="634">
      <c r="A634" s="56" t="str">
        <f>IFERROR(__xludf.DUMMYFUNCTION("IF('AYIRA MINI MART FINAL MENU - Pr'!A634="""", """", IF(LEN(IFERROR(TRIM(REGEXREPLACE(TRIM(REGEXEXTRACT('AYIRA MINI MART FINAL MENU - Pr'!A634, ""^[^\x{0600}-\x{06FF}]+"")), ""[-–]+$"", """")), """"))&gt;0, IFERROR(TRIM(REGEXREPLACE(TRIM(REGEXEXTRACT('AYIRA"&amp;" MINI MART FINAL MENU - Pr'!A634, ""^[^\x{0600}-\x{06FF}]+"")), ""[-–]+$"", """")), """"), GOOGLETRANSLATE('AYIRA MINI MART FINAL MENU - Pr'!A634, ""ar"", ""en"")))"),"Ülker Katkattat Hazelnut Cream 28 gm – Ülker Katkattat")</f>
        <v>Ülker Katkattat Hazelnut Cream 28 gm – Ülker Katkattat</v>
      </c>
      <c r="B634" s="56" t="str">
        <f>IFERROR(__xludf.DUMMYFUNCTION("IF('AYIRA MINI MART FINAL MENU - Pr'!B634="""", """", IF(LEN(IFERROR(TRIM(REGEXREPLACE(TRIM(REGEXEXTRACT('AYIRA MINI MART FINAL MENU - Pr'!B634, ""^[^\x{0600}-\x{06FF}]+"")), ""[-–]+$"", """")), """"))&gt;0, IFERROR(TRIM(REGEXREPLACE(TRIM(REGEXEXTRACT('AYIRA"&amp;" MINI MART FINAL MENU - Pr'!B634, ""^[^\x{0600}-\x{06FF}]+"")), ""[-–]+$"", """")), """"), GOOGLETRANSLATE('AYIRA MINI MART FINAL MENU - Pr'!B634, ""ar"", ""en"")))"),"Chocolates")</f>
        <v>Chocolates</v>
      </c>
      <c r="C634" s="58">
        <f>IF('AYIRA MINI MART FINAL MENU - Pr'!C634="", "", 'AYIRA MINI MART FINAL MENU - Pr'!C634)</f>
        <v>1.5</v>
      </c>
      <c r="D634" s="56" t="str">
        <f>IFERROR(__xludf.DUMMYFUNCTION("IF('AYIRA MINI MART FINAL MENU - Pr'!D634="""", """", GOOGLETRANSLATE('AYIRA MINI MART FINAL MENU - Pr'!D634, ""ar"", ""en""))"),"Choose Ülker Katkattat Hazelnut Cream 28g, a natural nut rich in protein and healthy fats essential for your body. Made from the finest, carefully selected nuts to ensure the highest levels of purity and taste. It's the perfect healthy and nutritious snac"&amp;"k between meals. Supports heart health and provides the energy you need. Available at Aira Mini Mart with the highest quality and best prices.")</f>
        <v>Choose Ülker Katkattat Hazelnut Cream 28g, a natural nut rich in protein and healthy fats essential for your body. Made from the finest, carefully selected nuts to ensure the highest levels of purity and taste. It's the perfect healthy and nutritious snack between meals. Supports heart health and provides the energy you need. Available at Aira Mini Mart with the highest quality and best prices.</v>
      </c>
      <c r="E634" s="56" t="str">
        <f>IF('AYIRA MINI MART FINAL MENU - Pr'!K634="", "", 'AYIRA MINI MART FINAL MENU - Pr'!K634)</f>
        <v/>
      </c>
      <c r="F634" s="56"/>
      <c r="G634" s="56"/>
      <c r="H634" s="56"/>
      <c r="I634" s="56"/>
      <c r="J634" s="56"/>
      <c r="L634" s="56" t="str">
        <f>IF('AYIRA MINI MART FINAL MENU - Pr'!L634="", "", 'AYIRA MINI MART FINAL MENU - Pr'!L634)</f>
        <v/>
      </c>
      <c r="M634" s="56" t="str">
        <f>IF('AYIRA MINI MART FINAL MENU - Pr'!M634="", "", 'AYIRA MINI MART FINAL MENU - Pr'!M634)</f>
        <v/>
      </c>
      <c r="N634" s="56" t="str">
        <f>IF('AYIRA MINI MART FINAL MENU - Pr'!N634="", "", 'AYIRA MINI MART FINAL MENU - Pr'!N634)</f>
        <v/>
      </c>
      <c r="O634" s="57"/>
      <c r="P634" s="57"/>
      <c r="Q634" s="57"/>
      <c r="R634" s="57"/>
      <c r="S634" s="57"/>
      <c r="T634" s="57"/>
      <c r="U634" s="57"/>
      <c r="V634" s="57"/>
      <c r="W634" s="57"/>
      <c r="X634" s="57"/>
      <c r="Y634" s="57"/>
      <c r="Z634" s="57"/>
    </row>
    <row r="635">
      <c r="A635" s="56" t="str">
        <f>IFERROR(__xludf.DUMMYFUNCTION("IF('AYIRA MINI MART FINAL MENU - Pr'!A635="""", """", IF(LEN(IFERROR(TRIM(REGEXREPLACE(TRIM(REGEXEXTRACT('AYIRA MINI MART FINAL MENU - Pr'!A635, ""^[^\x{0600}-\x{06FF}]+"")), ""[-–]+$"", """")), """"))&gt;0, IFERROR(TRIM(REGEXREPLACE(TRIM(REGEXEXTRACT('AYIRA"&amp;" MINI MART FINAL MENU - Pr'!A635, ""^[^\x{0600}-\x{06FF}]+"")), ""[-–]+$"", """")), """"), GOOGLETRANSLATE('AYIRA MINI MART FINAL MENU - Pr'!A635, ""ar"", ""en"")))"),"Ülker Hobby 30 gm")</f>
        <v>Ülker Hobby 30 gm</v>
      </c>
      <c r="B635" s="56" t="str">
        <f>IFERROR(__xludf.DUMMYFUNCTION("IF('AYIRA MINI MART FINAL MENU - Pr'!B635="""", """", IF(LEN(IFERROR(TRIM(REGEXREPLACE(TRIM(REGEXEXTRACT('AYIRA MINI MART FINAL MENU - Pr'!B635, ""^[^\x{0600}-\x{06FF}]+"")), ""[-–]+$"", """")), """"))&gt;0, IFERROR(TRIM(REGEXREPLACE(TRIM(REGEXEXTRACT('AYIRA"&amp;" MINI MART FINAL MENU - Pr'!B635, ""^[^\x{0600}-\x{06FF}]+"")), ""[-–]+$"", """")), """"), GOOGLETRANSLATE('AYIRA MINI MART FINAL MENU - Pr'!B635, ""ar"", ""en"")))"),"Chocolates")</f>
        <v>Chocolates</v>
      </c>
      <c r="C635" s="58">
        <f>IF('AYIRA MINI MART FINAL MENU - Pr'!C635="", "", 'AYIRA MINI MART FINAL MENU - Pr'!C635)</f>
        <v>1</v>
      </c>
      <c r="D635" s="56" t="str">
        <f>IFERROR(__xludf.DUMMYFUNCTION("IF('AYIRA MINI MART FINAL MENU - Pr'!D635="""", """", GOOGLETRANSLATE('AYIRA MINI MART FINAL MENU - Pr'!D635, ""ar"", ""en""))"),"Don't be able to resist the taste of Ülker Hobby 30g, your perfect companion for relaxing and watching the game. Its unique crunch and varied flavors make every handful a delightful experience. Prepared with the finest ingredients using the latest manufac"&amp;"turing techniques to guarantee an unparalleled taste. Ideal as a snack for adults and children between meals. Aira Mini Mart offers it in the size and flavor that suits you best.")</f>
        <v>Don't be able to resist the taste of Ülker Hobby 30g,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635" s="56" t="str">
        <f>IF('AYIRA MINI MART FINAL MENU - Pr'!K635="", "", 'AYIRA MINI MART FINAL MENU - Pr'!K635)</f>
        <v/>
      </c>
      <c r="F635" s="56"/>
      <c r="G635" s="56"/>
      <c r="H635" s="56"/>
      <c r="I635" s="56"/>
      <c r="J635" s="56"/>
      <c r="L635" s="56" t="str">
        <f>IF('AYIRA MINI MART FINAL MENU - Pr'!L635="", "", 'AYIRA MINI MART FINAL MENU - Pr'!L635)</f>
        <v/>
      </c>
      <c r="M635" s="56" t="str">
        <f>IF('AYIRA MINI MART FINAL MENU - Pr'!M635="", "", 'AYIRA MINI MART FINAL MENU - Pr'!M635)</f>
        <v/>
      </c>
      <c r="N635" s="56" t="str">
        <f>IF('AYIRA MINI MART FINAL MENU - Pr'!N635="", "", 'AYIRA MINI MART FINAL MENU - Pr'!N635)</f>
        <v/>
      </c>
      <c r="O635" s="57"/>
      <c r="P635" s="57"/>
      <c r="Q635" s="57"/>
      <c r="R635" s="57"/>
      <c r="S635" s="57"/>
      <c r="T635" s="57"/>
      <c r="U635" s="57"/>
      <c r="V635" s="57"/>
      <c r="W635" s="57"/>
      <c r="X635" s="57"/>
      <c r="Y635" s="57"/>
      <c r="Z635" s="57"/>
    </row>
    <row r="636">
      <c r="A636" s="56" t="str">
        <f>IFERROR(__xludf.DUMMYFUNCTION("IF('AYIRA MINI MART FINAL MENU - Pr'!A636="""", """", IF(LEN(IFERROR(TRIM(REGEXREPLACE(TRIM(REGEXEXTRACT('AYIRA MINI MART FINAL MENU - Pr'!A636, ""^[^\x{0600}-\x{06FF}]+"")), ""[-–]+$"", """")), """"))&gt;0, IFERROR(TRIM(REGEXREPLACE(TRIM(REGEXEXTRACT('AYIRA"&amp;" MINI MART FINAL MENU - Pr'!A636, ""^[^\x{0600}-\x{06FF}]+"")), ""[-–]+$"", """")), """"), GOOGLETRANSLATE('AYIRA MINI MART FINAL MENU - Pr'!A636, ""ar"", ""en"")))"),"Ülker Laviva Milky Cream Filling 35 gm – Ülker Laviva Milky")</f>
        <v>Ülker Laviva Milky Cream Filling 35 gm – Ülker Laviva Milky</v>
      </c>
      <c r="B636" s="56" t="str">
        <f>IFERROR(__xludf.DUMMYFUNCTION("IF('AYIRA MINI MART FINAL MENU - Pr'!B636="""", """", IF(LEN(IFERROR(TRIM(REGEXREPLACE(TRIM(REGEXEXTRACT('AYIRA MINI MART FINAL MENU - Pr'!B636, ""^[^\x{0600}-\x{06FF}]+"")), ""[-–]+$"", """")), """"))&gt;0, IFERROR(TRIM(REGEXREPLACE(TRIM(REGEXEXTRACT('AYIRA"&amp;" MINI MART FINAL MENU - Pr'!B636, ""^[^\x{0600}-\x{06FF}]+"")), ""[-–]+$"", """")), """"), GOOGLETRANSLATE('AYIRA MINI MART FINAL MENU - Pr'!B636, ""ar"", ""en"")))"),"Chocolates")</f>
        <v>Chocolates</v>
      </c>
      <c r="C636" s="58">
        <f>IF('AYIRA MINI MART FINAL MENU - Pr'!C636="", "", 'AYIRA MINI MART FINAL MENU - Pr'!C636)</f>
        <v>4</v>
      </c>
      <c r="D636" s="56" t="str">
        <f>IFERROR(__xludf.DUMMYFUNCTION("IF('AYIRA MINI MART FINAL MENU - Pr'!D636="""", """", GOOGLETRANSLATE('AYIRA MINI MART FINAL MENU - Pr'!D636, ""ar"", ""en""))"),"Don't be able to resist the taste of Ülker Laviva Milky Cream Filling 35g, your perfect companion for relaxing and watching matches. Its unique crunch and diverse flavors make every handful a delightful experience. Prepared with the finest ingredients usi"&amp;"ng the latest manufacturing techniques to guarantee an unparalleled taste. Ideal as a snack for adults and children between meals. Aira Mini Mart offers it in the size and flavor that suits you best.")</f>
        <v>Don't be able to resist the taste of Ülker Laviva Milky Cream Filling 35g,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636" s="56" t="str">
        <f>IF('AYIRA MINI MART FINAL MENU - Pr'!K636="", "", 'AYIRA MINI MART FINAL MENU - Pr'!K636)</f>
        <v/>
      </c>
      <c r="F636" s="56"/>
      <c r="G636" s="56"/>
      <c r="H636" s="56"/>
      <c r="I636" s="56"/>
      <c r="J636" s="56"/>
      <c r="L636" s="56" t="str">
        <f>IF('AYIRA MINI MART FINAL MENU - Pr'!L636="", "", 'AYIRA MINI MART FINAL MENU - Pr'!L636)</f>
        <v/>
      </c>
      <c r="M636" s="56" t="str">
        <f>IF('AYIRA MINI MART FINAL MENU - Pr'!M636="", "", 'AYIRA MINI MART FINAL MENU - Pr'!M636)</f>
        <v/>
      </c>
      <c r="N636" s="56" t="str">
        <f>IF('AYIRA MINI MART FINAL MENU - Pr'!N636="", "", 'AYIRA MINI MART FINAL MENU - Pr'!N636)</f>
        <v/>
      </c>
      <c r="O636" s="57"/>
      <c r="P636" s="57"/>
      <c r="Q636" s="57"/>
      <c r="R636" s="57"/>
      <c r="S636" s="57"/>
      <c r="T636" s="57"/>
      <c r="U636" s="57"/>
      <c r="V636" s="57"/>
      <c r="W636" s="57"/>
      <c r="X636" s="57"/>
      <c r="Y636" s="57"/>
      <c r="Z636" s="57"/>
    </row>
    <row r="637">
      <c r="A637" s="56" t="str">
        <f>IFERROR(__xludf.DUMMYFUNCTION("IF('AYIRA MINI MART FINAL MENU - Pr'!A637="""", """", IF(LEN(IFERROR(TRIM(REGEXREPLACE(TRIM(REGEXEXTRACT('AYIRA MINI MART FINAL MENU - Pr'!A637, ""^[^\x{0600}-\x{06FF}]+"")), ""[-–]+$"", """")), """"))&gt;0, IFERROR(TRIM(REGEXREPLACE(TRIM(REGEXEXTRACT('AYIRA"&amp;" MINI MART FINAL MENU - Pr'!A637, ""^[^\x{0600}-\x{06FF}]+"")), ""[-–]+$"", """")), """"), GOOGLETRANSLATE('AYIRA MINI MART FINAL MENU - Pr'!A637, ""ar"", ""en"")))"),"Ülker Çikolata Hazelnut 40 gm – Ülker Çikolata")</f>
        <v>Ülker Çikolata Hazelnut 40 gm – Ülker Çikolata</v>
      </c>
      <c r="B637" s="56" t="str">
        <f>IFERROR(__xludf.DUMMYFUNCTION("IF('AYIRA MINI MART FINAL MENU - Pr'!B637="""", """", IF(LEN(IFERROR(TRIM(REGEXREPLACE(TRIM(REGEXEXTRACT('AYIRA MINI MART FINAL MENU - Pr'!B637, ""^[^\x{0600}-\x{06FF}]+"")), ""[-–]+$"", """")), """"))&gt;0, IFERROR(TRIM(REGEXREPLACE(TRIM(REGEXEXTRACT('AYIRA"&amp;" MINI MART FINAL MENU - Pr'!B637, ""^[^\x{0600}-\x{06FF}]+"")), ""[-–]+$"", """")), """"), GOOGLETRANSLATE('AYIRA MINI MART FINAL MENU - Pr'!B637, ""ar"", ""en"")))"),"Chocolates")</f>
        <v>Chocolates</v>
      </c>
      <c r="C637" s="58">
        <f>IF('AYIRA MINI MART FINAL MENU - Pr'!C637="", "", 'AYIRA MINI MART FINAL MENU - Pr'!C637)</f>
        <v>4</v>
      </c>
      <c r="D637" s="56" t="str">
        <f>IFERROR(__xludf.DUMMYFUNCTION("IF('AYIRA MINI MART FINAL MENU - Pr'!D637="""", """", GOOGLETRANSLATE('AYIRA MINI MART FINAL MENU - Pr'!D637, ""ar"", ""en""))"),"Choose Ülker Çikolata Hazelnut 40g, a natural nut rich in protein and healthy fats essential for your body. Made from the finest nuts, carefully selected to ensure the highest levels of purity and taste. A perfect healthy and nutritious snack between meal"&amp;"s. Supports heart health and provides the energy you need. Available at Aira Mini Mart with the highest quality and best prices.")</f>
        <v>Choose Ülker Çikolata Hazelnut 40g, a natural nut rich in protein and healthy fats essential for your body. Made from the finest nuts, carefully selected to ensure the highest levels of purity and taste. A perfect healthy and nutritious snack between meals. Supports heart health and provides the energy you need. Available at Aira Mini Mart with the highest quality and best prices.</v>
      </c>
      <c r="E637" s="56" t="str">
        <f>IF('AYIRA MINI MART FINAL MENU - Pr'!K637="", "", 'AYIRA MINI MART FINAL MENU - Pr'!K637)</f>
        <v/>
      </c>
      <c r="F637" s="56"/>
      <c r="G637" s="56"/>
      <c r="H637" s="56"/>
      <c r="I637" s="56"/>
      <c r="J637" s="56"/>
      <c r="L637" s="56" t="str">
        <f>IF('AYIRA MINI MART FINAL MENU - Pr'!L637="", "", 'AYIRA MINI MART FINAL MENU - Pr'!L637)</f>
        <v/>
      </c>
      <c r="M637" s="56" t="str">
        <f>IF('AYIRA MINI MART FINAL MENU - Pr'!M637="", "", 'AYIRA MINI MART FINAL MENU - Pr'!M637)</f>
        <v/>
      </c>
      <c r="N637" s="56" t="str">
        <f>IF('AYIRA MINI MART FINAL MENU - Pr'!N637="", "", 'AYIRA MINI MART FINAL MENU - Pr'!N637)</f>
        <v/>
      </c>
      <c r="O637" s="57"/>
      <c r="P637" s="57"/>
      <c r="Q637" s="57"/>
      <c r="R637" s="57"/>
      <c r="S637" s="57"/>
      <c r="T637" s="57"/>
      <c r="U637" s="57"/>
      <c r="V637" s="57"/>
      <c r="W637" s="57"/>
      <c r="X637" s="57"/>
      <c r="Y637" s="57"/>
      <c r="Z637" s="57"/>
    </row>
    <row r="638">
      <c r="A638" s="56" t="str">
        <f>IFERROR(__xludf.DUMMYFUNCTION("IF('AYIRA MINI MART FINAL MENU - Pr'!A638="""", """", IF(LEN(IFERROR(TRIM(REGEXREPLACE(TRIM(REGEXEXTRACT('AYIRA MINI MART FINAL MENU - Pr'!A638, ""^[^\x{0600}-\x{06FF}]+"")), ""[-–]+$"", """")), """"))&gt;0, IFERROR(TRIM(REGEXREPLACE(TRIM(REGEXEXTRACT('AYIRA"&amp;" MINI MART FINAL MENU - Pr'!A638, ""^[^\x{0600}-\x{06FF}]+"")), ""[-–]+$"", """")), """"), GOOGLETRANSLATE('AYIRA MINI MART FINAL MENU - Pr'!A638, ""ar"", ""en"")))"),"Bounty 50 gm")</f>
        <v>Bounty 50 gm</v>
      </c>
      <c r="B638" s="56" t="str">
        <f>IFERROR(__xludf.DUMMYFUNCTION("IF('AYIRA MINI MART FINAL MENU - Pr'!B638="""", """", IF(LEN(IFERROR(TRIM(REGEXREPLACE(TRIM(REGEXEXTRACT('AYIRA MINI MART FINAL MENU - Pr'!B638, ""^[^\x{0600}-\x{06FF}]+"")), ""[-–]+$"", """")), """"))&gt;0, IFERROR(TRIM(REGEXREPLACE(TRIM(REGEXEXTRACT('AYIRA"&amp;" MINI MART FINAL MENU - Pr'!B638, ""^[^\x{0600}-\x{06FF}]+"")), ""[-–]+$"", """")), """"), GOOGLETRANSLATE('AYIRA MINI MART FINAL MENU - Pr'!B638, ""ar"", ""en"")))"),"Chocolates")</f>
        <v>Chocolates</v>
      </c>
      <c r="C638" s="58">
        <f>IF('AYIRA MINI MART FINAL MENU - Pr'!C638="", "", 'AYIRA MINI MART FINAL MENU - Pr'!C638)</f>
        <v>4.5</v>
      </c>
      <c r="D638" s="56" t="str">
        <f>IFERROR(__xludf.DUMMYFUNCTION("IF('AYIRA MINI MART FINAL MENU - Pr'!D638="""", """", GOOGLETRANSLATE('AYIRA MINI MART FINAL MENU - Pr'!D638, ""ar"", ""en""))"),"Indulge your senses with Bounty, the luxurious chocolate that combines rich flavor with a perfect texture. Made from the finest selected cocoa beans, it delivers an exceptional sweet experience every time. Whether you're looking for a special gift or want"&amp;" to treat yourself, this chocolate is the perfect choice. Savor every piece and immerse yourself in a world of smoothness and sweetness. Get yours from Aira Mini Mart and experience moments of pure delight.")</f>
        <v>Indulge your senses with Bounty, the luxurious chocolate that combines rich flavor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38" s="56" t="str">
        <f>IF('AYIRA MINI MART FINAL MENU - Pr'!K638="", "", 'AYIRA MINI MART FINAL MENU - Pr'!K638)</f>
        <v/>
      </c>
      <c r="F638" s="56"/>
      <c r="G638" s="56"/>
      <c r="H638" s="56"/>
      <c r="I638" s="56"/>
      <c r="J638" s="56"/>
      <c r="L638" s="56" t="str">
        <f>IF('AYIRA MINI MART FINAL MENU - Pr'!L638="", "", 'AYIRA MINI MART FINAL MENU - Pr'!L638)</f>
        <v/>
      </c>
      <c r="M638" s="56" t="str">
        <f>IF('AYIRA MINI MART FINAL MENU - Pr'!M638="", "", 'AYIRA MINI MART FINAL MENU - Pr'!M638)</f>
        <v/>
      </c>
      <c r="N638" s="56" t="str">
        <f>IF('AYIRA MINI MART FINAL MENU - Pr'!N638="", "", 'AYIRA MINI MART FINAL MENU - Pr'!N638)</f>
        <v/>
      </c>
      <c r="O638" s="57"/>
      <c r="P638" s="57"/>
      <c r="Q638" s="57"/>
      <c r="R638" s="57"/>
      <c r="S638" s="57"/>
      <c r="T638" s="57"/>
      <c r="U638" s="57"/>
      <c r="V638" s="57"/>
      <c r="W638" s="57"/>
      <c r="X638" s="57"/>
      <c r="Y638" s="57"/>
      <c r="Z638" s="57"/>
    </row>
    <row r="639">
      <c r="A639" s="56" t="str">
        <f>IFERROR(__xludf.DUMMYFUNCTION("IF('AYIRA MINI MART FINAL MENU - Pr'!A639="""", """", IF(LEN(IFERROR(TRIM(REGEXREPLACE(TRIM(REGEXEXTRACT('AYIRA MINI MART FINAL MENU - Pr'!A639, ""^[^\x{0600}-\x{06FF}]+"")), ""[-–]+$"", """")), """"))&gt;0, IFERROR(TRIM(REGEXREPLACE(TRIM(REGEXEXTRACT('AYIRA"&amp;" MINI MART FINAL MENU - Pr'!A639, ""^[^\x{0600}-\x{06FF}]+"")), ""[-–]+$"", """")), """"), GOOGLETRANSLATE('AYIRA MINI MART FINAL MENU - Pr'!A639, ""ar"", ""en"")))"),"Boundry Wafer Rolls – Boundry")</f>
        <v>Boundry Wafer Rolls – Boundry</v>
      </c>
      <c r="B639" s="56" t="str">
        <f>IFERROR(__xludf.DUMMYFUNCTION("IF('AYIRA MINI MART FINAL MENU - Pr'!B639="""", """", IF(LEN(IFERROR(TRIM(REGEXREPLACE(TRIM(REGEXEXTRACT('AYIRA MINI MART FINAL MENU - Pr'!B639, ""^[^\x{0600}-\x{06FF}]+"")), ""[-–]+$"", """")), """"))&gt;0, IFERROR(TRIM(REGEXREPLACE(TRIM(REGEXEXTRACT('AYIRA"&amp;" MINI MART FINAL MENU - Pr'!B639, ""^[^\x{0600}-\x{06FF}]+"")), ""[-–]+$"", """")), """"), GOOGLETRANSLATE('AYIRA MINI MART FINAL MENU - Pr'!B639, ""ar"", ""en"")))"),"Biscuits &amp; Wafers")</f>
        <v>Biscuits &amp; Wafers</v>
      </c>
      <c r="C639" s="58">
        <f>IF('AYIRA MINI MART FINAL MENU - Pr'!C639="", "", 'AYIRA MINI MART FINAL MENU - Pr'!C639)</f>
        <v>2</v>
      </c>
      <c r="D639" s="56" t="str">
        <f>IFERROR(__xludf.DUMMYFUNCTION("IF('AYIRA MINI MART FINAL MENU - Pr'!D639="""", """", GOOGLETRANSLATE('AYIRA MINI MART FINAL MENU - Pr'!D639, ""ar"", ""en""))"),"Don't be able to resist the taste of Boundry Wafer Rolls, your perfect companion for relaxing and watching the game. Their unique crunch and diverse flavors make every handful a delightful experience. Made with the finest ingredients using the latest manu"&amp;"facturing techniques to guarantee an unparalleled taste. Ideal as a snack for adults and children alike between meals. Aira Mini Mart offers them in the size and flavor that suits you best.")</f>
        <v>Don't be able to resist the taste of Boundry Wafer Rolls,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size and flavor that suits you best.</v>
      </c>
      <c r="E639" s="56" t="str">
        <f>IF('AYIRA MINI MART FINAL MENU - Pr'!K639="", "", 'AYIRA MINI MART FINAL MENU - Pr'!K639)</f>
        <v/>
      </c>
      <c r="F639" s="56"/>
      <c r="G639" s="56"/>
      <c r="H639" s="56"/>
      <c r="I639" s="56"/>
      <c r="J639" s="56"/>
      <c r="L639" s="56" t="str">
        <f>IF('AYIRA MINI MART FINAL MENU - Pr'!L639="", "", 'AYIRA MINI MART FINAL MENU - Pr'!L639)</f>
        <v/>
      </c>
      <c r="M639" s="56" t="str">
        <f>IF('AYIRA MINI MART FINAL MENU - Pr'!M639="", "", 'AYIRA MINI MART FINAL MENU - Pr'!M639)</f>
        <v/>
      </c>
      <c r="N639" s="56" t="str">
        <f>IF('AYIRA MINI MART FINAL MENU - Pr'!N639="", "", 'AYIRA MINI MART FINAL MENU - Pr'!N639)</f>
        <v/>
      </c>
      <c r="O639" s="57"/>
      <c r="P639" s="57"/>
      <c r="Q639" s="57"/>
      <c r="R639" s="57"/>
      <c r="S639" s="57"/>
      <c r="T639" s="57"/>
      <c r="U639" s="57"/>
      <c r="V639" s="57"/>
      <c r="W639" s="57"/>
      <c r="X639" s="57"/>
      <c r="Y639" s="57"/>
      <c r="Z639" s="57"/>
    </row>
    <row r="640">
      <c r="A640" s="56" t="str">
        <f>IFERROR(__xludf.DUMMYFUNCTION("IF('AYIRA MINI MART FINAL MENU - Pr'!A640="""", """", IF(LEN(IFERROR(TRIM(REGEXREPLACE(TRIM(REGEXEXTRACT('AYIRA MINI MART FINAL MENU - Pr'!A640, ""^[^\x{0600}-\x{06FF}]+"")), ""[-–]+$"", """")), """"))&gt;0, IFERROR(TRIM(REGEXREPLACE(TRIM(REGEXEXTRACT('AYIRA"&amp;" MINI MART FINAL MENU - Pr'!A640, ""^[^\x{0600}-\x{06FF}]+"")), ""[-–]+$"", """")), """"), GOOGLETRANSLATE('AYIRA MINI MART FINAL MENU - Pr'!A640, ""ar"", ""en"")))"),"Twix Wafer Rolls 22.5 gm")</f>
        <v>Twix Wafer Rolls 22.5 gm</v>
      </c>
      <c r="B640" s="56" t="str">
        <f>IFERROR(__xludf.DUMMYFUNCTION("IF('AYIRA MINI MART FINAL MENU - Pr'!B640="""", """", IF(LEN(IFERROR(TRIM(REGEXREPLACE(TRIM(REGEXEXTRACT('AYIRA MINI MART FINAL MENU - Pr'!B640, ""^[^\x{0600}-\x{06FF}]+"")), ""[-–]+$"", """")), """"))&gt;0, IFERROR(TRIM(REGEXREPLACE(TRIM(REGEXEXTRACT('AYIRA"&amp;" MINI MART FINAL MENU - Pr'!B640, ""^[^\x{0600}-\x{06FF}]+"")), ""[-–]+$"", """")), """"), GOOGLETRANSLATE('AYIRA MINI MART FINAL MENU - Pr'!B640, ""ar"", ""en"")))"),"Chocolates")</f>
        <v>Chocolates</v>
      </c>
      <c r="C640" s="58">
        <f>IF('AYIRA MINI MART FINAL MENU - Pr'!C640="", "", 'AYIRA MINI MART FINAL MENU - Pr'!C640)</f>
        <v>2</v>
      </c>
      <c r="D640" s="56" t="str">
        <f>IFERROR(__xludf.DUMMYFUNCTION("IF('AYIRA MINI MART FINAL MENU - Pr'!D640="""", """", GOOGLETRANSLATE('AYIRA MINI MART FINAL MENU - Pr'!D640, ""ar"", ""en""))"),"Indulge your senses with Twix, the premium chocolate that combines rich flavor with a perfect texture. Made from the finest selected cocoa beans, it delivers an exceptional sweet experience every time. Whether you're looking for a special gift or want to "&amp;"treat yourself, this chocolate is the perfect choice. Savor every piece and immerse yourself in a world of smoothness and sweetness. Get yours from Aira Mini Mart and experience moments of pure delight.")</f>
        <v>Indulge your senses with Twix, the premium chocolate that combines rich flavor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0" s="56" t="str">
        <f>IF('AYIRA MINI MART FINAL MENU - Pr'!K640="", "", 'AYIRA MINI MART FINAL MENU - Pr'!K640)</f>
        <v/>
      </c>
      <c r="F640" s="56"/>
      <c r="G640" s="56"/>
      <c r="H640" s="56"/>
      <c r="I640" s="56"/>
      <c r="J640" s="56"/>
      <c r="L640" s="56" t="str">
        <f>IF('AYIRA MINI MART FINAL MENU - Pr'!L640="", "", 'AYIRA MINI MART FINAL MENU - Pr'!L640)</f>
        <v/>
      </c>
      <c r="M640" s="56" t="str">
        <f>IF('AYIRA MINI MART FINAL MENU - Pr'!M640="", "", 'AYIRA MINI MART FINAL MENU - Pr'!M640)</f>
        <v/>
      </c>
      <c r="N640" s="56" t="str">
        <f>IF('AYIRA MINI MART FINAL MENU - Pr'!N640="", "", 'AYIRA MINI MART FINAL MENU - Pr'!N640)</f>
        <v/>
      </c>
      <c r="O640" s="57"/>
      <c r="P640" s="57"/>
      <c r="Q640" s="57"/>
      <c r="R640" s="57"/>
      <c r="S640" s="57"/>
      <c r="T640" s="57"/>
      <c r="U640" s="57"/>
      <c r="V640" s="57"/>
      <c r="W640" s="57"/>
      <c r="X640" s="57"/>
      <c r="Y640" s="57"/>
      <c r="Z640" s="57"/>
    </row>
    <row r="641">
      <c r="A641" s="56" t="str">
        <f>IFERROR(__xludf.DUMMYFUNCTION("IF('AYIRA MINI MART FINAL MENU - Pr'!A641="""", """", IF(LEN(IFERROR(TRIM(REGEXREPLACE(TRIM(REGEXEXTRACT('AYIRA MINI MART FINAL MENU - Pr'!A641, ""^[^\x{0600}-\x{06FF}]+"")), ""[-–]+$"", """")), """"))&gt;0, IFERROR(TRIM(REGEXREPLACE(TRIM(REGEXEXTRACT('AYIRA"&amp;" MINI MART FINAL MENU - Pr'!A641, ""^[^\x{0600}-\x{06FF}]+"")), ""[-–]+$"", """")), """"), GOOGLETRANSLATE('AYIRA MINI MART FINAL MENU - Pr'!A641, ""ar"", ""en"")))"),"Nestlé Tola Crispy Wafer with Caramel &amp; Milk Chocolate")</f>
        <v>Nestlé Tola Crispy Wafer with Caramel &amp; Milk Chocolate</v>
      </c>
      <c r="B641" s="56" t="str">
        <f>IFERROR(__xludf.DUMMYFUNCTION("IF('AYIRA MINI MART FINAL MENU - Pr'!B641="""", """", IF(LEN(IFERROR(TRIM(REGEXREPLACE(TRIM(REGEXEXTRACT('AYIRA MINI MART FINAL MENU - Pr'!B641, ""^[^\x{0600}-\x{06FF}]+"")), ""[-–]+$"", """")), """"))&gt;0, IFERROR(TRIM(REGEXREPLACE(TRIM(REGEXEXTRACT('AYIRA"&amp;" MINI MART FINAL MENU - Pr'!B641, ""^[^\x{0600}-\x{06FF}]+"")), ""[-–]+$"", """")), """"), GOOGLETRANSLATE('AYIRA MINI MART FINAL MENU - Pr'!B641, ""ar"", ""en"")))"),"Chocolates")</f>
        <v>Chocolates</v>
      </c>
      <c r="C641" s="58">
        <f>IF('AYIRA MINI MART FINAL MENU - Pr'!C641="", "", 'AYIRA MINI MART FINAL MENU - Pr'!C641)</f>
        <v>2.5</v>
      </c>
      <c r="D641" s="56" t="str">
        <f>IFERROR(__xludf.DUMMYFUNCTION("IF('AYIRA MINI MART FINAL MENU - Pr'!D641="""", """", GOOGLETRANSLATE('AYIRA MINI MART FINAL MENU - Pr'!D641, ""ar"", ""en""))"),"Indulge your senses with Nestlé Tola Crispy Wafer with Caramel &amp; Milk Chocolate, a luxurious chocolate that combines rich flavor with a perfect texture. Made from the finest selected cocoa beans, it delivers an exceptional dessert experience every time. W"&amp;"hether you're looking for a special gift or want to treat yourself, this chocolate is the perfect choice. Savor every piece and immerse yourself in a world of smoothness and sweetness. Get yours from Aira Mini Mart and experience moments of pure delight.")</f>
        <v>Indulge your senses with Nestlé Tola Crispy Wafer with Caramel &amp; Milk Chocolate,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1" s="56" t="str">
        <f>IF('AYIRA MINI MART FINAL MENU - Pr'!K641="", "", 'AYIRA MINI MART FINAL MENU - Pr'!K641)</f>
        <v/>
      </c>
      <c r="F641" s="56"/>
      <c r="G641" s="56"/>
      <c r="H641" s="56"/>
      <c r="I641" s="56"/>
      <c r="J641" s="56"/>
      <c r="L641" s="56" t="str">
        <f>IF('AYIRA MINI MART FINAL MENU - Pr'!L641="", "", 'AYIRA MINI MART FINAL MENU - Pr'!L641)</f>
        <v/>
      </c>
      <c r="M641" s="56" t="str">
        <f>IF('AYIRA MINI MART FINAL MENU - Pr'!M641="", "", 'AYIRA MINI MART FINAL MENU - Pr'!M641)</f>
        <v/>
      </c>
      <c r="N641" s="56" t="str">
        <f>IF('AYIRA MINI MART FINAL MENU - Pr'!N641="", "", 'AYIRA MINI MART FINAL MENU - Pr'!N641)</f>
        <v/>
      </c>
      <c r="O641" s="57"/>
      <c r="P641" s="57"/>
      <c r="Q641" s="57"/>
      <c r="R641" s="57"/>
      <c r="S641" s="57"/>
      <c r="T641" s="57"/>
      <c r="U641" s="57"/>
      <c r="V641" s="57"/>
      <c r="W641" s="57"/>
      <c r="X641" s="57"/>
      <c r="Y641" s="57"/>
      <c r="Z641" s="57"/>
    </row>
    <row r="642">
      <c r="A642" s="56" t="str">
        <f>IFERROR(__xludf.DUMMYFUNCTION("IF('AYIRA MINI MART FINAL MENU - Pr'!A642="""", """", IF(LEN(IFERROR(TRIM(REGEXREPLACE(TRIM(REGEXEXTRACT('AYIRA MINI MART FINAL MENU - Pr'!A642, ""^[^\x{0600}-\x{06FF}]+"")), ""[-–]+$"", """")), """"))&gt;0, IFERROR(TRIM(REGEXREPLACE(TRIM(REGEXEXTRACT('AYIRA"&amp;" MINI MART FINAL MENU - Pr'!A642, ""^[^\x{0600}-\x{06FF}]+"")), ""[-–]+$"", """")), """"), GOOGLETRANSLATE('AYIRA MINI MART FINAL MENU - Pr'!A642, ""ar"", ""en"")))"),"Snickers Chocolate Bar")</f>
        <v>Snickers Chocolate Bar</v>
      </c>
      <c r="B642" s="56" t="str">
        <f>IFERROR(__xludf.DUMMYFUNCTION("IF('AYIRA MINI MART FINAL MENU - Pr'!B642="""", """", IF(LEN(IFERROR(TRIM(REGEXREPLACE(TRIM(REGEXEXTRACT('AYIRA MINI MART FINAL MENU - Pr'!B642, ""^[^\x{0600}-\x{06FF}]+"")), ""[-–]+$"", """")), """"))&gt;0, IFERROR(TRIM(REGEXREPLACE(TRIM(REGEXEXTRACT('AYIRA"&amp;" MINI MART FINAL MENU - Pr'!B642, ""^[^\x{0600}-\x{06FF}]+"")), ""[-–]+$"", """")), """"), GOOGLETRANSLATE('AYIRA MINI MART FINAL MENU - Pr'!B642, ""ar"", ""en"")))"),"Chocolates")</f>
        <v>Chocolates</v>
      </c>
      <c r="C642" s="58">
        <f>IF('AYIRA MINI MART FINAL MENU - Pr'!C642="", "", 'AYIRA MINI MART FINAL MENU - Pr'!C642)</f>
        <v>3</v>
      </c>
      <c r="D642" s="56" t="str">
        <f>IFERROR(__xludf.DUMMYFUNCTION("IF('AYIRA MINI MART FINAL MENU - Pr'!D642="""", """", GOOGLETRANSLATE('AYIRA MINI MART FINAL MENU - Pr'!D642,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2" s="56" t="str">
        <f>IF('AYIRA MINI MART FINAL MENU - Pr'!K642="", "", 'AYIRA MINI MART FINAL MENU - Pr'!K642)</f>
        <v/>
      </c>
      <c r="F642" s="56"/>
      <c r="G642" s="56"/>
      <c r="H642" s="56"/>
      <c r="I642" s="56"/>
      <c r="J642" s="56"/>
      <c r="L642" s="56" t="str">
        <f>IF('AYIRA MINI MART FINAL MENU - Pr'!L642="", "", 'AYIRA MINI MART FINAL MENU - Pr'!L642)</f>
        <v/>
      </c>
      <c r="M642" s="56" t="str">
        <f>IF('AYIRA MINI MART FINAL MENU - Pr'!M642="", "", 'AYIRA MINI MART FINAL MENU - Pr'!M642)</f>
        <v/>
      </c>
      <c r="N642" s="56" t="str">
        <f>IF('AYIRA MINI MART FINAL MENU - Pr'!N642="", "", 'AYIRA MINI MART FINAL MENU - Pr'!N642)</f>
        <v/>
      </c>
      <c r="O642" s="57"/>
      <c r="P642" s="57"/>
      <c r="Q642" s="57"/>
      <c r="R642" s="57"/>
      <c r="S642" s="57"/>
      <c r="T642" s="57"/>
      <c r="U642" s="57"/>
      <c r="V642" s="57"/>
      <c r="W642" s="57"/>
      <c r="X642" s="57"/>
      <c r="Y642" s="57"/>
      <c r="Z642" s="57"/>
    </row>
    <row r="643">
      <c r="A643" s="56" t="str">
        <f>IFERROR(__xludf.DUMMYFUNCTION("IF('AYIRA MINI MART FINAL MENU - Pr'!A643="""", """", IF(LEN(IFERROR(TRIM(REGEXREPLACE(TRIM(REGEXEXTRACT('AYIRA MINI MART FINAL MENU - Pr'!A643, ""^[^\x{0600}-\x{06FF}]+"")), ""[-–]+$"", """")), """"))&gt;0, IFERROR(TRIM(REGEXREPLACE(TRIM(REGEXEXTRACT('AYIRA"&amp;" MINI MART FINAL MENU - Pr'!A643, ""^[^\x{0600}-\x{06FF}]+"")), ""[-–]+$"", """")), """"), GOOGLETRANSLATE('AYIRA MINI MART FINAL MENU - Pr'!A643, ""ar"", ""en"")))"),"Kinder Bueno White 3.5g")</f>
        <v>Kinder Bueno White 3.5g</v>
      </c>
      <c r="B643" s="56" t="str">
        <f>IFERROR(__xludf.DUMMYFUNCTION("IF('AYIRA MINI MART FINAL MENU - Pr'!B643="""", """", IF(LEN(IFERROR(TRIM(REGEXREPLACE(TRIM(REGEXEXTRACT('AYIRA MINI MART FINAL MENU - Pr'!B643, ""^[^\x{0600}-\x{06FF}]+"")), ""[-–]+$"", """")), """"))&gt;0, IFERROR(TRIM(REGEXREPLACE(TRIM(REGEXEXTRACT('AYIRA"&amp;" MINI MART FINAL MENU - Pr'!B643, ""^[^\x{0600}-\x{06FF}]+"")), ""[-–]+$"", """")), """"), GOOGLETRANSLATE('AYIRA MINI MART FINAL MENU - Pr'!B643, ""ar"", ""en"")))"),"Chocolates")</f>
        <v>Chocolates</v>
      </c>
      <c r="C643" s="58">
        <f>IF('AYIRA MINI MART FINAL MENU - Pr'!C643="", "", 'AYIRA MINI MART FINAL MENU - Pr'!C643)</f>
        <v>3.5</v>
      </c>
      <c r="D643" s="56" t="str">
        <f>IFERROR(__xludf.DUMMYFUNCTION("IF('AYIRA MINI MART FINAL MENU - Pr'!D643="""", """", GOOGLETRANSLATE('AYIRA MINI MART FINAL MENU - Pr'!D643, ""ar"", ""en""))"),"Indulge your senses with Kinder, the luxurious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Kinder, the luxurious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3" s="56" t="str">
        <f>IF('AYIRA MINI MART FINAL MENU - Pr'!K643="", "", 'AYIRA MINI MART FINAL MENU - Pr'!K643)</f>
        <v/>
      </c>
      <c r="F643" s="56"/>
      <c r="G643" s="56"/>
      <c r="H643" s="56"/>
      <c r="I643" s="56"/>
      <c r="J643" s="56"/>
      <c r="L643" s="56" t="str">
        <f>IF('AYIRA MINI MART FINAL MENU - Pr'!L643="", "", 'AYIRA MINI MART FINAL MENU - Pr'!L643)</f>
        <v/>
      </c>
      <c r="M643" s="56" t="str">
        <f>IF('AYIRA MINI MART FINAL MENU - Pr'!M643="", "", 'AYIRA MINI MART FINAL MENU - Pr'!M643)</f>
        <v/>
      </c>
      <c r="N643" s="56" t="str">
        <f>IF('AYIRA MINI MART FINAL MENU - Pr'!N643="", "", 'AYIRA MINI MART FINAL MENU - Pr'!N643)</f>
        <v/>
      </c>
      <c r="O643" s="57"/>
      <c r="P643" s="57"/>
      <c r="Q643" s="57"/>
      <c r="R643" s="57"/>
      <c r="S643" s="57"/>
      <c r="T643" s="57"/>
      <c r="U643" s="57"/>
      <c r="V643" s="57"/>
      <c r="W643" s="57"/>
      <c r="X643" s="57"/>
      <c r="Y643" s="57"/>
      <c r="Z643" s="57"/>
    </row>
    <row r="644">
      <c r="A644" s="56" t="str">
        <f>IFERROR(__xludf.DUMMYFUNCTION("IF('AYIRA MINI MART FINAL MENU - Pr'!A644="""", """", IF(LEN(IFERROR(TRIM(REGEXREPLACE(TRIM(REGEXEXTRACT('AYIRA MINI MART FINAL MENU - Pr'!A644, ""^[^\x{0600}-\x{06FF}]+"")), ""[-–]+$"", """")), """"))&gt;0, IFERROR(TRIM(REGEXREPLACE(TRIM(REGEXEXTRACT('AYIRA"&amp;" MINI MART FINAL MENU - Pr'!A644, ""^[^\x{0600}-\x{06FF}]+"")), ""[-–]+$"", """")), """"), GOOGLETRANSLATE('AYIRA MINI MART FINAL MENU - Pr'!A644, ""ar"", ""en"")))"),"Kinder Cards 25.6g")</f>
        <v>Kinder Cards 25.6g</v>
      </c>
      <c r="B644" s="56" t="str">
        <f>IFERROR(__xludf.DUMMYFUNCTION("IF('AYIRA MINI MART FINAL MENU - Pr'!B644="""", """", IF(LEN(IFERROR(TRIM(REGEXREPLACE(TRIM(REGEXEXTRACT('AYIRA MINI MART FINAL MENU - Pr'!B644, ""^[^\x{0600}-\x{06FF}]+"")), ""[-–]+$"", """")), """"))&gt;0, IFERROR(TRIM(REGEXREPLACE(TRIM(REGEXEXTRACT('AYIRA"&amp;" MINI MART FINAL MENU - Pr'!B644, ""^[^\x{0600}-\x{06FF}]+"")), ""[-–]+$"", """")), """"), GOOGLETRANSLATE('AYIRA MINI MART FINAL MENU - Pr'!B644, ""ar"", ""en"")))"),"Chocolates")</f>
        <v>Chocolates</v>
      </c>
      <c r="C644" s="58">
        <f>IF('AYIRA MINI MART FINAL MENU - Pr'!C644="", "", 'AYIRA MINI MART FINAL MENU - Pr'!C644)</f>
        <v>3.5</v>
      </c>
      <c r="D644" s="56" t="str">
        <f>IFERROR(__xludf.DUMMYFUNCTION("IF('AYIRA MINI MART FINAL MENU - Pr'!D644="""", """", GOOGLETRANSLATE('AYIRA MINI MART FINAL MENU - Pr'!D644, ""ar"", ""en""))"),"Indulge your senses with Kinder, the luxurious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Kinder, the luxurious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4" s="56" t="str">
        <f>IF('AYIRA MINI MART FINAL MENU - Pr'!K644="", "", 'AYIRA MINI MART FINAL MENU - Pr'!K644)</f>
        <v/>
      </c>
      <c r="F644" s="56"/>
      <c r="G644" s="56"/>
      <c r="H644" s="56"/>
      <c r="I644" s="56"/>
      <c r="J644" s="56"/>
      <c r="L644" s="56" t="str">
        <f>IF('AYIRA MINI MART FINAL MENU - Pr'!L644="", "", 'AYIRA MINI MART FINAL MENU - Pr'!L644)</f>
        <v/>
      </c>
      <c r="M644" s="56" t="str">
        <f>IF('AYIRA MINI MART FINAL MENU - Pr'!M644="", "", 'AYIRA MINI MART FINAL MENU - Pr'!M644)</f>
        <v/>
      </c>
      <c r="N644" s="56" t="str">
        <f>IF('AYIRA MINI MART FINAL MENU - Pr'!N644="", "", 'AYIRA MINI MART FINAL MENU - Pr'!N644)</f>
        <v/>
      </c>
      <c r="O644" s="57"/>
      <c r="P644" s="57"/>
      <c r="Q644" s="57"/>
      <c r="R644" s="57"/>
      <c r="S644" s="57"/>
      <c r="T644" s="57"/>
      <c r="U644" s="57"/>
      <c r="V644" s="57"/>
      <c r="W644" s="57"/>
      <c r="X644" s="57"/>
      <c r="Y644" s="57"/>
      <c r="Z644" s="57"/>
    </row>
    <row r="645">
      <c r="A645" s="56" t="str">
        <f>IFERROR(__xludf.DUMMYFUNCTION("IF('AYIRA MINI MART FINAL MENU - Pr'!A645="""", """", IF(LEN(IFERROR(TRIM(REGEXREPLACE(TRIM(REGEXEXTRACT('AYIRA MINI MART FINAL MENU - Pr'!A645, ""^[^\x{0600}-\x{06FF}]+"")), ""[-–]+$"", """")), """"))&gt;0, IFERROR(TRIM(REGEXREPLACE(TRIM(REGEXEXTRACT('AYIRA"&amp;" MINI MART FINAL MENU - Pr'!A645, ""^[^\x{0600}-\x{06FF}]+"")), ""[-–]+$"", """")), """"), GOOGLETRANSLATE('AYIRA MINI MART FINAL MENU - Pr'!A645, ""ar"", ""en"")))"),"Kinder Maxi 21g")</f>
        <v>Kinder Maxi 21g</v>
      </c>
      <c r="B645" s="56" t="str">
        <f>IFERROR(__xludf.DUMMYFUNCTION("IF('AYIRA MINI MART FINAL MENU - Pr'!B645="""", """", IF(LEN(IFERROR(TRIM(REGEXREPLACE(TRIM(REGEXEXTRACT('AYIRA MINI MART FINAL MENU - Pr'!B645, ""^[^\x{0600}-\x{06FF}]+"")), ""[-–]+$"", """")), """"))&gt;0, IFERROR(TRIM(REGEXREPLACE(TRIM(REGEXEXTRACT('AYIRA"&amp;" MINI MART FINAL MENU - Pr'!B645, ""^[^\x{0600}-\x{06FF}]+"")), ""[-–]+$"", """")), """"), GOOGLETRANSLATE('AYIRA MINI MART FINAL MENU - Pr'!B645, ""ar"", ""en"")))"),"Chocolates")</f>
        <v>Chocolates</v>
      </c>
      <c r="C645" s="58">
        <f>IF('AYIRA MINI MART FINAL MENU - Pr'!C645="", "", 'AYIRA MINI MART FINAL MENU - Pr'!C645)</f>
        <v>2</v>
      </c>
      <c r="D645" s="56" t="str">
        <f>IFERROR(__xludf.DUMMYFUNCTION("IF('AYIRA MINI MART FINAL MENU - Pr'!D645="""", """", GOOGLETRANSLATE('AYIRA MINI MART FINAL MENU - Pr'!D645, ""ar"", ""en""))"),"Indulge your senses with Kinder, the luxurious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Kinder, the luxurious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5" s="56" t="str">
        <f>IF('AYIRA MINI MART FINAL MENU - Pr'!K645="", "", 'AYIRA MINI MART FINAL MENU - Pr'!K645)</f>
        <v/>
      </c>
      <c r="F645" s="56"/>
      <c r="G645" s="56"/>
      <c r="H645" s="56"/>
      <c r="I645" s="56"/>
      <c r="J645" s="56"/>
      <c r="L645" s="56" t="str">
        <f>IF('AYIRA MINI MART FINAL MENU - Pr'!L645="", "", 'AYIRA MINI MART FINAL MENU - Pr'!L645)</f>
        <v/>
      </c>
      <c r="M645" s="56" t="str">
        <f>IF('AYIRA MINI MART FINAL MENU - Pr'!M645="", "", 'AYIRA MINI MART FINAL MENU - Pr'!M645)</f>
        <v/>
      </c>
      <c r="N645" s="56" t="str">
        <f>IF('AYIRA MINI MART FINAL MENU - Pr'!N645="", "", 'AYIRA MINI MART FINAL MENU - Pr'!N645)</f>
        <v/>
      </c>
      <c r="O645" s="57"/>
      <c r="P645" s="57"/>
      <c r="Q645" s="57"/>
      <c r="R645" s="57"/>
      <c r="S645" s="57"/>
      <c r="T645" s="57"/>
      <c r="U645" s="57"/>
      <c r="V645" s="57"/>
      <c r="W645" s="57"/>
      <c r="X645" s="57"/>
      <c r="Y645" s="57"/>
      <c r="Z645" s="57"/>
    </row>
    <row r="646">
      <c r="A646" s="56" t="str">
        <f>IFERROR(__xludf.DUMMYFUNCTION("IF('AYIRA MINI MART FINAL MENU - Pr'!A646="""", """", IF(LEN(IFERROR(TRIM(REGEXREPLACE(TRIM(REGEXEXTRACT('AYIRA MINI MART FINAL MENU - Pr'!A646, ""^[^\x{0600}-\x{06FF}]+"")), ""[-–]+$"", """")), """"))&gt;0, IFERROR(TRIM(REGEXREPLACE(TRIM(REGEXEXTRACT('AYIRA"&amp;" MINI MART FINAL MENU - Pr'!A646, ""^[^\x{0600}-\x{06FF}]+"")), ""[-–]+$"", """")), """"), GOOGLETRANSLATE('AYIRA MINI MART FINAL MENU - Pr'!A646, ""ar"", ""en"")))"),"Kinder Chocolate 4 Bars 50g")</f>
        <v>Kinder Chocolate 4 Bars 50g</v>
      </c>
      <c r="B646" s="56" t="str">
        <f>IFERROR(__xludf.DUMMYFUNCTION("IF('AYIRA MINI MART FINAL MENU - Pr'!B646="""", """", IF(LEN(IFERROR(TRIM(REGEXREPLACE(TRIM(REGEXEXTRACT('AYIRA MINI MART FINAL MENU - Pr'!B646, ""^[^\x{0600}-\x{06FF}]+"")), ""[-–]+$"", """")), """"))&gt;0, IFERROR(TRIM(REGEXREPLACE(TRIM(REGEXEXTRACT('AYIRA"&amp;" MINI MART FINAL MENU - Pr'!B646, ""^[^\x{0600}-\x{06FF}]+"")), ""[-–]+$"", """")), """"), GOOGLETRANSLATE('AYIRA MINI MART FINAL MENU - Pr'!B646, ""ar"", ""en"")))"),"Chocolates")</f>
        <v>Chocolates</v>
      </c>
      <c r="C646" s="58">
        <f>IF('AYIRA MINI MART FINAL MENU - Pr'!C646="", "", 'AYIRA MINI MART FINAL MENU - Pr'!C646)</f>
        <v>4.5</v>
      </c>
      <c r="D646" s="56" t="str">
        <f>IFERROR(__xludf.DUMMYFUNCTION("IF('AYIRA MINI MART FINAL MENU - Pr'!D646="""", """", GOOGLETRANSLATE('AYIRA MINI MART FINAL MENU - Pr'!D646, ""ar"", ""en""))"),"Indulge your senses with Kinder, the luxurious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Kinder, the luxurious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6" s="56" t="str">
        <f>IF('AYIRA MINI MART FINAL MENU - Pr'!K646="", "", 'AYIRA MINI MART FINAL MENU - Pr'!K646)</f>
        <v/>
      </c>
      <c r="F646" s="56"/>
      <c r="G646" s="56"/>
      <c r="H646" s="56"/>
      <c r="I646" s="56"/>
      <c r="J646" s="56"/>
      <c r="L646" s="56" t="str">
        <f>IF('AYIRA MINI MART FINAL MENU - Pr'!L646="", "", 'AYIRA MINI MART FINAL MENU - Pr'!L646)</f>
        <v/>
      </c>
      <c r="M646" s="56" t="str">
        <f>IF('AYIRA MINI MART FINAL MENU - Pr'!M646="", "", 'AYIRA MINI MART FINAL MENU - Pr'!M646)</f>
        <v/>
      </c>
      <c r="N646" s="56" t="str">
        <f>IF('AYIRA MINI MART FINAL MENU - Pr'!N646="", "", 'AYIRA MINI MART FINAL MENU - Pr'!N646)</f>
        <v/>
      </c>
      <c r="O646" s="57"/>
      <c r="P646" s="57"/>
      <c r="Q646" s="57"/>
      <c r="R646" s="57"/>
      <c r="S646" s="57"/>
      <c r="T646" s="57"/>
      <c r="U646" s="57"/>
      <c r="V646" s="57"/>
      <c r="W646" s="57"/>
      <c r="X646" s="57"/>
      <c r="Y646" s="57"/>
      <c r="Z646" s="57"/>
    </row>
    <row r="647">
      <c r="A647" s="56" t="str">
        <f>IFERROR(__xludf.DUMMYFUNCTION("IF('AYIRA MINI MART FINAL MENU - Pr'!A647="""", """", IF(LEN(IFERROR(TRIM(REGEXREPLACE(TRIM(REGEXEXTRACT('AYIRA MINI MART FINAL MENU - Pr'!A647, ""^[^\x{0600}-\x{06FF}]+"")), ""[-–]+$"", """")), """"))&gt;0, IFERROR(TRIM(REGEXREPLACE(TRIM(REGEXEXTRACT('AYIRA"&amp;" MINI MART FINAL MENU - Pr'!A647, ""^[^\x{0600}-\x{06FF}]+"")), ""[-–]+$"", """")), """"), GOOGLETRANSLATE('AYIRA MINI MART FINAL MENU - Pr'!A647, ""ar"", ""en"")))"),"Twix Top 21g")</f>
        <v>Twix Top 21g</v>
      </c>
      <c r="B647" s="56" t="str">
        <f>IFERROR(__xludf.DUMMYFUNCTION("IF('AYIRA MINI MART FINAL MENU - Pr'!B647="""", """", IF(LEN(IFERROR(TRIM(REGEXREPLACE(TRIM(REGEXEXTRACT('AYIRA MINI MART FINAL MENU - Pr'!B647, ""^[^\x{0600}-\x{06FF}]+"")), ""[-–]+$"", """")), """"))&gt;0, IFERROR(TRIM(REGEXREPLACE(TRIM(REGEXEXTRACT('AYIRA"&amp;" MINI MART FINAL MENU - Pr'!B647, ""^[^\x{0600}-\x{06FF}]+"")), ""[-–]+$"", """")), """"), GOOGLETRANSLATE('AYIRA MINI MART FINAL MENU - Pr'!B647, ""ar"", ""en"")))"),"Chocolates")</f>
        <v>Chocolates</v>
      </c>
      <c r="C647" s="58">
        <f>IF('AYIRA MINI MART FINAL MENU - Pr'!C647="", "", 'AYIRA MINI MART FINAL MENU - Pr'!C647)</f>
        <v>1.5</v>
      </c>
      <c r="D647" s="56" t="str">
        <f>IFERROR(__xludf.DUMMYFUNCTION("IF('AYIRA MINI MART FINAL MENU - Pr'!D647="""", """", GOOGLETRANSLATE('AYIRA MINI MART FINAL MENU - Pr'!D647, ""ar"", ""en""))"),"Indulge your senses with Twix, the premium chocolate that combines rich flavor with a perfect texture. Made from the finest selected cocoa beans, it delivers an exceptional sweet experience every time. Whether you're looking for a special gift or want to "&amp;"treat yourself, this chocolate is the perfect choice. Savor every piece and immerse yourself in a world of smoothness and sweetness. Get yours from Aira Mini Mart and experience moments of pure delight.")</f>
        <v>Indulge your senses with Twix, the premium chocolate that combines rich flavor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7" s="56" t="str">
        <f>IF('AYIRA MINI MART FINAL MENU - Pr'!K647="", "", 'AYIRA MINI MART FINAL MENU - Pr'!K647)</f>
        <v/>
      </c>
      <c r="F647" s="56"/>
      <c r="G647" s="56"/>
      <c r="H647" s="56"/>
      <c r="I647" s="56"/>
      <c r="J647" s="56"/>
      <c r="L647" s="56" t="str">
        <f>IF('AYIRA MINI MART FINAL MENU - Pr'!L647="", "", 'AYIRA MINI MART FINAL MENU - Pr'!L647)</f>
        <v/>
      </c>
      <c r="M647" s="56" t="str">
        <f>IF('AYIRA MINI MART FINAL MENU - Pr'!M647="", "", 'AYIRA MINI MART FINAL MENU - Pr'!M647)</f>
        <v/>
      </c>
      <c r="N647" s="56" t="str">
        <f>IF('AYIRA MINI MART FINAL MENU - Pr'!N647="", "", 'AYIRA MINI MART FINAL MENU - Pr'!N647)</f>
        <v/>
      </c>
      <c r="O647" s="57"/>
      <c r="P647" s="57"/>
      <c r="Q647" s="57"/>
      <c r="R647" s="57"/>
      <c r="S647" s="57"/>
      <c r="T647" s="57"/>
      <c r="U647" s="57"/>
      <c r="V647" s="57"/>
      <c r="W647" s="57"/>
      <c r="X647" s="57"/>
      <c r="Y647" s="57"/>
      <c r="Z647" s="57"/>
    </row>
    <row r="648">
      <c r="A648" s="56" t="str">
        <f>IFERROR(__xludf.DUMMYFUNCTION("IF('AYIRA MINI MART FINAL MENU - Pr'!A648="""", """", IF(LEN(IFERROR(TRIM(REGEXREPLACE(TRIM(REGEXEXTRACT('AYIRA MINI MART FINAL MENU - Pr'!A648, ""^[^\x{0600}-\x{06FF}]+"")), ""[-–]+$"", """")), """"))&gt;0, IFERROR(TRIM(REGEXREPLACE(TRIM(REGEXEXTRACT('AYIRA"&amp;" MINI MART FINAL MENU - Pr'!A648, ""^[^\x{0600}-\x{06FF}]+"")), ""[-–]+$"", """")), """"), GOOGLETRANSLATE('AYIRA MINI MART FINAL MENU - Pr'!A648, ""ar"", ""en"")))"),"Twix White 23g")</f>
        <v>Twix White 23g</v>
      </c>
      <c r="B648" s="56" t="str">
        <f>IFERROR(__xludf.DUMMYFUNCTION("IF('AYIRA MINI MART FINAL MENU - Pr'!B648="""", """", IF(LEN(IFERROR(TRIM(REGEXREPLACE(TRIM(REGEXEXTRACT('AYIRA MINI MART FINAL MENU - Pr'!B648, ""^[^\x{0600}-\x{06FF}]+"")), ""[-–]+$"", """")), """"))&gt;0, IFERROR(TRIM(REGEXREPLACE(TRIM(REGEXEXTRACT('AYIRA"&amp;" MINI MART FINAL MENU - Pr'!B648, ""^[^\x{0600}-\x{06FF}]+"")), ""[-–]+$"", """")), """"), GOOGLETRANSLATE('AYIRA MINI MART FINAL MENU - Pr'!B648, ""ar"", ""en"")))"),"Chocolates")</f>
        <v>Chocolates</v>
      </c>
      <c r="C648" s="58">
        <f>IF('AYIRA MINI MART FINAL MENU - Pr'!C648="", "", 'AYIRA MINI MART FINAL MENU - Pr'!C648)</f>
        <v>4</v>
      </c>
      <c r="D648" s="56" t="str">
        <f>IFERROR(__xludf.DUMMYFUNCTION("IF('AYIRA MINI MART FINAL MENU - Pr'!D648="""", """", GOOGLETRANSLATE('AYIRA MINI MART FINAL MENU - Pr'!D648, ""ar"", ""en""))"),"Indulge your senses with Twix, the premium chocolate that combines rich flavor with a perfect texture. Made from the finest selected cocoa beans, it delivers an exceptional sweet experience every time. Whether you're looking for a special gift or want to "&amp;"treat yourself, this chocolate is the perfect choice. Savor every piece and immerse yourself in a world of smoothness and sweetness. Get yours from Aira Mini Mart and experience moments of pure delight.")</f>
        <v>Indulge your senses with Twix, the premium chocolate that combines rich flavor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8" s="56" t="str">
        <f>IF('AYIRA MINI MART FINAL MENU - Pr'!K648="", "", 'AYIRA MINI MART FINAL MENU - Pr'!K648)</f>
        <v/>
      </c>
      <c r="F648" s="56"/>
      <c r="G648" s="56"/>
      <c r="H648" s="56"/>
      <c r="I648" s="56"/>
      <c r="J648" s="56"/>
      <c r="L648" s="56" t="str">
        <f>IF('AYIRA MINI MART FINAL MENU - Pr'!L648="", "", 'AYIRA MINI MART FINAL MENU - Pr'!L648)</f>
        <v/>
      </c>
      <c r="M648" s="56" t="str">
        <f>IF('AYIRA MINI MART FINAL MENU - Pr'!M648="", "", 'AYIRA MINI MART FINAL MENU - Pr'!M648)</f>
        <v/>
      </c>
      <c r="N648" s="56" t="str">
        <f>IF('AYIRA MINI MART FINAL MENU - Pr'!N648="", "", 'AYIRA MINI MART FINAL MENU - Pr'!N648)</f>
        <v/>
      </c>
      <c r="O648" s="57"/>
      <c r="P648" s="57"/>
      <c r="Q648" s="57"/>
      <c r="R648" s="57"/>
      <c r="S648" s="57"/>
      <c r="T648" s="57"/>
      <c r="U648" s="57"/>
      <c r="V648" s="57"/>
      <c r="W648" s="57"/>
      <c r="X648" s="57"/>
      <c r="Y648" s="57"/>
      <c r="Z648" s="57"/>
    </row>
    <row r="649">
      <c r="A649" s="56" t="str">
        <f>IFERROR(__xludf.DUMMYFUNCTION("IF('AYIRA MINI MART FINAL MENU - Pr'!A649="""", """", IF(LEN(IFERROR(TRIM(REGEXREPLACE(TRIM(REGEXEXTRACT('AYIRA MINI MART FINAL MENU - Pr'!A649, ""^[^\x{0600}-\x{06FF}]+"")), ""[-–]+$"", """")), """"))&gt;0, IFERROR(TRIM(REGEXREPLACE(TRIM(REGEXEXTRACT('AYIRA"&amp;" MINI MART FINAL MENU - Pr'!A649, ""^[^\x{0600}-\x{06FF}]+"")), ""[-–]+$"", """")), """"), GOOGLETRANSLATE('AYIRA MINI MART FINAL MENU - Pr'!A649, ""ar"", ""en"")))"),"Dubai Chocolate Pistachio with Kunafa 27g")</f>
        <v>Dubai Chocolate Pistachio with Kunafa 27g</v>
      </c>
      <c r="B649" s="56" t="str">
        <f>IFERROR(__xludf.DUMMYFUNCTION("IF('AYIRA MINI MART FINAL MENU - Pr'!B649="""", """", IF(LEN(IFERROR(TRIM(REGEXREPLACE(TRIM(REGEXEXTRACT('AYIRA MINI MART FINAL MENU - Pr'!B649, ""^[^\x{0600}-\x{06FF}]+"")), ""[-–]+$"", """")), """"))&gt;0, IFERROR(TRIM(REGEXREPLACE(TRIM(REGEXEXTRACT('AYIRA"&amp;" MINI MART FINAL MENU - Pr'!B649, ""^[^\x{0600}-\x{06FF}]+"")), ""[-–]+$"", """")), """"), GOOGLETRANSLATE('AYIRA MINI MART FINAL MENU - Pr'!B649, ""ar"", ""en"")))"),"Chocolates")</f>
        <v>Chocolates</v>
      </c>
      <c r="C649" s="58">
        <f>IF('AYIRA MINI MART FINAL MENU - Pr'!C649="", "", 'AYIRA MINI MART FINAL MENU - Pr'!C649)</f>
        <v>4.5</v>
      </c>
      <c r="D649" s="56" t="str">
        <f>IFERROR(__xludf.DUMMYFUNCTION("IF('AYIRA MINI MART FINAL MENU - Pr'!D649="""", """", GOOGLETRANSLATE('AYIRA MINI MART FINAL MENU - Pr'!D649, ""ar"", ""en""))"),"Indulge your senses with Dubai Chocolate Pistachio with Kunafa 27g
This luxurious chocolate combines rich flavor with a perfect texture. Made from the finest selected cocoa beans, it delivers an exceptional dessert experience every time. Whether you're l"&amp;"ooking for a special gift or want to treat yourself, this chocolate is the perfect choice. Savor every piece and immerse yourself in a world of smoothness and sweetness. Get yours from Aira Mini Mart and experience moments of pure delight.")</f>
        <v>Indulge your senses with Dubai Chocolate Pistachio with Kunafa 27g
This luxurious chocolate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49" s="56" t="str">
        <f>IF('AYIRA MINI MART FINAL MENU - Pr'!K649="", "", 'AYIRA MINI MART FINAL MENU - Pr'!K649)</f>
        <v/>
      </c>
      <c r="F649" s="56"/>
      <c r="G649" s="56"/>
      <c r="H649" s="56"/>
      <c r="I649" s="56"/>
      <c r="J649" s="56"/>
      <c r="L649" s="56" t="str">
        <f>IF('AYIRA MINI MART FINAL MENU - Pr'!L649="", "", 'AYIRA MINI MART FINAL MENU - Pr'!L649)</f>
        <v/>
      </c>
      <c r="M649" s="56" t="str">
        <f>IF('AYIRA MINI MART FINAL MENU - Pr'!M649="", "", 'AYIRA MINI MART FINAL MENU - Pr'!M649)</f>
        <v/>
      </c>
      <c r="N649" s="56" t="str">
        <f>IF('AYIRA MINI MART FINAL MENU - Pr'!N649="", "", 'AYIRA MINI MART FINAL MENU - Pr'!N649)</f>
        <v/>
      </c>
      <c r="O649" s="57"/>
      <c r="P649" s="57"/>
      <c r="Q649" s="57"/>
      <c r="R649" s="57"/>
      <c r="S649" s="57"/>
      <c r="T649" s="57"/>
      <c r="U649" s="57"/>
      <c r="V649" s="57"/>
      <c r="W649" s="57"/>
      <c r="X649" s="57"/>
      <c r="Y649" s="57"/>
      <c r="Z649" s="57"/>
    </row>
    <row r="650">
      <c r="A650" s="56" t="str">
        <f>IFERROR(__xludf.DUMMYFUNCTION("IF('AYIRA MINI MART FINAL MENU - Pr'!A650="""", """", IF(LEN(IFERROR(TRIM(REGEXREPLACE(TRIM(REGEXEXTRACT('AYIRA MINI MART FINAL MENU - Pr'!A650, ""^[^\x{0600}-\x{06FF}]+"")), ""[-–]+$"", """")), """"))&gt;0, IFERROR(TRIM(REGEXREPLACE(TRIM(REGEXEXTRACT('AYIRA"&amp;" MINI MART FINAL MENU - Pr'!A650, ""^[^\x{0600}-\x{06FF}]+"")), ""[-–]+$"", """")), """"), GOOGLETRANSLATE('AYIRA MINI MART FINAL MENU - Pr'!A650, ""ar"", ""en"")))"),"Milky Bar 12g")</f>
        <v>Milky Bar 12g</v>
      </c>
      <c r="B650" s="56" t="str">
        <f>IFERROR(__xludf.DUMMYFUNCTION("IF('AYIRA MINI MART FINAL MENU - Pr'!B650="""", """", IF(LEN(IFERROR(TRIM(REGEXREPLACE(TRIM(REGEXEXTRACT('AYIRA MINI MART FINAL MENU - Pr'!B650, ""^[^\x{0600}-\x{06FF}]+"")), ""[-–]+$"", """")), """"))&gt;0, IFERROR(TRIM(REGEXREPLACE(TRIM(REGEXEXTRACT('AYIRA"&amp;" MINI MART FINAL MENU - Pr'!B650, ""^[^\x{0600}-\x{06FF}]+"")), ""[-–]+$"", """")), """"), GOOGLETRANSLATE('AYIRA MINI MART FINAL MENU - Pr'!B650, ""ar"", ""en"")))"),"Chocolates")</f>
        <v>Chocolates</v>
      </c>
      <c r="C650" s="58">
        <f>IF('AYIRA MINI MART FINAL MENU - Pr'!C650="", "", 'AYIRA MINI MART FINAL MENU - Pr'!C650)</f>
        <v>1.5</v>
      </c>
      <c r="D650" s="56" t="str">
        <f>IFERROR(__xludf.DUMMYFUNCTION("IF('AYIRA MINI MART FINAL MENU - Pr'!D650="""", """", GOOGLETRANSLATE('AYIRA MINI MART FINAL MENU - Pr'!D650, ""ar"", ""en""))"),"Don't be able to resist the taste of Milky Bar 12g, your perfect companion for relaxing and watching the game. Its unique crunch and variety of flavors make every handful a delightful experience. Made with the finest ingredients using the latest manufactu"&amp;"ring techniques to ensure an unparalleled taste. Ideal as a snack for adults and children alike between meals. Aira Mini Mart offers it in the perfect size and flavor for you.")</f>
        <v>Don't be able to resist the taste of Milky Bar 12g, your perfect companion for relaxing and watching the game. Its unique crunch and variety of flavors make every handful a delightful experience. Made with the finest ingredients using the latest manufacturing techniques to ensure an unparalleled taste. Ideal as a snack for adults and children alike between meals. Aira Mini Mart offers it in the perfect size and flavor for you.</v>
      </c>
      <c r="E650" s="56" t="str">
        <f>IF('AYIRA MINI MART FINAL MENU - Pr'!K650="", "", 'AYIRA MINI MART FINAL MENU - Pr'!K650)</f>
        <v/>
      </c>
      <c r="F650" s="56"/>
      <c r="G650" s="56"/>
      <c r="H650" s="56"/>
      <c r="I650" s="56"/>
      <c r="J650" s="56"/>
      <c r="L650" s="56" t="str">
        <f>IF('AYIRA MINI MART FINAL MENU - Pr'!L650="", "", 'AYIRA MINI MART FINAL MENU - Pr'!L650)</f>
        <v/>
      </c>
      <c r="M650" s="56" t="str">
        <f>IF('AYIRA MINI MART FINAL MENU - Pr'!M650="", "", 'AYIRA MINI MART FINAL MENU - Pr'!M650)</f>
        <v/>
      </c>
      <c r="N650" s="56" t="str">
        <f>IF('AYIRA MINI MART FINAL MENU - Pr'!N650="", "", 'AYIRA MINI MART FINAL MENU - Pr'!N650)</f>
        <v/>
      </c>
      <c r="O650" s="57"/>
      <c r="P650" s="57"/>
      <c r="Q650" s="57"/>
      <c r="R650" s="57"/>
      <c r="S650" s="57"/>
      <c r="T650" s="57"/>
      <c r="U650" s="57"/>
      <c r="V650" s="57"/>
      <c r="W650" s="57"/>
      <c r="X650" s="57"/>
      <c r="Y650" s="57"/>
      <c r="Z650" s="57"/>
    </row>
    <row r="651">
      <c r="A651" s="56" t="str">
        <f>IFERROR(__xludf.DUMMYFUNCTION("IF('AYIRA MINI MART FINAL MENU - Pr'!A651="""", """", IF(LEN(IFERROR(TRIM(REGEXREPLACE(TRIM(REGEXEXTRACT('AYIRA MINI MART FINAL MENU - Pr'!A651, ""^[^\x{0600}-\x{06FF}]+"")), ""[-–]+$"", """")), """"))&gt;0, IFERROR(TRIM(REGEXREPLACE(TRIM(REGEXEXTRACT('AYIRA"&amp;" MINI MART FINAL MENU - Pr'!A651, ""^[^\x{0600}-\x{06FF}]+"")), ""[-–]+$"", """")), """"), GOOGLETRANSLATE('AYIRA MINI MART FINAL MENU - Pr'!A651, ""ar"", ""en"")))"),"Frit-C Belts Strawberry 20g")</f>
        <v>Frit-C Belts Strawberry 20g</v>
      </c>
      <c r="B651" s="56" t="str">
        <f>IFERROR(__xludf.DUMMYFUNCTION("IF('AYIRA MINI MART FINAL MENU - Pr'!B651="""", """", IF(LEN(IFERROR(TRIM(REGEXREPLACE(TRIM(REGEXEXTRACT('AYIRA MINI MART FINAL MENU - Pr'!B651, ""^[^\x{0600}-\x{06FF}]+"")), ""[-–]+$"", """")), """"))&gt;0, IFERROR(TRIM(REGEXREPLACE(TRIM(REGEXEXTRACT('AYIRA"&amp;" MINI MART FINAL MENU - Pr'!B651, ""^[^\x{0600}-\x{06FF}]+"")), ""[-–]+$"", """")), """"), GOOGLETRANSLATE('AYIRA MINI MART FINAL MENU - Pr'!B651, ""ar"", ""en"")))"),"Candy |")</f>
        <v>Candy |</v>
      </c>
      <c r="C651" s="58">
        <f>IF('AYIRA MINI MART FINAL MENU - Pr'!C651="", "", 'AYIRA MINI MART FINAL MENU - Pr'!C651)</f>
        <v>1</v>
      </c>
      <c r="D651" s="56" t="str">
        <f>IFERROR(__xludf.DUMMYFUNCTION("IF('AYIRA MINI MART FINAL MENU - Pr'!D651="""", """", GOOGLETRANSLATE('AYIRA MINI MART FINAL MENU - Pr'!D651, ""ar"", ""en""))"),"Don't be able to resist the taste of Frit-C Belts Licorice Belts Strawberry Flavor 20g, your perfect companion for relaxing and watching the game. Its unique crunch and varied flavors make every handful a delightful experience. Prepared with the finest in"&amp;"gredients using the latest manufacturing techniques to ensure an unparalleled taste. Ideal as a snack for adults and children alike between meals. Aira Mini Mart offers it in the perfect size and flavor for you.")</f>
        <v>Don't be able to resist the taste of Frit-C Belts Licorice Belts Strawberry Flavor 20g,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51" s="56" t="str">
        <f>IF('AYIRA MINI MART FINAL MENU - Pr'!K651="", "", 'AYIRA MINI MART FINAL MENU - Pr'!K651)</f>
        <v/>
      </c>
      <c r="F651" s="56"/>
      <c r="G651" s="56"/>
      <c r="H651" s="56"/>
      <c r="I651" s="56"/>
      <c r="J651" s="56"/>
      <c r="L651" s="56" t="str">
        <f>IF('AYIRA MINI MART FINAL MENU - Pr'!L651="", "", 'AYIRA MINI MART FINAL MENU - Pr'!L651)</f>
        <v/>
      </c>
      <c r="M651" s="56" t="str">
        <f>IF('AYIRA MINI MART FINAL MENU - Pr'!M651="", "", 'AYIRA MINI MART FINAL MENU - Pr'!M651)</f>
        <v/>
      </c>
      <c r="N651" s="56" t="str">
        <f>IF('AYIRA MINI MART FINAL MENU - Pr'!N651="", "", 'AYIRA MINI MART FINAL MENU - Pr'!N651)</f>
        <v/>
      </c>
      <c r="O651" s="57"/>
      <c r="P651" s="57"/>
      <c r="Q651" s="57"/>
      <c r="R651" s="57"/>
      <c r="S651" s="57"/>
      <c r="T651" s="57"/>
      <c r="U651" s="57"/>
      <c r="V651" s="57"/>
      <c r="W651" s="57"/>
      <c r="X651" s="57"/>
      <c r="Y651" s="57"/>
      <c r="Z651" s="57"/>
    </row>
    <row r="652">
      <c r="A652" s="56" t="str">
        <f>IFERROR(__xludf.DUMMYFUNCTION("IF('AYIRA MINI MART FINAL MENU - Pr'!A652="""", """", IF(LEN(IFERROR(TRIM(REGEXREPLACE(TRIM(REGEXEXTRACT('AYIRA MINI MART FINAL MENU - Pr'!A652, ""^[^\x{0600}-\x{06FF}]+"")), ""[-–]+$"", """")), """"))&gt;0, IFERROR(TRIM(REGEXREPLACE(TRIM(REGEXEXTRACT('AYIRA"&amp;" MINI MART FINAL MENU - Pr'!A652, ""^[^\x{0600}-\x{06FF}]+"")), ""[-–]+$"", """")), """"), GOOGLETRANSLATE('AYIRA MINI MART FINAL MENU - Pr'!A652, ""ar"", ""en"")))"),"Batatos Smokey BBQ 15g")</f>
        <v>Batatos Smokey BBQ 15g</v>
      </c>
      <c r="B652" s="56" t="str">
        <f>IFERROR(__xludf.DUMMYFUNCTION("IF('AYIRA MINI MART FINAL MENU - Pr'!B652="""", """", IF(LEN(IFERROR(TRIM(REGEXREPLACE(TRIM(REGEXEXTRACT('AYIRA MINI MART FINAL MENU - Pr'!B652, ""^[^\x{0600}-\x{06FF}]+"")), ""[-–]+$"", """")), """"))&gt;0, IFERROR(TRIM(REGEXREPLACE(TRIM(REGEXEXTRACT('AYIRA"&amp;" MINI MART FINAL MENU - Pr'!B652, ""^[^\x{0600}-\x{06FF}]+"")), ""[-–]+$"", """")), """"), GOOGLETRANSLATE('AYIRA MINI MART FINAL MENU - Pr'!B652, ""ar"", ""en"")))"),"Chips &amp; Crisps")</f>
        <v>Chips &amp; Crisps</v>
      </c>
      <c r="C652" s="58">
        <f>IF('AYIRA MINI MART FINAL MENU - Pr'!C652="", "", 'AYIRA MINI MART FINAL MENU - Pr'!C652)</f>
        <v>1</v>
      </c>
      <c r="D652" s="56" t="str">
        <f>IFERROR(__xludf.DUMMYFUNCTION("IF('AYIRA MINI MART FINAL MENU - Pr'!D652="""", """", GOOGLETRANSLATE('AYIRA MINI MART FINAL MENU - Pr'!D652, ""ar"", ""en""))"),"Don't be able to resist the taste of Batatos Smokey BBQ 15g, your perfect companion for relaxing and watching the game. Its unique crunch and varied flavors make every handful a delightful experience. Prepared with the finest ingredients using the latest "&amp;"manufacturing techniques to guarantee an unparalleled taste. Ideal as a snack for adults and children alike between meals. Aira Mini Mart offers it in the perfect size and flavor for you.")</f>
        <v>Don't be able to resist the taste of Batatos Smokey BBQ 15g,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652" s="56" t="str">
        <f>IF('AYIRA MINI MART FINAL MENU - Pr'!K652="", "", 'AYIRA MINI MART FINAL MENU - Pr'!K652)</f>
        <v/>
      </c>
      <c r="F652" s="56"/>
      <c r="G652" s="56"/>
      <c r="H652" s="56"/>
      <c r="I652" s="56"/>
      <c r="J652" s="56"/>
      <c r="L652" s="56" t="str">
        <f>IF('AYIRA MINI MART FINAL MENU - Pr'!L652="", "", 'AYIRA MINI MART FINAL MENU - Pr'!L652)</f>
        <v/>
      </c>
      <c r="M652" s="56" t="str">
        <f>IF('AYIRA MINI MART FINAL MENU - Pr'!M652="", "", 'AYIRA MINI MART FINAL MENU - Pr'!M652)</f>
        <v/>
      </c>
      <c r="N652" s="56" t="str">
        <f>IF('AYIRA MINI MART FINAL MENU - Pr'!N652="", "", 'AYIRA MINI MART FINAL MENU - Pr'!N652)</f>
        <v/>
      </c>
      <c r="O652" s="57"/>
      <c r="P652" s="57"/>
      <c r="Q652" s="57"/>
      <c r="R652" s="57"/>
      <c r="S652" s="57"/>
      <c r="T652" s="57"/>
      <c r="U652" s="57"/>
      <c r="V652" s="57"/>
      <c r="W652" s="57"/>
      <c r="X652" s="57"/>
      <c r="Y652" s="57"/>
      <c r="Z652" s="57"/>
    </row>
    <row r="653">
      <c r="A653" s="56" t="str">
        <f>IFERROR(__xludf.DUMMYFUNCTION("IF('AYIRA MINI MART FINAL MENU - Pr'!A653="""", """", IF(LEN(IFERROR(TRIM(REGEXREPLACE(TRIM(REGEXEXTRACT('AYIRA MINI MART FINAL MENU - Pr'!A653, ""^[^\x{0600}-\x{06FF}]+"")), ""[-–]+$"", """")), """"))&gt;0, IFERROR(TRIM(REGEXREPLACE(TRIM(REGEXEXTRACT('AYIRA"&amp;" MINI MART FINAL MENU - Pr'!A653, ""^[^\x{0600}-\x{06FF}]+"")), ""[-–]+$"", """")), """"), GOOGLETRANSLATE('AYIRA MINI MART FINAL MENU - Pr'!A653, ""ar"", ""en"")))"),"Batatos Classic 15g")</f>
        <v>Batatos Classic 15g</v>
      </c>
      <c r="B653" s="56" t="str">
        <f>IFERROR(__xludf.DUMMYFUNCTION("IF('AYIRA MINI MART FINAL MENU - Pr'!B653="""", """", IF(LEN(IFERROR(TRIM(REGEXREPLACE(TRIM(REGEXEXTRACT('AYIRA MINI MART FINAL MENU - Pr'!B653, ""^[^\x{0600}-\x{06FF}]+"")), ""[-–]+$"", """")), """"))&gt;0, IFERROR(TRIM(REGEXREPLACE(TRIM(REGEXEXTRACT('AYIRA"&amp;" MINI MART FINAL MENU - Pr'!B653, ""^[^\x{0600}-\x{06FF}]+"")), ""[-–]+$"", """")), """"), GOOGLETRANSLATE('AYIRA MINI MART FINAL MENU - Pr'!B653, ""ar"", ""en"")))"),"Chips &amp; Crisps")</f>
        <v>Chips &amp; Crisps</v>
      </c>
      <c r="C653" s="58">
        <f>IF('AYIRA MINI MART FINAL MENU - Pr'!C653="", "", 'AYIRA MINI MART FINAL MENU - Pr'!C653)</f>
        <v>1</v>
      </c>
      <c r="D653" s="56" t="str">
        <f>IFERROR(__xludf.DUMMYFUNCTION("IF('AYIRA MINI MART FINAL MENU - Pr'!D653="""", """", GOOGLETRANSLATE('AYIRA MINI MART FINAL MENU - Pr'!D653, ""ar"", ""en""))"),"Don't be able to resist the taste of Batatos Classic 15g, your perfect companion for relaxing and watching matches. Its unique crunch and diverse flavors make every handful a delightful experience. Prepared with the finest ingredients using the latest man"&amp;"ufacturing techniques to guarantee an unparalleled taste. Ideal as a snack for adults and children between meals. Aira Mini Mart offers it in the perfect size and flavor for you.")</f>
        <v>Don't be able to resist the taste of Batatos Classic 15g,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653" s="56" t="str">
        <f>IF('AYIRA MINI MART FINAL MENU - Pr'!K653="", "", 'AYIRA MINI MART FINAL MENU - Pr'!K653)</f>
        <v/>
      </c>
      <c r="F653" s="56"/>
      <c r="G653" s="56"/>
      <c r="H653" s="56"/>
      <c r="I653" s="56"/>
      <c r="J653" s="56"/>
      <c r="L653" s="56" t="str">
        <f>IF('AYIRA MINI MART FINAL MENU - Pr'!L653="", "", 'AYIRA MINI MART FINAL MENU - Pr'!L653)</f>
        <v/>
      </c>
      <c r="M653" s="56" t="str">
        <f>IF('AYIRA MINI MART FINAL MENU - Pr'!M653="", "", 'AYIRA MINI MART FINAL MENU - Pr'!M653)</f>
        <v/>
      </c>
      <c r="N653" s="56" t="str">
        <f>IF('AYIRA MINI MART FINAL MENU - Pr'!N653="", "", 'AYIRA MINI MART FINAL MENU - Pr'!N653)</f>
        <v/>
      </c>
      <c r="O653" s="57"/>
      <c r="P653" s="57"/>
      <c r="Q653" s="57"/>
      <c r="R653" s="57"/>
      <c r="S653" s="57"/>
      <c r="T653" s="57"/>
      <c r="U653" s="57"/>
      <c r="V653" s="57"/>
      <c r="W653" s="57"/>
      <c r="X653" s="57"/>
      <c r="Y653" s="57"/>
      <c r="Z653" s="57"/>
    </row>
    <row r="654">
      <c r="A654" s="56" t="str">
        <f>IFERROR(__xludf.DUMMYFUNCTION("IF('AYIRA MINI MART FINAL MENU - Pr'!A654="""", """", IF(LEN(IFERROR(TRIM(REGEXREPLACE(TRIM(REGEXEXTRACT('AYIRA MINI MART FINAL MENU - Pr'!A654, ""^[^\x{0600}-\x{06FF}]+"")), ""[-–]+$"", """")), """"))&gt;0, IFERROR(TRIM(REGEXREPLACE(TRIM(REGEXEXTRACT('AYIRA"&amp;" MINI MART FINAL MENU - Pr'!A654, ""^[^\x{0600}-\x{06FF}]+"")), ""[-–]+$"", """")), """"), GOOGLETRANSLATE('AYIRA MINI MART FINAL MENU - Pr'!A654, ""ar"", ""en"")))"),"Batatos Tangy Ketchup 15g")</f>
        <v>Batatos Tangy Ketchup 15g</v>
      </c>
      <c r="B654" s="56" t="str">
        <f>IFERROR(__xludf.DUMMYFUNCTION("IF('AYIRA MINI MART FINAL MENU - Pr'!B654="""", """", IF(LEN(IFERROR(TRIM(REGEXREPLACE(TRIM(REGEXEXTRACT('AYIRA MINI MART FINAL MENU - Pr'!B654, ""^[^\x{0600}-\x{06FF}]+"")), ""[-–]+$"", """")), """"))&gt;0, IFERROR(TRIM(REGEXREPLACE(TRIM(REGEXEXTRACT('AYIRA"&amp;" MINI MART FINAL MENU - Pr'!B654, ""^[^\x{0600}-\x{06FF}]+"")), ""[-–]+$"", """")), """"), GOOGLETRANSLATE('AYIRA MINI MART FINAL MENU - Pr'!B654, ""ar"", ""en"")))"),"Chips &amp; Crisps")</f>
        <v>Chips &amp; Crisps</v>
      </c>
      <c r="C654" s="58">
        <f>IF('AYIRA MINI MART FINAL MENU - Pr'!C654="", "", 'AYIRA MINI MART FINAL MENU - Pr'!C654)</f>
        <v>1</v>
      </c>
      <c r="D654" s="56" t="str">
        <f>IFERROR(__xludf.DUMMYFUNCTION("IF('AYIRA MINI MART FINAL MENU - Pr'!D654="""", """", GOOGLETRANSLATE('AYIRA MINI MART FINAL MENU - Pr'!D654, ""ar"", ""en""))"),"Don't be able to resist the taste of Batatos Tangy Ketchup 15g, your perfect companion for relaxing and watching the game. Its unique crunch and varied flavors make every handful a delightful experience. Prepared with the finest ingredients using the late"&amp;"st manufacturing techniques to ensure an unparalleled taste. Ideal as a snack for adults and children alike between meals. Aira Mini Mart offers it in the perfect size and flavor for you.")</f>
        <v>Don't be able to resist the taste of Batatos Tangy Ketchup 15g,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54" s="56" t="str">
        <f>IF('AYIRA MINI MART FINAL MENU - Pr'!K654="", "", 'AYIRA MINI MART FINAL MENU - Pr'!K654)</f>
        <v/>
      </c>
      <c r="F654" s="56"/>
      <c r="G654" s="56"/>
      <c r="H654" s="56"/>
      <c r="I654" s="56"/>
      <c r="J654" s="56"/>
      <c r="L654" s="56" t="str">
        <f>IF('AYIRA MINI MART FINAL MENU - Pr'!L654="", "", 'AYIRA MINI MART FINAL MENU - Pr'!L654)</f>
        <v/>
      </c>
      <c r="M654" s="56" t="str">
        <f>IF('AYIRA MINI MART FINAL MENU - Pr'!M654="", "", 'AYIRA MINI MART FINAL MENU - Pr'!M654)</f>
        <v/>
      </c>
      <c r="N654" s="56" t="str">
        <f>IF('AYIRA MINI MART FINAL MENU - Pr'!N654="", "", 'AYIRA MINI MART FINAL MENU - Pr'!N654)</f>
        <v/>
      </c>
      <c r="O654" s="57"/>
      <c r="P654" s="57"/>
      <c r="Q654" s="57"/>
      <c r="R654" s="57"/>
      <c r="S654" s="57"/>
      <c r="T654" s="57"/>
      <c r="U654" s="57"/>
      <c r="V654" s="57"/>
      <c r="W654" s="57"/>
      <c r="X654" s="57"/>
      <c r="Y654" s="57"/>
      <c r="Z654" s="57"/>
    </row>
    <row r="655">
      <c r="A655" s="56" t="str">
        <f>IFERROR(__xludf.DUMMYFUNCTION("IF('AYIRA MINI MART FINAL MENU - Pr'!A655="""", """", IF(LEN(IFERROR(TRIM(REGEXREPLACE(TRIM(REGEXEXTRACT('AYIRA MINI MART FINAL MENU - Pr'!A655, ""^[^\x{0600}-\x{06FF}]+"")), ""[-–]+$"", """")), """"))&gt;0, IFERROR(TRIM(REGEXREPLACE(TRIM(REGEXEXTRACT('AYIRA"&amp;" MINI MART FINAL MENU - Pr'!A655, ""^[^\x{0600}-\x{06FF}]+"")), ""[-–]+$"", """")), """"), GOOGLETRANSLATE('AYIRA MINI MART FINAL MENU - Pr'!A655, ""ar"", ""en"")))"),"Batatos Spicy 15g")</f>
        <v>Batatos Spicy 15g</v>
      </c>
      <c r="B655" s="56" t="str">
        <f>IFERROR(__xludf.DUMMYFUNCTION("IF('AYIRA MINI MART FINAL MENU - Pr'!B655="""", """", IF(LEN(IFERROR(TRIM(REGEXREPLACE(TRIM(REGEXEXTRACT('AYIRA MINI MART FINAL MENU - Pr'!B655, ""^[^\x{0600}-\x{06FF}]+"")), ""[-–]+$"", """")), """"))&gt;0, IFERROR(TRIM(REGEXREPLACE(TRIM(REGEXEXTRACT('AYIRA"&amp;" MINI MART FINAL MENU - Pr'!B655, ""^[^\x{0600}-\x{06FF}]+"")), ""[-–]+$"", """")), """"), GOOGLETRANSLATE('AYIRA MINI MART FINAL MENU - Pr'!B655, ""ar"", ""en"")))"),"Chips &amp; Crisps")</f>
        <v>Chips &amp; Crisps</v>
      </c>
      <c r="C655" s="58">
        <f>IF('AYIRA MINI MART FINAL MENU - Pr'!C655="", "", 'AYIRA MINI MART FINAL MENU - Pr'!C655)</f>
        <v>1</v>
      </c>
      <c r="D655" s="56" t="str">
        <f>IFERROR(__xludf.DUMMYFUNCTION("IF('AYIRA MINI MART FINAL MENU - Pr'!D655="""", """", GOOGLETRANSLATE('AYIRA MINI MART FINAL MENU - Pr'!D655, ""ar"", ""en""))"),"Don't be able to resist the taste of Batatos Spicy 15g, your perfect companion for relaxing and watching matches. Its unique crunch and varied flavors make every handful a delightful experience. Prepared with the finest ingredients using the latest manufa"&amp;"cturing techniques to guarantee an unparalleled taste. Ideal as a snack for adults and children alike between meals. Aira Mini Mart offers it in the perfect size and flavor for you.")</f>
        <v>Don't be able to resist the taste of Batatos Spicy 15g, your perfect companion for relaxing and watching matches.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655" s="56" t="str">
        <f>IF('AYIRA MINI MART FINAL MENU - Pr'!K655="", "", 'AYIRA MINI MART FINAL MENU - Pr'!K655)</f>
        <v/>
      </c>
      <c r="F655" s="56"/>
      <c r="G655" s="56"/>
      <c r="H655" s="56"/>
      <c r="I655" s="56"/>
      <c r="J655" s="56"/>
      <c r="L655" s="56" t="str">
        <f>IF('AYIRA MINI MART FINAL MENU - Pr'!L655="", "", 'AYIRA MINI MART FINAL MENU - Pr'!L655)</f>
        <v/>
      </c>
      <c r="M655" s="56" t="str">
        <f>IF('AYIRA MINI MART FINAL MENU - Pr'!M655="", "", 'AYIRA MINI MART FINAL MENU - Pr'!M655)</f>
        <v/>
      </c>
      <c r="N655" s="56" t="str">
        <f>IF('AYIRA MINI MART FINAL MENU - Pr'!N655="", "", 'AYIRA MINI MART FINAL MENU - Pr'!N655)</f>
        <v/>
      </c>
      <c r="O655" s="57"/>
      <c r="P655" s="57"/>
      <c r="Q655" s="57"/>
      <c r="R655" s="57"/>
      <c r="S655" s="57"/>
      <c r="T655" s="57"/>
      <c r="U655" s="57"/>
      <c r="V655" s="57"/>
      <c r="W655" s="57"/>
      <c r="X655" s="57"/>
      <c r="Y655" s="57"/>
      <c r="Z655" s="57"/>
    </row>
    <row r="656">
      <c r="A656" s="56" t="str">
        <f>IFERROR(__xludf.DUMMYFUNCTION("IF('AYIRA MINI MART FINAL MENU - Pr'!A656="""", """", IF(LEN(IFERROR(TRIM(REGEXREPLACE(TRIM(REGEXEXTRACT('AYIRA MINI MART FINAL MENU - Pr'!A656, ""^[^\x{0600}-\x{06FF}]+"")), ""[-–]+$"", """")), """"))&gt;0, IFERROR(TRIM(REGEXREPLACE(TRIM(REGEXEXTRACT('AYIRA"&amp;" MINI MART FINAL MENU - Pr'!A656, ""^[^\x{0600}-\x{06FF}]+"")), ""[-–]+$"", """")), """"), GOOGLETRANSLATE('AYIRA MINI MART FINAL MENU - Pr'!A656, ""ar"", ""en"")))"),"Batatos Wisconsin Cheddar 15g")</f>
        <v>Batatos Wisconsin Cheddar 15g</v>
      </c>
      <c r="B656" s="56" t="str">
        <f>IFERROR(__xludf.DUMMYFUNCTION("IF('AYIRA MINI MART FINAL MENU - Pr'!B656="""", """", IF(LEN(IFERROR(TRIM(REGEXREPLACE(TRIM(REGEXEXTRACT('AYIRA MINI MART FINAL MENU - Pr'!B656, ""^[^\x{0600}-\x{06FF}]+"")), ""[-–]+$"", """")), """"))&gt;0, IFERROR(TRIM(REGEXREPLACE(TRIM(REGEXEXTRACT('AYIRA"&amp;" MINI MART FINAL MENU - Pr'!B656, ""^[^\x{0600}-\x{06FF}]+"")), ""[-–]+$"", """")), """"), GOOGLETRANSLATE('AYIRA MINI MART FINAL MENU - Pr'!B656, ""ar"", ""en"")))"),"Chips &amp; Crisps")</f>
        <v>Chips &amp; Crisps</v>
      </c>
      <c r="C656" s="58">
        <f>IF('AYIRA MINI MART FINAL MENU - Pr'!C656="", "", 'AYIRA MINI MART FINAL MENU - Pr'!C656)</f>
        <v>1</v>
      </c>
      <c r="D656" s="56" t="str">
        <f>IFERROR(__xludf.DUMMYFUNCTION("IF('AYIRA MINI MART FINAL MENU - Pr'!D656="""", """", GOOGLETRANSLATE('AYIRA MINI MART FINAL MENU - Pr'!D656, ""ar"", ""en""))"),"Don't be able to resist the taste of Batatos Wisconsin Cheddar 15g, your perfect companion for relaxing and watching the game. Its unique crunch and varied flavors make every handful a delightful experience. Prepared with the finest ingredients using the "&amp;"latest manufacturing techniques to ensure an unparalleled taste. Ideal as a snack for adults and children alike between meals. Aira Mini Mart offers it in the perfect size and flavor for you.")</f>
        <v>Don't be able to resist the taste of Batatos Wisconsin Cheddar 15g,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56" s="56" t="str">
        <f>IF('AYIRA MINI MART FINAL MENU - Pr'!K656="", "", 'AYIRA MINI MART FINAL MENU - Pr'!K656)</f>
        <v/>
      </c>
      <c r="F656" s="56"/>
      <c r="G656" s="56"/>
      <c r="H656" s="56"/>
      <c r="I656" s="56"/>
      <c r="J656" s="56"/>
      <c r="L656" s="56" t="str">
        <f>IF('AYIRA MINI MART FINAL MENU - Pr'!L656="", "", 'AYIRA MINI MART FINAL MENU - Pr'!L656)</f>
        <v/>
      </c>
      <c r="M656" s="56" t="str">
        <f>IF('AYIRA MINI MART FINAL MENU - Pr'!M656="", "", 'AYIRA MINI MART FINAL MENU - Pr'!M656)</f>
        <v/>
      </c>
      <c r="N656" s="56" t="str">
        <f>IF('AYIRA MINI MART FINAL MENU - Pr'!N656="", "", 'AYIRA MINI MART FINAL MENU - Pr'!N656)</f>
        <v/>
      </c>
      <c r="O656" s="57"/>
      <c r="P656" s="57"/>
      <c r="Q656" s="57"/>
      <c r="R656" s="57"/>
      <c r="S656" s="57"/>
      <c r="T656" s="57"/>
      <c r="U656" s="57"/>
      <c r="V656" s="57"/>
      <c r="W656" s="57"/>
      <c r="X656" s="57"/>
      <c r="Y656" s="57"/>
      <c r="Z656" s="57"/>
    </row>
    <row r="657">
      <c r="A657" s="56" t="str">
        <f>IFERROR(__xludf.DUMMYFUNCTION("IF('AYIRA MINI MART FINAL MENU - Pr'!A657="""", """", IF(LEN(IFERROR(TRIM(REGEXREPLACE(TRIM(REGEXEXTRACT('AYIRA MINI MART FINAL MENU - Pr'!A657, ""^[^\x{0600}-\x{06FF}]+"")), ""[-–]+$"", """")), """"))&gt;0, IFERROR(TRIM(REGEXREPLACE(TRIM(REGEXEXTRACT('AYIRA"&amp;" MINI MART FINAL MENU - Pr'!A657, ""^[^\x{0600}-\x{06FF}]+"")), ""[-–]+$"", """")), """"), GOOGLETRANSLATE('AYIRA MINI MART FINAL MENU - Pr'!A657, ""ar"", ""en"")))"),"Albadia Potato Chips 16g")</f>
        <v>Albadia Potato Chips 16g</v>
      </c>
      <c r="B657" s="56" t="str">
        <f>IFERROR(__xludf.DUMMYFUNCTION("IF('AYIRA MINI MART FINAL MENU - Pr'!B657="""", """", IF(LEN(IFERROR(TRIM(REGEXREPLACE(TRIM(REGEXEXTRACT('AYIRA MINI MART FINAL MENU - Pr'!B657, ""^[^\x{0600}-\x{06FF}]+"")), ""[-–]+$"", """")), """"))&gt;0, IFERROR(TRIM(REGEXREPLACE(TRIM(REGEXEXTRACT('AYIRA"&amp;" MINI MART FINAL MENU - Pr'!B657, ""^[^\x{0600}-\x{06FF}]+"")), ""[-–]+$"", """")), """"), GOOGLETRANSLATE('AYIRA MINI MART FINAL MENU - Pr'!B657, ""ar"", ""en"")))"),"Chips &amp; Crisps")</f>
        <v>Chips &amp; Crisps</v>
      </c>
      <c r="C657" s="58">
        <f>IF('AYIRA MINI MART FINAL MENU - Pr'!C657="", "", 'AYIRA MINI MART FINAL MENU - Pr'!C657)</f>
        <v>1</v>
      </c>
      <c r="D657" s="56" t="str">
        <f>IFERROR(__xludf.DUMMYFUNCTION("IF('AYIRA MINI MART FINAL MENU - Pr'!D657="""", """", GOOGLETRANSLATE('AYIRA MINI MART FINAL MENU - Pr'!D657, ""ar"", ""en""))"),"Don't be able to resist the taste of Albadia Potato Chips 16g
Your perfect companion for relaxing and watching the game. Their unique crunch and varied flavors make every handful a delightful experience. Prepared with the finest ingredients using the lat"&amp;"est manufacturing techniques to ensure an unparalleled taste. Ideal as a snack for adults and children between meals. Aira Mini Mart offers them in the size and flavor that suits you best.")</f>
        <v>Don't be able to resist the taste of Albadia Potato Chips 16g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size and flavor that suits you best.</v>
      </c>
      <c r="E657" s="56" t="str">
        <f>IF('AYIRA MINI MART FINAL MENU - Pr'!K657="", "", 'AYIRA MINI MART FINAL MENU - Pr'!K657)</f>
        <v/>
      </c>
      <c r="F657" s="56"/>
      <c r="G657" s="56"/>
      <c r="H657" s="56"/>
      <c r="I657" s="56"/>
      <c r="J657" s="56"/>
      <c r="L657" s="56" t="str">
        <f>IF('AYIRA MINI MART FINAL MENU - Pr'!L657="", "", 'AYIRA MINI MART FINAL MENU - Pr'!L657)</f>
        <v/>
      </c>
      <c r="M657" s="56" t="str">
        <f>IF('AYIRA MINI MART FINAL MENU - Pr'!M657="", "", 'AYIRA MINI MART FINAL MENU - Pr'!M657)</f>
        <v/>
      </c>
      <c r="N657" s="56" t="str">
        <f>IF('AYIRA MINI MART FINAL MENU - Pr'!N657="", "", 'AYIRA MINI MART FINAL MENU - Pr'!N657)</f>
        <v/>
      </c>
      <c r="O657" s="57"/>
      <c r="P657" s="57"/>
      <c r="Q657" s="57"/>
      <c r="R657" s="57"/>
      <c r="S657" s="57"/>
      <c r="T657" s="57"/>
      <c r="U657" s="57"/>
      <c r="V657" s="57"/>
      <c r="W657" s="57"/>
      <c r="X657" s="57"/>
      <c r="Y657" s="57"/>
      <c r="Z657" s="57"/>
    </row>
    <row r="658">
      <c r="A658" s="56" t="str">
        <f>IFERROR(__xludf.DUMMYFUNCTION("IF('AYIRA MINI MART FINAL MENU - Pr'!A658="""", """", IF(LEN(IFERROR(TRIM(REGEXREPLACE(TRIM(REGEXEXTRACT('AYIRA MINI MART FINAL MENU - Pr'!A658, ""^[^\x{0600}-\x{06FF}]+"")), ""[-–]+$"", """")), """"))&gt;0, IFERROR(TRIM(REGEXREPLACE(TRIM(REGEXEXTRACT('AYIRA"&amp;" MINI MART FINAL MENU - Pr'!A658, ""^[^\x{0600}-\x{06FF}]+"")), ""[-–]+$"", """")), """"), GOOGLETRANSLATE('AYIRA MINI MART FINAL MENU - Pr'!A658, ""ar"", ""en"")))"),"Albadia Potato Chips Chilli 16g")</f>
        <v>Albadia Potato Chips Chilli 16g</v>
      </c>
      <c r="B658" s="56" t="str">
        <f>IFERROR(__xludf.DUMMYFUNCTION("IF('AYIRA MINI MART FINAL MENU - Pr'!B658="""", """", IF(LEN(IFERROR(TRIM(REGEXREPLACE(TRIM(REGEXEXTRACT('AYIRA MINI MART FINAL MENU - Pr'!B658, ""^[^\x{0600}-\x{06FF}]+"")), ""[-–]+$"", """")), """"))&gt;0, IFERROR(TRIM(REGEXREPLACE(TRIM(REGEXEXTRACT('AYIRA"&amp;" MINI MART FINAL MENU - Pr'!B658, ""^[^\x{0600}-\x{06FF}]+"")), ""[-–]+$"", """")), """"), GOOGLETRANSLATE('AYIRA MINI MART FINAL MENU - Pr'!B658, ""ar"", ""en"")))"),"Chips &amp; Crisps")</f>
        <v>Chips &amp; Crisps</v>
      </c>
      <c r="C658" s="58">
        <f>IF('AYIRA MINI MART FINAL MENU - Pr'!C658="", "", 'AYIRA MINI MART FINAL MENU - Pr'!C658)</f>
        <v>1</v>
      </c>
      <c r="D658" s="56" t="str">
        <f>IFERROR(__xludf.DUMMYFUNCTION("IF('AYIRA MINI MART FINAL MENU - Pr'!D658="""", """", GOOGLETRANSLATE('AYIRA MINI MART FINAL MENU - Pr'!D658, ""ar"", ""en""))"),"Don't be able to resist the taste of Albadia Potato Chips Chilli 16g, your perfect companion for relaxing and watching the game. Their unique crunch and varied flavors make every handful a delightful experience. Prepared with the finest ingredients using "&amp;"the latest manufacturing techniques to ensure an unparalleled taste. Ideal as a snack for adults and children alike between meals. Aira Mini Mart offers them in the perfect size and flavor for you.")</f>
        <v>Don't be able to resist the taste of Albadia Potato Chips Chilli 16g,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658" s="56" t="str">
        <f>IF('AYIRA MINI MART FINAL MENU - Pr'!K658="", "", 'AYIRA MINI MART FINAL MENU - Pr'!K658)</f>
        <v/>
      </c>
      <c r="F658" s="56"/>
      <c r="G658" s="56"/>
      <c r="H658" s="56"/>
      <c r="I658" s="56"/>
      <c r="J658" s="56"/>
      <c r="L658" s="56" t="str">
        <f>IF('AYIRA MINI MART FINAL MENU - Pr'!L658="", "", 'AYIRA MINI MART FINAL MENU - Pr'!L658)</f>
        <v/>
      </c>
      <c r="M658" s="56" t="str">
        <f>IF('AYIRA MINI MART FINAL MENU - Pr'!M658="", "", 'AYIRA MINI MART FINAL MENU - Pr'!M658)</f>
        <v/>
      </c>
      <c r="N658" s="56" t="str">
        <f>IF('AYIRA MINI MART FINAL MENU - Pr'!N658="", "", 'AYIRA MINI MART FINAL MENU - Pr'!N658)</f>
        <v/>
      </c>
      <c r="O658" s="57"/>
      <c r="P658" s="57"/>
      <c r="Q658" s="57"/>
      <c r="R658" s="57"/>
      <c r="S658" s="57"/>
      <c r="T658" s="57"/>
      <c r="U658" s="57"/>
      <c r="V658" s="57"/>
      <c r="W658" s="57"/>
      <c r="X658" s="57"/>
      <c r="Y658" s="57"/>
      <c r="Z658" s="57"/>
    </row>
    <row r="659">
      <c r="A659" s="56" t="str">
        <f>IFERROR(__xludf.DUMMYFUNCTION("IF('AYIRA MINI MART FINAL MENU - Pr'!A659="""", """", IF(LEN(IFERROR(TRIM(REGEXREPLACE(TRIM(REGEXEXTRACT('AYIRA MINI MART FINAL MENU - Pr'!A659, ""^[^\x{0600}-\x{06FF}]+"")), ""[-–]+$"", """")), """"))&gt;0, IFERROR(TRIM(REGEXREPLACE(TRIM(REGEXEXTRACT('AYIRA"&amp;" MINI MART FINAL MENU - Pr'!A659, ""^[^\x{0600}-\x{06FF}]+"")), ""[-–]+$"", """")), """"), GOOGLETRANSLATE('AYIRA MINI MART FINAL MENU - Pr'!A659, ""ar"", ""en"")))"),"Potato Ripples Crunch Cheese 15g")</f>
        <v>Potato Ripples Crunch Cheese 15g</v>
      </c>
      <c r="B659" s="56" t="str">
        <f>IFERROR(__xludf.DUMMYFUNCTION("IF('AYIRA MINI MART FINAL MENU - Pr'!B659="""", """", IF(LEN(IFERROR(TRIM(REGEXREPLACE(TRIM(REGEXEXTRACT('AYIRA MINI MART FINAL MENU - Pr'!B659, ""^[^\x{0600}-\x{06FF}]+"")), ""[-–]+$"", """")), """"))&gt;0, IFERROR(TRIM(REGEXREPLACE(TRIM(REGEXEXTRACT('AYIRA"&amp;" MINI MART FINAL MENU - Pr'!B659, ""^[^\x{0600}-\x{06FF}]+"")), ""[-–]+$"", """")), """"), GOOGLETRANSLATE('AYIRA MINI MART FINAL MENU - Pr'!B659, ""ar"", ""en"")))"),"Chips &amp; Crisps")</f>
        <v>Chips &amp; Crisps</v>
      </c>
      <c r="C659" s="58">
        <f>IF('AYIRA MINI MART FINAL MENU - Pr'!C659="", "", 'AYIRA MINI MART FINAL MENU - Pr'!C659)</f>
        <v>1</v>
      </c>
      <c r="D659" s="56" t="str">
        <f>IFERROR(__xludf.DUMMYFUNCTION("IF('AYIRA MINI MART FINAL MENU - Pr'!D659="""", """", GOOGLETRANSLATE('AYIRA MINI MART FINAL MENU - Pr'!D659, ""ar"", ""en""))"),"Don't be able to resist the taste of Potato Ripples Crunch Cheese Flavor 15g
Your perfect companion for relaxing and watching the game. Its unique crunch and varied flavors make every handful a delightful experience. Prepared with the finest ingredients "&amp;"using the latest manufacturing techniques to ensure an unparalleled taste. Ideal as a snack for adults and children between meals. Aira Mini Mart offers it in the perfect size and flavor for you.")</f>
        <v>Don't be able to resist the taste of Potato Ripples Crunch Cheese Flavor 15g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659" s="56" t="str">
        <f>IF('AYIRA MINI MART FINAL MENU - Pr'!K659="", "", 'AYIRA MINI MART FINAL MENU - Pr'!K659)</f>
        <v/>
      </c>
      <c r="F659" s="56"/>
      <c r="G659" s="56"/>
      <c r="H659" s="56"/>
      <c r="I659" s="56"/>
      <c r="J659" s="56"/>
      <c r="L659" s="56" t="str">
        <f>IF('AYIRA MINI MART FINAL MENU - Pr'!L659="", "", 'AYIRA MINI MART FINAL MENU - Pr'!L659)</f>
        <v/>
      </c>
      <c r="M659" s="56" t="str">
        <f>IF('AYIRA MINI MART FINAL MENU - Pr'!M659="", "", 'AYIRA MINI MART FINAL MENU - Pr'!M659)</f>
        <v/>
      </c>
      <c r="N659" s="56" t="str">
        <f>IF('AYIRA MINI MART FINAL MENU - Pr'!N659="", "", 'AYIRA MINI MART FINAL MENU - Pr'!N659)</f>
        <v/>
      </c>
      <c r="O659" s="57"/>
      <c r="P659" s="57"/>
      <c r="Q659" s="57"/>
      <c r="R659" s="57"/>
      <c r="S659" s="57"/>
      <c r="T659" s="57"/>
      <c r="U659" s="57"/>
      <c r="V659" s="57"/>
      <c r="W659" s="57"/>
      <c r="X659" s="57"/>
      <c r="Y659" s="57"/>
      <c r="Z659" s="57"/>
    </row>
    <row r="660">
      <c r="A660" s="56" t="str">
        <f>IFERROR(__xludf.DUMMYFUNCTION("IF('AYIRA MINI MART FINAL MENU - Pr'!A660="""", """", IF(LEN(IFERROR(TRIM(REGEXREPLACE(TRIM(REGEXEXTRACT('AYIRA MINI MART FINAL MENU - Pr'!A660, ""^[^\x{0600}-\x{06FF}]+"")), ""[-–]+$"", """")), """"))&gt;0, IFERROR(TRIM(REGEXREPLACE(TRIM(REGEXEXTRACT('AYIRA"&amp;" MINI MART FINAL MENU - Pr'!A660, ""^[^\x{0600}-\x{06FF}]+"")), ""[-–]+$"", """")), """"), GOOGLETRANSLATE('AYIRA MINI MART FINAL MENU - Pr'!A660, ""ar"", ""en"")))"),"Al Mudhish Potato Chips Ready Salted 15g – Al Mudhish Potato")</f>
        <v>Al Mudhish Potato Chips Ready Salted 15g – Al Mudhish Potato</v>
      </c>
      <c r="B660" s="56" t="str">
        <f>IFERROR(__xludf.DUMMYFUNCTION("IF('AYIRA MINI MART FINAL MENU - Pr'!B660="""", """", IF(LEN(IFERROR(TRIM(REGEXREPLACE(TRIM(REGEXEXTRACT('AYIRA MINI MART FINAL MENU - Pr'!B660, ""^[^\x{0600}-\x{06FF}]+"")), ""[-–]+$"", """")), """"))&gt;0, IFERROR(TRIM(REGEXREPLACE(TRIM(REGEXEXTRACT('AYIRA"&amp;" MINI MART FINAL MENU - Pr'!B660, ""^[^\x{0600}-\x{06FF}]+"")), ""[-–]+$"", """")), """"), GOOGLETRANSLATE('AYIRA MINI MART FINAL MENU - Pr'!B660, ""ar"", ""en"")))"),"Chips &amp; Crisps")</f>
        <v>Chips &amp; Crisps</v>
      </c>
      <c r="C660" s="58">
        <f>IF('AYIRA MINI MART FINAL MENU - Pr'!C660="", "", 'AYIRA MINI MART FINAL MENU - Pr'!C660)</f>
        <v>1</v>
      </c>
      <c r="D660" s="56" t="str">
        <f>IFERROR(__xludf.DUMMYFUNCTION("IF('AYIRA MINI MART FINAL MENU - Pr'!D660="""", """", GOOGLETRANSLATE('AYIRA MINI MART FINAL MENU - Pr'!D660, ""ar"", ""en""))"),"Don't be able to resist the taste of Al Mudhish Potato Chips Ready Salted 15g
Your perfect companion for relaxing and watching the game. Their unique crunch and varied flavors make every handful a delightful experience. Prepared with the finest ingredien"&amp;"ts using the latest manufacturing techniques to ensure an unparalleled taste. Ideal as a snack for adults and children between meals. Aira Mini Mart offers them in the size and flavor that suits you best.")</f>
        <v>Don't be able to resist the taste of Al Mudhish Potato Chips Ready Salted 15g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size and flavor that suits you best.</v>
      </c>
      <c r="E660" s="56" t="str">
        <f>IF('AYIRA MINI MART FINAL MENU - Pr'!K660="", "", 'AYIRA MINI MART FINAL MENU - Pr'!K660)</f>
        <v/>
      </c>
      <c r="F660" s="56"/>
      <c r="G660" s="56"/>
      <c r="H660" s="56"/>
      <c r="I660" s="56"/>
      <c r="J660" s="56"/>
      <c r="L660" s="56" t="str">
        <f>IF('AYIRA MINI MART FINAL MENU - Pr'!L660="", "", 'AYIRA MINI MART FINAL MENU - Pr'!L660)</f>
        <v/>
      </c>
      <c r="M660" s="56" t="str">
        <f>IF('AYIRA MINI MART FINAL MENU - Pr'!M660="", "", 'AYIRA MINI MART FINAL MENU - Pr'!M660)</f>
        <v/>
      </c>
      <c r="N660" s="56" t="str">
        <f>IF('AYIRA MINI MART FINAL MENU - Pr'!N660="", "", 'AYIRA MINI MART FINAL MENU - Pr'!N660)</f>
        <v/>
      </c>
      <c r="O660" s="57"/>
      <c r="P660" s="57"/>
      <c r="Q660" s="57"/>
      <c r="R660" s="57"/>
      <c r="S660" s="57"/>
      <c r="T660" s="57"/>
      <c r="U660" s="57"/>
      <c r="V660" s="57"/>
      <c r="W660" s="57"/>
      <c r="X660" s="57"/>
      <c r="Y660" s="57"/>
      <c r="Z660" s="57"/>
    </row>
    <row r="661">
      <c r="A661" s="56" t="str">
        <f>IFERROR(__xludf.DUMMYFUNCTION("IF('AYIRA MINI MART FINAL MENU - Pr'!A661="""", """", IF(LEN(IFERROR(TRIM(REGEXREPLACE(TRIM(REGEXEXTRACT('AYIRA MINI MART FINAL MENU - Pr'!A661, ""^[^\x{0600}-\x{06FF}]+"")), ""[-–]+$"", """")), """"))&gt;0, IFERROR(TRIM(REGEXREPLACE(TRIM(REGEXEXTRACT('AYIRA"&amp;" MINI MART FINAL MENU - Pr'!A661, ""^[^\x{0600}-\x{06FF}]+"")), ""[-–]+$"", """")), """"), GOOGLETRANSLATE('AYIRA MINI MART FINAL MENU - Pr'!A661, ""ar"", ""en"")))"),"Mexita Sweet &amp; Sour Tortilla Chips 180g – Mexita Sweet &amp; Sour Tortilla")</f>
        <v>Mexita Sweet &amp; Sour Tortilla Chips 180g – Mexita Sweet &amp; Sour Tortilla</v>
      </c>
      <c r="B661" s="56" t="str">
        <f>IFERROR(__xludf.DUMMYFUNCTION("IF('AYIRA MINI MART FINAL MENU - Pr'!B661="""", """", IF(LEN(IFERROR(TRIM(REGEXREPLACE(TRIM(REGEXEXTRACT('AYIRA MINI MART FINAL MENU - Pr'!B661, ""^[^\x{0600}-\x{06FF}]+"")), ""[-–]+$"", """")), """"))&gt;0, IFERROR(TRIM(REGEXREPLACE(TRIM(REGEXEXTRACT('AYIRA"&amp;" MINI MART FINAL MENU - Pr'!B661, ""^[^\x{0600}-\x{06FF}]+"")), ""[-–]+$"", """")), """"), GOOGLETRANSLATE('AYIRA MINI MART FINAL MENU - Pr'!B661, ""ar"", ""en"")))"),"Chips &amp; Crisps")</f>
        <v>Chips &amp; Crisps</v>
      </c>
      <c r="C661" s="58">
        <f>IF('AYIRA MINI MART FINAL MENU - Pr'!C661="", "", 'AYIRA MINI MART FINAL MENU - Pr'!C661)</f>
        <v>9</v>
      </c>
      <c r="D661" s="56" t="str">
        <f>IFERROR(__xludf.DUMMYFUNCTION("IF('AYIRA MINI MART FINAL MENU - Pr'!D661="""", """", GOOGLETRANSLATE('AYIRA MINI MART FINAL MENU - Pr'!D661, ""ar"", ""en""))"),"Don't be able to resist the taste of Mexita Sweet &amp; Sour Tortilla Chips 180g, your perfect companion for relaxing and watching the game. Their unique crunch and varied flavors make every handful a delightful experience. Made with the finest ingredients us"&amp;"ing the latest manufacturing techniques to ensure an unparalleled taste. Ideal as a snack for adults and children alike between meals. Aira Mini Mart offers them in the perfect size and flavor for you.")</f>
        <v>Don't be able to resist the taste of Mexita Sweet &amp; Sour Tortilla Chips 180g,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661" s="56" t="str">
        <f>IF('AYIRA MINI MART FINAL MENU - Pr'!K661="", "", 'AYIRA MINI MART FINAL MENU - Pr'!K661)</f>
        <v/>
      </c>
      <c r="F661" s="56"/>
      <c r="G661" s="56"/>
      <c r="H661" s="56"/>
      <c r="I661" s="56"/>
      <c r="J661" s="56"/>
      <c r="L661" s="56" t="str">
        <f>IF('AYIRA MINI MART FINAL MENU - Pr'!L661="", "", 'AYIRA MINI MART FINAL MENU - Pr'!L661)</f>
        <v/>
      </c>
      <c r="M661" s="56" t="str">
        <f>IF('AYIRA MINI MART FINAL MENU - Pr'!M661="", "", 'AYIRA MINI MART FINAL MENU - Pr'!M661)</f>
        <v/>
      </c>
      <c r="N661" s="56" t="str">
        <f>IF('AYIRA MINI MART FINAL MENU - Pr'!N661="", "", 'AYIRA MINI MART FINAL MENU - Pr'!N661)</f>
        <v/>
      </c>
      <c r="O661" s="57"/>
      <c r="P661" s="57"/>
      <c r="Q661" s="57"/>
      <c r="R661" s="57"/>
      <c r="S661" s="57"/>
      <c r="T661" s="57"/>
      <c r="U661" s="57"/>
      <c r="V661" s="57"/>
      <c r="W661" s="57"/>
      <c r="X661" s="57"/>
      <c r="Y661" s="57"/>
      <c r="Z661" s="57"/>
    </row>
    <row r="662">
      <c r="A662" s="56" t="str">
        <f>IFERROR(__xludf.DUMMYFUNCTION("IF('AYIRA MINI MART FINAL MENU - Pr'!A662="""", """", IF(LEN(IFERROR(TRIM(REGEXREPLACE(TRIM(REGEXEXTRACT('AYIRA MINI MART FINAL MENU - Pr'!A662, ""^[^\x{0600}-\x{06FF}]+"")), ""[-–]+$"", """")), """"))&gt;0, IFERROR(TRIM(REGEXREPLACE(TRIM(REGEXEXTRACT('AYIRA"&amp;" MINI MART FINAL MENU - Pr'!A662, ""^[^\x{0600}-\x{06FF}]+"")), ""[-–]+$"", """")), """"), GOOGLETRANSLATE('AYIRA MINI MART FINAL MENU - Pr'!A662, ""ar"", ""en"")))"),"Mexita Sweet Chilli Pepper Tortilla Chips 180g – Mexita Sweet Chilli Pepper Tortilla")</f>
        <v>Mexita Sweet Chilli Pepper Tortilla Chips 180g – Mexita Sweet Chilli Pepper Tortilla</v>
      </c>
      <c r="B662" s="56" t="str">
        <f>IFERROR(__xludf.DUMMYFUNCTION("IF('AYIRA MINI MART FINAL MENU - Pr'!B662="""", """", IF(LEN(IFERROR(TRIM(REGEXREPLACE(TRIM(REGEXEXTRACT('AYIRA MINI MART FINAL MENU - Pr'!B662, ""^[^\x{0600}-\x{06FF}]+"")), ""[-–]+$"", """")), """"))&gt;0, IFERROR(TRIM(REGEXREPLACE(TRIM(REGEXEXTRACT('AYIRA"&amp;" MINI MART FINAL MENU - Pr'!B662, ""^[^\x{0600}-\x{06FF}]+"")), ""[-–]+$"", """")), """"), GOOGLETRANSLATE('AYIRA MINI MART FINAL MENU - Pr'!B662, ""ar"", ""en"")))"),"Chips &amp; Crisps")</f>
        <v>Chips &amp; Crisps</v>
      </c>
      <c r="C662" s="58">
        <f>IF('AYIRA MINI MART FINAL MENU - Pr'!C662="", "", 'AYIRA MINI MART FINAL MENU - Pr'!C662)</f>
        <v>9</v>
      </c>
      <c r="D662" s="56" t="str">
        <f>IFERROR(__xludf.DUMMYFUNCTION("IF('AYIRA MINI MART FINAL MENU - Pr'!D662="""", """", GOOGLETRANSLATE('AYIRA MINI MART FINAL MENU - Pr'!D662, ""ar"", ""en""))"),"Don't be able to resist the taste of Mexita Sweet Chilli Pepper Tortilla Chips 180g
Your perfect companion for relaxing and watching the game. Their unique crunch and varied flavors make every handful a delightful experience. Prepared with the finest ing"&amp;"redients using the latest manufacturing techniques to ensure an unparalleled taste. Ideal as a snack for adults and children between meals. Aira Mini Mart offers them in the perfect size and flavor for you.")</f>
        <v>Don't be able to resist the taste of Mexita Sweet Chilli Pepper Tortilla Chips 180g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perfect size and flavor for you.</v>
      </c>
      <c r="E662" s="56" t="str">
        <f>IF('AYIRA MINI MART FINAL MENU - Pr'!K662="", "", 'AYIRA MINI MART FINAL MENU - Pr'!K662)</f>
        <v/>
      </c>
      <c r="F662" s="56"/>
      <c r="G662" s="56"/>
      <c r="H662" s="56"/>
      <c r="I662" s="56"/>
      <c r="J662" s="56"/>
      <c r="L662" s="56" t="str">
        <f>IF('AYIRA MINI MART FINAL MENU - Pr'!L662="", "", 'AYIRA MINI MART FINAL MENU - Pr'!L662)</f>
        <v/>
      </c>
      <c r="M662" s="56" t="str">
        <f>IF('AYIRA MINI MART FINAL MENU - Pr'!M662="", "", 'AYIRA MINI MART FINAL MENU - Pr'!M662)</f>
        <v/>
      </c>
      <c r="N662" s="56" t="str">
        <f>IF('AYIRA MINI MART FINAL MENU - Pr'!N662="", "", 'AYIRA MINI MART FINAL MENU - Pr'!N662)</f>
        <v/>
      </c>
      <c r="O662" s="57"/>
      <c r="P662" s="57"/>
      <c r="Q662" s="57"/>
      <c r="R662" s="57"/>
      <c r="S662" s="57"/>
      <c r="T662" s="57"/>
      <c r="U662" s="57"/>
      <c r="V662" s="57"/>
      <c r="W662" s="57"/>
      <c r="X662" s="57"/>
      <c r="Y662" s="57"/>
      <c r="Z662" s="57"/>
    </row>
    <row r="663">
      <c r="A663" s="56" t="str">
        <f>IFERROR(__xludf.DUMMYFUNCTION("IF('AYIRA MINI MART FINAL MENU - Pr'!A663="""", """", IF(LEN(IFERROR(TRIM(REGEXREPLACE(TRIM(REGEXEXTRACT('AYIRA MINI MART FINAL MENU - Pr'!A663, ""^[^\x{0600}-\x{06FF}]+"")), ""[-–]+$"", """")), """"))&gt;0, IFERROR(TRIM(REGEXREPLACE(TRIM(REGEXEXTRACT('AYIRA"&amp;" MINI MART FINAL MENU - Pr'!A663, ""^[^\x{0600}-\x{06FF}]+"")), ""[-–]+$"", """")), """"), GOOGLETRANSLATE('AYIRA MINI MART FINAL MENU - Pr'!A663, ""ar"", ""en"")))"),"Mexita Nacho Cheese Tortilla Chips 180g – Mexita Nacho")</f>
        <v>Mexita Nacho Cheese Tortilla Chips 180g – Mexita Nacho</v>
      </c>
      <c r="B663" s="56" t="str">
        <f>IFERROR(__xludf.DUMMYFUNCTION("IF('AYIRA MINI MART FINAL MENU - Pr'!B663="""", """", IF(LEN(IFERROR(TRIM(REGEXREPLACE(TRIM(REGEXEXTRACT('AYIRA MINI MART FINAL MENU - Pr'!B663, ""^[^\x{0600}-\x{06FF}]+"")), ""[-–]+$"", """")), """"))&gt;0, IFERROR(TRIM(REGEXREPLACE(TRIM(REGEXEXTRACT('AYIRA"&amp;" MINI MART FINAL MENU - Pr'!B663, ""^[^\x{0600}-\x{06FF}]+"")), ""[-–]+$"", """")), """"), GOOGLETRANSLATE('AYIRA MINI MART FINAL MENU - Pr'!B663, ""ar"", ""en"")))"),"Chips &amp; Crisps")</f>
        <v>Chips &amp; Crisps</v>
      </c>
      <c r="C663" s="58">
        <f>IF('AYIRA MINI MART FINAL MENU - Pr'!C663="", "", 'AYIRA MINI MART FINAL MENU - Pr'!C663)</f>
        <v>9</v>
      </c>
      <c r="D663" s="56" t="str">
        <f>IFERROR(__xludf.DUMMYFUNCTION("IF('AYIRA MINI MART FINAL MENU - Pr'!D663="""", """", GOOGLETRANSLATE('AYIRA MINI MART FINAL MENU - Pr'!D663, ""ar"", ""en""))"),"Don't be able to resist the taste of Mexita Nacho Cheese Tortilla Chips 180g, your perfect companion for relaxing and watching the game. Their unique crunch and varied flavors make every handful a delightful experience. Made with the finest ingredients us"&amp;"ing the latest manufacturing techniques to ensure an unparalleled taste. Ideal as a snack for adults and children alike between meals. Aira Mini Mart offers them in the perfect size and flavor for you.")</f>
        <v>Don't be able to resist the taste of Mexita Nacho Cheese Tortilla Chips 180g,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663" s="56" t="str">
        <f>IF('AYIRA MINI MART FINAL MENU - Pr'!K663="", "", 'AYIRA MINI MART FINAL MENU - Pr'!K663)</f>
        <v/>
      </c>
      <c r="F663" s="56"/>
      <c r="G663" s="56"/>
      <c r="H663" s="56"/>
      <c r="I663" s="56"/>
      <c r="J663" s="56"/>
      <c r="L663" s="56" t="str">
        <f>IF('AYIRA MINI MART FINAL MENU - Pr'!L663="", "", 'AYIRA MINI MART FINAL MENU - Pr'!L663)</f>
        <v/>
      </c>
      <c r="M663" s="56" t="str">
        <f>IF('AYIRA MINI MART FINAL MENU - Pr'!M663="", "", 'AYIRA MINI MART FINAL MENU - Pr'!M663)</f>
        <v/>
      </c>
      <c r="N663" s="56" t="str">
        <f>IF('AYIRA MINI MART FINAL MENU - Pr'!N663="", "", 'AYIRA MINI MART FINAL MENU - Pr'!N663)</f>
        <v/>
      </c>
      <c r="O663" s="57"/>
      <c r="P663" s="57"/>
      <c r="Q663" s="57"/>
      <c r="R663" s="57"/>
      <c r="S663" s="57"/>
      <c r="T663" s="57"/>
      <c r="U663" s="57"/>
      <c r="V663" s="57"/>
      <c r="W663" s="57"/>
      <c r="X663" s="57"/>
      <c r="Y663" s="57"/>
      <c r="Z663" s="57"/>
    </row>
    <row r="664">
      <c r="A664" s="56" t="str">
        <f>IFERROR(__xludf.DUMMYFUNCTION("IF('AYIRA MINI MART FINAL MENU - Pr'!A664="""", """", IF(LEN(IFERROR(TRIM(REGEXREPLACE(TRIM(REGEXEXTRACT('AYIRA MINI MART FINAL MENU - Pr'!A664, ""^[^\x{0600}-\x{06FF}]+"")), ""[-–]+$"", """")), """"))&gt;0, IFERROR(TRIM(REGEXREPLACE(TRIM(REGEXEXTRACT('AYIRA"&amp;" MINI MART FINAL MENU - Pr'!A664, ""^[^\x{0600}-\x{06FF}]+"")), ""[-–]+$"", """")), """"), GOOGLETRANSLATE('AYIRA MINI MART FINAL MENU - Pr'!A664, ""ar"", ""en"")))"),"Mexita Hot Chilli &amp; Lime Tortilla Chips 180g – Mexita")</f>
        <v>Mexita Hot Chilli &amp; Lime Tortilla Chips 180g – Mexita</v>
      </c>
      <c r="B664" s="56" t="str">
        <f>IFERROR(__xludf.DUMMYFUNCTION("IF('AYIRA MINI MART FINAL MENU - Pr'!B664="""", """", IF(LEN(IFERROR(TRIM(REGEXREPLACE(TRIM(REGEXEXTRACT('AYIRA MINI MART FINAL MENU - Pr'!B664, ""^[^\x{0600}-\x{06FF}]+"")), ""[-–]+$"", """")), """"))&gt;0, IFERROR(TRIM(REGEXREPLACE(TRIM(REGEXEXTRACT('AYIRA"&amp;" MINI MART FINAL MENU - Pr'!B664, ""^[^\x{0600}-\x{06FF}]+"")), ""[-–]+$"", """")), """"), GOOGLETRANSLATE('AYIRA MINI MART FINAL MENU - Pr'!B664, ""ar"", ""en"")))"),"Chips &amp; Crisps")</f>
        <v>Chips &amp; Crisps</v>
      </c>
      <c r="C664" s="58">
        <f>IF('AYIRA MINI MART FINAL MENU - Pr'!C664="", "", 'AYIRA MINI MART FINAL MENU - Pr'!C664)</f>
        <v>9</v>
      </c>
      <c r="D664" s="56" t="str">
        <f>IFERROR(__xludf.DUMMYFUNCTION("IF('AYIRA MINI MART FINAL MENU - Pr'!D664="""", """", GOOGLETRANSLATE('AYIRA MINI MART FINAL MENU - Pr'!D664, ""ar"", ""en""))"),"Don't be able to resist the taste of Mexita Hot Chilli &amp; Lime Tortilla Chips 180g
Your perfect companion for relaxing and watching the game. Their unique crunch and varied flavors make every handful a delightful experience. Prepared with the finest ingre"&amp;"dients using the latest manufacturing techniques to ensure an unparalleled taste. Ideal as a snack for adults and children between meals. Aira Mini Mart offers them in the perfect size and flavor for you.")</f>
        <v>Don't be able to resist the taste of Mexita Hot Chilli &amp; Lime Tortilla Chips 180g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perfect size and flavor for you.</v>
      </c>
      <c r="E664" s="56" t="str">
        <f>IF('AYIRA MINI MART FINAL MENU - Pr'!K664="", "", 'AYIRA MINI MART FINAL MENU - Pr'!K664)</f>
        <v/>
      </c>
      <c r="F664" s="56"/>
      <c r="G664" s="56"/>
      <c r="H664" s="56"/>
      <c r="I664" s="56"/>
      <c r="J664" s="56"/>
      <c r="L664" s="56" t="str">
        <f>IF('AYIRA MINI MART FINAL MENU - Pr'!L664="", "", 'AYIRA MINI MART FINAL MENU - Pr'!L664)</f>
        <v/>
      </c>
      <c r="M664" s="56" t="str">
        <f>IF('AYIRA MINI MART FINAL MENU - Pr'!M664="", "", 'AYIRA MINI MART FINAL MENU - Pr'!M664)</f>
        <v/>
      </c>
      <c r="N664" s="56" t="str">
        <f>IF('AYIRA MINI MART FINAL MENU - Pr'!N664="", "", 'AYIRA MINI MART FINAL MENU - Pr'!N664)</f>
        <v/>
      </c>
      <c r="O664" s="57"/>
      <c r="P664" s="57"/>
      <c r="Q664" s="57"/>
      <c r="R664" s="57"/>
      <c r="S664" s="57"/>
      <c r="T664" s="57"/>
      <c r="U664" s="57"/>
      <c r="V664" s="57"/>
      <c r="W664" s="57"/>
      <c r="X664" s="57"/>
      <c r="Y664" s="57"/>
      <c r="Z664" s="57"/>
    </row>
    <row r="665">
      <c r="A665" s="56" t="str">
        <f>IFERROR(__xludf.DUMMYFUNCTION("IF('AYIRA MINI MART FINAL MENU - Pr'!A665="""", """", IF(LEN(IFERROR(TRIM(REGEXREPLACE(TRIM(REGEXEXTRACT('AYIRA MINI MART FINAL MENU - Pr'!A665, ""^[^\x{0600}-\x{06FF}]+"")), ""[-–]+$"", """")), """"))&gt;0, IFERROR(TRIM(REGEXREPLACE(TRIM(REGEXEXTRACT('AYIRA"&amp;" MINI MART FINAL MENU - Pr'!A665, ""^[^\x{0600}-\x{06FF}]+"")), ""[-–]+$"", """")), """"), GOOGLETRANSLATE('AYIRA MINI MART FINAL MENU - Pr'!A665, ""ar"", ""en"")))"),"Karkish Caramelized Onion 85g – Karkish Caramelized")</f>
        <v>Karkish Caramelized Onion 85g – Karkish Caramelized</v>
      </c>
      <c r="B665" s="56" t="str">
        <f>IFERROR(__xludf.DUMMYFUNCTION("IF('AYIRA MINI MART FINAL MENU - Pr'!B665="""", """", IF(LEN(IFERROR(TRIM(REGEXREPLACE(TRIM(REGEXEXTRACT('AYIRA MINI MART FINAL MENU - Pr'!B665, ""^[^\x{0600}-\x{06FF}]+"")), ""[-–]+$"", """")), """"))&gt;0, IFERROR(TRIM(REGEXREPLACE(TRIM(REGEXEXTRACT('AYIRA"&amp;" MINI MART FINAL MENU - Pr'!B665, ""^[^\x{0600}-\x{06FF}]+"")), ""[-–]+$"", """")), """"), GOOGLETRANSLATE('AYIRA MINI MART FINAL MENU - Pr'!B665, ""ar"", ""en"")))"),"Chips &amp; Crisps")</f>
        <v>Chips &amp; Crisps</v>
      </c>
      <c r="C665" s="58">
        <f>IF('AYIRA MINI MART FINAL MENU - Pr'!C665="", "", 'AYIRA MINI MART FINAL MENU - Pr'!C665)</f>
        <v>6</v>
      </c>
      <c r="D665" s="56" t="str">
        <f>IFERROR(__xludf.DUMMYFUNCTION("IF('AYIRA MINI MART FINAL MENU - Pr'!D665="""", """", GOOGLETRANSLATE('AYIRA MINI MART FINAL MENU - Pr'!D665, ""ar"", ""en""))"),"Don't be able to resist the taste of Karkish Caramelized Onion 85g, your perfect companion for relaxing and watching matches. Its unique crunch and diverse flavors make every handful a delightful experience. Prepared with the finest ingredients using the "&amp;"latest manufacturing techniques to ensure an unparalleled taste. Ideal as a snack for adults and children alike between meals. Aira Mini Mart offers it in the perfect size and flavor for you.")</f>
        <v>Don't be able to resist the taste of Karkish Caramelized Onion 85g,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65" s="56" t="str">
        <f>IF('AYIRA MINI MART FINAL MENU - Pr'!K665="", "", 'AYIRA MINI MART FINAL MENU - Pr'!K665)</f>
        <v/>
      </c>
      <c r="F665" s="56"/>
      <c r="G665" s="56"/>
      <c r="H665" s="56"/>
      <c r="I665" s="56"/>
      <c r="J665" s="56"/>
      <c r="L665" s="56" t="str">
        <f>IF('AYIRA MINI MART FINAL MENU - Pr'!L665="", "", 'AYIRA MINI MART FINAL MENU - Pr'!L665)</f>
        <v/>
      </c>
      <c r="M665" s="56" t="str">
        <f>IF('AYIRA MINI MART FINAL MENU - Pr'!M665="", "", 'AYIRA MINI MART FINAL MENU - Pr'!M665)</f>
        <v/>
      </c>
      <c r="N665" s="56" t="str">
        <f>IF('AYIRA MINI MART FINAL MENU - Pr'!N665="", "", 'AYIRA MINI MART FINAL MENU - Pr'!N665)</f>
        <v/>
      </c>
      <c r="O665" s="57"/>
      <c r="P665" s="57"/>
      <c r="Q665" s="57"/>
      <c r="R665" s="57"/>
      <c r="S665" s="57"/>
      <c r="T665" s="57"/>
      <c r="U665" s="57"/>
      <c r="V665" s="57"/>
      <c r="W665" s="57"/>
      <c r="X665" s="57"/>
      <c r="Y665" s="57"/>
      <c r="Z665" s="57"/>
    </row>
    <row r="666">
      <c r="A666" s="56" t="str">
        <f>IFERROR(__xludf.DUMMYFUNCTION("IF('AYIRA MINI MART FINAL MENU - Pr'!A666="""", """", IF(LEN(IFERROR(TRIM(REGEXREPLACE(TRIM(REGEXEXTRACT('AYIRA MINI MART FINAL MENU - Pr'!A666, ""^[^\x{0600}-\x{06FF}]+"")), ""[-–]+$"", """")), """"))&gt;0, IFERROR(TRIM(REGEXREPLACE(TRIM(REGEXEXTRACT('AYIRA"&amp;" MINI MART FINAL MENU - Pr'!A666, ""^[^\x{0600}-\x{06FF}]+"")), ""[-–]+$"", """")), """"), GOOGLETRANSLATE('AYIRA MINI MART FINAL MENU - Pr'!A666, ""ar"", ""en"")))"),"Karkish Nacho Cheese 85g – Karkish Nacho")</f>
        <v>Karkish Nacho Cheese 85g – Karkish Nacho</v>
      </c>
      <c r="B666" s="56" t="str">
        <f>IFERROR(__xludf.DUMMYFUNCTION("IF('AYIRA MINI MART FINAL MENU - Pr'!B666="""", """", IF(LEN(IFERROR(TRIM(REGEXREPLACE(TRIM(REGEXEXTRACT('AYIRA MINI MART FINAL MENU - Pr'!B666, ""^[^\x{0600}-\x{06FF}]+"")), ""[-–]+$"", """")), """"))&gt;0, IFERROR(TRIM(REGEXREPLACE(TRIM(REGEXEXTRACT('AYIRA"&amp;" MINI MART FINAL MENU - Pr'!B666, ""^[^\x{0600}-\x{06FF}]+"")), ""[-–]+$"", """")), """"), GOOGLETRANSLATE('AYIRA MINI MART FINAL MENU - Pr'!B666, ""ar"", ""en"")))"),"Chips &amp; Crisps")</f>
        <v>Chips &amp; Crisps</v>
      </c>
      <c r="C666" s="58">
        <f>IF('AYIRA MINI MART FINAL MENU - Pr'!C666="", "", 'AYIRA MINI MART FINAL MENU - Pr'!C666)</f>
        <v>6</v>
      </c>
      <c r="D666" s="56" t="str">
        <f>IFERROR(__xludf.DUMMYFUNCTION("IF('AYIRA MINI MART FINAL MENU - Pr'!D666="""", """", GOOGLETRANSLATE('AYIRA MINI MART FINAL MENU - Pr'!D666, ""ar"", ""en""))"),"Don't be able to resist the taste of Karkish Nacho Cheese 85g, your perfect companion for relaxing and watching the game. Its unique crunch and diverse flavors make every handful a delightful experience. Prepared with the finest ingredients using the late"&amp;"st manufacturing techniques to ensure an unparalleled taste. Ideal as a snack for adults and children alike between meals. Aira Mini Mart offers it in the perfect size and flavor for you.")</f>
        <v>Don't be able to resist the taste of Karkish Nacho Cheese 85g,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66" s="56" t="str">
        <f>IF('AYIRA MINI MART FINAL MENU - Pr'!K666="", "", 'AYIRA MINI MART FINAL MENU - Pr'!K666)</f>
        <v/>
      </c>
      <c r="F666" s="56"/>
      <c r="G666" s="56"/>
      <c r="H666" s="56"/>
      <c r="I666" s="56"/>
      <c r="J666" s="56"/>
      <c r="L666" s="56" t="str">
        <f>IF('AYIRA MINI MART FINAL MENU - Pr'!L666="", "", 'AYIRA MINI MART FINAL MENU - Pr'!L666)</f>
        <v/>
      </c>
      <c r="M666" s="56" t="str">
        <f>IF('AYIRA MINI MART FINAL MENU - Pr'!M666="", "", 'AYIRA MINI MART FINAL MENU - Pr'!M666)</f>
        <v/>
      </c>
      <c r="N666" s="56" t="str">
        <f>IF('AYIRA MINI MART FINAL MENU - Pr'!N666="", "", 'AYIRA MINI MART FINAL MENU - Pr'!N666)</f>
        <v/>
      </c>
      <c r="O666" s="57"/>
      <c r="P666" s="57"/>
      <c r="Q666" s="57"/>
      <c r="R666" s="57"/>
      <c r="S666" s="57"/>
      <c r="T666" s="57"/>
      <c r="U666" s="57"/>
      <c r="V666" s="57"/>
      <c r="W666" s="57"/>
      <c r="X666" s="57"/>
      <c r="Y666" s="57"/>
      <c r="Z666" s="57"/>
    </row>
    <row r="667">
      <c r="A667" s="56" t="str">
        <f>IFERROR(__xludf.DUMMYFUNCTION("IF('AYIRA MINI MART FINAL MENU - Pr'!A667="""", """", IF(LEN(IFERROR(TRIM(REGEXREPLACE(TRIM(REGEXEXTRACT('AYIRA MINI MART FINAL MENU - Pr'!A667, ""^[^\x{0600}-\x{06FF}]+"")), ""[-–]+$"", """")), """"))&gt;0, IFERROR(TRIM(REGEXREPLACE(TRIM(REGEXEXTRACT('AYIRA"&amp;" MINI MART FINAL MENU - Pr'!A667, ""^[^\x{0600}-\x{06FF}]+"")), ""[-–]+$"", """")), """"), GOOGLETRANSLATE('AYIRA MINI MART FINAL MENU - Pr'!A667, ""ar"", ""en"")))"),"Karkish Paprika 40g – Karkish Paprika 40")</f>
        <v>Karkish Paprika 40g – Karkish Paprika 40</v>
      </c>
      <c r="B667" s="56" t="str">
        <f>IFERROR(__xludf.DUMMYFUNCTION("IF('AYIRA MINI MART FINAL MENU - Pr'!B667="""", """", IF(LEN(IFERROR(TRIM(REGEXREPLACE(TRIM(REGEXEXTRACT('AYIRA MINI MART FINAL MENU - Pr'!B667, ""^[^\x{0600}-\x{06FF}]+"")), ""[-–]+$"", """")), """"))&gt;0, IFERROR(TRIM(REGEXREPLACE(TRIM(REGEXEXTRACT('AYIRA"&amp;" MINI MART FINAL MENU - Pr'!B667, ""^[^\x{0600}-\x{06FF}]+"")), ""[-–]+$"", """")), """"), GOOGLETRANSLATE('AYIRA MINI MART FINAL MENU - Pr'!B667, ""ar"", ""en"")))"),"Chips &amp; Crisps")</f>
        <v>Chips &amp; Crisps</v>
      </c>
      <c r="C667" s="58">
        <f>IF('AYIRA MINI MART FINAL MENU - Pr'!C667="", "", 'AYIRA MINI MART FINAL MENU - Pr'!C667)</f>
        <v>3.5</v>
      </c>
      <c r="D667" s="56" t="str">
        <f>IFERROR(__xludf.DUMMYFUNCTION("IF('AYIRA MINI MART FINAL MENU - Pr'!D667="""", """", GOOGLETRANSLATE('AYIRA MINI MART FINAL MENU - Pr'!D667, ""ar"", ""en""))"),"Don't be able to resist the taste of Karkish Paprika 40g, your perfect companion for relaxing and watching matches. Its unique crunch and diverse flavors make every handful a delightful experience. Prepared with the finest ingredients using the latest man"&amp;"ufacturing techniques to ensure an unparalleled taste. Ideal as a snack for adults and children between meals. Aira Mini Mart offers it in the size and flavor that suits you best.")</f>
        <v>Don't be able to resist the taste of Karkish Paprika 40g,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size and flavor that suits you best.</v>
      </c>
      <c r="E667" s="56" t="str">
        <f>IF('AYIRA MINI MART FINAL MENU - Pr'!K667="", "", 'AYIRA MINI MART FINAL MENU - Pr'!K667)</f>
        <v/>
      </c>
      <c r="F667" s="56"/>
      <c r="G667" s="56"/>
      <c r="H667" s="56"/>
      <c r="I667" s="56"/>
      <c r="J667" s="56"/>
      <c r="L667" s="56" t="str">
        <f>IF('AYIRA MINI MART FINAL MENU - Pr'!L667="", "", 'AYIRA MINI MART FINAL MENU - Pr'!L667)</f>
        <v/>
      </c>
      <c r="M667" s="56" t="str">
        <f>IF('AYIRA MINI MART FINAL MENU - Pr'!M667="", "", 'AYIRA MINI MART FINAL MENU - Pr'!M667)</f>
        <v/>
      </c>
      <c r="N667" s="56" t="str">
        <f>IF('AYIRA MINI MART FINAL MENU - Pr'!N667="", "", 'AYIRA MINI MART FINAL MENU - Pr'!N667)</f>
        <v/>
      </c>
      <c r="O667" s="57"/>
      <c r="P667" s="57"/>
      <c r="Q667" s="57"/>
      <c r="R667" s="57"/>
      <c r="S667" s="57"/>
      <c r="T667" s="57"/>
      <c r="U667" s="57"/>
      <c r="V667" s="57"/>
      <c r="W667" s="57"/>
      <c r="X667" s="57"/>
      <c r="Y667" s="57"/>
      <c r="Z667" s="57"/>
    </row>
    <row r="668">
      <c r="A668" s="56" t="str">
        <f>IFERROR(__xludf.DUMMYFUNCTION("IF('AYIRA MINI MART FINAL MENU - Pr'!A668="""", """", IF(LEN(IFERROR(TRIM(REGEXREPLACE(TRIM(REGEXEXTRACT('AYIRA MINI MART FINAL MENU - Pr'!A668, ""^[^\x{0600}-\x{06FF}]+"")), ""[-–]+$"", """")), """"))&gt;0, IFERROR(TRIM(REGEXREPLACE(TRIM(REGEXEXTRACT('AYIRA"&amp;" MINI MART FINAL MENU - Pr'!A668, ""^[^\x{0600}-\x{06FF}]+"")), ""[-–]+$"", """")), """"), GOOGLETRANSLATE('AYIRA MINI MART FINAL MENU - Pr'!A668, ""ar"", ""en"")))"),"Karkish French Cheese 40g – Karkish French")</f>
        <v>Karkish French Cheese 40g – Karkish French</v>
      </c>
      <c r="B668" s="56" t="str">
        <f>IFERROR(__xludf.DUMMYFUNCTION("IF('AYIRA MINI MART FINAL MENU - Pr'!B668="""", """", IF(LEN(IFERROR(TRIM(REGEXREPLACE(TRIM(REGEXEXTRACT('AYIRA MINI MART FINAL MENU - Pr'!B668, ""^[^\x{0600}-\x{06FF}]+"")), ""[-–]+$"", """")), """"))&gt;0, IFERROR(TRIM(REGEXREPLACE(TRIM(REGEXEXTRACT('AYIRA"&amp;" MINI MART FINAL MENU - Pr'!B668, ""^[^\x{0600}-\x{06FF}]+"")), ""[-–]+$"", """")), """"), GOOGLETRANSLATE('AYIRA MINI MART FINAL MENU - Pr'!B668, ""ar"", ""en"")))"),"Chips &amp; Crisps")</f>
        <v>Chips &amp; Crisps</v>
      </c>
      <c r="C668" s="58">
        <f>IF('AYIRA MINI MART FINAL MENU - Pr'!C668="", "", 'AYIRA MINI MART FINAL MENU - Pr'!C668)</f>
        <v>3.5</v>
      </c>
      <c r="D668" s="56" t="str">
        <f>IFERROR(__xludf.DUMMYFUNCTION("IF('AYIRA MINI MART FINAL MENU - Pr'!D668="""", """", GOOGLETRANSLATE('AYIRA MINI MART FINAL MENU - Pr'!D668, ""ar"", ""en""))"),"Don't be able to resist the taste of Karkish French Cheese 40g, your perfect companion for relaxing and watching the game. Its unique crunch and diverse flavors make every handful a delightful experience. Prepared with the finest ingredients using the lat"&amp;"est manufacturing techniques to ensure an unparalleled taste. Ideal as a snack for adults and children alike between meals. Available at Aira Mini Mart in the perfect size and flavor for you.")</f>
        <v>Don't be able to resist the taste of Karkish French Cheese 40g,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alike between meals. Available at Aira Mini Mart in the perfect size and flavor for you.</v>
      </c>
      <c r="E668" s="56" t="str">
        <f>IF('AYIRA MINI MART FINAL MENU - Pr'!K668="", "", 'AYIRA MINI MART FINAL MENU - Pr'!K668)</f>
        <v/>
      </c>
      <c r="F668" s="56"/>
      <c r="G668" s="56"/>
      <c r="H668" s="56"/>
      <c r="I668" s="56"/>
      <c r="J668" s="56"/>
      <c r="L668" s="56" t="str">
        <f>IF('AYIRA MINI MART FINAL MENU - Pr'!L668="", "", 'AYIRA MINI MART FINAL MENU - Pr'!L668)</f>
        <v/>
      </c>
      <c r="M668" s="56" t="str">
        <f>IF('AYIRA MINI MART FINAL MENU - Pr'!M668="", "", 'AYIRA MINI MART FINAL MENU - Pr'!M668)</f>
        <v/>
      </c>
      <c r="N668" s="56" t="str">
        <f>IF('AYIRA MINI MART FINAL MENU - Pr'!N668="", "", 'AYIRA MINI MART FINAL MENU - Pr'!N668)</f>
        <v/>
      </c>
      <c r="O668" s="57"/>
      <c r="P668" s="57"/>
      <c r="Q668" s="57"/>
      <c r="R668" s="57"/>
      <c r="S668" s="57"/>
      <c r="T668" s="57"/>
      <c r="U668" s="57"/>
      <c r="V668" s="57"/>
      <c r="W668" s="57"/>
      <c r="X668" s="57"/>
      <c r="Y668" s="57"/>
      <c r="Z668" s="57"/>
    </row>
    <row r="669">
      <c r="A669" s="56" t="str">
        <f>IFERROR(__xludf.DUMMYFUNCTION("IF('AYIRA MINI MART FINAL MENU - Pr'!A669="""", """", IF(LEN(IFERROR(TRIM(REGEXREPLACE(TRIM(REGEXEXTRACT('AYIRA MINI MART FINAL MENU - Pr'!A669, ""^[^\x{0600}-\x{06FF}]+"")), ""[-–]+$"", """")), """"))&gt;0, IFERROR(TRIM(REGEXREPLACE(TRIM(REGEXEXTRACT('AYIRA"&amp;" MINI MART FINAL MENU - Pr'!A669, ""^[^\x{0600}-\x{06FF}]+"")), ""[-–]+$"", """")), """"), GOOGLETRANSLATE('AYIRA MINI MART FINAL MENU - Pr'!A669, ""ar"", ""en"")))"),"Karkish Hot Chilli 40g – Karkish")</f>
        <v>Karkish Hot Chilli 40g – Karkish</v>
      </c>
      <c r="B669" s="56" t="str">
        <f>IFERROR(__xludf.DUMMYFUNCTION("IF('AYIRA MINI MART FINAL MENU - Pr'!B669="""", """", IF(LEN(IFERROR(TRIM(REGEXREPLACE(TRIM(REGEXEXTRACT('AYIRA MINI MART FINAL MENU - Pr'!B669, ""^[^\x{0600}-\x{06FF}]+"")), ""[-–]+$"", """")), """"))&gt;0, IFERROR(TRIM(REGEXREPLACE(TRIM(REGEXEXTRACT('AYIRA"&amp;" MINI MART FINAL MENU - Pr'!B669, ""^[^\x{0600}-\x{06FF}]+"")), ""[-–]+$"", """")), """"), GOOGLETRANSLATE('AYIRA MINI MART FINAL MENU - Pr'!B669, ""ar"", ""en"")))"),"Chips &amp; Crisps")</f>
        <v>Chips &amp; Crisps</v>
      </c>
      <c r="C669" s="58">
        <f>IF('AYIRA MINI MART FINAL MENU - Pr'!C669="", "", 'AYIRA MINI MART FINAL MENU - Pr'!C669)</f>
        <v>3.4</v>
      </c>
      <c r="D669" s="56" t="str">
        <f>IFERROR(__xludf.DUMMYFUNCTION("IF('AYIRA MINI MART FINAL MENU - Pr'!D669="""", """", GOOGLETRANSLATE('AYIRA MINI MART FINAL MENU - Pr'!D669, ""ar"", ""en""))"),"Don't be able to resist the taste of Karkish Hot Chilli 40g, your perfect companion for relaxing and watching matches. Its unique crunch and diverse flavors make every handful a delightful experience. Prepared with the finest ingredients using the latest "&amp;"manufacturing techniques to ensure an unparalleled taste. Ideal as a snack for adults and children alike between meals. Aira Mini Mart offers it in the perfect size and flavor for you.")</f>
        <v>Don't be able to resist the taste of Karkish Hot Chilli 40g,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69" s="56" t="str">
        <f>IF('AYIRA MINI MART FINAL MENU - Pr'!K669="", "", 'AYIRA MINI MART FINAL MENU - Pr'!K669)</f>
        <v/>
      </c>
      <c r="F669" s="56"/>
      <c r="G669" s="56"/>
      <c r="H669" s="56"/>
      <c r="I669" s="56"/>
      <c r="J669" s="56"/>
      <c r="L669" s="56" t="str">
        <f>IF('AYIRA MINI MART FINAL MENU - Pr'!L669="", "", 'AYIRA MINI MART FINAL MENU - Pr'!L669)</f>
        <v/>
      </c>
      <c r="M669" s="56" t="str">
        <f>IF('AYIRA MINI MART FINAL MENU - Pr'!M669="", "", 'AYIRA MINI MART FINAL MENU - Pr'!M669)</f>
        <v/>
      </c>
      <c r="N669" s="56" t="str">
        <f>IF('AYIRA MINI MART FINAL MENU - Pr'!N669="", "", 'AYIRA MINI MART FINAL MENU - Pr'!N669)</f>
        <v/>
      </c>
      <c r="O669" s="57"/>
      <c r="P669" s="57"/>
      <c r="Q669" s="57"/>
      <c r="R669" s="57"/>
      <c r="S669" s="57"/>
      <c r="T669" s="57"/>
      <c r="U669" s="57"/>
      <c r="V669" s="57"/>
      <c r="W669" s="57"/>
      <c r="X669" s="57"/>
      <c r="Y669" s="57"/>
      <c r="Z669" s="57"/>
    </row>
    <row r="670">
      <c r="A670" s="56" t="str">
        <f>IFERROR(__xludf.DUMMYFUNCTION("IF('AYIRA MINI MART FINAL MENU - Pr'!A670="""", """", IF(LEN(IFERROR(TRIM(REGEXREPLACE(TRIM(REGEXEXTRACT('AYIRA MINI MART FINAL MENU - Pr'!A670, ""^[^\x{0600}-\x{06FF}]+"")), ""[-–]+$"", """")), """"))&gt;0, IFERROR(TRIM(REGEXREPLACE(TRIM(REGEXEXTRACT('AYIRA"&amp;" MINI MART FINAL MENU - Pr'!A670, ""^[^\x{0600}-\x{06FF}]+"")), ""[-–]+$"", """")), """"), GOOGLETRANSLATE('AYIRA MINI MART FINAL MENU - Pr'!A670, ""ar"", ""en"")))"),"Bugles Chilli Cheese 65g – Bugles Chilli")</f>
        <v>Bugles Chilli Cheese 65g – Bugles Chilli</v>
      </c>
      <c r="B670" s="56" t="str">
        <f>IFERROR(__xludf.DUMMYFUNCTION("IF('AYIRA MINI MART FINAL MENU - Pr'!B670="""", """", IF(LEN(IFERROR(TRIM(REGEXREPLACE(TRIM(REGEXEXTRACT('AYIRA MINI MART FINAL MENU - Pr'!B670, ""^[^\x{0600}-\x{06FF}]+"")), ""[-–]+$"", """")), """"))&gt;0, IFERROR(TRIM(REGEXREPLACE(TRIM(REGEXEXTRACT('AYIRA"&amp;" MINI MART FINAL MENU - Pr'!B670, ""^[^\x{0600}-\x{06FF}]+"")), ""[-–]+$"", """")), """"), GOOGLETRANSLATE('AYIRA MINI MART FINAL MENU - Pr'!B670, ""ar"", ""en"")))"),"Chips &amp; Crisps")</f>
        <v>Chips &amp; Crisps</v>
      </c>
      <c r="C670" s="58">
        <f>IF('AYIRA MINI MART FINAL MENU - Pr'!C670="", "", 'AYIRA MINI MART FINAL MENU - Pr'!C670)</f>
        <v>5</v>
      </c>
      <c r="D670" s="56" t="str">
        <f>IFERROR(__xludf.DUMMYFUNCTION("IF('AYIRA MINI MART FINAL MENU - Pr'!D670="""", """", GOOGLETRANSLATE('AYIRA MINI MART FINAL MENU - Pr'!D670, ""ar"", ""en""))"),"Don't be able to resist the taste of Bugles Chilli Cheese 65g, your perfect companion for relaxing and watching the game. Its unique crunch and varied flavors make every handful a delightful experience. Prepared with the finest ingredients using the lates"&amp;"t manufacturing techniques to ensure an unparalleled taste. Ideal as a snack for adults and children alike between meals. Aira Mini Mart offers it in the perfect size and flavor for you.")</f>
        <v>Don't be able to resist the taste of Bugles Chilli Cheese 65g,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70" s="56" t="str">
        <f>IF('AYIRA MINI MART FINAL MENU - Pr'!K670="", "", 'AYIRA MINI MART FINAL MENU - Pr'!K670)</f>
        <v/>
      </c>
      <c r="F670" s="56"/>
      <c r="G670" s="56"/>
      <c r="H670" s="56"/>
      <c r="I670" s="56"/>
      <c r="J670" s="56"/>
      <c r="L670" s="56" t="str">
        <f>IF('AYIRA MINI MART FINAL MENU - Pr'!L670="", "", 'AYIRA MINI MART FINAL MENU - Pr'!L670)</f>
        <v/>
      </c>
      <c r="M670" s="56" t="str">
        <f>IF('AYIRA MINI MART FINAL MENU - Pr'!M670="", "", 'AYIRA MINI MART FINAL MENU - Pr'!M670)</f>
        <v/>
      </c>
      <c r="N670" s="56" t="str">
        <f>IF('AYIRA MINI MART FINAL MENU - Pr'!N670="", "", 'AYIRA MINI MART FINAL MENU - Pr'!N670)</f>
        <v/>
      </c>
      <c r="O670" s="57"/>
      <c r="P670" s="57"/>
      <c r="Q670" s="57"/>
      <c r="R670" s="57"/>
      <c r="S670" s="57"/>
      <c r="T670" s="57"/>
      <c r="U670" s="57"/>
      <c r="V670" s="57"/>
      <c r="W670" s="57"/>
      <c r="X670" s="57"/>
      <c r="Y670" s="57"/>
      <c r="Z670" s="57"/>
    </row>
    <row r="671">
      <c r="A671" s="56" t="str">
        <f>IFERROR(__xludf.DUMMYFUNCTION("IF('AYIRA MINI MART FINAL MENU - Pr'!A671="""", """", IF(LEN(IFERROR(TRIM(REGEXREPLACE(TRIM(REGEXEXTRACT('AYIRA MINI MART FINAL MENU - Pr'!A671, ""^[^\x{0600}-\x{06FF}]+"")), ""[-–]+$"", """")), """"))&gt;0, IFERROR(TRIM(REGEXREPLACE(TRIM(REGEXEXTRACT('AYIRA"&amp;" MINI MART FINAL MENU - Pr'!A671, ""^[^\x{0600}-\x{06FF}]+"")), ""[-–]+$"", """")), """"), GOOGLETRANSLATE('AYIRA MINI MART FINAL MENU - Pr'!A671, ""ar"", ""en"")))"),"Al Batal Salt &amp; Vinegar Flavour 110g – Al Batal")</f>
        <v>Al Batal Salt &amp; Vinegar Flavour 110g – Al Batal</v>
      </c>
      <c r="B671" s="56" t="str">
        <f>IFERROR(__xludf.DUMMYFUNCTION("IF('AYIRA MINI MART FINAL MENU - Pr'!B671="""", """", IF(LEN(IFERROR(TRIM(REGEXREPLACE(TRIM(REGEXEXTRACT('AYIRA MINI MART FINAL MENU - Pr'!B671, ""^[^\x{0600}-\x{06FF}]+"")), ""[-–]+$"", """")), """"))&gt;0, IFERROR(TRIM(REGEXREPLACE(TRIM(REGEXEXTRACT('AYIRA"&amp;" MINI MART FINAL MENU - Pr'!B671, ""^[^\x{0600}-\x{06FF}]+"")), ""[-–]+$"", """")), """"), GOOGLETRANSLATE('AYIRA MINI MART FINAL MENU - Pr'!B671, ""ar"", ""en"")))"),"Chips &amp; Crisps")</f>
        <v>Chips &amp; Crisps</v>
      </c>
      <c r="C671" s="58">
        <f>IF('AYIRA MINI MART FINAL MENU - Pr'!C671="", "", 'AYIRA MINI MART FINAL MENU - Pr'!C671)</f>
        <v>5</v>
      </c>
      <c r="D671" s="56" t="str">
        <f>IFERROR(__xludf.DUMMYFUNCTION("IF('AYIRA MINI MART FINAL MENU - Pr'!D671="""", """", GOOGLETRANSLATE('AYIRA MINI MART FINAL MENU - Pr'!D671, ""ar"", ""en""))"),"Don't be able to resist the taste of Al Batal Salt &amp; Vinegar Flavor 110g, your perfect companion for relaxing and watching matches. Its unique crunch and diverse flavors make every handful a delightful experience. Prepared with the finest ingredients usin"&amp;"g the latest manufacturing techniques to ensure an unparalleled taste. Ideal as a snack for adults and children between meals. Aira Mini Mart offers it in the perfect size and flavor for you.")</f>
        <v>Don't be able to resist the taste of Al Batal Salt &amp; Vinegar Flavor 110g,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671" s="56" t="str">
        <f>IF('AYIRA MINI MART FINAL MENU - Pr'!K671="", "", 'AYIRA MINI MART FINAL MENU - Pr'!K671)</f>
        <v/>
      </c>
      <c r="F671" s="56"/>
      <c r="G671" s="56"/>
      <c r="H671" s="56"/>
      <c r="I671" s="56"/>
      <c r="J671" s="56"/>
      <c r="L671" s="56" t="str">
        <f>IF('AYIRA MINI MART FINAL MENU - Pr'!L671="", "", 'AYIRA MINI MART FINAL MENU - Pr'!L671)</f>
        <v/>
      </c>
      <c r="M671" s="56" t="str">
        <f>IF('AYIRA MINI MART FINAL MENU - Pr'!M671="", "", 'AYIRA MINI MART FINAL MENU - Pr'!M671)</f>
        <v/>
      </c>
      <c r="N671" s="56" t="str">
        <f>IF('AYIRA MINI MART FINAL MENU - Pr'!N671="", "", 'AYIRA MINI MART FINAL MENU - Pr'!N671)</f>
        <v/>
      </c>
      <c r="O671" s="57"/>
      <c r="P671" s="57"/>
      <c r="Q671" s="57"/>
      <c r="R671" s="57"/>
      <c r="S671" s="57"/>
      <c r="T671" s="57"/>
      <c r="U671" s="57"/>
      <c r="V671" s="57"/>
      <c r="W671" s="57"/>
      <c r="X671" s="57"/>
      <c r="Y671" s="57"/>
      <c r="Z671" s="57"/>
    </row>
    <row r="672">
      <c r="A672" s="56" t="str">
        <f>IFERROR(__xludf.DUMMYFUNCTION("IF('AYIRA MINI MART FINAL MENU - Pr'!A672="""", """", IF(LEN(IFERROR(TRIM(REGEXREPLACE(TRIM(REGEXEXTRACT('AYIRA MINI MART FINAL MENU - Pr'!A672, ""^[^\x{0600}-\x{06FF}]+"")), ""[-–]+$"", """")), """"))&gt;0, IFERROR(TRIM(REGEXREPLACE(TRIM(REGEXEXTRACT('AYIRA"&amp;" MINI MART FINAL MENU - Pr'!A672, ""^[^\x{0600}-\x{06FF}]+"")), ""[-–]+$"", """")), """"), GOOGLETRANSLATE('AYIRA MINI MART FINAL MENU - Pr'!A672, ""ar"", ""en"")))"),"Bugles Algerian Sauce Flavour 65g – Bugles Algerian Sauce Flavour 65")</f>
        <v>Bugles Algerian Sauce Flavour 65g – Bugles Algerian Sauce Flavour 65</v>
      </c>
      <c r="B672" s="56" t="str">
        <f>IFERROR(__xludf.DUMMYFUNCTION("IF('AYIRA MINI MART FINAL MENU - Pr'!B672="""", """", IF(LEN(IFERROR(TRIM(REGEXREPLACE(TRIM(REGEXEXTRACT('AYIRA MINI MART FINAL MENU - Pr'!B672, ""^[^\x{0600}-\x{06FF}]+"")), ""[-–]+$"", """")), """"))&gt;0, IFERROR(TRIM(REGEXREPLACE(TRIM(REGEXEXTRACT('AYIRA"&amp;" MINI MART FINAL MENU - Pr'!B672, ""^[^\x{0600}-\x{06FF}]+"")), ""[-–]+$"", """")), """"), GOOGLETRANSLATE('AYIRA MINI MART FINAL MENU - Pr'!B672, ""ar"", ""en"")))"),"Chips &amp; Crisps")</f>
        <v>Chips &amp; Crisps</v>
      </c>
      <c r="C672" s="58">
        <f>IF('AYIRA MINI MART FINAL MENU - Pr'!C672="", "", 'AYIRA MINI MART FINAL MENU - Pr'!C672)</f>
        <v>5</v>
      </c>
      <c r="D672" s="56" t="str">
        <f>IFERROR(__xludf.DUMMYFUNCTION("IF('AYIRA MINI MART FINAL MENU - Pr'!D672="""", """", GOOGLETRANSLATE('AYIRA MINI MART FINAL MENU - Pr'!D672, ""ar"", ""en""))"),"Don't be able to resist the taste of Bugles Algerian Sauce Flavor 65g, your perfect companion for relaxing and watching matches. Its unique crunch and diverse flavors make every handful a delightful experience. Prepared with the finest ingredients using t"&amp;"he latest manufacturing techniques to guarantee an unparalleled taste. Ideal as a snack for adults and children between meals. Aira Mini Mart offers it in the size and flavor that suits you best.")</f>
        <v>Don't be able to resist the taste of Bugles Algerian Sauce Flavor 65g,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672" s="56" t="str">
        <f>IF('AYIRA MINI MART FINAL MENU - Pr'!K672="", "", 'AYIRA MINI MART FINAL MENU - Pr'!K672)</f>
        <v/>
      </c>
      <c r="F672" s="56"/>
      <c r="G672" s="56"/>
      <c r="H672" s="56"/>
      <c r="I672" s="56"/>
      <c r="J672" s="56"/>
      <c r="L672" s="56" t="str">
        <f>IF('AYIRA MINI MART FINAL MENU - Pr'!L672="", "", 'AYIRA MINI MART FINAL MENU - Pr'!L672)</f>
        <v/>
      </c>
      <c r="M672" s="56" t="str">
        <f>IF('AYIRA MINI MART FINAL MENU - Pr'!M672="", "", 'AYIRA MINI MART FINAL MENU - Pr'!M672)</f>
        <v/>
      </c>
      <c r="N672" s="56" t="str">
        <f>IF('AYIRA MINI MART FINAL MENU - Pr'!N672="", "", 'AYIRA MINI MART FINAL MENU - Pr'!N672)</f>
        <v/>
      </c>
      <c r="O672" s="57"/>
      <c r="P672" s="57"/>
      <c r="Q672" s="57"/>
      <c r="R672" s="57"/>
      <c r="S672" s="57"/>
      <c r="T672" s="57"/>
      <c r="U672" s="57"/>
      <c r="V672" s="57"/>
      <c r="W672" s="57"/>
      <c r="X672" s="57"/>
      <c r="Y672" s="57"/>
      <c r="Z672" s="57"/>
    </row>
    <row r="673">
      <c r="A673" s="56" t="str">
        <f>IFERROR(__xludf.DUMMYFUNCTION("IF('AYIRA MINI MART FINAL MENU - Pr'!A673="""", """", IF(LEN(IFERROR(TRIM(REGEXREPLACE(TRIM(REGEXEXTRACT('AYIRA MINI MART FINAL MENU - Pr'!A673, ""^[^\x{0600}-\x{06FF}]+"")), ""[-–]+$"", """")), """"))&gt;0, IFERROR(TRIM(REGEXREPLACE(TRIM(REGEXEXTRACT('AYIRA"&amp;" MINI MART FINAL MENU - Pr'!A673, ""^[^\x{0600}-\x{06FF}]+"")), ""[-–]+$"", """")), """"), GOOGLETRANSLATE('AYIRA MINI MART FINAL MENU - Pr'!A673, ""ar"", ""en"")))"),"Al Batal Cheese Flavour 110g – Al Batal")</f>
        <v>Al Batal Cheese Flavour 110g – Al Batal</v>
      </c>
      <c r="B673" s="56" t="str">
        <f>IFERROR(__xludf.DUMMYFUNCTION("IF('AYIRA MINI MART FINAL MENU - Pr'!B673="""", """", IF(LEN(IFERROR(TRIM(REGEXREPLACE(TRIM(REGEXEXTRACT('AYIRA MINI MART FINAL MENU - Pr'!B673, ""^[^\x{0600}-\x{06FF}]+"")), ""[-–]+$"", """")), """"))&gt;0, IFERROR(TRIM(REGEXREPLACE(TRIM(REGEXEXTRACT('AYIRA"&amp;" MINI MART FINAL MENU - Pr'!B673, ""^[^\x{0600}-\x{06FF}]+"")), ""[-–]+$"", """")), """"), GOOGLETRANSLATE('AYIRA MINI MART FINAL MENU - Pr'!B673, ""ar"", ""en"")))"),"Chips &amp; Crisps")</f>
        <v>Chips &amp; Crisps</v>
      </c>
      <c r="C673" s="58">
        <f>IF('AYIRA MINI MART FINAL MENU - Pr'!C673="", "", 'AYIRA MINI MART FINAL MENU - Pr'!C673)</f>
        <v>5</v>
      </c>
      <c r="D673" s="56" t="str">
        <f>IFERROR(__xludf.DUMMYFUNCTION("IF('AYIRA MINI MART FINAL MENU - Pr'!D673="""", """", GOOGLETRANSLATE('AYIRA MINI MART FINAL MENU - Pr'!D673, ""ar"", ""en""))"),"Don't be able to resist the taste of Al Batal Cheese Flavor 110g, your perfect companion for relaxing and watching matches. Its unique crunch and diverse flavors make every handful a delightful experience. Prepared with the finest ingredients using the la"&amp;"test manufacturing techniques to guarantee an unparalleled taste. Ideal as a snack for adults and children between meals. Aira Mini Mart offers it in the size and flavor that suits you best.")</f>
        <v>Don't be able to resist the taste of Al Batal Cheese Flavor 110g,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673" s="56" t="str">
        <f>IF('AYIRA MINI MART FINAL MENU - Pr'!K673="", "", 'AYIRA MINI MART FINAL MENU - Pr'!K673)</f>
        <v/>
      </c>
      <c r="F673" s="56"/>
      <c r="G673" s="56"/>
      <c r="H673" s="56"/>
      <c r="I673" s="56"/>
      <c r="J673" s="56"/>
      <c r="L673" s="56" t="str">
        <f>IF('AYIRA MINI MART FINAL MENU - Pr'!L673="", "", 'AYIRA MINI MART FINAL MENU - Pr'!L673)</f>
        <v/>
      </c>
      <c r="M673" s="56" t="str">
        <f>IF('AYIRA MINI MART FINAL MENU - Pr'!M673="", "", 'AYIRA MINI MART FINAL MENU - Pr'!M673)</f>
        <v/>
      </c>
      <c r="N673" s="56" t="str">
        <f>IF('AYIRA MINI MART FINAL MENU - Pr'!N673="", "", 'AYIRA MINI MART FINAL MENU - Pr'!N673)</f>
        <v/>
      </c>
      <c r="O673" s="57"/>
      <c r="P673" s="57"/>
      <c r="Q673" s="57"/>
      <c r="R673" s="57"/>
      <c r="S673" s="57"/>
      <c r="T673" s="57"/>
      <c r="U673" s="57"/>
      <c r="V673" s="57"/>
      <c r="W673" s="57"/>
      <c r="X673" s="57"/>
      <c r="Y673" s="57"/>
      <c r="Z673" s="57"/>
    </row>
    <row r="674">
      <c r="A674" s="56" t="str">
        <f>IFERROR(__xludf.DUMMYFUNCTION("IF('AYIRA MINI MART FINAL MENU - Pr'!A674="""", """", IF(LEN(IFERROR(TRIM(REGEXREPLACE(TRIM(REGEXEXTRACT('AYIRA MINI MART FINAL MENU - Pr'!A674, ""^[^\x{0600}-\x{06FF}]+"")), ""[-–]+$"", """")), """"))&gt;0, IFERROR(TRIM(REGEXREPLACE(TRIM(REGEXEXTRACT('AYIRA"&amp;" MINI MART FINAL MENU - Pr'!A674, ""^[^\x{0600}-\x{06FF}]+"")), ""[-–]+$"", """")), """"), GOOGLETRANSLATE('AYIRA MINI MART FINAL MENU - Pr'!A674, ""ar"", ""en"")))"),"Al Batal Ketchup Flavour 110g – Al Batal")</f>
        <v>Al Batal Ketchup Flavour 110g – Al Batal</v>
      </c>
      <c r="B674" s="56" t="str">
        <f>IFERROR(__xludf.DUMMYFUNCTION("IF('AYIRA MINI MART FINAL MENU - Pr'!B674="""", """", IF(LEN(IFERROR(TRIM(REGEXREPLACE(TRIM(REGEXEXTRACT('AYIRA MINI MART FINAL MENU - Pr'!B674, ""^[^\x{0600}-\x{06FF}]+"")), ""[-–]+$"", """")), """"))&gt;0, IFERROR(TRIM(REGEXREPLACE(TRIM(REGEXEXTRACT('AYIRA"&amp;" MINI MART FINAL MENU - Pr'!B674, ""^[^\x{0600}-\x{06FF}]+"")), ""[-–]+$"", """")), """"), GOOGLETRANSLATE('AYIRA MINI MART FINAL MENU - Pr'!B674, ""ar"", ""en"")))"),"Chips &amp; Crisps")</f>
        <v>Chips &amp; Crisps</v>
      </c>
      <c r="C674" s="58">
        <f>IF('AYIRA MINI MART FINAL MENU - Pr'!C674="", "", 'AYIRA MINI MART FINAL MENU - Pr'!C674)</f>
        <v>5</v>
      </c>
      <c r="D674" s="56" t="str">
        <f>IFERROR(__xludf.DUMMYFUNCTION("IF('AYIRA MINI MART FINAL MENU - Pr'!D674="""", """", GOOGLETRANSLATE('AYIRA MINI MART FINAL MENU - Pr'!D674, ""ar"", ""en""))"),"Don't be able to resist the taste of Al Batal Ketchup Flavor 110g, your perfect companion for relaxing and watching matches. Its unique crunch and diverse flavors make every handful a delightful experience. Prepared with the finest ingredients using the l"&amp;"atest manufacturing techniques to guarantee an unparalleled taste. Ideal as a snack for adults and children between meals. Aira Mini Mart offers it in the size and flavor that suits you best.")</f>
        <v>Don't be able to resist the taste of Al Batal Ketchup Flavor 110g,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674" s="56" t="str">
        <f>IF('AYIRA MINI MART FINAL MENU - Pr'!K674="", "", 'AYIRA MINI MART FINAL MENU - Pr'!K674)</f>
        <v/>
      </c>
      <c r="F674" s="56"/>
      <c r="G674" s="56"/>
      <c r="H674" s="56"/>
      <c r="I674" s="56"/>
      <c r="J674" s="56"/>
      <c r="L674" s="56" t="str">
        <f>IF('AYIRA MINI MART FINAL MENU - Pr'!L674="", "", 'AYIRA MINI MART FINAL MENU - Pr'!L674)</f>
        <v/>
      </c>
      <c r="M674" s="56" t="str">
        <f>IF('AYIRA MINI MART FINAL MENU - Pr'!M674="", "", 'AYIRA MINI MART FINAL MENU - Pr'!M674)</f>
        <v/>
      </c>
      <c r="N674" s="56" t="str">
        <f>IF('AYIRA MINI MART FINAL MENU - Pr'!N674="", "", 'AYIRA MINI MART FINAL MENU - Pr'!N674)</f>
        <v/>
      </c>
      <c r="O674" s="57"/>
      <c r="P674" s="57"/>
      <c r="Q674" s="57"/>
      <c r="R674" s="57"/>
      <c r="S674" s="57"/>
      <c r="T674" s="57"/>
      <c r="U674" s="57"/>
      <c r="V674" s="57"/>
      <c r="W674" s="57"/>
      <c r="X674" s="57"/>
      <c r="Y674" s="57"/>
      <c r="Z674" s="57"/>
    </row>
    <row r="675">
      <c r="A675" s="56" t="str">
        <f>IFERROR(__xludf.DUMMYFUNCTION("IF('AYIRA MINI MART FINAL MENU - Pr'!A675="""", """", IF(LEN(IFERROR(TRIM(REGEXREPLACE(TRIM(REGEXEXTRACT('AYIRA MINI MART FINAL MENU - Pr'!A675, ""^[^\x{0600}-\x{06FF}]+"")), ""[-–]+$"", """")), """"))&gt;0, IFERROR(TRIM(REGEXREPLACE(TRIM(REGEXEXTRACT('AYIRA"&amp;" MINI MART FINAL MENU - Pr'!A675, ""^[^\x{0600}-\x{06FF}]+"")), ""[-–]+$"", """")), """"), GOOGLETRANSLATE('AYIRA MINI MART FINAL MENU - Pr'!A675, ""ar"", ""en"")))"),"Batatos Spicy Flavour 167g – Batatos")</f>
        <v>Batatos Spicy Flavour 167g – Batatos</v>
      </c>
      <c r="B675" s="56" t="str">
        <f>IFERROR(__xludf.DUMMYFUNCTION("IF('AYIRA MINI MART FINAL MENU - Pr'!B675="""", """", IF(LEN(IFERROR(TRIM(REGEXREPLACE(TRIM(REGEXEXTRACT('AYIRA MINI MART FINAL MENU - Pr'!B675, ""^[^\x{0600}-\x{06FF}]+"")), ""[-–]+$"", """")), """"))&gt;0, IFERROR(TRIM(REGEXREPLACE(TRIM(REGEXEXTRACT('AYIRA"&amp;" MINI MART FINAL MENU - Pr'!B675, ""^[^\x{0600}-\x{06FF}]+"")), ""[-–]+$"", """")), """"), GOOGLETRANSLATE('AYIRA MINI MART FINAL MENU - Pr'!B675, ""ar"", ""en"")))"),"Chips &amp; Crisps")</f>
        <v>Chips &amp; Crisps</v>
      </c>
      <c r="C675" s="58">
        <f>IF('AYIRA MINI MART FINAL MENU - Pr'!C675="", "", 'AYIRA MINI MART FINAL MENU - Pr'!C675)</f>
        <v>8</v>
      </c>
      <c r="D675" s="56" t="str">
        <f>IFERROR(__xludf.DUMMYFUNCTION("IF('AYIRA MINI MART FINAL MENU - Pr'!D675="""", """", GOOGLETRANSLATE('AYIRA MINI MART FINAL MENU - Pr'!D675, ""ar"", ""en""))"),"Don't be able to resist the taste of Batatos Spicy Flavor 167g, your perfect companion for relaxing and watching the game. Its unique crunch and varied flavors make every handful a delightful experience. Prepared with the finest ingredients using the late"&amp;"st manufacturing techniques to ensure an unparalleled taste. Ideal as a snack for adults and children alike between meals. Aira Mini Mart offers it in the perfect size and flavor for you.")</f>
        <v>Don't be able to resist the taste of Batatos Spicy Flavor 167g,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75" s="56" t="str">
        <f>IF('AYIRA MINI MART FINAL MENU - Pr'!K675="", "", 'AYIRA MINI MART FINAL MENU - Pr'!K675)</f>
        <v/>
      </c>
      <c r="F675" s="56"/>
      <c r="G675" s="56"/>
      <c r="H675" s="56"/>
      <c r="I675" s="56"/>
      <c r="J675" s="56"/>
      <c r="L675" s="56" t="str">
        <f>IF('AYIRA MINI MART FINAL MENU - Pr'!L675="", "", 'AYIRA MINI MART FINAL MENU - Pr'!L675)</f>
        <v/>
      </c>
      <c r="M675" s="56" t="str">
        <f>IF('AYIRA MINI MART FINAL MENU - Pr'!M675="", "", 'AYIRA MINI MART FINAL MENU - Pr'!M675)</f>
        <v/>
      </c>
      <c r="N675" s="56" t="str">
        <f>IF('AYIRA MINI MART FINAL MENU - Pr'!N675="", "", 'AYIRA MINI MART FINAL MENU - Pr'!N675)</f>
        <v/>
      </c>
      <c r="O675" s="57"/>
      <c r="P675" s="57"/>
      <c r="Q675" s="57"/>
      <c r="R675" s="57"/>
      <c r="S675" s="57"/>
      <c r="T675" s="57"/>
      <c r="U675" s="57"/>
      <c r="V675" s="57"/>
      <c r="W675" s="57"/>
      <c r="X675" s="57"/>
      <c r="Y675" s="57"/>
      <c r="Z675" s="57"/>
    </row>
    <row r="676">
      <c r="A676" s="56" t="str">
        <f>IFERROR(__xludf.DUMMYFUNCTION("IF('AYIRA MINI MART FINAL MENU - Pr'!A676="""", """", IF(LEN(IFERROR(TRIM(REGEXREPLACE(TRIM(REGEXEXTRACT('AYIRA MINI MART FINAL MENU - Pr'!A676, ""^[^\x{0600}-\x{06FF}]+"")), ""[-–]+$"", """")), """"))&gt;0, IFERROR(TRIM(REGEXREPLACE(TRIM(REGEXEXTRACT('AYIRA"&amp;" MINI MART FINAL MENU - Pr'!A676, ""^[^\x{0600}-\x{06FF}]+"")), ""[-–]+$"", """")), """"), GOOGLETRANSLATE('AYIRA MINI MART FINAL MENU - Pr'!A676, ""ar"", ""en"")))"),"Batatos Smoky BBQ 167g – Batatos Smoky")</f>
        <v>Batatos Smoky BBQ 167g – Batatos Smoky</v>
      </c>
      <c r="B676" s="56" t="str">
        <f>IFERROR(__xludf.DUMMYFUNCTION("IF('AYIRA MINI MART FINAL MENU - Pr'!B676="""", """", IF(LEN(IFERROR(TRIM(REGEXREPLACE(TRIM(REGEXEXTRACT('AYIRA MINI MART FINAL MENU - Pr'!B676, ""^[^\x{0600}-\x{06FF}]+"")), ""[-–]+$"", """")), """"))&gt;0, IFERROR(TRIM(REGEXREPLACE(TRIM(REGEXEXTRACT('AYIRA"&amp;" MINI MART FINAL MENU - Pr'!B676, ""^[^\x{0600}-\x{06FF}]+"")), ""[-–]+$"", """")), """"), GOOGLETRANSLATE('AYIRA MINI MART FINAL MENU - Pr'!B676, ""ar"", ""en"")))"),"Chips &amp; Crisps")</f>
        <v>Chips &amp; Crisps</v>
      </c>
      <c r="C676" s="58">
        <f>IF('AYIRA MINI MART FINAL MENU - Pr'!C676="", "", 'AYIRA MINI MART FINAL MENU - Pr'!C676)</f>
        <v>8</v>
      </c>
      <c r="D676" s="56" t="str">
        <f>IFERROR(__xludf.DUMMYFUNCTION("IF('AYIRA MINI MART FINAL MENU - Pr'!D676="""", """", GOOGLETRANSLATE('AYIRA MINI MART FINAL MENU - Pr'!D676, ""ar"", ""en""))"),"Don't be able to resist the taste of Batatos Smoky BBQ 167g, your perfect companion for relaxing and watching the game. Its unique crunch and diverse flavors make every handful a delightful experience. Prepared with the finest ingredients using the latest"&amp;" manufacturing techniques to guarantee an unparalleled taste. Ideal as a snack for adults and children alike between meals. Aira Mini Mart offers it in the perfect size and flavor for you.")</f>
        <v>Don't be able to resist the taste of Batatos Smoky BBQ 167g,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676" s="56" t="str">
        <f>IF('AYIRA MINI MART FINAL MENU - Pr'!K676="", "", 'AYIRA MINI MART FINAL MENU - Pr'!K676)</f>
        <v/>
      </c>
      <c r="F676" s="56"/>
      <c r="G676" s="56"/>
      <c r="H676" s="56"/>
      <c r="I676" s="56"/>
      <c r="J676" s="56"/>
      <c r="L676" s="56" t="str">
        <f>IF('AYIRA MINI MART FINAL MENU - Pr'!L676="", "", 'AYIRA MINI MART FINAL MENU - Pr'!L676)</f>
        <v/>
      </c>
      <c r="M676" s="56" t="str">
        <f>IF('AYIRA MINI MART FINAL MENU - Pr'!M676="", "", 'AYIRA MINI MART FINAL MENU - Pr'!M676)</f>
        <v/>
      </c>
      <c r="N676" s="56" t="str">
        <f>IF('AYIRA MINI MART FINAL MENU - Pr'!N676="", "", 'AYIRA MINI MART FINAL MENU - Pr'!N676)</f>
        <v/>
      </c>
      <c r="O676" s="57"/>
      <c r="P676" s="57"/>
      <c r="Q676" s="57"/>
      <c r="R676" s="57"/>
      <c r="S676" s="57"/>
      <c r="T676" s="57"/>
      <c r="U676" s="57"/>
      <c r="V676" s="57"/>
      <c r="W676" s="57"/>
      <c r="X676" s="57"/>
      <c r="Y676" s="57"/>
      <c r="Z676" s="57"/>
    </row>
    <row r="677">
      <c r="A677" s="56" t="str">
        <f>IFERROR(__xludf.DUMMYFUNCTION("IF('AYIRA MINI MART FINAL MENU - Pr'!A677="""", """", IF(LEN(IFERROR(TRIM(REGEXREPLACE(TRIM(REGEXEXTRACT('AYIRA MINI MART FINAL MENU - Pr'!A677, ""^[^\x{0600}-\x{06FF}]+"")), ""[-–]+$"", """")), """"))&gt;0, IFERROR(TRIM(REGEXREPLACE(TRIM(REGEXEXTRACT('AYIRA"&amp;" MINI MART FINAL MENU - Pr'!A677, ""^[^\x{0600}-\x{06FF}]+"")), ""[-–]+$"", """")), """"), GOOGLETRANSLATE('AYIRA MINI MART FINAL MENU - Pr'!A677, ""ar"", ""en"")))"),"Batatos Classic Salted 167g – Batatos")</f>
        <v>Batatos Classic Salted 167g – Batatos</v>
      </c>
      <c r="B677" s="56" t="str">
        <f>IFERROR(__xludf.DUMMYFUNCTION("IF('AYIRA MINI MART FINAL MENU - Pr'!B677="""", """", IF(LEN(IFERROR(TRIM(REGEXREPLACE(TRIM(REGEXEXTRACT('AYIRA MINI MART FINAL MENU - Pr'!B677, ""^[^\x{0600}-\x{06FF}]+"")), ""[-–]+$"", """")), """"))&gt;0, IFERROR(TRIM(REGEXREPLACE(TRIM(REGEXEXTRACT('AYIRA"&amp;" MINI MART FINAL MENU - Pr'!B677, ""^[^\x{0600}-\x{06FF}]+"")), ""[-–]+$"", """")), """"), GOOGLETRANSLATE('AYIRA MINI MART FINAL MENU - Pr'!B677, ""ar"", ""en"")))"),"Dairy Beverages")</f>
        <v>Dairy Beverages</v>
      </c>
      <c r="C677" s="58">
        <f>IF('AYIRA MINI MART FINAL MENU - Pr'!C677="", "", 'AYIRA MINI MART FINAL MENU - Pr'!C677)</f>
        <v>8</v>
      </c>
      <c r="D677" s="56" t="str">
        <f>IFERROR(__xludf.DUMMYFUNCTION("IF('AYIRA MINI MART FINAL MENU - Pr'!D677="""", """", GOOGLETRANSLATE('AYIRA MINI MART FINAL MENU - Pr'!D677, ""ar"", ""en""))"),"Don't be able to resist the taste of Batatos Classic Salted 167g, your perfect companion for relaxing and watching the game. Its unique crunch and varied flavors make every handful a delightful experience. Prepared with the finest ingredients using the la"&amp;"test manufacturing techniques to guarantee an unparalleled taste. Ideal as a snack for adults and children alike between meals. Aira Mini Mart offers it in the perfect size and flavor for you.")</f>
        <v>Don't be able to resist the taste of Batatos Classic Salted 167g,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677" s="56" t="str">
        <f>IF('AYIRA MINI MART FINAL MENU - Pr'!K677="", "", 'AYIRA MINI MART FINAL MENU - Pr'!K677)</f>
        <v/>
      </c>
      <c r="F677" s="56"/>
      <c r="G677" s="56"/>
      <c r="H677" s="56"/>
      <c r="I677" s="56"/>
      <c r="J677" s="56"/>
      <c r="L677" s="56" t="str">
        <f>IF('AYIRA MINI MART FINAL MENU - Pr'!L677="", "", 'AYIRA MINI MART FINAL MENU - Pr'!L677)</f>
        <v/>
      </c>
      <c r="M677" s="56" t="str">
        <f>IF('AYIRA MINI MART FINAL MENU - Pr'!M677="", "", 'AYIRA MINI MART FINAL MENU - Pr'!M677)</f>
        <v/>
      </c>
      <c r="N677" s="56" t="str">
        <f>IF('AYIRA MINI MART FINAL MENU - Pr'!N677="", "", 'AYIRA MINI MART FINAL MENU - Pr'!N677)</f>
        <v/>
      </c>
      <c r="O677" s="57"/>
      <c r="P677" s="57"/>
      <c r="Q677" s="57"/>
      <c r="R677" s="57"/>
      <c r="S677" s="57"/>
      <c r="T677" s="57"/>
      <c r="U677" s="57"/>
      <c r="V677" s="57"/>
      <c r="W677" s="57"/>
      <c r="X677" s="57"/>
      <c r="Y677" s="57"/>
      <c r="Z677" s="57"/>
    </row>
    <row r="678">
      <c r="A678" s="56" t="str">
        <f>IFERROR(__xludf.DUMMYFUNCTION("IF('AYIRA MINI MART FINAL MENU - Pr'!A678="""", """", IF(LEN(IFERROR(TRIM(REGEXREPLACE(TRIM(REGEXEXTRACT('AYIRA MINI MART FINAL MENU - Pr'!A678, ""^[^\x{0600}-\x{06FF}]+"")), ""[-–]+$"", """")), """"))&gt;0, IFERROR(TRIM(REGEXREPLACE(TRIM(REGEXEXTRACT('AYIRA"&amp;" MINI MART FINAL MENU - Pr'!A678, ""^[^\x{0600}-\x{06FF}]+"")), ""[-–]+$"", """")), """"), GOOGLETRANSLATE('AYIRA MINI MART FINAL MENU - Pr'!A678, ""ar"", ""en"")))"),"Batatos Wisconsin Cheddar 167g – Batatos Wisconsin Cheddar 167")</f>
        <v>Batatos Wisconsin Cheddar 167g – Batatos Wisconsin Cheddar 167</v>
      </c>
      <c r="B678" s="56" t="str">
        <f>IFERROR(__xludf.DUMMYFUNCTION("IF('AYIRA MINI MART FINAL MENU - Pr'!B678="""", """", IF(LEN(IFERROR(TRIM(REGEXREPLACE(TRIM(REGEXEXTRACT('AYIRA MINI MART FINAL MENU - Pr'!B678, ""^[^\x{0600}-\x{06FF}]+"")), ""[-–]+$"", """")), """"))&gt;0, IFERROR(TRIM(REGEXREPLACE(TRIM(REGEXEXTRACT('AYIRA"&amp;" MINI MART FINAL MENU - Pr'!B678, ""^[^\x{0600}-\x{06FF}]+"")), ""[-–]+$"", """")), """"), GOOGLETRANSLATE('AYIRA MINI MART FINAL MENU - Pr'!B678, ""ar"", ""en"")))"),"Chips &amp; Crisps")</f>
        <v>Chips &amp; Crisps</v>
      </c>
      <c r="C678" s="58">
        <f>IF('AYIRA MINI MART FINAL MENU - Pr'!C678="", "", 'AYIRA MINI MART FINAL MENU - Pr'!C678)</f>
        <v>8</v>
      </c>
      <c r="D678" s="56" t="str">
        <f>IFERROR(__xludf.DUMMYFUNCTION("IF('AYIRA MINI MART FINAL MENU - Pr'!D678="""", """", GOOGLETRANSLATE('AYIRA MINI MART FINAL MENU - Pr'!D678, ""ar"", ""en""))"),"Don't be able to resist the taste of Batatos Wisconsin Cheddar 167g, your perfect companion for relaxing and watching the game. Its unique crunch and varied flavors make every handful a delightful experience. Prepared with the finest ingredients using the"&amp;" latest manufacturing techniques to ensure an unparalleled taste. Ideal as a snack for adults and children alike between meals. Aira Mini Mart offers it in the perfect size and flavor for you.")</f>
        <v>Don't be able to resist the taste of Batatos Wisconsin Cheddar 167g,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78" s="56" t="str">
        <f>IF('AYIRA MINI MART FINAL MENU - Pr'!K678="", "", 'AYIRA MINI MART FINAL MENU - Pr'!K678)</f>
        <v/>
      </c>
      <c r="F678" s="56"/>
      <c r="G678" s="56"/>
      <c r="H678" s="56"/>
      <c r="I678" s="56"/>
      <c r="J678" s="56"/>
      <c r="L678" s="56" t="str">
        <f>IF('AYIRA MINI MART FINAL MENU - Pr'!L678="", "", 'AYIRA MINI MART FINAL MENU - Pr'!L678)</f>
        <v/>
      </c>
      <c r="M678" s="56" t="str">
        <f>IF('AYIRA MINI MART FINAL MENU - Pr'!M678="", "", 'AYIRA MINI MART FINAL MENU - Pr'!M678)</f>
        <v/>
      </c>
      <c r="N678" s="56" t="str">
        <f>IF('AYIRA MINI MART FINAL MENU - Pr'!N678="", "", 'AYIRA MINI MART FINAL MENU - Pr'!N678)</f>
        <v/>
      </c>
      <c r="O678" s="57"/>
      <c r="P678" s="57"/>
      <c r="Q678" s="57"/>
      <c r="R678" s="57"/>
      <c r="S678" s="57"/>
      <c r="T678" s="57"/>
      <c r="U678" s="57"/>
      <c r="V678" s="57"/>
      <c r="W678" s="57"/>
      <c r="X678" s="57"/>
      <c r="Y678" s="57"/>
      <c r="Z678" s="57"/>
    </row>
    <row r="679">
      <c r="A679" s="56" t="str">
        <f>IFERROR(__xludf.DUMMYFUNCTION("IF('AYIRA MINI MART FINAL MENU - Pr'!A679="""", """", IF(LEN(IFERROR(TRIM(REGEXREPLACE(TRIM(REGEXEXTRACT('AYIRA MINI MART FINAL MENU - Pr'!A679, ""^[^\x{0600}-\x{06FF}]+"")), ""[-–]+$"", """")), """"))&gt;0, IFERROR(TRIM(REGEXREPLACE(TRIM(REGEXEXTRACT('AYIRA"&amp;" MINI MART FINAL MENU - Pr'!A679, ""^[^\x{0600}-\x{06FF}]+"")), ""[-–]+$"", """")), """"), GOOGLETRANSLATE('AYIRA MINI MART FINAL MENU - Pr'!A679, ""ar"", ""en"")))"),"Batatos Tangy Ketchup 167g – Batatos Tangy")</f>
        <v>Batatos Tangy Ketchup 167g – Batatos Tangy</v>
      </c>
      <c r="B679" s="56" t="str">
        <f>IFERROR(__xludf.DUMMYFUNCTION("IF('AYIRA MINI MART FINAL MENU - Pr'!B679="""", """", IF(LEN(IFERROR(TRIM(REGEXREPLACE(TRIM(REGEXEXTRACT('AYIRA MINI MART FINAL MENU - Pr'!B679, ""^[^\x{0600}-\x{06FF}]+"")), ""[-–]+$"", """")), """"))&gt;0, IFERROR(TRIM(REGEXREPLACE(TRIM(REGEXEXTRACT('AYIRA"&amp;" MINI MART FINAL MENU - Pr'!B679, ""^[^\x{0600}-\x{06FF}]+"")), ""[-–]+$"", """")), """"), GOOGLETRANSLATE('AYIRA MINI MART FINAL MENU - Pr'!B679, ""ar"", ""en"")))"),"Chips &amp; Crisps")</f>
        <v>Chips &amp; Crisps</v>
      </c>
      <c r="C679" s="58">
        <f>IF('AYIRA MINI MART FINAL MENU - Pr'!C679="", "", 'AYIRA MINI MART FINAL MENU - Pr'!C679)</f>
        <v>8</v>
      </c>
      <c r="D679" s="56" t="str">
        <f>IFERROR(__xludf.DUMMYFUNCTION("IF('AYIRA MINI MART FINAL MENU - Pr'!D679="""", """", GOOGLETRANSLATE('AYIRA MINI MART FINAL MENU - Pr'!D679, ""ar"", ""en""))"),"Don't be able to resist the taste of Batatos Tangy Ketchup 167g, your perfect companion for relaxing and watching the game. Its unique crunch and varied flavors make every handful a delightful experience. Prepared with the finest ingredients using the lat"&amp;"est manufacturing techniques to ensure an unparalleled taste. Ideal as a snack for adults and children alike between meals. Aira Mini Mart offers it in the perfect size and flavor for you.")</f>
        <v>Don't be able to resist the taste of Batatos Tangy Ketchup 167g,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79" s="56" t="str">
        <f>IF('AYIRA MINI MART FINAL MENU - Pr'!K679="", "", 'AYIRA MINI MART FINAL MENU - Pr'!K679)</f>
        <v/>
      </c>
      <c r="F679" s="56"/>
      <c r="G679" s="56"/>
      <c r="H679" s="56"/>
      <c r="I679" s="56"/>
      <c r="J679" s="56"/>
      <c r="L679" s="56" t="str">
        <f>IF('AYIRA MINI MART FINAL MENU - Pr'!L679="", "", 'AYIRA MINI MART FINAL MENU - Pr'!L679)</f>
        <v/>
      </c>
      <c r="M679" s="56" t="str">
        <f>IF('AYIRA MINI MART FINAL MENU - Pr'!M679="", "", 'AYIRA MINI MART FINAL MENU - Pr'!M679)</f>
        <v/>
      </c>
      <c r="N679" s="56" t="str">
        <f>IF('AYIRA MINI MART FINAL MENU - Pr'!N679="", "", 'AYIRA MINI MART FINAL MENU - Pr'!N679)</f>
        <v/>
      </c>
      <c r="O679" s="57"/>
      <c r="P679" s="57"/>
      <c r="Q679" s="57"/>
      <c r="R679" s="57"/>
      <c r="S679" s="57"/>
      <c r="T679" s="57"/>
      <c r="U679" s="57"/>
      <c r="V679" s="57"/>
      <c r="W679" s="57"/>
      <c r="X679" s="57"/>
      <c r="Y679" s="57"/>
      <c r="Z679" s="57"/>
    </row>
    <row r="680">
      <c r="A680" s="56" t="str">
        <f>IFERROR(__xludf.DUMMYFUNCTION("IF('AYIRA MINI MART FINAL MENU - Pr'!A680="""", """", IF(LEN(IFERROR(TRIM(REGEXREPLACE(TRIM(REGEXEXTRACT('AYIRA MINI MART FINAL MENU - Pr'!A680, ""^[^\x{0600}-\x{06FF}]+"")), ""[-–]+$"", """")), """"))&gt;0, IFERROR(TRIM(REGEXREPLACE(TRIM(REGEXEXTRACT('AYIRA"&amp;" MINI MART FINAL MENU - Pr'!A680, ""^[^\x{0600}-\x{06FF}]+"")), ""[-–]+$"", """")), """"), GOOGLETRANSLATE('AYIRA MINI MART FINAL MENU - Pr'!A680, ""ar"", ""en"")))"),"Batatos Salt 167g – Batatos")</f>
        <v>Batatos Salt 167g – Batatos</v>
      </c>
      <c r="B680" s="56" t="str">
        <f>IFERROR(__xludf.DUMMYFUNCTION("IF('AYIRA MINI MART FINAL MENU - Pr'!B680="""", """", IF(LEN(IFERROR(TRIM(REGEXREPLACE(TRIM(REGEXEXTRACT('AYIRA MINI MART FINAL MENU - Pr'!B680, ""^[^\x{0600}-\x{06FF}]+"")), ""[-–]+$"", """")), """"))&gt;0, IFERROR(TRIM(REGEXREPLACE(TRIM(REGEXEXTRACT('AYIRA"&amp;" MINI MART FINAL MENU - Pr'!B680, ""^[^\x{0600}-\x{06FF}]+"")), ""[-–]+$"", """")), """"), GOOGLETRANSLATE('AYIRA MINI MART FINAL MENU - Pr'!B680, ""ar"", ""en"")))"),"Chips &amp; Crisps")</f>
        <v>Chips &amp; Crisps</v>
      </c>
      <c r="C680" s="58">
        <f>IF('AYIRA MINI MART FINAL MENU - Pr'!C680="", "", 'AYIRA MINI MART FINAL MENU - Pr'!C680)</f>
        <v>8</v>
      </c>
      <c r="D680" s="56" t="str">
        <f>IFERROR(__xludf.DUMMYFUNCTION("IF('AYIRA MINI MART FINAL MENU - Pr'!D680="""", """", GOOGLETRANSLATE('AYIRA MINI MART FINAL MENU - Pr'!D680, ""ar"", ""en""))"),"Don't be able to resist the taste of Batatos Salt 167g, your perfect companion for relaxing and watching matches. Its unique crunch and varied flavors make every handful a delightful experience. Prepared with the finest ingredients using the latest manufa"&amp;"cturing techniques to guarantee an unparalleled taste. Ideal as a snack for adults and children alike between meals. Aira Mini Mart offers it in the perfect size and flavor for you.")</f>
        <v>Don't be able to resist the taste of Batatos Salt 167g, your perfect companion for relaxing and watching matches.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680" s="56" t="str">
        <f>IF('AYIRA MINI MART FINAL MENU - Pr'!K680="", "", 'AYIRA MINI MART FINAL MENU - Pr'!K680)</f>
        <v/>
      </c>
      <c r="F680" s="56"/>
      <c r="G680" s="56"/>
      <c r="H680" s="56"/>
      <c r="I680" s="56"/>
      <c r="J680" s="56"/>
      <c r="L680" s="56" t="str">
        <f>IF('AYIRA MINI MART FINAL MENU - Pr'!L680="", "", 'AYIRA MINI MART FINAL MENU - Pr'!L680)</f>
        <v/>
      </c>
      <c r="M680" s="56" t="str">
        <f>IF('AYIRA MINI MART FINAL MENU - Pr'!M680="", "", 'AYIRA MINI MART FINAL MENU - Pr'!M680)</f>
        <v/>
      </c>
      <c r="N680" s="56" t="str">
        <f>IF('AYIRA MINI MART FINAL MENU - Pr'!N680="", "", 'AYIRA MINI MART FINAL MENU - Pr'!N680)</f>
        <v/>
      </c>
      <c r="O680" s="57"/>
      <c r="P680" s="57"/>
      <c r="Q680" s="57"/>
      <c r="R680" s="57"/>
      <c r="S680" s="57"/>
      <c r="T680" s="57"/>
      <c r="U680" s="57"/>
      <c r="V680" s="57"/>
      <c r="W680" s="57"/>
      <c r="X680" s="57"/>
      <c r="Y680" s="57"/>
      <c r="Z680" s="57"/>
    </row>
    <row r="681">
      <c r="A681" s="56" t="str">
        <f>IFERROR(__xludf.DUMMYFUNCTION("IF('AYIRA MINI MART FINAL MENU - Pr'!A681="""", """", IF(LEN(IFERROR(TRIM(REGEXREPLACE(TRIM(REGEXEXTRACT('AYIRA MINI MART FINAL MENU - Pr'!A681, ""^[^\x{0600}-\x{06FF}]+"")), ""[-–]+$"", """")), """"))&gt;0, IFERROR(TRIM(REGEXREPLACE(TRIM(REGEXEXTRACT('AYIRA"&amp;" MINI MART FINAL MENU - Pr'!A681, ""^[^\x{0600}-\x{06FF}]+"")), ""[-–]+$"", """")), """"), GOOGLETRANSLATE('AYIRA MINI MART FINAL MENU - Pr'!A681, ""ar"", ""en"")))"),"Peanut Butter Bar Granio Milk Chocolate 40g")</f>
        <v>Peanut Butter Bar Granio Milk Chocolate 40g</v>
      </c>
      <c r="B681" s="56" t="str">
        <f>IFERROR(__xludf.DUMMYFUNCTION("IF('AYIRA MINI MART FINAL MENU - Pr'!B681="""", """", IF(LEN(IFERROR(TRIM(REGEXREPLACE(TRIM(REGEXEXTRACT('AYIRA MINI MART FINAL MENU - Pr'!B681, ""^[^\x{0600}-\x{06FF}]+"")), ""[-–]+$"", """")), """"))&gt;0, IFERROR(TRIM(REGEXREPLACE(TRIM(REGEXEXTRACT('AYIRA"&amp;" MINI MART FINAL MENU - Pr'!B681, ""^[^\x{0600}-\x{06FF}]+"")), ""[-–]+$"", """")), """"), GOOGLETRANSLATE('AYIRA MINI MART FINAL MENU - Pr'!B681, ""ar"", ""en"")))"),"Chocolates")</f>
        <v>Chocolates</v>
      </c>
      <c r="C681" s="58">
        <f>IF('AYIRA MINI MART FINAL MENU - Pr'!C681="", "", 'AYIRA MINI MART FINAL MENU - Pr'!C681)</f>
        <v>0</v>
      </c>
      <c r="D681" s="56" t="str">
        <f>IFERROR(__xludf.DUMMYFUNCTION("IF('AYIRA MINI MART FINAL MENU - Pr'!D681="""", """", GOOGLETRANSLATE('AYIRA MINI MART FINAL MENU - Pr'!D681, ""ar"", ""en""))"),"Indulge your senses with Peanut Butter Bar Granio Milk Chocolate 40g, a luxurious chocolate that combines rich flavor with a perfect texture. Made from the finest selected cocoa beans, it delivers an exceptional dessert experience every time. Whether you'"&amp;"re looking for a special gift or want to treat yourself, this chocolate is the perfect choice. Savor every piece and immerse yourself in a world of smoothness and sweetness. Get yours from Aira Mini Mart and experience moments of pure delight.")</f>
        <v>Indulge your senses with Peanut Butter Bar Granio Milk Chocolate 40g,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681" s="56" t="str">
        <f>IF('AYIRA MINI MART FINAL MENU - Pr'!K681="", "", 'AYIRA MINI MART FINAL MENU - Pr'!K681)</f>
        <v/>
      </c>
      <c r="F681" s="56"/>
      <c r="G681" s="56"/>
      <c r="H681" s="56"/>
      <c r="I681" s="56"/>
      <c r="J681" s="56"/>
      <c r="L681" s="56" t="str">
        <f>IF('AYIRA MINI MART FINAL MENU - Pr'!L681="", "", 'AYIRA MINI MART FINAL MENU - Pr'!L681)</f>
        <v/>
      </c>
      <c r="M681" s="56" t="str">
        <f>IF('AYIRA MINI MART FINAL MENU - Pr'!M681="", "", 'AYIRA MINI MART FINAL MENU - Pr'!M681)</f>
        <v/>
      </c>
      <c r="N681" s="56" t="str">
        <f>IF('AYIRA MINI MART FINAL MENU - Pr'!N681="", "", 'AYIRA MINI MART FINAL MENU - Pr'!N681)</f>
        <v/>
      </c>
      <c r="O681" s="57"/>
      <c r="P681" s="57"/>
      <c r="Q681" s="57"/>
      <c r="R681" s="57"/>
      <c r="S681" s="57"/>
      <c r="T681" s="57"/>
      <c r="U681" s="57"/>
      <c r="V681" s="57"/>
      <c r="W681" s="57"/>
      <c r="X681" s="57"/>
      <c r="Y681" s="57"/>
      <c r="Z681" s="57"/>
    </row>
    <row r="682">
      <c r="A682" s="56" t="str">
        <f>IFERROR(__xludf.DUMMYFUNCTION("IF('AYIRA MINI MART FINAL MENU - Pr'!A682="""", """", IF(LEN(IFERROR(TRIM(REGEXREPLACE(TRIM(REGEXEXTRACT('AYIRA MINI MART FINAL MENU - Pr'!A682, ""^[^\x{0600}-\x{06FF}]+"")), ""[-–]+$"", """")), """"))&gt;0, IFERROR(TRIM(REGEXREPLACE(TRIM(REGEXEXTRACT('AYIRA"&amp;" MINI MART FINAL MENU - Pr'!A682, ""^[^\x{0600}-\x{06FF}]+"")), ""[-–]+$"", """")), """"), GOOGLETRANSLATE('AYIRA MINI MART FINAL MENU - Pr'!A682, ""ar"", ""en"")))"),"Galaxy Flutes 45g")</f>
        <v>Galaxy Flutes 45g</v>
      </c>
      <c r="B682" s="56" t="str">
        <f>IFERROR(__xludf.DUMMYFUNCTION("IF('AYIRA MINI MART FINAL MENU - Pr'!B682="""", """", IF(LEN(IFERROR(TRIM(REGEXREPLACE(TRIM(REGEXEXTRACT('AYIRA MINI MART FINAL MENU - Pr'!B682, ""^[^\x{0600}-\x{06FF}]+"")), ""[-–]+$"", """")), """"))&gt;0, IFERROR(TRIM(REGEXREPLACE(TRIM(REGEXEXTRACT('AYIRA"&amp;" MINI MART FINAL MENU - Pr'!B682, ""^[^\x{0600}-\x{06FF}]+"")), ""[-–]+$"", """")), """"), GOOGLETRANSLATE('AYIRA MINI MART FINAL MENU - Pr'!B682, ""ar"", ""en"")))"),"Chocolates")</f>
        <v>Chocolates</v>
      </c>
      <c r="C682" s="58">
        <f>IF('AYIRA MINI MART FINAL MENU - Pr'!C682="", "", 'AYIRA MINI MART FINAL MENU - Pr'!C682)</f>
        <v>3.5</v>
      </c>
      <c r="D682" s="56" t="str">
        <f>IFERROR(__xludf.DUMMYFUNCTION("IF('AYIRA MINI MART FINAL MENU - Pr'!D682="""", """", GOOGLETRANSLATE('AYIRA MINI MART FINAL MENU - Pr'!D682, ""ar"", ""en""))"),"Don't be able to resist the taste of Galaxy Flutes 45g, your perfect companion for relaxing and watching the game. Their unique crunch and diverse flavors make every handful a delightful experience. Prepared with the finest ingredients using the latest ma"&amp;"nufacturing techniques to ensure an unparalleled taste. Ideal as a snack for adults and children alike between meals. Aira Mini Mart offers them in the perfect size and flavor for you.")</f>
        <v>Don't be able to resist the taste of Galaxy Flutes 45g, your perfect companion for relaxing and watching the game. Their unique crunch and diverse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682" s="56" t="str">
        <f>IF('AYIRA MINI MART FINAL MENU - Pr'!K682="", "", 'AYIRA MINI MART FINAL MENU - Pr'!K682)</f>
        <v/>
      </c>
      <c r="F682" s="56"/>
      <c r="G682" s="56"/>
      <c r="H682" s="56"/>
      <c r="I682" s="56"/>
      <c r="J682" s="56"/>
      <c r="L682" s="56" t="str">
        <f>IF('AYIRA MINI MART FINAL MENU - Pr'!L682="", "", 'AYIRA MINI MART FINAL MENU - Pr'!L682)</f>
        <v/>
      </c>
      <c r="M682" s="56" t="str">
        <f>IF('AYIRA MINI MART FINAL MENU - Pr'!M682="", "", 'AYIRA MINI MART FINAL MENU - Pr'!M682)</f>
        <v/>
      </c>
      <c r="N682" s="56" t="str">
        <f>IF('AYIRA MINI MART FINAL MENU - Pr'!N682="", "", 'AYIRA MINI MART FINAL MENU - Pr'!N682)</f>
        <v/>
      </c>
      <c r="O682" s="57"/>
      <c r="P682" s="57"/>
      <c r="Q682" s="57"/>
      <c r="R682" s="57"/>
      <c r="S682" s="57"/>
      <c r="T682" s="57"/>
      <c r="U682" s="57"/>
      <c r="V682" s="57"/>
      <c r="W682" s="57"/>
      <c r="X682" s="57"/>
      <c r="Y682" s="57"/>
      <c r="Z682" s="57"/>
    </row>
    <row r="683">
      <c r="A683" s="56" t="str">
        <f>IFERROR(__xludf.DUMMYFUNCTION("IF('AYIRA MINI MART FINAL MENU - Pr'!A683="""", """", IF(LEN(IFERROR(TRIM(REGEXREPLACE(TRIM(REGEXEXTRACT('AYIRA MINI MART FINAL MENU - Pr'!A683, ""^[^\x{0600}-\x{06FF}]+"")), ""[-–]+$"", """")), """"))&gt;0, IFERROR(TRIM(REGEXREPLACE(TRIM(REGEXEXTRACT('AYIRA"&amp;" MINI MART FINAL MENU - Pr'!A683, ""^[^\x{0600}-\x{06FF}]+"")), ""[-–]+$"", """")), """"), GOOGLETRANSLATE('AYIRA MINI MART FINAL MENU - Pr'!A683, ""ar"", ""en"")))"),"Galaxy Ripple 30g")</f>
        <v>Galaxy Ripple 30g</v>
      </c>
      <c r="B683" s="56" t="str">
        <f>IFERROR(__xludf.DUMMYFUNCTION("IF('AYIRA MINI MART FINAL MENU - Pr'!B683="""", """", IF(LEN(IFERROR(TRIM(REGEXREPLACE(TRIM(REGEXEXTRACT('AYIRA MINI MART FINAL MENU - Pr'!B683, ""^[^\x{0600}-\x{06FF}]+"")), ""[-–]+$"", """")), """"))&gt;0, IFERROR(TRIM(REGEXREPLACE(TRIM(REGEXEXTRACT('AYIRA"&amp;" MINI MART FINAL MENU - Pr'!B683, ""^[^\x{0600}-\x{06FF}]+"")), ""[-–]+$"", """")), """"), GOOGLETRANSLATE('AYIRA MINI MART FINAL MENU - Pr'!B683, ""ar"", ""en"")))"),"Chocolates")</f>
        <v>Chocolates</v>
      </c>
      <c r="C683" s="58">
        <f>IF('AYIRA MINI MART FINAL MENU - Pr'!C683="", "", 'AYIRA MINI MART FINAL MENU - Pr'!C683)</f>
        <v>3.5</v>
      </c>
      <c r="D683" s="56" t="str">
        <f>IFERROR(__xludf.DUMMYFUNCTION("IF('AYIRA MINI MART FINAL MENU - Pr'!D683="""", """", GOOGLETRANSLATE('AYIRA MINI MART FINAL MENU - Pr'!D683, ""ar"", ""en""))"),"Don't be able to resist the taste of Galaxy Ripple 30g, your perfect companion for relaxing and watching the game. Its unique crunch and diverse flavors make every handful a delightful experience. Prepared with the finest ingredients using the latest manu"&amp;"facturing techniques to ensure an unparalleled taste. Ideal as a snack for adults and children between meals. Aira Mini Mart offers it in the size and flavor that suits you best.")</f>
        <v>Don't be able to resist the taste of Galaxy Ripple 30g,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size and flavor that suits you best.</v>
      </c>
      <c r="E683" s="56" t="str">
        <f>IF('AYIRA MINI MART FINAL MENU - Pr'!K683="", "", 'AYIRA MINI MART FINAL MENU - Pr'!K683)</f>
        <v/>
      </c>
      <c r="F683" s="56"/>
      <c r="G683" s="56"/>
      <c r="H683" s="56"/>
      <c r="I683" s="56"/>
      <c r="J683" s="56"/>
      <c r="L683" s="56" t="str">
        <f>IF('AYIRA MINI MART FINAL MENU - Pr'!L683="", "", 'AYIRA MINI MART FINAL MENU - Pr'!L683)</f>
        <v/>
      </c>
      <c r="M683" s="56" t="str">
        <f>IF('AYIRA MINI MART FINAL MENU - Pr'!M683="", "", 'AYIRA MINI MART FINAL MENU - Pr'!M683)</f>
        <v/>
      </c>
      <c r="N683" s="56" t="str">
        <f>IF('AYIRA MINI MART FINAL MENU - Pr'!N683="", "", 'AYIRA MINI MART FINAL MENU - Pr'!N683)</f>
        <v/>
      </c>
      <c r="O683" s="57"/>
      <c r="P683" s="57"/>
      <c r="Q683" s="57"/>
      <c r="R683" s="57"/>
      <c r="S683" s="57"/>
      <c r="T683" s="57"/>
      <c r="U683" s="57"/>
      <c r="V683" s="57"/>
      <c r="W683" s="57"/>
      <c r="X683" s="57"/>
      <c r="Y683" s="57"/>
      <c r="Z683" s="57"/>
    </row>
    <row r="684">
      <c r="A684" s="56" t="str">
        <f>IFERROR(__xludf.DUMMYFUNCTION("IF('AYIRA MINI MART FINAL MENU - Pr'!A684="""", """", IF(LEN(IFERROR(TRIM(REGEXREPLACE(TRIM(REGEXEXTRACT('AYIRA MINI MART FINAL MENU - Pr'!A684, ""^[^\x{0600}-\x{06FF}]+"")), ""[-–]+$"", """")), """"))&gt;0, IFERROR(TRIM(REGEXREPLACE(TRIM(REGEXEXTRACT('AYIRA"&amp;" MINI MART FINAL MENU - Pr'!A684, ""^[^\x{0600}-\x{06FF}]+"")), ""[-–]+$"", """")), """"), GOOGLETRANSLATE('AYIRA MINI MART FINAL MENU - Pr'!A684, ""ar"", ""en"")))"),"Smarties 38g – Smarties 38")</f>
        <v>Smarties 38g – Smarties 38</v>
      </c>
      <c r="B684" s="56" t="str">
        <f>IFERROR(__xludf.DUMMYFUNCTION("IF('AYIRA MINI MART FINAL MENU - Pr'!B684="""", """", IF(LEN(IFERROR(TRIM(REGEXREPLACE(TRIM(REGEXEXTRACT('AYIRA MINI MART FINAL MENU - Pr'!B684, ""^[^\x{0600}-\x{06FF}]+"")), ""[-–]+$"", """")), """"))&gt;0, IFERROR(TRIM(REGEXREPLACE(TRIM(REGEXEXTRACT('AYIRA"&amp;" MINI MART FINAL MENU - Pr'!B684, ""^[^\x{0600}-\x{06FF}]+"")), ""[-–]+$"", """")), """"), GOOGLETRANSLATE('AYIRA MINI MART FINAL MENU - Pr'!B684, ""ar"", ""en"")))"),"Chocolates")</f>
        <v>Chocolates</v>
      </c>
      <c r="C684" s="58">
        <f>IF('AYIRA MINI MART FINAL MENU - Pr'!C684="", "", 'AYIRA MINI MART FINAL MENU - Pr'!C684)</f>
        <v>3.5</v>
      </c>
      <c r="D684" s="56" t="str">
        <f>IFERROR(__xludf.DUMMYFUNCTION("IF('AYIRA MINI MART FINAL MENU - Pr'!D684="""", """", GOOGLETRANSLATE('AYIRA MINI MART FINAL MENU - Pr'!D684, ""ar"", ""en""))"),"Don't be able to resist the taste of Smarties 38g, your perfect companion for relaxing and watching the game. Their unique crunch and varied flavors make every handful a delightful experience. Made with the finest ingredients using the latest manufacturin"&amp;"g techniques to ensure an unparalleled taste. Ideal as a snack for adults and children alike between meals. Aira Mini Mart offers them in the perfect size and flavor for you.")</f>
        <v>Don't be able to resist the taste of Smarties 38g,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684" s="56" t="str">
        <f>IF('AYIRA MINI MART FINAL MENU - Pr'!K684="", "", 'AYIRA MINI MART FINAL MENU - Pr'!K684)</f>
        <v/>
      </c>
      <c r="F684" s="56"/>
      <c r="G684" s="56"/>
      <c r="H684" s="56"/>
      <c r="I684" s="56"/>
      <c r="J684" s="56"/>
      <c r="L684" s="56" t="str">
        <f>IF('AYIRA MINI MART FINAL MENU - Pr'!L684="", "", 'AYIRA MINI MART FINAL MENU - Pr'!L684)</f>
        <v/>
      </c>
      <c r="M684" s="56" t="str">
        <f>IF('AYIRA MINI MART FINAL MENU - Pr'!M684="", "", 'AYIRA MINI MART FINAL MENU - Pr'!M684)</f>
        <v/>
      </c>
      <c r="N684" s="56" t="str">
        <f>IF('AYIRA MINI MART FINAL MENU - Pr'!N684="", "", 'AYIRA MINI MART FINAL MENU - Pr'!N684)</f>
        <v/>
      </c>
      <c r="O684" s="57"/>
      <c r="P684" s="57"/>
      <c r="Q684" s="57"/>
      <c r="R684" s="57"/>
      <c r="S684" s="57"/>
      <c r="T684" s="57"/>
      <c r="U684" s="57"/>
      <c r="V684" s="57"/>
      <c r="W684" s="57"/>
      <c r="X684" s="57"/>
      <c r="Y684" s="57"/>
      <c r="Z684" s="57"/>
    </row>
    <row r="685">
      <c r="A685" s="56" t="str">
        <f>IFERROR(__xludf.DUMMYFUNCTION("IF('AYIRA MINI MART FINAL MENU - Pr'!A685="""", """", IF(LEN(IFERROR(TRIM(REGEXREPLACE(TRIM(REGEXEXTRACT('AYIRA MINI MART FINAL MENU - Pr'!A685, ""^[^\x{0600}-\x{06FF}]+"")), ""[-–]+$"", """")), """"))&gt;0, IFERROR(TRIM(REGEXREPLACE(TRIM(REGEXEXTRACT('AYIRA"&amp;" MINI MART FINAL MENU - Pr'!A685, ""^[^\x{0600}-\x{06FF}]+"")), ""[-–]+$"", """")), """"), GOOGLETRANSLATE('AYIRA MINI MART FINAL MENU - Pr'!A685, ""ar"", ""en"")))"),"Ülker Cocoa Cream 40g – Ülker Cocoa")</f>
        <v>Ülker Cocoa Cream 40g – Ülker Cocoa</v>
      </c>
      <c r="B685" s="56" t="str">
        <f>IFERROR(__xludf.DUMMYFUNCTION("IF('AYIRA MINI MART FINAL MENU - Pr'!B685="""", """", IF(LEN(IFERROR(TRIM(REGEXREPLACE(TRIM(REGEXEXTRACT('AYIRA MINI MART FINAL MENU - Pr'!B685, ""^[^\x{0600}-\x{06FF}]+"")), ""[-–]+$"", """")), """"))&gt;0, IFERROR(TRIM(REGEXREPLACE(TRIM(REGEXEXTRACT('AYIRA"&amp;" MINI MART FINAL MENU - Pr'!B685, ""^[^\x{0600}-\x{06FF}]+"")), ""[-–]+$"", """")), """"), GOOGLETRANSLATE('AYIRA MINI MART FINAL MENU - Pr'!B685, ""ar"", ""en"")))"),"Chocolates")</f>
        <v>Chocolates</v>
      </c>
      <c r="C685" s="58">
        <f>IF('AYIRA MINI MART FINAL MENU - Pr'!C685="", "", 'AYIRA MINI MART FINAL MENU - Pr'!C685)</f>
        <v>3</v>
      </c>
      <c r="D685" s="56" t="str">
        <f>IFERROR(__xludf.DUMMYFUNCTION("IF('AYIRA MINI MART FINAL MENU - Pr'!D685="""", """", GOOGLETRANSLATE('AYIRA MINI MART FINAL MENU - Pr'!D685, ""ar"", ""en""))"),"Don't be able to resist the taste of Ülker Cocoa Cream 40g, your perfect companion for relaxing and watching matches. Its unique crunch and diverse flavors make every handful a delightful experience. Prepared with the finest ingredients using the latest m"&amp;"anufacturing techniques to guarantee an unparalleled taste. Ideal as a snack for adults and children alike between meals. Aira Mini Mart offers it in the size and flavor that suits you best.")</f>
        <v>Don't be able to resist the taste of Ülker Cocoa Cream 40g,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size and flavor that suits you best.</v>
      </c>
      <c r="E685" s="56" t="str">
        <f>IF('AYIRA MINI MART FINAL MENU - Pr'!K685="", "", 'AYIRA MINI MART FINAL MENU - Pr'!K685)</f>
        <v/>
      </c>
      <c r="F685" s="56"/>
      <c r="G685" s="56"/>
      <c r="H685" s="56"/>
      <c r="I685" s="56"/>
      <c r="J685" s="56"/>
      <c r="L685" s="56" t="str">
        <f>IF('AYIRA MINI MART FINAL MENU - Pr'!L685="", "", 'AYIRA MINI MART FINAL MENU - Pr'!L685)</f>
        <v/>
      </c>
      <c r="M685" s="56" t="str">
        <f>IF('AYIRA MINI MART FINAL MENU - Pr'!M685="", "", 'AYIRA MINI MART FINAL MENU - Pr'!M685)</f>
        <v/>
      </c>
      <c r="N685" s="56" t="str">
        <f>IF('AYIRA MINI MART FINAL MENU - Pr'!N685="", "", 'AYIRA MINI MART FINAL MENU - Pr'!N685)</f>
        <v/>
      </c>
      <c r="O685" s="57"/>
      <c r="P685" s="57"/>
      <c r="Q685" s="57"/>
      <c r="R685" s="57"/>
      <c r="S685" s="57"/>
      <c r="T685" s="57"/>
      <c r="U685" s="57"/>
      <c r="V685" s="57"/>
      <c r="W685" s="57"/>
      <c r="X685" s="57"/>
      <c r="Y685" s="57"/>
      <c r="Z685" s="57"/>
    </row>
    <row r="686">
      <c r="A686" s="56" t="str">
        <f>IFERROR(__xludf.DUMMYFUNCTION("IF('AYIRA MINI MART FINAL MENU - Pr'!A686="""", """", IF(LEN(IFERROR(TRIM(REGEXREPLACE(TRIM(REGEXEXTRACT('AYIRA MINI MART FINAL MENU - Pr'!A686, ""^[^\x{0600}-\x{06FF}]+"")), ""[-–]+$"", """")), """"))&gt;0, IFERROR(TRIM(REGEXREPLACE(TRIM(REGEXEXTRACT('AYIRA"&amp;" MINI MART FINAL MENU - Pr'!A686, ""^[^\x{0600}-\x{06FF}]+"")), ""[-–]+$"", """")), """"), GOOGLETRANSLATE('AYIRA MINI MART FINAL MENU - Pr'!A686, ""ar"", ""en"")))"),"Chupa Chups Bites Fruit Flavour 24.2g")</f>
        <v>Chupa Chups Bites Fruit Flavour 24.2g</v>
      </c>
      <c r="B686" s="56" t="str">
        <f>IFERROR(__xludf.DUMMYFUNCTION("IF('AYIRA MINI MART FINAL MENU - Pr'!B686="""", """", IF(LEN(IFERROR(TRIM(REGEXREPLACE(TRIM(REGEXEXTRACT('AYIRA MINI MART FINAL MENU - Pr'!B686, ""^[^\x{0600}-\x{06FF}]+"")), ""[-–]+$"", """")), """"))&gt;0, IFERROR(TRIM(REGEXREPLACE(TRIM(REGEXEXTRACT('AYIRA"&amp;" MINI MART FINAL MENU - Pr'!B686, ""^[^\x{0600}-\x{06FF}]+"")), ""[-–]+$"", """")), """"), GOOGLETRANSLATE('AYIRA MINI MART FINAL MENU - Pr'!B686, ""ar"", ""en"")))"),"Candy |")</f>
        <v>Candy |</v>
      </c>
      <c r="C686" s="58">
        <f>IF('AYIRA MINI MART FINAL MENU - Pr'!C686="", "", 'AYIRA MINI MART FINAL MENU - Pr'!C686)</f>
        <v>2.5</v>
      </c>
      <c r="D686" s="56" t="str">
        <f>IFERROR(__xludf.DUMMYFUNCTION("IF('AYIRA MINI MART FINAL MENU - Pr'!D686="""", """", GOOGLETRANSLATE('AYIRA MINI MART FINAL MENU - Pr'!D686, ""ar"", ""en""))"),"Don't be able to resist the taste of Chupa Chups Bites Fruit Flavor 24.2g, your perfect companion for relaxing and watching the game. Their unique crunch and varied flavors make every handful a delightful experience. Made with the finest ingredients using"&amp;" the latest manufacturing techniques to ensure an unparalleled taste. Ideal as a snack for adults and children alike between meals. Aira Mini Mart offers them in the perfect size and flavor for you.")</f>
        <v>Don't be able to resist the taste of Chupa Chups Bites Fruit Flavor 24.2g,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686" s="56" t="str">
        <f>IF('AYIRA MINI MART FINAL MENU - Pr'!K686="", "", 'AYIRA MINI MART FINAL MENU - Pr'!K686)</f>
        <v/>
      </c>
      <c r="F686" s="56"/>
      <c r="G686" s="56"/>
      <c r="H686" s="56"/>
      <c r="I686" s="56"/>
      <c r="J686" s="56"/>
      <c r="L686" s="56" t="str">
        <f>IF('AYIRA MINI MART FINAL MENU - Pr'!L686="", "", 'AYIRA MINI MART FINAL MENU - Pr'!L686)</f>
        <v/>
      </c>
      <c r="M686" s="56" t="str">
        <f>IF('AYIRA MINI MART FINAL MENU - Pr'!M686="", "", 'AYIRA MINI MART FINAL MENU - Pr'!M686)</f>
        <v/>
      </c>
      <c r="N686" s="56" t="str">
        <f>IF('AYIRA MINI MART FINAL MENU - Pr'!N686="", "", 'AYIRA MINI MART FINAL MENU - Pr'!N686)</f>
        <v/>
      </c>
      <c r="O686" s="57"/>
      <c r="P686" s="57"/>
      <c r="Q686" s="57"/>
      <c r="R686" s="57"/>
      <c r="S686" s="57"/>
      <c r="T686" s="57"/>
      <c r="U686" s="57"/>
      <c r="V686" s="57"/>
      <c r="W686" s="57"/>
      <c r="X686" s="57"/>
      <c r="Y686" s="57"/>
      <c r="Z686" s="57"/>
    </row>
    <row r="687">
      <c r="A687" s="56" t="str">
        <f>IFERROR(__xludf.DUMMYFUNCTION("IF('AYIRA MINI MART FINAL MENU - Pr'!A687="""", """", IF(LEN(IFERROR(TRIM(REGEXREPLACE(TRIM(REGEXEXTRACT('AYIRA MINI MART FINAL MENU - Pr'!A687, ""^[^\x{0600}-\x{06FF}]+"")), ""[-–]+$"", """")), """"))&gt;0, IFERROR(TRIM(REGEXREPLACE(TRIM(REGEXEXTRACT('AYIRA"&amp;" MINI MART FINAL MENU - Pr'!A687, ""^[^\x{0600}-\x{06FF}]+"")), ""[-–]+$"", """")), """"), GOOGLETRANSLATE('AYIRA MINI MART FINAL MENU - Pr'!A687, ""ar"", ""en"")))"),"Twin Burger 14g – Twin Burger 14")</f>
        <v>Twin Burger 14g – Twin Burger 14</v>
      </c>
      <c r="B687" s="56" t="str">
        <f>IFERROR(__xludf.DUMMYFUNCTION("IF('AYIRA MINI MART FINAL MENU - Pr'!B687="""", """", IF(LEN(IFERROR(TRIM(REGEXREPLACE(TRIM(REGEXEXTRACT('AYIRA MINI MART FINAL MENU - Pr'!B687, ""^[^\x{0600}-\x{06FF}]+"")), ""[-–]+$"", """")), """"))&gt;0, IFERROR(TRIM(REGEXREPLACE(TRIM(REGEXEXTRACT('AYIRA"&amp;" MINI MART FINAL MENU - Pr'!B687, ""^[^\x{0600}-\x{06FF}]+"")), ""[-–]+$"", """")), """"), GOOGLETRANSLATE('AYIRA MINI MART FINAL MENU - Pr'!B687, ""ar"", ""en"")))"),"Candy |")</f>
        <v>Candy |</v>
      </c>
      <c r="C687" s="58">
        <f>IF('AYIRA MINI MART FINAL MENU - Pr'!C687="", "", 'AYIRA MINI MART FINAL MENU - Pr'!C687)</f>
        <v>1</v>
      </c>
      <c r="D687" s="56" t="str">
        <f>IFERROR(__xludf.DUMMYFUNCTION("IF('AYIRA MINI MART FINAL MENU - Pr'!D687="""", """", GOOGLETRANSLATE('AYIRA MINI MART FINAL MENU - Pr'!D687, ""ar"", ""en""))"),"Don't be able to resist the taste of Twin Burger 14g, your perfect companion for relaxing and watching the game. Its unique crunch and diverse flavors make every bite a delightful experience. Prepared with the finest ingredients using the latest manufactu"&amp;"ring techniques to guarantee an unparalleled taste. Ideal as a snack for adults and children alike between meals. Aira Mini Mart offers it in the perfect size and flavor for you.")</f>
        <v>Don't be able to resist the taste of Twin Burger 14g, your perfect companion for relaxing and watching the game. Its unique crunch and diverse flavors make every bite a delightful experience. Prepared with the finest ingredients using the latest manufacturing techniques to guarantee an unparalleled taste. Ideal as a snack for adults and children alike between meals. Aira Mini Mart offers it in the perfect size and flavor for you.</v>
      </c>
      <c r="E687" s="56" t="str">
        <f>IF('AYIRA MINI MART FINAL MENU - Pr'!K687="", "", 'AYIRA MINI MART FINAL MENU - Pr'!K687)</f>
        <v/>
      </c>
      <c r="F687" s="56"/>
      <c r="G687" s="56"/>
      <c r="H687" s="56"/>
      <c r="I687" s="56"/>
      <c r="J687" s="56"/>
      <c r="L687" s="56" t="str">
        <f>IF('AYIRA MINI MART FINAL MENU - Pr'!L687="", "", 'AYIRA MINI MART FINAL MENU - Pr'!L687)</f>
        <v/>
      </c>
      <c r="M687" s="56" t="str">
        <f>IF('AYIRA MINI MART FINAL MENU - Pr'!M687="", "", 'AYIRA MINI MART FINAL MENU - Pr'!M687)</f>
        <v/>
      </c>
      <c r="N687" s="56" t="str">
        <f>IF('AYIRA MINI MART FINAL MENU - Pr'!N687="", "", 'AYIRA MINI MART FINAL MENU - Pr'!N687)</f>
        <v/>
      </c>
      <c r="O687" s="57"/>
      <c r="P687" s="57"/>
      <c r="Q687" s="57"/>
      <c r="R687" s="57"/>
      <c r="S687" s="57"/>
      <c r="T687" s="57"/>
      <c r="U687" s="57"/>
      <c r="V687" s="57"/>
      <c r="W687" s="57"/>
      <c r="X687" s="57"/>
      <c r="Y687" s="57"/>
      <c r="Z687" s="57"/>
    </row>
    <row r="688">
      <c r="A688" s="56" t="str">
        <f>IFERROR(__xludf.DUMMYFUNCTION("IF('AYIRA MINI MART FINAL MENU - Pr'!A688="""", """", IF(LEN(IFERROR(TRIM(REGEXREPLACE(TRIM(REGEXEXTRACT('AYIRA MINI MART FINAL MENU - Pr'!A688, ""^[^\x{0600}-\x{06FF}]+"")), ""[-–]+$"", """")), """"))&gt;0, IFERROR(TRIM(REGEXREPLACE(TRIM(REGEXEXTRACT('AYIRA"&amp;" MINI MART FINAL MENU - Pr'!A688, ""^[^\x{0600}-\x{06FF}]+"")), ""[-–]+$"", """")), """"), GOOGLETRANSLATE('AYIRA MINI MART FINAL MENU - Pr'!A688, ""ar"", ""en"")))"),"Narshmallow 13g – Narshmallow 13")</f>
        <v>Narshmallow 13g – Narshmallow 13</v>
      </c>
      <c r="B688" s="56" t="str">
        <f>IFERROR(__xludf.DUMMYFUNCTION("IF('AYIRA MINI MART FINAL MENU - Pr'!B688="""", """", IF(LEN(IFERROR(TRIM(REGEXREPLACE(TRIM(REGEXEXTRACT('AYIRA MINI MART FINAL MENU - Pr'!B688, ""^[^\x{0600}-\x{06FF}]+"")), ""[-–]+$"", """")), """"))&gt;0, IFERROR(TRIM(REGEXREPLACE(TRIM(REGEXEXTRACT('AYIRA"&amp;" MINI MART FINAL MENU - Pr'!B688, ""^[^\x{0600}-\x{06FF}]+"")), ""[-–]+$"", """")), """"), GOOGLETRANSLATE('AYIRA MINI MART FINAL MENU - Pr'!B688, ""ar"", ""en"")))"),"Candy |")</f>
        <v>Candy |</v>
      </c>
      <c r="C688" s="58">
        <f>IF('AYIRA MINI MART FINAL MENU - Pr'!C688="", "", 'AYIRA MINI MART FINAL MENU - Pr'!C688)</f>
        <v>1</v>
      </c>
      <c r="D688" s="56" t="str">
        <f>IFERROR(__xludf.DUMMYFUNCTION("IF('AYIRA MINI MART FINAL MENU - Pr'!D688="""", """", GOOGLETRANSLATE('AYIRA MINI MART FINAL MENU - Pr'!D688, ""ar"", ""en""))"),"Don't be able to resist the taste of Narshmallow 13g, your perfect companion for relaxing and watching the game. Its unique crunch and varied flavors make every handful a delightful experience. Prepared with the finest ingredients using the latest manufac"&amp;"turing techniques to ensure an unparalleled taste. Ideal as a snack for adults and children between meals. Aira Mini Mart offers it in the perfect size and flavor for you.")</f>
        <v>Don't be able to resist the taste of Narshmallow 13g,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688" s="56" t="str">
        <f>IF('AYIRA MINI MART FINAL MENU - Pr'!K688="", "", 'AYIRA MINI MART FINAL MENU - Pr'!K688)</f>
        <v/>
      </c>
      <c r="F688" s="56"/>
      <c r="G688" s="56"/>
      <c r="H688" s="56"/>
      <c r="I688" s="56"/>
      <c r="J688" s="56"/>
      <c r="L688" s="56" t="str">
        <f>IF('AYIRA MINI MART FINAL MENU - Pr'!L688="", "", 'AYIRA MINI MART FINAL MENU - Pr'!L688)</f>
        <v/>
      </c>
      <c r="M688" s="56" t="str">
        <f>IF('AYIRA MINI MART FINAL MENU - Pr'!M688="", "", 'AYIRA MINI MART FINAL MENU - Pr'!M688)</f>
        <v/>
      </c>
      <c r="N688" s="56" t="str">
        <f>IF('AYIRA MINI MART FINAL MENU - Pr'!N688="", "", 'AYIRA MINI MART FINAL MENU - Pr'!N688)</f>
        <v/>
      </c>
      <c r="O688" s="57"/>
      <c r="P688" s="57"/>
      <c r="Q688" s="57"/>
      <c r="R688" s="57"/>
      <c r="S688" s="57"/>
      <c r="T688" s="57"/>
      <c r="U688" s="57"/>
      <c r="V688" s="57"/>
      <c r="W688" s="57"/>
      <c r="X688" s="57"/>
      <c r="Y688" s="57"/>
      <c r="Z688" s="57"/>
    </row>
    <row r="689">
      <c r="A689" s="56" t="str">
        <f>IFERROR(__xludf.DUMMYFUNCTION("IF('AYIRA MINI MART FINAL MENU - Pr'!A689="""", """", IF(LEN(IFERROR(TRIM(REGEXREPLACE(TRIM(REGEXEXTRACT('AYIRA MINI MART FINAL MENU - Pr'!A689, ""^[^\x{0600}-\x{06FF}]+"")), ""[-–]+$"", """")), """"))&gt;0, IFERROR(TRIM(REGEXREPLACE(TRIM(REGEXEXTRACT('AYIRA"&amp;" MINI MART FINAL MENU - Pr'!A689, ""^[^\x{0600}-\x{06FF}]+"")), ""[-–]+$"", """")), """"), GOOGLETRANSLATE('AYIRA MINI MART FINAL MENU - Pr'!A689, ""ar"", ""en"")))"),"Color Bubble Pencil 12g – Color Bubble Pencil 12")</f>
        <v>Color Bubble Pencil 12g – Color Bubble Pencil 12</v>
      </c>
      <c r="B689" s="56" t="str">
        <f>IFERROR(__xludf.DUMMYFUNCTION("IF('AYIRA MINI MART FINAL MENU - Pr'!B689="""", """", IF(LEN(IFERROR(TRIM(REGEXREPLACE(TRIM(REGEXEXTRACT('AYIRA MINI MART FINAL MENU - Pr'!B689, ""^[^\x{0600}-\x{06FF}]+"")), ""[-–]+$"", """")), """"))&gt;0, IFERROR(TRIM(REGEXREPLACE(TRIM(REGEXEXTRACT('AYIRA"&amp;" MINI MART FINAL MENU - Pr'!B689, ""^[^\x{0600}-\x{06FF}]+"")), ""[-–]+$"", """")), """"), GOOGLETRANSLATE('AYIRA MINI MART FINAL MENU - Pr'!B689, ""ar"", ""en"")))"),"Candy |")</f>
        <v>Candy |</v>
      </c>
      <c r="C689" s="58">
        <f>IF('AYIRA MINI MART FINAL MENU - Pr'!C689="", "", 'AYIRA MINI MART FINAL MENU - Pr'!C689)</f>
        <v>1</v>
      </c>
      <c r="D689" s="56" t="str">
        <f>IFERROR(__xludf.DUMMYFUNCTION("IF('AYIRA MINI MART FINAL MENU - Pr'!D689="""", """", GOOGLETRANSLATE('AYIRA MINI MART FINAL MENU - Pr'!D689, ""ar"", ""en""))"),"Don't be able to resist the taste of Color Bubble Pencil 12g, your perfect companion for relaxing and watching the game. Its unique crunch and varied flavors make every handful a delightful experience. Made with the finest ingredients using the latest man"&amp;"ufacturing techniques to ensure an unparalleled taste. Ideal as a snack for adults and children between meals. Aira Mini Mart offers it in the perfect size and flavor for you.")</f>
        <v>Don't be able to resist the taste of Color Bubble Pencil 12g, your perfect companion for relaxing and watching the game. Its unique crunch and varied flavors make every handful a delightful experience. Made with the finest ingredients using the latest manufacturing techniques to ensure an unparalleled taste. Ideal as a snack for adults and children between meals. Aira Mini Mart offers it in the perfect size and flavor for you.</v>
      </c>
      <c r="E689" s="56" t="str">
        <f>IF('AYIRA MINI MART FINAL MENU - Pr'!K689="", "", 'AYIRA MINI MART FINAL MENU - Pr'!K689)</f>
        <v/>
      </c>
      <c r="F689" s="56"/>
      <c r="G689" s="56"/>
      <c r="H689" s="56"/>
      <c r="I689" s="56"/>
      <c r="J689" s="56"/>
      <c r="L689" s="56" t="str">
        <f>IF('AYIRA MINI MART FINAL MENU - Pr'!L689="", "", 'AYIRA MINI MART FINAL MENU - Pr'!L689)</f>
        <v/>
      </c>
      <c r="M689" s="56" t="str">
        <f>IF('AYIRA MINI MART FINAL MENU - Pr'!M689="", "", 'AYIRA MINI MART FINAL MENU - Pr'!M689)</f>
        <v/>
      </c>
      <c r="N689" s="56" t="str">
        <f>IF('AYIRA MINI MART FINAL MENU - Pr'!N689="", "", 'AYIRA MINI MART FINAL MENU - Pr'!N689)</f>
        <v/>
      </c>
      <c r="O689" s="57"/>
      <c r="P689" s="57"/>
      <c r="Q689" s="57"/>
      <c r="R689" s="57"/>
      <c r="S689" s="57"/>
      <c r="T689" s="57"/>
      <c r="U689" s="57"/>
      <c r="V689" s="57"/>
      <c r="W689" s="57"/>
      <c r="X689" s="57"/>
      <c r="Y689" s="57"/>
      <c r="Z689" s="57"/>
    </row>
    <row r="690">
      <c r="A690" s="56" t="str">
        <f>IFERROR(__xludf.DUMMYFUNCTION("IF('AYIRA MINI MART FINAL MENU - Pr'!A690="""", """", IF(LEN(IFERROR(TRIM(REGEXREPLACE(TRIM(REGEXEXTRACT('AYIRA MINI MART FINAL MENU - Pr'!A690, ""^[^\x{0600}-\x{06FF}]+"")), ""[-–]+$"", """")), """"))&gt;0, IFERROR(TRIM(REGEXREPLACE(TRIM(REGEXEXTRACT('AYIRA"&amp;" MINI MART FINAL MENU - Pr'!A690, ""^[^\x{0600}-\x{06FF}]+"")), ""[-–]+$"", """")), """"), GOOGLETRANSLATE('AYIRA MINI MART FINAL MENU - Pr'!A690, ""ar"", ""en"")))"),"Jelly Cola 20g – Jelly Cola 20")</f>
        <v>Jelly Cola 20g – Jelly Cola 20</v>
      </c>
      <c r="B690" s="56" t="str">
        <f>IFERROR(__xludf.DUMMYFUNCTION("IF('AYIRA MINI MART FINAL MENU - Pr'!B690="""", """", IF(LEN(IFERROR(TRIM(REGEXREPLACE(TRIM(REGEXEXTRACT('AYIRA MINI MART FINAL MENU - Pr'!B690, ""^[^\x{0600}-\x{06FF}]+"")), ""[-–]+$"", """")), """"))&gt;0, IFERROR(TRIM(REGEXREPLACE(TRIM(REGEXEXTRACT('AYIRA"&amp;" MINI MART FINAL MENU - Pr'!B690, ""^[^\x{0600}-\x{06FF}]+"")), ""[-–]+$"", """")), """"), GOOGLETRANSLATE('AYIRA MINI MART FINAL MENU - Pr'!B690, ""ar"", ""en"")))"),"Candy |")</f>
        <v>Candy |</v>
      </c>
      <c r="C690" s="58">
        <f>IF('AYIRA MINI MART FINAL MENU - Pr'!C690="", "", 'AYIRA MINI MART FINAL MENU - Pr'!C690)</f>
        <v>1</v>
      </c>
      <c r="D690" s="56" t="str">
        <f>IFERROR(__xludf.DUMMYFUNCTION("IF('AYIRA MINI MART FINAL MENU - Pr'!D690="""", """", GOOGLETRANSLATE('AYIRA MINI MART FINAL MENU - Pr'!D690, ""ar"", ""en""))"),"Add a sweet touch to your day with Jelly Cola 20g, a delicious treat loved by everyone. Its variety of flavors and vibrant colors make it suitable for all ages. Perfect as a small treat or a light gift for friends and family. Made with high-quality ingred"&amp;"ients to ensure a great taste in every piece. Get yours from Aira Mini Mart and spread the joy to your loved ones.")</f>
        <v>Add a sweet touch to your day with Jelly Cola 20g, a delicious treat loved by everyone. Its variety of flavors and vibrant colors make it suitable for all ages. Perfect as a small treat or a light gift for friends and family. Made with high-quality ingredients to ensure a great taste in every piece. Get yours from Aira Mini Mart and spread the joy to your loved ones.</v>
      </c>
      <c r="E690" s="56" t="str">
        <f>IF('AYIRA MINI MART FINAL MENU - Pr'!K690="", "", 'AYIRA MINI MART FINAL MENU - Pr'!K690)</f>
        <v/>
      </c>
      <c r="F690" s="56"/>
      <c r="G690" s="56"/>
      <c r="H690" s="56"/>
      <c r="I690" s="56"/>
      <c r="J690" s="56"/>
      <c r="L690" s="56" t="str">
        <f>IF('AYIRA MINI MART FINAL MENU - Pr'!L690="", "", 'AYIRA MINI MART FINAL MENU - Pr'!L690)</f>
        <v/>
      </c>
      <c r="M690" s="56" t="str">
        <f>IF('AYIRA MINI MART FINAL MENU - Pr'!M690="", "", 'AYIRA MINI MART FINAL MENU - Pr'!M690)</f>
        <v/>
      </c>
      <c r="N690" s="56" t="str">
        <f>IF('AYIRA MINI MART FINAL MENU - Pr'!N690="", "", 'AYIRA MINI MART FINAL MENU - Pr'!N690)</f>
        <v/>
      </c>
      <c r="O690" s="57"/>
      <c r="P690" s="57"/>
      <c r="Q690" s="57"/>
      <c r="R690" s="57"/>
      <c r="S690" s="57"/>
      <c r="T690" s="57"/>
      <c r="U690" s="57"/>
      <c r="V690" s="57"/>
      <c r="W690" s="57"/>
      <c r="X690" s="57"/>
      <c r="Y690" s="57"/>
      <c r="Z690" s="57"/>
    </row>
    <row r="691">
      <c r="A691" s="56" t="str">
        <f>IFERROR(__xludf.DUMMYFUNCTION("IF('AYIRA MINI MART FINAL MENU - Pr'!A691="""", """", IF(LEN(IFERROR(TRIM(REGEXREPLACE(TRIM(REGEXEXTRACT('AYIRA MINI MART FINAL MENU - Pr'!A691, ""^[^\x{0600}-\x{06FF}]+"")), ""[-–]+$"", """")), """"))&gt;0, IFERROR(TRIM(REGEXREPLACE(TRIM(REGEXEXTRACT('AYIRA"&amp;" MINI MART FINAL MENU - Pr'!A691, ""^[^\x{0600}-\x{06FF}]+"")), ""[-–]+$"", """")), """"), GOOGLETRANSLATE('AYIRA MINI MART FINAL MENU - Pr'!A691, ""ar"", ""en"")))"),"Brain Blasters Sour Candy 45g – Brain Blasters Sour Candy 45")</f>
        <v>Brain Blasters Sour Candy 45g – Brain Blasters Sour Candy 45</v>
      </c>
      <c r="B691" s="56" t="str">
        <f>IFERROR(__xludf.DUMMYFUNCTION("IF('AYIRA MINI MART FINAL MENU - Pr'!B691="""", """", IF(LEN(IFERROR(TRIM(REGEXREPLACE(TRIM(REGEXEXTRACT('AYIRA MINI MART FINAL MENU - Pr'!B691, ""^[^\x{0600}-\x{06FF}]+"")), ""[-–]+$"", """")), """"))&gt;0, IFERROR(TRIM(REGEXREPLACE(TRIM(REGEXEXTRACT('AYIRA"&amp;" MINI MART FINAL MENU - Pr'!B691, ""^[^\x{0600}-\x{06FF}]+"")), ""[-–]+$"", """")), """"), GOOGLETRANSLATE('AYIRA MINI MART FINAL MENU - Pr'!B691, ""ar"", ""en"")))"),"Candy |")</f>
        <v>Candy |</v>
      </c>
      <c r="C691" s="58">
        <f>IF('AYIRA MINI MART FINAL MENU - Pr'!C691="", "", 'AYIRA MINI MART FINAL MENU - Pr'!C691)</f>
        <v>1.5</v>
      </c>
      <c r="D691" s="56" t="str">
        <f>IFERROR(__xludf.DUMMYFUNCTION("IF('AYIRA MINI MART FINAL MENU - Pr'!D691="""", """", GOOGLETRANSLATE('AYIRA MINI MART FINAL MENU - Pr'!D691, ""ar"", ""en""))"),"Add a sweet treat to your day with Brain Blasters Sour Candy 45g, a delicious candy loved by everyone. Its variety of flavors and attractive colors make it suitable for all ages. Perfect as a small reward or a light gift for friends and family. Made with "&amp;"high quality ingredients to ensure a great taste in every piece. Get yours from Aira Mini Mart and spread the joy to your loved ones.")</f>
        <v>Add a sweet treat to your day with Brain Blasters Sour Candy 45g, a delicious candy loved by everyone. Its variety of flavors and attractive colors make it suitable for all ages. Perfect as a small reward or a light gift for friends and family. Made with high quality ingredients to ensure a great taste in every piece. Get yours from Aira Mini Mart and spread the joy to your loved ones.</v>
      </c>
      <c r="E691" s="56" t="str">
        <f>IF('AYIRA MINI MART FINAL MENU - Pr'!K691="", "", 'AYIRA MINI MART FINAL MENU - Pr'!K691)</f>
        <v/>
      </c>
      <c r="F691" s="56"/>
      <c r="G691" s="56"/>
      <c r="H691" s="56"/>
      <c r="I691" s="56"/>
      <c r="J691" s="56"/>
      <c r="L691" s="56" t="str">
        <f>IF('AYIRA MINI MART FINAL MENU - Pr'!L691="", "", 'AYIRA MINI MART FINAL MENU - Pr'!L691)</f>
        <v/>
      </c>
      <c r="M691" s="56" t="str">
        <f>IF('AYIRA MINI MART FINAL MENU - Pr'!M691="", "", 'AYIRA MINI MART FINAL MENU - Pr'!M691)</f>
        <v/>
      </c>
      <c r="N691" s="56" t="str">
        <f>IF('AYIRA MINI MART FINAL MENU - Pr'!N691="", "", 'AYIRA MINI MART FINAL MENU - Pr'!N691)</f>
        <v/>
      </c>
      <c r="O691" s="57"/>
      <c r="P691" s="57"/>
      <c r="Q691" s="57"/>
      <c r="R691" s="57"/>
      <c r="S691" s="57"/>
      <c r="T691" s="57"/>
      <c r="U691" s="57"/>
      <c r="V691" s="57"/>
      <c r="W691" s="57"/>
      <c r="X691" s="57"/>
      <c r="Y691" s="57"/>
      <c r="Z691" s="57"/>
    </row>
    <row r="692">
      <c r="A692" s="56" t="str">
        <f>IFERROR(__xludf.DUMMYFUNCTION("IF('AYIRA MINI MART FINAL MENU - Pr'!A692="""", """", IF(LEN(IFERROR(TRIM(REGEXREPLACE(TRIM(REGEXEXTRACT('AYIRA MINI MART FINAL MENU - Pr'!A692, ""^[^\x{0600}-\x{06FF}]+"")), ""[-–]+$"", """")), """"))&gt;0, IFERROR(TRIM(REGEXREPLACE(TRIM(REGEXEXTRACT('AYIRA"&amp;" MINI MART FINAL MENU - Pr'!A692, ""^[^\x{0600}-\x{06FF}]+"")), ""[-–]+$"", """")), """"), GOOGLETRANSLATE('AYIRA MINI MART FINAL MENU - Pr'!A692, ""ar"", ""en"")))"),"Ring Candy Strawberry 10g – Ring Candy")</f>
        <v>Ring Candy Strawberry 10g – Ring Candy</v>
      </c>
      <c r="B692" s="56" t="str">
        <f>IFERROR(__xludf.DUMMYFUNCTION("IF('AYIRA MINI MART FINAL MENU - Pr'!B692="""", """", IF(LEN(IFERROR(TRIM(REGEXREPLACE(TRIM(REGEXEXTRACT('AYIRA MINI MART FINAL MENU - Pr'!B692, ""^[^\x{0600}-\x{06FF}]+"")), ""[-–]+$"", """")), """"))&gt;0, IFERROR(TRIM(REGEXREPLACE(TRIM(REGEXEXTRACT('AYIRA"&amp;" MINI MART FINAL MENU - Pr'!B692, ""^[^\x{0600}-\x{06FF}]+"")), ""[-–]+$"", """")), """"), GOOGLETRANSLATE('AYIRA MINI MART FINAL MENU - Pr'!B692, ""ar"", ""en"")))"),"Candy |")</f>
        <v>Candy |</v>
      </c>
      <c r="C692" s="58">
        <f>IF('AYIRA MINI MART FINAL MENU - Pr'!C692="", "", 'AYIRA MINI MART FINAL MENU - Pr'!C692)</f>
        <v>1</v>
      </c>
      <c r="D692" s="56" t="str">
        <f>IFERROR(__xludf.DUMMYFUNCTION("IF('AYIRA MINI MART FINAL MENU - Pr'!D692="""", """", GOOGLETRANSLATE('AYIRA MINI MART FINAL MENU - Pr'!D692, ""ar"", ""en""))"),"Add a sweet touch to your day with Ring Candy Strawberry 10g, a delicious treat loved by everyone. Its variety of flavors and vibrant colors make it suitable for all ages. Perfect as a small treat or a light gift for friends and family. Made with high-qua"&amp;"lity ingredients to ensure a great taste in every piece. Get yours from Aira Mini Mart and spread joy to your loved ones.")</f>
        <v>Add a sweet touch to your day with Ring Candy Strawberry 10g, a delicious treat loved by everyone. Its variety of flavors and vibrant colors make it suitable for all ages. Perfect as a small treat or a light gift for friends and family. Made with high-quality ingredients to ensure a great taste in every piece. Get yours from Aira Mini Mart and spread joy to your loved ones.</v>
      </c>
      <c r="E692" s="56" t="str">
        <f>IF('AYIRA MINI MART FINAL MENU - Pr'!K692="", "", 'AYIRA MINI MART FINAL MENU - Pr'!K692)</f>
        <v/>
      </c>
      <c r="F692" s="56"/>
      <c r="G692" s="56"/>
      <c r="H692" s="56"/>
      <c r="I692" s="56"/>
      <c r="J692" s="56"/>
      <c r="L692" s="56" t="str">
        <f>IF('AYIRA MINI MART FINAL MENU - Pr'!L692="", "", 'AYIRA MINI MART FINAL MENU - Pr'!L692)</f>
        <v/>
      </c>
      <c r="M692" s="56" t="str">
        <f>IF('AYIRA MINI MART FINAL MENU - Pr'!M692="", "", 'AYIRA MINI MART FINAL MENU - Pr'!M692)</f>
        <v/>
      </c>
      <c r="N692" s="56" t="str">
        <f>IF('AYIRA MINI MART FINAL MENU - Pr'!N692="", "", 'AYIRA MINI MART FINAL MENU - Pr'!N692)</f>
        <v/>
      </c>
      <c r="O692" s="57"/>
      <c r="P692" s="57"/>
      <c r="Q692" s="57"/>
      <c r="R692" s="57"/>
      <c r="S692" s="57"/>
      <c r="T692" s="57"/>
      <c r="U692" s="57"/>
      <c r="V692" s="57"/>
      <c r="W692" s="57"/>
      <c r="X692" s="57"/>
      <c r="Y692" s="57"/>
      <c r="Z692" s="57"/>
    </row>
    <row r="693">
      <c r="A693" s="56" t="str">
        <f>IFERROR(__xludf.DUMMYFUNCTION("IF('AYIRA MINI MART FINAL MENU - Pr'!A693="""", """", IF(LEN(IFERROR(TRIM(REGEXREPLACE(TRIM(REGEXEXTRACT('AYIRA MINI MART FINAL MENU - Pr'!A693, ""^[^\x{0600}-\x{06FF}]+"")), ""[-–]+$"", """")), """"))&gt;0, IFERROR(TRIM(REGEXREPLACE(TRIM(REGEXEXTRACT('AYIRA"&amp;" MINI MART FINAL MENU - Pr'!A693, ""^[^\x{0600}-\x{06FF}]+"")), ""[-–]+$"", """")), """"), GOOGLETRANSLATE('AYIRA MINI MART FINAL MENU - Pr'!A693, ""ar"", ""en"")))"),"Sour Punk Strawberry 20g – Sour Punk")</f>
        <v>Sour Punk Strawberry 20g – Sour Punk</v>
      </c>
      <c r="B693" s="56" t="str">
        <f>IFERROR(__xludf.DUMMYFUNCTION("IF('AYIRA MINI MART FINAL MENU - Pr'!B693="""", """", IF(LEN(IFERROR(TRIM(REGEXREPLACE(TRIM(REGEXEXTRACT('AYIRA MINI MART FINAL MENU - Pr'!B693, ""^[^\x{0600}-\x{06FF}]+"")), ""[-–]+$"", """")), """"))&gt;0, IFERROR(TRIM(REGEXREPLACE(TRIM(REGEXEXTRACT('AYIRA"&amp;" MINI MART FINAL MENU - Pr'!B693, ""^[^\x{0600}-\x{06FF}]+"")), ""[-–]+$"", """")), """"), GOOGLETRANSLATE('AYIRA MINI MART FINAL MENU - Pr'!B693, ""ar"", ""en"")))"),"Candy |")</f>
        <v>Candy |</v>
      </c>
      <c r="C693" s="58">
        <f>IF('AYIRA MINI MART FINAL MENU - Pr'!C693="", "", 'AYIRA MINI MART FINAL MENU - Pr'!C693)</f>
        <v>1</v>
      </c>
      <c r="D693" s="56" t="str">
        <f>IFERROR(__xludf.DUMMYFUNCTION("IF('AYIRA MINI MART FINAL MENU - Pr'!D693="""", """", GOOGLETRANSLATE('AYIRA MINI MART FINAL MENU - Pr'!D693, ""ar"", ""en""))"),"Don't be able to resist the taste of Sour Punk Strawberry 20g, your perfect companion for relaxing and watching the game. Its unique crunch and varied flavors make every handful a delightful experience. Prepared with the finest ingredients using the lates"&amp;"t manufacturing techniques to ensure an unparalleled taste. Ideal as a snack for adults and children alike between meals. Aira Mini Mart offers it in the perfect size and flavor for you.")</f>
        <v>Don't be able to resist the taste of Sour Punk Strawberry 20g,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93" s="56" t="str">
        <f>IF('AYIRA MINI MART FINAL MENU - Pr'!K693="", "", 'AYIRA MINI MART FINAL MENU - Pr'!K693)</f>
        <v/>
      </c>
      <c r="F693" s="56"/>
      <c r="G693" s="56"/>
      <c r="H693" s="56"/>
      <c r="I693" s="56"/>
      <c r="J693" s="56"/>
      <c r="L693" s="56" t="str">
        <f>IF('AYIRA MINI MART FINAL MENU - Pr'!L693="", "", 'AYIRA MINI MART FINAL MENU - Pr'!L693)</f>
        <v/>
      </c>
      <c r="M693" s="56" t="str">
        <f>IF('AYIRA MINI MART FINAL MENU - Pr'!M693="", "", 'AYIRA MINI MART FINAL MENU - Pr'!M693)</f>
        <v/>
      </c>
      <c r="N693" s="56" t="str">
        <f>IF('AYIRA MINI MART FINAL MENU - Pr'!N693="", "", 'AYIRA MINI MART FINAL MENU - Pr'!N693)</f>
        <v/>
      </c>
      <c r="O693" s="57"/>
      <c r="P693" s="57"/>
      <c r="Q693" s="57"/>
      <c r="R693" s="57"/>
      <c r="S693" s="57"/>
      <c r="T693" s="57"/>
      <c r="U693" s="57"/>
      <c r="V693" s="57"/>
      <c r="W693" s="57"/>
      <c r="X693" s="57"/>
      <c r="Y693" s="57"/>
      <c r="Z693" s="57"/>
    </row>
    <row r="694">
      <c r="A694" s="56" t="str">
        <f>IFERROR(__xludf.DUMMYFUNCTION("IF('AYIRA MINI MART FINAL MENU - Pr'!A694="""", """", IF(LEN(IFERROR(TRIM(REGEXREPLACE(TRIM(REGEXEXTRACT('AYIRA MINI MART FINAL MENU - Pr'!A694, ""^[^\x{0600}-\x{06FF}]+"")), ""[-–]+$"", """")), """"))&gt;0, IFERROR(TRIM(REGEXREPLACE(TRIM(REGEXEXTRACT('AYIRA"&amp;" MINI MART FINAL MENU - Pr'!A694, ""^[^\x{0600}-\x{06FF}]+"")), ""[-–]+$"", """")), """"), GOOGLETRANSLATE('AYIRA MINI MART FINAL MENU - Pr'!A694, ""ar"", ""en"")))"),"Sour Punk Blueberry 50g – Sour Punk Blueberry 50")</f>
        <v>Sour Punk Blueberry 50g – Sour Punk Blueberry 50</v>
      </c>
      <c r="B694" s="56" t="str">
        <f>IFERROR(__xludf.DUMMYFUNCTION("IF('AYIRA MINI MART FINAL MENU - Pr'!B694="""", """", IF(LEN(IFERROR(TRIM(REGEXREPLACE(TRIM(REGEXEXTRACT('AYIRA MINI MART FINAL MENU - Pr'!B694, ""^[^\x{0600}-\x{06FF}]+"")), ""[-–]+$"", """")), """"))&gt;0, IFERROR(TRIM(REGEXREPLACE(TRIM(REGEXEXTRACT('AYIRA"&amp;" MINI MART FINAL MENU - Pr'!B694, ""^[^\x{0600}-\x{06FF}]+"")), ""[-–]+$"", """")), """"), GOOGLETRANSLATE('AYIRA MINI MART FINAL MENU - Pr'!B694, ""ar"", ""en"")))"),"Candy |")</f>
        <v>Candy |</v>
      </c>
      <c r="C694" s="58">
        <f>IF('AYIRA MINI MART FINAL MENU - Pr'!C694="", "", 'AYIRA MINI MART FINAL MENU - Pr'!C694)</f>
        <v>2</v>
      </c>
      <c r="D694" s="56" t="str">
        <f>IFERROR(__xludf.DUMMYFUNCTION("IF('AYIRA MINI MART FINAL MENU - Pr'!D694="""", """", GOOGLETRANSLATE('AYIRA MINI MART FINAL MENU - Pr'!D694, ""ar"", ""en""))"),"Don't be able to resist the taste of Sour Punk Blueberry 50g, your perfect companion for relaxing and watching the game. Its unique crunch and varied flavors make every handful a delightful experience. Prepared with the finest ingredients using the latest"&amp;" manufacturing techniques to ensure an unparalleled taste. Ideal as a snack for adults and children alike between meals. Aira Mini Mart offers it in the perfect size and flavor for you.")</f>
        <v>Don't be able to resist the taste of Sour Punk Blueberry 50g,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94" s="56" t="str">
        <f>IF('AYIRA MINI MART FINAL MENU - Pr'!K694="", "", 'AYIRA MINI MART FINAL MENU - Pr'!K694)</f>
        <v/>
      </c>
      <c r="F694" s="56"/>
      <c r="G694" s="56"/>
      <c r="H694" s="56"/>
      <c r="I694" s="56"/>
      <c r="J694" s="56"/>
      <c r="L694" s="56" t="str">
        <f>IF('AYIRA MINI MART FINAL MENU - Pr'!L694="", "", 'AYIRA MINI MART FINAL MENU - Pr'!L694)</f>
        <v/>
      </c>
      <c r="M694" s="56" t="str">
        <f>IF('AYIRA MINI MART FINAL MENU - Pr'!M694="", "", 'AYIRA MINI MART FINAL MENU - Pr'!M694)</f>
        <v/>
      </c>
      <c r="N694" s="56" t="str">
        <f>IF('AYIRA MINI MART FINAL MENU - Pr'!N694="", "", 'AYIRA MINI MART FINAL MENU - Pr'!N694)</f>
        <v/>
      </c>
      <c r="O694" s="57"/>
      <c r="P694" s="57"/>
      <c r="Q694" s="57"/>
      <c r="R694" s="57"/>
      <c r="S694" s="57"/>
      <c r="T694" s="57"/>
      <c r="U694" s="57"/>
      <c r="V694" s="57"/>
      <c r="W694" s="57"/>
      <c r="X694" s="57"/>
      <c r="Y694" s="57"/>
      <c r="Z694" s="57"/>
    </row>
    <row r="695">
      <c r="A695" s="56" t="str">
        <f>IFERROR(__xludf.DUMMYFUNCTION("IF('AYIRA MINI MART FINAL MENU - Pr'!A695="""", """", IF(LEN(IFERROR(TRIM(REGEXREPLACE(TRIM(REGEXEXTRACT('AYIRA MINI MART FINAL MENU - Pr'!A695, ""^[^\x{0600}-\x{06FF}]+"")), ""[-–]+$"", """")), """"))&gt;0, IFERROR(TRIM(REGEXREPLACE(TRIM(REGEXEXTRACT('AYIRA"&amp;" MINI MART FINAL MENU - Pr'!A695, ""^[^\x{0600}-\x{06FF}]+"")), ""[-–]+$"", """")), """"), GOOGLETRANSLATE('AYIRA MINI MART FINAL MENU - Pr'!A695, ""ar"", ""en"")))"),"Sour Punk Cola Flavour 50g – Sour Punk Cola Flavour 50")</f>
        <v>Sour Punk Cola Flavour 50g – Sour Punk Cola Flavour 50</v>
      </c>
      <c r="B695" s="56" t="str">
        <f>IFERROR(__xludf.DUMMYFUNCTION("IF('AYIRA MINI MART FINAL MENU - Pr'!B695="""", """", IF(LEN(IFERROR(TRIM(REGEXREPLACE(TRIM(REGEXEXTRACT('AYIRA MINI MART FINAL MENU - Pr'!B695, ""^[^\x{0600}-\x{06FF}]+"")), ""[-–]+$"", """")), """"))&gt;0, IFERROR(TRIM(REGEXREPLACE(TRIM(REGEXEXTRACT('AYIRA"&amp;" MINI MART FINAL MENU - Pr'!B695, ""^[^\x{0600}-\x{06FF}]+"")), ""[-–]+$"", """")), """"), GOOGLETRANSLATE('AYIRA MINI MART FINAL MENU - Pr'!B695, ""ar"", ""en"")))"),"Candy |")</f>
        <v>Candy |</v>
      </c>
      <c r="C695" s="58">
        <f>IF('AYIRA MINI MART FINAL MENU - Pr'!C695="", "", 'AYIRA MINI MART FINAL MENU - Pr'!C695)</f>
        <v>2</v>
      </c>
      <c r="D695" s="56" t="str">
        <f>IFERROR(__xludf.DUMMYFUNCTION("IF('AYIRA MINI MART FINAL MENU - Pr'!D695="""", """", GOOGLETRANSLATE('AYIRA MINI MART FINAL MENU - Pr'!D695, ""ar"", ""en""))"),"Enjoy Sour Punk Cola Flavor 50g, the refreshing soft drink that gives you energy and vitality with every drop. Its delicious taste and unique composition make it the perfect choice to quench your thirst anytime. Ideal for parties, family gatherings, and v"&amp;"arious occasions. It contains distinctive flavors that make every sip an unforgettable experience. Get it now from Aira Mini Mart at the best prices and highest quality. Our special drink provides you with instant refreshment and satisfies your discerning"&amp;" taste whenever you need hydration.")</f>
        <v>Enjoy Sour Punk Cola Flavor 50g, the refreshing soft drink that gives you energy and vitality with every drop. Its delicious taste and unique composition make it the perfect choice to quench your thirst anytime. Ideal for parties, family gatherings, and various occasions. It contains distinctive flavors that make every sip an unforgettable experience. Get it now from Aira Mini Mart at the best prices and highest quality. Our special drink provides you with instant refreshment and satisfies your discerning taste whenever you need hydration.</v>
      </c>
      <c r="E695" s="56" t="str">
        <f>IF('AYIRA MINI MART FINAL MENU - Pr'!K695="", "", 'AYIRA MINI MART FINAL MENU - Pr'!K695)</f>
        <v/>
      </c>
      <c r="F695" s="56"/>
      <c r="G695" s="56"/>
      <c r="H695" s="56"/>
      <c r="I695" s="56"/>
      <c r="J695" s="56"/>
      <c r="L695" s="56" t="str">
        <f>IF('AYIRA MINI MART FINAL MENU - Pr'!L695="", "", 'AYIRA MINI MART FINAL MENU - Pr'!L695)</f>
        <v/>
      </c>
      <c r="M695" s="56" t="str">
        <f>IF('AYIRA MINI MART FINAL MENU - Pr'!M695="", "", 'AYIRA MINI MART FINAL MENU - Pr'!M695)</f>
        <v/>
      </c>
      <c r="N695" s="56" t="str">
        <f>IF('AYIRA MINI MART FINAL MENU - Pr'!N695="", "", 'AYIRA MINI MART FINAL MENU - Pr'!N695)</f>
        <v/>
      </c>
      <c r="O695" s="57"/>
      <c r="P695" s="57"/>
      <c r="Q695" s="57"/>
      <c r="R695" s="57"/>
      <c r="S695" s="57"/>
      <c r="T695" s="57"/>
      <c r="U695" s="57"/>
      <c r="V695" s="57"/>
      <c r="W695" s="57"/>
      <c r="X695" s="57"/>
      <c r="Y695" s="57"/>
      <c r="Z695" s="57"/>
    </row>
    <row r="696">
      <c r="A696" s="56" t="str">
        <f>IFERROR(__xludf.DUMMYFUNCTION("IF('AYIRA MINI MART FINAL MENU - Pr'!A696="""", """", IF(LEN(IFERROR(TRIM(REGEXREPLACE(TRIM(REGEXEXTRACT('AYIRA MINI MART FINAL MENU - Pr'!A696, ""^[^\x{0600}-\x{06FF}]+"")), ""[-–]+$"", """")), """"))&gt;0, IFERROR(TRIM(REGEXREPLACE(TRIM(REGEXEXTRACT('AYIRA"&amp;" MINI MART FINAL MENU - Pr'!A696, ""^[^\x{0600}-\x{06FF}]+"")), ""[-–]+$"", """")), """"), GOOGLETRANSLATE('AYIRA MINI MART FINAL MENU - Pr'!A696, ""ar"", ""en"")))"),"Sour Punk Apple Flavour 40g – Sour Punk")</f>
        <v>Sour Punk Apple Flavour 40g – Sour Punk</v>
      </c>
      <c r="B696" s="56" t="str">
        <f>IFERROR(__xludf.DUMMYFUNCTION("IF('AYIRA MINI MART FINAL MENU - Pr'!B696="""", """", IF(LEN(IFERROR(TRIM(REGEXREPLACE(TRIM(REGEXEXTRACT('AYIRA MINI MART FINAL MENU - Pr'!B696, ""^[^\x{0600}-\x{06FF}]+"")), ""[-–]+$"", """")), """"))&gt;0, IFERROR(TRIM(REGEXREPLACE(TRIM(REGEXEXTRACT('AYIRA"&amp;" MINI MART FINAL MENU - Pr'!B696, ""^[^\x{0600}-\x{06FF}]+"")), ""[-–]+$"", """")), """"), GOOGLETRANSLATE('AYIRA MINI MART FINAL MENU - Pr'!B696, ""ar"", ""en"")))"),"Candy |")</f>
        <v>Candy |</v>
      </c>
      <c r="C696" s="58">
        <f>IF('AYIRA MINI MART FINAL MENU - Pr'!C696="", "", 'AYIRA MINI MART FINAL MENU - Pr'!C696)</f>
        <v>2</v>
      </c>
      <c r="D696" s="56" t="str">
        <f>IFERROR(__xludf.DUMMYFUNCTION("IF('AYIRA MINI MART FINAL MENU - Pr'!D696="""", """", GOOGLETRANSLATE('AYIRA MINI MART FINAL MENU - Pr'!D696, ""ar"", ""en""))"),"Don't be able to resist the taste of Sour Punk Apple Flavor 40g, your perfect companion for relaxing and watching the game. Its unique crunch and varied flavors make every handful a delightful experience. Prepared with the finest ingredients using the lat"&amp;"est manufacturing techniques to ensure an unparalleled taste. Ideal as a snack for adults and children alike between meals. Aira Mini Mart offers it in the perfect size and flavor for you.")</f>
        <v>Don't be able to resist the taste of Sour Punk Apple Flavor 40g,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696" s="56" t="str">
        <f>IF('AYIRA MINI MART FINAL MENU - Pr'!K696="", "", 'AYIRA MINI MART FINAL MENU - Pr'!K696)</f>
        <v/>
      </c>
      <c r="F696" s="56"/>
      <c r="G696" s="56"/>
      <c r="H696" s="56"/>
      <c r="I696" s="56"/>
      <c r="J696" s="56"/>
      <c r="L696" s="56" t="str">
        <f>IF('AYIRA MINI MART FINAL MENU - Pr'!L696="", "", 'AYIRA MINI MART FINAL MENU - Pr'!L696)</f>
        <v/>
      </c>
      <c r="M696" s="56" t="str">
        <f>IF('AYIRA MINI MART FINAL MENU - Pr'!M696="", "", 'AYIRA MINI MART FINAL MENU - Pr'!M696)</f>
        <v/>
      </c>
      <c r="N696" s="56" t="str">
        <f>IF('AYIRA MINI MART FINAL MENU - Pr'!N696="", "", 'AYIRA MINI MART FINAL MENU - Pr'!N696)</f>
        <v/>
      </c>
      <c r="O696" s="57"/>
      <c r="P696" s="57"/>
      <c r="Q696" s="57"/>
      <c r="R696" s="57"/>
      <c r="S696" s="57"/>
      <c r="T696" s="57"/>
      <c r="U696" s="57"/>
      <c r="V696" s="57"/>
      <c r="W696" s="57"/>
      <c r="X696" s="57"/>
      <c r="Y696" s="57"/>
      <c r="Z696" s="57"/>
    </row>
    <row r="697">
      <c r="A697" s="56" t="str">
        <f>IFERROR(__xludf.DUMMYFUNCTION("IF('AYIRA MINI MART FINAL MENU - Pr'!A697="""", """", IF(LEN(IFERROR(TRIM(REGEXREPLACE(TRIM(REGEXEXTRACT('AYIRA MINI MART FINAL MENU - Pr'!A697, ""^[^\x{0600}-\x{06FF}]+"")), ""[-–]+$"", """")), """"))&gt;0, IFERROR(TRIM(REGEXREPLACE(TRIM(REGEXEXTRACT('AYIRA"&amp;" MINI MART FINAL MENU - Pr'!A697, ""^[^\x{0600}-\x{06FF}]+"")), ""[-–]+$"", """")), """"), GOOGLETRANSLATE('AYIRA MINI MART FINAL MENU - Pr'!A697, ""ar"", ""en"")))"),"Bebeto Cobra X Jelly Gum 30g – Bebeto Cobra X Jelly Gum 30")</f>
        <v>Bebeto Cobra X Jelly Gum 30g – Bebeto Cobra X Jelly Gum 30</v>
      </c>
      <c r="B697" s="56" t="str">
        <f>IFERROR(__xludf.DUMMYFUNCTION("IF('AYIRA MINI MART FINAL MENU - Pr'!B697="""", """", IF(LEN(IFERROR(TRIM(REGEXREPLACE(TRIM(REGEXEXTRACT('AYIRA MINI MART FINAL MENU - Pr'!B697, ""^[^\x{0600}-\x{06FF}]+"")), ""[-–]+$"", """")), """"))&gt;0, IFERROR(TRIM(REGEXREPLACE(TRIM(REGEXEXTRACT('AYIRA"&amp;" MINI MART FINAL MENU - Pr'!B697, ""^[^\x{0600}-\x{06FF}]+"")), ""[-–]+$"", """")), """"), GOOGLETRANSLATE('AYIRA MINI MART FINAL MENU - Pr'!B697, ""ar"", ""en"")))"),"Candy |")</f>
        <v>Candy |</v>
      </c>
      <c r="C697" s="58">
        <f>IF('AYIRA MINI MART FINAL MENU - Pr'!C697="", "", 'AYIRA MINI MART FINAL MENU - Pr'!C697)</f>
        <v>2</v>
      </c>
      <c r="D697" s="56" t="str">
        <f>IFERROR(__xludf.DUMMYFUNCTION("IF('AYIRA MINI MART FINAL MENU - Pr'!D697="""", """", GOOGLETRANSLATE('AYIRA MINI MART FINAL MENU - Pr'!D697, ""ar"", ""en""))"),"Enjoy Bebeto Cobra X Jelly Gum 30g, the refreshing gum that keeps your mouth clean and fresh all day long. Its long-lasting flavor and unique formula make it the perfect choice for those seeking continuous freshness throughout the day. It helps to invigor"&amp;"ate teeth and freshen breath beautifully. Suitable anytime, anywhere. Get it from Aira Mini Mart and enjoy continuous freshness.")</f>
        <v>Enjoy Bebeto Cobra X Jelly Gum 30g,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697" s="56" t="str">
        <f>IF('AYIRA MINI MART FINAL MENU - Pr'!K697="", "", 'AYIRA MINI MART FINAL MENU - Pr'!K697)</f>
        <v/>
      </c>
      <c r="F697" s="56"/>
      <c r="G697" s="56"/>
      <c r="H697" s="56"/>
      <c r="I697" s="56"/>
      <c r="J697" s="56"/>
      <c r="L697" s="56" t="str">
        <f>IF('AYIRA MINI MART FINAL MENU - Pr'!L697="", "", 'AYIRA MINI MART FINAL MENU - Pr'!L697)</f>
        <v/>
      </c>
      <c r="M697" s="56" t="str">
        <f>IF('AYIRA MINI MART FINAL MENU - Pr'!M697="", "", 'AYIRA MINI MART FINAL MENU - Pr'!M697)</f>
        <v/>
      </c>
      <c r="N697" s="56" t="str">
        <f>IF('AYIRA MINI MART FINAL MENU - Pr'!N697="", "", 'AYIRA MINI MART FINAL MENU - Pr'!N697)</f>
        <v/>
      </c>
      <c r="O697" s="57"/>
      <c r="P697" s="57"/>
      <c r="Q697" s="57"/>
      <c r="R697" s="57"/>
      <c r="S697" s="57"/>
      <c r="T697" s="57"/>
      <c r="U697" s="57"/>
      <c r="V697" s="57"/>
      <c r="W697" s="57"/>
      <c r="X697" s="57"/>
      <c r="Y697" s="57"/>
      <c r="Z697" s="57"/>
    </row>
    <row r="698">
      <c r="A698" s="56" t="str">
        <f>IFERROR(__xludf.DUMMYFUNCTION("IF('AYIRA MINI MART FINAL MENU - Pr'!A698="""", """", IF(LEN(IFERROR(TRIM(REGEXREPLACE(TRIM(REGEXEXTRACT('AYIRA MINI MART FINAL MENU - Pr'!A698, ""^[^\x{0600}-\x{06FF}]+"")), ""[-–]+$"", """")), """"))&gt;0, IFERROR(TRIM(REGEXREPLACE(TRIM(REGEXEXTRACT('AYIRA"&amp;" MINI MART FINAL MENU - Pr'!A698, ""^[^\x{0600}-\x{06FF}]+"")), ""[-–]+$"", """")), """"), GOOGLETRANSLATE('AYIRA MINI MART FINAL MENU - Pr'!A698, ""ar"", ""en"")))"),"Marshmallow Flower 15g – Marshmallow Flower 15")</f>
        <v>Marshmallow Flower 15g – Marshmallow Flower 15</v>
      </c>
      <c r="B698" s="56" t="str">
        <f>IFERROR(__xludf.DUMMYFUNCTION("IF('AYIRA MINI MART FINAL MENU - Pr'!B698="""", """", IF(LEN(IFERROR(TRIM(REGEXREPLACE(TRIM(REGEXEXTRACT('AYIRA MINI MART FINAL MENU - Pr'!B698, ""^[^\x{0600}-\x{06FF}]+"")), ""[-–]+$"", """")), """"))&gt;0, IFERROR(TRIM(REGEXREPLACE(TRIM(REGEXEXTRACT('AYIRA"&amp;" MINI MART FINAL MENU - Pr'!B698, ""^[^\x{0600}-\x{06FF}]+"")), ""[-–]+$"", """")), """"), GOOGLETRANSLATE('AYIRA MINI MART FINAL MENU - Pr'!B698, ""ar"", ""en"")))"),"Candy |")</f>
        <v>Candy |</v>
      </c>
      <c r="C698" s="58">
        <f>IF('AYIRA MINI MART FINAL MENU - Pr'!C698="", "", 'AYIRA MINI MART FINAL MENU - Pr'!C698)</f>
        <v>1.5</v>
      </c>
      <c r="D698" s="56" t="str">
        <f>IFERROR(__xludf.DUMMYFUNCTION("IF('AYIRA MINI MART FINAL MENU - Pr'!D698="""", """", GOOGLETRANSLATE('AYIRA MINI MART FINAL MENU - Pr'!D698, ""ar"", ""en""))"),"Don't be able to resist the taste of Mars, your perfect companion for relaxing and watching the game. Its unique crunch and diverse flavors make every handful a delightful experience. Prepared with the finest ingredients using the latest manufacturing tec"&amp;"hniques to guarantee an unparalleled taste. Ideal as a snack for adults and children between meals. Aira Mini Mart offers it in the perfect size and flavor for you.")</f>
        <v>Don't be able to resist the taste of Mars,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698" s="56" t="str">
        <f>IF('AYIRA MINI MART FINAL MENU - Pr'!K698="", "", 'AYIRA MINI MART FINAL MENU - Pr'!K698)</f>
        <v/>
      </c>
      <c r="F698" s="56"/>
      <c r="G698" s="56"/>
      <c r="H698" s="56"/>
      <c r="I698" s="56"/>
      <c r="J698" s="56"/>
      <c r="L698" s="56" t="str">
        <f>IF('AYIRA MINI MART FINAL MENU - Pr'!L698="", "", 'AYIRA MINI MART FINAL MENU - Pr'!L698)</f>
        <v/>
      </c>
      <c r="M698" s="56" t="str">
        <f>IF('AYIRA MINI MART FINAL MENU - Pr'!M698="", "", 'AYIRA MINI MART FINAL MENU - Pr'!M698)</f>
        <v/>
      </c>
      <c r="N698" s="56" t="str">
        <f>IF('AYIRA MINI MART FINAL MENU - Pr'!N698="", "", 'AYIRA MINI MART FINAL MENU - Pr'!N698)</f>
        <v/>
      </c>
      <c r="O698" s="57"/>
      <c r="P698" s="57"/>
      <c r="Q698" s="57"/>
      <c r="R698" s="57"/>
      <c r="S698" s="57"/>
      <c r="T698" s="57"/>
      <c r="U698" s="57"/>
      <c r="V698" s="57"/>
      <c r="W698" s="57"/>
      <c r="X698" s="57"/>
      <c r="Y698" s="57"/>
      <c r="Z698" s="57"/>
    </row>
    <row r="699">
      <c r="A699" s="56" t="str">
        <f>IFERROR(__xludf.DUMMYFUNCTION("IF('AYIRA MINI MART FINAL MENU - Pr'!A699="""", """", IF(LEN(IFERROR(TRIM(REGEXREPLACE(TRIM(REGEXEXTRACT('AYIRA MINI MART FINAL MENU - Pr'!A699, ""^[^\x{0600}-\x{06FF}]+"")), ""[-–]+$"", """")), """"))&gt;0, IFERROR(TRIM(REGEXREPLACE(TRIM(REGEXEXTRACT('AYIRA"&amp;" MINI MART FINAL MENU - Pr'!A699, ""^[^\x{0600}-\x{06FF}]+"")), ""[-–]+$"", """")), """"), GOOGLETRANSLATE('AYIRA MINI MART FINAL MENU - Pr'!A699, ""ar"", ""en"")))"),"Scary Eyes Chewy Candy 39g – Scary Eyes Chewy Candy 39")</f>
        <v>Scary Eyes Chewy Candy 39g – Scary Eyes Chewy Candy 39</v>
      </c>
      <c r="B699" s="56" t="str">
        <f>IFERROR(__xludf.DUMMYFUNCTION("IF('AYIRA MINI MART FINAL MENU - Pr'!B699="""", """", IF(LEN(IFERROR(TRIM(REGEXREPLACE(TRIM(REGEXEXTRACT('AYIRA MINI MART FINAL MENU - Pr'!B699, ""^[^\x{0600}-\x{06FF}]+"")), ""[-–]+$"", """")), """"))&gt;0, IFERROR(TRIM(REGEXREPLACE(TRIM(REGEXEXTRACT('AYIRA"&amp;" MINI MART FINAL MENU - Pr'!B699, ""^[^\x{0600}-\x{06FF}]+"")), ""[-–]+$"", """")), """"), GOOGLETRANSLATE('AYIRA MINI MART FINAL MENU - Pr'!B699, ""ar"", ""en"")))"),"Candy |")</f>
        <v>Candy |</v>
      </c>
      <c r="C699" s="58">
        <f>IF('AYIRA MINI MART FINAL MENU - Pr'!C699="", "", 'AYIRA MINI MART FINAL MENU - Pr'!C699)</f>
        <v>2</v>
      </c>
      <c r="D699" s="56" t="str">
        <f>IFERROR(__xludf.DUMMYFUNCTION("IF('AYIRA MINI MART FINAL MENU - Pr'!D699="""", """", GOOGLETRANSLATE('AYIRA MINI MART FINAL MENU - Pr'!D699, ""ar"", ""en""))"),"Add a sweet moment to your day with Scary Eyes Chewy Candy 39g, a delicious treat loved by everyone. Its variety of flavors and attractive colors make it suitable for all ages. Perfect as a small reward or a light gift for friends and family. Made with hi"&amp;"gh quality ingredients to ensure a great taste in every piece. Get yours from Aira Mini Mart and spread joy to your loved ones.")</f>
        <v>Add a sweet moment to your day with Scary Eyes Chewy Candy 39g, a delicious treat loved by everyone. Its variety of flavors and attractive colors make it suitable for all ages. Perfect as a small reward or a light gift for friends and family. Made with high quality ingredients to ensure a great taste in every piece. Get yours from Aira Mini Mart and spread joy to your loved ones.</v>
      </c>
      <c r="E699" s="56" t="str">
        <f>IF('AYIRA MINI MART FINAL MENU - Pr'!K699="", "", 'AYIRA MINI MART FINAL MENU - Pr'!K699)</f>
        <v/>
      </c>
      <c r="F699" s="56"/>
      <c r="G699" s="56"/>
      <c r="H699" s="56"/>
      <c r="I699" s="56"/>
      <c r="J699" s="56"/>
      <c r="L699" s="56" t="str">
        <f>IF('AYIRA MINI MART FINAL MENU - Pr'!L699="", "", 'AYIRA MINI MART FINAL MENU - Pr'!L699)</f>
        <v/>
      </c>
      <c r="M699" s="56" t="str">
        <f>IF('AYIRA MINI MART FINAL MENU - Pr'!M699="", "", 'AYIRA MINI MART FINAL MENU - Pr'!M699)</f>
        <v/>
      </c>
      <c r="N699" s="56" t="str">
        <f>IF('AYIRA MINI MART FINAL MENU - Pr'!N699="", "", 'AYIRA MINI MART FINAL MENU - Pr'!N699)</f>
        <v/>
      </c>
      <c r="O699" s="57"/>
      <c r="P699" s="57"/>
      <c r="Q699" s="57"/>
      <c r="R699" s="57"/>
      <c r="S699" s="57"/>
      <c r="T699" s="57"/>
      <c r="U699" s="57"/>
      <c r="V699" s="57"/>
      <c r="W699" s="57"/>
      <c r="X699" s="57"/>
      <c r="Y699" s="57"/>
      <c r="Z699" s="57"/>
    </row>
    <row r="700">
      <c r="A700" s="56" t="str">
        <f>IFERROR(__xludf.DUMMYFUNCTION("IF('AYIRA MINI MART FINAL MENU - Pr'!A700="""", """", IF(LEN(IFERROR(TRIM(REGEXREPLACE(TRIM(REGEXEXTRACT('AYIRA MINI MART FINAL MENU - Pr'!A700, ""^[^\x{0600}-\x{06FF}]+"")), ""[-–]+$"", """")), """"))&gt;0, IFERROR(TRIM(REGEXREPLACE(TRIM(REGEXEXTRACT('AYIRA"&amp;" MINI MART FINAL MENU - Pr'!A700, ""^[^\x{0600}-\x{06FF}]+"")), ""[-–]+$"", """")), """"), GOOGLETRANSLATE('AYIRA MINI MART FINAL MENU - Pr'!A700, ""ar"", ""en"")))"),"Funkee Dips Blue Raspberry Sherbet with Candy Dipstick 12g – Funkee Dips Blue Raspberry Sherbet with Candy Dipstick 12")</f>
        <v>Funkee Dips Blue Raspberry Sherbet with Candy Dipstick 12g – Funkee Dips Blue Raspberry Sherbet with Candy Dipstick 12</v>
      </c>
      <c r="B700" s="56" t="str">
        <f>IFERROR(__xludf.DUMMYFUNCTION("IF('AYIRA MINI MART FINAL MENU - Pr'!B700="""", """", IF(LEN(IFERROR(TRIM(REGEXREPLACE(TRIM(REGEXEXTRACT('AYIRA MINI MART FINAL MENU - Pr'!B700, ""^[^\x{0600}-\x{06FF}]+"")), ""[-–]+$"", """")), """"))&gt;0, IFERROR(TRIM(REGEXREPLACE(TRIM(REGEXEXTRACT('AYIRA"&amp;" MINI MART FINAL MENU - Pr'!B700, ""^[^\x{0600}-\x{06FF}]+"")), ""[-–]+$"", """")), """"), GOOGLETRANSLATE('AYIRA MINI MART FINAL MENU - Pr'!B700, ""ar"", ""en"")))"),"Candy |")</f>
        <v>Candy |</v>
      </c>
      <c r="C700" s="58">
        <f>IF('AYIRA MINI MART FINAL MENU - Pr'!C700="", "", 'AYIRA MINI MART FINAL MENU - Pr'!C700)</f>
        <v>1</v>
      </c>
      <c r="D700" s="56" t="str">
        <f>IFERROR(__xludf.DUMMYFUNCTION("IF('AYIRA MINI MART FINAL MENU - Pr'!D700="""", """", GOOGLETRANSLATE('AYIRA MINI MART FINAL MENU - Pr'!D700, ""ar"", ""en""))"),"Add a sweet treat to your day with Funkee Dips Blue Raspberry Sherbet with Candy Dipstick 12g, a delicious treat loved by everyone. Its variety of flavors and attractive colors make it suitable for all ages. Perfect as a small reward or a light gift for f"&amp;"riends and family. Made with high quality to ensure a great taste in every piece. Get yours from Aira Mini Mart and spread the joy to your loved ones.")</f>
        <v>Add a sweet treat to your day with Funkee Dips Blue Raspberry Sherbet with Candy Dipstick 12g, a delicious treat loved by everyone. Its variety of flavors and attractive colors make it suitable for all ages. Perfect as a small reward or a light gift for friends and family. Made with high quality to ensure a great taste in every piece. Get yours from Aira Mini Mart and spread the joy to your loved ones.</v>
      </c>
      <c r="E700" s="56" t="str">
        <f>IF('AYIRA MINI MART FINAL MENU - Pr'!K700="", "", 'AYIRA MINI MART FINAL MENU - Pr'!K700)</f>
        <v/>
      </c>
      <c r="F700" s="56"/>
      <c r="G700" s="56"/>
      <c r="H700" s="56"/>
      <c r="I700" s="56"/>
      <c r="J700" s="56"/>
      <c r="L700" s="56" t="str">
        <f>IF('AYIRA MINI MART FINAL MENU - Pr'!L700="", "", 'AYIRA MINI MART FINAL MENU - Pr'!L700)</f>
        <v/>
      </c>
      <c r="M700" s="56" t="str">
        <f>IF('AYIRA MINI MART FINAL MENU - Pr'!M700="", "", 'AYIRA MINI MART FINAL MENU - Pr'!M700)</f>
        <v/>
      </c>
      <c r="N700" s="56" t="str">
        <f>IF('AYIRA MINI MART FINAL MENU - Pr'!N700="", "", 'AYIRA MINI MART FINAL MENU - Pr'!N700)</f>
        <v/>
      </c>
      <c r="O700" s="57"/>
      <c r="P700" s="57"/>
      <c r="Q700" s="57"/>
      <c r="R700" s="57"/>
      <c r="S700" s="57"/>
      <c r="T700" s="57"/>
      <c r="U700" s="57"/>
      <c r="V700" s="57"/>
      <c r="W700" s="57"/>
      <c r="X700" s="57"/>
      <c r="Y700" s="57"/>
      <c r="Z700" s="57"/>
    </row>
    <row r="701">
      <c r="A701" s="56" t="str">
        <f>IFERROR(__xludf.DUMMYFUNCTION("IF('AYIRA MINI MART FINAL MENU - Pr'!A701="""", """", IF(LEN(IFERROR(TRIM(REGEXREPLACE(TRIM(REGEXEXTRACT('AYIRA MINI MART FINAL MENU - Pr'!A701, ""^[^\x{0600}-\x{06FF}]+"")), ""[-–]+$"", """")), """"))&gt;0, IFERROR(TRIM(REGEXREPLACE(TRIM(REGEXEXTRACT('AYIRA"&amp;" MINI MART FINAL MENU - Pr'!A701, ""^[^\x{0600}-\x{06FF}]+"")), ""[-–]+$"", """")), """"), GOOGLETRANSLATE('AYIRA MINI MART FINAL MENU - Pr'!A701, ""ar"", ""en"")))"),"Jellopy Rainbow Licorice 20g – Jellopy Rainbow Licorice 20")</f>
        <v>Jellopy Rainbow Licorice 20g – Jellopy Rainbow Licorice 20</v>
      </c>
      <c r="B701" s="56" t="str">
        <f>IFERROR(__xludf.DUMMYFUNCTION("IF('AYIRA MINI MART FINAL MENU - Pr'!B701="""", """", IF(LEN(IFERROR(TRIM(REGEXREPLACE(TRIM(REGEXEXTRACT('AYIRA MINI MART FINAL MENU - Pr'!B701, ""^[^\x{0600}-\x{06FF}]+"")), ""[-–]+$"", """")), """"))&gt;0, IFERROR(TRIM(REGEXREPLACE(TRIM(REGEXEXTRACT('AYIRA"&amp;" MINI MART FINAL MENU - Pr'!B701, ""^[^\x{0600}-\x{06FF}]+"")), ""[-–]+$"", """")), """"), GOOGLETRANSLATE('AYIRA MINI MART FINAL MENU - Pr'!B701, ""ar"", ""en"")))"),"Candy |")</f>
        <v>Candy |</v>
      </c>
      <c r="C701" s="58">
        <f>IF('AYIRA MINI MART FINAL MENU - Pr'!C701="", "", 'AYIRA MINI MART FINAL MENU - Pr'!C701)</f>
        <v>1</v>
      </c>
      <c r="D701" s="56" t="str">
        <f>IFERROR(__xludf.DUMMYFUNCTION("IF('AYIRA MINI MART FINAL MENU - Pr'!D701="""", """", GOOGLETRANSLATE('AYIRA MINI MART FINAL MENU - Pr'!D701, ""ar"", ""en""))"),"Don't be able to resist the taste of Jellopy Rainbow Licorice 20g, your perfect companion for relaxing and watching the game. Its unique crunch and varied flavors make every handful a delightful experience. Prepared with the finest ingredients using the l"&amp;"atest manufacturing techniques to guarantee an unparalleled taste. Ideal as a snack for adults and children alike between meals. Aira Mini Mart offers it in the perfect size and flavor for you.")</f>
        <v>Don't be able to resist the taste of Jellopy Rainbow Licorice 20g,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701" s="56" t="str">
        <f>IF('AYIRA MINI MART FINAL MENU - Pr'!K701="", "", 'AYIRA MINI MART FINAL MENU - Pr'!K701)</f>
        <v/>
      </c>
      <c r="F701" s="56"/>
      <c r="G701" s="56"/>
      <c r="H701" s="56"/>
      <c r="I701" s="56"/>
      <c r="J701" s="56"/>
      <c r="L701" s="56" t="str">
        <f>IF('AYIRA MINI MART FINAL MENU - Pr'!L701="", "", 'AYIRA MINI MART FINAL MENU - Pr'!L701)</f>
        <v/>
      </c>
      <c r="M701" s="56" t="str">
        <f>IF('AYIRA MINI MART FINAL MENU - Pr'!M701="", "", 'AYIRA MINI MART FINAL MENU - Pr'!M701)</f>
        <v/>
      </c>
      <c r="N701" s="56" t="str">
        <f>IF('AYIRA MINI MART FINAL MENU - Pr'!N701="", "", 'AYIRA MINI MART FINAL MENU - Pr'!N701)</f>
        <v/>
      </c>
      <c r="O701" s="57"/>
      <c r="P701" s="57"/>
      <c r="Q701" s="57"/>
      <c r="R701" s="57"/>
      <c r="S701" s="57"/>
      <c r="T701" s="57"/>
      <c r="U701" s="57"/>
      <c r="V701" s="57"/>
      <c r="W701" s="57"/>
      <c r="X701" s="57"/>
      <c r="Y701" s="57"/>
      <c r="Z701" s="57"/>
    </row>
    <row r="702">
      <c r="A702" s="56" t="str">
        <f>IFERROR(__xludf.DUMMYFUNCTION("IF('AYIRA MINI MART FINAL MENU - Pr'!A702="""", """", IF(LEN(IFERROR(TRIM(REGEXREPLACE(TRIM(REGEXEXTRACT('AYIRA MINI MART FINAL MENU - Pr'!A702, ""^[^\x{0600}-\x{06FF}]+"")), ""[-–]+$"", """")), """"))&gt;0, IFERROR(TRIM(REGEXREPLACE(TRIM(REGEXEXTRACT('AYIRA"&amp;" MINI MART FINAL MENU - Pr'!A702, ""^[^\x{0600}-\x{06FF}]+"")), ""[-–]+$"", """")), """"), GOOGLETRANSLATE('AYIRA MINI MART FINAL MENU - Pr'!A702, ""ar"", ""en"")))"),"Funny Faces Chewy Candy 39g – Funny Faces Chewy Candy 39")</f>
        <v>Funny Faces Chewy Candy 39g – Funny Faces Chewy Candy 39</v>
      </c>
      <c r="B702" s="56" t="str">
        <f>IFERROR(__xludf.DUMMYFUNCTION("IF('AYIRA MINI MART FINAL MENU - Pr'!B702="""", """", IF(LEN(IFERROR(TRIM(REGEXREPLACE(TRIM(REGEXEXTRACT('AYIRA MINI MART FINAL MENU - Pr'!B702, ""^[^\x{0600}-\x{06FF}]+"")), ""[-–]+$"", """")), """"))&gt;0, IFERROR(TRIM(REGEXREPLACE(TRIM(REGEXEXTRACT('AYIRA"&amp;" MINI MART FINAL MENU - Pr'!B702, ""^[^\x{0600}-\x{06FF}]+"")), ""[-–]+$"", """")), """"), GOOGLETRANSLATE('AYIRA MINI MART FINAL MENU - Pr'!B702, ""ar"", ""en"")))"),"Candy |")</f>
        <v>Candy |</v>
      </c>
      <c r="C702" s="58">
        <f>IF('AYIRA MINI MART FINAL MENU - Pr'!C702="", "", 'AYIRA MINI MART FINAL MENU - Pr'!C702)</f>
        <v>2</v>
      </c>
      <c r="D702" s="56" t="str">
        <f>IFERROR(__xludf.DUMMYFUNCTION("IF('AYIRA MINI MART FINAL MENU - Pr'!D702="""", """", GOOGLETRANSLATE('AYIRA MINI MART FINAL MENU - Pr'!D702, ""ar"", ""en""))"),"Add a sweet moment to your day with Funny Faces Chewy Candy 39g, a delicious treat loved by everyone. Its variety of flavors and vibrant colors make it suitable for all ages. Perfect as a small reward or a light gift for friends and family. Made with high"&amp;"-quality ingredients to ensure a great taste in every piece. Get yours from Aira Mini Mart and spread joy to your loved ones.")</f>
        <v>Add a sweet moment to your day with Funny Faces Chewy Candy 39g, a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joy to your loved ones.</v>
      </c>
      <c r="E702" s="56" t="str">
        <f>IF('AYIRA MINI MART FINAL MENU - Pr'!K702="", "", 'AYIRA MINI MART FINAL MENU - Pr'!K702)</f>
        <v/>
      </c>
      <c r="F702" s="56"/>
      <c r="G702" s="56"/>
      <c r="H702" s="56"/>
      <c r="I702" s="56"/>
      <c r="J702" s="56"/>
      <c r="L702" s="56" t="str">
        <f>IF('AYIRA MINI MART FINAL MENU - Pr'!L702="", "", 'AYIRA MINI MART FINAL MENU - Pr'!L702)</f>
        <v/>
      </c>
      <c r="M702" s="56" t="str">
        <f>IF('AYIRA MINI MART FINAL MENU - Pr'!M702="", "", 'AYIRA MINI MART FINAL MENU - Pr'!M702)</f>
        <v/>
      </c>
      <c r="N702" s="56" t="str">
        <f>IF('AYIRA MINI MART FINAL MENU - Pr'!N702="", "", 'AYIRA MINI MART FINAL MENU - Pr'!N702)</f>
        <v/>
      </c>
      <c r="O702" s="57"/>
      <c r="P702" s="57"/>
      <c r="Q702" s="57"/>
      <c r="R702" s="57"/>
      <c r="S702" s="57"/>
      <c r="T702" s="57"/>
      <c r="U702" s="57"/>
      <c r="V702" s="57"/>
      <c r="W702" s="57"/>
      <c r="X702" s="57"/>
      <c r="Y702" s="57"/>
      <c r="Z702" s="57"/>
    </row>
    <row r="703">
      <c r="A703" s="56" t="str">
        <f>IFERROR(__xludf.DUMMYFUNCTION("IF('AYIRA MINI MART FINAL MENU - Pr'!A703="""", """", IF(LEN(IFERROR(TRIM(REGEXREPLACE(TRIM(REGEXEXTRACT('AYIRA MINI MART FINAL MENU - Pr'!A703, ""^[^\x{0600}-\x{06FF}]+"")), ""[-–]+$"", """")), """"))&gt;0, IFERROR(TRIM(REGEXREPLACE(TRIM(REGEXEXTRACT('AYIRA"&amp;" MINI MART FINAL MENU - Pr'!A703, ""^[^\x{0600}-\x{06FF}]+"")), ""[-–]+$"", """")), """"), GOOGLETRANSLATE('AYIRA MINI MART FINAL MENU - Pr'!A703, ""ar"", ""en"")))"),"Yupi Fruit Cocktails 14g – Yupi Fruit Cocktails 14")</f>
        <v>Yupi Fruit Cocktails 14g – Yupi Fruit Cocktails 14</v>
      </c>
      <c r="B703" s="56" t="str">
        <f>IFERROR(__xludf.DUMMYFUNCTION("IF('AYIRA MINI MART FINAL MENU - Pr'!B703="""", """", IF(LEN(IFERROR(TRIM(REGEXREPLACE(TRIM(REGEXEXTRACT('AYIRA MINI MART FINAL MENU - Pr'!B703, ""^[^\x{0600}-\x{06FF}]+"")), ""[-–]+$"", """")), """"))&gt;0, IFERROR(TRIM(REGEXREPLACE(TRIM(REGEXEXTRACT('AYIRA"&amp;" MINI MART FINAL MENU - Pr'!B703, ""^[^\x{0600}-\x{06FF}]+"")), ""[-–]+$"", """")), """"), GOOGLETRANSLATE('AYIRA MINI MART FINAL MENU - Pr'!B703, ""ar"", ""en"")))"),"Candy |")</f>
        <v>Candy |</v>
      </c>
      <c r="C703" s="58">
        <f>IF('AYIRA MINI MART FINAL MENU - Pr'!C703="", "", 'AYIRA MINI MART FINAL MENU - Pr'!C703)</f>
        <v>1</v>
      </c>
      <c r="D703" s="56" t="str">
        <f>IFERROR(__xludf.DUMMYFUNCTION("IF('AYIRA MINI MART FINAL MENU - Pr'!D703="""", """", GOOGLETRANSLATE('AYIRA MINI MART FINAL MENU - Pr'!D703, ""ar"", ""en""))"),"Don't be able to resist the taste of Yupi Fruit Cocktails 14g, your perfect companion for relaxing and watching the game. Their unique crunch and diverse flavors make every handful a delightful experience. Prepared with the finest ingredients using the la"&amp;"test manufacturing techniques to ensure an unparalleled taste. Ideal as a snack for adults and children alike between meals. Aira Mini Mart offers them in the perfect size and flavor for you.")</f>
        <v>Don't be able to resist the taste of Yupi Fruit Cocktails 14g, your perfect companion for relaxing and watching the game. Their unique crunch and diverse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703" s="56" t="str">
        <f>IF('AYIRA MINI MART FINAL MENU - Pr'!K703="", "", 'AYIRA MINI MART FINAL MENU - Pr'!K703)</f>
        <v/>
      </c>
      <c r="F703" s="56"/>
      <c r="G703" s="56"/>
      <c r="H703" s="56"/>
      <c r="I703" s="56"/>
      <c r="J703" s="56"/>
      <c r="L703" s="56" t="str">
        <f>IF('AYIRA MINI MART FINAL MENU - Pr'!L703="", "", 'AYIRA MINI MART FINAL MENU - Pr'!L703)</f>
        <v/>
      </c>
      <c r="M703" s="56" t="str">
        <f>IF('AYIRA MINI MART FINAL MENU - Pr'!M703="", "", 'AYIRA MINI MART FINAL MENU - Pr'!M703)</f>
        <v/>
      </c>
      <c r="N703" s="56" t="str">
        <f>IF('AYIRA MINI MART FINAL MENU - Pr'!N703="", "", 'AYIRA MINI MART FINAL MENU - Pr'!N703)</f>
        <v/>
      </c>
      <c r="O703" s="57"/>
      <c r="P703" s="57"/>
      <c r="Q703" s="57"/>
      <c r="R703" s="57"/>
      <c r="S703" s="57"/>
      <c r="T703" s="57"/>
      <c r="U703" s="57"/>
      <c r="V703" s="57"/>
      <c r="W703" s="57"/>
      <c r="X703" s="57"/>
      <c r="Y703" s="57"/>
      <c r="Z703" s="57"/>
    </row>
    <row r="704">
      <c r="A704" s="56" t="str">
        <f>IFERROR(__xludf.DUMMYFUNCTION("IF('AYIRA MINI MART FINAL MENU - Pr'!A704="""", """", IF(LEN(IFERROR(TRIM(REGEXREPLACE(TRIM(REGEXEXTRACT('AYIRA MINI MART FINAL MENU - Pr'!A704, ""^[^\x{0600}-\x{06FF}]+"")), ""[-–]+$"", """")), """"))&gt;0, IFERROR(TRIM(REGEXREPLACE(TRIM(REGEXEXTRACT('AYIRA"&amp;" MINI MART FINAL MENU - Pr'!A704, ""^[^\x{0600}-\x{06FF}]+"")), ""[-–]+$"", """")), """"), GOOGLETRANSLATE('AYIRA MINI MART FINAL MENU - Pr'!A704, ""ar"", ""en"")))"),"Bubbles Squeeze 40g – Bubbles Squeeze 40")</f>
        <v>Bubbles Squeeze 40g – Bubbles Squeeze 40</v>
      </c>
      <c r="B704" s="56" t="str">
        <f>IFERROR(__xludf.DUMMYFUNCTION("IF('AYIRA MINI MART FINAL MENU - Pr'!B704="""", """", IF(LEN(IFERROR(TRIM(REGEXREPLACE(TRIM(REGEXEXTRACT('AYIRA MINI MART FINAL MENU - Pr'!B704, ""^[^\x{0600}-\x{06FF}]+"")), ""[-–]+$"", """")), """"))&gt;0, IFERROR(TRIM(REGEXREPLACE(TRIM(REGEXEXTRACT('AYIRA"&amp;" MINI MART FINAL MENU - Pr'!B704, ""^[^\x{0600}-\x{06FF}]+"")), ""[-–]+$"", """")), """"), GOOGLETRANSLATE('AYIRA MINI MART FINAL MENU - Pr'!B704, ""ar"", ""en"")))"),"Candy |")</f>
        <v>Candy |</v>
      </c>
      <c r="C704" s="58">
        <f>IF('AYIRA MINI MART FINAL MENU - Pr'!C704="", "", 'AYIRA MINI MART FINAL MENU - Pr'!C704)</f>
        <v>2.5</v>
      </c>
      <c r="D704" s="56" t="str">
        <f>IFERROR(__xludf.DUMMYFUNCTION("IF('AYIRA MINI MART FINAL MENU - Pr'!D704="""", """", GOOGLETRANSLATE('AYIRA MINI MART FINAL MENU - Pr'!D704, ""ar"", ""en""))"),"Don't be able to resist the taste of Bubbles Squeeze 40g, your perfect companion for relaxing and watching the game. Its unique crunch and varied flavors make every handful a delightful experience. Prepared with the finest ingredients using the latest man"&amp;"ufacturing techniques to guarantee an unparalleled taste. Ideal as a snack for adults and children alike between meals. Aira Mini Mart offers it in the perfect size and flavor for you.")</f>
        <v>Don't be able to resist the taste of Bubbles Squeeze 40g,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704" s="56" t="str">
        <f>IF('AYIRA MINI MART FINAL MENU - Pr'!K704="", "", 'AYIRA MINI MART FINAL MENU - Pr'!K704)</f>
        <v/>
      </c>
      <c r="F704" s="56"/>
      <c r="G704" s="56"/>
      <c r="H704" s="56"/>
      <c r="I704" s="56"/>
      <c r="J704" s="56"/>
      <c r="L704" s="56" t="str">
        <f>IF('AYIRA MINI MART FINAL MENU - Pr'!L704="", "", 'AYIRA MINI MART FINAL MENU - Pr'!L704)</f>
        <v/>
      </c>
      <c r="M704" s="56" t="str">
        <f>IF('AYIRA MINI MART FINAL MENU - Pr'!M704="", "", 'AYIRA MINI MART FINAL MENU - Pr'!M704)</f>
        <v/>
      </c>
      <c r="N704" s="56" t="str">
        <f>IF('AYIRA MINI MART FINAL MENU - Pr'!N704="", "", 'AYIRA MINI MART FINAL MENU - Pr'!N704)</f>
        <v/>
      </c>
      <c r="O704" s="57"/>
      <c r="P704" s="57"/>
      <c r="Q704" s="57"/>
      <c r="R704" s="57"/>
      <c r="S704" s="57"/>
      <c r="T704" s="57"/>
      <c r="U704" s="57"/>
      <c r="V704" s="57"/>
      <c r="W704" s="57"/>
      <c r="X704" s="57"/>
      <c r="Y704" s="57"/>
      <c r="Z704" s="57"/>
    </row>
    <row r="705">
      <c r="A705" s="56" t="str">
        <f>IFERROR(__xludf.DUMMYFUNCTION("IF('AYIRA MINI MART FINAL MENU - Pr'!A705="""", """", IF(LEN(IFERROR(TRIM(REGEXREPLACE(TRIM(REGEXEXTRACT('AYIRA MINI MART FINAL MENU - Pr'!A705, ""^[^\x{0600}-\x{06FF}]+"")), ""[-–]+$"", """")), """"))&gt;0, IFERROR(TRIM(REGEXREPLACE(TRIM(REGEXEXTRACT('AYIRA"&amp;" MINI MART FINAL MENU - Pr'!A705, ""^[^\x{0600}-\x{06FF}]+"")), ""[-–]+$"", """")), """"), GOOGLETRANSLATE('AYIRA MINI MART FINAL MENU - Pr'!A705, ""ar"", ""en"")))"),"Fruit Roll Strawberry Flavour 12g – Fruit Roll")</f>
        <v>Fruit Roll Strawberry Flavour 12g – Fruit Roll</v>
      </c>
      <c r="B705" s="56" t="str">
        <f>IFERROR(__xludf.DUMMYFUNCTION("IF('AYIRA MINI MART FINAL MENU - Pr'!B705="""", """", IF(LEN(IFERROR(TRIM(REGEXREPLACE(TRIM(REGEXEXTRACT('AYIRA MINI MART FINAL MENU - Pr'!B705, ""^[^\x{0600}-\x{06FF}]+"")), ""[-–]+$"", """")), """"))&gt;0, IFERROR(TRIM(REGEXREPLACE(TRIM(REGEXEXTRACT('AYIRA"&amp;" MINI MART FINAL MENU - Pr'!B705, ""^[^\x{0600}-\x{06FF}]+"")), ""[-–]+$"", """")), """"), GOOGLETRANSLATE('AYIRA MINI MART FINAL MENU - Pr'!B705, ""ar"", ""en"")))"),"Candy |")</f>
        <v>Candy |</v>
      </c>
      <c r="C705" s="58">
        <f>IF('AYIRA MINI MART FINAL MENU - Pr'!C705="", "", 'AYIRA MINI MART FINAL MENU - Pr'!C705)</f>
        <v>1</v>
      </c>
      <c r="D705" s="56" t="str">
        <f>IFERROR(__xludf.DUMMYFUNCTION("IF('AYIRA MINI MART FINAL MENU - Pr'!D705="""", """", GOOGLETRANSLATE('AYIRA MINI MART FINAL MENU - Pr'!D705, ""ar"", ""en""))"),"Don't be able to resist the taste of Fruit Roll Strawberry Flavor 12g, your perfect companion for relaxing and watching the game. Its unique crunch and varied flavors make every handful a delightful experience. Prepared with the finest ingredients using t"&amp;"he latest manufacturing techniques to ensure an unparalleled taste. Ideal as a snack for adults and children alike between meals. Aira Mini Mart offers it in the perfect size and flavor for you.")</f>
        <v>Don't be able to resist the taste of Fruit Roll Strawberry Flavor 12g,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705" s="56" t="str">
        <f>IF('AYIRA MINI MART FINAL MENU - Pr'!K705="", "", 'AYIRA MINI MART FINAL MENU - Pr'!K705)</f>
        <v/>
      </c>
      <c r="F705" s="56"/>
      <c r="G705" s="56"/>
      <c r="H705" s="56"/>
      <c r="I705" s="56"/>
      <c r="J705" s="56"/>
      <c r="L705" s="56" t="str">
        <f>IF('AYIRA MINI MART FINAL MENU - Pr'!L705="", "", 'AYIRA MINI MART FINAL MENU - Pr'!L705)</f>
        <v/>
      </c>
      <c r="M705" s="56" t="str">
        <f>IF('AYIRA MINI MART FINAL MENU - Pr'!M705="", "", 'AYIRA MINI MART FINAL MENU - Pr'!M705)</f>
        <v/>
      </c>
      <c r="N705" s="56" t="str">
        <f>IF('AYIRA MINI MART FINAL MENU - Pr'!N705="", "", 'AYIRA MINI MART FINAL MENU - Pr'!N705)</f>
        <v/>
      </c>
      <c r="O705" s="57"/>
      <c r="P705" s="57"/>
      <c r="Q705" s="57"/>
      <c r="R705" s="57"/>
      <c r="S705" s="57"/>
      <c r="T705" s="57"/>
      <c r="U705" s="57"/>
      <c r="V705" s="57"/>
      <c r="W705" s="57"/>
      <c r="X705" s="57"/>
      <c r="Y705" s="57"/>
      <c r="Z705" s="57"/>
    </row>
    <row r="706">
      <c r="A706" s="56" t="str">
        <f>IFERROR(__xludf.DUMMYFUNCTION("IF('AYIRA MINI MART FINAL MENU - Pr'!A706="""", """", IF(LEN(IFERROR(TRIM(REGEXREPLACE(TRIM(REGEXEXTRACT('AYIRA MINI MART FINAL MENU - Pr'!A706, ""^[^\x{0600}-\x{06FF}]+"")), ""[-–]+$"", """")), """"))&gt;0, IFERROR(TRIM(REGEXREPLACE(TRIM(REGEXEXTRACT('AYIRA"&amp;" MINI MART FINAL MENU - Pr'!A706, ""^[^\x{0600}-\x{06FF}]+"")), ""[-–]+$"", """")), """"), GOOGLETRANSLATE('AYIRA MINI MART FINAL MENU - Pr'!A706, ""ar"", ""en"")))"),"Sour Stick Apple Flavour 20g – Sour")</f>
        <v>Sour Stick Apple Flavour 20g – Sour</v>
      </c>
      <c r="B706" s="56" t="str">
        <f>IFERROR(__xludf.DUMMYFUNCTION("IF('AYIRA MINI MART FINAL MENU - Pr'!B706="""", """", IF(LEN(IFERROR(TRIM(REGEXREPLACE(TRIM(REGEXEXTRACT('AYIRA MINI MART FINAL MENU - Pr'!B706, ""^[^\x{0600}-\x{06FF}]+"")), ""[-–]+$"", """")), """"))&gt;0, IFERROR(TRIM(REGEXREPLACE(TRIM(REGEXEXTRACT('AYIRA"&amp;" MINI MART FINAL MENU - Pr'!B706, ""^[^\x{0600}-\x{06FF}]+"")), ""[-–]+$"", """")), """"), GOOGLETRANSLATE('AYIRA MINI MART FINAL MENU - Pr'!B706, ""ar"", ""en"")))"),"Candy |")</f>
        <v>Candy |</v>
      </c>
      <c r="C706" s="58">
        <f>IF('AYIRA MINI MART FINAL MENU - Pr'!C706="", "", 'AYIRA MINI MART FINAL MENU - Pr'!C706)</f>
        <v>1</v>
      </c>
      <c r="D706" s="56" t="str">
        <f>IFERROR(__xludf.DUMMYFUNCTION("IF('AYIRA MINI MART FINAL MENU - Pr'!D706="""", """", GOOGLETRANSLATE('AYIRA MINI MART FINAL MENU - Pr'!D706, ""ar"", ""en""))"),"Don't be able to resist the taste of Sour Stick Apple Flavor 20g, your perfect companion for relaxing and watching the game. Its unique crunch and varied flavors make every handful a delightful experience. Prepared with the finest ingredients using the la"&amp;"test manufacturing techniques to ensure an unparalleled taste. Ideal as a snack for adults and children between meals. Aira Mini Mart offers it in the perfect size and flavor for you.")</f>
        <v>Don't be able to resist the taste of Sour Stick Apple Flavor 20g,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706" s="56" t="str">
        <f>IF('AYIRA MINI MART FINAL MENU - Pr'!K706="", "", 'AYIRA MINI MART FINAL MENU - Pr'!K706)</f>
        <v/>
      </c>
      <c r="F706" s="56"/>
      <c r="G706" s="56"/>
      <c r="H706" s="56"/>
      <c r="I706" s="56"/>
      <c r="J706" s="56"/>
      <c r="L706" s="56" t="str">
        <f>IF('AYIRA MINI MART FINAL MENU - Pr'!L706="", "", 'AYIRA MINI MART FINAL MENU - Pr'!L706)</f>
        <v/>
      </c>
      <c r="M706" s="56" t="str">
        <f>IF('AYIRA MINI MART FINAL MENU - Pr'!M706="", "", 'AYIRA MINI MART FINAL MENU - Pr'!M706)</f>
        <v/>
      </c>
      <c r="N706" s="56" t="str">
        <f>IF('AYIRA MINI MART FINAL MENU - Pr'!N706="", "", 'AYIRA MINI MART FINAL MENU - Pr'!N706)</f>
        <v/>
      </c>
      <c r="O706" s="57"/>
      <c r="P706" s="57"/>
      <c r="Q706" s="57"/>
      <c r="R706" s="57"/>
      <c r="S706" s="57"/>
      <c r="T706" s="57"/>
      <c r="U706" s="57"/>
      <c r="V706" s="57"/>
      <c r="W706" s="57"/>
      <c r="X706" s="57"/>
      <c r="Y706" s="57"/>
      <c r="Z706" s="57"/>
    </row>
    <row r="707">
      <c r="A707" s="56" t="str">
        <f>IFERROR(__xludf.DUMMYFUNCTION("IF('AYIRA MINI MART FINAL MENU - Pr'!A707="""", """", IF(LEN(IFERROR(TRIM(REGEXREPLACE(TRIM(REGEXEXTRACT('AYIRA MINI MART FINAL MENU - Pr'!A707, ""^[^\x{0600}-\x{06FF}]+"")), ""[-–]+$"", """")), """"))&gt;0, IFERROR(TRIM(REGEXREPLACE(TRIM(REGEXEXTRACT('AYIRA"&amp;" MINI MART FINAL MENU - Pr'!A707, ""^[^\x{0600}-\x{06FF}]+"")), ""[-–]+$"", """")), """"), GOOGLETRANSLATE('AYIRA MINI MART FINAL MENU - Pr'!A707, ""ar"", ""en"")))"),"Mallow Iam Filled Mallows 20g – Mallow Iam Filled Mallows 20")</f>
        <v>Mallow Iam Filled Mallows 20g – Mallow Iam Filled Mallows 20</v>
      </c>
      <c r="B707" s="56" t="str">
        <f>IFERROR(__xludf.DUMMYFUNCTION("IF('AYIRA MINI MART FINAL MENU - Pr'!B707="""", """", IF(LEN(IFERROR(TRIM(REGEXREPLACE(TRIM(REGEXEXTRACT('AYIRA MINI MART FINAL MENU - Pr'!B707, ""^[^\x{0600}-\x{06FF}]+"")), ""[-–]+$"", """")), """"))&gt;0, IFERROR(TRIM(REGEXREPLACE(TRIM(REGEXEXTRACT('AYIRA"&amp;" MINI MART FINAL MENU - Pr'!B707, ""^[^\x{0600}-\x{06FF}]+"")), ""[-–]+$"", """")), """"), GOOGLETRANSLATE('AYIRA MINI MART FINAL MENU - Pr'!B707, ""ar"", ""en"")))"),"Candy |")</f>
        <v>Candy |</v>
      </c>
      <c r="C707" s="58">
        <f>IF('AYIRA MINI MART FINAL MENU - Pr'!C707="", "", 'AYIRA MINI MART FINAL MENU - Pr'!C707)</f>
        <v>1.5</v>
      </c>
      <c r="D707" s="56" t="str">
        <f>IFERROR(__xludf.DUMMYFUNCTION("IF('AYIRA MINI MART FINAL MENU - Pr'!D707="""", """", GOOGLETRANSLATE('AYIRA MINI MART FINAL MENU - Pr'!D707, ""ar"", ""en""))"),"Don't be able to resist the taste of Mallow Iam Filled Mallows 20g, your perfect companion for relaxing and watching the game. Their unique crunch and varied flavors make every handful a delightful experience. Prepared with the finest ingredients using th"&amp;"e latest manufacturing techniques to guarantee an unparalleled taste. Ideal as a snack for adults and children alike between meals. Aira Mini Mart offers them in the perfect size and flavor for you.")</f>
        <v>Don't be able to resist the taste of Mallow Iam Filled Mallows 20g,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707" s="56" t="str">
        <f>IF('AYIRA MINI MART FINAL MENU - Pr'!K707="", "", 'AYIRA MINI MART FINAL MENU - Pr'!K707)</f>
        <v/>
      </c>
      <c r="F707" s="56"/>
      <c r="G707" s="56"/>
      <c r="H707" s="56"/>
      <c r="I707" s="56"/>
      <c r="J707" s="56"/>
      <c r="L707" s="56" t="str">
        <f>IF('AYIRA MINI MART FINAL MENU - Pr'!L707="", "", 'AYIRA MINI MART FINAL MENU - Pr'!L707)</f>
        <v/>
      </c>
      <c r="M707" s="56" t="str">
        <f>IF('AYIRA MINI MART FINAL MENU - Pr'!M707="", "", 'AYIRA MINI MART FINAL MENU - Pr'!M707)</f>
        <v/>
      </c>
      <c r="N707" s="56" t="str">
        <f>IF('AYIRA MINI MART FINAL MENU - Pr'!N707="", "", 'AYIRA MINI MART FINAL MENU - Pr'!N707)</f>
        <v/>
      </c>
      <c r="O707" s="57"/>
      <c r="P707" s="57"/>
      <c r="Q707" s="57"/>
      <c r="R707" s="57"/>
      <c r="S707" s="57"/>
      <c r="T707" s="57"/>
      <c r="U707" s="57"/>
      <c r="V707" s="57"/>
      <c r="W707" s="57"/>
      <c r="X707" s="57"/>
      <c r="Y707" s="57"/>
      <c r="Z707" s="57"/>
    </row>
    <row r="708">
      <c r="A708" s="56" t="str">
        <f>IFERROR(__xludf.DUMMYFUNCTION("IF('AYIRA MINI MART FINAL MENU - Pr'!A708="""", """", IF(LEN(IFERROR(TRIM(REGEXREPLACE(TRIM(REGEXEXTRACT('AYIRA MINI MART FINAL MENU - Pr'!A708, ""^[^\x{0600}-\x{06FF}]+"")), ""[-–]+$"", """")), """"))&gt;0, IFERROR(TRIM(REGEXREPLACE(TRIM(REGEXEXTRACT('AYIRA"&amp;" MINI MART FINAL MENU - Pr'!A708, ""^[^\x{0600}-\x{06FF}]+"")), ""[-–]+$"", """")), """"), GOOGLETRANSLATE('AYIRA MINI MART FINAL MENU - Pr'!A708, ""ar"", ""en"")))"),"Brain Blasters 45g – Brain Blasters 45")</f>
        <v>Brain Blasters 45g – Brain Blasters 45</v>
      </c>
      <c r="B708" s="56" t="str">
        <f>IFERROR(__xludf.DUMMYFUNCTION("IF('AYIRA MINI MART FINAL MENU - Pr'!B708="""", """", IF(LEN(IFERROR(TRIM(REGEXREPLACE(TRIM(REGEXEXTRACT('AYIRA MINI MART FINAL MENU - Pr'!B708, ""^[^\x{0600}-\x{06FF}]+"")), ""[-–]+$"", """")), """"))&gt;0, IFERROR(TRIM(REGEXREPLACE(TRIM(REGEXEXTRACT('AYIRA"&amp;" MINI MART FINAL MENU - Pr'!B708, ""^[^\x{0600}-\x{06FF}]+"")), ""[-–]+$"", """")), """"), GOOGLETRANSLATE('AYIRA MINI MART FINAL MENU - Pr'!B708, ""ar"", ""en"")))"),"Candy |")</f>
        <v>Candy |</v>
      </c>
      <c r="C708" s="58">
        <f>IF('AYIRA MINI MART FINAL MENU - Pr'!C708="", "", 'AYIRA MINI MART FINAL MENU - Pr'!C708)</f>
        <v>3.5</v>
      </c>
      <c r="D708" s="56" t="str">
        <f>IFERROR(__xludf.DUMMYFUNCTION("IF('AYIRA MINI MART FINAL MENU - Pr'!D708="""", """", GOOGLETRANSLATE('AYIRA MINI MART FINAL MENU - Pr'!D708, ""ar"", ""en""))"),"Don't be able to resist the taste of Brain Blasters 45g, your perfect companion for relaxing and watching the game. Their unique crunch and varied flavors make every handful a delightful experience. Made with the finest ingredients using the latest manufa"&amp;"cturing techniques to ensure an unparalleled taste. Ideal as a snack for adults and children alike between meals. Aira Mini Mart offers them in the perfect size and flavor for you.")</f>
        <v>Don't be able to resist the taste of Brain Blasters 45g,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708" s="56" t="str">
        <f>IF('AYIRA MINI MART FINAL MENU - Pr'!K708="", "", 'AYIRA MINI MART FINAL MENU - Pr'!K708)</f>
        <v/>
      </c>
      <c r="F708" s="56"/>
      <c r="G708" s="56"/>
      <c r="H708" s="56"/>
      <c r="I708" s="56"/>
      <c r="J708" s="56"/>
      <c r="L708" s="56" t="str">
        <f>IF('AYIRA MINI MART FINAL MENU - Pr'!L708="", "", 'AYIRA MINI MART FINAL MENU - Pr'!L708)</f>
        <v/>
      </c>
      <c r="M708" s="56" t="str">
        <f>IF('AYIRA MINI MART FINAL MENU - Pr'!M708="", "", 'AYIRA MINI MART FINAL MENU - Pr'!M708)</f>
        <v/>
      </c>
      <c r="N708" s="56" t="str">
        <f>IF('AYIRA MINI MART FINAL MENU - Pr'!N708="", "", 'AYIRA MINI MART FINAL MENU - Pr'!N708)</f>
        <v/>
      </c>
      <c r="O708" s="57"/>
      <c r="P708" s="57"/>
      <c r="Q708" s="57"/>
      <c r="R708" s="57"/>
      <c r="S708" s="57"/>
      <c r="T708" s="57"/>
      <c r="U708" s="57"/>
      <c r="V708" s="57"/>
      <c r="W708" s="57"/>
      <c r="X708" s="57"/>
      <c r="Y708" s="57"/>
      <c r="Z708" s="57"/>
    </row>
    <row r="709">
      <c r="A709" s="56" t="str">
        <f>IFERROR(__xludf.DUMMYFUNCTION("IF('AYIRA MINI MART FINAL MENU - Pr'!A709="""", """", IF(LEN(IFERROR(TRIM(REGEXREPLACE(TRIM(REGEXEXTRACT('AYIRA MINI MART FINAL MENU - Pr'!A709, ""^[^\x{0600}-\x{06FF}]+"")), ""[-–]+$"", """")), """"))&gt;0, IFERROR(TRIM(REGEXREPLACE(TRIM(REGEXEXTRACT('AYIRA"&amp;" MINI MART FINAL MENU - Pr'!A709, ""^[^\x{0600}-\x{06FF}]+"")), ""[-–]+$"", """")), """"), GOOGLETRANSLATE('AYIRA MINI MART FINAL MENU - Pr'!A709, ""ar"", ""en"")))"),"Ring Candy Grape Flavour 10g – Ring Candy")</f>
        <v>Ring Candy Grape Flavour 10g – Ring Candy</v>
      </c>
      <c r="B709" s="56" t="str">
        <f>IFERROR(__xludf.DUMMYFUNCTION("IF('AYIRA MINI MART FINAL MENU - Pr'!B709="""", """", IF(LEN(IFERROR(TRIM(REGEXREPLACE(TRIM(REGEXEXTRACT('AYIRA MINI MART FINAL MENU - Pr'!B709, ""^[^\x{0600}-\x{06FF}]+"")), ""[-–]+$"", """")), """"))&gt;0, IFERROR(TRIM(REGEXREPLACE(TRIM(REGEXEXTRACT('AYIRA"&amp;" MINI MART FINAL MENU - Pr'!B709, ""^[^\x{0600}-\x{06FF}]+"")), ""[-–]+$"", """")), """"), GOOGLETRANSLATE('AYIRA MINI MART FINAL MENU - Pr'!B709, ""ar"", ""en"")))"),"Candy |")</f>
        <v>Candy |</v>
      </c>
      <c r="C709" s="58">
        <f>IF('AYIRA MINI MART FINAL MENU - Pr'!C709="", "", 'AYIRA MINI MART FINAL MENU - Pr'!C709)</f>
        <v>1</v>
      </c>
      <c r="D709" s="56" t="str">
        <f>IFERROR(__xludf.DUMMYFUNCTION("IF('AYIRA MINI MART FINAL MENU - Pr'!D709="""", """", GOOGLETRANSLATE('AYIRA MINI MART FINAL MENU - Pr'!D709, ""ar"", ""en""))"),"Add a sweet touch to your day with Ring Candy Grape Flavor 10g, a delicious treat loved by everyone. Its variety of flavors and attractive colors make it suitable for all ages. Perfect as a small treat or a light gift for friends and family. Made with hig"&amp;"h quality ingredients to ensure a great taste in every piece. Get yours from Aira Mini Mart and spread the joy to your loved ones.")</f>
        <v>Add a sweet touch to your day with Ring Candy Grape Flavor 10g, a delicious treat loved by everyone. Its variety of flavors and attractive colors make it suitable for all ages. Perfect as a small treat or a light gift for friends and family. Made with high quality ingredients to ensure a great taste in every piece. Get yours from Aira Mini Mart and spread the joy to your loved ones.</v>
      </c>
      <c r="E709" s="56" t="str">
        <f>IF('AYIRA MINI MART FINAL MENU - Pr'!K709="", "", 'AYIRA MINI MART FINAL MENU - Pr'!K709)</f>
        <v/>
      </c>
      <c r="F709" s="56"/>
      <c r="G709" s="56"/>
      <c r="H709" s="56"/>
      <c r="I709" s="56"/>
      <c r="J709" s="56"/>
      <c r="L709" s="56" t="str">
        <f>IF('AYIRA MINI MART FINAL MENU - Pr'!L709="", "", 'AYIRA MINI MART FINAL MENU - Pr'!L709)</f>
        <v/>
      </c>
      <c r="M709" s="56" t="str">
        <f>IF('AYIRA MINI MART FINAL MENU - Pr'!M709="", "", 'AYIRA MINI MART FINAL MENU - Pr'!M709)</f>
        <v/>
      </c>
      <c r="N709" s="56" t="str">
        <f>IF('AYIRA MINI MART FINAL MENU - Pr'!N709="", "", 'AYIRA MINI MART FINAL MENU - Pr'!N709)</f>
        <v/>
      </c>
      <c r="O709" s="57"/>
      <c r="P709" s="57"/>
      <c r="Q709" s="57"/>
      <c r="R709" s="57"/>
      <c r="S709" s="57"/>
      <c r="T709" s="57"/>
      <c r="U709" s="57"/>
      <c r="V709" s="57"/>
      <c r="W709" s="57"/>
      <c r="X709" s="57"/>
      <c r="Y709" s="57"/>
      <c r="Z709" s="57"/>
    </row>
    <row r="710">
      <c r="A710" s="56" t="str">
        <f>IFERROR(__xludf.DUMMYFUNCTION("IF('AYIRA MINI MART FINAL MENU - Pr'!A710="""", """", IF(LEN(IFERROR(TRIM(REGEXREPLACE(TRIM(REGEXEXTRACT('AYIRA MINI MART FINAL MENU - Pr'!A710, ""^[^\x{0600}-\x{06FF}]+"")), ""[-–]+$"", """")), """"))&gt;0, IFERROR(TRIM(REGEXREPLACE(TRIM(REGEXEXTRACT('AYIRA"&amp;" MINI MART FINAL MENU - Pr'!A710, ""^[^\x{0600}-\x{06FF}]+"")), ""[-–]+$"", """")), """"), GOOGLETRANSLATE('AYIRA MINI MART FINAL MENU - Pr'!A710, ""ar"", ""en"")))"),"Tazzy Mini Licorice Strawberry 25g – Tazzy")</f>
        <v>Tazzy Mini Licorice Strawberry 25g – Tazzy</v>
      </c>
      <c r="B710" s="56" t="str">
        <f>IFERROR(__xludf.DUMMYFUNCTION("IF('AYIRA MINI MART FINAL MENU - Pr'!B710="""", """", IF(LEN(IFERROR(TRIM(REGEXREPLACE(TRIM(REGEXEXTRACT('AYIRA MINI MART FINAL MENU - Pr'!B710, ""^[^\x{0600}-\x{06FF}]+"")), ""[-–]+$"", """")), """"))&gt;0, IFERROR(TRIM(REGEXREPLACE(TRIM(REGEXEXTRACT('AYIRA"&amp;" MINI MART FINAL MENU - Pr'!B710, ""^[^\x{0600}-\x{06FF}]+"")), ""[-–]+$"", """")), """"), GOOGLETRANSLATE('AYIRA MINI MART FINAL MENU - Pr'!B710, ""ar"", ""en"")))"),"Candy |")</f>
        <v>Candy |</v>
      </c>
      <c r="C710" s="58">
        <f>IF('AYIRA MINI MART FINAL MENU - Pr'!C710="", "", 'AYIRA MINI MART FINAL MENU - Pr'!C710)</f>
        <v>1</v>
      </c>
      <c r="D710" s="56" t="str">
        <f>IFERROR(__xludf.DUMMYFUNCTION("IF('AYIRA MINI MART FINAL MENU - Pr'!D710="""", """", GOOGLETRANSLATE('AYIRA MINI MART FINAL MENU - Pr'!D710, ""ar"", ""en""))"),"Don't be able to resist the taste of Tazzy Mini Licorice Strawberry 25g, your perfect companion for relaxing and watching the game. Its unique crunch and varied flavors make every handful a delightful experience. Prepared with the finest ingredients using"&amp;" the latest manufacturing techniques to ensure an unparalleled taste. Ideal as a snack for adults and children alike between meals. Aira Mini Mart offers it in the perfect size and flavor for you.")</f>
        <v>Don't be able to resist the taste of Tazzy Mini Licorice Strawberry 25g,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710" s="56" t="str">
        <f>IF('AYIRA MINI MART FINAL MENU - Pr'!K710="", "", 'AYIRA MINI MART FINAL MENU - Pr'!K710)</f>
        <v/>
      </c>
      <c r="F710" s="56"/>
      <c r="G710" s="56"/>
      <c r="H710" s="56"/>
      <c r="I710" s="56"/>
      <c r="J710" s="56"/>
      <c r="L710" s="56" t="str">
        <f>IF('AYIRA MINI MART FINAL MENU - Pr'!L710="", "", 'AYIRA MINI MART FINAL MENU - Pr'!L710)</f>
        <v/>
      </c>
      <c r="M710" s="56" t="str">
        <f>IF('AYIRA MINI MART FINAL MENU - Pr'!M710="", "", 'AYIRA MINI MART FINAL MENU - Pr'!M710)</f>
        <v/>
      </c>
      <c r="N710" s="56" t="str">
        <f>IF('AYIRA MINI MART FINAL MENU - Pr'!N710="", "", 'AYIRA MINI MART FINAL MENU - Pr'!N710)</f>
        <v/>
      </c>
      <c r="O710" s="57"/>
      <c r="P710" s="57"/>
      <c r="Q710" s="57"/>
      <c r="R710" s="57"/>
      <c r="S710" s="57"/>
      <c r="T710" s="57"/>
      <c r="U710" s="57"/>
      <c r="V710" s="57"/>
      <c r="W710" s="57"/>
      <c r="X710" s="57"/>
      <c r="Y710" s="57"/>
      <c r="Z710" s="57"/>
    </row>
    <row r="711">
      <c r="A711" s="56" t="str">
        <f>IFERROR(__xludf.DUMMYFUNCTION("IF('AYIRA MINI MART FINAL MENU - Pr'!A711="""", """", IF(LEN(IFERROR(TRIM(REGEXREPLACE(TRIM(REGEXEXTRACT('AYIRA MINI MART FINAL MENU - Pr'!A711, ""^[^\x{0600}-\x{06FF}]+"")), ""[-–]+$"", """")), """"))&gt;0, IFERROR(TRIM(REGEXREPLACE(TRIM(REGEXEXTRACT('AYIRA"&amp;" MINI MART FINAL MENU - Pr'!A711, ""^[^\x{0600}-\x{06FF}]+"")), ""[-–]+$"", """")), """"), GOOGLETRANSLATE('AYIRA MINI MART FINAL MENU - Pr'!A711, ""ar"", ""en"")))"),"Frit-C Extreme Z Apple 20g – Frit-C Extreme Z")</f>
        <v>Frit-C Extreme Z Apple 20g – Frit-C Extreme Z</v>
      </c>
      <c r="B711" s="56" t="str">
        <f>IFERROR(__xludf.DUMMYFUNCTION("IF('AYIRA MINI MART FINAL MENU - Pr'!B711="""", """", IF(LEN(IFERROR(TRIM(REGEXREPLACE(TRIM(REGEXEXTRACT('AYIRA MINI MART FINAL MENU - Pr'!B711, ""^[^\x{0600}-\x{06FF}]+"")), ""[-–]+$"", """")), """"))&gt;0, IFERROR(TRIM(REGEXREPLACE(TRIM(REGEXEXTRACT('AYIRA"&amp;" MINI MART FINAL MENU - Pr'!B711, ""^[^\x{0600}-\x{06FF}]+"")), ""[-–]+$"", """")), """"), GOOGLETRANSLATE('AYIRA MINI MART FINAL MENU - Pr'!B711, ""ar"", ""en"")))"),"Candy |")</f>
        <v>Candy |</v>
      </c>
      <c r="C711" s="58">
        <f>IF('AYIRA MINI MART FINAL MENU - Pr'!C711="", "", 'AYIRA MINI MART FINAL MENU - Pr'!C711)</f>
        <v>1</v>
      </c>
      <c r="D711" s="56" t="str">
        <f>IFERROR(__xludf.DUMMYFUNCTION("IF('AYIRA MINI MART FINAL MENU - Pr'!D711="""", """", GOOGLETRANSLATE('AYIRA MINI MART FINAL MENU - Pr'!D711, ""ar"", ""en""))"),"Don't be able to resist the taste of Frit-C Extreme Z Apple 20g, your perfect companion for relaxing and watching the game. Its unique crunch and varied flavors make every handful a delightful experience. Prepared with the finest ingredients using the lat"&amp;"est manufacturing techniques to guarantee an unparalleled taste. Ideal as a snack for adults and children alike between meals. Aira Mini Mart offers it in the perfect size and flavor for you.")</f>
        <v>Don't be able to resist the taste of Frit-C Extreme Z Apple 20g,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711" s="56" t="str">
        <f>IF('AYIRA MINI MART FINAL MENU - Pr'!K711="", "", 'AYIRA MINI MART FINAL MENU - Pr'!K711)</f>
        <v/>
      </c>
      <c r="F711" s="56"/>
      <c r="G711" s="56"/>
      <c r="H711" s="56"/>
      <c r="I711" s="56"/>
      <c r="J711" s="56"/>
      <c r="L711" s="56" t="str">
        <f>IF('AYIRA MINI MART FINAL MENU - Pr'!L711="", "", 'AYIRA MINI MART FINAL MENU - Pr'!L711)</f>
        <v/>
      </c>
      <c r="M711" s="56" t="str">
        <f>IF('AYIRA MINI MART FINAL MENU - Pr'!M711="", "", 'AYIRA MINI MART FINAL MENU - Pr'!M711)</f>
        <v/>
      </c>
      <c r="N711" s="56" t="str">
        <f>IF('AYIRA MINI MART FINAL MENU - Pr'!N711="", "", 'AYIRA MINI MART FINAL MENU - Pr'!N711)</f>
        <v/>
      </c>
      <c r="O711" s="57"/>
      <c r="P711" s="57"/>
      <c r="Q711" s="57"/>
      <c r="R711" s="57"/>
      <c r="S711" s="57"/>
      <c r="T711" s="57"/>
      <c r="U711" s="57"/>
      <c r="V711" s="57"/>
      <c r="W711" s="57"/>
      <c r="X711" s="57"/>
      <c r="Y711" s="57"/>
      <c r="Z711" s="57"/>
    </row>
    <row r="712">
      <c r="A712" s="56" t="str">
        <f>IFERROR(__xludf.DUMMYFUNCTION("IF('AYIRA MINI MART FINAL MENU - Pr'!A712="""", """", IF(LEN(IFERROR(TRIM(REGEXREPLACE(TRIM(REGEXEXTRACT('AYIRA MINI MART FINAL MENU - Pr'!A712, ""^[^\x{0600}-\x{06FF}]+"")), ""[-–]+$"", """")), """"))&gt;0, IFERROR(TRIM(REGEXREPLACE(TRIM(REGEXEXTRACT('AYIRA"&amp;" MINI MART FINAL MENU - Pr'!A712, ""^[^\x{0600}-\x{06FF}]+"")), ""[-–]+$"", """")), """"), GOOGLETRANSLATE('AYIRA MINI MART FINAL MENU - Pr'!A712, ""ar"", ""en"")))"),"Frit-C Extreme Z Cola 20g – Frit-C Extreme Z Cola 20")</f>
        <v>Frit-C Extreme Z Cola 20g – Frit-C Extreme Z Cola 20</v>
      </c>
      <c r="B712" s="56" t="str">
        <f>IFERROR(__xludf.DUMMYFUNCTION("IF('AYIRA MINI MART FINAL MENU - Pr'!B712="""", """", IF(LEN(IFERROR(TRIM(REGEXREPLACE(TRIM(REGEXEXTRACT('AYIRA MINI MART FINAL MENU - Pr'!B712, ""^[^\x{0600}-\x{06FF}]+"")), ""[-–]+$"", """")), """"))&gt;0, IFERROR(TRIM(REGEXREPLACE(TRIM(REGEXEXTRACT('AYIRA"&amp;" MINI MART FINAL MENU - Pr'!B712, ""^[^\x{0600}-\x{06FF}]+"")), ""[-–]+$"", """")), """"), GOOGLETRANSLATE('AYIRA MINI MART FINAL MENU - Pr'!B712, ""ar"", ""en"")))"),"Candy |")</f>
        <v>Candy |</v>
      </c>
      <c r="C712" s="58">
        <f>IF('AYIRA MINI MART FINAL MENU - Pr'!C712="", "", 'AYIRA MINI MART FINAL MENU - Pr'!C712)</f>
        <v>1</v>
      </c>
      <c r="D712" s="56" t="str">
        <f>IFERROR(__xludf.DUMMYFUNCTION("IF('AYIRA MINI MART FINAL MENU - Pr'!D712="""", """", GOOGLETRANSLATE('AYIRA MINI MART FINAL MENU - Pr'!D712, ""ar"", ""en""))"),"Enjoy Frit-C Extreme Z Cola 20g, the refreshing soft drink that gives you energy and vitality with every sip. Its delicious taste and unique formula make it the perfect choice to quench your thirst anytime. Ideal for parties, family gatherings, and variou"&amp;"s occasions. It boasts distinctive flavors that make every sip an unforgettable experience. Get it now from Aira Mini Mart at the best prices and highest quality. Our premium drink provides instant refreshment and satisfies your discerning palate whenever"&amp;" you need hydration.")</f>
        <v>Enjoy Frit-C Extreme Z Cola 20g, the refreshing soft drink that gives you energy and vitality with every sip.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712" s="56" t="str">
        <f>IF('AYIRA MINI MART FINAL MENU - Pr'!K712="", "", 'AYIRA MINI MART FINAL MENU - Pr'!K712)</f>
        <v/>
      </c>
      <c r="F712" s="56"/>
      <c r="G712" s="56"/>
      <c r="H712" s="56"/>
      <c r="I712" s="56"/>
      <c r="J712" s="56"/>
      <c r="L712" s="56" t="str">
        <f>IF('AYIRA MINI MART FINAL MENU - Pr'!L712="", "", 'AYIRA MINI MART FINAL MENU - Pr'!L712)</f>
        <v/>
      </c>
      <c r="M712" s="56" t="str">
        <f>IF('AYIRA MINI MART FINAL MENU - Pr'!M712="", "", 'AYIRA MINI MART FINAL MENU - Pr'!M712)</f>
        <v/>
      </c>
      <c r="N712" s="56" t="str">
        <f>IF('AYIRA MINI MART FINAL MENU - Pr'!N712="", "", 'AYIRA MINI MART FINAL MENU - Pr'!N712)</f>
        <v/>
      </c>
      <c r="O712" s="57"/>
      <c r="P712" s="57"/>
      <c r="Q712" s="57"/>
      <c r="R712" s="57"/>
      <c r="S712" s="57"/>
      <c r="T712" s="57"/>
      <c r="U712" s="57"/>
      <c r="V712" s="57"/>
      <c r="W712" s="57"/>
      <c r="X712" s="57"/>
      <c r="Y712" s="57"/>
      <c r="Z712" s="57"/>
    </row>
    <row r="713">
      <c r="A713" s="56" t="str">
        <f>IFERROR(__xludf.DUMMYFUNCTION("IF('AYIRA MINI MART FINAL MENU - Pr'!A713="""", """", IF(LEN(IFERROR(TRIM(REGEXREPLACE(TRIM(REGEXEXTRACT('AYIRA MINI MART FINAL MENU - Pr'!A713, ""^[^\x{0600}-\x{06FF}]+"")), ""[-–]+$"", """")), """"))&gt;0, IFERROR(TRIM(REGEXREPLACE(TRIM(REGEXEXTRACT('AYIRA"&amp;" MINI MART FINAL MENU - Pr'!A713, ""^[^\x{0600}-\x{06FF}]+"")), ""[-–]+$"", """")), """"), GOOGLETRANSLATE('AYIRA MINI MART FINAL MENU - Pr'!A713, ""ar"", ""en"")))"),"Frit-C Extreme Z Strawberry 20g – Frit-C Extreme Z")</f>
        <v>Frit-C Extreme Z Strawberry 20g – Frit-C Extreme Z</v>
      </c>
      <c r="B713" s="56" t="str">
        <f>IFERROR(__xludf.DUMMYFUNCTION("IF('AYIRA MINI MART FINAL MENU - Pr'!B713="""", """", IF(LEN(IFERROR(TRIM(REGEXREPLACE(TRIM(REGEXEXTRACT('AYIRA MINI MART FINAL MENU - Pr'!B713, ""^[^\x{0600}-\x{06FF}]+"")), ""[-–]+$"", """")), """"))&gt;0, IFERROR(TRIM(REGEXREPLACE(TRIM(REGEXEXTRACT('AYIRA"&amp;" MINI MART FINAL MENU - Pr'!B713, ""^[^\x{0600}-\x{06FF}]+"")), ""[-–]+$"", """")), """"), GOOGLETRANSLATE('AYIRA MINI MART FINAL MENU - Pr'!B713, ""ar"", ""en"")))"),"Candy |")</f>
        <v>Candy |</v>
      </c>
      <c r="C713" s="58">
        <f>IF('AYIRA MINI MART FINAL MENU - Pr'!C713="", "", 'AYIRA MINI MART FINAL MENU - Pr'!C713)</f>
        <v>1</v>
      </c>
      <c r="D713" s="56" t="str">
        <f>IFERROR(__xludf.DUMMYFUNCTION("IF('AYIRA MINI MART FINAL MENU - Pr'!D713="""", """", GOOGLETRANSLATE('AYIRA MINI MART FINAL MENU - Pr'!D713, ""ar"", ""en""))"),"Don't be able to resist the taste of Frit-C Extreme Z Strawberry 20g, your perfect companion for relaxing and watching the game. Its unique crunch and varied flavors make every handful a delightful experience. Prepared with the finest ingredients using th"&amp;"e latest manufacturing techniques to ensure an unparalleled taste. Ideal as a snack for adults and children between meals. Aira Mini Mart offers it in the perfect size and flavor for you.")</f>
        <v>Don't be able to resist the taste of Frit-C Extreme Z Strawberry 20g,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713" s="56" t="str">
        <f>IF('AYIRA MINI MART FINAL MENU - Pr'!K713="", "", 'AYIRA MINI MART FINAL MENU - Pr'!K713)</f>
        <v/>
      </c>
      <c r="F713" s="56"/>
      <c r="G713" s="56"/>
      <c r="H713" s="56"/>
      <c r="I713" s="56"/>
      <c r="J713" s="56"/>
      <c r="L713" s="56" t="str">
        <f>IF('AYIRA MINI MART FINAL MENU - Pr'!L713="", "", 'AYIRA MINI MART FINAL MENU - Pr'!L713)</f>
        <v/>
      </c>
      <c r="M713" s="56" t="str">
        <f>IF('AYIRA MINI MART FINAL MENU - Pr'!M713="", "", 'AYIRA MINI MART FINAL MENU - Pr'!M713)</f>
        <v/>
      </c>
      <c r="N713" s="56" t="str">
        <f>IF('AYIRA MINI MART FINAL MENU - Pr'!N713="", "", 'AYIRA MINI MART FINAL MENU - Pr'!N713)</f>
        <v/>
      </c>
      <c r="O713" s="57"/>
      <c r="P713" s="57"/>
      <c r="Q713" s="57"/>
      <c r="R713" s="57"/>
      <c r="S713" s="57"/>
      <c r="T713" s="57"/>
      <c r="U713" s="57"/>
      <c r="V713" s="57"/>
      <c r="W713" s="57"/>
      <c r="X713" s="57"/>
      <c r="Y713" s="57"/>
      <c r="Z713" s="57"/>
    </row>
    <row r="714">
      <c r="A714" s="56" t="str">
        <f>IFERROR(__xludf.DUMMYFUNCTION("IF('AYIRA MINI MART FINAL MENU - Pr'!A714="""", """", IF(LEN(IFERROR(TRIM(REGEXREPLACE(TRIM(REGEXEXTRACT('AYIRA MINI MART FINAL MENU - Pr'!A714, ""^[^\x{0600}-\x{06FF}]+"")), ""[-–]+$"", """")), """"))&gt;0, IFERROR(TRIM(REGEXREPLACE(TRIM(REGEXEXTRACT('AYIRA"&amp;" MINI MART FINAL MENU - Pr'!A714, ""^[^\x{0600}-\x{06FF}]+"")), ""[-–]+$"", """")), """"), GOOGLETRANSLATE('AYIRA MINI MART FINAL MENU - Pr'!A714, ""ar"", ""en"")))"),"Crazy Brain Pop Blueberry 16g – Crazy Brain Pop Blueberry 16")</f>
        <v>Crazy Brain Pop Blueberry 16g – Crazy Brain Pop Blueberry 16</v>
      </c>
      <c r="B714" s="56" t="str">
        <f>IFERROR(__xludf.DUMMYFUNCTION("IF('AYIRA MINI MART FINAL MENU - Pr'!B714="""", """", IF(LEN(IFERROR(TRIM(REGEXREPLACE(TRIM(REGEXEXTRACT('AYIRA MINI MART FINAL MENU - Pr'!B714, ""^[^\x{0600}-\x{06FF}]+"")), ""[-–]+$"", """")), """"))&gt;0, IFERROR(TRIM(REGEXREPLACE(TRIM(REGEXEXTRACT('AYIRA"&amp;" MINI MART FINAL MENU - Pr'!B714, ""^[^\x{0600}-\x{06FF}]+"")), ""[-–]+$"", """")), """"), GOOGLETRANSLATE('AYIRA MINI MART FINAL MENU - Pr'!B714, ""ar"", ""en"")))"),"Candy |")</f>
        <v>Candy |</v>
      </c>
      <c r="C714" s="58">
        <f>IF('AYIRA MINI MART FINAL MENU - Pr'!C714="", "", 'AYIRA MINI MART FINAL MENU - Pr'!C714)</f>
        <v>1</v>
      </c>
      <c r="D714" s="56" t="str">
        <f>IFERROR(__xludf.DUMMYFUNCTION("IF('AYIRA MINI MART FINAL MENU - Pr'!D714="""", """", GOOGLETRANSLATE('AYIRA MINI MART FINAL MENU - Pr'!D714, ""ar"", ""en""))"),"Don't be able to resist the taste of Crazy Brain Pop Blueberry 16g, your perfect companion for relaxing and watching the game. Its unique crunch and varied flavors make every handful a delightful experience. Made with the finest ingredients using the late"&amp;"st manufacturing techniques to ensure an unparalleled taste. Ideal as a snack for adults and children alike between meals. Aira Mini Mart offers it in the perfect size and flavor for you.")</f>
        <v>Don't be able to resist the taste of Crazy Brain Pop Blueberry 16g, your perfect companion for relaxing and watching the game. Its unique crunch and varied flavors make every handful a delightful experience. Made with the finest ingredients using the latest manufacturing techniques to ensure an unparalleled taste. Ideal as a snack for adults and children alike between meals. Aira Mini Mart offers it in the perfect size and flavor for you.</v>
      </c>
      <c r="E714" s="56" t="str">
        <f>IF('AYIRA MINI MART FINAL MENU - Pr'!K714="", "", 'AYIRA MINI MART FINAL MENU - Pr'!K714)</f>
        <v/>
      </c>
      <c r="F714" s="56"/>
      <c r="G714" s="56"/>
      <c r="H714" s="56"/>
      <c r="I714" s="56"/>
      <c r="J714" s="56"/>
      <c r="L714" s="56" t="str">
        <f>IF('AYIRA MINI MART FINAL MENU - Pr'!L714="", "", 'AYIRA MINI MART FINAL MENU - Pr'!L714)</f>
        <v/>
      </c>
      <c r="M714" s="56" t="str">
        <f>IF('AYIRA MINI MART FINAL MENU - Pr'!M714="", "", 'AYIRA MINI MART FINAL MENU - Pr'!M714)</f>
        <v/>
      </c>
      <c r="N714" s="56" t="str">
        <f>IF('AYIRA MINI MART FINAL MENU - Pr'!N714="", "", 'AYIRA MINI MART FINAL MENU - Pr'!N714)</f>
        <v/>
      </c>
      <c r="O714" s="57"/>
      <c r="P714" s="57"/>
      <c r="Q714" s="57"/>
      <c r="R714" s="57"/>
      <c r="S714" s="57"/>
      <c r="T714" s="57"/>
      <c r="U714" s="57"/>
      <c r="V714" s="57"/>
      <c r="W714" s="57"/>
      <c r="X714" s="57"/>
      <c r="Y714" s="57"/>
      <c r="Z714" s="57"/>
    </row>
    <row r="715">
      <c r="A715" s="56" t="str">
        <f>IFERROR(__xludf.DUMMYFUNCTION("IF('AYIRA MINI MART FINAL MENU - Pr'!A715="""", """", IF(LEN(IFERROR(TRIM(REGEXREPLACE(TRIM(REGEXEXTRACT('AYIRA MINI MART FINAL MENU - Pr'!A715, ""^[^\x{0600}-\x{06FF}]+"")), ""[-–]+$"", """")), """"))&gt;0, IFERROR(TRIM(REGEXREPLACE(TRIM(REGEXEXTRACT('AYIRA"&amp;" MINI MART FINAL MENU - Pr'!A715, ""^[^\x{0600}-\x{06FF}]+"")), ""[-–]+$"", """")), """"), GOOGLETRANSLATE('AYIRA MINI MART FINAL MENU - Pr'!A715, ""ar"", ""en"")))"),"Funkee Dips Strawberry Sherbet with Candy Dipstick 12g – Funkee Dips")</f>
        <v>Funkee Dips Strawberry Sherbet with Candy Dipstick 12g – Funkee Dips</v>
      </c>
      <c r="B715" s="56" t="str">
        <f>IFERROR(__xludf.DUMMYFUNCTION("IF('AYIRA MINI MART FINAL MENU - Pr'!B715="""", """", IF(LEN(IFERROR(TRIM(REGEXREPLACE(TRIM(REGEXEXTRACT('AYIRA MINI MART FINAL MENU - Pr'!B715, ""^[^\x{0600}-\x{06FF}]+"")), ""[-–]+$"", """")), """"))&gt;0, IFERROR(TRIM(REGEXREPLACE(TRIM(REGEXEXTRACT('AYIRA"&amp;" MINI MART FINAL MENU - Pr'!B715, ""^[^\x{0600}-\x{06FF}]+"")), ""[-–]+$"", """")), """"), GOOGLETRANSLATE('AYIRA MINI MART FINAL MENU - Pr'!B715, ""ar"", ""en"")))"),"Candy |")</f>
        <v>Candy |</v>
      </c>
      <c r="C715" s="58">
        <f>IF('AYIRA MINI MART FINAL MENU - Pr'!C715="", "", 'AYIRA MINI MART FINAL MENU - Pr'!C715)</f>
        <v>1</v>
      </c>
      <c r="D715" s="56" t="str">
        <f>IFERROR(__xludf.DUMMYFUNCTION("IF('AYIRA MINI MART FINAL MENU - Pr'!D715="""", """", GOOGLETRANSLATE('AYIRA MINI MART FINAL MENU - Pr'!D715, ""ar"", ""en""))"),"Add a sweet treat to your day with Funkee Dips Strawberry Sherbet with Candy Dipstick 12g, a delicious treat loved by everyone. Its variety of flavors and attractive colors make it suitable for all ages. Perfect as a small reward or a light gift for frien"&amp;"ds and family. Made with high quality ingredients to ensure a great taste in every piece. Get yours from Aira Mini Mart and spread the joy to your loved ones.")</f>
        <v>Add a sweet treat to your day with Funkee Dips Strawberry Sherbet with Candy Dipstick 12g, a delicious treat loved by everyone. Its variety of flavors and attractive colors make it suitable for all ages. Perfect as a small reward or a light gift for friends and family. Made with high quality ingredients to ensure a great taste in every piece. Get yours from Aira Mini Mart and spread the joy to your loved ones.</v>
      </c>
      <c r="E715" s="56" t="str">
        <f>IF('AYIRA MINI MART FINAL MENU - Pr'!K715="", "", 'AYIRA MINI MART FINAL MENU - Pr'!K715)</f>
        <v/>
      </c>
      <c r="F715" s="56"/>
      <c r="G715" s="56"/>
      <c r="H715" s="56"/>
      <c r="I715" s="56"/>
      <c r="J715" s="56"/>
      <c r="L715" s="56" t="str">
        <f>IF('AYIRA MINI MART FINAL MENU - Pr'!L715="", "", 'AYIRA MINI MART FINAL MENU - Pr'!L715)</f>
        <v/>
      </c>
      <c r="M715" s="56" t="str">
        <f>IF('AYIRA MINI MART FINAL MENU - Pr'!M715="", "", 'AYIRA MINI MART FINAL MENU - Pr'!M715)</f>
        <v/>
      </c>
      <c r="N715" s="56" t="str">
        <f>IF('AYIRA MINI MART FINAL MENU - Pr'!N715="", "", 'AYIRA MINI MART FINAL MENU - Pr'!N715)</f>
        <v/>
      </c>
      <c r="O715" s="57"/>
      <c r="P715" s="57"/>
      <c r="Q715" s="57"/>
      <c r="R715" s="57"/>
      <c r="S715" s="57"/>
      <c r="T715" s="57"/>
      <c r="U715" s="57"/>
      <c r="V715" s="57"/>
      <c r="W715" s="57"/>
      <c r="X715" s="57"/>
      <c r="Y715" s="57"/>
      <c r="Z715" s="57"/>
    </row>
    <row r="716">
      <c r="A716" s="56" t="str">
        <f>IFERROR(__xludf.DUMMYFUNCTION("IF('AYIRA MINI MART FINAL MENU - Pr'!A716="""", """", IF(LEN(IFERROR(TRIM(REGEXREPLACE(TRIM(REGEXEXTRACT('AYIRA MINI MART FINAL MENU - Pr'!A716, ""^[^\x{0600}-\x{06FF}]+"")), ""[-–]+$"", """")), """"))&gt;0, IFERROR(TRIM(REGEXREPLACE(TRIM(REGEXEXTRACT('AYIRA"&amp;" MINI MART FINAL MENU - Pr'!A716, ""^[^\x{0600}-\x{06FF}]+"")), ""[-–]+$"", """")), """"), GOOGLETRANSLATE('AYIRA MINI MART FINAL MENU - Pr'!A716, ""ar"", ""en"")))"),"Funkee Dips Cherry Sherbet with Candy Dipstick 12g – Funkee Dips")</f>
        <v>Funkee Dips Cherry Sherbet with Candy Dipstick 12g – Funkee Dips</v>
      </c>
      <c r="B716" s="56" t="str">
        <f>IFERROR(__xludf.DUMMYFUNCTION("IF('AYIRA MINI MART FINAL MENU - Pr'!B716="""", """", IF(LEN(IFERROR(TRIM(REGEXREPLACE(TRIM(REGEXEXTRACT('AYIRA MINI MART FINAL MENU - Pr'!B716, ""^[^\x{0600}-\x{06FF}]+"")), ""[-–]+$"", """")), """"))&gt;0, IFERROR(TRIM(REGEXREPLACE(TRIM(REGEXEXTRACT('AYIRA"&amp;" MINI MART FINAL MENU - Pr'!B716, ""^[^\x{0600}-\x{06FF}]+"")), ""[-–]+$"", """")), """"), GOOGLETRANSLATE('AYIRA MINI MART FINAL MENU - Pr'!B716, ""ar"", ""en"")))"),"Candy |")</f>
        <v>Candy |</v>
      </c>
      <c r="C716" s="58">
        <f>IF('AYIRA MINI MART FINAL MENU - Pr'!C716="", "", 'AYIRA MINI MART FINAL MENU - Pr'!C716)</f>
        <v>1</v>
      </c>
      <c r="D716" s="56" t="str">
        <f>IFERROR(__xludf.DUMMYFUNCTION("IF('AYIRA MINI MART FINAL MENU - Pr'!D716="""", """", GOOGLETRANSLATE('AYIRA MINI MART FINAL MENU - Pr'!D716, ""ar"", ""en""))"),"Add a sweet treat to your day with Funkee Dips Cherry Sherbet with Candy Dipstick 12g, a delicious candy loved by everyone. Its varied flavors and attractive colors make it suitable for all ages. Perfect as a small treat or a light gift for friends and fa"&amp;"mily. Made with high quality to ensure a great taste in every piece. Get yours from Aira Mini Mart and spread the joy to your loved ones.")</f>
        <v>Add a sweet treat to your day with Funkee Dips Cherry Sherbet with Candy Dipstick 12g, a delicious candy loved by everyone. Its varied flavors and attractive colors make it suitable for all ages. Perfect as a small treat or a light gift for friends and family. Made with high quality to ensure a great taste in every piece. Get yours from Aira Mini Mart and spread the joy to your loved ones.</v>
      </c>
      <c r="E716" s="56" t="str">
        <f>IF('AYIRA MINI MART FINAL MENU - Pr'!K716="", "", 'AYIRA MINI MART FINAL MENU - Pr'!K716)</f>
        <v/>
      </c>
      <c r="F716" s="56"/>
      <c r="G716" s="56"/>
      <c r="H716" s="56"/>
      <c r="I716" s="56"/>
      <c r="J716" s="56"/>
      <c r="L716" s="56" t="str">
        <f>IF('AYIRA MINI MART FINAL MENU - Pr'!L716="", "", 'AYIRA MINI MART FINAL MENU - Pr'!L716)</f>
        <v/>
      </c>
      <c r="M716" s="56" t="str">
        <f>IF('AYIRA MINI MART FINAL MENU - Pr'!M716="", "", 'AYIRA MINI MART FINAL MENU - Pr'!M716)</f>
        <v/>
      </c>
      <c r="N716" s="56" t="str">
        <f>IF('AYIRA MINI MART FINAL MENU - Pr'!N716="", "", 'AYIRA MINI MART FINAL MENU - Pr'!N716)</f>
        <v/>
      </c>
      <c r="O716" s="57"/>
      <c r="P716" s="57"/>
      <c r="Q716" s="57"/>
      <c r="R716" s="57"/>
      <c r="S716" s="57"/>
      <c r="T716" s="57"/>
      <c r="U716" s="57"/>
      <c r="V716" s="57"/>
      <c r="W716" s="57"/>
      <c r="X716" s="57"/>
      <c r="Y716" s="57"/>
      <c r="Z716" s="57"/>
    </row>
    <row r="717">
      <c r="A717" s="56" t="str">
        <f>IFERROR(__xludf.DUMMYFUNCTION("IF('AYIRA MINI MART FINAL MENU - Pr'!A717="""", """", IF(LEN(IFERROR(TRIM(REGEXREPLACE(TRIM(REGEXEXTRACT('AYIRA MINI MART FINAL MENU - Pr'!A717, ""^[^\x{0600}-\x{06FF}]+"")), ""[-–]+$"", """")), """"))&gt;0, IFERROR(TRIM(REGEXREPLACE(TRIM(REGEXEXTRACT('AYIRA"&amp;" MINI MART FINAL MENU - Pr'!A717, ""^[^\x{0600}-\x{06FF}]+"")), ""[-–]+$"", """")), """"), GOOGLETRANSLATE('AYIRA MINI MART FINAL MENU - Pr'!A717, ""ar"", ""en"")))"),"Choki Choki Choco Cashew 27g – Choki Choki Choco")</f>
        <v>Choki Choki Choco Cashew 27g – Choki Choki Choco</v>
      </c>
      <c r="B717" s="56" t="str">
        <f>IFERROR(__xludf.DUMMYFUNCTION("IF('AYIRA MINI MART FINAL MENU - Pr'!B717="""", """", IF(LEN(IFERROR(TRIM(REGEXREPLACE(TRIM(REGEXEXTRACT('AYIRA MINI MART FINAL MENU - Pr'!B717, ""^[^\x{0600}-\x{06FF}]+"")), ""[-–]+$"", """")), """"))&gt;0, IFERROR(TRIM(REGEXREPLACE(TRIM(REGEXEXTRACT('AYIRA"&amp;" MINI MART FINAL MENU - Pr'!B717, ""^[^\x{0600}-\x{06FF}]+"")), ""[-–]+$"", """")), """"), GOOGLETRANSLATE('AYIRA MINI MART FINAL MENU - Pr'!B717, ""ar"", ""en"")))"),"Candy |")</f>
        <v>Candy |</v>
      </c>
      <c r="C717" s="58">
        <f>IF('AYIRA MINI MART FINAL MENU - Pr'!C717="", "", 'AYIRA MINI MART FINAL MENU - Pr'!C717)</f>
        <v>2.5</v>
      </c>
      <c r="D717" s="56" t="str">
        <f>IFERROR(__xludf.DUMMYFUNCTION("IF('AYIRA MINI MART FINAL MENU - Pr'!D717="""", """", GOOGLETRANSLATE('AYIRA MINI MART FINAL MENU - Pr'!D717, ""ar"", ""en""))"),"Choose Choki Choki Choco Cashew 27g, natural nuts rich in protein and healthy fats essential for your body. Made from the finest, carefully selected nuts to ensure the highest levels of purity and taste. A perfect healthy and nutritious snack between meal"&amp;"s. Supports heart health and provides the energy you need. Available at Aira Mini Mart with the highest quality and best prices.")</f>
        <v>Choose Choki Choki Choco Cashew 27g,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717" s="56" t="str">
        <f>IF('AYIRA MINI MART FINAL MENU - Pr'!K717="", "", 'AYIRA MINI MART FINAL MENU - Pr'!K717)</f>
        <v/>
      </c>
      <c r="F717" s="56"/>
      <c r="G717" s="56"/>
      <c r="H717" s="56"/>
      <c r="I717" s="56"/>
      <c r="J717" s="56"/>
      <c r="L717" s="56" t="str">
        <f>IF('AYIRA MINI MART FINAL MENU - Pr'!L717="", "", 'AYIRA MINI MART FINAL MENU - Pr'!L717)</f>
        <v/>
      </c>
      <c r="M717" s="56" t="str">
        <f>IF('AYIRA MINI MART FINAL MENU - Pr'!M717="", "", 'AYIRA MINI MART FINAL MENU - Pr'!M717)</f>
        <v/>
      </c>
      <c r="N717" s="56" t="str">
        <f>IF('AYIRA MINI MART FINAL MENU - Pr'!N717="", "", 'AYIRA MINI MART FINAL MENU - Pr'!N717)</f>
        <v/>
      </c>
      <c r="O717" s="57"/>
      <c r="P717" s="57"/>
      <c r="Q717" s="57"/>
      <c r="R717" s="57"/>
      <c r="S717" s="57"/>
      <c r="T717" s="57"/>
      <c r="U717" s="57"/>
      <c r="V717" s="57"/>
      <c r="W717" s="57"/>
      <c r="X717" s="57"/>
      <c r="Y717" s="57"/>
      <c r="Z717" s="57"/>
    </row>
    <row r="718">
      <c r="A718" s="56" t="str">
        <f>IFERROR(__xludf.DUMMYFUNCTION("IF('AYIRA MINI MART FINAL MENU - Pr'!A718="""", """", IF(LEN(IFERROR(TRIM(REGEXREPLACE(TRIM(REGEXEXTRACT('AYIRA MINI MART FINAL MENU - Pr'!A718, ""^[^\x{0600}-\x{06FF}]+"")), ""[-–]+$"", """")), """"))&gt;0, IFERROR(TRIM(REGEXREPLACE(TRIM(REGEXEXTRACT('AYIRA"&amp;" MINI MART FINAL MENU - Pr'!A718, ""^[^\x{0600}-\x{06FF}]+"")), ""[-–]+$"", """")), """"), GOOGLETRANSLATE('AYIRA MINI MART FINAL MENU - Pr'!A718, ""ar"", ""en"")))"),"CC Stick Crazy Birds Mix Fruit 11g – CC")</f>
        <v>CC Stick Crazy Birds Mix Fruit 11g – CC</v>
      </c>
      <c r="B718" s="56" t="str">
        <f>IFERROR(__xludf.DUMMYFUNCTION("IF('AYIRA MINI MART FINAL MENU - Pr'!B718="""", """", IF(LEN(IFERROR(TRIM(REGEXREPLACE(TRIM(REGEXEXTRACT('AYIRA MINI MART FINAL MENU - Pr'!B718, ""^[^\x{0600}-\x{06FF}]+"")), ""[-–]+$"", """")), """"))&gt;0, IFERROR(TRIM(REGEXREPLACE(TRIM(REGEXEXTRACT('AYIRA"&amp;" MINI MART FINAL MENU - Pr'!B718, ""^[^\x{0600}-\x{06FF}]+"")), ""[-–]+$"", """")), """"), GOOGLETRANSLATE('AYIRA MINI MART FINAL MENU - Pr'!B718, ""ar"", ""en"")))"),"Candy |")</f>
        <v>Candy |</v>
      </c>
      <c r="C718" s="58">
        <f>IF('AYIRA MINI MART FINAL MENU - Pr'!C718="", "", 'AYIRA MINI MART FINAL MENU - Pr'!C718)</f>
        <v>1</v>
      </c>
      <c r="D718" s="56" t="str">
        <f>IFERROR(__xludf.DUMMYFUNCTION("IF('AYIRA MINI MART FINAL MENU - Pr'!D718="""", """", GOOGLETRANSLATE('AYIRA MINI MART FINAL MENU - Pr'!D718, ""ar"", ""en""))"),"Don't be able to resist the taste of CC Stick Crazy Birds Mix Fruit 11g, your perfect companion for relaxing and watching the game. Its unique crunch and varied flavors make every handful a delightful experience. Prepared with the finest ingredients using"&amp;" the latest manufacturing techniques to ensure an unparalleled taste. Ideal as a snack for adults and children alike between meals. Aira Mini Mart offers it in the perfect size and flavor for you.")</f>
        <v>Don't be able to resist the taste of CC Stick Crazy Birds Mix Fruit 11g,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718" s="56" t="str">
        <f>IF('AYIRA MINI MART FINAL MENU - Pr'!K718="", "", 'AYIRA MINI MART FINAL MENU - Pr'!K718)</f>
        <v/>
      </c>
      <c r="F718" s="56"/>
      <c r="G718" s="56"/>
      <c r="H718" s="56"/>
      <c r="I718" s="56"/>
      <c r="J718" s="56"/>
      <c r="L718" s="56" t="str">
        <f>IF('AYIRA MINI MART FINAL MENU - Pr'!L718="", "", 'AYIRA MINI MART FINAL MENU - Pr'!L718)</f>
        <v/>
      </c>
      <c r="M718" s="56" t="str">
        <f>IF('AYIRA MINI MART FINAL MENU - Pr'!M718="", "", 'AYIRA MINI MART FINAL MENU - Pr'!M718)</f>
        <v/>
      </c>
      <c r="N718" s="56" t="str">
        <f>IF('AYIRA MINI MART FINAL MENU - Pr'!N718="", "", 'AYIRA MINI MART FINAL MENU - Pr'!N718)</f>
        <v/>
      </c>
      <c r="O718" s="57"/>
      <c r="P718" s="57"/>
      <c r="Q718" s="57"/>
      <c r="R718" s="57"/>
      <c r="S718" s="57"/>
      <c r="T718" s="57"/>
      <c r="U718" s="57"/>
      <c r="V718" s="57"/>
      <c r="W718" s="57"/>
      <c r="X718" s="57"/>
      <c r="Y718" s="57"/>
      <c r="Z718" s="57"/>
    </row>
    <row r="719">
      <c r="A719" s="56" t="str">
        <f>IFERROR(__xludf.DUMMYFUNCTION("IF('AYIRA MINI MART FINAL MENU - Pr'!A719="""", """", IF(LEN(IFERROR(TRIM(REGEXREPLACE(TRIM(REGEXEXTRACT('AYIRA MINI MART FINAL MENU - Pr'!A719, ""^[^\x{0600}-\x{06FF}]+"")), ""[-–]+$"", """")), """"))&gt;0, IFERROR(TRIM(REGEXREPLACE(TRIM(REGEXEXTRACT('AYIRA"&amp;" MINI MART FINAL MENU - Pr'!A719, ""^[^\x{0600}-\x{06FF}]+"")), ""[-–]+$"", """")), """"), GOOGLETRANSLATE('AYIRA MINI MART FINAL MENU - Pr'!A719, ""ar"", ""en"")))"),"Tongue Painter Bubble Gum 16g – Tongue Painter Bubble Gum 16")</f>
        <v>Tongue Painter Bubble Gum 16g – Tongue Painter Bubble Gum 16</v>
      </c>
      <c r="B719" s="56" t="str">
        <f>IFERROR(__xludf.DUMMYFUNCTION("IF('AYIRA MINI MART FINAL MENU - Pr'!B719="""", """", IF(LEN(IFERROR(TRIM(REGEXREPLACE(TRIM(REGEXEXTRACT('AYIRA MINI MART FINAL MENU - Pr'!B719, ""^[^\x{0600}-\x{06FF}]+"")), ""[-–]+$"", """")), """"))&gt;0, IFERROR(TRIM(REGEXREPLACE(TRIM(REGEXEXTRACT('AYIRA"&amp;" MINI MART FINAL MENU - Pr'!B719, ""^[^\x{0600}-\x{06FF}]+"")), ""[-–]+$"", """")), """"), GOOGLETRANSLATE('AYIRA MINI MART FINAL MENU - Pr'!B719, ""ar"", ""en"")))"),"Candy |")</f>
        <v>Candy |</v>
      </c>
      <c r="C719" s="58">
        <f>IF('AYIRA MINI MART FINAL MENU - Pr'!C719="", "", 'AYIRA MINI MART FINAL MENU - Pr'!C719)</f>
        <v>1</v>
      </c>
      <c r="D719" s="56" t="str">
        <f>IFERROR(__xludf.DUMMYFUNCTION("IF('AYIRA MINI MART FINAL MENU - Pr'!D719="""", """", GOOGLETRANSLATE('AYIRA MINI MART FINAL MENU - Pr'!D719, ""ar"", ""en""))"),"Enjoy Tongue Painter Bubble Gum 16g, the refreshing gum that keeps your mouth clean and fresh all day long. Its long-lasting flavor and unique formula make it the perfect choice for those seeking continuous freshness throughout the day. It helps to invigo"&amp;"rate teeth and freshen breath beautifully. Suitable anytime, anywhere. Get it from Aira Mini Mart and enjoy continuous freshness.")</f>
        <v>Enjoy Tongue Painter Bubble Gum 16g,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719" s="56" t="str">
        <f>IF('AYIRA MINI MART FINAL MENU - Pr'!K719="", "", 'AYIRA MINI MART FINAL MENU - Pr'!K719)</f>
        <v/>
      </c>
      <c r="F719" s="56"/>
      <c r="G719" s="56"/>
      <c r="H719" s="56"/>
      <c r="I719" s="56"/>
      <c r="J719" s="56"/>
      <c r="L719" s="56" t="str">
        <f>IF('AYIRA MINI MART FINAL MENU - Pr'!L719="", "", 'AYIRA MINI MART FINAL MENU - Pr'!L719)</f>
        <v/>
      </c>
      <c r="M719" s="56" t="str">
        <f>IF('AYIRA MINI MART FINAL MENU - Pr'!M719="", "", 'AYIRA MINI MART FINAL MENU - Pr'!M719)</f>
        <v/>
      </c>
      <c r="N719" s="56" t="str">
        <f>IF('AYIRA MINI MART FINAL MENU - Pr'!N719="", "", 'AYIRA MINI MART FINAL MENU - Pr'!N719)</f>
        <v/>
      </c>
      <c r="O719" s="57"/>
      <c r="P719" s="57"/>
      <c r="Q719" s="57"/>
      <c r="R719" s="57"/>
      <c r="S719" s="57"/>
      <c r="T719" s="57"/>
      <c r="U719" s="57"/>
      <c r="V719" s="57"/>
      <c r="W719" s="57"/>
      <c r="X719" s="57"/>
      <c r="Y719" s="57"/>
      <c r="Z719" s="57"/>
    </row>
    <row r="720">
      <c r="A720" s="56" t="str">
        <f>IFERROR(__xludf.DUMMYFUNCTION("IF('AYIRA MINI MART FINAL MENU - Pr'!A720="""", """", IF(LEN(IFERROR(TRIM(REGEXREPLACE(TRIM(REGEXEXTRACT('AYIRA MINI MART FINAL MENU - Pr'!A720, ""^[^\x{0600}-\x{06FF}]+"")), ""[-–]+$"", """")), """"))&gt;0, IFERROR(TRIM(REGEXREPLACE(TRIM(REGEXEXTRACT('AYIRA"&amp;" MINI MART FINAL MENU - Pr'!A720, ""^[^\x{0600}-\x{06FF}]+"")), ""[-–]+$"", """")), """"), GOOGLETRANSLATE('AYIRA MINI MART FINAL MENU - Pr'!A720, ""ar"", ""en"")))"),"Super Hyper Acid 17.5g – Super Hyper Acid 17.5")</f>
        <v>Super Hyper Acid 17.5g – Super Hyper Acid 17.5</v>
      </c>
      <c r="B720" s="56" t="str">
        <f>IFERROR(__xludf.DUMMYFUNCTION("IF('AYIRA MINI MART FINAL MENU - Pr'!B720="""", """", IF(LEN(IFERROR(TRIM(REGEXREPLACE(TRIM(REGEXEXTRACT('AYIRA MINI MART FINAL MENU - Pr'!B720, ""^[^\x{0600}-\x{06FF}]+"")), ""[-–]+$"", """")), """"))&gt;0, IFERROR(TRIM(REGEXREPLACE(TRIM(REGEXEXTRACT('AYIRA"&amp;" MINI MART FINAL MENU - Pr'!B720, ""^[^\x{0600}-\x{06FF}]+"")), ""[-–]+$"", """")), """"), GOOGLETRANSLATE('AYIRA MINI MART FINAL MENU - Pr'!B720, ""ar"", ""en"")))"),"Candy |")</f>
        <v>Candy |</v>
      </c>
      <c r="C720" s="58">
        <f>IF('AYIRA MINI MART FINAL MENU - Pr'!C720="", "", 'AYIRA MINI MART FINAL MENU - Pr'!C720)</f>
        <v>1</v>
      </c>
      <c r="D720" s="56" t="str">
        <f>IFERROR(__xludf.DUMMYFUNCTION("IF('AYIRA MINI MART FINAL MENU - Pr'!D720="""", """", GOOGLETRANSLATE('AYIRA MINI MART FINAL MENU - Pr'!D720, ""ar"", ""en""))"),"Don't be able to resist the taste of Super Hyper Acid 17.5g, your perfect companion for relaxing and watching the game. Its unique crunch and diverse flavors make every handful a delightful experience. Prepared with the finest ingredients using the latest"&amp;" manufacturing techniques to guarantee an unparalleled taste. Ideal as a snack for adults and children between meals. Aira Mini Mart offers it in the perfect size and flavor for you.")</f>
        <v>Don't be able to resist the taste of Super Hyper Acid 17.5g,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720" s="56" t="str">
        <f>IF('AYIRA MINI MART FINAL MENU - Pr'!K720="", "", 'AYIRA MINI MART FINAL MENU - Pr'!K720)</f>
        <v/>
      </c>
      <c r="F720" s="56"/>
      <c r="G720" s="56"/>
      <c r="H720" s="56"/>
      <c r="I720" s="56"/>
      <c r="J720" s="56"/>
      <c r="L720" s="56" t="str">
        <f>IF('AYIRA MINI MART FINAL MENU - Pr'!L720="", "", 'AYIRA MINI MART FINAL MENU - Pr'!L720)</f>
        <v/>
      </c>
      <c r="M720" s="56" t="str">
        <f>IF('AYIRA MINI MART FINAL MENU - Pr'!M720="", "", 'AYIRA MINI MART FINAL MENU - Pr'!M720)</f>
        <v/>
      </c>
      <c r="N720" s="56" t="str">
        <f>IF('AYIRA MINI MART FINAL MENU - Pr'!N720="", "", 'AYIRA MINI MART FINAL MENU - Pr'!N720)</f>
        <v/>
      </c>
      <c r="O720" s="57"/>
      <c r="P720" s="57"/>
      <c r="Q720" s="57"/>
      <c r="R720" s="57"/>
      <c r="S720" s="57"/>
      <c r="T720" s="57"/>
      <c r="U720" s="57"/>
      <c r="V720" s="57"/>
      <c r="W720" s="57"/>
      <c r="X720" s="57"/>
      <c r="Y720" s="57"/>
      <c r="Z720" s="57"/>
    </row>
    <row r="721">
      <c r="A721" s="56" t="str">
        <f>IFERROR(__xludf.DUMMYFUNCTION("IF('AYIRA MINI MART FINAL MENU - Pr'!A721="""", """", IF(LEN(IFERROR(TRIM(REGEXREPLACE(TRIM(REGEXEXTRACT('AYIRA MINI MART FINAL MENU - Pr'!A721, ""^[^\x{0600}-\x{06FF}]+"")), ""[-–]+$"", """")), """"))&gt;0, IFERROR(TRIM(REGEXREPLACE(TRIM(REGEXEXTRACT('AYIRA"&amp;" MINI MART FINAL MENU - Pr'!A721, ""^[^\x{0600}-\x{06FF}]+"")), ""[-–]+$"", """")), """"), GOOGLETRANSLATE('AYIRA MINI MART FINAL MENU - Pr'!A721, ""ar"", ""en"")))"),"Super Hyper Acid Apple 0.25g – Super Hyper Acid")</f>
        <v>Super Hyper Acid Apple 0.25g – Super Hyper Acid</v>
      </c>
      <c r="B721" s="56" t="str">
        <f>IFERROR(__xludf.DUMMYFUNCTION("IF('AYIRA MINI MART FINAL MENU - Pr'!B721="""", """", IF(LEN(IFERROR(TRIM(REGEXREPLACE(TRIM(REGEXEXTRACT('AYIRA MINI MART FINAL MENU - Pr'!B721, ""^[^\x{0600}-\x{06FF}]+"")), ""[-–]+$"", """")), """"))&gt;0, IFERROR(TRIM(REGEXREPLACE(TRIM(REGEXEXTRACT('AYIRA"&amp;" MINI MART FINAL MENU - Pr'!B721, ""^[^\x{0600}-\x{06FF}]+"")), ""[-–]+$"", """")), """"), GOOGLETRANSLATE('AYIRA MINI MART FINAL MENU - Pr'!B721, ""ar"", ""en"")))"),"Candy |")</f>
        <v>Candy |</v>
      </c>
      <c r="C721" s="58">
        <f>IF('AYIRA MINI MART FINAL MENU - Pr'!C721="", "", 'AYIRA MINI MART FINAL MENU - Pr'!C721)</f>
        <v>1</v>
      </c>
      <c r="D721" s="56" t="str">
        <f>IFERROR(__xludf.DUMMYFUNCTION("IF('AYIRA MINI MART FINAL MENU - Pr'!D721="""", """", GOOGLETRANSLATE('AYIRA MINI MART FINAL MENU - Pr'!D721, ""ar"", ""en""))"),"Don't be able to resist the taste of Super Hyper Acid Apple 0.25g, your perfect companion for relaxing and watching the game. Its unique crunch and varied flavors make every handful a delightful experience. Prepared with the finest ingredients using the l"&amp;"atest manufacturing techniques to ensure an unparalleled taste. Ideal as a snack for adults and children between meals. Aira Mini Mart offers it in the perfect size and flavor for you.")</f>
        <v>Don't be able to resist the taste of Super Hyper Acid Apple 0.25g,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721" s="56" t="str">
        <f>IF('AYIRA MINI MART FINAL MENU - Pr'!K721="", "", 'AYIRA MINI MART FINAL MENU - Pr'!K721)</f>
        <v/>
      </c>
      <c r="F721" s="56"/>
      <c r="G721" s="56"/>
      <c r="H721" s="56"/>
      <c r="I721" s="56"/>
      <c r="J721" s="56"/>
      <c r="L721" s="56" t="str">
        <f>IF('AYIRA MINI MART FINAL MENU - Pr'!L721="", "", 'AYIRA MINI MART FINAL MENU - Pr'!L721)</f>
        <v/>
      </c>
      <c r="M721" s="56" t="str">
        <f>IF('AYIRA MINI MART FINAL MENU - Pr'!M721="", "", 'AYIRA MINI MART FINAL MENU - Pr'!M721)</f>
        <v/>
      </c>
      <c r="N721" s="56" t="str">
        <f>IF('AYIRA MINI MART FINAL MENU - Pr'!N721="", "", 'AYIRA MINI MART FINAL MENU - Pr'!N721)</f>
        <v/>
      </c>
      <c r="O721" s="57"/>
      <c r="P721" s="57"/>
      <c r="Q721" s="57"/>
      <c r="R721" s="57"/>
      <c r="S721" s="57"/>
      <c r="T721" s="57"/>
      <c r="U721" s="57"/>
      <c r="V721" s="57"/>
      <c r="W721" s="57"/>
      <c r="X721" s="57"/>
      <c r="Y721" s="57"/>
      <c r="Z721" s="57"/>
    </row>
    <row r="722">
      <c r="A722" s="56" t="str">
        <f>IFERROR(__xludf.DUMMYFUNCTION("IF('AYIRA MINI MART FINAL MENU - Pr'!A722="""", """", IF(LEN(IFERROR(TRIM(REGEXREPLACE(TRIM(REGEXEXTRACT('AYIRA MINI MART FINAL MENU - Pr'!A722, ""^[^\x{0600}-\x{06FF}]+"")), ""[-–]+$"", """")), """"))&gt;0, IFERROR(TRIM(REGEXREPLACE(TRIM(REGEXEXTRACT('AYIRA"&amp;" MINI MART FINAL MENU - Pr'!A722, ""^[^\x{0600}-\x{06FF}]+"")), ""[-–]+$"", """")), """"), GOOGLETRANSLATE('AYIRA MINI MART FINAL MENU - Pr'!A722, ""ar"", ""en"")))"),"Crazy Rollz Bubble Gum 12g – Crazy Rollz Bubble Gum 12")</f>
        <v>Crazy Rollz Bubble Gum 12g – Crazy Rollz Bubble Gum 12</v>
      </c>
      <c r="B722" s="56" t="str">
        <f>IFERROR(__xludf.DUMMYFUNCTION("IF('AYIRA MINI MART FINAL MENU - Pr'!B722="""", """", IF(LEN(IFERROR(TRIM(REGEXREPLACE(TRIM(REGEXEXTRACT('AYIRA MINI MART FINAL MENU - Pr'!B722, ""^[^\x{0600}-\x{06FF}]+"")), ""[-–]+$"", """")), """"))&gt;0, IFERROR(TRIM(REGEXREPLACE(TRIM(REGEXEXTRACT('AYIRA"&amp;" MINI MART FINAL MENU - Pr'!B722, ""^[^\x{0600}-\x{06FF}]+"")), ""[-–]+$"", """")), """"), GOOGLETRANSLATE('AYIRA MINI MART FINAL MENU - Pr'!B722, ""ar"", ""en"")))"),"Candy |")</f>
        <v>Candy |</v>
      </c>
      <c r="C722" s="58">
        <f>IF('AYIRA MINI MART FINAL MENU - Pr'!C722="", "", 'AYIRA MINI MART FINAL MENU - Pr'!C722)</f>
        <v>1</v>
      </c>
      <c r="D722" s="56" t="str">
        <f>IFERROR(__xludf.DUMMYFUNCTION("IF('AYIRA MINI MART FINAL MENU - Pr'!D722="""", """", GOOGLETRANSLATE('AYIRA MINI MART FINAL MENU - Pr'!D722, ""ar"", ""en""))"),"Enjoy Crazy Rollz Bubble Gum 12g, the refreshing gum that keeps your mouth clean and fresh all day long. Its long-lasting flavor and unique formula make it the perfect choice for those seeking continuous freshness throughout the day. It helps to invigorat"&amp;"e teeth and freshen breath beautifully. Suitable anytime, anywhere. Get it from Aira Mini Mart and enjoy continuous freshness.")</f>
        <v>Enjoy Crazy Rollz Bubble Gum 12g,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722" s="56" t="str">
        <f>IF('AYIRA MINI MART FINAL MENU - Pr'!K722="", "", 'AYIRA MINI MART FINAL MENU - Pr'!K722)</f>
        <v/>
      </c>
      <c r="F722" s="56"/>
      <c r="G722" s="56"/>
      <c r="H722" s="56"/>
      <c r="I722" s="56"/>
      <c r="J722" s="56"/>
      <c r="L722" s="56" t="str">
        <f>IF('AYIRA MINI MART FINAL MENU - Pr'!L722="", "", 'AYIRA MINI MART FINAL MENU - Pr'!L722)</f>
        <v/>
      </c>
      <c r="M722" s="56" t="str">
        <f>IF('AYIRA MINI MART FINAL MENU - Pr'!M722="", "", 'AYIRA MINI MART FINAL MENU - Pr'!M722)</f>
        <v/>
      </c>
      <c r="N722" s="56" t="str">
        <f>IF('AYIRA MINI MART FINAL MENU - Pr'!N722="", "", 'AYIRA MINI MART FINAL MENU - Pr'!N722)</f>
        <v/>
      </c>
      <c r="O722" s="57"/>
      <c r="P722" s="57"/>
      <c r="Q722" s="57"/>
      <c r="R722" s="57"/>
      <c r="S722" s="57"/>
      <c r="T722" s="57"/>
      <c r="U722" s="57"/>
      <c r="V722" s="57"/>
      <c r="W722" s="57"/>
      <c r="X722" s="57"/>
      <c r="Y722" s="57"/>
      <c r="Z722" s="57"/>
    </row>
    <row r="723">
      <c r="A723" s="56" t="str">
        <f>IFERROR(__xludf.DUMMYFUNCTION("IF('AYIRA MINI MART FINAL MENU - Pr'!A723="""", """", IF(LEN(IFERROR(TRIM(REGEXREPLACE(TRIM(REGEXEXTRACT('AYIRA MINI MART FINAL MENU - Pr'!A723, ""^[^\x{0600}-\x{06FF}]+"")), ""[-–]+$"", """")), """"))&gt;0, IFERROR(TRIM(REGEXREPLACE(TRIM(REGEXEXTRACT('AYIRA"&amp;" MINI MART FINAL MENU - Pr'!A723, ""^[^\x{0600}-\x{06FF}]+"")), ""[-–]+$"", """")), """"), GOOGLETRANSLATE('AYIRA MINI MART FINAL MENU - Pr'!A723, ""ar"", ""en"")))"),"Halley Milk Chocolate 26g – Halley")</f>
        <v>Halley Milk Chocolate 26g – Halley</v>
      </c>
      <c r="B723" s="56" t="str">
        <f>IFERROR(__xludf.DUMMYFUNCTION("IF('AYIRA MINI MART FINAL MENU - Pr'!B723="""", """", IF(LEN(IFERROR(TRIM(REGEXREPLACE(TRIM(REGEXEXTRACT('AYIRA MINI MART FINAL MENU - Pr'!B723, ""^[^\x{0600}-\x{06FF}]+"")), ""[-–]+$"", """")), """"))&gt;0, IFERROR(TRIM(REGEXREPLACE(TRIM(REGEXEXTRACT('AYIRA"&amp;" MINI MART FINAL MENU - Pr'!B723, ""^[^\x{0600}-\x{06FF}]+"")), ""[-–]+$"", """")), """"), GOOGLETRANSLATE('AYIRA MINI MART FINAL MENU - Pr'!B723, ""ar"", ""en"")))"),"Chocolates")</f>
        <v>Chocolates</v>
      </c>
      <c r="C723" s="58">
        <f>IF('AYIRA MINI MART FINAL MENU - Pr'!C723="", "", 'AYIRA MINI MART FINAL MENU - Pr'!C723)</f>
        <v>1.5</v>
      </c>
      <c r="D723" s="56" t="str">
        <f>IFERROR(__xludf.DUMMYFUNCTION("IF('AYIRA MINI MART FINAL MENU - Pr'!D723="""", """", GOOGLETRANSLATE('AYIRA MINI MART FINAL MENU - Pr'!D723, ""ar"", ""en""))"),"Indulge your senses with Halley Milk Chocolate 26g, a luxurious chocolate that blends rich flavor with a perfect texture. Made from the finest selected cocoa beans, it delivers an exceptional dessert experience every time. Whether you're looking for a spe"&amp;"cial gift or want to treat yourself, this chocolate is the perfect choice. Savor every piece and immerse yourself in a world of smoothness and sweetness. Get yours from Aira Mini Mart and experience moments of pure delight.")</f>
        <v>Indulge your senses with Halley Milk Chocolate 26g,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23" s="56" t="str">
        <f>IF('AYIRA MINI MART FINAL MENU - Pr'!K723="", "", 'AYIRA MINI MART FINAL MENU - Pr'!K723)</f>
        <v/>
      </c>
      <c r="F723" s="56"/>
      <c r="G723" s="56"/>
      <c r="H723" s="56"/>
      <c r="I723" s="56"/>
      <c r="J723" s="56"/>
      <c r="L723" s="56" t="str">
        <f>IF('AYIRA MINI MART FINAL MENU - Pr'!L723="", "", 'AYIRA MINI MART FINAL MENU - Pr'!L723)</f>
        <v/>
      </c>
      <c r="M723" s="56" t="str">
        <f>IF('AYIRA MINI MART FINAL MENU - Pr'!M723="", "", 'AYIRA MINI MART FINAL MENU - Pr'!M723)</f>
        <v/>
      </c>
      <c r="N723" s="56" t="str">
        <f>IF('AYIRA MINI MART FINAL MENU - Pr'!N723="", "", 'AYIRA MINI MART FINAL MENU - Pr'!N723)</f>
        <v/>
      </c>
      <c r="O723" s="57"/>
      <c r="P723" s="57"/>
      <c r="Q723" s="57"/>
      <c r="R723" s="57"/>
      <c r="S723" s="57"/>
      <c r="T723" s="57"/>
      <c r="U723" s="57"/>
      <c r="V723" s="57"/>
      <c r="W723" s="57"/>
      <c r="X723" s="57"/>
      <c r="Y723" s="57"/>
      <c r="Z723" s="57"/>
    </row>
    <row r="724">
      <c r="A724" s="56" t="str">
        <f>IFERROR(__xludf.DUMMYFUNCTION("IF('AYIRA MINI MART FINAL MENU - Pr'!A724="""", """", IF(LEN(IFERROR(TRIM(REGEXREPLACE(TRIM(REGEXEXTRACT('AYIRA MINI MART FINAL MENU - Pr'!A724, ""^[^\x{0600}-\x{06FF}]+"")), ""[-–]+$"", """")), """"))&gt;0, IFERROR(TRIM(REGEXREPLACE(TRIM(REGEXEXTRACT('AYIRA"&amp;" MINI MART FINAL MENU - Pr'!A724, ""^[^\x{0600}-\x{06FF}]+"")), ""[-–]+$"", """")), """"), GOOGLETRANSLATE('AYIRA MINI MART FINAL MENU - Pr'!A724, ""ar"", ""en"")))"),"Ice Blaster 48g – Ice Blaster 48")</f>
        <v>Ice Blaster 48g – Ice Blaster 48</v>
      </c>
      <c r="B724" s="56" t="str">
        <f>IFERROR(__xludf.DUMMYFUNCTION("IF('AYIRA MINI MART FINAL MENU - Pr'!B724="""", """", IF(LEN(IFERROR(TRIM(REGEXREPLACE(TRIM(REGEXEXTRACT('AYIRA MINI MART FINAL MENU - Pr'!B724, ""^[^\x{0600}-\x{06FF}]+"")), ""[-–]+$"", """")), """"))&gt;0, IFERROR(TRIM(REGEXREPLACE(TRIM(REGEXEXTRACT('AYIRA"&amp;" MINI MART FINAL MENU - Pr'!B724, ""^[^\x{0600}-\x{06FF}]+"")), ""[-–]+$"", """")), """"), GOOGLETRANSLATE('AYIRA MINI MART FINAL MENU - Pr'!B724, ""ar"", ""en"")))"),"Candy |")</f>
        <v>Candy |</v>
      </c>
      <c r="C724" s="58">
        <f>IF('AYIRA MINI MART FINAL MENU - Pr'!C724="", "", 'AYIRA MINI MART FINAL MENU - Pr'!C724)</f>
        <v>5.5</v>
      </c>
      <c r="D724" s="56" t="str">
        <f>IFERROR(__xludf.DUMMYFUNCTION("IF('AYIRA MINI MART FINAL MENU - Pr'!D724="""", """", GOOGLETRANSLATE('AYIRA MINI MART FINAL MENU - Pr'!D724, ""ar"", ""en""))"),"Don't be able to resist the taste of Ice Blaster 48g, your perfect companion for relaxing and watching the game. Its unique crunch and variety of flavors make every handful a delightful experience. Made with the finest ingredients using the latest manufac"&amp;"turing techniques to guarantee an unparalleled taste. Ideal as a snack for adults and children alike between meals. Aira Mini Mart offers it in the perfect size and flavor for you.")</f>
        <v>Don't be able to resist the taste of Ice Blaster 48g, your perfect companion for relaxing and watching the game. Its unique crunch and variety of flavors make every handful a delightful experience. Made with the finest ingredients using the latest manufacturing techniques to guarantee an unparalleled taste. Ideal as a snack for adults and children alike between meals. Aira Mini Mart offers it in the perfect size and flavor for you.</v>
      </c>
      <c r="E724" s="56" t="str">
        <f>IF('AYIRA MINI MART FINAL MENU - Pr'!K724="", "", 'AYIRA MINI MART FINAL MENU - Pr'!K724)</f>
        <v/>
      </c>
      <c r="F724" s="56"/>
      <c r="G724" s="56"/>
      <c r="H724" s="56"/>
      <c r="I724" s="56"/>
      <c r="J724" s="56"/>
      <c r="L724" s="56" t="str">
        <f>IF('AYIRA MINI MART FINAL MENU - Pr'!L724="", "", 'AYIRA MINI MART FINAL MENU - Pr'!L724)</f>
        <v/>
      </c>
      <c r="M724" s="56" t="str">
        <f>IF('AYIRA MINI MART FINAL MENU - Pr'!M724="", "", 'AYIRA MINI MART FINAL MENU - Pr'!M724)</f>
        <v/>
      </c>
      <c r="N724" s="56" t="str">
        <f>IF('AYIRA MINI MART FINAL MENU - Pr'!N724="", "", 'AYIRA MINI MART FINAL MENU - Pr'!N724)</f>
        <v/>
      </c>
      <c r="O724" s="57"/>
      <c r="P724" s="57"/>
      <c r="Q724" s="57"/>
      <c r="R724" s="57"/>
      <c r="S724" s="57"/>
      <c r="T724" s="57"/>
      <c r="U724" s="57"/>
      <c r="V724" s="57"/>
      <c r="W724" s="57"/>
      <c r="X724" s="57"/>
      <c r="Y724" s="57"/>
      <c r="Z724" s="57"/>
    </row>
    <row r="725">
      <c r="A725" s="56" t="str">
        <f>IFERROR(__xludf.DUMMYFUNCTION("IF('AYIRA MINI MART FINAL MENU - Pr'!A725="""", """", IF(LEN(IFERROR(TRIM(REGEXREPLACE(TRIM(REGEXEXTRACT('AYIRA MINI MART FINAL MENU - Pr'!A725, ""^[^\x{0600}-\x{06FF}]+"")), ""[-–]+$"", """")), """"))&gt;0, IFERROR(TRIM(REGEXREPLACE(TRIM(REGEXEXTRACT('AYIRA"&amp;" MINI MART FINAL MENU - Pr'!A725, ""^[^\x{0600}-\x{06FF}]+"")), ""[-–]+$"", """")), """"), GOOGLETRANSLATE('AYIRA MINI MART FINAL MENU - Pr'!A725, ""ar"", ""en"")))"),"Hiss Crispy Wafer – Hiss Crispy")</f>
        <v>Hiss Crispy Wafer – Hiss Crispy</v>
      </c>
      <c r="B725" s="56" t="str">
        <f>IFERROR(__xludf.DUMMYFUNCTION("IF('AYIRA MINI MART FINAL MENU - Pr'!B725="""", """", IF(LEN(IFERROR(TRIM(REGEXREPLACE(TRIM(REGEXEXTRACT('AYIRA MINI MART FINAL MENU - Pr'!B725, ""^[^\x{0600}-\x{06FF}]+"")), ""[-–]+$"", """")), """"))&gt;0, IFERROR(TRIM(REGEXREPLACE(TRIM(REGEXEXTRACT('AYIRA"&amp;" MINI MART FINAL MENU - Pr'!B725, ""^[^\x{0600}-\x{06FF}]+"")), ""[-–]+$"", """")), """"), GOOGLETRANSLATE('AYIRA MINI MART FINAL MENU - Pr'!B725, ""ar"", ""en"")))"),"Chocolates")</f>
        <v>Chocolates</v>
      </c>
      <c r="C725" s="58">
        <f>IF('AYIRA MINI MART FINAL MENU - Pr'!C725="", "", 'AYIRA MINI MART FINAL MENU - Pr'!C725)</f>
        <v>1</v>
      </c>
      <c r="D725" s="56" t="str">
        <f>IFERROR(__xludf.DUMMYFUNCTION("IF('AYIRA MINI MART FINAL MENU - Pr'!D725="""", """", GOOGLETRANSLATE('AYIRA MINI MART FINAL MENU - Pr'!D725, ""ar"", ""en""))"),"Don't be able to resist the taste of Hiss Crispy Wafer, your perfect companion for relaxing and watching the game. Its unique crunch and diverse flavors make every handful a delightful experience. Prepared with the finest ingredients using the latest manu"&amp;"facturing techniques to guarantee an unparalleled taste. Ideal as a snack for adults and children alike between meals. Aira Mini Mart offers it in the size and flavor that suits you best.")</f>
        <v>Don't be able to resist the taste of Hiss Crispy Wafer,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size and flavor that suits you best.</v>
      </c>
      <c r="E725" s="56" t="str">
        <f>IF('AYIRA MINI MART FINAL MENU - Pr'!K725="", "", 'AYIRA MINI MART FINAL MENU - Pr'!K725)</f>
        <v/>
      </c>
      <c r="F725" s="56"/>
      <c r="G725" s="56"/>
      <c r="H725" s="56"/>
      <c r="I725" s="56"/>
      <c r="J725" s="56"/>
      <c r="L725" s="56" t="str">
        <f>IF('AYIRA MINI MART FINAL MENU - Pr'!L725="", "", 'AYIRA MINI MART FINAL MENU - Pr'!L725)</f>
        <v/>
      </c>
      <c r="M725" s="56" t="str">
        <f>IF('AYIRA MINI MART FINAL MENU - Pr'!M725="", "", 'AYIRA MINI MART FINAL MENU - Pr'!M725)</f>
        <v/>
      </c>
      <c r="N725" s="56" t="str">
        <f>IF('AYIRA MINI MART FINAL MENU - Pr'!N725="", "", 'AYIRA MINI MART FINAL MENU - Pr'!N725)</f>
        <v/>
      </c>
      <c r="O725" s="57"/>
      <c r="P725" s="57"/>
      <c r="Q725" s="57"/>
      <c r="R725" s="57"/>
      <c r="S725" s="57"/>
      <c r="T725" s="57"/>
      <c r="U725" s="57"/>
      <c r="V725" s="57"/>
      <c r="W725" s="57"/>
      <c r="X725" s="57"/>
      <c r="Y725" s="57"/>
      <c r="Z725" s="57"/>
    </row>
    <row r="726">
      <c r="A726" s="56" t="str">
        <f>IFERROR(__xludf.DUMMYFUNCTION("IF('AYIRA MINI MART FINAL MENU - Pr'!A726="""", """", IF(LEN(IFERROR(TRIM(REGEXREPLACE(TRIM(REGEXEXTRACT('AYIRA MINI MART FINAL MENU - Pr'!A726, ""^[^\x{0600}-\x{06FF}]+"")), ""[-–]+$"", """")), """"))&gt;0, IFERROR(TRIM(REGEXREPLACE(TRIM(REGEXEXTRACT('AYIRA"&amp;" MINI MART FINAL MENU - Pr'!A726, ""^[^\x{0600}-\x{06FF}]+"")), ""[-–]+$"", """")), """"), GOOGLETRANSLATE('AYIRA MINI MART FINAL MENU - Pr'!A726, ""ar"", ""en"")))"),"Zombie Blueberry 6g – Zombie Blueberry 6")</f>
        <v>Zombie Blueberry 6g – Zombie Blueberry 6</v>
      </c>
      <c r="B726" s="56" t="str">
        <f>IFERROR(__xludf.DUMMYFUNCTION("IF('AYIRA MINI MART FINAL MENU - Pr'!B726="""", """", IF(LEN(IFERROR(TRIM(REGEXREPLACE(TRIM(REGEXEXTRACT('AYIRA MINI MART FINAL MENU - Pr'!B726, ""^[^\x{0600}-\x{06FF}]+"")), ""[-–]+$"", """")), """"))&gt;0, IFERROR(TRIM(REGEXREPLACE(TRIM(REGEXEXTRACT('AYIRA"&amp;" MINI MART FINAL MENU - Pr'!B726, ""^[^\x{0600}-\x{06FF}]+"")), ""[-–]+$"", """")), """"), GOOGLETRANSLATE('AYIRA MINI MART FINAL MENU - Pr'!B726, ""ar"", ""en"")))"),"Candy |")</f>
        <v>Candy |</v>
      </c>
      <c r="C726" s="58">
        <f>IF('AYIRA MINI MART FINAL MENU - Pr'!C726="", "", 'AYIRA MINI MART FINAL MENU - Pr'!C726)</f>
        <v>1</v>
      </c>
      <c r="D726" s="56" t="str">
        <f>IFERROR(__xludf.DUMMYFUNCTION("IF('AYIRA MINI MART FINAL MENU - Pr'!D726="""", """", GOOGLETRANSLATE('AYIRA MINI MART FINAL MENU - Pr'!D726, ""ar"", ""en""))"),"Don't be able to resist the taste of Zombie Blueberry 6g, your perfect companion for relaxing and watching the game. Its unique crunch and varied flavors make every handful a delightful experience. Made with the finest ingredients using the latest manufac"&amp;"turing techniques to ensure an unparalleled taste. Ideal as a snack for adults and children between meals. Aira Mini Mart offers it in the perfect size and flavor for you.")</f>
        <v>Don't be able to resist the taste of Zombie Blueberry 6g, your perfect companion for relaxing and watching the game. Its unique crunch and varied flavors make every handful a delightful experience. Made with the finest ingredients using the latest manufacturing techniques to ensure an unparalleled taste. Ideal as a snack for adults and children between meals. Aira Mini Mart offers it in the perfect size and flavor for you.</v>
      </c>
      <c r="E726" s="56" t="str">
        <f>IF('AYIRA MINI MART FINAL MENU - Pr'!K726="", "", 'AYIRA MINI MART FINAL MENU - Pr'!K726)</f>
        <v/>
      </c>
      <c r="F726" s="56"/>
      <c r="G726" s="56"/>
      <c r="H726" s="56"/>
      <c r="I726" s="56"/>
      <c r="J726" s="56"/>
      <c r="L726" s="56" t="str">
        <f>IF('AYIRA MINI MART FINAL MENU - Pr'!L726="", "", 'AYIRA MINI MART FINAL MENU - Pr'!L726)</f>
        <v/>
      </c>
      <c r="M726" s="56" t="str">
        <f>IF('AYIRA MINI MART FINAL MENU - Pr'!M726="", "", 'AYIRA MINI MART FINAL MENU - Pr'!M726)</f>
        <v/>
      </c>
      <c r="N726" s="56" t="str">
        <f>IF('AYIRA MINI MART FINAL MENU - Pr'!N726="", "", 'AYIRA MINI MART FINAL MENU - Pr'!N726)</f>
        <v/>
      </c>
      <c r="O726" s="57"/>
      <c r="P726" s="57"/>
      <c r="Q726" s="57"/>
      <c r="R726" s="57"/>
      <c r="S726" s="57"/>
      <c r="T726" s="57"/>
      <c r="U726" s="57"/>
      <c r="V726" s="57"/>
      <c r="W726" s="57"/>
      <c r="X726" s="57"/>
      <c r="Y726" s="57"/>
      <c r="Z726" s="57"/>
    </row>
    <row r="727">
      <c r="A727" s="56" t="str">
        <f>IFERROR(__xludf.DUMMYFUNCTION("IF('AYIRA MINI MART FINAL MENU - Pr'!A727="""", """", IF(LEN(IFERROR(TRIM(REGEXREPLACE(TRIM(REGEXEXTRACT('AYIRA MINI MART FINAL MENU - Pr'!A727, ""^[^\x{0600}-\x{06FF}]+"")), ""[-–]+$"", """")), """"))&gt;0, IFERROR(TRIM(REGEXREPLACE(TRIM(REGEXEXTRACT('AYIRA"&amp;" MINI MART FINAL MENU - Pr'!A727, ""^[^\x{0600}-\x{06FF}]+"")), ""[-–]+$"", """")), """"), GOOGLETRANSLATE('AYIRA MINI MART FINAL MENU - Pr'!A727, ""ar"", ""en"")))"),"Gum Powder Explosively Sour Bubblegum 35g – Gum")</f>
        <v>Gum Powder Explosively Sour Bubblegum 35g – Gum</v>
      </c>
      <c r="B727" s="56" t="str">
        <f>IFERROR(__xludf.DUMMYFUNCTION("IF('AYIRA MINI MART FINAL MENU - Pr'!B727="""", """", IF(LEN(IFERROR(TRIM(REGEXREPLACE(TRIM(REGEXEXTRACT('AYIRA MINI MART FINAL MENU - Pr'!B727, ""^[^\x{0600}-\x{06FF}]+"")), ""[-–]+$"", """")), """"))&gt;0, IFERROR(TRIM(REGEXREPLACE(TRIM(REGEXEXTRACT('AYIRA"&amp;" MINI MART FINAL MENU - Pr'!B727, ""^[^\x{0600}-\x{06FF}]+"")), ""[-–]+$"", """")), """"), GOOGLETRANSLATE('AYIRA MINI MART FINAL MENU - Pr'!B727, ""ar"", ""en"")))"),"Candy |")</f>
        <v>Candy |</v>
      </c>
      <c r="C727" s="58">
        <f>IF('AYIRA MINI MART FINAL MENU - Pr'!C727="", "", 'AYIRA MINI MART FINAL MENU - Pr'!C727)</f>
        <v>2</v>
      </c>
      <c r="D727" s="56" t="str">
        <f>IFERROR(__xludf.DUMMYFUNCTION("IF('AYIRA MINI MART FINAL MENU - Pr'!D727="""", """", GOOGLETRANSLATE('AYIRA MINI MART FINAL MENU - Pr'!D727, ""ar"", ""en""))"),"Enjoy Gum Powder Explosively Sour Bubblegum 35g, the refreshing gum that keeps your mouth clean and fresh all day long. Its long-lasting flavor and unique formula make it the perfect choice for those seeking continuous freshness throughout the day. It hel"&amp;"ps to invigorate teeth and freshen breath beautifully. Suitable anytime, anywhere. Get it from Aira Mini Mart and enjoy continuous freshness.")</f>
        <v>Enjoy Gum Powder Explosively Sour Bubblegum 35g,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727" s="56" t="str">
        <f>IF('AYIRA MINI MART FINAL MENU - Pr'!K727="", "", 'AYIRA MINI MART FINAL MENU - Pr'!K727)</f>
        <v/>
      </c>
      <c r="F727" s="56"/>
      <c r="G727" s="56"/>
      <c r="H727" s="56"/>
      <c r="I727" s="56"/>
      <c r="J727" s="56"/>
      <c r="L727" s="56" t="str">
        <f>IF('AYIRA MINI MART FINAL MENU - Pr'!L727="", "", 'AYIRA MINI MART FINAL MENU - Pr'!L727)</f>
        <v/>
      </c>
      <c r="M727" s="56" t="str">
        <f>IF('AYIRA MINI MART FINAL MENU - Pr'!M727="", "", 'AYIRA MINI MART FINAL MENU - Pr'!M727)</f>
        <v/>
      </c>
      <c r="N727" s="56" t="str">
        <f>IF('AYIRA MINI MART FINAL MENU - Pr'!N727="", "", 'AYIRA MINI MART FINAL MENU - Pr'!N727)</f>
        <v/>
      </c>
      <c r="O727" s="57"/>
      <c r="P727" s="57"/>
      <c r="Q727" s="57"/>
      <c r="R727" s="57"/>
      <c r="S727" s="57"/>
      <c r="T727" s="57"/>
      <c r="U727" s="57"/>
      <c r="V727" s="57"/>
      <c r="W727" s="57"/>
      <c r="X727" s="57"/>
      <c r="Y727" s="57"/>
      <c r="Z727" s="57"/>
    </row>
    <row r="728">
      <c r="A728" s="56" t="str">
        <f>IFERROR(__xludf.DUMMYFUNCTION("IF('AYIRA MINI MART FINAL MENU - Pr'!A728="""", """", IF(LEN(IFERROR(TRIM(REGEXREPLACE(TRIM(REGEXEXTRACT('AYIRA MINI MART FINAL MENU - Pr'!A728, ""^[^\x{0600}-\x{06FF}]+"")), ""[-–]+$"", """")), """"))&gt;0, IFERROR(TRIM(REGEXREPLACE(TRIM(REGEXEXTRACT('AYIRA"&amp;" MINI MART FINAL MENU - Pr'!A728, ""^[^\x{0600}-\x{06FF}]+"")), ""[-–]+$"", """")), """"), GOOGLETRANSLATE('AYIRA MINI MART FINAL MENU - Pr'!A728, ""ar"", ""en"")))"),"Chupa Chups Soft and Chewy 10g")</f>
        <v>Chupa Chups Soft and Chewy 10g</v>
      </c>
      <c r="B728" s="56" t="str">
        <f>IFERROR(__xludf.DUMMYFUNCTION("IF('AYIRA MINI MART FINAL MENU - Pr'!B728="""", """", IF(LEN(IFERROR(TRIM(REGEXREPLACE(TRIM(REGEXEXTRACT('AYIRA MINI MART FINAL MENU - Pr'!B728, ""^[^\x{0600}-\x{06FF}]+"")), ""[-–]+$"", """")), """"))&gt;0, IFERROR(TRIM(REGEXREPLACE(TRIM(REGEXEXTRACT('AYIRA"&amp;" MINI MART FINAL MENU - Pr'!B728, ""^[^\x{0600}-\x{06FF}]+"")), ""[-–]+$"", """")), """"), GOOGLETRANSLATE('AYIRA MINI MART FINAL MENU - Pr'!B728, ""ar"", ""en"")))"),"Candy |")</f>
        <v>Candy |</v>
      </c>
      <c r="C728" s="58">
        <f>IF('AYIRA MINI MART FINAL MENU - Pr'!C728="", "", 'AYIRA MINI MART FINAL MENU - Pr'!C728)</f>
        <v>2</v>
      </c>
      <c r="D728" s="56" t="str">
        <f>IFERROR(__xludf.DUMMYFUNCTION("IF('AYIRA MINI MART FINAL MENU - Pr'!D728="""", """", GOOGLETRANSLATE('AYIRA MINI MART FINAL MENU - Pr'!D728, ""ar"", ""en""))"),"Don't be able to resist the taste of Chupa Chups Soft and Chewy 10g, your perfect companion for relaxing and watching the game. Their unique crunch and varied flavors make every handful a delightful experience. Made with the finest ingredients using the l"&amp;"atest manufacturing techniques to ensure an unparalleled taste. Ideal as a snack for adults and children alike between meals. Aira Mini Mart offers them in the perfect size and flavor for you.")</f>
        <v>Don't be able to resist the taste of Chupa Chups Soft and Chewy 10g,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728" s="56" t="str">
        <f>IF('AYIRA MINI MART FINAL MENU - Pr'!K728="", "", 'AYIRA MINI MART FINAL MENU - Pr'!K728)</f>
        <v/>
      </c>
      <c r="F728" s="56"/>
      <c r="G728" s="56"/>
      <c r="H728" s="56"/>
      <c r="I728" s="56"/>
      <c r="J728" s="56"/>
      <c r="L728" s="56" t="str">
        <f>IF('AYIRA MINI MART FINAL MENU - Pr'!L728="", "", 'AYIRA MINI MART FINAL MENU - Pr'!L728)</f>
        <v/>
      </c>
      <c r="M728" s="56" t="str">
        <f>IF('AYIRA MINI MART FINAL MENU - Pr'!M728="", "", 'AYIRA MINI MART FINAL MENU - Pr'!M728)</f>
        <v/>
      </c>
      <c r="N728" s="56" t="str">
        <f>IF('AYIRA MINI MART FINAL MENU - Pr'!N728="", "", 'AYIRA MINI MART FINAL MENU - Pr'!N728)</f>
        <v/>
      </c>
      <c r="O728" s="57"/>
      <c r="P728" s="57"/>
      <c r="Q728" s="57"/>
      <c r="R728" s="57"/>
      <c r="S728" s="57"/>
      <c r="T728" s="57"/>
      <c r="U728" s="57"/>
      <c r="V728" s="57"/>
      <c r="W728" s="57"/>
      <c r="X728" s="57"/>
      <c r="Y728" s="57"/>
      <c r="Z728" s="57"/>
    </row>
    <row r="729">
      <c r="A729" s="56" t="str">
        <f>IFERROR(__xludf.DUMMYFUNCTION("IF('AYIRA MINI MART FINAL MENU - Pr'!A729="""", """", IF(LEN(IFERROR(TRIM(REGEXREPLACE(TRIM(REGEXEXTRACT('AYIRA MINI MART FINAL MENU - Pr'!A729, ""^[^\x{0600}-\x{06FF}]+"")), ""[-–]+$"", """")), """"))&gt;0, IFERROR(TRIM(REGEXREPLACE(TRIM(REGEXEXTRACT('AYIRA"&amp;" MINI MART FINAL MENU - Pr'!A729, ""^[^\x{0600}-\x{06FF}]+"")), ""[-–]+$"", """")), """"), GOOGLETRANSLATE('AYIRA MINI MART FINAL MENU - Pr'!A729, ""ar"", ""en"")))"),"Sour Whacky Squeeze Candy 70g – Sour Whacky Squeeze Candy 70")</f>
        <v>Sour Whacky Squeeze Candy 70g – Sour Whacky Squeeze Candy 70</v>
      </c>
      <c r="B729" s="56" t="str">
        <f>IFERROR(__xludf.DUMMYFUNCTION("IF('AYIRA MINI MART FINAL MENU - Pr'!B729="""", """", IF(LEN(IFERROR(TRIM(REGEXREPLACE(TRIM(REGEXEXTRACT('AYIRA MINI MART FINAL MENU - Pr'!B729, ""^[^\x{0600}-\x{06FF}]+"")), ""[-–]+$"", """")), """"))&gt;0, IFERROR(TRIM(REGEXREPLACE(TRIM(REGEXEXTRACT('AYIRA"&amp;" MINI MART FINAL MENU - Pr'!B729, ""^[^\x{0600}-\x{06FF}]+"")), ""[-–]+$"", """")), """"), GOOGLETRANSLATE('AYIRA MINI MART FINAL MENU - Pr'!B729, ""ar"", ""en"")))"),"Candy |")</f>
        <v>Candy |</v>
      </c>
      <c r="C729" s="58">
        <f>IF('AYIRA MINI MART FINAL MENU - Pr'!C729="", "", 'AYIRA MINI MART FINAL MENU - Pr'!C729)</f>
        <v>4</v>
      </c>
      <c r="D729" s="56" t="str">
        <f>IFERROR(__xludf.DUMMYFUNCTION("IF('AYIRA MINI MART FINAL MENU - Pr'!D729="""", """", GOOGLETRANSLATE('AYIRA MINI MART FINAL MENU - Pr'!D729, ""ar"", ""en""))"),"Add a sweet touch to your day with Sour Whacky Squeeze Candy 70g, a delicious treat loved by everyone. Its variety of flavors and vibrant colors make it suitable for all ages. Perfect as a small reward or a light gift for friends and family. Made with hig"&amp;"h-quality ingredients to ensure a great taste in every piece. Get yours from Aira Mini Mart and spread the joy to your loved ones.")</f>
        <v>Add a sweet touch to your day with Sour Whacky Squeeze Candy 70g, a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the joy to your loved ones.</v>
      </c>
      <c r="E729" s="56" t="str">
        <f>IF('AYIRA MINI MART FINAL MENU - Pr'!K729="", "", 'AYIRA MINI MART FINAL MENU - Pr'!K729)</f>
        <v/>
      </c>
      <c r="F729" s="56"/>
      <c r="G729" s="56"/>
      <c r="H729" s="56"/>
      <c r="I729" s="56"/>
      <c r="J729" s="56"/>
      <c r="L729" s="56" t="str">
        <f>IF('AYIRA MINI MART FINAL MENU - Pr'!L729="", "", 'AYIRA MINI MART FINAL MENU - Pr'!L729)</f>
        <v/>
      </c>
      <c r="M729" s="56" t="str">
        <f>IF('AYIRA MINI MART FINAL MENU - Pr'!M729="", "", 'AYIRA MINI MART FINAL MENU - Pr'!M729)</f>
        <v/>
      </c>
      <c r="N729" s="56" t="str">
        <f>IF('AYIRA MINI MART FINAL MENU - Pr'!N729="", "", 'AYIRA MINI MART FINAL MENU - Pr'!N729)</f>
        <v/>
      </c>
      <c r="O729" s="57"/>
      <c r="P729" s="57"/>
      <c r="Q729" s="57"/>
      <c r="R729" s="57"/>
      <c r="S729" s="57"/>
      <c r="T729" s="57"/>
      <c r="U729" s="57"/>
      <c r="V729" s="57"/>
      <c r="W729" s="57"/>
      <c r="X729" s="57"/>
      <c r="Y729" s="57"/>
      <c r="Z729" s="57"/>
    </row>
    <row r="730">
      <c r="A730" s="56" t="str">
        <f>IFERROR(__xludf.DUMMYFUNCTION("IF('AYIRA MINI MART FINAL MENU - Pr'!A730="""", """", IF(LEN(IFERROR(TRIM(REGEXREPLACE(TRIM(REGEXEXTRACT('AYIRA MINI MART FINAL MENU - Pr'!A730, ""^[^\x{0600}-\x{06FF}]+"")), ""[-–]+$"", """")), """"))&gt;0, IFERROR(TRIM(REGEXREPLACE(TRIM(REGEXEXTRACT('AYIRA"&amp;" MINI MART FINAL MENU - Pr'!A730, ""^[^\x{0600}-\x{06FF}]+"")), ""[-–]+$"", """")), """"), GOOGLETRANSLATE('AYIRA MINI MART FINAL MENU - Pr'!A730, ""ar"", ""en"")))"),"Tongue Painter 18g – Tongue Painter 18")</f>
        <v>Tongue Painter 18g – Tongue Painter 18</v>
      </c>
      <c r="B730" s="56" t="str">
        <f>IFERROR(__xludf.DUMMYFUNCTION("IF('AYIRA MINI MART FINAL MENU - Pr'!B730="""", """", IF(LEN(IFERROR(TRIM(REGEXREPLACE(TRIM(REGEXEXTRACT('AYIRA MINI MART FINAL MENU - Pr'!B730, ""^[^\x{0600}-\x{06FF}]+"")), ""[-–]+$"", """")), """"))&gt;0, IFERROR(TRIM(REGEXREPLACE(TRIM(REGEXEXTRACT('AYIRA"&amp;" MINI MART FINAL MENU - Pr'!B730, ""^[^\x{0600}-\x{06FF}]+"")), ""[-–]+$"", """")), """"), GOOGLETRANSLATE('AYIRA MINI MART FINAL MENU - Pr'!B730, ""ar"", ""en"")))"),"Candy |")</f>
        <v>Candy |</v>
      </c>
      <c r="C730" s="58">
        <f>IF('AYIRA MINI MART FINAL MENU - Pr'!C730="", "", 'AYIRA MINI MART FINAL MENU - Pr'!C730)</f>
        <v>1</v>
      </c>
      <c r="D730" s="56" t="str">
        <f>IFERROR(__xludf.DUMMYFUNCTION("IF('AYIRA MINI MART FINAL MENU - Pr'!D730="""", """", GOOGLETRANSLATE('AYIRA MINI MART FINAL MENU - Pr'!D730, ""ar"", ""en""))"),"Don't be able to resist the taste of Tongue Painter 18g, your perfect companion for relaxing and watching matches. Its unique crunch and varied flavors make every handful a delightful experience. Prepared with the finest ingredients using the latest manuf"&amp;"acturing techniques to guarantee an unparalleled taste. Ideal as a snack for adults and children between meals. Aira Mini Mart offers it in the perfect size and flavor for you.")</f>
        <v>Don't be able to resist the taste of Tongue Painter 18g, your perfect companion for relaxing and watching matches. Its unique crunch and varied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730" s="56" t="str">
        <f>IF('AYIRA MINI MART FINAL MENU - Pr'!K730="", "", 'AYIRA MINI MART FINAL MENU - Pr'!K730)</f>
        <v/>
      </c>
      <c r="F730" s="56"/>
      <c r="G730" s="56"/>
      <c r="H730" s="56"/>
      <c r="I730" s="56"/>
      <c r="J730" s="56"/>
      <c r="L730" s="56" t="str">
        <f>IF('AYIRA MINI MART FINAL MENU - Pr'!L730="", "", 'AYIRA MINI MART FINAL MENU - Pr'!L730)</f>
        <v/>
      </c>
      <c r="M730" s="56" t="str">
        <f>IF('AYIRA MINI MART FINAL MENU - Pr'!M730="", "", 'AYIRA MINI MART FINAL MENU - Pr'!M730)</f>
        <v/>
      </c>
      <c r="N730" s="56" t="str">
        <f>IF('AYIRA MINI MART FINAL MENU - Pr'!N730="", "", 'AYIRA MINI MART FINAL MENU - Pr'!N730)</f>
        <v/>
      </c>
      <c r="O730" s="57"/>
      <c r="P730" s="57"/>
      <c r="Q730" s="57"/>
      <c r="R730" s="57"/>
      <c r="S730" s="57"/>
      <c r="T730" s="57"/>
      <c r="U730" s="57"/>
      <c r="V730" s="57"/>
      <c r="W730" s="57"/>
      <c r="X730" s="57"/>
      <c r="Y730" s="57"/>
      <c r="Z730" s="57"/>
    </row>
    <row r="731">
      <c r="A731" s="56" t="str">
        <f>IFERROR(__xludf.DUMMYFUNCTION("IF('AYIRA MINI MART FINAL MENU - Pr'!A731="""", """", IF(LEN(IFERROR(TRIM(REGEXREPLACE(TRIM(REGEXEXTRACT('AYIRA MINI MART FINAL MENU - Pr'!A731, ""^[^\x{0600}-\x{06FF}]+"")), ""[-–]+$"", """")), """"))&gt;0, IFERROR(TRIM(REGEXREPLACE(TRIM(REGEXEXTRACT('AYIRA"&amp;" MINI MART FINAL MENU - Pr'!A731, ""^[^\x{0600}-\x{06FF}]+"")), ""[-–]+$"", """")), """"), GOOGLETRANSLATE('AYIRA MINI MART FINAL MENU - Pr'!A731, ""ar"", ""en"")))"),"Brain Bitz Chew Bar Watermelon 20g – Brain Bitz Chew")</f>
        <v>Brain Bitz Chew Bar Watermelon 20g – Brain Bitz Chew</v>
      </c>
      <c r="B731" s="56" t="str">
        <f>IFERROR(__xludf.DUMMYFUNCTION("IF('AYIRA MINI MART FINAL MENU - Pr'!B731="""", """", IF(LEN(IFERROR(TRIM(REGEXREPLACE(TRIM(REGEXEXTRACT('AYIRA MINI MART FINAL MENU - Pr'!B731, ""^[^\x{0600}-\x{06FF}]+"")), ""[-–]+$"", """")), """"))&gt;0, IFERROR(TRIM(REGEXREPLACE(TRIM(REGEXEXTRACT('AYIRA"&amp;" MINI MART FINAL MENU - Pr'!B731, ""^[^\x{0600}-\x{06FF}]+"")), ""[-–]+$"", """")), """"), GOOGLETRANSLATE('AYIRA MINI MART FINAL MENU - Pr'!B731, ""ar"", ""en"")))"),"Candy |")</f>
        <v>Candy |</v>
      </c>
      <c r="C731" s="58">
        <f>IF('AYIRA MINI MART FINAL MENU - Pr'!C731="", "", 'AYIRA MINI MART FINAL MENU - Pr'!C731)</f>
        <v>1</v>
      </c>
      <c r="D731" s="56" t="str">
        <f>IFERROR(__xludf.DUMMYFUNCTION("IF('AYIRA MINI MART FINAL MENU - Pr'!D731="""", """", GOOGLETRANSLATE('AYIRA MINI MART FINAL MENU - Pr'!D731, ""ar"", ""en""))"),"Drink Brain Bitz Chew Bar Watermelon 20g, pure water that restores your body's natural balance. Sourced from the purest natural sources and packaged to the highest standards of quality and hygiene to ensure it reaches you in perfect condition. Proper hydr"&amp;"ation is essential for a good life, and choosing this water reflects your commitment to your well-being. Make sure to drink enough water daily to maintain your energy and vitality. Aira Mini Mart offers this premium water at competitive prices.")</f>
        <v>Drink Brain Bitz Chew Bar Watermelon 20g, pure water that restores your body's natural balance. Sourced from the purest natural sources and packaged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731" s="56" t="str">
        <f>IF('AYIRA MINI MART FINAL MENU - Pr'!K731="", "", 'AYIRA MINI MART FINAL MENU - Pr'!K731)</f>
        <v/>
      </c>
      <c r="F731" s="56"/>
      <c r="G731" s="56"/>
      <c r="H731" s="56"/>
      <c r="I731" s="56"/>
      <c r="J731" s="56"/>
      <c r="L731" s="56" t="str">
        <f>IF('AYIRA MINI MART FINAL MENU - Pr'!L731="", "", 'AYIRA MINI MART FINAL MENU - Pr'!L731)</f>
        <v/>
      </c>
      <c r="M731" s="56" t="str">
        <f>IF('AYIRA MINI MART FINAL MENU - Pr'!M731="", "", 'AYIRA MINI MART FINAL MENU - Pr'!M731)</f>
        <v/>
      </c>
      <c r="N731" s="56" t="str">
        <f>IF('AYIRA MINI MART FINAL MENU - Pr'!N731="", "", 'AYIRA MINI MART FINAL MENU - Pr'!N731)</f>
        <v/>
      </c>
      <c r="O731" s="57"/>
      <c r="P731" s="57"/>
      <c r="Q731" s="57"/>
      <c r="R731" s="57"/>
      <c r="S731" s="57"/>
      <c r="T731" s="57"/>
      <c r="U731" s="57"/>
      <c r="V731" s="57"/>
      <c r="W731" s="57"/>
      <c r="X731" s="57"/>
      <c r="Y731" s="57"/>
      <c r="Z731" s="57"/>
    </row>
    <row r="732">
      <c r="A732" s="56" t="str">
        <f>IFERROR(__xludf.DUMMYFUNCTION("IF('AYIRA MINI MART FINAL MENU - Pr'!A732="""", """", IF(LEN(IFERROR(TRIM(REGEXREPLACE(TRIM(REGEXEXTRACT('AYIRA MINI MART FINAL MENU - Pr'!A732, ""^[^\x{0600}-\x{06FF}]+"")), ""[-–]+$"", """")), """"))&gt;0, IFERROR(TRIM(REGEXREPLACE(TRIM(REGEXEXTRACT('AYIRA"&amp;" MINI MART FINAL MENU - Pr'!A732, ""^[^\x{0600}-\x{06FF}]+"")), ""[-–]+$"", """")), """"), GOOGLETRANSLATE('AYIRA MINI MART FINAL MENU - Pr'!A732, ""ar"", ""en"")))"),"Candy Choco Belight 34g – Candy Choco Belight 34")</f>
        <v>Candy Choco Belight 34g – Candy Choco Belight 34</v>
      </c>
      <c r="B732" s="56" t="str">
        <f>IFERROR(__xludf.DUMMYFUNCTION("IF('AYIRA MINI MART FINAL MENU - Pr'!B732="""", """", IF(LEN(IFERROR(TRIM(REGEXREPLACE(TRIM(REGEXEXTRACT('AYIRA MINI MART FINAL MENU - Pr'!B732, ""^[^\x{0600}-\x{06FF}]+"")), ""[-–]+$"", """")), """"))&gt;0, IFERROR(TRIM(REGEXREPLACE(TRIM(REGEXEXTRACT('AYIRA"&amp;" MINI MART FINAL MENU - Pr'!B732, ""^[^\x{0600}-\x{06FF}]+"")), ""[-–]+$"", """")), """"), GOOGLETRANSLATE('AYIRA MINI MART FINAL MENU - Pr'!B732, ""ar"", ""en"")))"),"Chocolates")</f>
        <v>Chocolates</v>
      </c>
      <c r="C732" s="58">
        <f>IF('AYIRA MINI MART FINAL MENU - Pr'!C732="", "", 'AYIRA MINI MART FINAL MENU - Pr'!C732)</f>
        <v>2</v>
      </c>
      <c r="D732" s="56" t="str">
        <f>IFERROR(__xludf.DUMMYFUNCTION("IF('AYIRA MINI MART FINAL MENU - Pr'!D732="""", """", GOOGLETRANSLATE('AYIRA MINI MART FINAL MENU - Pr'!D732, ""ar"", ""en""))"),"Add a sweet moment to your day with Candy Choco Belight 34g, a delicious treat loved by everyone. Its variety of flavors and attractive colors make it suitable for all ages. Perfect as a small reward or a light gift for friends and family. Made with high "&amp;"quality ingredients to ensure a great taste in every piece. Get yours from Aira Mini Mart and spread joy to your loved ones.")</f>
        <v>Add a sweet moment to your day with Candy Choco Belight 34g, a delicious treat loved by everyone. Its variety of flavors and attractive colors make it suitable for all ages. Perfect as a small reward or a light gift for friends and family. Made with high quality ingredients to ensure a great taste in every piece. Get yours from Aira Mini Mart and spread joy to your loved ones.</v>
      </c>
      <c r="E732" s="56" t="str">
        <f>IF('AYIRA MINI MART FINAL MENU - Pr'!K732="", "", 'AYIRA MINI MART FINAL MENU - Pr'!K732)</f>
        <v/>
      </c>
      <c r="F732" s="56"/>
      <c r="G732" s="56"/>
      <c r="H732" s="56"/>
      <c r="I732" s="56"/>
      <c r="J732" s="56"/>
      <c r="L732" s="56" t="str">
        <f>IF('AYIRA MINI MART FINAL MENU - Pr'!L732="", "", 'AYIRA MINI MART FINAL MENU - Pr'!L732)</f>
        <v/>
      </c>
      <c r="M732" s="56" t="str">
        <f>IF('AYIRA MINI MART FINAL MENU - Pr'!M732="", "", 'AYIRA MINI MART FINAL MENU - Pr'!M732)</f>
        <v/>
      </c>
      <c r="N732" s="56" t="str">
        <f>IF('AYIRA MINI MART FINAL MENU - Pr'!N732="", "", 'AYIRA MINI MART FINAL MENU - Pr'!N732)</f>
        <v/>
      </c>
      <c r="O732" s="57"/>
      <c r="P732" s="57"/>
      <c r="Q732" s="57"/>
      <c r="R732" s="57"/>
      <c r="S732" s="57"/>
      <c r="T732" s="57"/>
      <c r="U732" s="57"/>
      <c r="V732" s="57"/>
      <c r="W732" s="57"/>
      <c r="X732" s="57"/>
      <c r="Y732" s="57"/>
      <c r="Z732" s="57"/>
    </row>
    <row r="733">
      <c r="A733" s="56" t="str">
        <f>IFERROR(__xludf.DUMMYFUNCTION("IF('AYIRA MINI MART FINAL MENU - Pr'!A733="""", """", IF(LEN(IFERROR(TRIM(REGEXREPLACE(TRIM(REGEXEXTRACT('AYIRA MINI MART FINAL MENU - Pr'!A733, ""^[^\x{0600}-\x{06FF}]+"")), ""[-–]+$"", """")), """"))&gt;0, IFERROR(TRIM(REGEXREPLACE(TRIM(REGEXEXTRACT('AYIRA"&amp;" MINI MART FINAL MENU - Pr'!A733, ""^[^\x{0600}-\x{06FF}]+"")), ""[-–]+$"", """")), """"), GOOGLETRANSLATE('AYIRA MINI MART FINAL MENU - Pr'!A733, ""ar"", ""en"")))"),"Cadbury Dairy Milk Oreo 95g")</f>
        <v>Cadbury Dairy Milk Oreo 95g</v>
      </c>
      <c r="B733" s="56" t="str">
        <f>IFERROR(__xludf.DUMMYFUNCTION("IF('AYIRA MINI MART FINAL MENU - Pr'!B733="""", """", IF(LEN(IFERROR(TRIM(REGEXREPLACE(TRIM(REGEXEXTRACT('AYIRA MINI MART FINAL MENU - Pr'!B733, ""^[^\x{0600}-\x{06FF}]+"")), ""[-–]+$"", """")), """"))&gt;0, IFERROR(TRIM(REGEXREPLACE(TRIM(REGEXEXTRACT('AYIRA"&amp;" MINI MART FINAL MENU - Pr'!B733, ""^[^\x{0600}-\x{06FF}]+"")), ""[-–]+$"", """")), """"), GOOGLETRANSLATE('AYIRA MINI MART FINAL MENU - Pr'!B733, ""ar"", ""en"")))"),"Chocolates")</f>
        <v>Chocolates</v>
      </c>
      <c r="C733" s="58">
        <f>IF('AYIRA MINI MART FINAL MENU - Pr'!C733="", "", 'AYIRA MINI MART FINAL MENU - Pr'!C733)</f>
        <v>8</v>
      </c>
      <c r="D733" s="56" t="str">
        <f>IFERROR(__xludf.DUMMYFUNCTION("IF('AYIRA MINI MART FINAL MENU - Pr'!D733="""", """", GOOGLETRANSLATE('AYIRA MINI MART FINAL MENU - Pr'!D733, ""ar"", ""en""))"),"Indulge your senses with Cadbury, the luxurious chocolate that combines rich flavor with a perfect texture. Made from the finest selected cocoa beans, it delivers an exceptional confectionery experience every time. Whether you're looking for a special gif"&amp;"t or want to treat yourself, this chocolate is the perfect choice. Savor every piece and immerse yourself in a world of smoothness and sweetness. Get yours from Aira Mini Mart and experience moments of pure delight.")</f>
        <v>Indulge your senses with Cadbury, the luxurious chocolate that combines rich flavor with a perfect texture. Made from the finest selected cocoa beans, it delivers an exceptional confectionery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33" s="56" t="str">
        <f>IF('AYIRA MINI MART FINAL MENU - Pr'!K733="", "", 'AYIRA MINI MART FINAL MENU - Pr'!K733)</f>
        <v/>
      </c>
      <c r="F733" s="56"/>
      <c r="G733" s="56"/>
      <c r="H733" s="56"/>
      <c r="I733" s="56"/>
      <c r="J733" s="56"/>
      <c r="L733" s="56" t="str">
        <f>IF('AYIRA MINI MART FINAL MENU - Pr'!L733="", "", 'AYIRA MINI MART FINAL MENU - Pr'!L733)</f>
        <v/>
      </c>
      <c r="M733" s="56" t="str">
        <f>IF('AYIRA MINI MART FINAL MENU - Pr'!M733="", "", 'AYIRA MINI MART FINAL MENU - Pr'!M733)</f>
        <v/>
      </c>
      <c r="N733" s="56" t="str">
        <f>IF('AYIRA MINI MART FINAL MENU - Pr'!N733="", "", 'AYIRA MINI MART FINAL MENU - Pr'!N733)</f>
        <v/>
      </c>
      <c r="O733" s="57"/>
      <c r="P733" s="57"/>
      <c r="Q733" s="57"/>
      <c r="R733" s="57"/>
      <c r="S733" s="57"/>
      <c r="T733" s="57"/>
      <c r="U733" s="57"/>
      <c r="V733" s="57"/>
      <c r="W733" s="57"/>
      <c r="X733" s="57"/>
      <c r="Y733" s="57"/>
      <c r="Z733" s="57"/>
    </row>
    <row r="734">
      <c r="A734" s="56" t="str">
        <f>IFERROR(__xludf.DUMMYFUNCTION("IF('AYIRA MINI MART FINAL MENU - Pr'!A734="""", """", IF(LEN(IFERROR(TRIM(REGEXREPLACE(TRIM(REGEXEXTRACT('AYIRA MINI MART FINAL MENU - Pr'!A734, ""^[^\x{0600}-\x{06FF}]+"")), ""[-–]+$"", """")), """"))&gt;0, IFERROR(TRIM(REGEXREPLACE(TRIM(REGEXEXTRACT('AYIRA"&amp;" MINI MART FINAL MENU - Pr'!A734, ""^[^\x{0600}-\x{06FF}]+"")), ""[-–]+$"", """")), """"), GOOGLETRANSLATE('AYIRA MINI MART FINAL MENU - Pr'!A734, ""ar"", ""en"")))"),"Toblerone 35g")</f>
        <v>Toblerone 35g</v>
      </c>
      <c r="B734" s="56" t="str">
        <f>IFERROR(__xludf.DUMMYFUNCTION("IF('AYIRA MINI MART FINAL MENU - Pr'!B734="""", """", IF(LEN(IFERROR(TRIM(REGEXREPLACE(TRIM(REGEXEXTRACT('AYIRA MINI MART FINAL MENU - Pr'!B734, ""^[^\x{0600}-\x{06FF}]+"")), ""[-–]+$"", """")), """"))&gt;0, IFERROR(TRIM(REGEXREPLACE(TRIM(REGEXEXTRACT('AYIRA"&amp;" MINI MART FINAL MENU - Pr'!B734, ""^[^\x{0600}-\x{06FF}]+"")), ""[-–]+$"", """")), """"), GOOGLETRANSLATE('AYIRA MINI MART FINAL MENU - Pr'!B734, ""ar"", ""en"")))"),"Chocolates")</f>
        <v>Chocolates</v>
      </c>
      <c r="C734" s="58">
        <f>IF('AYIRA MINI MART FINAL MENU - Pr'!C734="", "", 'AYIRA MINI MART FINAL MENU - Pr'!C734)</f>
        <v>3.5</v>
      </c>
      <c r="D734" s="56" t="str">
        <f>IFERROR(__xludf.DUMMYFUNCTION("IF('AYIRA MINI MART FINAL MENU - Pr'!D734="""", """", GOOGLETRANSLATE('AYIRA MINI MART FINAL MENU - Pr'!D734, ""ar"", ""en""))"),"Indulge your senses with Toblerone, the luxurious chocolate that blends rich flavor with perfect texture. Made from the finest selected cocoa beans, it delivers an exceptional dessert experience every time. Whether you're looking for a special gift or wan"&amp;"t to treat yourself, this chocolate is the perfect choice. Savor every piece and immerse yourself in a world of smoothness and sweetness. Get yours from Aira Mini Mart and experience moments of pure delight.")</f>
        <v>Indulge your senses with Toblerone, the luxurious chocolate that blends rich flavor with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34" s="56" t="str">
        <f>IF('AYIRA MINI MART FINAL MENU - Pr'!K734="", "", 'AYIRA MINI MART FINAL MENU - Pr'!K734)</f>
        <v/>
      </c>
      <c r="F734" s="56"/>
      <c r="G734" s="56"/>
      <c r="H734" s="56"/>
      <c r="I734" s="56"/>
      <c r="J734" s="56"/>
      <c r="L734" s="56" t="str">
        <f>IF('AYIRA MINI MART FINAL MENU - Pr'!L734="", "", 'AYIRA MINI MART FINAL MENU - Pr'!L734)</f>
        <v/>
      </c>
      <c r="M734" s="56" t="str">
        <f>IF('AYIRA MINI MART FINAL MENU - Pr'!M734="", "", 'AYIRA MINI MART FINAL MENU - Pr'!M734)</f>
        <v/>
      </c>
      <c r="N734" s="56" t="str">
        <f>IF('AYIRA MINI MART FINAL MENU - Pr'!N734="", "", 'AYIRA MINI MART FINAL MENU - Pr'!N734)</f>
        <v/>
      </c>
      <c r="O734" s="57"/>
      <c r="P734" s="57"/>
      <c r="Q734" s="57"/>
      <c r="R734" s="57"/>
      <c r="S734" s="57"/>
      <c r="T734" s="57"/>
      <c r="U734" s="57"/>
      <c r="V734" s="57"/>
      <c r="W734" s="57"/>
      <c r="X734" s="57"/>
      <c r="Y734" s="57"/>
      <c r="Z734" s="57"/>
    </row>
    <row r="735">
      <c r="A735" s="56" t="str">
        <f>IFERROR(__xludf.DUMMYFUNCTION("IF('AYIRA MINI MART FINAL MENU - Pr'!A735="""", """", IF(LEN(IFERROR(TRIM(REGEXREPLACE(TRIM(REGEXEXTRACT('AYIRA MINI MART FINAL MENU - Pr'!A735, ""^[^\x{0600}-\x{06FF}]+"")), ""[-–]+$"", """")), """"))&gt;0, IFERROR(TRIM(REGEXREPLACE(TRIM(REGEXEXTRACT('AYIRA"&amp;" MINI MART FINAL MENU - Pr'!A735, ""^[^\x{0600}-\x{06FF}]+"")), ""[-–]+$"", """")), """"), GOOGLETRANSLATE('AYIRA MINI MART FINAL MENU - Pr'!A735, ""ar"", ""en"")))"),"Oreo Cake Choco Coated 24g")</f>
        <v>Oreo Cake Choco Coated 24g</v>
      </c>
      <c r="B735" s="56" t="str">
        <f>IFERROR(__xludf.DUMMYFUNCTION("IF('AYIRA MINI MART FINAL MENU - Pr'!B735="""", """", IF(LEN(IFERROR(TRIM(REGEXREPLACE(TRIM(REGEXEXTRACT('AYIRA MINI MART FINAL MENU - Pr'!B735, ""^[^\x{0600}-\x{06FF}]+"")), ""[-–]+$"", """")), """"))&gt;0, IFERROR(TRIM(REGEXREPLACE(TRIM(REGEXEXTRACT('AYIRA"&amp;" MINI MART FINAL MENU - Pr'!B735, ""^[^\x{0600}-\x{06FF}]+"")), ""[-–]+$"", """")), """"), GOOGLETRANSLATE('AYIRA MINI MART FINAL MENU - Pr'!B735, ""ar"", ""en"")))"),"Chocolates")</f>
        <v>Chocolates</v>
      </c>
      <c r="C735" s="58">
        <f>IF('AYIRA MINI MART FINAL MENU - Pr'!C735="", "", 'AYIRA MINI MART FINAL MENU - Pr'!C735)</f>
        <v>2</v>
      </c>
      <c r="D735" s="56" t="str">
        <f>IFERROR(__xludf.DUMMYFUNCTION("IF('AYIRA MINI MART FINAL MENU - Pr'!D735="""", """", GOOGLETRANSLATE('AYIRA MINI MART FINAL MENU - Pr'!D735, ""ar"", ""en""))"),"Don't be able to resist the taste of Oreo, your perfect companion for relaxing and watching the game. Its unique crunch and diverse flavors make every handful a delightful experience. Made with the finest ingredients using the latest manufacturing techniq"&amp;"ues to guarantee an unparalleled taste. Ideal as a snack for adults and children alike between meals. Aira Mini Mart offers it in the perfect size and flavor for you.")</f>
        <v>Don't be able to resist the taste of Oreo,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alike between meals. Aira Mini Mart offers it in the perfect size and flavor for you.</v>
      </c>
      <c r="E735" s="56" t="str">
        <f>IF('AYIRA MINI MART FINAL MENU - Pr'!K735="", "", 'AYIRA MINI MART FINAL MENU - Pr'!K735)</f>
        <v/>
      </c>
      <c r="F735" s="56"/>
      <c r="G735" s="56"/>
      <c r="H735" s="56"/>
      <c r="I735" s="56"/>
      <c r="J735" s="56"/>
      <c r="L735" s="56" t="str">
        <f>IF('AYIRA MINI MART FINAL MENU - Pr'!L735="", "", 'AYIRA MINI MART FINAL MENU - Pr'!L735)</f>
        <v/>
      </c>
      <c r="M735" s="56" t="str">
        <f>IF('AYIRA MINI MART FINAL MENU - Pr'!M735="", "", 'AYIRA MINI MART FINAL MENU - Pr'!M735)</f>
        <v/>
      </c>
      <c r="N735" s="56" t="str">
        <f>IF('AYIRA MINI MART FINAL MENU - Pr'!N735="", "", 'AYIRA MINI MART FINAL MENU - Pr'!N735)</f>
        <v/>
      </c>
      <c r="O735" s="57"/>
      <c r="P735" s="57"/>
      <c r="Q735" s="57"/>
      <c r="R735" s="57"/>
      <c r="S735" s="57"/>
      <c r="T735" s="57"/>
      <c r="U735" s="57"/>
      <c r="V735" s="57"/>
      <c r="W735" s="57"/>
      <c r="X735" s="57"/>
      <c r="Y735" s="57"/>
      <c r="Z735" s="57"/>
    </row>
    <row r="736">
      <c r="A736" s="56" t="str">
        <f>IFERROR(__xludf.DUMMYFUNCTION("IF('AYIRA MINI MART FINAL MENU - Pr'!A736="""", """", IF(LEN(IFERROR(TRIM(REGEXREPLACE(TRIM(REGEXEXTRACT('AYIRA MINI MART FINAL MENU - Pr'!A736, ""^[^\x{0600}-\x{06FF}]+"")), ""[-–]+$"", """")), """"))&gt;0, IFERROR(TRIM(REGEXREPLACE(TRIM(REGEXEXTRACT('AYIRA"&amp;" MINI MART FINAL MENU - Pr'!A736, ""^[^\x{0600}-\x{06FF}]+"")), ""[-–]+$"", """")), """"), GOOGLETRANSLATE('AYIRA MINI MART FINAL MENU - Pr'!A736, ""ar"", ""en"")))"),"Pistachio Kunafa Chocolate 100g")</f>
        <v>Pistachio Kunafa Chocolate 100g</v>
      </c>
      <c r="B736" s="56" t="str">
        <f>IFERROR(__xludf.DUMMYFUNCTION("IF('AYIRA MINI MART FINAL MENU - Pr'!B736="""", """", IF(LEN(IFERROR(TRIM(REGEXREPLACE(TRIM(REGEXEXTRACT('AYIRA MINI MART FINAL MENU - Pr'!B736, ""^[^\x{0600}-\x{06FF}]+"")), ""[-–]+$"", """")), """"))&gt;0, IFERROR(TRIM(REGEXREPLACE(TRIM(REGEXEXTRACT('AYIRA"&amp;" MINI MART FINAL MENU - Pr'!B736, ""^[^\x{0600}-\x{06FF}]+"")), ""[-–]+$"", """")), """"), GOOGLETRANSLATE('AYIRA MINI MART FINAL MENU - Pr'!B736, ""ar"", ""en"")))"),"Chocolates")</f>
        <v>Chocolates</v>
      </c>
      <c r="C736" s="58">
        <f>IF('AYIRA MINI MART FINAL MENU - Pr'!C736="", "", 'AYIRA MINI MART FINAL MENU - Pr'!C736)</f>
        <v>18</v>
      </c>
      <c r="D736" s="56" t="str">
        <f>IFERROR(__xludf.DUMMYFUNCTION("IF('AYIRA MINI MART FINAL MENU - Pr'!D736="""", """", GOOGLETRANSLATE('AYIRA MINI MART FINAL MENU - Pr'!D736, ""ar"", ""en""))"),"Indulge your senses with Pistachio Kunafa Chocolate 100g, a luxurious chocolate that blends rich flavor with a perfect texture. Made from the finest selected cocoa beans, it delivers an exceptional dessert experience every time. Whether you're looking for"&amp;" a special gift or want to treat yourself, this chocolate is the perfect choice. Savor every piece and immerse yourself in a world of smoothness and sweetness. Get yours from Aira Mini Mart and experience moments of pure delight.")</f>
        <v>Indulge your senses with Pistachio Kunafa Chocolate 100g,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36" s="56" t="str">
        <f>IF('AYIRA MINI MART FINAL MENU - Pr'!K736="", "", 'AYIRA MINI MART FINAL MENU - Pr'!K736)</f>
        <v/>
      </c>
      <c r="F736" s="56"/>
      <c r="G736" s="56"/>
      <c r="H736" s="56"/>
      <c r="I736" s="56"/>
      <c r="J736" s="56"/>
      <c r="L736" s="56" t="str">
        <f>IF('AYIRA MINI MART FINAL MENU - Pr'!L736="", "", 'AYIRA MINI MART FINAL MENU - Pr'!L736)</f>
        <v/>
      </c>
      <c r="M736" s="56" t="str">
        <f>IF('AYIRA MINI MART FINAL MENU - Pr'!M736="", "", 'AYIRA MINI MART FINAL MENU - Pr'!M736)</f>
        <v/>
      </c>
      <c r="N736" s="56" t="str">
        <f>IF('AYIRA MINI MART FINAL MENU - Pr'!N736="", "", 'AYIRA MINI MART FINAL MENU - Pr'!N736)</f>
        <v/>
      </c>
      <c r="O736" s="57"/>
      <c r="P736" s="57"/>
      <c r="Q736" s="57"/>
      <c r="R736" s="57"/>
      <c r="S736" s="57"/>
      <c r="T736" s="57"/>
      <c r="U736" s="57"/>
      <c r="V736" s="57"/>
      <c r="W736" s="57"/>
      <c r="X736" s="57"/>
      <c r="Y736" s="57"/>
      <c r="Z736" s="57"/>
    </row>
    <row r="737">
      <c r="A737" s="56" t="str">
        <f>IFERROR(__xludf.DUMMYFUNCTION("IF('AYIRA MINI MART FINAL MENU - Pr'!A737="""", """", IF(LEN(IFERROR(TRIM(REGEXREPLACE(TRIM(REGEXEXTRACT('AYIRA MINI MART FINAL MENU - Pr'!A737, ""^[^\x{0600}-\x{06FF}]+"")), ""[-–]+$"", """")), """"))&gt;0, IFERROR(TRIM(REGEXREPLACE(TRIM(REGEXEXTRACT('AYIRA"&amp;" MINI MART FINAL MENU - Pr'!A737, ""^[^\x{0600}-\x{06FF}]+"")), ""[-–]+$"", """")), """"), GOOGLETRANSLATE('AYIRA MINI MART FINAL MENU - Pr'!A737, ""ar"", ""en"")))"),"Snickers Miniatures 150g")</f>
        <v>Snickers Miniatures 150g</v>
      </c>
      <c r="B737" s="56" t="str">
        <f>IFERROR(__xludf.DUMMYFUNCTION("IF('AYIRA MINI MART FINAL MENU - Pr'!B737="""", """", IF(LEN(IFERROR(TRIM(REGEXREPLACE(TRIM(REGEXEXTRACT('AYIRA MINI MART FINAL MENU - Pr'!B737, ""^[^\x{0600}-\x{06FF}]+"")), ""[-–]+$"", """")), """"))&gt;0, IFERROR(TRIM(REGEXREPLACE(TRIM(REGEXEXTRACT('AYIRA"&amp;" MINI MART FINAL MENU - Pr'!B737, ""^[^\x{0600}-\x{06FF}]+"")), ""[-–]+$"", """")), """"), GOOGLETRANSLATE('AYIRA MINI MART FINAL MENU - Pr'!B737, ""ar"", ""en"")))"),"Chocolates")</f>
        <v>Chocolates</v>
      </c>
      <c r="C737" s="58">
        <f>IF('AYIRA MINI MART FINAL MENU - Pr'!C737="", "", 'AYIRA MINI MART FINAL MENU - Pr'!C737)</f>
        <v>13.5</v>
      </c>
      <c r="D737" s="56" t="str">
        <f>IFERROR(__xludf.DUMMYFUNCTION("IF('AYIRA MINI MART FINAL MENU - Pr'!D737="""", """", GOOGLETRANSLATE('AYIRA MINI MART FINAL MENU - Pr'!D737, ""ar"", ""en""))"),"Indulge your senses with Snickers, the premium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Snickers, the premium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37" s="56" t="str">
        <f>IF('AYIRA MINI MART FINAL MENU - Pr'!K737="", "", 'AYIRA MINI MART FINAL MENU - Pr'!K737)</f>
        <v/>
      </c>
      <c r="F737" s="56"/>
      <c r="G737" s="56"/>
      <c r="H737" s="56"/>
      <c r="I737" s="56"/>
      <c r="J737" s="56"/>
      <c r="L737" s="56" t="str">
        <f>IF('AYIRA MINI MART FINAL MENU - Pr'!L737="", "", 'AYIRA MINI MART FINAL MENU - Pr'!L737)</f>
        <v/>
      </c>
      <c r="M737" s="56" t="str">
        <f>IF('AYIRA MINI MART FINAL MENU - Pr'!M737="", "", 'AYIRA MINI MART FINAL MENU - Pr'!M737)</f>
        <v/>
      </c>
      <c r="N737" s="56" t="str">
        <f>IF('AYIRA MINI MART FINAL MENU - Pr'!N737="", "", 'AYIRA MINI MART FINAL MENU - Pr'!N737)</f>
        <v/>
      </c>
      <c r="O737" s="57"/>
      <c r="P737" s="57"/>
      <c r="Q737" s="57"/>
      <c r="R737" s="57"/>
      <c r="S737" s="57"/>
      <c r="T737" s="57"/>
      <c r="U737" s="57"/>
      <c r="V737" s="57"/>
      <c r="W737" s="57"/>
      <c r="X737" s="57"/>
      <c r="Y737" s="57"/>
      <c r="Z737" s="57"/>
    </row>
    <row r="738">
      <c r="A738" s="56" t="str">
        <f>IFERROR(__xludf.DUMMYFUNCTION("IF('AYIRA MINI MART FINAL MENU - Pr'!A738="""", """", IF(LEN(IFERROR(TRIM(REGEXREPLACE(TRIM(REGEXEXTRACT('AYIRA MINI MART FINAL MENU - Pr'!A738, ""^[^\x{0600}-\x{06FF}]+"")), ""[-–]+$"", """")), """"))&gt;0, IFERROR(TRIM(REGEXREPLACE(TRIM(REGEXEXTRACT('AYIRA"&amp;" MINI MART FINAL MENU - Pr'!A738, ""^[^\x{0600}-\x{06FF}]+"")), ""[-–]+$"", """")), """"), GOOGLETRANSLATE('AYIRA MINI MART FINAL MENU - Pr'!A738, ""ar"", ""en"")))"),"Twix Miniatures 150g")</f>
        <v>Twix Miniatures 150g</v>
      </c>
      <c r="B738" s="56" t="str">
        <f>IFERROR(__xludf.DUMMYFUNCTION("IF('AYIRA MINI MART FINAL MENU - Pr'!B738="""", """", IF(LEN(IFERROR(TRIM(REGEXREPLACE(TRIM(REGEXEXTRACT('AYIRA MINI MART FINAL MENU - Pr'!B738, ""^[^\x{0600}-\x{06FF}]+"")), ""[-–]+$"", """")), """"))&gt;0, IFERROR(TRIM(REGEXREPLACE(TRIM(REGEXEXTRACT('AYIRA"&amp;" MINI MART FINAL MENU - Pr'!B738, ""^[^\x{0600}-\x{06FF}]+"")), ""[-–]+$"", """")), """"), GOOGLETRANSLATE('AYIRA MINI MART FINAL MENU - Pr'!B738, ""ar"", ""en"")))"),"Chocolates")</f>
        <v>Chocolates</v>
      </c>
      <c r="C738" s="58">
        <f>IF('AYIRA MINI MART FINAL MENU - Pr'!C738="", "", 'AYIRA MINI MART FINAL MENU - Pr'!C738)</f>
        <v>13.5</v>
      </c>
      <c r="D738" s="56" t="str">
        <f>IFERROR(__xludf.DUMMYFUNCTION("IF('AYIRA MINI MART FINAL MENU - Pr'!D738="""", """", GOOGLETRANSLATE('AYIRA MINI MART FINAL MENU - Pr'!D738, ""ar"", ""en""))"),"Indulge your senses with Twix, the premium chocolate that combines rich flavor with a perfect texture. Made from the finest selected cocoa beans, it delivers an exceptional sweet experience every time. Whether you're looking for a special gift or want to "&amp;"treat yourself, this chocolate is the perfect choice. Savor every piece and immerse yourself in a world of smoothness and sweetness. Get yours from Aira Mini Mart and experience moments of pure delight.")</f>
        <v>Indulge your senses with Twix, the premium chocolate that combines rich flavor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38" s="56" t="str">
        <f>IF('AYIRA MINI MART FINAL MENU - Pr'!K738="", "", 'AYIRA MINI MART FINAL MENU - Pr'!K738)</f>
        <v/>
      </c>
      <c r="F738" s="56"/>
      <c r="G738" s="56"/>
      <c r="H738" s="56"/>
      <c r="I738" s="56"/>
      <c r="J738" s="56"/>
      <c r="L738" s="56" t="str">
        <f>IF('AYIRA MINI MART FINAL MENU - Pr'!L738="", "", 'AYIRA MINI MART FINAL MENU - Pr'!L738)</f>
        <v/>
      </c>
      <c r="M738" s="56" t="str">
        <f>IF('AYIRA MINI MART FINAL MENU - Pr'!M738="", "", 'AYIRA MINI MART FINAL MENU - Pr'!M738)</f>
        <v/>
      </c>
      <c r="N738" s="56" t="str">
        <f>IF('AYIRA MINI MART FINAL MENU - Pr'!N738="", "", 'AYIRA MINI MART FINAL MENU - Pr'!N738)</f>
        <v/>
      </c>
      <c r="O738" s="57"/>
      <c r="P738" s="57"/>
      <c r="Q738" s="57"/>
      <c r="R738" s="57"/>
      <c r="S738" s="57"/>
      <c r="T738" s="57"/>
      <c r="U738" s="57"/>
      <c r="V738" s="57"/>
      <c r="W738" s="57"/>
      <c r="X738" s="57"/>
      <c r="Y738" s="57"/>
      <c r="Z738" s="57"/>
    </row>
    <row r="739">
      <c r="A739" s="56" t="str">
        <f>IFERROR(__xludf.DUMMYFUNCTION("IF('AYIRA MINI MART FINAL MENU - Pr'!A739="""", """", IF(LEN(IFERROR(TRIM(REGEXREPLACE(TRIM(REGEXEXTRACT('AYIRA MINI MART FINAL MENU - Pr'!A739, ""^[^\x{0600}-\x{06FF}]+"")), ""[-–]+$"", """")), """"))&gt;0, IFERROR(TRIM(REGEXREPLACE(TRIM(REGEXEXTRACT('AYIRA"&amp;" MINI MART FINAL MENU - Pr'!A739, ""^[^\x{0600}-\x{06FF}]+"")), ""[-–]+$"", """")), """"), GOOGLETRANSLATE('AYIRA MINI MART FINAL MENU - Pr'!A739, ""ar"", ""en"")))"),"Bounty Miniatures 150g")</f>
        <v>Bounty Miniatures 150g</v>
      </c>
      <c r="B739" s="56" t="str">
        <f>IFERROR(__xludf.DUMMYFUNCTION("IF('AYIRA MINI MART FINAL MENU - Pr'!B739="""", """", IF(LEN(IFERROR(TRIM(REGEXREPLACE(TRIM(REGEXEXTRACT('AYIRA MINI MART FINAL MENU - Pr'!B739, ""^[^\x{0600}-\x{06FF}]+"")), ""[-–]+$"", """")), """"))&gt;0, IFERROR(TRIM(REGEXREPLACE(TRIM(REGEXEXTRACT('AYIRA"&amp;" MINI MART FINAL MENU - Pr'!B739, ""^[^\x{0600}-\x{06FF}]+"")), ""[-–]+$"", """")), """"), GOOGLETRANSLATE('AYIRA MINI MART FINAL MENU - Pr'!B739, ""ar"", ""en"")))"),"Chocolates")</f>
        <v>Chocolates</v>
      </c>
      <c r="C739" s="58">
        <f>IF('AYIRA MINI MART FINAL MENU - Pr'!C739="", "", 'AYIRA MINI MART FINAL MENU - Pr'!C739)</f>
        <v>13.5</v>
      </c>
      <c r="D739" s="56" t="str">
        <f>IFERROR(__xludf.DUMMYFUNCTION("IF('AYIRA MINI MART FINAL MENU - Pr'!D739="""", """", GOOGLETRANSLATE('AYIRA MINI MART FINAL MENU - Pr'!D739, ""ar"", ""en""))"),"Indulge your senses with Bounty, the luxurious chocolate that combines rich flavor with a perfect texture. Made from the finest selected cocoa beans, it delivers an exceptional sweet experience every time. Whether you're looking for a special gift or want"&amp;" to treat yourself, this chocolate is the perfect choice. Savor every piece and immerse yourself in a world of smoothness and sweetness. Get yours from Aira Mini Mart and experience moments of pure delight.")</f>
        <v>Indulge your senses with Bounty, the luxurious chocolate that combines rich flavor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39" s="56" t="str">
        <f>IF('AYIRA MINI MART FINAL MENU - Pr'!K739="", "", 'AYIRA MINI MART FINAL MENU - Pr'!K739)</f>
        <v/>
      </c>
      <c r="F739" s="56"/>
      <c r="G739" s="56"/>
      <c r="H739" s="56"/>
      <c r="I739" s="56"/>
      <c r="J739" s="56"/>
      <c r="L739" s="56" t="str">
        <f>IF('AYIRA MINI MART FINAL MENU - Pr'!L739="", "", 'AYIRA MINI MART FINAL MENU - Pr'!L739)</f>
        <v/>
      </c>
      <c r="M739" s="56" t="str">
        <f>IF('AYIRA MINI MART FINAL MENU - Pr'!M739="", "", 'AYIRA MINI MART FINAL MENU - Pr'!M739)</f>
        <v/>
      </c>
      <c r="N739" s="56" t="str">
        <f>IF('AYIRA MINI MART FINAL MENU - Pr'!N739="", "", 'AYIRA MINI MART FINAL MENU - Pr'!N739)</f>
        <v/>
      </c>
      <c r="O739" s="57"/>
      <c r="P739" s="57"/>
      <c r="Q739" s="57"/>
      <c r="R739" s="57"/>
      <c r="S739" s="57"/>
      <c r="T739" s="57"/>
      <c r="U739" s="57"/>
      <c r="V739" s="57"/>
      <c r="W739" s="57"/>
      <c r="X739" s="57"/>
      <c r="Y739" s="57"/>
      <c r="Z739" s="57"/>
    </row>
    <row r="740">
      <c r="A740" s="56" t="str">
        <f>IFERROR(__xludf.DUMMYFUNCTION("IF('AYIRA MINI MART FINAL MENU - Pr'!A740="""", """", IF(LEN(IFERROR(TRIM(REGEXREPLACE(TRIM(REGEXEXTRACT('AYIRA MINI MART FINAL MENU - Pr'!A740, ""^[^\x{0600}-\x{06FF}]+"")), ""[-–]+$"", """")), """"))&gt;0, IFERROR(TRIM(REGEXREPLACE(TRIM(REGEXEXTRACT('AYIRA"&amp;" MINI MART FINAL MENU - Pr'!A740, ""^[^\x{0600}-\x{06FF}]+"")), ""[-–]+$"", """")), """"), GOOGLETRANSLATE('AYIRA MINI MART FINAL MENU - Pr'!A740, ""ar"", ""en"")))"),"Erko Mallow Plus Fat-Free Ice Cream 100g – Erko Mallow Plus Fat-Free")</f>
        <v>Erko Mallow Plus Fat-Free Ice Cream 100g – Erko Mallow Plus Fat-Free</v>
      </c>
      <c r="B740" s="56" t="str">
        <f>IFERROR(__xludf.DUMMYFUNCTION("IF('AYIRA MINI MART FINAL MENU - Pr'!B740="""", """", IF(LEN(IFERROR(TRIM(REGEXREPLACE(TRIM(REGEXEXTRACT('AYIRA MINI MART FINAL MENU - Pr'!B740, ""^[^\x{0600}-\x{06FF}]+"")), ""[-–]+$"", """")), """"))&gt;0, IFERROR(TRIM(REGEXREPLACE(TRIM(REGEXEXTRACT('AYIRA"&amp;" MINI MART FINAL MENU - Pr'!B740, ""^[^\x{0600}-\x{06FF}]+"")), ""[-–]+$"", """")), """"), GOOGLETRANSLATE('AYIRA MINI MART FINAL MENU - Pr'!B740, ""ar"", ""en"")))"),"Candy |")</f>
        <v>Candy |</v>
      </c>
      <c r="C740" s="58">
        <f>IF('AYIRA MINI MART FINAL MENU - Pr'!C740="", "", 'AYIRA MINI MART FINAL MENU - Pr'!C740)</f>
        <v>14</v>
      </c>
      <c r="D740" s="56" t="str">
        <f>IFERROR(__xludf.DUMMYFUNCTION("IF('AYIRA MINI MART FINAL MENU - Pr'!D740="""", """", GOOGLETRANSLATE('AYIRA MINI MART FINAL MENU - Pr'!D740, ""ar"", ""en""))"),"Cool down on hot days with Erko Mallow Plus Fat-Free Ice Cream 100g, a delicious treat that will transport you to a world of refreshment and enjoyment. Its wonderful flavor and smooth, creamy texture melt in your mouth, leaving a delightful and unforgetta"&amp;"ble aftertaste. Perfect for children and adults alike, it's a great light dessert any time of day. Discover the secret to its unique taste and make it a part of your sunny day. Available fresh and preserved to the highest standards at Aira Mini Mart.")</f>
        <v>Cool down on hot days with Erko Mallow Plus Fat-Free Ice Cream 100g,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Available fresh and preserved to the highest standards at Aira Mini Mart.</v>
      </c>
      <c r="E740" s="56" t="str">
        <f>IF('AYIRA MINI MART FINAL MENU - Pr'!K740="", "", 'AYIRA MINI MART FINAL MENU - Pr'!K740)</f>
        <v/>
      </c>
      <c r="F740" s="56"/>
      <c r="G740" s="56"/>
      <c r="H740" s="56"/>
      <c r="I740" s="56"/>
      <c r="J740" s="56"/>
      <c r="L740" s="56" t="str">
        <f>IF('AYIRA MINI MART FINAL MENU - Pr'!L740="", "", 'AYIRA MINI MART FINAL MENU - Pr'!L740)</f>
        <v/>
      </c>
      <c r="M740" s="56" t="str">
        <f>IF('AYIRA MINI MART FINAL MENU - Pr'!M740="", "", 'AYIRA MINI MART FINAL MENU - Pr'!M740)</f>
        <v/>
      </c>
      <c r="N740" s="56" t="str">
        <f>IF('AYIRA MINI MART FINAL MENU - Pr'!N740="", "", 'AYIRA MINI MART FINAL MENU - Pr'!N740)</f>
        <v/>
      </c>
      <c r="O740" s="57"/>
      <c r="P740" s="57"/>
      <c r="Q740" s="57"/>
      <c r="R740" s="57"/>
      <c r="S740" s="57"/>
      <c r="T740" s="57"/>
      <c r="U740" s="57"/>
      <c r="V740" s="57"/>
      <c r="W740" s="57"/>
      <c r="X740" s="57"/>
      <c r="Y740" s="57"/>
      <c r="Z740" s="57"/>
    </row>
    <row r="741">
      <c r="A741" s="56" t="str">
        <f>IFERROR(__xludf.DUMMYFUNCTION("IF('AYIRA MINI MART FINAL MENU - Pr'!A741="""", """", IF(LEN(IFERROR(TRIM(REGEXREPLACE(TRIM(REGEXEXTRACT('AYIRA MINI MART FINAL MENU - Pr'!A741, ""^[^\x{0600}-\x{06FF}]+"")), ""[-–]+$"", """")), """"))&gt;0, IFERROR(TRIM(REGEXREPLACE(TRIM(REGEXEXTRACT('AYIRA"&amp;" MINI MART FINAL MENU - Pr'!A741, ""^[^\x{0600}-\x{06FF}]+"")), ""[-–]+$"", """")), """"), GOOGLETRANSLATE('AYIRA MINI MART FINAL MENU - Pr'!A741, ""ar"", ""en"")))"),"Ice Cream Jam-Filled Mallow 100g")</f>
        <v>Ice Cream Jam-Filled Mallow 100g</v>
      </c>
      <c r="B741" s="56" t="str">
        <f>IFERROR(__xludf.DUMMYFUNCTION("IF('AYIRA MINI MART FINAL MENU - Pr'!B741="""", """", IF(LEN(IFERROR(TRIM(REGEXREPLACE(TRIM(REGEXEXTRACT('AYIRA MINI MART FINAL MENU - Pr'!B741, ""^[^\x{0600}-\x{06FF}]+"")), ""[-–]+$"", """")), """"))&gt;0, IFERROR(TRIM(REGEXREPLACE(TRIM(REGEXEXTRACT('AYIRA"&amp;" MINI MART FINAL MENU - Pr'!B741, ""^[^\x{0600}-\x{06FF}]+"")), ""[-–]+$"", """")), """"), GOOGLETRANSLATE('AYIRA MINI MART FINAL MENU - Pr'!B741, ""ar"", ""en"")))"),"Candy |")</f>
        <v>Candy |</v>
      </c>
      <c r="C741" s="58">
        <f>IF('AYIRA MINI MART FINAL MENU - Pr'!C741="", "", 'AYIRA MINI MART FINAL MENU - Pr'!C741)</f>
        <v>6</v>
      </c>
      <c r="D741" s="56" t="str">
        <f>IFERROR(__xludf.DUMMYFUNCTION("IF('AYIRA MINI MART FINAL MENU - Pr'!D741="""", """", GOOGLETRANSLATE('AYIRA MINI MART FINAL MENU - Pr'!D741, ""ar"", ""en""))"),"Cool down on hot days with Ice Cream Jam-Filled Mallow 100g, a delicious treat that will transport you to a world of refreshment and enjoyment. Its wonderful flavor and smooth, creamy texture melt in your mouth, leaving a delightful and unforgettable afte"&amp;"rtaste. Perfect for children and adults alike, it's a great light dessert any time of day. Discover the secret to its unique taste and make it a part of your sunny day. Aira Mini Mart offers it fresh and preserved to the highest standards.")</f>
        <v>Cool down on hot days with Ice Cream Jam-Filled Mallow 100g, a delicious treat that will transport you to a world of refreshment and enjoyment. Its wonderful flavor and smooth, creamy texture melt in your mouth, leaving a delightful and unforgettable aftertaste. Perfect for children and adults alike, it's a great light dessert any time of day. Discover the secret to its unique taste and make it a part of your sunny day. Aira Mini Mart offers it fresh and preserved to the highest standards.</v>
      </c>
      <c r="E741" s="56" t="str">
        <f>IF('AYIRA MINI MART FINAL MENU - Pr'!K741="", "", 'AYIRA MINI MART FINAL MENU - Pr'!K741)</f>
        <v/>
      </c>
      <c r="F741" s="56"/>
      <c r="G741" s="56"/>
      <c r="H741" s="56"/>
      <c r="I741" s="56"/>
      <c r="J741" s="56"/>
      <c r="L741" s="56" t="str">
        <f>IF('AYIRA MINI MART FINAL MENU - Pr'!L741="", "", 'AYIRA MINI MART FINAL MENU - Pr'!L741)</f>
        <v/>
      </c>
      <c r="M741" s="56" t="str">
        <f>IF('AYIRA MINI MART FINAL MENU - Pr'!M741="", "", 'AYIRA MINI MART FINAL MENU - Pr'!M741)</f>
        <v/>
      </c>
      <c r="N741" s="56" t="str">
        <f>IF('AYIRA MINI MART FINAL MENU - Pr'!N741="", "", 'AYIRA MINI MART FINAL MENU - Pr'!N741)</f>
        <v/>
      </c>
      <c r="O741" s="57"/>
      <c r="P741" s="57"/>
      <c r="Q741" s="57"/>
      <c r="R741" s="57"/>
      <c r="S741" s="57"/>
      <c r="T741" s="57"/>
      <c r="U741" s="57"/>
      <c r="V741" s="57"/>
      <c r="W741" s="57"/>
      <c r="X741" s="57"/>
      <c r="Y741" s="57"/>
      <c r="Z741" s="57"/>
    </row>
    <row r="742">
      <c r="A742" s="56" t="str">
        <f>IFERROR(__xludf.DUMMYFUNCTION("IF('AYIRA MINI MART FINAL MENU - Pr'!A742="""", """", IF(LEN(IFERROR(TRIM(REGEXREPLACE(TRIM(REGEXEXTRACT('AYIRA MINI MART FINAL MENU - Pr'!A742, ""^[^\x{0600}-\x{06FF}]+"")), ""[-–]+$"", """")), """"))&gt;0, IFERROR(TRIM(REGEXREPLACE(TRIM(REGEXEXTRACT('AYIRA"&amp;" MINI MART FINAL MENU - Pr'!A742, ""^[^\x{0600}-\x{06FF}]+"")), ""[-–]+$"", """")), """"), GOOGLETRANSLATE('AYIRA MINI MART FINAL MENU - Pr'!A742, ""ar"", ""en"")))"),"Erko Mallow World Pink &amp; White Mallow 150g – Erko Mallow World Pink &amp;")</f>
        <v>Erko Mallow World Pink &amp; White Mallow 150g – Erko Mallow World Pink &amp;</v>
      </c>
      <c r="B742" s="56" t="str">
        <f>IFERROR(__xludf.DUMMYFUNCTION("IF('AYIRA MINI MART FINAL MENU - Pr'!B742="""", """", IF(LEN(IFERROR(TRIM(REGEXREPLACE(TRIM(REGEXEXTRACT('AYIRA MINI MART FINAL MENU - Pr'!B742, ""^[^\x{0600}-\x{06FF}]+"")), ""[-–]+$"", """")), """"))&gt;0, IFERROR(TRIM(REGEXREPLACE(TRIM(REGEXEXTRACT('AYIRA"&amp;" MINI MART FINAL MENU - Pr'!B742, ""^[^\x{0600}-\x{06FF}]+"")), ""[-–]+$"", """")), """"), GOOGLETRANSLATE('AYIRA MINI MART FINAL MENU - Pr'!B742, ""ar"", ""en"")))"),"Candy |")</f>
        <v>Candy |</v>
      </c>
      <c r="C742" s="58">
        <f>IF('AYIRA MINI MART FINAL MENU - Pr'!C742="", "", 'AYIRA MINI MART FINAL MENU - Pr'!C742)</f>
        <v>5</v>
      </c>
      <c r="D742" s="56" t="str">
        <f>IFERROR(__xludf.DUMMYFUNCTION("IF('AYIRA MINI MART FINAL MENU - Pr'!D742="""", """", GOOGLETRANSLATE('AYIRA MINI MART FINAL MENU - Pr'!D742, ""ar"", ""en""))"),"Don't be able to resist the taste of Erko Mallow World Pink &amp; White Mallow 150g, your perfect companion for relaxing and watching matches. Its unique crunch and diverse flavors make every handful a delightful experience. Prepared with the finest ingredien"&amp;"ts using the latest manufacturing techniques to ensure an unparalleled taste. Ideal as a snack for adults and children between meals. Aira Mini Mart offers it in the perfect size and flavor for you.")</f>
        <v>Don't be able to resist the taste of Erko Mallow World Pink &amp; White Mallow 150g,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742" s="56" t="str">
        <f>IF('AYIRA MINI MART FINAL MENU - Pr'!K742="", "", 'AYIRA MINI MART FINAL MENU - Pr'!K742)</f>
        <v/>
      </c>
      <c r="F742" s="56"/>
      <c r="G742" s="56"/>
      <c r="H742" s="56"/>
      <c r="I742" s="56"/>
      <c r="J742" s="56"/>
      <c r="L742" s="56" t="str">
        <f>IF('AYIRA MINI MART FINAL MENU - Pr'!L742="", "", 'AYIRA MINI MART FINAL MENU - Pr'!L742)</f>
        <v/>
      </c>
      <c r="M742" s="56" t="str">
        <f>IF('AYIRA MINI MART FINAL MENU - Pr'!M742="", "", 'AYIRA MINI MART FINAL MENU - Pr'!M742)</f>
        <v/>
      </c>
      <c r="N742" s="56" t="str">
        <f>IF('AYIRA MINI MART FINAL MENU - Pr'!N742="", "", 'AYIRA MINI MART FINAL MENU - Pr'!N742)</f>
        <v/>
      </c>
      <c r="O742" s="57"/>
      <c r="P742" s="57"/>
      <c r="Q742" s="57"/>
      <c r="R742" s="57"/>
      <c r="S742" s="57"/>
      <c r="T742" s="57"/>
      <c r="U742" s="57"/>
      <c r="V742" s="57"/>
      <c r="W742" s="57"/>
      <c r="X742" s="57"/>
      <c r="Y742" s="57"/>
      <c r="Z742" s="57"/>
    </row>
    <row r="743">
      <c r="A743" s="56" t="str">
        <f>IFERROR(__xludf.DUMMYFUNCTION("IF('AYIRA MINI MART FINAL MENU - Pr'!A743="""", """", IF(LEN(IFERROR(TRIM(REGEXREPLACE(TRIM(REGEXEXTRACT('AYIRA MINI MART FINAL MENU - Pr'!A743, ""^[^\x{0600}-\x{06FF}]+"")), ""[-–]+$"", """")), """"))&gt;0, IFERROR(TRIM(REGEXREPLACE(TRIM(REGEXEXTRACT('AYIRA"&amp;" MINI MART FINAL MENU - Pr'!A743, ""^[^\x{0600}-\x{06FF}]+"")), ""[-–]+$"", """")), """"), GOOGLETRANSLATE('AYIRA MINI MART FINAL MENU - Pr'!A743, ""ar"", ""en"")))"),"Erko Mallow World 120g – Erko Mallow World 120")</f>
        <v>Erko Mallow World 120g – Erko Mallow World 120</v>
      </c>
      <c r="B743" s="56" t="str">
        <f>IFERROR(__xludf.DUMMYFUNCTION("IF('AYIRA MINI MART FINAL MENU - Pr'!B743="""", """", IF(LEN(IFERROR(TRIM(REGEXREPLACE(TRIM(REGEXEXTRACT('AYIRA MINI MART FINAL MENU - Pr'!B743, ""^[^\x{0600}-\x{06FF}]+"")), ""[-–]+$"", """")), """"))&gt;0, IFERROR(TRIM(REGEXREPLACE(TRIM(REGEXEXTRACT('AYIRA"&amp;" MINI MART FINAL MENU - Pr'!B743, ""^[^\x{0600}-\x{06FF}]+"")), ""[-–]+$"", """")), """"), GOOGLETRANSLATE('AYIRA MINI MART FINAL MENU - Pr'!B743, ""ar"", ""en"")))"),"Candy |")</f>
        <v>Candy |</v>
      </c>
      <c r="C743" s="58">
        <f>IF('AYIRA MINI MART FINAL MENU - Pr'!C743="", "", 'AYIRA MINI MART FINAL MENU - Pr'!C743)</f>
        <v>6</v>
      </c>
      <c r="D743" s="56" t="str">
        <f>IFERROR(__xludf.DUMMYFUNCTION("IF('AYIRA MINI MART FINAL MENU - Pr'!D743="""", """", GOOGLETRANSLATE('AYIRA MINI MART FINAL MENU - Pr'!D743, ""ar"", ""en""))"),"Don't be able to resist the taste of Erko Mallow World 120g, your perfect companion for relaxing and watching matches. Its unique crunch and diverse flavors make every handful a delightful experience. Prepared with the finest ingredients using the latest "&amp;"manufacturing techniques to guarantee an unparalleled taste. Ideal as a snack for adults and children alike between meals. Aira Mini Mart offers it in the perfect size and flavor for you.")</f>
        <v>Don't be able to resist the taste of Erko Mallow World 120g,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743" s="56" t="str">
        <f>IF('AYIRA MINI MART FINAL MENU - Pr'!K743="", "", 'AYIRA MINI MART FINAL MENU - Pr'!K743)</f>
        <v/>
      </c>
      <c r="F743" s="56"/>
      <c r="G743" s="56"/>
      <c r="H743" s="56"/>
      <c r="I743" s="56"/>
      <c r="J743" s="56"/>
      <c r="L743" s="56" t="str">
        <f>IF('AYIRA MINI MART FINAL MENU - Pr'!L743="", "", 'AYIRA MINI MART FINAL MENU - Pr'!L743)</f>
        <v/>
      </c>
      <c r="M743" s="56" t="str">
        <f>IF('AYIRA MINI MART FINAL MENU - Pr'!M743="", "", 'AYIRA MINI MART FINAL MENU - Pr'!M743)</f>
        <v/>
      </c>
      <c r="N743" s="56" t="str">
        <f>IF('AYIRA MINI MART FINAL MENU - Pr'!N743="", "", 'AYIRA MINI MART FINAL MENU - Pr'!N743)</f>
        <v/>
      </c>
      <c r="O743" s="57"/>
      <c r="P743" s="57"/>
      <c r="Q743" s="57"/>
      <c r="R743" s="57"/>
      <c r="S743" s="57"/>
      <c r="T743" s="57"/>
      <c r="U743" s="57"/>
      <c r="V743" s="57"/>
      <c r="W743" s="57"/>
      <c r="X743" s="57"/>
      <c r="Y743" s="57"/>
      <c r="Z743" s="57"/>
    </row>
    <row r="744">
      <c r="A744" s="56" t="str">
        <f>IFERROR(__xludf.DUMMYFUNCTION("IF('AYIRA MINI MART FINAL MENU - Pr'!A744="""", """", IF(LEN(IFERROR(TRIM(REGEXREPLACE(TRIM(REGEXEXTRACT('AYIRA MINI MART FINAL MENU - Pr'!A744, ""^[^\x{0600}-\x{06FF}]+"")), ""[-–]+$"", """")), """"))&gt;0, IFERROR(TRIM(REGEXREPLACE(TRIM(REGEXEXTRACT('AYIRA"&amp;" MINI MART FINAL MENU - Pr'!A744, ""^[^\x{0600}-\x{06FF}]+"")), ""[-–]+$"", """")), """"), GOOGLETRANSLATE('AYIRA MINI MART FINAL MENU - Pr'!A744, ""ar"", ""en"")))"),"Schogetten Alpine Milk Chocolate 100g – Schogetten Alpine")</f>
        <v>Schogetten Alpine Milk Chocolate 100g – Schogetten Alpine</v>
      </c>
      <c r="B744" s="56" t="str">
        <f>IFERROR(__xludf.DUMMYFUNCTION("IF('AYIRA MINI MART FINAL MENU - Pr'!B744="""", """", IF(LEN(IFERROR(TRIM(REGEXREPLACE(TRIM(REGEXEXTRACT('AYIRA MINI MART FINAL MENU - Pr'!B744, ""^[^\x{0600}-\x{06FF}]+"")), ""[-–]+$"", """")), """"))&gt;0, IFERROR(TRIM(REGEXREPLACE(TRIM(REGEXEXTRACT('AYIRA"&amp;" MINI MART FINAL MENU - Pr'!B744, ""^[^\x{0600}-\x{06FF}]+"")), ""[-–]+$"", """")), """"), GOOGLETRANSLATE('AYIRA MINI MART FINAL MENU - Pr'!B744, ""ar"", ""en"")))"),"Chocolates")</f>
        <v>Chocolates</v>
      </c>
      <c r="C744" s="58">
        <f>IF('AYIRA MINI MART FINAL MENU - Pr'!C744="", "", 'AYIRA MINI MART FINAL MENU - Pr'!C744)</f>
        <v>10</v>
      </c>
      <c r="D744" s="56" t="str">
        <f>IFERROR(__xludf.DUMMYFUNCTION("IF('AYIRA MINI MART FINAL MENU - Pr'!D744="""", """", GOOGLETRANSLATE('AYIRA MINI MART FINAL MENU - Pr'!D744, ""ar"", ""en""))"),"Indulge your senses with Schogetten Alpine Milk Chocolate 100g, a luxurious chocolate that combines rich flavor with a perfect texture. Made from the finest selected cocoa beans, it delivers an exceptional dessert experience every time. Whether you're loo"&amp;"king for a special gift or want to treat yourself, this chocolate is the perfect choice. Savor every piece and immerse yourself in a world of smoothness and sweetness. Get yours from Aira Mini Mart and experience moments of pure delight.")</f>
        <v>Indulge your senses with Schogetten Alpine Milk Chocolate 100g,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44" s="56" t="str">
        <f>IF('AYIRA MINI MART FINAL MENU - Pr'!K744="", "", 'AYIRA MINI MART FINAL MENU - Pr'!K744)</f>
        <v/>
      </c>
      <c r="F744" s="56"/>
      <c r="G744" s="56"/>
      <c r="H744" s="56"/>
      <c r="I744" s="56"/>
      <c r="J744" s="56"/>
      <c r="L744" s="56" t="str">
        <f>IF('AYIRA MINI MART FINAL MENU - Pr'!L744="", "", 'AYIRA MINI MART FINAL MENU - Pr'!L744)</f>
        <v/>
      </c>
      <c r="M744" s="56" t="str">
        <f>IF('AYIRA MINI MART FINAL MENU - Pr'!M744="", "", 'AYIRA MINI MART FINAL MENU - Pr'!M744)</f>
        <v/>
      </c>
      <c r="N744" s="56" t="str">
        <f>IF('AYIRA MINI MART FINAL MENU - Pr'!N744="", "", 'AYIRA MINI MART FINAL MENU - Pr'!N744)</f>
        <v/>
      </c>
      <c r="O744" s="57"/>
      <c r="P744" s="57"/>
      <c r="Q744" s="57"/>
      <c r="R744" s="57"/>
      <c r="S744" s="57"/>
      <c r="T744" s="57"/>
      <c r="U744" s="57"/>
      <c r="V744" s="57"/>
      <c r="W744" s="57"/>
      <c r="X744" s="57"/>
      <c r="Y744" s="57"/>
      <c r="Z744" s="57"/>
    </row>
    <row r="745">
      <c r="A745" s="56" t="str">
        <f>IFERROR(__xludf.DUMMYFUNCTION("IF('AYIRA MINI MART FINAL MENU - Pr'!A745="""", """", IF(LEN(IFERROR(TRIM(REGEXREPLACE(TRIM(REGEXEXTRACT('AYIRA MINI MART FINAL MENU - Pr'!A745, ""^[^\x{0600}-\x{06FF}]+"")), ""[-–]+$"", """")), """"))&gt;0, IFERROR(TRIM(REGEXREPLACE(TRIM(REGEXEXTRACT('AYIRA"&amp;" MINI MART FINAL MENU - Pr'!A745, ""^[^\x{0600}-\x{06FF}]+"")), ""[-–]+$"", """")), """"), GOOGLETRANSLATE('AYIRA MINI MART FINAL MENU - Pr'!A745, ""ar"", ""en"")))"),"Schogetten Dark Chocolate 100g – Schogetten")</f>
        <v>Schogetten Dark Chocolate 100g – Schogetten</v>
      </c>
      <c r="B745" s="56" t="str">
        <f>IFERROR(__xludf.DUMMYFUNCTION("IF('AYIRA MINI MART FINAL MENU - Pr'!B745="""", """", IF(LEN(IFERROR(TRIM(REGEXREPLACE(TRIM(REGEXEXTRACT('AYIRA MINI MART FINAL MENU - Pr'!B745, ""^[^\x{0600}-\x{06FF}]+"")), ""[-–]+$"", """")), """"))&gt;0, IFERROR(TRIM(REGEXREPLACE(TRIM(REGEXEXTRACT('AYIRA"&amp;" MINI MART FINAL MENU - Pr'!B745, ""^[^\x{0600}-\x{06FF}]+"")), ""[-–]+$"", """")), """"), GOOGLETRANSLATE('AYIRA MINI MART FINAL MENU - Pr'!B745, ""ar"", ""en"")))"),"Chocolates")</f>
        <v>Chocolates</v>
      </c>
      <c r="C745" s="58">
        <f>IF('AYIRA MINI MART FINAL MENU - Pr'!C745="", "", 'AYIRA MINI MART FINAL MENU - Pr'!C745)</f>
        <v>10</v>
      </c>
      <c r="D745" s="56" t="str">
        <f>IFERROR(__xludf.DUMMYFUNCTION("IF('AYIRA MINI MART FINAL MENU - Pr'!D745="""", """", GOOGLETRANSLATE('AYIRA MINI MART FINAL MENU - Pr'!D745, ""ar"", ""en""))"),"Indulge your senses with Schogetten Dark Chocolate 100g, a luxurious chocolate that blends rich flavor with a perfect texture. Made from the finest selected cocoa beans, it delivers an exceptional dessert experience every time. Whether you're looking for "&amp;"a special gift or want to treat yourself, this chocolate is the perfect choice. Savor every piece and immerse yourself in a world of smoothness and sweetness. Get yours from Aira Mini Mart and experience moments of pure delight.")</f>
        <v>Indulge your senses with Schogetten Dark Chocolate 100g,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45" s="56" t="str">
        <f>IF('AYIRA MINI MART FINAL MENU - Pr'!K745="", "", 'AYIRA MINI MART FINAL MENU - Pr'!K745)</f>
        <v/>
      </c>
      <c r="F745" s="56"/>
      <c r="G745" s="56"/>
      <c r="H745" s="56"/>
      <c r="I745" s="56"/>
      <c r="J745" s="56"/>
      <c r="L745" s="56" t="str">
        <f>IF('AYIRA MINI MART FINAL MENU - Pr'!L745="", "", 'AYIRA MINI MART FINAL MENU - Pr'!L745)</f>
        <v/>
      </c>
      <c r="M745" s="56" t="str">
        <f>IF('AYIRA MINI MART FINAL MENU - Pr'!M745="", "", 'AYIRA MINI MART FINAL MENU - Pr'!M745)</f>
        <v/>
      </c>
      <c r="N745" s="56" t="str">
        <f>IF('AYIRA MINI MART FINAL MENU - Pr'!N745="", "", 'AYIRA MINI MART FINAL MENU - Pr'!N745)</f>
        <v/>
      </c>
      <c r="O745" s="57"/>
      <c r="P745" s="57"/>
      <c r="Q745" s="57"/>
      <c r="R745" s="57"/>
      <c r="S745" s="57"/>
      <c r="T745" s="57"/>
      <c r="U745" s="57"/>
      <c r="V745" s="57"/>
      <c r="W745" s="57"/>
      <c r="X745" s="57"/>
      <c r="Y745" s="57"/>
      <c r="Z745" s="57"/>
    </row>
    <row r="746">
      <c r="A746" s="56" t="str">
        <f>IFERROR(__xludf.DUMMYFUNCTION("IF('AYIRA MINI MART FINAL MENU - Pr'!A746="""", """", IF(LEN(IFERROR(TRIM(REGEXREPLACE(TRIM(REGEXEXTRACT('AYIRA MINI MART FINAL MENU - Pr'!A746, ""^[^\x{0600}-\x{06FF}]+"")), ""[-–]+$"", """")), """"))&gt;0, IFERROR(TRIM(REGEXREPLACE(TRIM(REGEXEXTRACT('AYIRA"&amp;" MINI MART FINAL MENU - Pr'!A746, ""^[^\x{0600}-\x{06FF}]+"")), ""[-–]+$"", """")), """"), GOOGLETRANSLATE('AYIRA MINI MART FINAL MENU - Pr'!A746, ""ar"", ""en"")))"),"Schogetten Alpine Milk Chocolate with Hazelnuts 100g – Schogetten Alpine")</f>
        <v>Schogetten Alpine Milk Chocolate with Hazelnuts 100g – Schogetten Alpine</v>
      </c>
      <c r="B746" s="56" t="str">
        <f>IFERROR(__xludf.DUMMYFUNCTION("IF('AYIRA MINI MART FINAL MENU - Pr'!B746="""", """", IF(LEN(IFERROR(TRIM(REGEXREPLACE(TRIM(REGEXEXTRACT('AYIRA MINI MART FINAL MENU - Pr'!B746, ""^[^\x{0600}-\x{06FF}]+"")), ""[-–]+$"", """")), """"))&gt;0, IFERROR(TRIM(REGEXREPLACE(TRIM(REGEXEXTRACT('AYIRA"&amp;" MINI MART FINAL MENU - Pr'!B746, ""^[^\x{0600}-\x{06FF}]+"")), ""[-–]+$"", """")), """"), GOOGLETRANSLATE('AYIRA MINI MART FINAL MENU - Pr'!B746, ""ar"", ""en"")))"),"Chocolates")</f>
        <v>Chocolates</v>
      </c>
      <c r="C746" s="58">
        <f>IF('AYIRA MINI MART FINAL MENU - Pr'!C746="", "", 'AYIRA MINI MART FINAL MENU - Pr'!C746)</f>
        <v>10</v>
      </c>
      <c r="D746" s="56" t="str">
        <f>IFERROR(__xludf.DUMMYFUNCTION("IF('AYIRA MINI MART FINAL MENU - Pr'!D746="""", """", GOOGLETRANSLATE('AYIRA MINI MART FINAL MENU - Pr'!D746, ""ar"", ""en""))"),"Indulge your senses with Schogetten Alpine Milk Chocolate with Hazelnuts 100g, a luxurious chocolate that combines rich flavor with a perfect texture. Made from the finest selected cocoa beans, it delivers an exceptional dessert experience every time. Whe"&amp;"ther you're looking for a special gift or want to treat yourself, this chocolate is the perfect choice. Savor every piece and immerse yourself in a world of smoothness and sweetness. Get yours from Aira Mini Mart and experience moments of pure delight.")</f>
        <v>Indulge your senses with Schogetten Alpine Milk Chocolate with Hazelnuts 100g,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46" s="56" t="str">
        <f>IF('AYIRA MINI MART FINAL MENU - Pr'!K746="", "", 'AYIRA MINI MART FINAL MENU - Pr'!K746)</f>
        <v/>
      </c>
      <c r="F746" s="56"/>
      <c r="G746" s="56"/>
      <c r="H746" s="56"/>
      <c r="I746" s="56"/>
      <c r="J746" s="56"/>
      <c r="L746" s="56" t="str">
        <f>IF('AYIRA MINI MART FINAL MENU - Pr'!L746="", "", 'AYIRA MINI MART FINAL MENU - Pr'!L746)</f>
        <v/>
      </c>
      <c r="M746" s="56" t="str">
        <f>IF('AYIRA MINI MART FINAL MENU - Pr'!M746="", "", 'AYIRA MINI MART FINAL MENU - Pr'!M746)</f>
        <v/>
      </c>
      <c r="N746" s="56" t="str">
        <f>IF('AYIRA MINI MART FINAL MENU - Pr'!N746="", "", 'AYIRA MINI MART FINAL MENU - Pr'!N746)</f>
        <v/>
      </c>
      <c r="O746" s="57"/>
      <c r="P746" s="57"/>
      <c r="Q746" s="57"/>
      <c r="R746" s="57"/>
      <c r="S746" s="57"/>
      <c r="T746" s="57"/>
      <c r="U746" s="57"/>
      <c r="V746" s="57"/>
      <c r="W746" s="57"/>
      <c r="X746" s="57"/>
      <c r="Y746" s="57"/>
      <c r="Z746" s="57"/>
    </row>
    <row r="747">
      <c r="A747" s="56" t="str">
        <f>IFERROR(__xludf.DUMMYFUNCTION("IF('AYIRA MINI MART FINAL MENU - Pr'!A747="""", """", IF(LEN(IFERROR(TRIM(REGEXREPLACE(TRIM(REGEXEXTRACT('AYIRA MINI MART FINAL MENU - Pr'!A747, ""^[^\x{0600}-\x{06FF}]+"")), ""[-–]+$"", """")), """"))&gt;0, IFERROR(TRIM(REGEXREPLACE(TRIM(REGEXEXTRACT('AYIRA"&amp;" MINI MART FINAL MENU - Pr'!A747, ""^[^\x{0600}-\x{06FF}]+"")), ""[-–]+$"", """")), """"), GOOGLETRANSLATE('AYIRA MINI MART FINAL MENU - Pr'!A747, ""ar"", ""en"")))"),"Schogetten Praline Noisettes 100g – Schogetten Praline Noisettes 100")</f>
        <v>Schogetten Praline Noisettes 100g – Schogetten Praline Noisettes 100</v>
      </c>
      <c r="B747" s="56" t="str">
        <f>IFERROR(__xludf.DUMMYFUNCTION("IF('AYIRA MINI MART FINAL MENU - Pr'!B747="""", """", IF(LEN(IFERROR(TRIM(REGEXREPLACE(TRIM(REGEXEXTRACT('AYIRA MINI MART FINAL MENU - Pr'!B747, ""^[^\x{0600}-\x{06FF}]+"")), ""[-–]+$"", """")), """"))&gt;0, IFERROR(TRIM(REGEXREPLACE(TRIM(REGEXEXTRACT('AYIRA"&amp;" MINI MART FINAL MENU - Pr'!B747, ""^[^\x{0600}-\x{06FF}]+"")), ""[-–]+$"", """")), """"), GOOGLETRANSLATE('AYIRA MINI MART FINAL MENU - Pr'!B747, ""ar"", ""en"")))"),"Chocolates")</f>
        <v>Chocolates</v>
      </c>
      <c r="C747" s="58">
        <f>IF('AYIRA MINI MART FINAL MENU - Pr'!C747="", "", 'AYIRA MINI MART FINAL MENU - Pr'!C747)</f>
        <v>10</v>
      </c>
      <c r="D747" s="56" t="str">
        <f>IFERROR(__xludf.DUMMYFUNCTION("IF('AYIRA MINI MART FINAL MENU - Pr'!D747="""", """", GOOGLETRANSLATE('AYIRA MINI MART FINAL MENU - Pr'!D747, ""ar"", ""en""))"),"Don't be able to resist the taste of Schogetten Praline Noisettes 100g, your perfect companion for relaxing and watching matches. Their unique crunch and varied flavors make every handful a delightful experience. Prepared with the finest ingredients using"&amp;" the latest manufacturing techniques to guarantee an unparalleled taste. Ideal as a snack for adults and children alike between meals. Aira Mini Mart offers them in the perfect size and flavor for you.")</f>
        <v>Don't be able to resist the taste of Schogetten Praline Noisettes 100g, your perfect companion for relaxing and watching matches.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747" s="56" t="str">
        <f>IF('AYIRA MINI MART FINAL MENU - Pr'!K747="", "", 'AYIRA MINI MART FINAL MENU - Pr'!K747)</f>
        <v/>
      </c>
      <c r="F747" s="56"/>
      <c r="G747" s="56"/>
      <c r="H747" s="56"/>
      <c r="I747" s="56"/>
      <c r="J747" s="56"/>
      <c r="L747" s="56" t="str">
        <f>IF('AYIRA MINI MART FINAL MENU - Pr'!L747="", "", 'AYIRA MINI MART FINAL MENU - Pr'!L747)</f>
        <v/>
      </c>
      <c r="M747" s="56" t="str">
        <f>IF('AYIRA MINI MART FINAL MENU - Pr'!M747="", "", 'AYIRA MINI MART FINAL MENU - Pr'!M747)</f>
        <v/>
      </c>
      <c r="N747" s="56" t="str">
        <f>IF('AYIRA MINI MART FINAL MENU - Pr'!N747="", "", 'AYIRA MINI MART FINAL MENU - Pr'!N747)</f>
        <v/>
      </c>
      <c r="O747" s="57"/>
      <c r="P747" s="57"/>
      <c r="Q747" s="57"/>
      <c r="R747" s="57"/>
      <c r="S747" s="57"/>
      <c r="T747" s="57"/>
      <c r="U747" s="57"/>
      <c r="V747" s="57"/>
      <c r="W747" s="57"/>
      <c r="X747" s="57"/>
      <c r="Y747" s="57"/>
      <c r="Z747" s="57"/>
    </row>
    <row r="748">
      <c r="A748" s="56" t="str">
        <f>IFERROR(__xludf.DUMMYFUNCTION("IF('AYIRA MINI MART FINAL MENU - Pr'!A748="""", """", IF(LEN(IFERROR(TRIM(REGEXREPLACE(TRIM(REGEXEXTRACT('AYIRA MINI MART FINAL MENU - Pr'!A748, ""^[^\x{0600}-\x{06FF}]+"")), ""[-–]+$"", """")), """"))&gt;0, IFERROR(TRIM(REGEXREPLACE(TRIM(REGEXEXTRACT('AYIRA"&amp;" MINI MART FINAL MENU - Pr'!A748, ""^[^\x{0600}-\x{06FF}]+"")), ""[-–]+$"", """")), """"), GOOGLETRANSLATE('AYIRA MINI MART FINAL MENU - Pr'!A748, ""ar"", ""en"")))"),"Schogetten White Chocolate 100g – Schogetten")</f>
        <v>Schogetten White Chocolate 100g – Schogetten</v>
      </c>
      <c r="B748" s="56" t="str">
        <f>IFERROR(__xludf.DUMMYFUNCTION("IF('AYIRA MINI MART FINAL MENU - Pr'!B748="""", """", IF(LEN(IFERROR(TRIM(REGEXREPLACE(TRIM(REGEXEXTRACT('AYIRA MINI MART FINAL MENU - Pr'!B748, ""^[^\x{0600}-\x{06FF}]+"")), ""[-–]+$"", """")), """"))&gt;0, IFERROR(TRIM(REGEXREPLACE(TRIM(REGEXEXTRACT('AYIRA"&amp;" MINI MART FINAL MENU - Pr'!B748, ""^[^\x{0600}-\x{06FF}]+"")), ""[-–]+$"", """")), """"), GOOGLETRANSLATE('AYIRA MINI MART FINAL MENU - Pr'!B748, ""ar"", ""en"")))"),"Chocolates")</f>
        <v>Chocolates</v>
      </c>
      <c r="C748" s="58">
        <f>IF('AYIRA MINI MART FINAL MENU - Pr'!C748="", "", 'AYIRA MINI MART FINAL MENU - Pr'!C748)</f>
        <v>10</v>
      </c>
      <c r="D748" s="56" t="str">
        <f>IFERROR(__xludf.DUMMYFUNCTION("IF('AYIRA MINI MART FINAL MENU - Pr'!D748="""", """", GOOGLETRANSLATE('AYIRA MINI MART FINAL MENU - Pr'!D748, ""ar"", ""en""))"),"Indulge your senses with Schogetten White Chocolate 100g, a luxurious chocolate that blends rich flavor with a perfect texture. Made from the finest selected cocoa beans, it delivers an exceptional dessert experience every time. Whether you're looking for"&amp;" a special gift or want to treat yourself, this chocolate is the perfect choice. Savor every piece and immerse yourself in a world of smoothness and sweetness. Get yours from Aira Mini Mart and experience moments of pure delight.")</f>
        <v>Indulge your senses with Schogetten White Chocolate 100g,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48" s="56" t="str">
        <f>IF('AYIRA MINI MART FINAL MENU - Pr'!K748="", "", 'AYIRA MINI MART FINAL MENU - Pr'!K748)</f>
        <v/>
      </c>
      <c r="F748" s="56"/>
      <c r="G748" s="56"/>
      <c r="H748" s="56"/>
      <c r="I748" s="56"/>
      <c r="J748" s="56"/>
      <c r="L748" s="56" t="str">
        <f>IF('AYIRA MINI MART FINAL MENU - Pr'!L748="", "", 'AYIRA MINI MART FINAL MENU - Pr'!L748)</f>
        <v/>
      </c>
      <c r="M748" s="56" t="str">
        <f>IF('AYIRA MINI MART FINAL MENU - Pr'!M748="", "", 'AYIRA MINI MART FINAL MENU - Pr'!M748)</f>
        <v/>
      </c>
      <c r="N748" s="56" t="str">
        <f>IF('AYIRA MINI MART FINAL MENU - Pr'!N748="", "", 'AYIRA MINI MART FINAL MENU - Pr'!N748)</f>
        <v/>
      </c>
      <c r="O748" s="57"/>
      <c r="P748" s="57"/>
      <c r="Q748" s="57"/>
      <c r="R748" s="57"/>
      <c r="S748" s="57"/>
      <c r="T748" s="57"/>
      <c r="U748" s="57"/>
      <c r="V748" s="57"/>
      <c r="W748" s="57"/>
      <c r="X748" s="57"/>
      <c r="Y748" s="57"/>
      <c r="Z748" s="57"/>
    </row>
    <row r="749">
      <c r="A749" s="56" t="str">
        <f>IFERROR(__xludf.DUMMYFUNCTION("IF('AYIRA MINI MART FINAL MENU - Pr'!A749="""", """", IF(LEN(IFERROR(TRIM(REGEXREPLACE(TRIM(REGEXEXTRACT('AYIRA MINI MART FINAL MENU - Pr'!A749, ""^[^\x{0600}-\x{06FF}]+"")), ""[-–]+$"", """")), """"))&gt;0, IFERROR(TRIM(REGEXREPLACE(TRIM(REGEXEXTRACT('AYIRA"&amp;" MINI MART FINAL MENU - Pr'!A749, ""^[^\x{0600}-\x{06FF}]+"")), ""[-–]+$"", """")), """"), GOOGLETRANSLATE('AYIRA MINI MART FINAL MENU - Pr'!A749, ""ar"", ""en"")))"),"Skittles Tropical 38g")</f>
        <v>Skittles Tropical 38g</v>
      </c>
      <c r="B749" s="56" t="str">
        <f>IFERROR(__xludf.DUMMYFUNCTION("IF('AYIRA MINI MART FINAL MENU - Pr'!B749="""", """", IF(LEN(IFERROR(TRIM(REGEXREPLACE(TRIM(REGEXEXTRACT('AYIRA MINI MART FINAL MENU - Pr'!B749, ""^[^\x{0600}-\x{06FF}]+"")), ""[-–]+$"", """")), """"))&gt;0, IFERROR(TRIM(REGEXREPLACE(TRIM(REGEXEXTRACT('AYIRA"&amp;" MINI MART FINAL MENU - Pr'!B749, ""^[^\x{0600}-\x{06FF}]+"")), ""[-–]+$"", """")), """"), GOOGLETRANSLATE('AYIRA MINI MART FINAL MENU - Pr'!B749, ""ar"", ""en"")))"),"Chocolates")</f>
        <v>Chocolates</v>
      </c>
      <c r="C749" s="58">
        <f>IF('AYIRA MINI MART FINAL MENU - Pr'!C749="", "", 'AYIRA MINI MART FINAL MENU - Pr'!C749)</f>
        <v>2.5</v>
      </c>
      <c r="D749" s="56" t="str">
        <f>IFERROR(__xludf.DUMMYFUNCTION("IF('AYIRA MINI MART FINAL MENU - Pr'!D749="""", """", GOOGLETRANSLATE('AYIRA MINI MART FINAL MENU - Pr'!D749, ""ar"", ""en""))"),"Add a sweet moment to your day with Skittles, the delicious treat loved by everyone. Their variety of flavors and vibrant colors make them suitable for all ages. Perfect as a small treat or a light gift for friends and family. Made with high quality ingre"&amp;"dients to ensure great taste in every single one. Get them from Aira Mini Mart and spread the joy to your loved ones.")</f>
        <v>Add a sweet moment to your day with Skittles, the delicious treat loved by everyone. Their variety of flavors and vibrant colors make them suitable for all ages. Perfect as a small treat or a light gift for friends and family. Made with high quality ingredients to ensure great taste in every single one. Get them from Aira Mini Mart and spread the joy to your loved ones.</v>
      </c>
      <c r="E749" s="58" t="str">
        <f>IF('AYIRA MINI MART FINAL MENU - Pr'!K749="", "", 'AYIRA MINI MART FINAL MENU - Pr'!K749)</f>
        <v/>
      </c>
      <c r="F749" s="56"/>
      <c r="G749" s="56"/>
      <c r="H749" s="56"/>
      <c r="I749" s="56"/>
      <c r="J749" s="56"/>
      <c r="L749" s="56" t="str">
        <f>IF('AYIRA MINI MART FINAL MENU - Pr'!L749="", "", 'AYIRA MINI MART FINAL MENU - Pr'!L749)</f>
        <v/>
      </c>
      <c r="M749" s="56" t="str">
        <f>IF('AYIRA MINI MART FINAL MENU - Pr'!M749="", "", 'AYIRA MINI MART FINAL MENU - Pr'!M749)</f>
        <v/>
      </c>
      <c r="N749" s="56" t="str">
        <f>IF('AYIRA MINI MART FINAL MENU - Pr'!N749="", "", 'AYIRA MINI MART FINAL MENU - Pr'!N749)</f>
        <v/>
      </c>
      <c r="O749" s="57"/>
      <c r="P749" s="57"/>
      <c r="Q749" s="57"/>
      <c r="R749" s="57"/>
      <c r="S749" s="57"/>
      <c r="T749" s="57"/>
      <c r="U749" s="57"/>
      <c r="V749" s="57"/>
      <c r="W749" s="57"/>
      <c r="X749" s="57"/>
      <c r="Y749" s="57"/>
      <c r="Z749" s="57"/>
    </row>
    <row r="750">
      <c r="A750" s="56" t="str">
        <f>IFERROR(__xludf.DUMMYFUNCTION("IF('AYIRA MINI MART FINAL MENU - Pr'!A750="""", """", IF(LEN(IFERROR(TRIM(REGEXREPLACE(TRIM(REGEXEXTRACT('AYIRA MINI MART FINAL MENU - Pr'!A750, ""^[^\x{0600}-\x{06FF}]+"")), ""[-–]+$"", """")), """"))&gt;0, IFERROR(TRIM(REGEXREPLACE(TRIM(REGEXEXTRACT('AYIRA"&amp;" MINI MART FINAL MENU - Pr'!A750, ""^[^\x{0600}-\x{06FF}]+"")), ""[-–]+$"", """")), """"), GOOGLETRANSLATE('AYIRA MINI MART FINAL MENU - Pr'!A750, ""ar"", ""en"")))"),"Skittles Crazy Sours 38g")</f>
        <v>Skittles Crazy Sours 38g</v>
      </c>
      <c r="B750" s="56" t="str">
        <f>IFERROR(__xludf.DUMMYFUNCTION("IF('AYIRA MINI MART FINAL MENU - Pr'!B750="""", """", IF(LEN(IFERROR(TRIM(REGEXREPLACE(TRIM(REGEXEXTRACT('AYIRA MINI MART FINAL MENU - Pr'!B750, ""^[^\x{0600}-\x{06FF}]+"")), ""[-–]+$"", """")), """"))&gt;0, IFERROR(TRIM(REGEXREPLACE(TRIM(REGEXEXTRACT('AYIRA"&amp;" MINI MART FINAL MENU - Pr'!B750, ""^[^\x{0600}-\x{06FF}]+"")), ""[-–]+$"", """")), """"), GOOGLETRANSLATE('AYIRA MINI MART FINAL MENU - Pr'!B750, ""ar"", ""en"")))"),"Chocolates")</f>
        <v>Chocolates</v>
      </c>
      <c r="C750" s="58">
        <f>IF('AYIRA MINI MART FINAL MENU - Pr'!C750="", "", 'AYIRA MINI MART FINAL MENU - Pr'!C750)</f>
        <v>2.5</v>
      </c>
      <c r="D750" s="56" t="str">
        <f>IFERROR(__xludf.DUMMYFUNCTION("IF('AYIRA MINI MART FINAL MENU - Pr'!D750="""", """", GOOGLETRANSLATE('AYIRA MINI MART FINAL MENU - Pr'!D750, ""ar"", ""en""))"),"Add a sweet moment to your day with Skittles, the delicious treat loved by everyone. Their variety of flavors and vibrant colors make them suitable for all ages. Perfect as a small treat or a light gift for friends and family. Made with high quality ingre"&amp;"dients to ensure great taste in every single one. Get them from Aira Mini Mart and spread the joy to your loved ones.")</f>
        <v>Add a sweet moment to your day with Skittles, the delicious treat loved by everyone. Their variety of flavors and vibrant colors make them suitable for all ages. Perfect as a small treat or a light gift for friends and family. Made with high quality ingredients to ensure great taste in every single one. Get them from Aira Mini Mart and spread the joy to your loved ones.</v>
      </c>
      <c r="E750" s="58" t="str">
        <f>IF('AYIRA MINI MART FINAL MENU - Pr'!K750="", "", 'AYIRA MINI MART FINAL MENU - Pr'!K750)</f>
        <v/>
      </c>
      <c r="F750" s="56"/>
      <c r="G750" s="56"/>
      <c r="H750" s="56"/>
      <c r="I750" s="56"/>
      <c r="J750" s="56"/>
      <c r="L750" s="56" t="str">
        <f>IF('AYIRA MINI MART FINAL MENU - Pr'!L750="", "", 'AYIRA MINI MART FINAL MENU - Pr'!L750)</f>
        <v/>
      </c>
      <c r="M750" s="56" t="str">
        <f>IF('AYIRA MINI MART FINAL MENU - Pr'!M750="", "", 'AYIRA MINI MART FINAL MENU - Pr'!M750)</f>
        <v/>
      </c>
      <c r="N750" s="56" t="str">
        <f>IF('AYIRA MINI MART FINAL MENU - Pr'!N750="", "", 'AYIRA MINI MART FINAL MENU - Pr'!N750)</f>
        <v/>
      </c>
      <c r="O750" s="57"/>
      <c r="P750" s="57"/>
      <c r="Q750" s="57"/>
      <c r="R750" s="57"/>
      <c r="S750" s="57"/>
      <c r="T750" s="57"/>
      <c r="U750" s="57"/>
      <c r="V750" s="57"/>
      <c r="W750" s="57"/>
      <c r="X750" s="57"/>
      <c r="Y750" s="57"/>
      <c r="Z750" s="57"/>
    </row>
    <row r="751">
      <c r="A751" s="56" t="str">
        <f>IFERROR(__xludf.DUMMYFUNCTION("IF('AYIRA MINI MART FINAL MENU - Pr'!A751="""", """", IF(LEN(IFERROR(TRIM(REGEXREPLACE(TRIM(REGEXEXTRACT('AYIRA MINI MART FINAL MENU - Pr'!A751, ""^[^\x{0600}-\x{06FF}]+"")), ""[-–]+$"", """")), """"))&gt;0, IFERROR(TRIM(REGEXREPLACE(TRIM(REGEXEXTRACT('AYIRA"&amp;" MINI MART FINAL MENU - Pr'!A751, ""^[^\x{0600}-\x{06FF}]+"")), ""[-–]+$"", """")), """"), GOOGLETRANSLATE('AYIRA MINI MART FINAL MENU - Pr'!A751, ""ar"", ""en"")))"),"Skittles Smoothies 38g")</f>
        <v>Skittles Smoothies 38g</v>
      </c>
      <c r="B751" s="56" t="str">
        <f>IFERROR(__xludf.DUMMYFUNCTION("IF('AYIRA MINI MART FINAL MENU - Pr'!B751="""", """", IF(LEN(IFERROR(TRIM(REGEXREPLACE(TRIM(REGEXEXTRACT('AYIRA MINI MART FINAL MENU - Pr'!B751, ""^[^\x{0600}-\x{06FF}]+"")), ""[-–]+$"", """")), """"))&gt;0, IFERROR(TRIM(REGEXREPLACE(TRIM(REGEXEXTRACT('AYIRA"&amp;" MINI MART FINAL MENU - Pr'!B751, ""^[^\x{0600}-\x{06FF}]+"")), ""[-–]+$"", """")), """"), GOOGLETRANSLATE('AYIRA MINI MART FINAL MENU - Pr'!B751, ""ar"", ""en"")))"),"Chocolates")</f>
        <v>Chocolates</v>
      </c>
      <c r="C751" s="58">
        <f>IF('AYIRA MINI MART FINAL MENU - Pr'!C751="", "", 'AYIRA MINI MART FINAL MENU - Pr'!C751)</f>
        <v>2.5</v>
      </c>
      <c r="D751" s="56" t="str">
        <f>IFERROR(__xludf.DUMMYFUNCTION("IF('AYIRA MINI MART FINAL MENU - Pr'!D751="""", """", GOOGLETRANSLATE('AYIRA MINI MART FINAL MENU - Pr'!D751, ""ar"", ""en""))"),"Stay healthy with Skittles, the fresh juice packed with essential vitamins and minerals. Made from carefully selected, high-quality fruits for a delicious taste and superior nutritional value. It provides natural energy and boosts your immune system thank"&amp;"s to its rich composition. Perfect for your daily breakfast or as a healthy drink anytime. Order now from Aira Mini Mart and enjoy every drop of this delicious and nutritious juice.")</f>
        <v>Stay healthy with Skittles, the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751" s="58" t="str">
        <f>IF('AYIRA MINI MART FINAL MENU - Pr'!K751="", "", 'AYIRA MINI MART FINAL MENU - Pr'!K751)</f>
        <v/>
      </c>
      <c r="F751" s="56"/>
      <c r="G751" s="56"/>
      <c r="H751" s="56"/>
      <c r="I751" s="56"/>
      <c r="J751" s="56"/>
      <c r="L751" s="56" t="str">
        <f>IF('AYIRA MINI MART FINAL MENU - Pr'!L751="", "", 'AYIRA MINI MART FINAL MENU - Pr'!L751)</f>
        <v/>
      </c>
      <c r="M751" s="56" t="str">
        <f>IF('AYIRA MINI MART FINAL MENU - Pr'!M751="", "", 'AYIRA MINI MART FINAL MENU - Pr'!M751)</f>
        <v/>
      </c>
      <c r="N751" s="56" t="str">
        <f>IF('AYIRA MINI MART FINAL MENU - Pr'!N751="", "", 'AYIRA MINI MART FINAL MENU - Pr'!N751)</f>
        <v/>
      </c>
      <c r="O751" s="57"/>
      <c r="P751" s="57"/>
      <c r="Q751" s="57"/>
      <c r="R751" s="57"/>
      <c r="S751" s="57"/>
      <c r="T751" s="57"/>
      <c r="U751" s="57"/>
      <c r="V751" s="57"/>
      <c r="W751" s="57"/>
      <c r="X751" s="57"/>
      <c r="Y751" s="57"/>
      <c r="Z751" s="57"/>
    </row>
    <row r="752">
      <c r="A752" s="56" t="str">
        <f>IFERROR(__xludf.DUMMYFUNCTION("IF('AYIRA MINI MART FINAL MENU - Pr'!A752="""", """", IF(LEN(IFERROR(TRIM(REGEXREPLACE(TRIM(REGEXEXTRACT('AYIRA MINI MART FINAL MENU - Pr'!A752, ""^[^\x{0600}-\x{06FF}]+"")), ""[-–]+$"", """")), """"))&gt;0, IFERROR(TRIM(REGEXREPLACE(TRIM(REGEXEXTRACT('AYIRA"&amp;" MINI MART FINAL MENU - Pr'!A752, ""^[^\x{0600}-\x{06FF}]+"")), ""[-–]+$"", """")), """"), GOOGLETRANSLATE('AYIRA MINI MART FINAL MENU - Pr'!A752, ""ar"", ""en"")))"),"Skittles Fruits 38g")</f>
        <v>Skittles Fruits 38g</v>
      </c>
      <c r="B752" s="56" t="str">
        <f>IFERROR(__xludf.DUMMYFUNCTION("IF('AYIRA MINI MART FINAL MENU - Pr'!B752="""", """", IF(LEN(IFERROR(TRIM(REGEXREPLACE(TRIM(REGEXEXTRACT('AYIRA MINI MART FINAL MENU - Pr'!B752, ""^[^\x{0600}-\x{06FF}]+"")), ""[-–]+$"", """")), """"))&gt;0, IFERROR(TRIM(REGEXREPLACE(TRIM(REGEXEXTRACT('AYIRA"&amp;" MINI MART FINAL MENU - Pr'!B752, ""^[^\x{0600}-\x{06FF}]+"")), ""[-–]+$"", """")), """"), GOOGLETRANSLATE('AYIRA MINI MART FINAL MENU - Pr'!B752, ""ar"", ""en"")))"),"Chocolates")</f>
        <v>Chocolates</v>
      </c>
      <c r="C752" s="58">
        <f>IF('AYIRA MINI MART FINAL MENU - Pr'!C752="", "", 'AYIRA MINI MART FINAL MENU - Pr'!C752)</f>
        <v>2.5</v>
      </c>
      <c r="D752" s="56" t="str">
        <f>IFERROR(__xludf.DUMMYFUNCTION("IF('AYIRA MINI MART FINAL MENU - Pr'!D752="""", """", GOOGLETRANSLATE('AYIRA MINI MART FINAL MENU - Pr'!D752, ""ar"", ""en""))"),"Add a sweet moment to your day with Skittles, the delicious treat loved by everyone. Their variety of flavors and vibrant colors make them suitable for all ages. Perfect as a small treat or a light gift for friends and family. Made with high quality ingre"&amp;"dients to ensure great taste in every single one. Get them from Aira Mini Mart and spread the joy to your loved ones.")</f>
        <v>Add a sweet moment to your day with Skittles, the delicious treat loved by everyone. Their variety of flavors and vibrant colors make them suitable for all ages. Perfect as a small treat or a light gift for friends and family. Made with high quality ingredients to ensure great taste in every single one. Get them from Aira Mini Mart and spread the joy to your loved ones.</v>
      </c>
      <c r="E752" s="58" t="str">
        <f>IF('AYIRA MINI MART FINAL MENU - Pr'!K752="", "", 'AYIRA MINI MART FINAL MENU - Pr'!K752)</f>
        <v/>
      </c>
      <c r="F752" s="56"/>
      <c r="G752" s="56"/>
      <c r="H752" s="56"/>
      <c r="I752" s="56"/>
      <c r="J752" s="56"/>
      <c r="L752" s="56" t="str">
        <f>IF('AYIRA MINI MART FINAL MENU - Pr'!L752="", "", 'AYIRA MINI MART FINAL MENU - Pr'!L752)</f>
        <v/>
      </c>
      <c r="M752" s="56" t="str">
        <f>IF('AYIRA MINI MART FINAL MENU - Pr'!M752="", "", 'AYIRA MINI MART FINAL MENU - Pr'!M752)</f>
        <v/>
      </c>
      <c r="N752" s="56" t="str">
        <f>IF('AYIRA MINI MART FINAL MENU - Pr'!N752="", "", 'AYIRA MINI MART FINAL MENU - Pr'!N752)</f>
        <v/>
      </c>
      <c r="O752" s="57"/>
      <c r="P752" s="57"/>
      <c r="Q752" s="57"/>
      <c r="R752" s="57"/>
      <c r="S752" s="57"/>
      <c r="T752" s="57"/>
      <c r="U752" s="57"/>
      <c r="V752" s="57"/>
      <c r="W752" s="57"/>
      <c r="X752" s="57"/>
      <c r="Y752" s="57"/>
      <c r="Z752" s="57"/>
    </row>
    <row r="753">
      <c r="A753" s="56" t="str">
        <f>IFERROR(__xludf.DUMMYFUNCTION("IF('AYIRA MINI MART FINAL MENU - Pr'!A753="""", """", IF(LEN(IFERROR(TRIM(REGEXREPLACE(TRIM(REGEXEXTRACT('AYIRA MINI MART FINAL MENU - Pr'!A753, ""^[^\x{0600}-\x{06FF}]+"")), ""[-–]+$"", """")), """"))&gt;0, IFERROR(TRIM(REGEXREPLACE(TRIM(REGEXEXTRACT('AYIRA"&amp;" MINI MART FINAL MENU - Pr'!A753, ""^[^\x{0600}-\x{06FF}]+"")), ""[-–]+$"", """")), """"), GOOGLETRANSLATE('AYIRA MINI MART FINAL MENU - Pr'!A753, ""ar"", ""en"")))"),"M&amp;M's Minis 30.6g – M&amp;M's Minis 30.6")</f>
        <v>M&amp;M's Minis 30.6g – M&amp;M's Minis 30.6</v>
      </c>
      <c r="B753" s="56" t="str">
        <f>IFERROR(__xludf.DUMMYFUNCTION("IF('AYIRA MINI MART FINAL MENU - Pr'!B753="""", """", IF(LEN(IFERROR(TRIM(REGEXREPLACE(TRIM(REGEXEXTRACT('AYIRA MINI MART FINAL MENU - Pr'!B753, ""^[^\x{0600}-\x{06FF}]+"")), ""[-–]+$"", """")), """"))&gt;0, IFERROR(TRIM(REGEXREPLACE(TRIM(REGEXEXTRACT('AYIRA"&amp;" MINI MART FINAL MENU - Pr'!B753, ""^[^\x{0600}-\x{06FF}]+"")), ""[-–]+$"", """")), """"), GOOGLETRANSLATE('AYIRA MINI MART FINAL MENU - Pr'!B753, ""ar"", ""en"")))"),"Chocolates")</f>
        <v>Chocolates</v>
      </c>
      <c r="C753" s="58">
        <f>IF('AYIRA MINI MART FINAL MENU - Pr'!C753="", "", 'AYIRA MINI MART FINAL MENU - Pr'!C753)</f>
        <v>5</v>
      </c>
      <c r="D753" s="56" t="str">
        <f>IFERROR(__xludf.DUMMYFUNCTION("IF('AYIRA MINI MART FINAL MENU - Pr'!D753="""", """", GOOGLETRANSLATE('AYIRA MINI MART FINAL MENU - Pr'!D753, ""ar"", ""en""))"),"Don't be able to resist the taste of M&amp;M's, your perfect companion for relaxing and watching the game. Their unique crunch and diverse flavors make every handful a delightful experience. Made with the finest ingredients using the latest manufacturing tech"&amp;"niques to ensure an unparalleled taste. Ideal as a snack for adults and children alike between meals. Aira Mini Mart offers them in the perfect size and flavor for you.")</f>
        <v>Don't be able to resist the taste of M&amp;M's,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753" s="58" t="str">
        <f>IF('AYIRA MINI MART FINAL MENU - Pr'!K753="", "", 'AYIRA MINI MART FINAL MENU - Pr'!K753)</f>
        <v/>
      </c>
      <c r="F753" s="56"/>
      <c r="G753" s="56"/>
      <c r="H753" s="56"/>
      <c r="I753" s="56"/>
      <c r="J753" s="56"/>
      <c r="L753" s="56" t="str">
        <f>IF('AYIRA MINI MART FINAL MENU - Pr'!L753="", "", 'AYIRA MINI MART FINAL MENU - Pr'!L753)</f>
        <v/>
      </c>
      <c r="M753" s="56" t="str">
        <f>IF('AYIRA MINI MART FINAL MENU - Pr'!M753="", "", 'AYIRA MINI MART FINAL MENU - Pr'!M753)</f>
        <v/>
      </c>
      <c r="N753" s="56" t="str">
        <f>IF('AYIRA MINI MART FINAL MENU - Pr'!N753="", "", 'AYIRA MINI MART FINAL MENU - Pr'!N753)</f>
        <v/>
      </c>
      <c r="O753" s="57"/>
      <c r="P753" s="57"/>
      <c r="Q753" s="57"/>
      <c r="R753" s="57"/>
      <c r="S753" s="57"/>
      <c r="T753" s="57"/>
      <c r="U753" s="57"/>
      <c r="V753" s="57"/>
      <c r="W753" s="57"/>
      <c r="X753" s="57"/>
      <c r="Y753" s="57"/>
      <c r="Z753" s="57"/>
    </row>
    <row r="754">
      <c r="A754" s="56" t="str">
        <f>IFERROR(__xludf.DUMMYFUNCTION("IF('AYIRA MINI MART FINAL MENU - Pr'!A754="""", """", IF(LEN(IFERROR(TRIM(REGEXREPLACE(TRIM(REGEXEXTRACT('AYIRA MINI MART FINAL MENU - Pr'!A754, ""^[^\x{0600}-\x{06FF}]+"")), ""[-–]+$"", """")), """"))&gt;0, IFERROR(TRIM(REGEXREPLACE(TRIM(REGEXEXTRACT('AYIRA"&amp;" MINI MART FINAL MENU - Pr'!A754, ""^[^\x{0600}-\x{06FF}]+"")), ""[-–]+$"", """")), """"), GOOGLETRANSLATE('AYIRA MINI MART FINAL MENU - Pr'!A754, ""ar"", ""en"")))"),"Skittles Gummies Fruits 60g")</f>
        <v>Skittles Gummies Fruits 60g</v>
      </c>
      <c r="B754" s="56" t="str">
        <f>IFERROR(__xludf.DUMMYFUNCTION("IF('AYIRA MINI MART FINAL MENU - Pr'!B754="""", """", IF(LEN(IFERROR(TRIM(REGEXREPLACE(TRIM(REGEXEXTRACT('AYIRA MINI MART FINAL MENU - Pr'!B754, ""^[^\x{0600}-\x{06FF}]+"")), ""[-–]+$"", """")), """"))&gt;0, IFERROR(TRIM(REGEXREPLACE(TRIM(REGEXEXTRACT('AYIRA"&amp;" MINI MART FINAL MENU - Pr'!B754, ""^[^\x{0600}-\x{06FF}]+"")), ""[-–]+$"", """")), """"), GOOGLETRANSLATE('AYIRA MINI MART FINAL MENU - Pr'!B754, ""ar"", ""en"")))"),"Chocolates")</f>
        <v>Chocolates</v>
      </c>
      <c r="C754" s="58">
        <f>IF('AYIRA MINI MART FINAL MENU - Pr'!C754="", "", 'AYIRA MINI MART FINAL MENU - Pr'!C754)</f>
        <v>6.5</v>
      </c>
      <c r="D754" s="56" t="str">
        <f>IFERROR(__xludf.DUMMYFUNCTION("IF('AYIRA MINI MART FINAL MENU - Pr'!D754="""", """", GOOGLETRANSLATE('AYIRA MINI MART FINAL MENU - Pr'!D754, ""ar"", ""en""))"),"Enjoy Skittles, the refreshing gum that keeps your mouth clean and fresh all day long. Its long-lasting flavor and unique formula make it the perfect choice for those seeking continuous freshness throughout the day. It helps to invigorate teeth and freshe"&amp;"n breath beautifully. Suitable anytime, anywhere. Get yours from Aira Mini Mart and enjoy continuous freshness.")</f>
        <v>Enjoy Skittles,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754" s="58" t="str">
        <f>IF('AYIRA MINI MART FINAL MENU - Pr'!K754="", "", 'AYIRA MINI MART FINAL MENU - Pr'!K754)</f>
        <v/>
      </c>
      <c r="F754" s="56"/>
      <c r="G754" s="56"/>
      <c r="H754" s="56"/>
      <c r="I754" s="56"/>
      <c r="J754" s="56"/>
      <c r="L754" s="56" t="str">
        <f>IF('AYIRA MINI MART FINAL MENU - Pr'!L754="", "", 'AYIRA MINI MART FINAL MENU - Pr'!L754)</f>
        <v/>
      </c>
      <c r="M754" s="56" t="str">
        <f>IF('AYIRA MINI MART FINAL MENU - Pr'!M754="", "", 'AYIRA MINI MART FINAL MENU - Pr'!M754)</f>
        <v/>
      </c>
      <c r="N754" s="56" t="str">
        <f>IF('AYIRA MINI MART FINAL MENU - Pr'!N754="", "", 'AYIRA MINI MART FINAL MENU - Pr'!N754)</f>
        <v/>
      </c>
      <c r="O754" s="57"/>
      <c r="P754" s="57"/>
      <c r="Q754" s="57"/>
      <c r="R754" s="57"/>
      <c r="S754" s="57"/>
      <c r="T754" s="57"/>
      <c r="U754" s="57"/>
      <c r="V754" s="57"/>
      <c r="W754" s="57"/>
      <c r="X754" s="57"/>
      <c r="Y754" s="57"/>
      <c r="Z754" s="57"/>
    </row>
    <row r="755">
      <c r="A755" s="56" t="str">
        <f>IFERROR(__xludf.DUMMYFUNCTION("IF('AYIRA MINI MART FINAL MENU - Pr'!A755="""", """", IF(LEN(IFERROR(TRIM(REGEXREPLACE(TRIM(REGEXEXTRACT('AYIRA MINI MART FINAL MENU - Pr'!A755, ""^[^\x{0600}-\x{06FF}]+"")), ""[-–]+$"", """")), """"))&gt;0, IFERROR(TRIM(REGEXREPLACE(TRIM(REGEXEXTRACT('AYIRA"&amp;" MINI MART FINAL MENU - Pr'!A755, ""^[^\x{0600}-\x{06FF}]+"")), ""[-–]+$"", """")), """"), GOOGLETRANSLATE('AYIRA MINI MART FINAL MENU - Pr'!A755, ""ar"", ""en"")))"),"Nani Pistachio 40g – Nani")</f>
        <v>Nani Pistachio 40g – Nani</v>
      </c>
      <c r="B755" s="56" t="str">
        <f>IFERROR(__xludf.DUMMYFUNCTION("IF('AYIRA MINI MART FINAL MENU - Pr'!B755="""", """", IF(LEN(IFERROR(TRIM(REGEXREPLACE(TRIM(REGEXEXTRACT('AYIRA MINI MART FINAL MENU - Pr'!B755, ""^[^\x{0600}-\x{06FF}]+"")), ""[-–]+$"", """")), """"))&gt;0, IFERROR(TRIM(REGEXREPLACE(TRIM(REGEXEXTRACT('AYIRA"&amp;" MINI MART FINAL MENU - Pr'!B755, ""^[^\x{0600}-\x{06FF}]+"")), ""[-–]+$"", """")), """"), GOOGLETRANSLATE('AYIRA MINI MART FINAL MENU - Pr'!B755, ""ar"", ""en"")))"),"Chocolates")</f>
        <v>Chocolates</v>
      </c>
      <c r="C755" s="58">
        <f>IF('AYIRA MINI MART FINAL MENU - Pr'!C755="", "", 'AYIRA MINI MART FINAL MENU - Pr'!C755)</f>
        <v>2.5</v>
      </c>
      <c r="D755" s="56" t="str">
        <f>IFERROR(__xludf.DUMMYFUNCTION("IF('AYIRA MINI MART FINAL MENU - Pr'!D755="""", """", GOOGLETRANSLATE('AYIRA MINI MART FINAL MENU - Pr'!D755, ""ar"", ""en""))"),"Choose Nani Pistachio 40g, natural nuts rich in protein and healthy fats essential for your body. Made from the finest, carefully selected nuts to ensure the highest levels of purity and taste. A perfect healthy and nutritious snack between meals. Support"&amp;"s heart health and provides the energy you need. Available at Aira Mini Mart with the highest quality and best prices.")</f>
        <v>Choose Nani Pistachio 40g,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755" s="58" t="str">
        <f>IF('AYIRA MINI MART FINAL MENU - Pr'!K755="", "", 'AYIRA MINI MART FINAL MENU - Pr'!K755)</f>
        <v/>
      </c>
      <c r="F755" s="56"/>
      <c r="G755" s="56"/>
      <c r="H755" s="56"/>
      <c r="I755" s="56"/>
      <c r="J755" s="56"/>
      <c r="L755" s="56" t="str">
        <f>IF('AYIRA MINI MART FINAL MENU - Pr'!L755="", "", 'AYIRA MINI MART FINAL MENU - Pr'!L755)</f>
        <v/>
      </c>
      <c r="M755" s="56" t="str">
        <f>IF('AYIRA MINI MART FINAL MENU - Pr'!M755="", "", 'AYIRA MINI MART FINAL MENU - Pr'!M755)</f>
        <v/>
      </c>
      <c r="N755" s="56" t="str">
        <f>IF('AYIRA MINI MART FINAL MENU - Pr'!N755="", "", 'AYIRA MINI MART FINAL MENU - Pr'!N755)</f>
        <v/>
      </c>
      <c r="O755" s="57"/>
      <c r="P755" s="57"/>
      <c r="Q755" s="57"/>
      <c r="R755" s="57"/>
      <c r="S755" s="57"/>
      <c r="T755" s="57"/>
      <c r="U755" s="57"/>
      <c r="V755" s="57"/>
      <c r="W755" s="57"/>
      <c r="X755" s="57"/>
      <c r="Y755" s="57"/>
      <c r="Z755" s="57"/>
    </row>
    <row r="756">
      <c r="A756" s="56" t="str">
        <f>IFERROR(__xludf.DUMMYFUNCTION("IF('AYIRA MINI MART FINAL MENU - Pr'!A756="""", """", IF(LEN(IFERROR(TRIM(REGEXREPLACE(TRIM(REGEXEXTRACT('AYIRA MINI MART FINAL MENU - Pr'!A756, ""^[^\x{0600}-\x{06FF}]+"")), ""[-–]+$"", """")), """"))&gt;0, IFERROR(TRIM(REGEXREPLACE(TRIM(REGEXEXTRACT('AYIRA"&amp;" MINI MART FINAL MENU - Pr'!A756, ""^[^\x{0600}-\x{06FF}]+"")), ""[-–]+$"", """")), """"), GOOGLETRANSLATE('AYIRA MINI MART FINAL MENU - Pr'!A756, ""ar"", ""en"")))"),"Nani Chocolate with Nougat, Caramel &amp; Hazelnut 40g – Nani")</f>
        <v>Nani Chocolate with Nougat, Caramel &amp; Hazelnut 40g – Nani</v>
      </c>
      <c r="B756" s="56" t="str">
        <f>IFERROR(__xludf.DUMMYFUNCTION("IF('AYIRA MINI MART FINAL MENU - Pr'!B756="""", """", IF(LEN(IFERROR(TRIM(REGEXREPLACE(TRIM(REGEXEXTRACT('AYIRA MINI MART FINAL MENU - Pr'!B756, ""^[^\x{0600}-\x{06FF}]+"")), ""[-–]+$"", """")), """"))&gt;0, IFERROR(TRIM(REGEXREPLACE(TRIM(REGEXEXTRACT('AYIRA"&amp;" MINI MART FINAL MENU - Pr'!B756, ""^[^\x{0600}-\x{06FF}]+"")), ""[-–]+$"", """")), """"), GOOGLETRANSLATE('AYIRA MINI MART FINAL MENU - Pr'!B756, ""ar"", ""en"")))"),"Chocolates")</f>
        <v>Chocolates</v>
      </c>
      <c r="C756" s="58">
        <f>IF('AYIRA MINI MART FINAL MENU - Pr'!C756="", "", 'AYIRA MINI MART FINAL MENU - Pr'!C756)</f>
        <v>2.5</v>
      </c>
      <c r="D756" s="56" t="str">
        <f>IFERROR(__xludf.DUMMYFUNCTION("IF('AYIRA MINI MART FINAL MENU - Pr'!D756="""", """", GOOGLETRANSLATE('AYIRA MINI MART FINAL MENU - Pr'!D756, ""ar"", ""en""))"),"Indulge your senses with Nani Chocolate with Nougat, Caramel &amp; Hazelnut 40g, a luxurious chocolate that blends rich flavor with a perfect texture. Made from the finest selected cocoa beans, it delivers an exceptional dessert experience every time. Whether"&amp;" you're looking for a special gift or want to treat yourself, this chocolate is the perfect choice. Savor every piece and immerse yourself in a world of smoothness and sweetness. Get yours from Aira Mini Mart and experience moments of pure delight.")</f>
        <v>Indulge your senses with Nani Chocolate with Nougat, Caramel &amp; Hazelnut 40g, a luxurious chocolate that blends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756" s="58" t="str">
        <f>IF('AYIRA MINI MART FINAL MENU - Pr'!K756="", "", 'AYIRA MINI MART FINAL MENU - Pr'!K756)</f>
        <v/>
      </c>
      <c r="F756" s="56"/>
      <c r="G756" s="56"/>
      <c r="H756" s="56"/>
      <c r="I756" s="56"/>
      <c r="J756" s="56"/>
      <c r="L756" s="56" t="str">
        <f>IF('AYIRA MINI MART FINAL MENU - Pr'!L756="", "", 'AYIRA MINI MART FINAL MENU - Pr'!L756)</f>
        <v/>
      </c>
      <c r="M756" s="56" t="str">
        <f>IF('AYIRA MINI MART FINAL MENU - Pr'!M756="", "", 'AYIRA MINI MART FINAL MENU - Pr'!M756)</f>
        <v/>
      </c>
      <c r="N756" s="56" t="str">
        <f>IF('AYIRA MINI MART FINAL MENU - Pr'!N756="", "", 'AYIRA MINI MART FINAL MENU - Pr'!N756)</f>
        <v/>
      </c>
      <c r="O756" s="57"/>
      <c r="P756" s="57"/>
      <c r="Q756" s="57"/>
      <c r="R756" s="57"/>
      <c r="S756" s="57"/>
      <c r="T756" s="57"/>
      <c r="U756" s="57"/>
      <c r="V756" s="57"/>
      <c r="W756" s="57"/>
      <c r="X756" s="57"/>
      <c r="Y756" s="57"/>
      <c r="Z756" s="57"/>
    </row>
    <row r="757">
      <c r="A757" s="56" t="str">
        <f>IFERROR(__xludf.DUMMYFUNCTION("IF('AYIRA MINI MART FINAL MENU - Pr'!A757="""", """", IF(LEN(IFERROR(TRIM(REGEXREPLACE(TRIM(REGEXEXTRACT('AYIRA MINI MART FINAL MENU - Pr'!A757, ""^[^\x{0600}-\x{06FF}]+"")), ""[-–]+$"", """")), """"))&gt;0, IFERROR(TRIM(REGEXREPLACE(TRIM(REGEXEXTRACT('AYIRA"&amp;" MINI MART FINAL MENU - Pr'!A757, ""^[^\x{0600}-\x{06FF}]+"")), ""[-–]+$"", """")), """"), GOOGLETRANSLATE('AYIRA MINI MART FINAL MENU - Pr'!A757, ""ar"", ""en"")))"),"Ulker Stick Crackers (Salted) – 30 g – Ulker")</f>
        <v>Ulker Stick Crackers (Salted) – 30 g – Ulker</v>
      </c>
      <c r="B757" s="56" t="str">
        <f>IFERROR(__xludf.DUMMYFUNCTION("IF('AYIRA MINI MART FINAL MENU - Pr'!B757="""", """", IF(LEN(IFERROR(TRIM(REGEXREPLACE(TRIM(REGEXEXTRACT('AYIRA MINI MART FINAL MENU - Pr'!B757, ""^[^\x{0600}-\x{06FF}]+"")), ""[-–]+$"", """")), """"))&gt;0, IFERROR(TRIM(REGEXREPLACE(TRIM(REGEXEXTRACT('AYIRA"&amp;" MINI MART FINAL MENU - Pr'!B757, ""^[^\x{0600}-\x{06FF}]+"")), ""[-–]+$"", """")), """"), GOOGLETRANSLATE('AYIRA MINI MART FINAL MENU - Pr'!B757, ""ar"", ""en"")))"),"Chips &amp; Crisps")</f>
        <v>Chips &amp; Crisps</v>
      </c>
      <c r="C757" s="58">
        <f>IF('AYIRA MINI MART FINAL MENU - Pr'!C757="", "", 'AYIRA MINI MART FINAL MENU - Pr'!C757)</f>
        <v>1</v>
      </c>
      <c r="D757" s="56" t="str">
        <f>IFERROR(__xludf.DUMMYFUNCTION("IF('AYIRA MINI MART FINAL MENU - Pr'!D757="""", """", GOOGLETRANSLATE('AYIRA MINI MART FINAL MENU - Pr'!D757, ""ar"", ""en""))"),"Don't be able to resist the taste of Ulker Stick Crackers (Salted) – 30g, your perfect companion for relaxing and watching the game. Their unique crunch and varied flavors make every handful a delightful experience. Prepared with the finest ingredients us"&amp;"ing the latest manufacturing techniques to guarantee an unparalleled taste. Ideal as a snack for adults and children alike between meals. Aira Mini Mart offers them in the perfect size and flavor for you.")</f>
        <v>Don't be able to resist the taste of Ulker Stick Crackers (Salted) – 30g,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757" s="56" t="str">
        <f>IF('AYIRA MINI MART FINAL MENU - Pr'!K757="", "", 'AYIRA MINI MART FINAL MENU - Pr'!K757)</f>
        <v/>
      </c>
      <c r="F757" s="56"/>
      <c r="G757" s="56"/>
      <c r="H757" s="56"/>
      <c r="I757" s="56"/>
      <c r="J757" s="56"/>
      <c r="L757" s="56" t="str">
        <f>IF('AYIRA MINI MART FINAL MENU - Pr'!L757="", "", 'AYIRA MINI MART FINAL MENU - Pr'!L757)</f>
        <v/>
      </c>
      <c r="M757" s="56" t="str">
        <f>IF('AYIRA MINI MART FINAL MENU - Pr'!M757="", "", 'AYIRA MINI MART FINAL MENU - Pr'!M757)</f>
        <v/>
      </c>
      <c r="N757" s="56" t="str">
        <f>IF('AYIRA MINI MART FINAL MENU - Pr'!N757="", "", 'AYIRA MINI MART FINAL MENU - Pr'!N757)</f>
        <v/>
      </c>
      <c r="O757" s="57"/>
      <c r="P757" s="57"/>
      <c r="Q757" s="57"/>
      <c r="R757" s="57"/>
      <c r="S757" s="57"/>
      <c r="T757" s="57"/>
      <c r="U757" s="57"/>
      <c r="V757" s="57"/>
      <c r="W757" s="57"/>
      <c r="X757" s="57"/>
      <c r="Y757" s="57"/>
      <c r="Z757" s="57"/>
    </row>
    <row r="758">
      <c r="A758" s="56" t="str">
        <f>IFERROR(__xludf.DUMMYFUNCTION("IF('AYIRA MINI MART FINAL MENU - Pr'!A758="""", """", IF(LEN(IFERROR(TRIM(REGEXREPLACE(TRIM(REGEXEXTRACT('AYIRA MINI MART FINAL MENU - Pr'!A758, ""^[^\x{0600}-\x{06FF}]+"")), ""[-–]+$"", """")), """"))&gt;0, IFERROR(TRIM(REGEXREPLACE(TRIM(REGEXEXTRACT('AYIRA"&amp;" MINI MART FINAL MENU - Pr'!A758, ""^[^\x{0600}-\x{06FF}]+"")), ""[-–]+$"", """")), """"), GOOGLETRANSLATE('AYIRA MINI MART FINAL MENU - Pr'!A758, ""ar"", ""en"")))"),"Pringles Original")</f>
        <v>Pringles Original</v>
      </c>
      <c r="B758" s="56" t="str">
        <f>IFERROR(__xludf.DUMMYFUNCTION("IF('AYIRA MINI MART FINAL MENU - Pr'!B758="""", """", IF(LEN(IFERROR(TRIM(REGEXREPLACE(TRIM(REGEXEXTRACT('AYIRA MINI MART FINAL MENU - Pr'!B758, ""^[^\x{0600}-\x{06FF}]+"")), ""[-–]+$"", """")), """"))&gt;0, IFERROR(TRIM(REGEXREPLACE(TRIM(REGEXEXTRACT('AYIRA"&amp;" MINI MART FINAL MENU - Pr'!B758, ""^[^\x{0600}-\x{06FF}]+"")), ""[-–]+$"", """")), """"), GOOGLETRANSLATE('AYIRA MINI MART FINAL MENU - Pr'!B758, ""ar"", ""en"")))"),"Chips &amp; Crisps")</f>
        <v>Chips &amp; Crisps</v>
      </c>
      <c r="C758" s="58">
        <f>IF('AYIRA MINI MART FINAL MENU - Pr'!C758="", "", 'AYIRA MINI MART FINAL MENU - Pr'!C758)</f>
        <v>4</v>
      </c>
      <c r="D758" s="56" t="str">
        <f>IFERROR(__xludf.DUMMYFUNCTION("IF('AYIRA MINI MART FINAL MENU - Pr'!D758="""", """", GOOGLETRANSLATE('AYIRA MINI MART FINAL MENU - Pr'!D758,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58" s="56" t="str">
        <f>IF('AYIRA MINI MART FINAL MENU - Pr'!K758="", "", 'AYIRA MINI MART FINAL MENU - Pr'!K758)</f>
        <v/>
      </c>
      <c r="F758" s="56"/>
      <c r="G758" s="56"/>
      <c r="H758" s="56"/>
      <c r="I758" s="56"/>
      <c r="J758" s="56"/>
      <c r="L758" s="56" t="str">
        <f>IF('AYIRA MINI MART FINAL MENU - Pr'!L758="", "", 'AYIRA MINI MART FINAL MENU - Pr'!L758)</f>
        <v/>
      </c>
      <c r="M758" s="56" t="str">
        <f>IF('AYIRA MINI MART FINAL MENU - Pr'!M758="", "", 'AYIRA MINI MART FINAL MENU - Pr'!M758)</f>
        <v/>
      </c>
      <c r="N758" s="56" t="str">
        <f>IF('AYIRA MINI MART FINAL MENU - Pr'!N758="", "", 'AYIRA MINI MART FINAL MENU - Pr'!N758)</f>
        <v/>
      </c>
      <c r="O758" s="57"/>
      <c r="P758" s="57"/>
      <c r="Q758" s="57"/>
      <c r="R758" s="57"/>
      <c r="S758" s="57"/>
      <c r="T758" s="57"/>
      <c r="U758" s="57"/>
      <c r="V758" s="57"/>
      <c r="W758" s="57"/>
      <c r="X758" s="57"/>
      <c r="Y758" s="57"/>
      <c r="Z758" s="57"/>
    </row>
    <row r="759">
      <c r="A759" s="56" t="str">
        <f>IFERROR(__xludf.DUMMYFUNCTION("IF('AYIRA MINI MART FINAL MENU - Pr'!A759="""", """", IF(LEN(IFERROR(TRIM(REGEXREPLACE(TRIM(REGEXEXTRACT('AYIRA MINI MART FINAL MENU - Pr'!A759, ""^[^\x{0600}-\x{06FF}]+"")), ""[-–]+$"", """")), """"))&gt;0, IFERROR(TRIM(REGEXREPLACE(TRIM(REGEXEXTRACT('AYIRA"&amp;" MINI MART FINAL MENU - Pr'!A759, ""^[^\x{0600}-\x{06FF}]+"")), ""[-–]+$"", """")), """"), GOOGLETRANSLATE('AYIRA MINI MART FINAL MENU - Pr'!A759, ""ar"", ""en"")))"),"Pringles Barbeque – 40 g")</f>
        <v>Pringles Barbeque – 40 g</v>
      </c>
      <c r="B759" s="56" t="str">
        <f>IFERROR(__xludf.DUMMYFUNCTION("IF('AYIRA MINI MART FINAL MENU - Pr'!B759="""", """", IF(LEN(IFERROR(TRIM(REGEXREPLACE(TRIM(REGEXEXTRACT('AYIRA MINI MART FINAL MENU - Pr'!B759, ""^[^\x{0600}-\x{06FF}]+"")), ""[-–]+$"", """")), """"))&gt;0, IFERROR(TRIM(REGEXREPLACE(TRIM(REGEXEXTRACT('AYIRA"&amp;" MINI MART FINAL MENU - Pr'!B759, ""^[^\x{0600}-\x{06FF}]+"")), ""[-–]+$"", """")), """"), GOOGLETRANSLATE('AYIRA MINI MART FINAL MENU - Pr'!B759, ""ar"", ""en"")))"),"Chips &amp; Crisps")</f>
        <v>Chips &amp; Crisps</v>
      </c>
      <c r="C759" s="58">
        <f>IF('AYIRA MINI MART FINAL MENU - Pr'!C759="", "", 'AYIRA MINI MART FINAL MENU - Pr'!C759)</f>
        <v>4</v>
      </c>
      <c r="D759" s="56" t="str">
        <f>IFERROR(__xludf.DUMMYFUNCTION("IF('AYIRA MINI MART FINAL MENU - Pr'!D759="""", """", GOOGLETRANSLATE('AYIRA MINI MART FINAL MENU - Pr'!D759,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59" s="56" t="str">
        <f>IF('AYIRA MINI MART FINAL MENU - Pr'!K759="", "", 'AYIRA MINI MART FINAL MENU - Pr'!K759)</f>
        <v/>
      </c>
      <c r="F759" s="56"/>
      <c r="G759" s="56"/>
      <c r="H759" s="56"/>
      <c r="I759" s="56"/>
      <c r="J759" s="56"/>
      <c r="L759" s="56" t="str">
        <f>IF('AYIRA MINI MART FINAL MENU - Pr'!L759="", "", 'AYIRA MINI MART FINAL MENU - Pr'!L759)</f>
        <v/>
      </c>
      <c r="M759" s="56" t="str">
        <f>IF('AYIRA MINI MART FINAL MENU - Pr'!M759="", "", 'AYIRA MINI MART FINAL MENU - Pr'!M759)</f>
        <v/>
      </c>
      <c r="N759" s="56" t="str">
        <f>IF('AYIRA MINI MART FINAL MENU - Pr'!N759="", "", 'AYIRA MINI MART FINAL MENU - Pr'!N759)</f>
        <v/>
      </c>
      <c r="O759" s="57"/>
      <c r="P759" s="57"/>
      <c r="Q759" s="57"/>
      <c r="R759" s="57"/>
      <c r="S759" s="57"/>
      <c r="T759" s="57"/>
      <c r="U759" s="57"/>
      <c r="V759" s="57"/>
      <c r="W759" s="57"/>
      <c r="X759" s="57"/>
      <c r="Y759" s="57"/>
      <c r="Z759" s="57"/>
    </row>
    <row r="760">
      <c r="A760" s="56" t="str">
        <f>IFERROR(__xludf.DUMMYFUNCTION("IF('AYIRA MINI MART FINAL MENU - Pr'!A760="""", """", IF(LEN(IFERROR(TRIM(REGEXREPLACE(TRIM(REGEXEXTRACT('AYIRA MINI MART FINAL MENU - Pr'!A760, ""^[^\x{0600}-\x{06FF}]+"")), ""[-–]+$"", """")), """"))&gt;0, IFERROR(TRIM(REGEXREPLACE(TRIM(REGEXEXTRACT('AYIRA"&amp;" MINI MART FINAL MENU - Pr'!A760, ""^[^\x{0600}-\x{06FF}]+"")), ""[-–]+$"", """")), """"), GOOGLETRANSLATE('AYIRA MINI MART FINAL MENU - Pr'!A760, ""ar"", ""en"")))"),"Pringles Hot &amp; Spicy – 40 g")</f>
        <v>Pringles Hot &amp; Spicy – 40 g</v>
      </c>
      <c r="B760" s="56" t="str">
        <f>IFERROR(__xludf.DUMMYFUNCTION("IF('AYIRA MINI MART FINAL MENU - Pr'!B760="""", """", IF(LEN(IFERROR(TRIM(REGEXREPLACE(TRIM(REGEXEXTRACT('AYIRA MINI MART FINAL MENU - Pr'!B760, ""^[^\x{0600}-\x{06FF}]+"")), ""[-–]+$"", """")), """"))&gt;0, IFERROR(TRIM(REGEXREPLACE(TRIM(REGEXEXTRACT('AYIRA"&amp;" MINI MART FINAL MENU - Pr'!B760, ""^[^\x{0600}-\x{06FF}]+"")), ""[-–]+$"", """")), """"), GOOGLETRANSLATE('AYIRA MINI MART FINAL MENU - Pr'!B760, ""ar"", ""en"")))"),"Chips &amp; Crisps")</f>
        <v>Chips &amp; Crisps</v>
      </c>
      <c r="C760" s="58">
        <f>IF('AYIRA MINI MART FINAL MENU - Pr'!C760="", "", 'AYIRA MINI MART FINAL MENU - Pr'!C760)</f>
        <v>4</v>
      </c>
      <c r="D760" s="56" t="str">
        <f>IFERROR(__xludf.DUMMYFUNCTION("IF('AYIRA MINI MART FINAL MENU - Pr'!D760="""", """", GOOGLETRANSLATE('AYIRA MINI MART FINAL MENU - Pr'!D760,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60" s="56" t="str">
        <f>IF('AYIRA MINI MART FINAL MENU - Pr'!K760="", "", 'AYIRA MINI MART FINAL MENU - Pr'!K760)</f>
        <v/>
      </c>
      <c r="F760" s="56"/>
      <c r="G760" s="56"/>
      <c r="H760" s="56"/>
      <c r="I760" s="56"/>
      <c r="J760" s="56"/>
      <c r="L760" s="56" t="str">
        <f>IF('AYIRA MINI MART FINAL MENU - Pr'!L760="", "", 'AYIRA MINI MART FINAL MENU - Pr'!L760)</f>
        <v/>
      </c>
      <c r="M760" s="56" t="str">
        <f>IF('AYIRA MINI MART FINAL MENU - Pr'!M760="", "", 'AYIRA MINI MART FINAL MENU - Pr'!M760)</f>
        <v/>
      </c>
      <c r="N760" s="56" t="str">
        <f>IF('AYIRA MINI MART FINAL MENU - Pr'!N760="", "", 'AYIRA MINI MART FINAL MENU - Pr'!N760)</f>
        <v/>
      </c>
      <c r="O760" s="57"/>
      <c r="P760" s="57"/>
      <c r="Q760" s="57"/>
      <c r="R760" s="57"/>
      <c r="S760" s="57"/>
      <c r="T760" s="57"/>
      <c r="U760" s="57"/>
      <c r="V760" s="57"/>
      <c r="W760" s="57"/>
      <c r="X760" s="57"/>
      <c r="Y760" s="57"/>
      <c r="Z760" s="57"/>
    </row>
    <row r="761">
      <c r="A761" s="56" t="str">
        <f>IFERROR(__xludf.DUMMYFUNCTION("IF('AYIRA MINI MART FINAL MENU - Pr'!A761="""", """", IF(LEN(IFERROR(TRIM(REGEXREPLACE(TRIM(REGEXEXTRACT('AYIRA MINI MART FINAL MENU - Pr'!A761, ""^[^\x{0600}-\x{06FF}]+"")), ""[-–]+$"", """")), """"))&gt;0, IFERROR(TRIM(REGEXREPLACE(TRIM(REGEXEXTRACT('AYIRA"&amp;" MINI MART FINAL MENU - Pr'!A761, ""^[^\x{0600}-\x{06FF}]+"")), ""[-–]+$"", """")), """"), GOOGLETRANSLATE('AYIRA MINI MART FINAL MENU - Pr'!A761, ""ar"", ""en"")))"),"Pringles Ketchup – 40 g")</f>
        <v>Pringles Ketchup – 40 g</v>
      </c>
      <c r="B761" s="56" t="str">
        <f>IFERROR(__xludf.DUMMYFUNCTION("IF('AYIRA MINI MART FINAL MENU - Pr'!B761="""", """", IF(LEN(IFERROR(TRIM(REGEXREPLACE(TRIM(REGEXEXTRACT('AYIRA MINI MART FINAL MENU - Pr'!B761, ""^[^\x{0600}-\x{06FF}]+"")), ""[-–]+$"", """")), """"))&gt;0, IFERROR(TRIM(REGEXREPLACE(TRIM(REGEXEXTRACT('AYIRA"&amp;" MINI MART FINAL MENU - Pr'!B761, ""^[^\x{0600}-\x{06FF}]+"")), ""[-–]+$"", """")), """"), GOOGLETRANSLATE('AYIRA MINI MART FINAL MENU - Pr'!B761, ""ar"", ""en"")))"),"Chips &amp; Crisps")</f>
        <v>Chips &amp; Crisps</v>
      </c>
      <c r="C761" s="58">
        <f>IF('AYIRA MINI MART FINAL MENU - Pr'!C761="", "", 'AYIRA MINI MART FINAL MENU - Pr'!C761)</f>
        <v>4</v>
      </c>
      <c r="D761" s="56" t="str">
        <f>IFERROR(__xludf.DUMMYFUNCTION("IF('AYIRA MINI MART FINAL MENU - Pr'!D761="""", """", GOOGLETRANSLATE('AYIRA MINI MART FINAL MENU - Pr'!D761,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61" s="56" t="str">
        <f>IF('AYIRA MINI MART FINAL MENU - Pr'!K761="", "", 'AYIRA MINI MART FINAL MENU - Pr'!K761)</f>
        <v/>
      </c>
      <c r="F761" s="56"/>
      <c r="G761" s="56"/>
      <c r="H761" s="56"/>
      <c r="I761" s="56"/>
      <c r="J761" s="56"/>
      <c r="L761" s="56" t="str">
        <f>IF('AYIRA MINI MART FINAL MENU - Pr'!L761="", "", 'AYIRA MINI MART FINAL MENU - Pr'!L761)</f>
        <v/>
      </c>
      <c r="M761" s="56" t="str">
        <f>IF('AYIRA MINI MART FINAL MENU - Pr'!M761="", "", 'AYIRA MINI MART FINAL MENU - Pr'!M761)</f>
        <v/>
      </c>
      <c r="N761" s="56" t="str">
        <f>IF('AYIRA MINI MART FINAL MENU - Pr'!N761="", "", 'AYIRA MINI MART FINAL MENU - Pr'!N761)</f>
        <v/>
      </c>
      <c r="O761" s="57"/>
      <c r="P761" s="57"/>
      <c r="Q761" s="57"/>
      <c r="R761" s="57"/>
      <c r="S761" s="57"/>
      <c r="T761" s="57"/>
      <c r="U761" s="57"/>
      <c r="V761" s="57"/>
      <c r="W761" s="57"/>
      <c r="X761" s="57"/>
      <c r="Y761" s="57"/>
      <c r="Z761" s="57"/>
    </row>
    <row r="762">
      <c r="A762" s="56" t="str">
        <f>IFERROR(__xludf.DUMMYFUNCTION("IF('AYIRA MINI MART FINAL MENU - Pr'!A762="""", """", IF(LEN(IFERROR(TRIM(REGEXREPLACE(TRIM(REGEXEXTRACT('AYIRA MINI MART FINAL MENU - Pr'!A762, ""^[^\x{0600}-\x{06FF}]+"")), ""[-–]+$"", """")), """"))&gt;0, IFERROR(TRIM(REGEXREPLACE(TRIM(REGEXEXTRACT('AYIRA"&amp;" MINI MART FINAL MENU - Pr'!A762, ""^[^\x{0600}-\x{06FF}]+"")), ""[-–]+$"", """")), """"), GOOGLETRANSLATE('AYIRA MINI MART FINAL MENU - Pr'!A762, ""ar"", ""en"")))"),"Pringles Paprika – 40 g")</f>
        <v>Pringles Paprika – 40 g</v>
      </c>
      <c r="B762" s="56" t="str">
        <f>IFERROR(__xludf.DUMMYFUNCTION("IF('AYIRA MINI MART FINAL MENU - Pr'!B762="""", """", IF(LEN(IFERROR(TRIM(REGEXREPLACE(TRIM(REGEXEXTRACT('AYIRA MINI MART FINAL MENU - Pr'!B762, ""^[^\x{0600}-\x{06FF}]+"")), ""[-–]+$"", """")), """"))&gt;0, IFERROR(TRIM(REGEXREPLACE(TRIM(REGEXEXTRACT('AYIRA"&amp;" MINI MART FINAL MENU - Pr'!B762, ""^[^\x{0600}-\x{06FF}]+"")), ""[-–]+$"", """")), """"), GOOGLETRANSLATE('AYIRA MINI MART FINAL MENU - Pr'!B762, ""ar"", ""en"")))"),"Chips &amp; Crisps")</f>
        <v>Chips &amp; Crisps</v>
      </c>
      <c r="C762" s="58">
        <f>IF('AYIRA MINI MART FINAL MENU - Pr'!C762="", "", 'AYIRA MINI MART FINAL MENU - Pr'!C762)</f>
        <v>10.5</v>
      </c>
      <c r="D762" s="56" t="str">
        <f>IFERROR(__xludf.DUMMYFUNCTION("IF('AYIRA MINI MART FINAL MENU - Pr'!D762="""", """", GOOGLETRANSLATE('AYIRA MINI MART FINAL MENU - Pr'!D762,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62" s="56" t="str">
        <f>IF('AYIRA MINI MART FINAL MENU - Pr'!K762="", "", 'AYIRA MINI MART FINAL MENU - Pr'!K762)</f>
        <v/>
      </c>
      <c r="F762" s="56"/>
      <c r="G762" s="56"/>
      <c r="H762" s="56"/>
      <c r="I762" s="56"/>
      <c r="J762" s="56"/>
      <c r="L762" s="56" t="str">
        <f>IF('AYIRA MINI MART FINAL MENU - Pr'!L762="", "", 'AYIRA MINI MART FINAL MENU - Pr'!L762)</f>
        <v/>
      </c>
      <c r="M762" s="56" t="str">
        <f>IF('AYIRA MINI MART FINAL MENU - Pr'!M762="", "", 'AYIRA MINI MART FINAL MENU - Pr'!M762)</f>
        <v/>
      </c>
      <c r="N762" s="56" t="str">
        <f>IF('AYIRA MINI MART FINAL MENU - Pr'!N762="", "", 'AYIRA MINI MART FINAL MENU - Pr'!N762)</f>
        <v/>
      </c>
      <c r="O762" s="57"/>
      <c r="P762" s="57"/>
      <c r="Q762" s="57"/>
      <c r="R762" s="57"/>
      <c r="S762" s="57"/>
      <c r="T762" s="57"/>
      <c r="U762" s="57"/>
      <c r="V762" s="57"/>
      <c r="W762" s="57"/>
      <c r="X762" s="57"/>
      <c r="Y762" s="57"/>
      <c r="Z762" s="57"/>
    </row>
    <row r="763">
      <c r="A763" s="56" t="str">
        <f>IFERROR(__xludf.DUMMYFUNCTION("IF('AYIRA MINI MART FINAL MENU - Pr'!A763="""", """", IF(LEN(IFERROR(TRIM(REGEXREPLACE(TRIM(REGEXEXTRACT('AYIRA MINI MART FINAL MENU - Pr'!A763, ""^[^\x{0600}-\x{06FF}]+"")), ""[-–]+$"", """")), """"))&gt;0, IFERROR(TRIM(REGEXREPLACE(TRIM(REGEXEXTRACT('AYIRA"&amp;" MINI MART FINAL MENU - Pr'!A763, ""^[^\x{0600}-\x{06FF}]+"")), ""[-–]+$"", """")), """"), GOOGLETRANSLATE('AYIRA MINI MART FINAL MENU - Pr'!A763, ""ar"", ""en"")))"),"Pringles Salt &amp; Vinegar – 40 g")</f>
        <v>Pringles Salt &amp; Vinegar – 40 g</v>
      </c>
      <c r="B763" s="56" t="str">
        <f>IFERROR(__xludf.DUMMYFUNCTION("IF('AYIRA MINI MART FINAL MENU - Pr'!B763="""", """", IF(LEN(IFERROR(TRIM(REGEXREPLACE(TRIM(REGEXEXTRACT('AYIRA MINI MART FINAL MENU - Pr'!B763, ""^[^\x{0600}-\x{06FF}]+"")), ""[-–]+$"", """")), """"))&gt;0, IFERROR(TRIM(REGEXREPLACE(TRIM(REGEXEXTRACT('AYIRA"&amp;" MINI MART FINAL MENU - Pr'!B763, ""^[^\x{0600}-\x{06FF}]+"")), ""[-–]+$"", """")), """"), GOOGLETRANSLATE('AYIRA MINI MART FINAL MENU - Pr'!B763, ""ar"", ""en"")))"),"Chips &amp; Crisps")</f>
        <v>Chips &amp; Crisps</v>
      </c>
      <c r="C763" s="58">
        <f>IF('AYIRA MINI MART FINAL MENU - Pr'!C763="", "", 'AYIRA MINI MART FINAL MENU - Pr'!C763)</f>
        <v>10.5</v>
      </c>
      <c r="D763" s="56" t="str">
        <f>IFERROR(__xludf.DUMMYFUNCTION("IF('AYIRA MINI MART FINAL MENU - Pr'!D763="""", """", GOOGLETRANSLATE('AYIRA MINI MART FINAL MENU - Pr'!D763,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63" s="56" t="str">
        <f>IF('AYIRA MINI MART FINAL MENU - Pr'!K763="", "", 'AYIRA MINI MART FINAL MENU - Pr'!K763)</f>
        <v/>
      </c>
      <c r="F763" s="56"/>
      <c r="G763" s="56"/>
      <c r="H763" s="56"/>
      <c r="I763" s="56"/>
      <c r="J763" s="56"/>
      <c r="L763" s="56" t="str">
        <f>IF('AYIRA MINI MART FINAL MENU - Pr'!L763="", "", 'AYIRA MINI MART FINAL MENU - Pr'!L763)</f>
        <v/>
      </c>
      <c r="M763" s="56" t="str">
        <f>IF('AYIRA MINI MART FINAL MENU - Pr'!M763="", "", 'AYIRA MINI MART FINAL MENU - Pr'!M763)</f>
        <v/>
      </c>
      <c r="N763" s="56" t="str">
        <f>IF('AYIRA MINI MART FINAL MENU - Pr'!N763="", "", 'AYIRA MINI MART FINAL MENU - Pr'!N763)</f>
        <v/>
      </c>
      <c r="O763" s="57"/>
      <c r="P763" s="57"/>
      <c r="Q763" s="57"/>
      <c r="R763" s="57"/>
      <c r="S763" s="57"/>
      <c r="T763" s="57"/>
      <c r="U763" s="57"/>
      <c r="V763" s="57"/>
      <c r="W763" s="57"/>
      <c r="X763" s="57"/>
      <c r="Y763" s="57"/>
      <c r="Z763" s="57"/>
    </row>
    <row r="764">
      <c r="A764" s="56" t="str">
        <f>IFERROR(__xludf.DUMMYFUNCTION("IF('AYIRA MINI MART FINAL MENU - Pr'!A764="""", """", IF(LEN(IFERROR(TRIM(REGEXREPLACE(TRIM(REGEXEXTRACT('AYIRA MINI MART FINAL MENU - Pr'!A764, ""^[^\x{0600}-\x{06FF}]+"")), ""[-–]+$"", """")), """"))&gt;0, IFERROR(TRIM(REGEXREPLACE(TRIM(REGEXEXTRACT('AYIRA"&amp;" MINI MART FINAL MENU - Pr'!A764, ""^[^\x{0600}-\x{06FF}]+"")), ""[-–]+$"", """")), """"), GOOGLETRANSLATE('AYIRA MINI MART FINAL MENU - Pr'!A764, ""ar"", ""en"")))"),"Chips Oman Potato Chips Chilli Flavour – 40 g")</f>
        <v>Chips Oman Potato Chips Chilli Flavour – 40 g</v>
      </c>
      <c r="B764" s="56" t="str">
        <f>IFERROR(__xludf.DUMMYFUNCTION("IF('AYIRA MINI MART FINAL MENU - Pr'!B764="""", """", IF(LEN(IFERROR(TRIM(REGEXREPLACE(TRIM(REGEXEXTRACT('AYIRA MINI MART FINAL MENU - Pr'!B764, ""^[^\x{0600}-\x{06FF}]+"")), ""[-–]+$"", """")), """"))&gt;0, IFERROR(TRIM(REGEXREPLACE(TRIM(REGEXEXTRACT('AYIRA"&amp;" MINI MART FINAL MENU - Pr'!B764, ""^[^\x{0600}-\x{06FF}]+"")), ""[-–]+$"", """")), """"), GOOGLETRANSLATE('AYIRA MINI MART FINAL MENU - Pr'!B764, ""ar"", ""en"")))"),"Chips &amp; Crisps")</f>
        <v>Chips &amp; Crisps</v>
      </c>
      <c r="C764" s="58">
        <f>IF('AYIRA MINI MART FINAL MENU - Pr'!C764="", "", 'AYIRA MINI MART FINAL MENU - Pr'!C764)</f>
        <v>4</v>
      </c>
      <c r="D764" s="56" t="str">
        <f>IFERROR(__xludf.DUMMYFUNCTION("IF('AYIRA MINI MART FINAL MENU - Pr'!D764="""", """", GOOGLETRANSLATE('AYIRA MINI MART FINAL MENU - Pr'!D764, ""ar"", ""en""))"),"Don't be able to resist the taste of Oman Potato Chips Chilli Flavor – 40g, your perfect companion for relaxing and watching matches. Their unique crunch and varied flavors make every handful a delightful experience. Prepared with the finest ingredients u"&amp;"sing the latest manufacturing techniques to ensure an unparalleled taste. Ideal as a snack for adults and children between meals. Aira Mini Mart offers them in the size and flavor that suits you best.")</f>
        <v>Don't be able to resist the taste of Oman Potato Chips Chilli Flavor – 40g,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between meals. Aira Mini Mart offers them in the size and flavor that suits you best.</v>
      </c>
      <c r="E764" s="56" t="str">
        <f>IF('AYIRA MINI MART FINAL MENU - Pr'!K764="", "", 'AYIRA MINI MART FINAL MENU - Pr'!K764)</f>
        <v/>
      </c>
      <c r="F764" s="56"/>
      <c r="G764" s="56"/>
      <c r="H764" s="56"/>
      <c r="I764" s="56"/>
      <c r="J764" s="56"/>
      <c r="L764" s="56" t="str">
        <f>IF('AYIRA MINI MART FINAL MENU - Pr'!L764="", "", 'AYIRA MINI MART FINAL MENU - Pr'!L764)</f>
        <v/>
      </c>
      <c r="M764" s="56" t="str">
        <f>IF('AYIRA MINI MART FINAL MENU - Pr'!M764="", "", 'AYIRA MINI MART FINAL MENU - Pr'!M764)</f>
        <v/>
      </c>
      <c r="N764" s="56" t="str">
        <f>IF('AYIRA MINI MART FINAL MENU - Pr'!N764="", "", 'AYIRA MINI MART FINAL MENU - Pr'!N764)</f>
        <v/>
      </c>
      <c r="O764" s="57"/>
      <c r="P764" s="57"/>
      <c r="Q764" s="57"/>
      <c r="R764" s="57"/>
      <c r="S764" s="57"/>
      <c r="T764" s="57"/>
      <c r="U764" s="57"/>
      <c r="V764" s="57"/>
      <c r="W764" s="57"/>
      <c r="X764" s="57"/>
      <c r="Y764" s="57"/>
      <c r="Z764" s="57"/>
    </row>
    <row r="765">
      <c r="A765" s="56" t="str">
        <f>IFERROR(__xludf.DUMMYFUNCTION("IF('AYIRA MINI MART FINAL MENU - Pr'!A765="""", """", IF(LEN(IFERROR(TRIM(REGEXREPLACE(TRIM(REGEXEXTRACT('AYIRA MINI MART FINAL MENU - Pr'!A765, ""^[^\x{0600}-\x{06FF}]+"")), ""[-–]+$"", """")), """"))&gt;0, IFERROR(TRIM(REGEXREPLACE(TRIM(REGEXEXTRACT('AYIRA"&amp;" MINI MART FINAL MENU - Pr'!A765, ""^[^\x{0600}-\x{06FF}]+"")), ""[-–]+$"", """")), """"), GOOGLETRANSLATE('AYIRA MINI MART FINAL MENU - Pr'!A765, ""ar"", ""en"")))"),"Pringles Cheesy Cheesy – 40 g")</f>
        <v>Pringles Cheesy Cheesy – 40 g</v>
      </c>
      <c r="B765" s="56" t="str">
        <f>IFERROR(__xludf.DUMMYFUNCTION("IF('AYIRA MINI MART FINAL MENU - Pr'!B765="""", """", IF(LEN(IFERROR(TRIM(REGEXREPLACE(TRIM(REGEXEXTRACT('AYIRA MINI MART FINAL MENU - Pr'!B765, ""^[^\x{0600}-\x{06FF}]+"")), ""[-–]+$"", """")), """"))&gt;0, IFERROR(TRIM(REGEXREPLACE(TRIM(REGEXEXTRACT('AYIRA"&amp;" MINI MART FINAL MENU - Pr'!B765, ""^[^\x{0600}-\x{06FF}]+"")), ""[-–]+$"", """")), """"), GOOGLETRANSLATE('AYIRA MINI MART FINAL MENU - Pr'!B765, ""ar"", ""en"")))"),"Chips &amp; Crisps")</f>
        <v>Chips &amp; Crisps</v>
      </c>
      <c r="C765" s="58">
        <f>IF('AYIRA MINI MART FINAL MENU - Pr'!C765="", "", 'AYIRA MINI MART FINAL MENU - Pr'!C765)</f>
        <v>4</v>
      </c>
      <c r="D765" s="56" t="str">
        <f>IFERROR(__xludf.DUMMYFUNCTION("IF('AYIRA MINI MART FINAL MENU - Pr'!D765="""", """", GOOGLETRANSLATE('AYIRA MINI MART FINAL MENU - Pr'!D765,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65" s="56" t="str">
        <f>IF('AYIRA MINI MART FINAL MENU - Pr'!K765="", "", 'AYIRA MINI MART FINAL MENU - Pr'!K765)</f>
        <v/>
      </c>
      <c r="F765" s="56"/>
      <c r="G765" s="56"/>
      <c r="H765" s="56"/>
      <c r="I765" s="56"/>
      <c r="J765" s="56"/>
      <c r="L765" s="56" t="str">
        <f>IF('AYIRA MINI MART FINAL MENU - Pr'!L765="", "", 'AYIRA MINI MART FINAL MENU - Pr'!L765)</f>
        <v/>
      </c>
      <c r="M765" s="56" t="str">
        <f>IF('AYIRA MINI MART FINAL MENU - Pr'!M765="", "", 'AYIRA MINI MART FINAL MENU - Pr'!M765)</f>
        <v/>
      </c>
      <c r="N765" s="56" t="str">
        <f>IF('AYIRA MINI MART FINAL MENU - Pr'!N765="", "", 'AYIRA MINI MART FINAL MENU - Pr'!N765)</f>
        <v/>
      </c>
      <c r="O765" s="57"/>
      <c r="P765" s="57"/>
      <c r="Q765" s="57"/>
      <c r="R765" s="57"/>
      <c r="S765" s="57"/>
      <c r="T765" s="57"/>
      <c r="U765" s="57"/>
      <c r="V765" s="57"/>
      <c r="W765" s="57"/>
      <c r="X765" s="57"/>
      <c r="Y765" s="57"/>
      <c r="Z765" s="57"/>
    </row>
    <row r="766">
      <c r="A766" s="56" t="str">
        <f>IFERROR(__xludf.DUMMYFUNCTION("IF('AYIRA MINI MART FINAL MENU - Pr'!A766="""", """", IF(LEN(IFERROR(TRIM(REGEXREPLACE(TRIM(REGEXEXTRACT('AYIRA MINI MART FINAL MENU - Pr'!A766, ""^[^\x{0600}-\x{06FF}]+"")), ""[-–]+$"", """")), """"))&gt;0, IFERROR(TRIM(REGEXREPLACE(TRIM(REGEXEXTRACT('AYIRA"&amp;" MINI MART FINAL MENU - Pr'!A766, ""^[^\x{0600}-\x{06FF}]+"")), ""[-–]+$"", """")), """"), GOOGLETRANSLATE('AYIRA MINI MART FINAL MENU - Pr'!A766, ""ar"", ""en"")))"),"Pringles Original – 165 g")</f>
        <v>Pringles Original – 165 g</v>
      </c>
      <c r="B766" s="56" t="str">
        <f>IFERROR(__xludf.DUMMYFUNCTION("IF('AYIRA MINI MART FINAL MENU - Pr'!B766="""", """", IF(LEN(IFERROR(TRIM(REGEXREPLACE(TRIM(REGEXEXTRACT('AYIRA MINI MART FINAL MENU - Pr'!B766, ""^[^\x{0600}-\x{06FF}]+"")), ""[-–]+$"", """")), """"))&gt;0, IFERROR(TRIM(REGEXREPLACE(TRIM(REGEXEXTRACT('AYIRA"&amp;" MINI MART FINAL MENU - Pr'!B766, ""^[^\x{0600}-\x{06FF}]+"")), ""[-–]+$"", """")), """"), GOOGLETRANSLATE('AYIRA MINI MART FINAL MENU - Pr'!B766, ""ar"", ""en"")))"),"Chips &amp; Crisps")</f>
        <v>Chips &amp; Crisps</v>
      </c>
      <c r="C766" s="58">
        <f>IF('AYIRA MINI MART FINAL MENU - Pr'!C766="", "", 'AYIRA MINI MART FINAL MENU - Pr'!C766)</f>
        <v>10.5</v>
      </c>
      <c r="D766" s="56" t="str">
        <f>IFERROR(__xludf.DUMMYFUNCTION("IF('AYIRA MINI MART FINAL MENU - Pr'!D766="""", """", GOOGLETRANSLATE('AYIRA MINI MART FINAL MENU - Pr'!D766,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66" s="56" t="str">
        <f>IF('AYIRA MINI MART FINAL MENU - Pr'!K766="", "", 'AYIRA MINI MART FINAL MENU - Pr'!K766)</f>
        <v/>
      </c>
      <c r="F766" s="56"/>
      <c r="G766" s="56"/>
      <c r="H766" s="56"/>
      <c r="I766" s="56"/>
      <c r="J766" s="56"/>
      <c r="L766" s="56" t="str">
        <f>IF('AYIRA MINI MART FINAL MENU - Pr'!L766="", "", 'AYIRA MINI MART FINAL MENU - Pr'!L766)</f>
        <v/>
      </c>
      <c r="M766" s="56" t="str">
        <f>IF('AYIRA MINI MART FINAL MENU - Pr'!M766="", "", 'AYIRA MINI MART FINAL MENU - Pr'!M766)</f>
        <v/>
      </c>
      <c r="N766" s="56" t="str">
        <f>IF('AYIRA MINI MART FINAL MENU - Pr'!N766="", "", 'AYIRA MINI MART FINAL MENU - Pr'!N766)</f>
        <v/>
      </c>
      <c r="O766" s="57"/>
      <c r="P766" s="57"/>
      <c r="Q766" s="57"/>
      <c r="R766" s="57"/>
      <c r="S766" s="57"/>
      <c r="T766" s="57"/>
      <c r="U766" s="57"/>
      <c r="V766" s="57"/>
      <c r="W766" s="57"/>
      <c r="X766" s="57"/>
      <c r="Y766" s="57"/>
      <c r="Z766" s="57"/>
    </row>
    <row r="767">
      <c r="A767" s="56" t="str">
        <f>IFERROR(__xludf.DUMMYFUNCTION("IF('AYIRA MINI MART FINAL MENU - Pr'!A767="""", """", IF(LEN(IFERROR(TRIM(REGEXREPLACE(TRIM(REGEXEXTRACT('AYIRA MINI MART FINAL MENU - Pr'!A767, ""^[^\x{0600}-\x{06FF}]+"")), ""[-–]+$"", """")), """"))&gt;0, IFERROR(TRIM(REGEXREPLACE(TRIM(REGEXEXTRACT('AYIRA"&amp;" MINI MART FINAL MENU - Pr'!A767, ""^[^\x{0600}-\x{06FF}]+"")), ""[-–]+$"", """")), """"), GOOGLETRANSLATE('AYIRA MINI MART FINAL MENU - Pr'!A767, ""ar"", ""en"")))"),"Pringles Sour Cream &amp; Onion – 165 g")</f>
        <v>Pringles Sour Cream &amp; Onion – 165 g</v>
      </c>
      <c r="B767" s="56" t="str">
        <f>IFERROR(__xludf.DUMMYFUNCTION("IF('AYIRA MINI MART FINAL MENU - Pr'!B767="""", """", IF(LEN(IFERROR(TRIM(REGEXREPLACE(TRIM(REGEXEXTRACT('AYIRA MINI MART FINAL MENU - Pr'!B767, ""^[^\x{0600}-\x{06FF}]+"")), ""[-–]+$"", """")), """"))&gt;0, IFERROR(TRIM(REGEXREPLACE(TRIM(REGEXEXTRACT('AYIRA"&amp;" MINI MART FINAL MENU - Pr'!B767, ""^[^\x{0600}-\x{06FF}]+"")), ""[-–]+$"", """")), """"), GOOGLETRANSLATE('AYIRA MINI MART FINAL MENU - Pr'!B767, ""ar"", ""en"")))"),"Chips &amp; Crisps")</f>
        <v>Chips &amp; Crisps</v>
      </c>
      <c r="C767" s="58">
        <f>IF('AYIRA MINI MART FINAL MENU - Pr'!C767="", "", 'AYIRA MINI MART FINAL MENU - Pr'!C767)</f>
        <v>10.5</v>
      </c>
      <c r="D767" s="56" t="str">
        <f>IFERROR(__xludf.DUMMYFUNCTION("IF('AYIRA MINI MART FINAL MENU - Pr'!D767="""", """", GOOGLETRANSLATE('AYIRA MINI MART FINAL MENU - Pr'!D767,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67" s="56" t="str">
        <f>IF('AYIRA MINI MART FINAL MENU - Pr'!K767="", "", 'AYIRA MINI MART FINAL MENU - Pr'!K767)</f>
        <v/>
      </c>
      <c r="F767" s="56"/>
      <c r="G767" s="56"/>
      <c r="H767" s="56"/>
      <c r="I767" s="56"/>
      <c r="J767" s="56"/>
      <c r="L767" s="56" t="str">
        <f>IF('AYIRA MINI MART FINAL MENU - Pr'!L767="", "", 'AYIRA MINI MART FINAL MENU - Pr'!L767)</f>
        <v/>
      </c>
      <c r="M767" s="56" t="str">
        <f>IF('AYIRA MINI MART FINAL MENU - Pr'!M767="", "", 'AYIRA MINI MART FINAL MENU - Pr'!M767)</f>
        <v/>
      </c>
      <c r="N767" s="56" t="str">
        <f>IF('AYIRA MINI MART FINAL MENU - Pr'!N767="", "", 'AYIRA MINI MART FINAL MENU - Pr'!N767)</f>
        <v/>
      </c>
      <c r="O767" s="57"/>
      <c r="P767" s="57"/>
      <c r="Q767" s="57"/>
      <c r="R767" s="57"/>
      <c r="S767" s="57"/>
      <c r="T767" s="57"/>
      <c r="U767" s="57"/>
      <c r="V767" s="57"/>
      <c r="W767" s="57"/>
      <c r="X767" s="57"/>
      <c r="Y767" s="57"/>
      <c r="Z767" s="57"/>
    </row>
    <row r="768">
      <c r="A768" s="56" t="str">
        <f>IFERROR(__xludf.DUMMYFUNCTION("IF('AYIRA MINI MART FINAL MENU - Pr'!A768="""", """", IF(LEN(IFERROR(TRIM(REGEXREPLACE(TRIM(REGEXEXTRACT('AYIRA MINI MART FINAL MENU - Pr'!A768, ""^[^\x{0600}-\x{06FF}]+"")), ""[-–]+$"", """")), """"))&gt;0, IFERROR(TRIM(REGEXREPLACE(TRIM(REGEXEXTRACT('AYIRA"&amp;" MINI MART FINAL MENU - Pr'!A768, ""^[^\x{0600}-\x{06FF}]+"")), ""[-–]+$"", """")), """"), GOOGLETRANSLATE('AYIRA MINI MART FINAL MENU - Pr'!A768, ""ar"", ""en"")))"),"Pringles Cheesy Cheesy – 165 g")</f>
        <v>Pringles Cheesy Cheesy – 165 g</v>
      </c>
      <c r="B768" s="56" t="str">
        <f>IFERROR(__xludf.DUMMYFUNCTION("IF('AYIRA MINI MART FINAL MENU - Pr'!B768="""", """", IF(LEN(IFERROR(TRIM(REGEXREPLACE(TRIM(REGEXEXTRACT('AYIRA MINI MART FINAL MENU - Pr'!B768, ""^[^\x{0600}-\x{06FF}]+"")), ""[-–]+$"", """")), """"))&gt;0, IFERROR(TRIM(REGEXREPLACE(TRIM(REGEXEXTRACT('AYIRA"&amp;" MINI MART FINAL MENU - Pr'!B768, ""^[^\x{0600}-\x{06FF}]+"")), ""[-–]+$"", """")), """"), GOOGLETRANSLATE('AYIRA MINI MART FINAL MENU - Pr'!B768, ""ar"", ""en"")))"),"Chips &amp; Crisps")</f>
        <v>Chips &amp; Crisps</v>
      </c>
      <c r="C768" s="58">
        <f>IF('AYIRA MINI MART FINAL MENU - Pr'!C768="", "", 'AYIRA MINI MART FINAL MENU - Pr'!C768)</f>
        <v>10.5</v>
      </c>
      <c r="D768" s="56" t="str">
        <f>IFERROR(__xludf.DUMMYFUNCTION("IF('AYIRA MINI MART FINAL MENU - Pr'!D768="""", """", GOOGLETRANSLATE('AYIRA MINI MART FINAL MENU - Pr'!D768,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68" s="56" t="str">
        <f>IF('AYIRA MINI MART FINAL MENU - Pr'!K768="", "", 'AYIRA MINI MART FINAL MENU - Pr'!K768)</f>
        <v/>
      </c>
      <c r="F768" s="56"/>
      <c r="G768" s="56"/>
      <c r="H768" s="56"/>
      <c r="I768" s="56"/>
      <c r="J768" s="56"/>
      <c r="L768" s="56" t="str">
        <f>IF('AYIRA MINI MART FINAL MENU - Pr'!L768="", "", 'AYIRA MINI MART FINAL MENU - Pr'!L768)</f>
        <v/>
      </c>
      <c r="M768" s="56" t="str">
        <f>IF('AYIRA MINI MART FINAL MENU - Pr'!M768="", "", 'AYIRA MINI MART FINAL MENU - Pr'!M768)</f>
        <v/>
      </c>
      <c r="N768" s="56" t="str">
        <f>IF('AYIRA MINI MART FINAL MENU - Pr'!N768="", "", 'AYIRA MINI MART FINAL MENU - Pr'!N768)</f>
        <v/>
      </c>
      <c r="O768" s="57"/>
      <c r="P768" s="57"/>
      <c r="Q768" s="57"/>
      <c r="R768" s="57"/>
      <c r="S768" s="57"/>
      <c r="T768" s="57"/>
      <c r="U768" s="57"/>
      <c r="V768" s="57"/>
      <c r="W768" s="57"/>
      <c r="X768" s="57"/>
      <c r="Y768" s="57"/>
      <c r="Z768" s="57"/>
    </row>
    <row r="769">
      <c r="A769" s="56" t="str">
        <f>IFERROR(__xludf.DUMMYFUNCTION("IF('AYIRA MINI MART FINAL MENU - Pr'!A769="""", """", IF(LEN(IFERROR(TRIM(REGEXREPLACE(TRIM(REGEXEXTRACT('AYIRA MINI MART FINAL MENU - Pr'!A769, ""^[^\x{0600}-\x{06FF}]+"")), ""[-–]+$"", """")), """"))&gt;0, IFERROR(TRIM(REGEXREPLACE(TRIM(REGEXEXTRACT('AYIRA"&amp;" MINI MART FINAL MENU - Pr'!A769, ""^[^\x{0600}-\x{06FF}]+"")), ""[-–]+$"", """")), """"), GOOGLETRANSLATE('AYIRA MINI MART FINAL MENU - Pr'!A769, ""ar"", ""en"")))"),"Pringles Salt &amp; Vinegar – 165 g")</f>
        <v>Pringles Salt &amp; Vinegar – 165 g</v>
      </c>
      <c r="B769" s="56" t="str">
        <f>IFERROR(__xludf.DUMMYFUNCTION("IF('AYIRA MINI MART FINAL MENU - Pr'!B769="""", """", IF(LEN(IFERROR(TRIM(REGEXREPLACE(TRIM(REGEXEXTRACT('AYIRA MINI MART FINAL MENU - Pr'!B769, ""^[^\x{0600}-\x{06FF}]+"")), ""[-–]+$"", """")), """"))&gt;0, IFERROR(TRIM(REGEXREPLACE(TRIM(REGEXEXTRACT('AYIRA"&amp;" MINI MART FINAL MENU - Pr'!B769, ""^[^\x{0600}-\x{06FF}]+"")), ""[-–]+$"", """")), """"), GOOGLETRANSLATE('AYIRA MINI MART FINAL MENU - Pr'!B769, ""ar"", ""en"")))"),"Chips &amp; Crisps")</f>
        <v>Chips &amp; Crisps</v>
      </c>
      <c r="C769" s="58">
        <f>IF('AYIRA MINI MART FINAL MENU - Pr'!C769="", "", 'AYIRA MINI MART FINAL MENU - Pr'!C769)</f>
        <v>10.5</v>
      </c>
      <c r="D769" s="56" t="str">
        <f>IFERROR(__xludf.DUMMYFUNCTION("IF('AYIRA MINI MART FINAL MENU - Pr'!D769="""", """", GOOGLETRANSLATE('AYIRA MINI MART FINAL MENU - Pr'!D769,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69" s="56" t="str">
        <f>IF('AYIRA MINI MART FINAL MENU - Pr'!K769="", "", 'AYIRA MINI MART FINAL MENU - Pr'!K769)</f>
        <v/>
      </c>
      <c r="F769" s="56"/>
      <c r="G769" s="56"/>
      <c r="H769" s="56"/>
      <c r="I769" s="56"/>
      <c r="J769" s="56"/>
      <c r="L769" s="56" t="str">
        <f>IF('AYIRA MINI MART FINAL MENU - Pr'!L769="", "", 'AYIRA MINI MART FINAL MENU - Pr'!L769)</f>
        <v/>
      </c>
      <c r="M769" s="56" t="str">
        <f>IF('AYIRA MINI MART FINAL MENU - Pr'!M769="", "", 'AYIRA MINI MART FINAL MENU - Pr'!M769)</f>
        <v/>
      </c>
      <c r="N769" s="56" t="str">
        <f>IF('AYIRA MINI MART FINAL MENU - Pr'!N769="", "", 'AYIRA MINI MART FINAL MENU - Pr'!N769)</f>
        <v/>
      </c>
      <c r="O769" s="57"/>
      <c r="P769" s="57"/>
      <c r="Q769" s="57"/>
      <c r="R769" s="57"/>
      <c r="S769" s="57"/>
      <c r="T769" s="57"/>
      <c r="U769" s="57"/>
      <c r="V769" s="57"/>
      <c r="W769" s="57"/>
      <c r="X769" s="57"/>
      <c r="Y769" s="57"/>
      <c r="Z769" s="57"/>
    </row>
    <row r="770">
      <c r="A770" s="56" t="str">
        <f>IFERROR(__xludf.DUMMYFUNCTION("IF('AYIRA MINI MART FINAL MENU - Pr'!A770="""", """", IF(LEN(IFERROR(TRIM(REGEXREPLACE(TRIM(REGEXEXTRACT('AYIRA MINI MART FINAL MENU - Pr'!A770, ""^[^\x{0600}-\x{06FF}]+"")), ""[-–]+$"", """")), """"))&gt;0, IFERROR(TRIM(REGEXREPLACE(TRIM(REGEXEXTRACT('AYIRA"&amp;" MINI MART FINAL MENU - Pr'!A770, ""^[^\x{0600}-\x{06FF}]+"")), ""[-–]+$"", """")), """"), GOOGLETRANSLATE('AYIRA MINI MART FINAL MENU - Pr'!A770, ""ar"", ""en"")))"),"Chips Oman Chilli Flavour Potato Chips – 137 g")</f>
        <v>Chips Oman Chilli Flavour Potato Chips – 137 g</v>
      </c>
      <c r="B770" s="56" t="str">
        <f>IFERROR(__xludf.DUMMYFUNCTION("IF('AYIRA MINI MART FINAL MENU - Pr'!B770="""", """", IF(LEN(IFERROR(TRIM(REGEXREPLACE(TRIM(REGEXEXTRACT('AYIRA MINI MART FINAL MENU - Pr'!B770, ""^[^\x{0600}-\x{06FF}]+"")), ""[-–]+$"", """")), """"))&gt;0, IFERROR(TRIM(REGEXREPLACE(TRIM(REGEXEXTRACT('AYIRA"&amp;" MINI MART FINAL MENU - Pr'!B770, ""^[^\x{0600}-\x{06FF}]+"")), ""[-–]+$"", """")), """"), GOOGLETRANSLATE('AYIRA MINI MART FINAL MENU - Pr'!B770, ""ar"", ""en"")))"),"Chips &amp; Crisps")</f>
        <v>Chips &amp; Crisps</v>
      </c>
      <c r="C770" s="58">
        <f>IF('AYIRA MINI MART FINAL MENU - Pr'!C770="", "", 'AYIRA MINI MART FINAL MENU - Pr'!C770)</f>
        <v>7.5</v>
      </c>
      <c r="D770" s="56" t="str">
        <f>IFERROR(__xludf.DUMMYFUNCTION("IF('AYIRA MINI MART FINAL MENU - Pr'!D770="""", """", GOOGLETRANSLATE('AYIRA MINI MART FINAL MENU - Pr'!D770, ""ar"", ""en""))"),"Don't be able to resist the taste of Oman Chilli Flavor Potato Chips – 137g, your perfect companion for relaxing and watching matches. Their unique crunch and varied flavors make every handful a delightful experience. Prepared with the finest ingredients "&amp;"using the latest manufacturing techniques to ensure an unparalleled taste. Ideal as a snack for adults and children alike between meals. Aira Mini Mart offers them in the perfect size and flavor for you.")</f>
        <v>Don't be able to resist the taste of Oman Chilli Flavor Potato Chips – 137g, your perfect companion for relaxing and watching matches.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770" s="56" t="str">
        <f>IF('AYIRA MINI MART FINAL MENU - Pr'!K770="", "", 'AYIRA MINI MART FINAL MENU - Pr'!K770)</f>
        <v/>
      </c>
      <c r="F770" s="56"/>
      <c r="G770" s="56"/>
      <c r="H770" s="56"/>
      <c r="I770" s="56"/>
      <c r="J770" s="56"/>
      <c r="L770" s="56" t="str">
        <f>IF('AYIRA MINI MART FINAL MENU - Pr'!L770="", "", 'AYIRA MINI MART FINAL MENU - Pr'!L770)</f>
        <v/>
      </c>
      <c r="M770" s="56" t="str">
        <f>IF('AYIRA MINI MART FINAL MENU - Pr'!M770="", "", 'AYIRA MINI MART FINAL MENU - Pr'!M770)</f>
        <v/>
      </c>
      <c r="N770" s="56" t="str">
        <f>IF('AYIRA MINI MART FINAL MENU - Pr'!N770="", "", 'AYIRA MINI MART FINAL MENU - Pr'!N770)</f>
        <v/>
      </c>
      <c r="O770" s="57"/>
      <c r="P770" s="57"/>
      <c r="Q770" s="57"/>
      <c r="R770" s="57"/>
      <c r="S770" s="57"/>
      <c r="T770" s="57"/>
      <c r="U770" s="57"/>
      <c r="V770" s="57"/>
      <c r="W770" s="57"/>
      <c r="X770" s="57"/>
      <c r="Y770" s="57"/>
      <c r="Z770" s="57"/>
    </row>
    <row r="771">
      <c r="A771" s="56" t="str">
        <f>IFERROR(__xludf.DUMMYFUNCTION("IF('AYIRA MINI MART FINAL MENU - Pr'!A771="""", """", IF(LEN(IFERROR(TRIM(REGEXREPLACE(TRIM(REGEXEXTRACT('AYIRA MINI MART FINAL MENU - Pr'!A771, ""^[^\x{0600}-\x{06FF}]+"")), ""[-–]+$"", """")), """"))&gt;0, IFERROR(TRIM(REGEXREPLACE(TRIM(REGEXEXTRACT('AYIRA"&amp;" MINI MART FINAL MENU - Pr'!A771, ""^[^\x{0600}-\x{06FF}]+"")), ""[-–]+$"", """")), """"), GOOGLETRANSLATE('AYIRA MINI MART FINAL MENU - Pr'!A771, ""ar"", ""en"")))"),"Pringles Ketchup – 165 g")</f>
        <v>Pringles Ketchup – 165 g</v>
      </c>
      <c r="B771" s="56" t="str">
        <f>IFERROR(__xludf.DUMMYFUNCTION("IF('AYIRA MINI MART FINAL MENU - Pr'!B771="""", """", IF(LEN(IFERROR(TRIM(REGEXREPLACE(TRIM(REGEXEXTRACT('AYIRA MINI MART FINAL MENU - Pr'!B771, ""^[^\x{0600}-\x{06FF}]+"")), ""[-–]+$"", """")), """"))&gt;0, IFERROR(TRIM(REGEXREPLACE(TRIM(REGEXEXTRACT('AYIRA"&amp;" MINI MART FINAL MENU - Pr'!B771, ""^[^\x{0600}-\x{06FF}]+"")), ""[-–]+$"", """")), """"), GOOGLETRANSLATE('AYIRA MINI MART FINAL MENU - Pr'!B771, ""ar"", ""en"")))"),"Chips &amp; Crisps")</f>
        <v>Chips &amp; Crisps</v>
      </c>
      <c r="C771" s="58">
        <f>IF('AYIRA MINI MART FINAL MENU - Pr'!C771="", "", 'AYIRA MINI MART FINAL MENU - Pr'!C771)</f>
        <v>10.5</v>
      </c>
      <c r="D771" s="56" t="str">
        <f>IFERROR(__xludf.DUMMYFUNCTION("IF('AYIRA MINI MART FINAL MENU - Pr'!D771="""", """", GOOGLETRANSLATE('AYIRA MINI MART FINAL MENU - Pr'!D771,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71" s="56" t="str">
        <f>IF('AYIRA MINI MART FINAL MENU - Pr'!K771="", "", 'AYIRA MINI MART FINAL MENU - Pr'!K771)</f>
        <v/>
      </c>
      <c r="F771" s="56"/>
      <c r="G771" s="56"/>
      <c r="H771" s="56"/>
      <c r="I771" s="56"/>
      <c r="J771" s="56"/>
      <c r="L771" s="56" t="str">
        <f>IF('AYIRA MINI MART FINAL MENU - Pr'!L771="", "", 'AYIRA MINI MART FINAL MENU - Pr'!L771)</f>
        <v/>
      </c>
      <c r="M771" s="56" t="str">
        <f>IF('AYIRA MINI MART FINAL MENU - Pr'!M771="", "", 'AYIRA MINI MART FINAL MENU - Pr'!M771)</f>
        <v/>
      </c>
      <c r="N771" s="56" t="str">
        <f>IF('AYIRA MINI MART FINAL MENU - Pr'!N771="", "", 'AYIRA MINI MART FINAL MENU - Pr'!N771)</f>
        <v/>
      </c>
      <c r="O771" s="57"/>
      <c r="P771" s="57"/>
      <c r="Q771" s="57"/>
      <c r="R771" s="57"/>
      <c r="S771" s="57"/>
      <c r="T771" s="57"/>
      <c r="U771" s="57"/>
      <c r="V771" s="57"/>
      <c r="W771" s="57"/>
      <c r="X771" s="57"/>
      <c r="Y771" s="57"/>
      <c r="Z771" s="57"/>
    </row>
    <row r="772">
      <c r="A772" s="56" t="str">
        <f>IFERROR(__xludf.DUMMYFUNCTION("IF('AYIRA MINI MART FINAL MENU - Pr'!A772="""", """", IF(LEN(IFERROR(TRIM(REGEXREPLACE(TRIM(REGEXEXTRACT('AYIRA MINI MART FINAL MENU - Pr'!A772, ""^[^\x{0600}-\x{06FF}]+"")), ""[-–]+$"", """")), """"))&gt;0, IFERROR(TRIM(REGEXREPLACE(TRIM(REGEXEXTRACT('AYIRA"&amp;" MINI MART FINAL MENU - Pr'!A772, ""^[^\x{0600}-\x{06FF}]+"")), ""[-–]+$"", """")), """"), GOOGLETRANSLATE('AYIRA MINI MART FINAL MENU - Pr'!A772, ""ar"", ""en"")))"),"Pringles Barbeque – 165 g")</f>
        <v>Pringles Barbeque – 165 g</v>
      </c>
      <c r="B772" s="56" t="str">
        <f>IFERROR(__xludf.DUMMYFUNCTION("IF('AYIRA MINI MART FINAL MENU - Pr'!B772="""", """", IF(LEN(IFERROR(TRIM(REGEXREPLACE(TRIM(REGEXEXTRACT('AYIRA MINI MART FINAL MENU - Pr'!B772, ""^[^\x{0600}-\x{06FF}]+"")), ""[-–]+$"", """")), """"))&gt;0, IFERROR(TRIM(REGEXREPLACE(TRIM(REGEXEXTRACT('AYIRA"&amp;" MINI MART FINAL MENU - Pr'!B772, ""^[^\x{0600}-\x{06FF}]+"")), ""[-–]+$"", """")), """"), GOOGLETRANSLATE('AYIRA MINI MART FINAL MENU - Pr'!B772, ""ar"", ""en"")))"),"Chips &amp; Crisps")</f>
        <v>Chips &amp; Crisps</v>
      </c>
      <c r="C772" s="58">
        <f>IF('AYIRA MINI MART FINAL MENU - Pr'!C772="", "", 'AYIRA MINI MART FINAL MENU - Pr'!C772)</f>
        <v>10.5</v>
      </c>
      <c r="D772" s="56" t="str">
        <f>IFERROR(__xludf.DUMMYFUNCTION("IF('AYIRA MINI MART FINAL MENU - Pr'!D772="""", """", GOOGLETRANSLATE('AYIRA MINI MART FINAL MENU - Pr'!D772,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72" s="56" t="str">
        <f>IF('AYIRA MINI MART FINAL MENU - Pr'!K772="", "", 'AYIRA MINI MART FINAL MENU - Pr'!K772)</f>
        <v/>
      </c>
      <c r="F772" s="56"/>
      <c r="G772" s="56"/>
      <c r="H772" s="56"/>
      <c r="I772" s="56"/>
      <c r="J772" s="56"/>
      <c r="L772" s="56" t="str">
        <f>IF('AYIRA MINI MART FINAL MENU - Pr'!L772="", "", 'AYIRA MINI MART FINAL MENU - Pr'!L772)</f>
        <v/>
      </c>
      <c r="M772" s="56" t="str">
        <f>IF('AYIRA MINI MART FINAL MENU - Pr'!M772="", "", 'AYIRA MINI MART FINAL MENU - Pr'!M772)</f>
        <v/>
      </c>
      <c r="N772" s="56" t="str">
        <f>IF('AYIRA MINI MART FINAL MENU - Pr'!N772="", "", 'AYIRA MINI MART FINAL MENU - Pr'!N772)</f>
        <v/>
      </c>
      <c r="O772" s="57"/>
      <c r="P772" s="57"/>
      <c r="Q772" s="57"/>
      <c r="R772" s="57"/>
      <c r="S772" s="57"/>
      <c r="T772" s="57"/>
      <c r="U772" s="57"/>
      <c r="V772" s="57"/>
      <c r="W772" s="57"/>
      <c r="X772" s="57"/>
      <c r="Y772" s="57"/>
      <c r="Z772" s="57"/>
    </row>
    <row r="773">
      <c r="A773" s="56" t="str">
        <f>IFERROR(__xludf.DUMMYFUNCTION("IF('AYIRA MINI MART FINAL MENU - Pr'!A773="""", """", IF(LEN(IFERROR(TRIM(REGEXREPLACE(TRIM(REGEXEXTRACT('AYIRA MINI MART FINAL MENU - Pr'!A773, ""^[^\x{0600}-\x{06FF}]+"")), ""[-–]+$"", """")), """"))&gt;0, IFERROR(TRIM(REGEXREPLACE(TRIM(REGEXEXTRACT('AYIRA"&amp;" MINI MART FINAL MENU - Pr'!A773, ""^[^\x{0600}-\x{06FF}]+"")), ""[-–]+$"", """")), """"), GOOGLETRANSLATE('AYIRA MINI MART FINAL MENU - Pr'!A773, ""ar"", ""en"")))"),"Pringles Hot &amp; Spicy – 165 g")</f>
        <v>Pringles Hot &amp; Spicy – 165 g</v>
      </c>
      <c r="B773" s="56" t="str">
        <f>IFERROR(__xludf.DUMMYFUNCTION("IF('AYIRA MINI MART FINAL MENU - Pr'!B773="""", """", IF(LEN(IFERROR(TRIM(REGEXREPLACE(TRIM(REGEXEXTRACT('AYIRA MINI MART FINAL MENU - Pr'!B773, ""^[^\x{0600}-\x{06FF}]+"")), ""[-–]+$"", """")), """"))&gt;0, IFERROR(TRIM(REGEXREPLACE(TRIM(REGEXEXTRACT('AYIRA"&amp;" MINI MART FINAL MENU - Pr'!B773, ""^[^\x{0600}-\x{06FF}]+"")), ""[-–]+$"", """")), """"), GOOGLETRANSLATE('AYIRA MINI MART FINAL MENU - Pr'!B773, ""ar"", ""en"")))"),"Chips &amp; Crisps")</f>
        <v>Chips &amp; Crisps</v>
      </c>
      <c r="C773" s="58">
        <f>IF('AYIRA MINI MART FINAL MENU - Pr'!C773="", "", 'AYIRA MINI MART FINAL MENU - Pr'!C773)</f>
        <v>10.5</v>
      </c>
      <c r="D773" s="56" t="str">
        <f>IFERROR(__xludf.DUMMYFUNCTION("IF('AYIRA MINI MART FINAL MENU - Pr'!D773="""", """", GOOGLETRANSLATE('AYIRA MINI MART FINAL MENU - Pr'!D773,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73" s="56" t="str">
        <f>IF('AYIRA MINI MART FINAL MENU - Pr'!K773="", "", 'AYIRA MINI MART FINAL MENU - Pr'!K773)</f>
        <v/>
      </c>
      <c r="F773" s="56"/>
      <c r="G773" s="56"/>
      <c r="H773" s="56"/>
      <c r="I773" s="56"/>
      <c r="J773" s="56"/>
      <c r="L773" s="56" t="str">
        <f>IF('AYIRA MINI MART FINAL MENU - Pr'!L773="", "", 'AYIRA MINI MART FINAL MENU - Pr'!L773)</f>
        <v/>
      </c>
      <c r="M773" s="56" t="str">
        <f>IF('AYIRA MINI MART FINAL MENU - Pr'!M773="", "", 'AYIRA MINI MART FINAL MENU - Pr'!M773)</f>
        <v/>
      </c>
      <c r="N773" s="56" t="str">
        <f>IF('AYIRA MINI MART FINAL MENU - Pr'!N773="", "", 'AYIRA MINI MART FINAL MENU - Pr'!N773)</f>
        <v/>
      </c>
      <c r="O773" s="57"/>
      <c r="P773" s="57"/>
      <c r="Q773" s="57"/>
      <c r="R773" s="57"/>
      <c r="S773" s="57"/>
      <c r="T773" s="57"/>
      <c r="U773" s="57"/>
      <c r="V773" s="57"/>
      <c r="W773" s="57"/>
      <c r="X773" s="57"/>
      <c r="Y773" s="57"/>
      <c r="Z773" s="57"/>
    </row>
    <row r="774">
      <c r="A774" s="56" t="str">
        <f>IFERROR(__xludf.DUMMYFUNCTION("IF('AYIRA MINI MART FINAL MENU - Pr'!A774="""", """", IF(LEN(IFERROR(TRIM(REGEXREPLACE(TRIM(REGEXEXTRACT('AYIRA MINI MART FINAL MENU - Pr'!A774, ""^[^\x{0600}-\x{06FF}]+"")), ""[-–]+$"", """")), """"))&gt;0, IFERROR(TRIM(REGEXREPLACE(TRIM(REGEXEXTRACT('AYIRA"&amp;" MINI MART FINAL MENU - Pr'!A774, ""^[^\x{0600}-\x{06FF}]+"")), ""[-–]+$"", """")), """"), GOOGLETRANSLATE('AYIRA MINI MART FINAL MENU - Pr'!A774, ""ar"", ""en"")))"),"Pringles Paprika – 165 g")</f>
        <v>Pringles Paprika – 165 g</v>
      </c>
      <c r="B774" s="56" t="str">
        <f>IFERROR(__xludf.DUMMYFUNCTION("IF('AYIRA MINI MART FINAL MENU - Pr'!B774="""", """", IF(LEN(IFERROR(TRIM(REGEXREPLACE(TRIM(REGEXEXTRACT('AYIRA MINI MART FINAL MENU - Pr'!B774, ""^[^\x{0600}-\x{06FF}]+"")), ""[-–]+$"", """")), """"))&gt;0, IFERROR(TRIM(REGEXREPLACE(TRIM(REGEXEXTRACT('AYIRA"&amp;" MINI MART FINAL MENU - Pr'!B774, ""^[^\x{0600}-\x{06FF}]+"")), ""[-–]+$"", """")), """"), GOOGLETRANSLATE('AYIRA MINI MART FINAL MENU - Pr'!B774, ""ar"", ""en"")))"),"Chips &amp; Crisps")</f>
        <v>Chips &amp; Crisps</v>
      </c>
      <c r="C774" s="58">
        <f>IF('AYIRA MINI MART FINAL MENU - Pr'!C774="", "", 'AYIRA MINI MART FINAL MENU - Pr'!C774)</f>
        <v>10.5</v>
      </c>
      <c r="D774" s="56" t="str">
        <f>IFERROR(__xludf.DUMMYFUNCTION("IF('AYIRA MINI MART FINAL MENU - Pr'!D774="""", """", GOOGLETRANSLATE('AYIRA MINI MART FINAL MENU - Pr'!D774, ""ar"", ""en""))"),"Don't be able to resist the taste of Pringles, your perfect companion for relaxing and watching the game. Their unique crunch and diverse flavors make every handful a delightful experience. Made with the finest ingredients using the latest manufacturing t"&amp;"echniques to guarantee an unparalleled taste. Ideal as a snack for adults and children alike between meals. Aira Mini Mart offers them in the perfect size and flavor for you.")</f>
        <v>Don't be able to resist the taste of Pringles, your perfect companion for relaxing and watching the game. Their unique crunch and diverse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774" s="56" t="str">
        <f>IF('AYIRA MINI MART FINAL MENU - Pr'!K774="", "", 'AYIRA MINI MART FINAL MENU - Pr'!K774)</f>
        <v/>
      </c>
      <c r="F774" s="56"/>
      <c r="G774" s="56"/>
      <c r="H774" s="56"/>
      <c r="I774" s="56"/>
      <c r="J774" s="56"/>
      <c r="L774" s="56" t="str">
        <f>IF('AYIRA MINI MART FINAL MENU - Pr'!L774="", "", 'AYIRA MINI MART FINAL MENU - Pr'!L774)</f>
        <v/>
      </c>
      <c r="M774" s="56" t="str">
        <f>IF('AYIRA MINI MART FINAL MENU - Pr'!M774="", "", 'AYIRA MINI MART FINAL MENU - Pr'!M774)</f>
        <v/>
      </c>
      <c r="N774" s="56" t="str">
        <f>IF('AYIRA MINI MART FINAL MENU - Pr'!N774="", "", 'AYIRA MINI MART FINAL MENU - Pr'!N774)</f>
        <v/>
      </c>
      <c r="O774" s="57"/>
      <c r="P774" s="57"/>
      <c r="Q774" s="57"/>
      <c r="R774" s="57"/>
      <c r="S774" s="57"/>
      <c r="T774" s="57"/>
      <c r="U774" s="57"/>
      <c r="V774" s="57"/>
      <c r="W774" s="57"/>
      <c r="X774" s="57"/>
      <c r="Y774" s="57"/>
      <c r="Z774" s="57"/>
    </row>
    <row r="775">
      <c r="A775" s="56" t="str">
        <f>IFERROR(__xludf.DUMMYFUNCTION("IF('AYIRA MINI MART FINAL MENU - Pr'!A775="""", """", IF(LEN(IFERROR(TRIM(REGEXREPLACE(TRIM(REGEXEXTRACT('AYIRA MINI MART FINAL MENU - Pr'!A775, ""^[^\x{0600}-\x{06FF}]+"")), ""[-–]+$"", """")), """"))&gt;0, IFERROR(TRIM(REGEXREPLACE(TRIM(REGEXEXTRACT('AYIRA"&amp;" MINI MART FINAL MENU - Pr'!A775, ""^[^\x{0600}-\x{06FF}]+"")), ""[-–]+$"", """")), """"), GOOGLETRANSLATE('AYIRA MINI MART FINAL MENU - Pr'!A775, ""ar"", ""en"")))"),"fruits Roll Grape Flavour 12 g – fruits Roll")</f>
        <v>fruits Roll Grape Flavour 12 g – fruits Roll</v>
      </c>
      <c r="B775" s="56" t="str">
        <f>IFERROR(__xludf.DUMMYFUNCTION("IF('AYIRA MINI MART FINAL MENU - Pr'!B775="""", """", IF(LEN(IFERROR(TRIM(REGEXREPLACE(TRIM(REGEXEXTRACT('AYIRA MINI MART FINAL MENU - Pr'!B775, ""^[^\x{0600}-\x{06FF}]+"")), ""[-–]+$"", """")), """"))&gt;0, IFERROR(TRIM(REGEXREPLACE(TRIM(REGEXEXTRACT('AYIRA"&amp;" MINI MART FINAL MENU - Pr'!B775, ""^[^\x{0600}-\x{06FF}]+"")), ""[-–]+$"", """")), """"), GOOGLETRANSLATE('AYIRA MINI MART FINAL MENU - Pr'!B775, ""ar"", ""en"")))"),"Candy |")</f>
        <v>Candy |</v>
      </c>
      <c r="C775" s="58">
        <f>IF('AYIRA MINI MART FINAL MENU - Pr'!C775="", "", 'AYIRA MINI MART FINAL MENU - Pr'!C775)</f>
        <v>1</v>
      </c>
      <c r="D775" s="56" t="str">
        <f>IFERROR(__xludf.DUMMYFUNCTION("IF('AYIRA MINI MART FINAL MENU - Pr'!D775="""", """", GOOGLETRANSLATE('AYIRA MINI MART FINAL MENU - Pr'!D775, ""ar"", ""en""))"),"Don't be able to resist the taste of Fruits Roll Grape Flavor 12g, your perfect companion for relaxing and watching the game. Its unique crunch and varied flavors make every handful a delightful experience. Prepared with the finest ingredients using the l"&amp;"atest manufacturing techniques to ensure an unparalleled taste. Ideal as a snack for adults and children between meals. Aira Mini Mart offers it in the perfect size and flavor for you.")</f>
        <v>Don't be able to resist the taste of Fruits Roll Grape Flavor 12g,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775" s="56" t="str">
        <f>IF('AYIRA MINI MART FINAL MENU - Pr'!K775="", "", 'AYIRA MINI MART FINAL MENU - Pr'!K775)</f>
        <v/>
      </c>
      <c r="F775" s="56"/>
      <c r="G775" s="56"/>
      <c r="H775" s="56"/>
      <c r="I775" s="56"/>
      <c r="J775" s="56"/>
      <c r="L775" s="56" t="str">
        <f>IF('AYIRA MINI MART FINAL MENU - Pr'!L775="", "", 'AYIRA MINI MART FINAL MENU - Pr'!L775)</f>
        <v/>
      </c>
      <c r="M775" s="56" t="str">
        <f>IF('AYIRA MINI MART FINAL MENU - Pr'!M775="", "", 'AYIRA MINI MART FINAL MENU - Pr'!M775)</f>
        <v/>
      </c>
      <c r="N775" s="56" t="str">
        <f>IF('AYIRA MINI MART FINAL MENU - Pr'!N775="", "", 'AYIRA MINI MART FINAL MENU - Pr'!N775)</f>
        <v/>
      </c>
      <c r="O775" s="57"/>
      <c r="P775" s="57"/>
      <c r="Q775" s="57"/>
      <c r="R775" s="57"/>
      <c r="S775" s="57"/>
      <c r="T775" s="57"/>
      <c r="U775" s="57"/>
      <c r="V775" s="57"/>
      <c r="W775" s="57"/>
      <c r="X775" s="57"/>
      <c r="Y775" s="57"/>
      <c r="Z775" s="57"/>
    </row>
    <row r="776">
      <c r="A776" s="56" t="str">
        <f>IFERROR(__xludf.DUMMYFUNCTION("IF('AYIRA MINI MART FINAL MENU - Pr'!A776="""", """", IF(LEN(IFERROR(TRIM(REGEXREPLACE(TRIM(REGEXEXTRACT('AYIRA MINI MART FINAL MENU - Pr'!A776, ""^[^\x{0600}-\x{06FF}]+"")), ""[-–]+$"", """")), """"))&gt;0, IFERROR(TRIM(REGEXREPLACE(TRIM(REGEXEXTRACT('AYIRA"&amp;" MINI MART FINAL MENU - Pr'!A776, ""^[^\x{0600}-\x{06FF}]+"")), ""[-–]+$"", """")), """"), GOOGLETRANSLATE('AYIRA MINI MART FINAL MENU - Pr'!A776, ""ar"", ""en"")))"),"Cats Pop 35 g – Cats Pop 35")</f>
        <v>Cats Pop 35 g – Cats Pop 35</v>
      </c>
      <c r="B776" s="56" t="str">
        <f>IFERROR(__xludf.DUMMYFUNCTION("IF('AYIRA MINI MART FINAL MENU - Pr'!B776="""", """", IF(LEN(IFERROR(TRIM(REGEXREPLACE(TRIM(REGEXEXTRACT('AYIRA MINI MART FINAL MENU - Pr'!B776, ""^[^\x{0600}-\x{06FF}]+"")), ""[-–]+$"", """")), """"))&gt;0, IFERROR(TRIM(REGEXREPLACE(TRIM(REGEXEXTRACT('AYIRA"&amp;" MINI MART FINAL MENU - Pr'!B776, ""^[^\x{0600}-\x{06FF}]+"")), ""[-–]+$"", """")), """"), GOOGLETRANSLATE('AYIRA MINI MART FINAL MENU - Pr'!B776, ""ar"", ""en"")))"),"Candy |")</f>
        <v>Candy |</v>
      </c>
      <c r="C776" s="58">
        <f>IF('AYIRA MINI MART FINAL MENU - Pr'!C776="", "", 'AYIRA MINI MART FINAL MENU - Pr'!C776)</f>
        <v>4</v>
      </c>
      <c r="D776" s="56" t="str">
        <f>IFERROR(__xludf.DUMMYFUNCTION("IF('AYIRA MINI MART FINAL MENU - Pr'!D776="""", """", GOOGLETRANSLATE('AYIRA MINI MART FINAL MENU - Pr'!D776, ""ar"", ""en""))"),"Don't be able to resist the taste of Cats Pop 35g, your perfect companion for relaxing and watching the game. Its unique crunch and varied flavors make every handful a delightful experience. Prepared with the finest ingredients using the latest manufactur"&amp;"ing techniques to guarantee an unparalleled taste. Ideal as a snack for adults and children between meals. Aira Mini Mart offers it in the perfect size and flavor for you.")</f>
        <v>Don't be able to resist the taste of Cats Pop 35g,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776" s="56" t="str">
        <f>IF('AYIRA MINI MART FINAL MENU - Pr'!K776="", "", 'AYIRA MINI MART FINAL MENU - Pr'!K776)</f>
        <v/>
      </c>
      <c r="F776" s="56"/>
      <c r="G776" s="56"/>
      <c r="H776" s="56"/>
      <c r="I776" s="56"/>
      <c r="J776" s="56"/>
      <c r="L776" s="56" t="str">
        <f>IF('AYIRA MINI MART FINAL MENU - Pr'!L776="", "", 'AYIRA MINI MART FINAL MENU - Pr'!L776)</f>
        <v/>
      </c>
      <c r="M776" s="56" t="str">
        <f>IF('AYIRA MINI MART FINAL MENU - Pr'!M776="", "", 'AYIRA MINI MART FINAL MENU - Pr'!M776)</f>
        <v/>
      </c>
      <c r="N776" s="56" t="str">
        <f>IF('AYIRA MINI MART FINAL MENU - Pr'!N776="", "", 'AYIRA MINI MART FINAL MENU - Pr'!N776)</f>
        <v/>
      </c>
      <c r="O776" s="57"/>
      <c r="P776" s="57"/>
      <c r="Q776" s="57"/>
      <c r="R776" s="57"/>
      <c r="S776" s="57"/>
      <c r="T776" s="57"/>
      <c r="U776" s="57"/>
      <c r="V776" s="57"/>
      <c r="W776" s="57"/>
      <c r="X776" s="57"/>
      <c r="Y776" s="57"/>
      <c r="Z776" s="57"/>
    </row>
    <row r="777">
      <c r="A777" s="56" t="str">
        <f>IFERROR(__xludf.DUMMYFUNCTION("IF('AYIRA MINI MART FINAL MENU - Pr'!A777="""", """", IF(LEN(IFERROR(TRIM(REGEXREPLACE(TRIM(REGEXEXTRACT('AYIRA MINI MART FINAL MENU - Pr'!A777, ""^[^\x{0600}-\x{06FF}]+"")), ""[-–]+$"", """")), """"))&gt;0, IFERROR(TRIM(REGEXREPLACE(TRIM(REGEXEXTRACT('AYIRA"&amp;" MINI MART FINAL MENU - Pr'!A777, ""^[^\x{0600}-\x{06FF}]+"")), ""[-–]+$"", """")), """"), GOOGLETRANSLATE('AYIRA MINI MART FINAL MENU - Pr'!A777, ""ar"", ""en"")))"),"Twist Stick Mallow 12 g – Twist")</f>
        <v>Twist Stick Mallow 12 g – Twist</v>
      </c>
      <c r="B777" s="56" t="str">
        <f>IFERROR(__xludf.DUMMYFUNCTION("IF('AYIRA MINI MART FINAL MENU - Pr'!B777="""", """", IF(LEN(IFERROR(TRIM(REGEXREPLACE(TRIM(REGEXEXTRACT('AYIRA MINI MART FINAL MENU - Pr'!B777, ""^[^\x{0600}-\x{06FF}]+"")), ""[-–]+$"", """")), """"))&gt;0, IFERROR(TRIM(REGEXREPLACE(TRIM(REGEXEXTRACT('AYIRA"&amp;" MINI MART FINAL MENU - Pr'!B777, ""^[^\x{0600}-\x{06FF}]+"")), ""[-–]+$"", """")), """"), GOOGLETRANSLATE('AYIRA MINI MART FINAL MENU - Pr'!B777, ""ar"", ""en"")))"),"Candy |")</f>
        <v>Candy |</v>
      </c>
      <c r="C777" s="58">
        <f>IF('AYIRA MINI MART FINAL MENU - Pr'!C777="", "", 'AYIRA MINI MART FINAL MENU - Pr'!C777)</f>
        <v>1.5</v>
      </c>
      <c r="D777" s="56" t="str">
        <f>IFERROR(__xludf.DUMMYFUNCTION("IF('AYIRA MINI MART FINAL MENU - Pr'!D777="""", """", GOOGLETRANSLATE('AYIRA MINI MART FINAL MENU - Pr'!D777, ""ar"", ""en""))"),"Don't be able to resist the taste of Twist Stick Mallow 12g, your perfect companion for relaxing and watching the game. Its unique crunch and varied flavors make every handful a delightful experience. Prepared with the finest ingredients using the latest "&amp;"manufacturing techniques to ensure an unparalleled taste. Ideal as a snack for adults and children alike between meals. Aira Mini Mart offers it in the perfect size and flavor for you.")</f>
        <v>Don't be able to resist the taste of Twist Stick Mallow 12g,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777" s="56" t="str">
        <f>IF('AYIRA MINI MART FINAL MENU - Pr'!K777="", "", 'AYIRA MINI MART FINAL MENU - Pr'!K777)</f>
        <v/>
      </c>
      <c r="F777" s="56"/>
      <c r="G777" s="56"/>
      <c r="H777" s="56"/>
      <c r="I777" s="56"/>
      <c r="J777" s="56"/>
      <c r="L777" s="56" t="str">
        <f>IF('AYIRA MINI MART FINAL MENU - Pr'!L777="", "", 'AYIRA MINI MART FINAL MENU - Pr'!L777)</f>
        <v/>
      </c>
      <c r="M777" s="56" t="str">
        <f>IF('AYIRA MINI MART FINAL MENU - Pr'!M777="", "", 'AYIRA MINI MART FINAL MENU - Pr'!M777)</f>
        <v/>
      </c>
      <c r="N777" s="56" t="str">
        <f>IF('AYIRA MINI MART FINAL MENU - Pr'!N777="", "", 'AYIRA MINI MART FINAL MENU - Pr'!N777)</f>
        <v/>
      </c>
      <c r="O777" s="57"/>
      <c r="P777" s="57"/>
      <c r="Q777" s="57"/>
      <c r="R777" s="57"/>
      <c r="S777" s="57"/>
      <c r="T777" s="57"/>
      <c r="U777" s="57"/>
      <c r="V777" s="57"/>
      <c r="W777" s="57"/>
      <c r="X777" s="57"/>
      <c r="Y777" s="57"/>
      <c r="Z777" s="57"/>
    </row>
    <row r="778">
      <c r="A778" s="56" t="str">
        <f>IFERROR(__xludf.DUMMYFUNCTION("IF('AYIRA MINI MART FINAL MENU - Pr'!A778="""", """", IF(LEN(IFERROR(TRIM(REGEXREPLACE(TRIM(REGEXEXTRACT('AYIRA MINI MART FINAL MENU - Pr'!A778, ""^[^\x{0600}-\x{06FF}]+"")), ""[-–]+$"", """")), """"))&gt;0, IFERROR(TRIM(REGEXREPLACE(TRIM(REGEXEXTRACT('AYIRA"&amp;" MINI MART FINAL MENU - Pr'!A778, ""^[^\x{0600}-\x{06FF}]+"")), ""[-–]+$"", """")), """"), GOOGLETRANSLATE('AYIRA MINI MART FINAL MENU - Pr'!A778, ""ar"", ""en"")))"),"Juicy Drop Pop Copa 26 g – Juicy Drop Pop Copa 26")</f>
        <v>Juicy Drop Pop Copa 26 g – Juicy Drop Pop Copa 26</v>
      </c>
      <c r="B778" s="56" t="str">
        <f>IFERROR(__xludf.DUMMYFUNCTION("IF('AYIRA MINI MART FINAL MENU - Pr'!B778="""", """", IF(LEN(IFERROR(TRIM(REGEXREPLACE(TRIM(REGEXEXTRACT('AYIRA MINI MART FINAL MENU - Pr'!B778, ""^[^\x{0600}-\x{06FF}]+"")), ""[-–]+$"", """")), """"))&gt;0, IFERROR(TRIM(REGEXREPLACE(TRIM(REGEXEXTRACT('AYIRA"&amp;" MINI MART FINAL MENU - Pr'!B778, ""^[^\x{0600}-\x{06FF}]+"")), ""[-–]+$"", """")), """"), GOOGLETRANSLATE('AYIRA MINI MART FINAL MENU - Pr'!B778, ""ar"", ""en"")))"),"Candy |")</f>
        <v>Candy |</v>
      </c>
      <c r="C778" s="58">
        <f>IF('AYIRA MINI MART FINAL MENU - Pr'!C778="", "", 'AYIRA MINI MART FINAL MENU - Pr'!C778)</f>
        <v>9</v>
      </c>
      <c r="D778" s="56" t="str">
        <f>IFERROR(__xludf.DUMMYFUNCTION("IF('AYIRA MINI MART FINAL MENU - Pr'!D778="""", """", GOOGLETRANSLATE('AYIRA MINI MART FINAL MENU - Pr'!D778, ""ar"", ""en""))"),"Don't be able to resist the taste of Juicy Drop Pop Copa 26g, your perfect companion for relaxing and watching the game. Its unique crunch and varied flavors make every handful a delightful experience. Made with the finest ingredients using the latest man"&amp;"ufacturing techniques to ensure an unparalleled taste. Ideal as a snack for adults and children alike between meals. Aira Mini Mart offers it in the perfect size and flavor for you.")</f>
        <v>Don't be able to resist the taste of Juicy Drop Pop Copa 26g, your perfect companion for relaxing and watching the game. Its unique crunch and varied flavors make every handful a delightful experience. Made with the finest ingredients using the latest manufacturing techniques to ensure an unparalleled taste. Ideal as a snack for adults and children alike between meals. Aira Mini Mart offers it in the perfect size and flavor for you.</v>
      </c>
      <c r="E778" s="56" t="str">
        <f>IF('AYIRA MINI MART FINAL MENU - Pr'!K778="", "", 'AYIRA MINI MART FINAL MENU - Pr'!K778)</f>
        <v/>
      </c>
      <c r="F778" s="56"/>
      <c r="G778" s="56"/>
      <c r="H778" s="56"/>
      <c r="I778" s="56"/>
      <c r="J778" s="56"/>
      <c r="L778" s="56" t="str">
        <f>IF('AYIRA MINI MART FINAL MENU - Pr'!L778="", "", 'AYIRA MINI MART FINAL MENU - Pr'!L778)</f>
        <v/>
      </c>
      <c r="M778" s="56" t="str">
        <f>IF('AYIRA MINI MART FINAL MENU - Pr'!M778="", "", 'AYIRA MINI MART FINAL MENU - Pr'!M778)</f>
        <v/>
      </c>
      <c r="N778" s="56" t="str">
        <f>IF('AYIRA MINI MART FINAL MENU - Pr'!N778="", "", 'AYIRA MINI MART FINAL MENU - Pr'!N778)</f>
        <v/>
      </c>
      <c r="O778" s="57"/>
      <c r="P778" s="57"/>
      <c r="Q778" s="57"/>
      <c r="R778" s="57"/>
      <c r="S778" s="57"/>
      <c r="T778" s="57"/>
      <c r="U778" s="57"/>
      <c r="V778" s="57"/>
      <c r="W778" s="57"/>
      <c r="X778" s="57"/>
      <c r="Y778" s="57"/>
      <c r="Z778" s="57"/>
    </row>
    <row r="779">
      <c r="A779" s="56" t="str">
        <f>IFERROR(__xludf.DUMMYFUNCTION("IF('AYIRA MINI MART FINAL MENU - Pr'!A779="""", """", IF(LEN(IFERROR(TRIM(REGEXREPLACE(TRIM(REGEXEXTRACT('AYIRA MINI MART FINAL MENU - Pr'!A779, ""^[^\x{0600}-\x{06FF}]+"")), ""[-–]+$"", """")), """"))&gt;0, IFERROR(TRIM(REGEXREPLACE(TRIM(REGEXEXTRACT('AYIRA"&amp;" MINI MART FINAL MENU - Pr'!A779, ""^[^\x{0600}-\x{06FF}]+"")), ""[-–]+$"", """")), """"), GOOGLETRANSLATE('AYIRA MINI MART FINAL MENU - Pr'!A779, ""ar"", ""en"")))"),"Trinketto 70 ml – Trinketto 70")</f>
        <v>Trinketto 70 ml – Trinketto 70</v>
      </c>
      <c r="B779" s="56" t="str">
        <f>IFERROR(__xludf.DUMMYFUNCTION("IF('AYIRA MINI MART FINAL MENU - Pr'!B779="""", """", IF(LEN(IFERROR(TRIM(REGEXREPLACE(TRIM(REGEXEXTRACT('AYIRA MINI MART FINAL MENU - Pr'!B779, ""^[^\x{0600}-\x{06FF}]+"")), ""[-–]+$"", """")), """"))&gt;0, IFERROR(TRIM(REGEXREPLACE(TRIM(REGEXEXTRACT('AYIRA"&amp;" MINI MART FINAL MENU - Pr'!B779, ""^[^\x{0600}-\x{06FF}]+"")), ""[-–]+$"", """")), """"), GOOGLETRANSLATE('AYIRA MINI MART FINAL MENU - Pr'!B779, ""ar"", ""en"")))"),"Candy |")</f>
        <v>Candy |</v>
      </c>
      <c r="C779" s="58">
        <f>IF('AYIRA MINI MART FINAL MENU - Pr'!C779="", "", 'AYIRA MINI MART FINAL MENU - Pr'!C779)</f>
        <v>1.5</v>
      </c>
      <c r="D779" s="56" t="str">
        <f>IFERROR(__xludf.DUMMYFUNCTION("IF('AYIRA MINI MART FINAL MENU - Pr'!D779="""", """", GOOGLETRANSLATE('AYIRA MINI MART FINAL MENU - Pr'!D779, ""ar"", ""en""))"),"Don't be able to resist the taste of Trinketto 70ml, your perfect companion for relaxing and watching the game. Its unique crunch and diverse flavors make every handful a delightful experience. Prepared with the finest ingredients using the latest manufac"&amp;"turing techniques to guarantee an unparalleled taste. Ideal as a snack for adults and children between meals. Aira Mini Mart offers it in the size and flavor that suits you best.")</f>
        <v>Don't be able to resist the taste of Trinketto 70ml,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779" s="56" t="str">
        <f>IF('AYIRA MINI MART FINAL MENU - Pr'!K779="", "", 'AYIRA MINI MART FINAL MENU - Pr'!K779)</f>
        <v/>
      </c>
      <c r="F779" s="56"/>
      <c r="G779" s="56"/>
      <c r="H779" s="56"/>
      <c r="I779" s="56"/>
      <c r="J779" s="56"/>
      <c r="L779" s="56" t="str">
        <f>IF('AYIRA MINI MART FINAL MENU - Pr'!L779="", "", 'AYIRA MINI MART FINAL MENU - Pr'!L779)</f>
        <v/>
      </c>
      <c r="M779" s="56" t="str">
        <f>IF('AYIRA MINI MART FINAL MENU - Pr'!M779="", "", 'AYIRA MINI MART FINAL MENU - Pr'!M779)</f>
        <v/>
      </c>
      <c r="N779" s="56" t="str">
        <f>IF('AYIRA MINI MART FINAL MENU - Pr'!N779="", "", 'AYIRA MINI MART FINAL MENU - Pr'!N779)</f>
        <v/>
      </c>
      <c r="O779" s="57"/>
      <c r="P779" s="57"/>
      <c r="Q779" s="57"/>
      <c r="R779" s="57"/>
      <c r="S779" s="57"/>
      <c r="T779" s="57"/>
      <c r="U779" s="57"/>
      <c r="V779" s="57"/>
      <c r="W779" s="57"/>
      <c r="X779" s="57"/>
      <c r="Y779" s="57"/>
      <c r="Z779" s="57"/>
    </row>
    <row r="780">
      <c r="A780" s="56" t="str">
        <f>IFERROR(__xludf.DUMMYFUNCTION("IF('AYIRA MINI MART FINAL MENU - Pr'!A780="""", """", IF(LEN(IFERROR(TRIM(REGEXREPLACE(TRIM(REGEXEXTRACT('AYIRA MINI MART FINAL MENU - Pr'!A780, ""^[^\x{0600}-\x{06FF}]+"")), ""[-–]+$"", """")), """"))&gt;0, IFERROR(TRIM(REGEXREPLACE(TRIM(REGEXEXTRACT('AYIRA"&amp;" MINI MART FINAL MENU - Pr'!A780, ""^[^\x{0600}-\x{06FF}]+"")), ""[-–]+$"", """")), """"), GOOGLETRANSLATE('AYIRA MINI MART FINAL MENU - Pr'!A780, ""ar"", ""en"")))"),"Saray Cikonella – Hazelnut Paste with Cocoa – Saray Cikonella")</f>
        <v>Saray Cikonella – Hazelnut Paste with Cocoa – Saray Cikonella</v>
      </c>
      <c r="B780" s="56" t="str">
        <f>IFERROR(__xludf.DUMMYFUNCTION("IF('AYIRA MINI MART FINAL MENU - Pr'!B780="""", """", IF(LEN(IFERROR(TRIM(REGEXREPLACE(TRIM(REGEXEXTRACT('AYIRA MINI MART FINAL MENU - Pr'!B780, ""^[^\x{0600}-\x{06FF}]+"")), ""[-–]+$"", """")), """"))&gt;0, IFERROR(TRIM(REGEXREPLACE(TRIM(REGEXEXTRACT('AYIRA"&amp;" MINI MART FINAL MENU - Pr'!B780, ""^[^\x{0600}-\x{06FF}]+"")), ""[-–]+$"", """")), """"), GOOGLETRANSLATE('AYIRA MINI MART FINAL MENU - Pr'!B780, ""ar"", ""en"")))"),"Candy |")</f>
        <v>Candy |</v>
      </c>
      <c r="C780" s="58">
        <f>IF('AYIRA MINI MART FINAL MENU - Pr'!C780="", "", 'AYIRA MINI MART FINAL MENU - Pr'!C780)</f>
        <v>1</v>
      </c>
      <c r="D780" s="56" t="str">
        <f>IFERROR(__xludf.DUMMYFUNCTION("IF('AYIRA MINI MART FINAL MENU - Pr'!D780="""", """", GOOGLETRANSLATE('AYIRA MINI MART FINAL MENU - Pr'!D780, ""ar"", ""en""))"),"Choose Saray Cikonella – Hazelnut Paste with Cocoa, made with natural nuts rich in protein and healthy fats essential for your body. Prepared from the finest nuts, carefully selected to ensure the highest levels of purity and taste. It's the perfect healt"&amp;"hy and nutritious snack between meals. It supports heart health and provides the energy you need. Available at Aira Mini Mart with the highest quality and best prices.")</f>
        <v>Choose Saray Cikonella – Hazelnut Paste with Cocoa, made with natural nuts rich in protein and healthy fats essential for your body. Prepared from the finest nuts, carefully selected to ensure the highest levels of purity and taste. It's the perfect healthy and nutritious snack between meals. It supports heart health and provides the energy you need. Available at Aira Mini Mart with the highest quality and best prices.</v>
      </c>
      <c r="E780" s="56" t="str">
        <f>IF('AYIRA MINI MART FINAL MENU - Pr'!K780="", "", 'AYIRA MINI MART FINAL MENU - Pr'!K780)</f>
        <v/>
      </c>
      <c r="F780" s="56"/>
      <c r="G780" s="56"/>
      <c r="H780" s="56"/>
      <c r="I780" s="56"/>
      <c r="J780" s="56"/>
      <c r="L780" s="56" t="str">
        <f>IF('AYIRA MINI MART FINAL MENU - Pr'!L780="", "", 'AYIRA MINI MART FINAL MENU - Pr'!L780)</f>
        <v/>
      </c>
      <c r="M780" s="56" t="str">
        <f>IF('AYIRA MINI MART FINAL MENU - Pr'!M780="", "", 'AYIRA MINI MART FINAL MENU - Pr'!M780)</f>
        <v/>
      </c>
      <c r="N780" s="56" t="str">
        <f>IF('AYIRA MINI MART FINAL MENU - Pr'!N780="", "", 'AYIRA MINI MART FINAL MENU - Pr'!N780)</f>
        <v/>
      </c>
      <c r="O780" s="57"/>
      <c r="P780" s="57"/>
      <c r="Q780" s="57"/>
      <c r="R780" s="57"/>
      <c r="S780" s="57"/>
      <c r="T780" s="57"/>
      <c r="U780" s="57"/>
      <c r="V780" s="57"/>
      <c r="W780" s="57"/>
      <c r="X780" s="57"/>
      <c r="Y780" s="57"/>
      <c r="Z780" s="57"/>
    </row>
    <row r="781">
      <c r="A781" s="56" t="str">
        <f>IFERROR(__xludf.DUMMYFUNCTION("IF('AYIRA MINI MART FINAL MENU - Pr'!A781="""", """", IF(LEN(IFERROR(TRIM(REGEXREPLACE(TRIM(REGEXEXTRACT('AYIRA MINI MART FINAL MENU - Pr'!A781, ""^[^\x{0600}-\x{06FF}]+"")), ""[-–]+$"", """")), """"))&gt;0, IFERROR(TRIM(REGEXREPLACE(TRIM(REGEXEXTRACT('AYIRA"&amp;" MINI MART FINAL MENU - Pr'!A781, ""^[^\x{0600}-\x{06FF}]+"")), ""[-–]+$"", """")), """"), GOOGLETRANSLATE('AYIRA MINI MART FINAL MENU - Pr'!A781, ""ar"", ""en"")))"),"Fruties Chew Apple 12 g – Fruties Chew")</f>
        <v>Fruties Chew Apple 12 g – Fruties Chew</v>
      </c>
      <c r="B781" s="56" t="str">
        <f>IFERROR(__xludf.DUMMYFUNCTION("IF('AYIRA MINI MART FINAL MENU - Pr'!B781="""", """", IF(LEN(IFERROR(TRIM(REGEXREPLACE(TRIM(REGEXEXTRACT('AYIRA MINI MART FINAL MENU - Pr'!B781, ""^[^\x{0600}-\x{06FF}]+"")), ""[-–]+$"", """")), """"))&gt;0, IFERROR(TRIM(REGEXREPLACE(TRIM(REGEXEXTRACT('AYIRA"&amp;" MINI MART FINAL MENU - Pr'!B781, ""^[^\x{0600}-\x{06FF}]+"")), ""[-–]+$"", """")), """"), GOOGLETRANSLATE('AYIRA MINI MART FINAL MENU - Pr'!B781, ""ar"", ""en"")))"),"Candy |")</f>
        <v>Candy |</v>
      </c>
      <c r="C781" s="58">
        <f>IF('AYIRA MINI MART FINAL MENU - Pr'!C781="", "", 'AYIRA MINI MART FINAL MENU - Pr'!C781)</f>
        <v>1</v>
      </c>
      <c r="D781" s="56" t="str">
        <f>IFERROR(__xludf.DUMMYFUNCTION("IF('AYIRA MINI MART FINAL MENU - Pr'!D781="""", """", GOOGLETRANSLATE('AYIRA MINI MART FINAL MENU - Pr'!D781, ""ar"", ""en""))"),"Don't be able to resist the taste of Fruties Chew Apple 12g, your perfect companion for relaxing and watching the game. Its unique crunch and varied flavors make every handful a delightful experience. Prepared with the finest ingredients using the latest "&amp;"manufacturing techniques to ensure an unparalleled taste. Ideal as a snack for adults and children alike between meals. Aira Mini Mart offers it in the perfect size and flavor for you.")</f>
        <v>Don't be able to resist the taste of Fruties Chew Apple 12g,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781" s="56" t="str">
        <f>IF('AYIRA MINI MART FINAL MENU - Pr'!K781="", "", 'AYIRA MINI MART FINAL MENU - Pr'!K781)</f>
        <v/>
      </c>
      <c r="F781" s="56"/>
      <c r="G781" s="56"/>
      <c r="H781" s="56"/>
      <c r="I781" s="56"/>
      <c r="J781" s="56"/>
      <c r="L781" s="56" t="str">
        <f>IF('AYIRA MINI MART FINAL MENU - Pr'!L781="", "", 'AYIRA MINI MART FINAL MENU - Pr'!L781)</f>
        <v/>
      </c>
      <c r="M781" s="56" t="str">
        <f>IF('AYIRA MINI MART FINAL MENU - Pr'!M781="", "", 'AYIRA MINI MART FINAL MENU - Pr'!M781)</f>
        <v/>
      </c>
      <c r="N781" s="56" t="str">
        <f>IF('AYIRA MINI MART FINAL MENU - Pr'!N781="", "", 'AYIRA MINI MART FINAL MENU - Pr'!N781)</f>
        <v/>
      </c>
      <c r="O781" s="57"/>
      <c r="P781" s="57"/>
      <c r="Q781" s="57"/>
      <c r="R781" s="57"/>
      <c r="S781" s="57"/>
      <c r="T781" s="57"/>
      <c r="U781" s="57"/>
      <c r="V781" s="57"/>
      <c r="W781" s="57"/>
      <c r="X781" s="57"/>
      <c r="Y781" s="57"/>
      <c r="Z781" s="57"/>
    </row>
    <row r="782">
      <c r="A782" s="56" t="str">
        <f>IFERROR(__xludf.DUMMYFUNCTION("IF('AYIRA MINI MART FINAL MENU - Pr'!A782="""", """", IF(LEN(IFERROR(TRIM(REGEXREPLACE(TRIM(REGEXEXTRACT('AYIRA MINI MART FINAL MENU - Pr'!A782, ""^[^\x{0600}-\x{06FF}]+"")), ""[-–]+$"", """")), """"))&gt;0, IFERROR(TRIM(REGEXREPLACE(TRIM(REGEXEXTRACT('AYIRA"&amp;" MINI MART FINAL MENU - Pr'!A782, ""^[^\x{0600}-\x{06FF}]+"")), ""[-–]+$"", """")), """"), GOOGLETRANSLATE('AYIRA MINI MART FINAL MENU - Pr'!A782, ""ar"", ""en"")))"),"Fruties Chew Strawberry 12 g – Fruties Chew")</f>
        <v>Fruties Chew Strawberry 12 g – Fruties Chew</v>
      </c>
      <c r="B782" s="56" t="str">
        <f>IFERROR(__xludf.DUMMYFUNCTION("IF('AYIRA MINI MART FINAL MENU - Pr'!B782="""", """", IF(LEN(IFERROR(TRIM(REGEXREPLACE(TRIM(REGEXEXTRACT('AYIRA MINI MART FINAL MENU - Pr'!B782, ""^[^\x{0600}-\x{06FF}]+"")), ""[-–]+$"", """")), """"))&gt;0, IFERROR(TRIM(REGEXREPLACE(TRIM(REGEXEXTRACT('AYIRA"&amp;" MINI MART FINAL MENU - Pr'!B782, ""^[^\x{0600}-\x{06FF}]+"")), ""[-–]+$"", """")), """"), GOOGLETRANSLATE('AYIRA MINI MART FINAL MENU - Pr'!B782, ""ar"", ""en"")))"),"Candy |")</f>
        <v>Candy |</v>
      </c>
      <c r="C782" s="58">
        <f>IF('AYIRA MINI MART FINAL MENU - Pr'!C782="", "", 'AYIRA MINI MART FINAL MENU - Pr'!C782)</f>
        <v>1</v>
      </c>
      <c r="D782" s="56" t="str">
        <f>IFERROR(__xludf.DUMMYFUNCTION("IF('AYIRA MINI MART FINAL MENU - Pr'!D782="""", """", GOOGLETRANSLATE('AYIRA MINI MART FINAL MENU - Pr'!D782, ""ar"", ""en""))"),"Don't be able to resist the taste of Fruties Chew Strawberry 12g, your perfect companion for relaxing and watching the game. Its unique crunch and varied flavors make every handful a delightful experience. Prepared with the finest ingredients using the la"&amp;"test manufacturing techniques to ensure an unparalleled taste. Ideal as a snack for adults and children alike between meals. Aira Mini Mart offers it in the perfect size and flavor for you.")</f>
        <v>Don't be able to resist the taste of Fruties Chew Strawberry 12g,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782" s="56" t="str">
        <f>IF('AYIRA MINI MART FINAL MENU - Pr'!K782="", "", 'AYIRA MINI MART FINAL MENU - Pr'!K782)</f>
        <v/>
      </c>
      <c r="F782" s="56"/>
      <c r="G782" s="56"/>
      <c r="H782" s="56"/>
      <c r="I782" s="56"/>
      <c r="J782" s="56"/>
      <c r="L782" s="56" t="str">
        <f>IF('AYIRA MINI MART FINAL MENU - Pr'!L782="", "", 'AYIRA MINI MART FINAL MENU - Pr'!L782)</f>
        <v/>
      </c>
      <c r="M782" s="56" t="str">
        <f>IF('AYIRA MINI MART FINAL MENU - Pr'!M782="", "", 'AYIRA MINI MART FINAL MENU - Pr'!M782)</f>
        <v/>
      </c>
      <c r="N782" s="56" t="str">
        <f>IF('AYIRA MINI MART FINAL MENU - Pr'!N782="", "", 'AYIRA MINI MART FINAL MENU - Pr'!N782)</f>
        <v/>
      </c>
      <c r="O782" s="57"/>
      <c r="P782" s="57"/>
      <c r="Q782" s="57"/>
      <c r="R782" s="57"/>
      <c r="S782" s="57"/>
      <c r="T782" s="57"/>
      <c r="U782" s="57"/>
      <c r="V782" s="57"/>
      <c r="W782" s="57"/>
      <c r="X782" s="57"/>
      <c r="Y782" s="57"/>
      <c r="Z782" s="57"/>
    </row>
    <row r="783">
      <c r="A783" s="56" t="str">
        <f>IFERROR(__xludf.DUMMYFUNCTION("IF('AYIRA MINI MART FINAL MENU - Pr'!A783="""", """", IF(LEN(IFERROR(TRIM(REGEXREPLACE(TRIM(REGEXEXTRACT('AYIRA MINI MART FINAL MENU - Pr'!A783, ""^[^\x{0600}-\x{06FF}]+"")), ""[-–]+$"", """")), """"))&gt;0, IFERROR(TRIM(REGEXREPLACE(TRIM(REGEXEXTRACT('AYIRA"&amp;" MINI MART FINAL MENU - Pr'!A783, ""^[^\x{0600}-\x{06FF}]+"")), ""[-–]+$"", """")), """"), GOOGLETRANSLATE('AYIRA MINI MART FINAL MENU - Pr'!A783, ""ar"", ""en"")))"),"Watermelon 16 g – Watermelon 16")</f>
        <v>Watermelon 16 g – Watermelon 16</v>
      </c>
      <c r="B783" s="56" t="str">
        <f>IFERROR(__xludf.DUMMYFUNCTION("IF('AYIRA MINI MART FINAL MENU - Pr'!B783="""", """", IF(LEN(IFERROR(TRIM(REGEXREPLACE(TRIM(REGEXEXTRACT('AYIRA MINI MART FINAL MENU - Pr'!B783, ""^[^\x{0600}-\x{06FF}]+"")), ""[-–]+$"", """")), """"))&gt;0, IFERROR(TRIM(REGEXREPLACE(TRIM(REGEXEXTRACT('AYIRA"&amp;" MINI MART FINAL MENU - Pr'!B783, ""^[^\x{0600}-\x{06FF}]+"")), ""[-–]+$"", """")), """"), GOOGLETRANSLATE('AYIRA MINI MART FINAL MENU - Pr'!B783, ""ar"", ""en"")))"),"Candy |")</f>
        <v>Candy |</v>
      </c>
      <c r="C783" s="58">
        <f>IF('AYIRA MINI MART FINAL MENU - Pr'!C783="", "", 'AYIRA MINI MART FINAL MENU - Pr'!C783)</f>
        <v>1</v>
      </c>
      <c r="D783" s="56" t="str">
        <f>IFERROR(__xludf.DUMMYFUNCTION("IF('AYIRA MINI MART FINAL MENU - Pr'!D783="""", """", GOOGLETRANSLATE('AYIRA MINI MART FINAL MENU - Pr'!D783, ""ar"", ""en""))"),"Drink Watermelon 16g, pure water that restores your body's natural balance. Sourced from the purest natural sources and bottled to the highest standards of quality and hygiene to ensure it reaches you in perfect condition. Proper hydration is essential fo"&amp;"r a good life, and choosing this water reflects your commitment to your well-being. Make sure to drink enough water daily to maintain your energy and vitality. Aira Mini Mart offers this premium water at competitive prices.")</f>
        <v>Drink Watermelon 16g,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783" s="56" t="str">
        <f>IF('AYIRA MINI MART FINAL MENU - Pr'!K783="", "", 'AYIRA MINI MART FINAL MENU - Pr'!K783)</f>
        <v/>
      </c>
      <c r="F783" s="56"/>
      <c r="G783" s="56"/>
      <c r="H783" s="56"/>
      <c r="I783" s="56"/>
      <c r="J783" s="56"/>
      <c r="L783" s="56" t="str">
        <f>IF('AYIRA MINI MART FINAL MENU - Pr'!L783="", "", 'AYIRA MINI MART FINAL MENU - Pr'!L783)</f>
        <v/>
      </c>
      <c r="M783" s="56" t="str">
        <f>IF('AYIRA MINI MART FINAL MENU - Pr'!M783="", "", 'AYIRA MINI MART FINAL MENU - Pr'!M783)</f>
        <v/>
      </c>
      <c r="N783" s="56" t="str">
        <f>IF('AYIRA MINI MART FINAL MENU - Pr'!N783="", "", 'AYIRA MINI MART FINAL MENU - Pr'!N783)</f>
        <v/>
      </c>
      <c r="O783" s="57"/>
      <c r="P783" s="57"/>
      <c r="Q783" s="57"/>
      <c r="R783" s="57"/>
      <c r="S783" s="57"/>
      <c r="T783" s="57"/>
      <c r="U783" s="57"/>
      <c r="V783" s="57"/>
      <c r="W783" s="57"/>
      <c r="X783" s="57"/>
      <c r="Y783" s="57"/>
      <c r="Z783" s="57"/>
    </row>
    <row r="784">
      <c r="A784" s="56" t="str">
        <f>IFERROR(__xludf.DUMMYFUNCTION("IF('AYIRA MINI MART FINAL MENU - Pr'!A784="""", """", IF(LEN(IFERROR(TRIM(REGEXREPLACE(TRIM(REGEXEXTRACT('AYIRA MINI MART FINAL MENU - Pr'!A784, ""^[^\x{0600}-\x{06FF}]+"")), ""[-–]+$"", """")), """"))&gt;0, IFERROR(TRIM(REGEXREPLACE(TRIM(REGEXEXTRACT('AYIRA"&amp;" MINI MART FINAL MENU - Pr'!A784, ""^[^\x{0600}-\x{06FF}]+"")), ""[-–]+$"", """")), """"), GOOGLETRANSLATE('AYIRA MINI MART FINAL MENU - Pr'!A784, ""ar"", ""en"")))"),"Yupi Strawberry Heart 14 g – Yupi")</f>
        <v>Yupi Strawberry Heart 14 g – Yupi</v>
      </c>
      <c r="B784" s="56" t="str">
        <f>IFERROR(__xludf.DUMMYFUNCTION("IF('AYIRA MINI MART FINAL MENU - Pr'!B784="""", """", IF(LEN(IFERROR(TRIM(REGEXREPLACE(TRIM(REGEXEXTRACT('AYIRA MINI MART FINAL MENU - Pr'!B784, ""^[^\x{0600}-\x{06FF}]+"")), ""[-–]+$"", """")), """"))&gt;0, IFERROR(TRIM(REGEXREPLACE(TRIM(REGEXEXTRACT('AYIRA"&amp;" MINI MART FINAL MENU - Pr'!B784, ""^[^\x{0600}-\x{06FF}]+"")), ""[-–]+$"", """")), """"), GOOGLETRANSLATE('AYIRA MINI MART FINAL MENU - Pr'!B784, ""ar"", ""en"")))"),"Candy |")</f>
        <v>Candy |</v>
      </c>
      <c r="C784" s="58">
        <f>IF('AYIRA MINI MART FINAL MENU - Pr'!C784="", "", 'AYIRA MINI MART FINAL MENU - Pr'!C784)</f>
        <v>1</v>
      </c>
      <c r="D784" s="56" t="str">
        <f>IFERROR(__xludf.DUMMYFUNCTION("IF('AYIRA MINI MART FINAL MENU - Pr'!D784="""", """", GOOGLETRANSLATE('AYIRA MINI MART FINAL MENU - Pr'!D784, ""ar"", ""en""))"),"Don't be able to resist the taste of Yupi Strawberry Heart 14g, your perfect companion for relaxing and watching the game. Its unique crunch and varied flavors make every handful a delightful experience. Prepared with the finest ingredients using the late"&amp;"st manufacturing techniques to ensure an unparalleled taste. Ideal as a snack for adults and children alike between meals. Aira Mini Mart offers it in the perfect size and flavor for you.")</f>
        <v>Don't be able to resist the taste of Yupi Strawberry Heart 14g,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784" s="56" t="str">
        <f>IF('AYIRA MINI MART FINAL MENU - Pr'!K784="", "", 'AYIRA MINI MART FINAL MENU - Pr'!K784)</f>
        <v/>
      </c>
      <c r="F784" s="56"/>
      <c r="G784" s="56"/>
      <c r="H784" s="56"/>
      <c r="I784" s="56"/>
      <c r="J784" s="56"/>
      <c r="L784" s="56" t="str">
        <f>IF('AYIRA MINI MART FINAL MENU - Pr'!L784="", "", 'AYIRA MINI MART FINAL MENU - Pr'!L784)</f>
        <v/>
      </c>
      <c r="M784" s="56" t="str">
        <f>IF('AYIRA MINI MART FINAL MENU - Pr'!M784="", "", 'AYIRA MINI MART FINAL MENU - Pr'!M784)</f>
        <v/>
      </c>
      <c r="N784" s="56" t="str">
        <f>IF('AYIRA MINI MART FINAL MENU - Pr'!N784="", "", 'AYIRA MINI MART FINAL MENU - Pr'!N784)</f>
        <v/>
      </c>
      <c r="O784" s="57"/>
      <c r="P784" s="57"/>
      <c r="Q784" s="57"/>
      <c r="R784" s="57"/>
      <c r="S784" s="57"/>
      <c r="T784" s="57"/>
      <c r="U784" s="57"/>
      <c r="V784" s="57"/>
      <c r="W784" s="57"/>
      <c r="X784" s="57"/>
      <c r="Y784" s="57"/>
      <c r="Z784" s="57"/>
    </row>
    <row r="785">
      <c r="A785" s="56" t="str">
        <f>IFERROR(__xludf.DUMMYFUNCTION("IF('AYIRA MINI MART FINAL MENU - Pr'!A785="""", """", IF(LEN(IFERROR(TRIM(REGEXREPLACE(TRIM(REGEXEXTRACT('AYIRA MINI MART FINAL MENU - Pr'!A785, ""^[^\x{0600}-\x{06FF}]+"")), ""[-–]+$"", """")), """"))&gt;0, IFERROR(TRIM(REGEXREPLACE(TRIM(REGEXEXTRACT('AYIRA"&amp;" MINI MART FINAL MENU - Pr'!A785, ""^[^\x{0600}-\x{06FF}]+"")), ""[-–]+$"", """")), """"), GOOGLETRANSLATE('AYIRA MINI MART FINAL MENU - Pr'!A785, ""ar"", ""en"")))"),"Yupi Gummi Pizza 14 g – Yupi Gummi Pizza 14")</f>
        <v>Yupi Gummi Pizza 14 g – Yupi Gummi Pizza 14</v>
      </c>
      <c r="B785" s="56" t="str">
        <f>IFERROR(__xludf.DUMMYFUNCTION("IF('AYIRA MINI MART FINAL MENU - Pr'!B785="""", """", IF(LEN(IFERROR(TRIM(REGEXREPLACE(TRIM(REGEXEXTRACT('AYIRA MINI MART FINAL MENU - Pr'!B785, ""^[^\x{0600}-\x{06FF}]+"")), ""[-–]+$"", """")), """"))&gt;0, IFERROR(TRIM(REGEXREPLACE(TRIM(REGEXEXTRACT('AYIRA"&amp;" MINI MART FINAL MENU - Pr'!B785, ""^[^\x{0600}-\x{06FF}]+"")), ""[-–]+$"", """")), """"), GOOGLETRANSLATE('AYIRA MINI MART FINAL MENU - Pr'!B785, ""ar"", ""en"")))"),"Candy |")</f>
        <v>Candy |</v>
      </c>
      <c r="C785" s="58">
        <f>IF('AYIRA MINI MART FINAL MENU - Pr'!C785="", "", 'AYIRA MINI MART FINAL MENU - Pr'!C785)</f>
        <v>1</v>
      </c>
      <c r="D785" s="56" t="str">
        <f>IFERROR(__xludf.DUMMYFUNCTION("IF('AYIRA MINI MART FINAL MENU - Pr'!D785="""", """", GOOGLETRANSLATE('AYIRA MINI MART FINAL MENU - Pr'!D785, ""ar"", ""en""))"),"Enjoy Yupi Gummi Pizza 14g, the refreshing gum that keeps your mouth clean and fresh all day long. Its long-lasting flavor and unique formula make it the perfect choice for those seeking continuous freshness throughout the day. It helps to invigorate teet"&amp;"h and freshen breath beautifully. Suitable anytime, anywhere. Get it from Aira Mini Mart and enjoy continuous freshness.")</f>
        <v>Enjoy Yupi Gummi Pizza 14g,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785" s="56" t="str">
        <f>IF('AYIRA MINI MART FINAL MENU - Pr'!K785="", "", 'AYIRA MINI MART FINAL MENU - Pr'!K785)</f>
        <v/>
      </c>
      <c r="F785" s="56"/>
      <c r="G785" s="56"/>
      <c r="H785" s="56"/>
      <c r="I785" s="56"/>
      <c r="J785" s="56"/>
      <c r="L785" s="56" t="str">
        <f>IF('AYIRA MINI MART FINAL MENU - Pr'!L785="", "", 'AYIRA MINI MART FINAL MENU - Pr'!L785)</f>
        <v/>
      </c>
      <c r="M785" s="56" t="str">
        <f>IF('AYIRA MINI MART FINAL MENU - Pr'!M785="", "", 'AYIRA MINI MART FINAL MENU - Pr'!M785)</f>
        <v/>
      </c>
      <c r="N785" s="56" t="str">
        <f>IF('AYIRA MINI MART FINAL MENU - Pr'!N785="", "", 'AYIRA MINI MART FINAL MENU - Pr'!N785)</f>
        <v/>
      </c>
      <c r="O785" s="57"/>
      <c r="P785" s="57"/>
      <c r="Q785" s="57"/>
      <c r="R785" s="57"/>
      <c r="S785" s="57"/>
      <c r="T785" s="57"/>
      <c r="U785" s="57"/>
      <c r="V785" s="57"/>
      <c r="W785" s="57"/>
      <c r="X785" s="57"/>
      <c r="Y785" s="57"/>
      <c r="Z785" s="57"/>
    </row>
    <row r="786">
      <c r="A786" s="56" t="str">
        <f>IFERROR(__xludf.DUMMYFUNCTION("IF('AYIRA MINI MART FINAL MENU - Pr'!A786="""", """", IF(LEN(IFERROR(TRIM(REGEXREPLACE(TRIM(REGEXEXTRACT('AYIRA MINI MART FINAL MENU - Pr'!A786, ""^[^\x{0600}-\x{06FF}]+"")), ""[-–]+$"", """")), """"))&gt;0, IFERROR(TRIM(REGEXREPLACE(TRIM(REGEXEXTRACT('AYIRA"&amp;" MINI MART FINAL MENU - Pr'!A786, ""^[^\x{0600}-\x{06FF}]+"")), ""[-–]+$"", """")), """"), GOOGLETRANSLATE('AYIRA MINI MART FINAL MENU - Pr'!A786, ""ar"", ""en"")))"),"Fruties Chew Blueberry 12 g – Fruties Chew Blueberry 12")</f>
        <v>Fruties Chew Blueberry 12 g – Fruties Chew Blueberry 12</v>
      </c>
      <c r="B786" s="56" t="str">
        <f>IFERROR(__xludf.DUMMYFUNCTION("IF('AYIRA MINI MART FINAL MENU - Pr'!B786="""", """", IF(LEN(IFERROR(TRIM(REGEXREPLACE(TRIM(REGEXEXTRACT('AYIRA MINI MART FINAL MENU - Pr'!B786, ""^[^\x{0600}-\x{06FF}]+"")), ""[-–]+$"", """")), """"))&gt;0, IFERROR(TRIM(REGEXREPLACE(TRIM(REGEXEXTRACT('AYIRA"&amp;" MINI MART FINAL MENU - Pr'!B786, ""^[^\x{0600}-\x{06FF}]+"")), ""[-–]+$"", """")), """"), GOOGLETRANSLATE('AYIRA MINI MART FINAL MENU - Pr'!B786, ""ar"", ""en"")))"),"Candy |")</f>
        <v>Candy |</v>
      </c>
      <c r="C786" s="58">
        <f>IF('AYIRA MINI MART FINAL MENU - Pr'!C786="", "", 'AYIRA MINI MART FINAL MENU - Pr'!C786)</f>
        <v>1</v>
      </c>
      <c r="D786" s="56" t="str">
        <f>IFERROR(__xludf.DUMMYFUNCTION("IF('AYIRA MINI MART FINAL MENU - Pr'!D786="""", """", GOOGLETRANSLATE('AYIRA MINI MART FINAL MENU - Pr'!D786, ""ar"", ""en""))"),"Don't be able to resist the taste of Fruties Chew Blueberry 12g, your perfect companion for relaxing and watching the game. Its unique crunch and varied flavors make every handful a delightful experience. Prepared with the finest ingredients using the lat"&amp;"est manufacturing techniques to ensure an unparalleled taste. Ideal as a snack for adults and children alike between meals. Aira Mini Mart offers it in the perfect size and flavor for you.")</f>
        <v>Don't be able to resist the taste of Fruties Chew Blueberry 12g,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786" s="56" t="str">
        <f>IF('AYIRA MINI MART FINAL MENU - Pr'!K786="", "", 'AYIRA MINI MART FINAL MENU - Pr'!K786)</f>
        <v/>
      </c>
      <c r="F786" s="56"/>
      <c r="G786" s="56"/>
      <c r="H786" s="56"/>
      <c r="I786" s="56"/>
      <c r="J786" s="56"/>
      <c r="L786" s="56" t="str">
        <f>IF('AYIRA MINI MART FINAL MENU - Pr'!L786="", "", 'AYIRA MINI MART FINAL MENU - Pr'!L786)</f>
        <v/>
      </c>
      <c r="M786" s="56" t="str">
        <f>IF('AYIRA MINI MART FINAL MENU - Pr'!M786="", "", 'AYIRA MINI MART FINAL MENU - Pr'!M786)</f>
        <v/>
      </c>
      <c r="N786" s="56" t="str">
        <f>IF('AYIRA MINI MART FINAL MENU - Pr'!N786="", "", 'AYIRA MINI MART FINAL MENU - Pr'!N786)</f>
        <v/>
      </c>
      <c r="O786" s="57"/>
      <c r="P786" s="57"/>
      <c r="Q786" s="57"/>
      <c r="R786" s="57"/>
      <c r="S786" s="57"/>
      <c r="T786" s="57"/>
      <c r="U786" s="57"/>
      <c r="V786" s="57"/>
      <c r="W786" s="57"/>
      <c r="X786" s="57"/>
      <c r="Y786" s="57"/>
      <c r="Z786" s="57"/>
    </row>
    <row r="787">
      <c r="A787" s="56" t="str">
        <f>IFERROR(__xludf.DUMMYFUNCTION("IF('AYIRA MINI MART FINAL MENU - Pr'!A787="""", """", IF(LEN(IFERROR(TRIM(REGEXREPLACE(TRIM(REGEXEXTRACT('AYIRA MINI MART FINAL MENU - Pr'!A787, ""^[^\x{0600}-\x{06FF}]+"")), ""[-–]+$"", """")), """"))&gt;0, IFERROR(TRIM(REGEXREPLACE(TRIM(REGEXEXTRACT('AYIRA"&amp;" MINI MART FINAL MENU - Pr'!A787, ""^[^\x{0600}-\x{06FF}]+"")), ""[-–]+$"", """")), """"), GOOGLETRANSLATE('AYIRA MINI MART FINAL MENU - Pr'!A787, ""ar"", ""en"")))"),"Tupi Raspberry &amp; Blackberry 16 g – Tupi Raspberry &amp; Blackberry 16")</f>
        <v>Tupi Raspberry &amp; Blackberry 16 g – Tupi Raspberry &amp; Blackberry 16</v>
      </c>
      <c r="B787" s="56" t="str">
        <f>IFERROR(__xludf.DUMMYFUNCTION("IF('AYIRA MINI MART FINAL MENU - Pr'!B787="""", """", IF(LEN(IFERROR(TRIM(REGEXREPLACE(TRIM(REGEXEXTRACT('AYIRA MINI MART FINAL MENU - Pr'!B787, ""^[^\x{0600}-\x{06FF}]+"")), ""[-–]+$"", """")), """"))&gt;0, IFERROR(TRIM(REGEXREPLACE(TRIM(REGEXEXTRACT('AYIRA"&amp;" MINI MART FINAL MENU - Pr'!B787, ""^[^\x{0600}-\x{06FF}]+"")), ""[-–]+$"", """")), """"), GOOGLETRANSLATE('AYIRA MINI MART FINAL MENU - Pr'!B787, ""ar"", ""en"")))"),"Candy |")</f>
        <v>Candy |</v>
      </c>
      <c r="C787" s="58">
        <f>IF('AYIRA MINI MART FINAL MENU - Pr'!C787="", "", 'AYIRA MINI MART FINAL MENU - Pr'!C787)</f>
        <v>1</v>
      </c>
      <c r="D787" s="56" t="str">
        <f>IFERROR(__xludf.DUMMYFUNCTION("IF('AYIRA MINI MART FINAL MENU - Pr'!D787="""", """", GOOGLETRANSLATE('AYIRA MINI MART FINAL MENU - Pr'!D787, ""ar"", ""en""))"),"Don't be able to resist the taste of Tupi Raspberry &amp; Blackberry 16g, your perfect companion for relaxing and watching the game. Its unique crunch and diverse flavors make every handful a delightful experience. Prepared with the finest ingredients using t"&amp;"he latest manufacturing techniques to ensure an unparalleled taste. Ideal as a snack for adults and children alike between meals. Aira Mini Mart offers it in the perfect size and flavor for you.")</f>
        <v>Don't be able to resist the taste of Tupi Raspberry &amp; Blackberry 16g, your perfect companion for relaxing and watching the game. Its unique crunch and diverse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787" s="56" t="str">
        <f>IF('AYIRA MINI MART FINAL MENU - Pr'!K787="", "", 'AYIRA MINI MART FINAL MENU - Pr'!K787)</f>
        <v/>
      </c>
      <c r="F787" s="56"/>
      <c r="G787" s="56"/>
      <c r="H787" s="56"/>
      <c r="I787" s="56"/>
      <c r="J787" s="56"/>
      <c r="L787" s="56" t="str">
        <f>IF('AYIRA MINI MART FINAL MENU - Pr'!L787="", "", 'AYIRA MINI MART FINAL MENU - Pr'!L787)</f>
        <v/>
      </c>
      <c r="M787" s="56" t="str">
        <f>IF('AYIRA MINI MART FINAL MENU - Pr'!M787="", "", 'AYIRA MINI MART FINAL MENU - Pr'!M787)</f>
        <v/>
      </c>
      <c r="N787" s="56" t="str">
        <f>IF('AYIRA MINI MART FINAL MENU - Pr'!N787="", "", 'AYIRA MINI MART FINAL MENU - Pr'!N787)</f>
        <v/>
      </c>
      <c r="O787" s="57"/>
      <c r="P787" s="57"/>
      <c r="Q787" s="57"/>
      <c r="R787" s="57"/>
      <c r="S787" s="57"/>
      <c r="T787" s="57"/>
      <c r="U787" s="57"/>
      <c r="V787" s="57"/>
      <c r="W787" s="57"/>
      <c r="X787" s="57"/>
      <c r="Y787" s="57"/>
      <c r="Z787" s="57"/>
    </row>
    <row r="788">
      <c r="A788" s="56" t="str">
        <f>IFERROR(__xludf.DUMMYFUNCTION("IF('AYIRA MINI MART FINAL MENU - Pr'!A788="""", """", IF(LEN(IFERROR(TRIM(REGEXREPLACE(TRIM(REGEXEXTRACT('AYIRA MINI MART FINAL MENU - Pr'!A788, ""^[^\x{0600}-\x{06FF}]+"")), ""[-–]+$"", """")), """"))&gt;0, IFERROR(TRIM(REGEXREPLACE(TRIM(REGEXEXTRACT('AYIRA"&amp;" MINI MART FINAL MENU - Pr'!A788, ""^[^\x{0600}-\x{06FF}]+"")), ""[-–]+$"", """")), """"), GOOGLETRANSLATE('AYIRA MINI MART FINAL MENU - Pr'!A788, ""ar"", ""en"")))"),"Yupi Iced Cola 17.5 g – Yupi Iced Cola 17.5")</f>
        <v>Yupi Iced Cola 17.5 g – Yupi Iced Cola 17.5</v>
      </c>
      <c r="B788" s="56" t="str">
        <f>IFERROR(__xludf.DUMMYFUNCTION("IF('AYIRA MINI MART FINAL MENU - Pr'!B788="""", """", IF(LEN(IFERROR(TRIM(REGEXREPLACE(TRIM(REGEXEXTRACT('AYIRA MINI MART FINAL MENU - Pr'!B788, ""^[^\x{0600}-\x{06FF}]+"")), ""[-–]+$"", """")), """"))&gt;0, IFERROR(TRIM(REGEXREPLACE(TRIM(REGEXEXTRACT('AYIRA"&amp;" MINI MART FINAL MENU - Pr'!B788, ""^[^\x{0600}-\x{06FF}]+"")), ""[-–]+$"", """")), """"), GOOGLETRANSLATE('AYIRA MINI MART FINAL MENU - Pr'!B788, ""ar"", ""en"")))"),"Candy |")</f>
        <v>Candy |</v>
      </c>
      <c r="C788" s="58">
        <f>IF('AYIRA MINI MART FINAL MENU - Pr'!C788="", "", 'AYIRA MINI MART FINAL MENU - Pr'!C788)</f>
        <v>1</v>
      </c>
      <c r="D788" s="56" t="str">
        <f>IFERROR(__xludf.DUMMYFUNCTION("IF('AYIRA MINI MART FINAL MENU - Pr'!D788="""", """", GOOGLETRANSLATE('AYIRA MINI MART FINAL MENU - Pr'!D788, ""ar"", ""en""))"),"Enjoy Yupi Iced Cola 17.5g, the refreshing soft drink that gives you energy and vitality with every drop. Its delicious taste and unique formula make it the perfect choice to quench your thirst anytime. Ideal for parties, family gatherings, and various oc"&amp;"casions. It boasts distinctive flavors that make every sip an unforgettable experience. Get it now from Aira Mini Mart at the best prices and highest quality. Our premium drink provides instant refreshment and satisfies your discerning palate whenever you"&amp;" need hydration.")</f>
        <v>Enjoy Yupi Iced Cola 17.5g, the refreshing soft drink that gives you energy and vitality with every drop. Its delicious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788" s="56" t="str">
        <f>IF('AYIRA MINI MART FINAL MENU - Pr'!K788="", "", 'AYIRA MINI MART FINAL MENU - Pr'!K788)</f>
        <v/>
      </c>
      <c r="F788" s="56"/>
      <c r="G788" s="56"/>
      <c r="H788" s="56"/>
      <c r="I788" s="56"/>
      <c r="J788" s="56"/>
      <c r="L788" s="56" t="str">
        <f>IF('AYIRA MINI MART FINAL MENU - Pr'!L788="", "", 'AYIRA MINI MART FINAL MENU - Pr'!L788)</f>
        <v/>
      </c>
      <c r="M788" s="56" t="str">
        <f>IF('AYIRA MINI MART FINAL MENU - Pr'!M788="", "", 'AYIRA MINI MART FINAL MENU - Pr'!M788)</f>
        <v/>
      </c>
      <c r="N788" s="56" t="str">
        <f>IF('AYIRA MINI MART FINAL MENU - Pr'!N788="", "", 'AYIRA MINI MART FINAL MENU - Pr'!N788)</f>
        <v/>
      </c>
      <c r="O788" s="57"/>
      <c r="P788" s="57"/>
      <c r="Q788" s="57"/>
      <c r="R788" s="57"/>
      <c r="S788" s="57"/>
      <c r="T788" s="57"/>
      <c r="U788" s="57"/>
      <c r="V788" s="57"/>
      <c r="W788" s="57"/>
      <c r="X788" s="57"/>
      <c r="Y788" s="57"/>
      <c r="Z788" s="57"/>
    </row>
    <row r="789">
      <c r="A789" s="56" t="str">
        <f>IFERROR(__xludf.DUMMYFUNCTION("IF('AYIRA MINI MART FINAL MENU - Pr'!A789="""", """", IF(LEN(IFERROR(TRIM(REGEXREPLACE(TRIM(REGEXEXTRACT('AYIRA MINI MART FINAL MENU - Pr'!A789, ""^[^\x{0600}-\x{06FF}]+"")), ""[-–]+$"", """")), """"))&gt;0, IFERROR(TRIM(REGEXREPLACE(TRIM(REGEXEXTRACT('AYIRA"&amp;" MINI MART FINAL MENU - Pr'!A789, ""^[^\x{0600}-\x{06FF}]+"")), ""[-–]+$"", """")), """"), GOOGLETRANSLATE('AYIRA MINI MART FINAL MENU - Pr'!A789, ""ar"", ""en"")))"),"Yupi Aquarium 14 g – Yupi Aquarium 14")</f>
        <v>Yupi Aquarium 14 g – Yupi Aquarium 14</v>
      </c>
      <c r="B789" s="56" t="str">
        <f>IFERROR(__xludf.DUMMYFUNCTION("IF('AYIRA MINI MART FINAL MENU - Pr'!B789="""", """", IF(LEN(IFERROR(TRIM(REGEXREPLACE(TRIM(REGEXEXTRACT('AYIRA MINI MART FINAL MENU - Pr'!B789, ""^[^\x{0600}-\x{06FF}]+"")), ""[-–]+$"", """")), """"))&gt;0, IFERROR(TRIM(REGEXREPLACE(TRIM(REGEXEXTRACT('AYIRA"&amp;" MINI MART FINAL MENU - Pr'!B789, ""^[^\x{0600}-\x{06FF}]+"")), ""[-–]+$"", """")), """"), GOOGLETRANSLATE('AYIRA MINI MART FINAL MENU - Pr'!B789, ""ar"", ""en"")))"),"Candy |")</f>
        <v>Candy |</v>
      </c>
      <c r="C789" s="58">
        <f>IF('AYIRA MINI MART FINAL MENU - Pr'!C789="", "", 'AYIRA MINI MART FINAL MENU - Pr'!C789)</f>
        <v>1</v>
      </c>
      <c r="D789" s="56" t="str">
        <f>IFERROR(__xludf.DUMMYFUNCTION("IF('AYIRA MINI MART FINAL MENU - Pr'!D789="""", """", GOOGLETRANSLATE('AYIRA MINI MART FINAL MENU - Pr'!D789, ""ar"", ""en""))"),"Don't be able to resist the taste of Yupi Aquarium 14g, your perfect companion for relaxing and watching the game. Its unique crunch and diverse flavors make every handful a delightful experience. Prepared with the finest ingredients using the latest manu"&amp;"facturing techniques to guarantee an unparalleled taste. Ideal as a snack for adults and children between meals. Aira Mini Mart offers it in the perfect size and flavor for you.")</f>
        <v>Don't be able to resist the taste of Yupi Aquarium 14g,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789" s="56" t="str">
        <f>IF('AYIRA MINI MART FINAL MENU - Pr'!K789="", "", 'AYIRA MINI MART FINAL MENU - Pr'!K789)</f>
        <v/>
      </c>
      <c r="F789" s="56"/>
      <c r="G789" s="56"/>
      <c r="H789" s="56"/>
      <c r="I789" s="56"/>
      <c r="J789" s="56"/>
      <c r="L789" s="56" t="str">
        <f>IF('AYIRA MINI MART FINAL MENU - Pr'!L789="", "", 'AYIRA MINI MART FINAL MENU - Pr'!L789)</f>
        <v/>
      </c>
      <c r="M789" s="56" t="str">
        <f>IF('AYIRA MINI MART FINAL MENU - Pr'!M789="", "", 'AYIRA MINI MART FINAL MENU - Pr'!M789)</f>
        <v/>
      </c>
      <c r="N789" s="56" t="str">
        <f>IF('AYIRA MINI MART FINAL MENU - Pr'!N789="", "", 'AYIRA MINI MART FINAL MENU - Pr'!N789)</f>
        <v/>
      </c>
      <c r="O789" s="57"/>
      <c r="P789" s="57"/>
      <c r="Q789" s="57"/>
      <c r="R789" s="57"/>
      <c r="S789" s="57"/>
      <c r="T789" s="57"/>
      <c r="U789" s="57"/>
      <c r="V789" s="57"/>
      <c r="W789" s="57"/>
      <c r="X789" s="57"/>
      <c r="Y789" s="57"/>
      <c r="Z789" s="57"/>
    </row>
    <row r="790">
      <c r="A790" s="56" t="str">
        <f>IFERROR(__xludf.DUMMYFUNCTION("IF('AYIRA MINI MART FINAL MENU - Pr'!A790="""", """", IF(LEN(IFERROR(TRIM(REGEXREPLACE(TRIM(REGEXEXTRACT('AYIRA MINI MART FINAL MENU - Pr'!A790, ""^[^\x{0600}-\x{06FF}]+"")), ""[-–]+$"", """")), """"))&gt;0, IFERROR(TRIM(REGEXREPLACE(TRIM(REGEXEXTRACT('AYIRA"&amp;" MINI MART FINAL MENU - Pr'!A790, ""^[^\x{0600}-\x{06FF}]+"")), ""[-–]+$"", """")), """"), GOOGLETRANSLATE('AYIRA MINI MART FINAL MENU - Pr'!A790, ""ar"", ""en"")))"),"Funti")</f>
        <v>Funti</v>
      </c>
      <c r="B790" s="56" t="str">
        <f>IFERROR(__xludf.DUMMYFUNCTION("IF('AYIRA MINI MART FINAL MENU - Pr'!B790="""", """", IF(LEN(IFERROR(TRIM(REGEXREPLACE(TRIM(REGEXEXTRACT('AYIRA MINI MART FINAL MENU - Pr'!B790, ""^[^\x{0600}-\x{06FF}]+"")), ""[-–]+$"", """")), """"))&gt;0, IFERROR(TRIM(REGEXREPLACE(TRIM(REGEXEXTRACT('AYIRA"&amp;" MINI MART FINAL MENU - Pr'!B790, ""^[^\x{0600}-\x{06FF}]+"")), ""[-–]+$"", """")), """"), GOOGLETRANSLATE('AYIRA MINI MART FINAL MENU - Pr'!B790, ""ar"", ""en"")))"),"Candy |")</f>
        <v>Candy |</v>
      </c>
      <c r="C790" s="58">
        <f>IF('AYIRA MINI MART FINAL MENU - Pr'!C790="", "", 'AYIRA MINI MART FINAL MENU - Pr'!C790)</f>
        <v>1</v>
      </c>
      <c r="D790" s="56" t="str">
        <f>IFERROR(__xludf.DUMMYFUNCTION("IF('AYIRA MINI MART FINAL MENU - Pr'!D790="""", """", GOOGLETRANSLATE('AYIRA MINI MART FINAL MENU - Pr'!D790, ""ar"", ""en""))"),"Don't be able to resist the taste of Funti, your perfect companion for relaxing and watching the game. Its unique crunch and diverse flavors make every handful a delightful experience. Prepared with the finest ingredients using the latest manufacturing te"&amp;"chniques to guarantee an unparalleled taste. Ideal as a snack for adults and children alike between meals. Aira Mini Mart offers it in the perfect size and flavor for you.")</f>
        <v>Don't be able to resist the taste of Funti,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790" s="56" t="str">
        <f>IF('AYIRA MINI MART FINAL MENU - Pr'!K790="", "", 'AYIRA MINI MART FINAL MENU - Pr'!K790)</f>
        <v/>
      </c>
      <c r="F790" s="56"/>
      <c r="G790" s="56"/>
      <c r="H790" s="56"/>
      <c r="I790" s="56"/>
      <c r="J790" s="56"/>
      <c r="L790" s="56" t="str">
        <f>IF('AYIRA MINI MART FINAL MENU - Pr'!L790="", "", 'AYIRA MINI MART FINAL MENU - Pr'!L790)</f>
        <v/>
      </c>
      <c r="M790" s="56" t="str">
        <f>IF('AYIRA MINI MART FINAL MENU - Pr'!M790="", "", 'AYIRA MINI MART FINAL MENU - Pr'!M790)</f>
        <v/>
      </c>
      <c r="N790" s="56" t="str">
        <f>IF('AYIRA MINI MART FINAL MENU - Pr'!N790="", "", 'AYIRA MINI MART FINAL MENU - Pr'!N790)</f>
        <v/>
      </c>
      <c r="O790" s="57"/>
      <c r="P790" s="57"/>
      <c r="Q790" s="57"/>
      <c r="R790" s="57"/>
      <c r="S790" s="57"/>
      <c r="T790" s="57"/>
      <c r="U790" s="57"/>
      <c r="V790" s="57"/>
      <c r="W790" s="57"/>
      <c r="X790" s="57"/>
      <c r="Y790" s="57"/>
      <c r="Z790" s="57"/>
    </row>
    <row r="791">
      <c r="A791" s="56" t="str">
        <f>IFERROR(__xludf.DUMMYFUNCTION("IF('AYIRA MINI MART FINAL MENU - Pr'!A791="""", """", IF(LEN(IFERROR(TRIM(REGEXREPLACE(TRIM(REGEXEXTRACT('AYIRA MINI MART FINAL MENU - Pr'!A791, ""^[^\x{0600}-\x{06FF}]+"")), ""[-–]+$"", """")), """"))&gt;0, IFERROR(TRIM(REGEXREPLACE(TRIM(REGEXEXTRACT('AYIRA"&amp;" MINI MART FINAL MENU - Pr'!A791, ""^[^\x{0600}-\x{06FF}]+"")), ""[-–]+$"", """")), """"), GOOGLETRANSLATE('AYIRA MINI MART FINAL MENU - Pr'!A791, ""ar"", ""en"")))"),"Fruties Chew Tape Strawberry 12 g – Fruties Chew Tape")</f>
        <v>Fruties Chew Tape Strawberry 12 g – Fruties Chew Tape</v>
      </c>
      <c r="B791" s="56" t="str">
        <f>IFERROR(__xludf.DUMMYFUNCTION("IF('AYIRA MINI MART FINAL MENU - Pr'!B791="""", """", IF(LEN(IFERROR(TRIM(REGEXREPLACE(TRIM(REGEXEXTRACT('AYIRA MINI MART FINAL MENU - Pr'!B791, ""^[^\x{0600}-\x{06FF}]+"")), ""[-–]+$"", """")), """"))&gt;0, IFERROR(TRIM(REGEXREPLACE(TRIM(REGEXEXTRACT('AYIRA"&amp;" MINI MART FINAL MENU - Pr'!B791, ""^[^\x{0600}-\x{06FF}]+"")), ""[-–]+$"", """")), """"), GOOGLETRANSLATE('AYIRA MINI MART FINAL MENU - Pr'!B791, ""ar"", ""en"")))"),"Candy |")</f>
        <v>Candy |</v>
      </c>
      <c r="C791" s="58">
        <f>IF('AYIRA MINI MART FINAL MENU - Pr'!C791="", "", 'AYIRA MINI MART FINAL MENU - Pr'!C791)</f>
        <v>1</v>
      </c>
      <c r="D791" s="56" t="str">
        <f>IFERROR(__xludf.DUMMYFUNCTION("IF('AYIRA MINI MART FINAL MENU - Pr'!D791="""", """", GOOGLETRANSLATE('AYIRA MINI MART FINAL MENU - Pr'!D791, ""ar"", ""en""))"),"Don't be able to resist the taste of Fruties Chew Tape Strawberry 12g, your perfect companion for relaxing and watching the game. Its unique crunch and varied flavors make every handful a delightful experience. Made with the finest ingredients using the l"&amp;"atest manufacturing techniques to ensure an unparalleled taste. Ideal as a snack for adults and children alike between meals. Aira Mini Mart offers it in the perfect size and flavor for you.")</f>
        <v>Don't be able to resist the taste of Fruties Chew Tape Strawberry 12g, your perfect companion for relaxing and watching the game. Its unique crunch and varied flavors make every handful a delightful experience. Made with the finest ingredients using the latest manufacturing techniques to ensure an unparalleled taste. Ideal as a snack for adults and children alike between meals. Aira Mini Mart offers it in the perfect size and flavor for you.</v>
      </c>
      <c r="E791" s="56" t="str">
        <f>IF('AYIRA MINI MART FINAL MENU - Pr'!K791="", "", 'AYIRA MINI MART FINAL MENU - Pr'!K791)</f>
        <v/>
      </c>
      <c r="F791" s="56"/>
      <c r="G791" s="56"/>
      <c r="H791" s="56"/>
      <c r="I791" s="56"/>
      <c r="J791" s="56"/>
      <c r="L791" s="56" t="str">
        <f>IF('AYIRA MINI MART FINAL MENU - Pr'!L791="", "", 'AYIRA MINI MART FINAL MENU - Pr'!L791)</f>
        <v/>
      </c>
      <c r="M791" s="56" t="str">
        <f>IF('AYIRA MINI MART FINAL MENU - Pr'!M791="", "", 'AYIRA MINI MART FINAL MENU - Pr'!M791)</f>
        <v/>
      </c>
      <c r="N791" s="56" t="str">
        <f>IF('AYIRA MINI MART FINAL MENU - Pr'!N791="", "", 'AYIRA MINI MART FINAL MENU - Pr'!N791)</f>
        <v/>
      </c>
      <c r="O791" s="57"/>
      <c r="P791" s="57"/>
      <c r="Q791" s="57"/>
      <c r="R791" s="57"/>
      <c r="S791" s="57"/>
      <c r="T791" s="57"/>
      <c r="U791" s="57"/>
      <c r="V791" s="57"/>
      <c r="W791" s="57"/>
      <c r="X791" s="57"/>
      <c r="Y791" s="57"/>
      <c r="Z791" s="57"/>
    </row>
    <row r="792">
      <c r="A792" s="56" t="str">
        <f>IFERROR(__xludf.DUMMYFUNCTION("IF('AYIRA MINI MART FINAL MENU - Pr'!A792="""", """", IF(LEN(IFERROR(TRIM(REGEXREPLACE(TRIM(REGEXEXTRACT('AYIRA MINI MART FINAL MENU - Pr'!A792, ""^[^\x{0600}-\x{06FF}]+"")), ""[-–]+$"", """")), """"))&gt;0, IFERROR(TRIM(REGEXREPLACE(TRIM(REGEXEXTRACT('AYIRA"&amp;" MINI MART FINAL MENU - Pr'!A792, ""^[^\x{0600}-\x{06FF}]+"")), ""[-–]+$"", """")), """"), GOOGLETRANSLATE('AYIRA MINI MART FINAL MENU - Pr'!A792, ""ar"", ""en"")))"),"Weirds Tangy Candy Blue Raspberry &amp; Strawberry 15 g – Weirds Tangy Candy Blue Raspberry &amp;")</f>
        <v>Weirds Tangy Candy Blue Raspberry &amp; Strawberry 15 g – Weirds Tangy Candy Blue Raspberry &amp;</v>
      </c>
      <c r="B792" s="56" t="str">
        <f>IFERROR(__xludf.DUMMYFUNCTION("IF('AYIRA MINI MART FINAL MENU - Pr'!B792="""", """", IF(LEN(IFERROR(TRIM(REGEXREPLACE(TRIM(REGEXEXTRACT('AYIRA MINI MART FINAL MENU - Pr'!B792, ""^[^\x{0600}-\x{06FF}]+"")), ""[-–]+$"", """")), """"))&gt;0, IFERROR(TRIM(REGEXREPLACE(TRIM(REGEXEXTRACT('AYIRA"&amp;" MINI MART FINAL MENU - Pr'!B792, ""^[^\x{0600}-\x{06FF}]+"")), ""[-–]+$"", """")), """"), GOOGLETRANSLATE('AYIRA MINI MART FINAL MENU - Pr'!B792, ""ar"", ""en"")))"),"Candy |")</f>
        <v>Candy |</v>
      </c>
      <c r="C792" s="58">
        <f>IF('AYIRA MINI MART FINAL MENU - Pr'!C792="", "", 'AYIRA MINI MART FINAL MENU - Pr'!C792)</f>
        <v>1</v>
      </c>
      <c r="D792" s="56" t="str">
        <f>IFERROR(__xludf.DUMMYFUNCTION("IF('AYIRA MINI MART FINAL MENU - Pr'!D792="""", """", GOOGLETRANSLATE('AYIRA MINI MART FINAL MENU - Pr'!D792, ""ar"", ""en""))"),"Add a sweet treat to your day with Weirds Tangy Candy Blue Raspberry &amp; Strawberry 15g, a delicious candy loved by everyone. Its varied flavors and attractive colors make it suitable for all ages. Perfect as a small treat or a light gift for friends and fa"&amp;"mily. Made with high quality ingredients to ensure a great taste in every piece. Get yours from Aira Mini Mart and spread the joy to your loved ones.")</f>
        <v>Add a sweet treat to your day with Weirds Tangy Candy Blue Raspberry &amp; Strawberry 15g, a delicious candy loved by everyone. Its varied flavors and attractive colors make it suitable for all ages. Perfect as a small treat or a light gift for friends and family. Made with high quality ingredients to ensure a great taste in every piece. Get yours from Aira Mini Mart and spread the joy to your loved ones.</v>
      </c>
      <c r="E792" s="56" t="str">
        <f>IF('AYIRA MINI MART FINAL MENU - Pr'!K792="", "", 'AYIRA MINI MART FINAL MENU - Pr'!K792)</f>
        <v/>
      </c>
      <c r="F792" s="56"/>
      <c r="G792" s="56"/>
      <c r="H792" s="56"/>
      <c r="I792" s="56"/>
      <c r="J792" s="56"/>
      <c r="L792" s="56" t="str">
        <f>IF('AYIRA MINI MART FINAL MENU - Pr'!L792="", "", 'AYIRA MINI MART FINAL MENU - Pr'!L792)</f>
        <v/>
      </c>
      <c r="M792" s="56" t="str">
        <f>IF('AYIRA MINI MART FINAL MENU - Pr'!M792="", "", 'AYIRA MINI MART FINAL MENU - Pr'!M792)</f>
        <v/>
      </c>
      <c r="N792" s="56" t="str">
        <f>IF('AYIRA MINI MART FINAL MENU - Pr'!N792="", "", 'AYIRA MINI MART FINAL MENU - Pr'!N792)</f>
        <v/>
      </c>
      <c r="O792" s="57"/>
      <c r="P792" s="57"/>
      <c r="Q792" s="57"/>
      <c r="R792" s="57"/>
      <c r="S792" s="57"/>
      <c r="T792" s="57"/>
      <c r="U792" s="57"/>
      <c r="V792" s="57"/>
      <c r="W792" s="57"/>
      <c r="X792" s="57"/>
      <c r="Y792" s="57"/>
      <c r="Z792" s="57"/>
    </row>
    <row r="793">
      <c r="A793" s="56" t="str">
        <f>IFERROR(__xludf.DUMMYFUNCTION("IF('AYIRA MINI MART FINAL MENU - Pr'!A793="""", """", IF(LEN(IFERROR(TRIM(REGEXREPLACE(TRIM(REGEXEXTRACT('AYIRA MINI MART FINAL MENU - Pr'!A793, ""^[^\x{0600}-\x{06FF}]+"")), ""[-–]+$"", """")), """"))&gt;0, IFERROR(TRIM(REGEXREPLACE(TRIM(REGEXEXTRACT('AYIRA"&amp;" MINI MART FINAL MENU - Pr'!A793, ""^[^\x{0600}-\x{06FF}]+"")), ""[-–]+$"", """")), """"), GOOGLETRANSLATE('AYIRA MINI MART FINAL MENU - Pr'!A793, ""ar"", ""en"")))"),"Screamers Mega Sour Gum 17 g – Screamers Mega Sour Gum 17")</f>
        <v>Screamers Mega Sour Gum 17 g – Screamers Mega Sour Gum 17</v>
      </c>
      <c r="B793" s="56" t="str">
        <f>IFERROR(__xludf.DUMMYFUNCTION("IF('AYIRA MINI MART FINAL MENU - Pr'!B793="""", """", IF(LEN(IFERROR(TRIM(REGEXREPLACE(TRIM(REGEXEXTRACT('AYIRA MINI MART FINAL MENU - Pr'!B793, ""^[^\x{0600}-\x{06FF}]+"")), ""[-–]+$"", """")), """"))&gt;0, IFERROR(TRIM(REGEXREPLACE(TRIM(REGEXEXTRACT('AYIRA"&amp;" MINI MART FINAL MENU - Pr'!B793, ""^[^\x{0600}-\x{06FF}]+"")), ""[-–]+$"", """")), """"), GOOGLETRANSLATE('AYIRA MINI MART FINAL MENU - Pr'!B793, ""ar"", ""en"")))"),"Candy |")</f>
        <v>Candy |</v>
      </c>
      <c r="C793" s="58">
        <f>IF('AYIRA MINI MART FINAL MENU - Pr'!C793="", "", 'AYIRA MINI MART FINAL MENU - Pr'!C793)</f>
        <v>1.5</v>
      </c>
      <c r="D793" s="56" t="str">
        <f>IFERROR(__xludf.DUMMYFUNCTION("IF('AYIRA MINI MART FINAL MENU - Pr'!D793="""", """", GOOGLETRANSLATE('AYIRA MINI MART FINAL MENU - Pr'!D793, ""ar"", ""en""))"),"Enjoy Screamers Mega Sour Gum 17g, the refreshing gum that keeps your mouth clean and fresh all day long. Its long-lasting flavor and unique formula make it the perfect choice for those seeking continuous freshness throughout the day. It helps to invigora"&amp;"te teeth and freshen breath beautifully. Suitable anytime, anywhere. Get it from Aira Mini Mart and enjoy continuous freshness.")</f>
        <v>Enjoy Screamers Mega Sour Gum 17g,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793" s="56" t="str">
        <f>IF('AYIRA MINI MART FINAL MENU - Pr'!K793="", "", 'AYIRA MINI MART FINAL MENU - Pr'!K793)</f>
        <v/>
      </c>
      <c r="F793" s="56"/>
      <c r="G793" s="56"/>
      <c r="H793" s="56"/>
      <c r="I793" s="56"/>
      <c r="J793" s="56"/>
      <c r="L793" s="56" t="str">
        <f>IF('AYIRA MINI MART FINAL MENU - Pr'!L793="", "", 'AYIRA MINI MART FINAL MENU - Pr'!L793)</f>
        <v/>
      </c>
      <c r="M793" s="56" t="str">
        <f>IF('AYIRA MINI MART FINAL MENU - Pr'!M793="", "", 'AYIRA MINI MART FINAL MENU - Pr'!M793)</f>
        <v/>
      </c>
      <c r="N793" s="56" t="str">
        <f>IF('AYIRA MINI MART FINAL MENU - Pr'!N793="", "", 'AYIRA MINI MART FINAL MENU - Pr'!N793)</f>
        <v/>
      </c>
      <c r="O793" s="57"/>
      <c r="P793" s="57"/>
      <c r="Q793" s="57"/>
      <c r="R793" s="57"/>
      <c r="S793" s="57"/>
      <c r="T793" s="57"/>
      <c r="U793" s="57"/>
      <c r="V793" s="57"/>
      <c r="W793" s="57"/>
      <c r="X793" s="57"/>
      <c r="Y793" s="57"/>
      <c r="Z793" s="57"/>
    </row>
    <row r="794">
      <c r="A794" s="56" t="str">
        <f>IFERROR(__xludf.DUMMYFUNCTION("IF('AYIRA MINI MART FINAL MENU - Pr'!A794="""", """", IF(LEN(IFERROR(TRIM(REGEXREPLACE(TRIM(REGEXEXTRACT('AYIRA MINI MART FINAL MENU - Pr'!A794, ""^[^\x{0600}-\x{06FF}]+"")), ""[-–]+$"", """")), """"))&gt;0, IFERROR(TRIM(REGEXREPLACE(TRIM(REGEXEXTRACT('AYIRA"&amp;" MINI MART FINAL MENU - Pr'!A794, ""^[^\x{0600}-\x{06FF}]+"")), ""[-–]+$"", """")), """"), GOOGLETRANSLATE('AYIRA MINI MART FINAL MENU - Pr'!A794, ""ar"", ""en"")))"),"Watermelon Gumball 35 g – Watermelon Gumball 35")</f>
        <v>Watermelon Gumball 35 g – Watermelon Gumball 35</v>
      </c>
      <c r="B794" s="56" t="str">
        <f>IFERROR(__xludf.DUMMYFUNCTION("IF('AYIRA MINI MART FINAL MENU - Pr'!B794="""", """", IF(LEN(IFERROR(TRIM(REGEXREPLACE(TRIM(REGEXEXTRACT('AYIRA MINI MART FINAL MENU - Pr'!B794, ""^[^\x{0600}-\x{06FF}]+"")), ""[-–]+$"", """")), """"))&gt;0, IFERROR(TRIM(REGEXREPLACE(TRIM(REGEXEXTRACT('AYIRA"&amp;" MINI MART FINAL MENU - Pr'!B794, ""^[^\x{0600}-\x{06FF}]+"")), ""[-–]+$"", """")), """"), GOOGLETRANSLATE('AYIRA MINI MART FINAL MENU - Pr'!B794, ""ar"", ""en"")))"),"Candy |")</f>
        <v>Candy |</v>
      </c>
      <c r="C794" s="58">
        <f>IF('AYIRA MINI MART FINAL MENU - Pr'!C794="", "", 'AYIRA MINI MART FINAL MENU - Pr'!C794)</f>
        <v>4</v>
      </c>
      <c r="D794" s="56" t="str">
        <f>IFERROR(__xludf.DUMMYFUNCTION("IF('AYIRA MINI MART FINAL MENU - Pr'!D794="""", """", GOOGLETRANSLATE('AYIRA MINI MART FINAL MENU - Pr'!D794, ""ar"", ""en""))"),"Drink Watermelon Gumball 35g, pure water that restores your body's natural balance. Sourced from the purest natural sources and packaged to the highest standards of quality and hygiene to ensure it reaches you in perfect condition. Proper hydration is ess"&amp;"ential for a good life, and choosing this water reflects your commitment to your well-being. Make sure to drink enough water daily to maintain your energy and vitality. Aira Mini Mart offers this premium water at competitive prices.")</f>
        <v>Drink Watermelon Gumball 35g, pure water that restores your body's natural balance. Sourced from the purest natural sources and packaged to the highest standards of quality and hygiene to ensure it reaches you in perfect condition. Proper hydration is essential for a good life, and choosing this water reflects your commitment to your well-being. Make sure to drink enough water daily to maintain your energy and vitality. Aira Mini Mart offers this premium water at competitive prices.</v>
      </c>
      <c r="E794" s="56" t="str">
        <f>IF('AYIRA MINI MART FINAL MENU - Pr'!K794="", "", 'AYIRA MINI MART FINAL MENU - Pr'!K794)</f>
        <v/>
      </c>
      <c r="F794" s="56"/>
      <c r="G794" s="56"/>
      <c r="H794" s="56"/>
      <c r="I794" s="56"/>
      <c r="J794" s="56"/>
      <c r="L794" s="56" t="str">
        <f>IF('AYIRA MINI MART FINAL MENU - Pr'!L794="", "", 'AYIRA MINI MART FINAL MENU - Pr'!L794)</f>
        <v/>
      </c>
      <c r="M794" s="56" t="str">
        <f>IF('AYIRA MINI MART FINAL MENU - Pr'!M794="", "", 'AYIRA MINI MART FINAL MENU - Pr'!M794)</f>
        <v/>
      </c>
      <c r="N794" s="56" t="str">
        <f>IF('AYIRA MINI MART FINAL MENU - Pr'!N794="", "", 'AYIRA MINI MART FINAL MENU - Pr'!N794)</f>
        <v/>
      </c>
      <c r="O794" s="57"/>
      <c r="P794" s="57"/>
      <c r="Q794" s="57"/>
      <c r="R794" s="57"/>
      <c r="S794" s="57"/>
      <c r="T794" s="57"/>
      <c r="U794" s="57"/>
      <c r="V794" s="57"/>
      <c r="W794" s="57"/>
      <c r="X794" s="57"/>
      <c r="Y794" s="57"/>
      <c r="Z794" s="57"/>
    </row>
    <row r="795">
      <c r="A795" s="56" t="str">
        <f>IFERROR(__xludf.DUMMYFUNCTION("IF('AYIRA MINI MART FINAL MENU - Pr'!A795="""", """", IF(LEN(IFERROR(TRIM(REGEXREPLACE(TRIM(REGEXEXTRACT('AYIRA MINI MART FINAL MENU - Pr'!A795, ""^[^\x{0600}-\x{06FF}]+"")), ""[-–]+$"", """")), """"))&gt;0, IFERROR(TRIM(REGEXREPLACE(TRIM(REGEXEXTRACT('AYIRA"&amp;" MINI MART FINAL MENU - Pr'!A795, ""^[^\x{0600}-\x{06FF}]+"")), ""[-–]+$"", """")), """"), GOOGLETRANSLATE('AYIRA MINI MART FINAL MENU - Pr'!A795, ""ar"", ""en"")))"),"Bubble Gum Strawberry 18 g – Bubble Gum")</f>
        <v>Bubble Gum Strawberry 18 g – Bubble Gum</v>
      </c>
      <c r="B795" s="56" t="str">
        <f>IFERROR(__xludf.DUMMYFUNCTION("IF('AYIRA MINI MART FINAL MENU - Pr'!B795="""", """", IF(LEN(IFERROR(TRIM(REGEXREPLACE(TRIM(REGEXEXTRACT('AYIRA MINI MART FINAL MENU - Pr'!B795, ""^[^\x{0600}-\x{06FF}]+"")), ""[-–]+$"", """")), """"))&gt;0, IFERROR(TRIM(REGEXREPLACE(TRIM(REGEXEXTRACT('AYIRA"&amp;" MINI MART FINAL MENU - Pr'!B795, ""^[^\x{0600}-\x{06FF}]+"")), ""[-–]+$"", """")), """"), GOOGLETRANSLATE('AYIRA MINI MART FINAL MENU - Pr'!B795, ""ar"", ""en"")))"),"Candy |")</f>
        <v>Candy |</v>
      </c>
      <c r="C795" s="58">
        <f>IF('AYIRA MINI MART FINAL MENU - Pr'!C795="", "", 'AYIRA MINI MART FINAL MENU - Pr'!C795)</f>
        <v>1</v>
      </c>
      <c r="D795" s="56" t="str">
        <f>IFERROR(__xludf.DUMMYFUNCTION("IF('AYIRA MINI MART FINAL MENU - Pr'!D795="""", """", GOOGLETRANSLATE('AYIRA MINI MART FINAL MENU - Pr'!D795, ""ar"", ""en""))"),"Enjoy Bubble Gum Strawberry 18g, the refreshing gum that keeps your mouth clean and fresh all day long. Its long-lasting flavor and unique formula make it the perfect choice for those seeking continuous freshness throughout the day. It helps to invigorate"&amp;" teeth and freshen breath beautifully. Suitable anytime, anywhere. Get it from Aira Mini Mart and enjoy continuous freshness.")</f>
        <v>Enjoy Bubble Gum Strawberry 18g,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795" s="56" t="str">
        <f>IF('AYIRA MINI MART FINAL MENU - Pr'!K795="", "", 'AYIRA MINI MART FINAL MENU - Pr'!K795)</f>
        <v/>
      </c>
      <c r="F795" s="56"/>
      <c r="G795" s="56"/>
      <c r="H795" s="56"/>
      <c r="I795" s="56"/>
      <c r="J795" s="56"/>
      <c r="L795" s="56" t="str">
        <f>IF('AYIRA MINI MART FINAL MENU - Pr'!L795="", "", 'AYIRA MINI MART FINAL MENU - Pr'!L795)</f>
        <v/>
      </c>
      <c r="M795" s="56" t="str">
        <f>IF('AYIRA MINI MART FINAL MENU - Pr'!M795="", "", 'AYIRA MINI MART FINAL MENU - Pr'!M795)</f>
        <v/>
      </c>
      <c r="N795" s="56" t="str">
        <f>IF('AYIRA MINI MART FINAL MENU - Pr'!N795="", "", 'AYIRA MINI MART FINAL MENU - Pr'!N795)</f>
        <v/>
      </c>
      <c r="O795" s="57"/>
      <c r="P795" s="57"/>
      <c r="Q795" s="57"/>
      <c r="R795" s="57"/>
      <c r="S795" s="57"/>
      <c r="T795" s="57"/>
      <c r="U795" s="57"/>
      <c r="V795" s="57"/>
      <c r="W795" s="57"/>
      <c r="X795" s="57"/>
      <c r="Y795" s="57"/>
      <c r="Z795" s="57"/>
    </row>
    <row r="796">
      <c r="A796" s="56" t="str">
        <f>IFERROR(__xludf.DUMMYFUNCTION("IF('AYIRA MINI MART FINAL MENU - Pr'!A796="""", """", IF(LEN(IFERROR(TRIM(REGEXREPLACE(TRIM(REGEXEXTRACT('AYIRA MINI MART FINAL MENU - Pr'!A796, ""^[^\x{0600}-\x{06FF}]+"")), ""[-–]+$"", """")), """"))&gt;0, IFERROR(TRIM(REGEXREPLACE(TRIM(REGEXEXTRACT('AYIRA"&amp;" MINI MART FINAL MENU - Pr'!A796, ""^[^\x{0600}-\x{06FF}]+"")), ""[-–]+$"", """")), """"), GOOGLETRANSLATE('AYIRA MINI MART FINAL MENU - Pr'!A796, ""ar"", ""en"")))"),"Diploko Roll 18 g – Diploko Roll 18")</f>
        <v>Diploko Roll 18 g – Diploko Roll 18</v>
      </c>
      <c r="B796" s="56" t="str">
        <f>IFERROR(__xludf.DUMMYFUNCTION("IF('AYIRA MINI MART FINAL MENU - Pr'!B796="""", """", IF(LEN(IFERROR(TRIM(REGEXREPLACE(TRIM(REGEXEXTRACT('AYIRA MINI MART FINAL MENU - Pr'!B796, ""^[^\x{0600}-\x{06FF}]+"")), ""[-–]+$"", """")), """"))&gt;0, IFERROR(TRIM(REGEXREPLACE(TRIM(REGEXEXTRACT('AYIRA"&amp;" MINI MART FINAL MENU - Pr'!B796, ""^[^\x{0600}-\x{06FF}]+"")), ""[-–]+$"", """")), """"), GOOGLETRANSLATE('AYIRA MINI MART FINAL MENU - Pr'!B796, ""ar"", ""en"")))"),"Candy |")</f>
        <v>Candy |</v>
      </c>
      <c r="C796" s="58">
        <f>IF('AYIRA MINI MART FINAL MENU - Pr'!C796="", "", 'AYIRA MINI MART FINAL MENU - Pr'!C796)</f>
        <v>1</v>
      </c>
      <c r="D796" s="56" t="str">
        <f>IFERROR(__xludf.DUMMYFUNCTION("IF('AYIRA MINI MART FINAL MENU - Pr'!D796="""", """", GOOGLETRANSLATE('AYIRA MINI MART FINAL MENU - Pr'!D796, ""ar"", ""en""))"),"Don't be able to resist the taste of Diploko Roll 18g, your perfect companion for relaxing and watching matches. Its unique crunch and diverse flavors make every handful a delightful experience. Prepared with the finest ingredients using the latest manufa"&amp;"cturing techniques to guarantee an unparalleled taste. Ideal as a snack for adults and children between meals. Aira Mini Mart offers it in the size and flavor that suits you best.")</f>
        <v>Don't be able to resist the taste of Diploko Roll 18g,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796" s="56" t="str">
        <f>IF('AYIRA MINI MART FINAL MENU - Pr'!K796="", "", 'AYIRA MINI MART FINAL MENU - Pr'!K796)</f>
        <v/>
      </c>
      <c r="F796" s="56"/>
      <c r="G796" s="56"/>
      <c r="H796" s="56"/>
      <c r="I796" s="56"/>
      <c r="J796" s="56"/>
      <c r="L796" s="56" t="str">
        <f>IF('AYIRA MINI MART FINAL MENU - Pr'!L796="", "", 'AYIRA MINI MART FINAL MENU - Pr'!L796)</f>
        <v/>
      </c>
      <c r="M796" s="56" t="str">
        <f>IF('AYIRA MINI MART FINAL MENU - Pr'!M796="", "", 'AYIRA MINI MART FINAL MENU - Pr'!M796)</f>
        <v/>
      </c>
      <c r="N796" s="56" t="str">
        <f>IF('AYIRA MINI MART FINAL MENU - Pr'!N796="", "", 'AYIRA MINI MART FINAL MENU - Pr'!N796)</f>
        <v/>
      </c>
      <c r="O796" s="57"/>
      <c r="P796" s="57"/>
      <c r="Q796" s="57"/>
      <c r="R796" s="57"/>
      <c r="S796" s="57"/>
      <c r="T796" s="57"/>
      <c r="U796" s="57"/>
      <c r="V796" s="57"/>
      <c r="W796" s="57"/>
      <c r="X796" s="57"/>
      <c r="Y796" s="57"/>
      <c r="Z796" s="57"/>
    </row>
    <row r="797">
      <c r="A797" s="56" t="str">
        <f>IFERROR(__xludf.DUMMYFUNCTION("IF('AYIRA MINI MART FINAL MENU - Pr'!A797="""", """", IF(LEN(IFERROR(TRIM(REGEXREPLACE(TRIM(REGEXEXTRACT('AYIRA MINI MART FINAL MENU - Pr'!A797, ""^[^\x{0600}-\x{06FF}]+"")), ""[-–]+$"", """")), """"))&gt;0, IFERROR(TRIM(REGEXREPLACE(TRIM(REGEXEXTRACT('AYIRA"&amp;" MINI MART FINAL MENU - Pr'!A797, ""^[^\x{0600}-\x{06FF}]+"")), ""[-–]+$"", """")), """"), GOOGLETRANSLATE('AYIRA MINI MART FINAL MENU - Pr'!A797, ""ar"", ""en"")))"),"Haribo Goldbears with Fruit Juice – 80 g")</f>
        <v>Haribo Goldbears with Fruit Juice – 80 g</v>
      </c>
      <c r="B797" s="56" t="str">
        <f>IFERROR(__xludf.DUMMYFUNCTION("IF('AYIRA MINI MART FINAL MENU - Pr'!B797="""", """", IF(LEN(IFERROR(TRIM(REGEXREPLACE(TRIM(REGEXEXTRACT('AYIRA MINI MART FINAL MENU - Pr'!B797, ""^[^\x{0600}-\x{06FF}]+"")), ""[-–]+$"", """")), """"))&gt;0, IFERROR(TRIM(REGEXREPLACE(TRIM(REGEXEXTRACT('AYIRA"&amp;" MINI MART FINAL MENU - Pr'!B797, ""^[^\x{0600}-\x{06FF}]+"")), ""[-–]+$"", """")), """"), GOOGLETRANSLATE('AYIRA MINI MART FINAL MENU - Pr'!B797, ""ar"", ""en"")))"),"Candy |")</f>
        <v>Candy |</v>
      </c>
      <c r="C797" s="58">
        <f>IF('AYIRA MINI MART FINAL MENU - Pr'!C797="", "", 'AYIRA MINI MART FINAL MENU - Pr'!C797)</f>
        <v>6</v>
      </c>
      <c r="D797" s="56" t="str">
        <f>IFERROR(__xludf.DUMMYFUNCTION("IF('AYIRA MINI MART FINAL MENU - Pr'!D797="""", """", GOOGLETRANSLATE('AYIRA MINI MART FINAL MENU - Pr'!D797, ""ar"", ""en""))"),"Take care of your health with Haribo, a fresh juice packed with essential vitamins and minerals. Made from carefully selected, high-quality fruits for a delicious taste and superior nutritional value. It provides natural energy and boosts your immune syst"&amp;"em thanks to its rich composition. Perfect for your daily breakfast or as a healthy drink anytime. Order now from Aira Mini Mart and enjoy every drop of this delicious and nutritious juice.")</f>
        <v>Take care of your health with Haribo, a fresh juice packed with essential vitamins and minerals. Made from carefully selected, high-quality fruits for a delicious taste and superior nutritional value. It provides natural energy and boosts your immune system thanks to its rich composition. Perfect for your daily breakfast or as a healthy drink anytime. Order now from Aira Mini Mart and enjoy every drop of this delicious and nutritious juice.</v>
      </c>
      <c r="E797" s="56" t="str">
        <f>IF('AYIRA MINI MART FINAL MENU - Pr'!K797="", "", 'AYIRA MINI MART FINAL MENU - Pr'!K797)</f>
        <v/>
      </c>
      <c r="F797" s="56"/>
      <c r="G797" s="56"/>
      <c r="H797" s="56"/>
      <c r="I797" s="56"/>
      <c r="J797" s="56"/>
      <c r="L797" s="56" t="str">
        <f>IF('AYIRA MINI MART FINAL MENU - Pr'!L797="", "", 'AYIRA MINI MART FINAL MENU - Pr'!L797)</f>
        <v/>
      </c>
      <c r="M797" s="56" t="str">
        <f>IF('AYIRA MINI MART FINAL MENU - Pr'!M797="", "", 'AYIRA MINI MART FINAL MENU - Pr'!M797)</f>
        <v/>
      </c>
      <c r="N797" s="56" t="str">
        <f>IF('AYIRA MINI MART FINAL MENU - Pr'!N797="", "", 'AYIRA MINI MART FINAL MENU - Pr'!N797)</f>
        <v/>
      </c>
      <c r="O797" s="57"/>
      <c r="P797" s="57"/>
      <c r="Q797" s="57"/>
      <c r="R797" s="57"/>
      <c r="S797" s="57"/>
      <c r="T797" s="57"/>
      <c r="U797" s="57"/>
      <c r="V797" s="57"/>
      <c r="W797" s="57"/>
      <c r="X797" s="57"/>
      <c r="Y797" s="57"/>
      <c r="Z797" s="57"/>
    </row>
    <row r="798">
      <c r="A798" s="56" t="str">
        <f>IFERROR(__xludf.DUMMYFUNCTION("IF('AYIRA MINI MART FINAL MENU - Pr'!A798="""", """", IF(LEN(IFERROR(TRIM(REGEXREPLACE(TRIM(REGEXEXTRACT('AYIRA MINI MART FINAL MENU - Pr'!A798, ""^[^\x{0600}-\x{06FF}]+"")), ""[-–]+$"", """")), """"))&gt;0, IFERROR(TRIM(REGEXREPLACE(TRIM(REGEXEXTRACT('AYIRA"&amp;" MINI MART FINAL MENU - Pr'!A798, ""^[^\x{0600}-\x{06FF}]+"")), ""[-–]+$"", """")), """"), GOOGLETRANSLATE('AYIRA MINI MART FINAL MENU - Pr'!A798, ""ar"", ""en"")))"),"Haribo Worms – 80 g")</f>
        <v>Haribo Worms – 80 g</v>
      </c>
      <c r="B798" s="56" t="str">
        <f>IFERROR(__xludf.DUMMYFUNCTION("IF('AYIRA MINI MART FINAL MENU - Pr'!B798="""", """", IF(LEN(IFERROR(TRIM(REGEXREPLACE(TRIM(REGEXEXTRACT('AYIRA MINI MART FINAL MENU - Pr'!B798, ""^[^\x{0600}-\x{06FF}]+"")), ""[-–]+$"", """")), """"))&gt;0, IFERROR(TRIM(REGEXREPLACE(TRIM(REGEXEXTRACT('AYIRA"&amp;" MINI MART FINAL MENU - Pr'!B798, ""^[^\x{0600}-\x{06FF}]+"")), ""[-–]+$"", """")), """"), GOOGLETRANSLATE('AYIRA MINI MART FINAL MENU - Pr'!B798, ""ar"", ""en"")))"),"Candy |")</f>
        <v>Candy |</v>
      </c>
      <c r="C798" s="58">
        <f>IF('AYIRA MINI MART FINAL MENU - Pr'!C798="", "", 'AYIRA MINI MART FINAL MENU - Pr'!C798)</f>
        <v>6</v>
      </c>
      <c r="D798" s="56" t="str">
        <f>IFERROR(__xludf.DUMMYFUNCTION("IF('AYIRA MINI MART FINAL MENU - Pr'!D798="""", """", GOOGLETRANSLATE('AYIRA MINI MART FINAL MENU - Pr'!D798, ""ar"", ""en""))"),"Add a sweet moment to your day with Haribo, the delicious treat loved by everyone. Its variety of flavors and vibrant colors make it suitable for all ages. Perfect as a small treat or a light gift for friends and family. Made with high quality ingredients"&amp;" to ensure a great taste in every piece. Get yours from Aira Mini Mart and spread the joy to your loved ones.")</f>
        <v>Add a sweet moment to your day with Haribo, the delicious treat loved by everyone. Its variety of flavors and vibrant colors make it suitable for all ages. Perfect as a small treat or a light gift for friends and family. Made with high quality ingredients to ensure a great taste in every piece. Get yours from Aira Mini Mart and spread the joy to your loved ones.</v>
      </c>
      <c r="E798" s="56" t="str">
        <f>IF('AYIRA MINI MART FINAL MENU - Pr'!K798="", "", 'AYIRA MINI MART FINAL MENU - Pr'!K798)</f>
        <v/>
      </c>
      <c r="F798" s="56"/>
      <c r="G798" s="56"/>
      <c r="H798" s="56"/>
      <c r="I798" s="56"/>
      <c r="J798" s="56"/>
      <c r="L798" s="56" t="str">
        <f>IF('AYIRA MINI MART FINAL MENU - Pr'!L798="", "", 'AYIRA MINI MART FINAL MENU - Pr'!L798)</f>
        <v/>
      </c>
      <c r="M798" s="56" t="str">
        <f>IF('AYIRA MINI MART FINAL MENU - Pr'!M798="", "", 'AYIRA MINI MART FINAL MENU - Pr'!M798)</f>
        <v/>
      </c>
      <c r="N798" s="56" t="str">
        <f>IF('AYIRA MINI MART FINAL MENU - Pr'!N798="", "", 'AYIRA MINI MART FINAL MENU - Pr'!N798)</f>
        <v/>
      </c>
      <c r="O798" s="57"/>
      <c r="P798" s="57"/>
      <c r="Q798" s="57"/>
      <c r="R798" s="57"/>
      <c r="S798" s="57"/>
      <c r="T798" s="57"/>
      <c r="U798" s="57"/>
      <c r="V798" s="57"/>
      <c r="W798" s="57"/>
      <c r="X798" s="57"/>
      <c r="Y798" s="57"/>
      <c r="Z798" s="57"/>
    </row>
    <row r="799">
      <c r="A799" s="56" t="str">
        <f>IFERROR(__xludf.DUMMYFUNCTION("IF('AYIRA MINI MART FINAL MENU - Pr'!A799="""", """", IF(LEN(IFERROR(TRIM(REGEXREPLACE(TRIM(REGEXEXTRACT('AYIRA MINI MART FINAL MENU - Pr'!A799, ""^[^\x{0600}-\x{06FF}]+"")), ""[-–]+$"", """")), """"))&gt;0, IFERROR(TRIM(REGEXREPLACE(TRIM(REGEXEXTRACT('AYIRA"&amp;" MINI MART FINAL MENU - Pr'!A799, ""^[^\x{0600}-\x{06FF}]+"")), ""[-–]+$"", """")), """"), GOOGLETRANSLATE('AYIRA MINI MART FINAL MENU - Pr'!A799, ""ar"", ""en"")))"),"Haribo Starmix – 80 g")</f>
        <v>Haribo Starmix – 80 g</v>
      </c>
      <c r="B799" s="56" t="str">
        <f>IFERROR(__xludf.DUMMYFUNCTION("IF('AYIRA MINI MART FINAL MENU - Pr'!B799="""", """", IF(LEN(IFERROR(TRIM(REGEXREPLACE(TRIM(REGEXEXTRACT('AYIRA MINI MART FINAL MENU - Pr'!B799, ""^[^\x{0600}-\x{06FF}]+"")), ""[-–]+$"", """")), """"))&gt;0, IFERROR(TRIM(REGEXREPLACE(TRIM(REGEXEXTRACT('AYIRA"&amp;" MINI MART FINAL MENU - Pr'!B799, ""^[^\x{0600}-\x{06FF}]+"")), ""[-–]+$"", """")), """"), GOOGLETRANSLATE('AYIRA MINI MART FINAL MENU - Pr'!B799, ""ar"", ""en"")))"),"Candy |")</f>
        <v>Candy |</v>
      </c>
      <c r="C799" s="58">
        <f>IF('AYIRA MINI MART FINAL MENU - Pr'!C799="", "", 'AYIRA MINI MART FINAL MENU - Pr'!C799)</f>
        <v>6</v>
      </c>
      <c r="D799" s="56" t="str">
        <f>IFERROR(__xludf.DUMMYFUNCTION("IF('AYIRA MINI MART FINAL MENU - Pr'!D799="""", """", GOOGLETRANSLATE('AYIRA MINI MART FINAL MENU - Pr'!D799, ""ar"", ""en""))"),"Add a sweet moment to your day with Haribo, the delicious treat loved by everyone. Its variety of flavors and vibrant colors make it suitable for all ages. Perfect as a small treat or a light gift for friends and family. Made with high quality ingredients"&amp;" to ensure a great taste in every piece. Get yours from Aira Mini Mart and spread the joy to your loved ones.")</f>
        <v>Add a sweet moment to your day with Haribo, the delicious treat loved by everyone. Its variety of flavors and vibrant colors make it suitable for all ages. Perfect as a small treat or a light gift for friends and family. Made with high quality ingredients to ensure a great taste in every piece. Get yours from Aira Mini Mart and spread the joy to your loved ones.</v>
      </c>
      <c r="E799" s="56" t="str">
        <f>IF('AYIRA MINI MART FINAL MENU - Pr'!K799="", "", 'AYIRA MINI MART FINAL MENU - Pr'!K799)</f>
        <v/>
      </c>
      <c r="F799" s="56"/>
      <c r="G799" s="56"/>
      <c r="H799" s="56"/>
      <c r="I799" s="56"/>
      <c r="J799" s="56"/>
      <c r="L799" s="56" t="str">
        <f>IF('AYIRA MINI MART FINAL MENU - Pr'!L799="", "", 'AYIRA MINI MART FINAL MENU - Pr'!L799)</f>
        <v/>
      </c>
      <c r="M799" s="56" t="str">
        <f>IF('AYIRA MINI MART FINAL MENU - Pr'!M799="", "", 'AYIRA MINI MART FINAL MENU - Pr'!M799)</f>
        <v/>
      </c>
      <c r="N799" s="56" t="str">
        <f>IF('AYIRA MINI MART FINAL MENU - Pr'!N799="", "", 'AYIRA MINI MART FINAL MENU - Pr'!N799)</f>
        <v/>
      </c>
      <c r="O799" s="57"/>
      <c r="P799" s="57"/>
      <c r="Q799" s="57"/>
      <c r="R799" s="57"/>
      <c r="S799" s="57"/>
      <c r="T799" s="57"/>
      <c r="U799" s="57"/>
      <c r="V799" s="57"/>
      <c r="W799" s="57"/>
      <c r="X799" s="57"/>
      <c r="Y799" s="57"/>
      <c r="Z799" s="57"/>
    </row>
    <row r="800">
      <c r="A800" s="56" t="str">
        <f>IFERROR(__xludf.DUMMYFUNCTION("IF('AYIRA MINI MART FINAL MENU - Pr'!A800="""", """", IF(LEN(IFERROR(TRIM(REGEXREPLACE(TRIM(REGEXEXTRACT('AYIRA MINI MART FINAL MENU - Pr'!A800, ""^[^\x{0600}-\x{06FF}]+"")), ""[-–]+$"", """")), """"))&gt;0, IFERROR(TRIM(REGEXREPLACE(TRIM(REGEXEXTRACT('AYIRA"&amp;" MINI MART FINAL MENU - Pr'!A800, ""^[^\x{0600}-\x{06FF}]+"")), ""[-–]+$"", """")), """"), GOOGLETRANSLATE('AYIRA MINI MART FINAL MENU - Pr'!A800, ""ar"", ""en"")))"),"Haribo Veggy Mix – 80 g")</f>
        <v>Haribo Veggy Mix – 80 g</v>
      </c>
      <c r="B800" s="56" t="str">
        <f>IFERROR(__xludf.DUMMYFUNCTION("IF('AYIRA MINI MART FINAL MENU - Pr'!B800="""", """", IF(LEN(IFERROR(TRIM(REGEXREPLACE(TRIM(REGEXEXTRACT('AYIRA MINI MART FINAL MENU - Pr'!B800, ""^[^\x{0600}-\x{06FF}]+"")), ""[-–]+$"", """")), """"))&gt;0, IFERROR(TRIM(REGEXREPLACE(TRIM(REGEXEXTRACT('AYIRA"&amp;" MINI MART FINAL MENU - Pr'!B800, ""^[^\x{0600}-\x{06FF}]+"")), ""[-–]+$"", """")), """"), GOOGLETRANSLATE('AYIRA MINI MART FINAL MENU - Pr'!B800, ""ar"", ""en"")))"),"Candy |")</f>
        <v>Candy |</v>
      </c>
      <c r="C800" s="58">
        <f>IF('AYIRA MINI MART FINAL MENU - Pr'!C800="", "", 'AYIRA MINI MART FINAL MENU - Pr'!C800)</f>
        <v>6</v>
      </c>
      <c r="D800" s="56" t="str">
        <f>IFERROR(__xludf.DUMMYFUNCTION("IF('AYIRA MINI MART FINAL MENU - Pr'!D800="""", """", GOOGLETRANSLATE('AYIRA MINI MART FINAL MENU - Pr'!D800, ""ar"", ""en""))"),"Add a sweet moment to your day with Haribo, the delicious treat loved by everyone. Its variety of flavors and vibrant colors make it suitable for all ages. Perfect as a small treat or a light gift for friends and family. Made with high quality ingredients"&amp;" to ensure a great taste in every piece. Get yours from Aira Mini Mart and spread the joy to your loved ones.")</f>
        <v>Add a sweet moment to your day with Haribo, the delicious treat loved by everyone. Its variety of flavors and vibrant colors make it suitable for all ages. Perfect as a small treat or a light gift for friends and family. Made with high quality ingredients to ensure a great taste in every piece. Get yours from Aira Mini Mart and spread the joy to your loved ones.</v>
      </c>
      <c r="E800" s="56" t="str">
        <f>IF('AYIRA MINI MART FINAL MENU - Pr'!K800="", "", 'AYIRA MINI MART FINAL MENU - Pr'!K800)</f>
        <v/>
      </c>
      <c r="F800" s="56"/>
      <c r="G800" s="56"/>
      <c r="H800" s="56"/>
      <c r="I800" s="56"/>
      <c r="J800" s="56"/>
      <c r="L800" s="56" t="str">
        <f>IF('AYIRA MINI MART FINAL MENU - Pr'!L800="", "", 'AYIRA MINI MART FINAL MENU - Pr'!L800)</f>
        <v/>
      </c>
      <c r="M800" s="56" t="str">
        <f>IF('AYIRA MINI MART FINAL MENU - Pr'!M800="", "", 'AYIRA MINI MART FINAL MENU - Pr'!M800)</f>
        <v/>
      </c>
      <c r="N800" s="56" t="str">
        <f>IF('AYIRA MINI MART FINAL MENU - Pr'!N800="", "", 'AYIRA MINI MART FINAL MENU - Pr'!N800)</f>
        <v/>
      </c>
      <c r="O800" s="57"/>
      <c r="P800" s="57"/>
      <c r="Q800" s="57"/>
      <c r="R800" s="57"/>
      <c r="S800" s="57"/>
      <c r="T800" s="57"/>
      <c r="U800" s="57"/>
      <c r="V800" s="57"/>
      <c r="W800" s="57"/>
      <c r="X800" s="57"/>
      <c r="Y800" s="57"/>
      <c r="Z800" s="57"/>
    </row>
    <row r="801">
      <c r="A801" s="56" t="str">
        <f>IFERROR(__xludf.DUMMYFUNCTION("IF('AYIRA MINI MART FINAL MENU - Pr'!A801="""", """", IF(LEN(IFERROR(TRIM(REGEXREPLACE(TRIM(REGEXEXTRACT('AYIRA MINI MART FINAL MENU - Pr'!A801, ""^[^\x{0600}-\x{06FF}]+"")), ""[-–]+$"", """")), """"))&gt;0, IFERROR(TRIM(REGEXREPLACE(TRIM(REGEXEXTRACT('AYIRA"&amp;" MINI MART FINAL MENU - Pr'!A801, ""^[^\x{0600}-\x{06FF}]+"")), ""[-–]+$"", """")), """"), GOOGLETRANSLATE('AYIRA MINI MART FINAL MENU - Pr'!A801, ""ar"", ""en"")))"),"Haribo Teeth – 80 g")</f>
        <v>Haribo Teeth – 80 g</v>
      </c>
      <c r="B801" s="56" t="str">
        <f>IFERROR(__xludf.DUMMYFUNCTION("IF('AYIRA MINI MART FINAL MENU - Pr'!B801="""", """", IF(LEN(IFERROR(TRIM(REGEXREPLACE(TRIM(REGEXEXTRACT('AYIRA MINI MART FINAL MENU - Pr'!B801, ""^[^\x{0600}-\x{06FF}]+"")), ""[-–]+$"", """")), """"))&gt;0, IFERROR(TRIM(REGEXREPLACE(TRIM(REGEXEXTRACT('AYIRA"&amp;" MINI MART FINAL MENU - Pr'!B801, ""^[^\x{0600}-\x{06FF}]+"")), ""[-–]+$"", """")), """"), GOOGLETRANSLATE('AYIRA MINI MART FINAL MENU - Pr'!B801, ""ar"", ""en"")))"),"Candy |")</f>
        <v>Candy |</v>
      </c>
      <c r="C801" s="58">
        <f>IF('AYIRA MINI MART FINAL MENU - Pr'!C801="", "", 'AYIRA MINI MART FINAL MENU - Pr'!C801)</f>
        <v>6</v>
      </c>
      <c r="D801" s="56" t="str">
        <f>IFERROR(__xludf.DUMMYFUNCTION("IF('AYIRA MINI MART FINAL MENU - Pr'!D801="""", """", GOOGLETRANSLATE('AYIRA MINI MART FINAL MENU - Pr'!D801, ""ar"", ""en""))"),"Add a sweet moment to your day with Haribo, the delicious treat loved by everyone. Its variety of flavors and vibrant colors make it suitable for all ages. Perfect as a small treat or a light gift for friends and family. Made with high quality ingredients"&amp;" to ensure a great taste in every piece. Get yours from Aira Mini Mart and spread the joy to your loved ones.")</f>
        <v>Add a sweet moment to your day with Haribo, the delicious treat loved by everyone. Its variety of flavors and vibrant colors make it suitable for all ages. Perfect as a small treat or a light gift for friends and family. Made with high quality ingredients to ensure a great taste in every piece. Get yours from Aira Mini Mart and spread the joy to your loved ones.</v>
      </c>
      <c r="E801" s="56" t="str">
        <f>IF('AYIRA MINI MART FINAL MENU - Pr'!K801="", "", 'AYIRA MINI MART FINAL MENU - Pr'!K801)</f>
        <v/>
      </c>
      <c r="F801" s="56"/>
      <c r="G801" s="56"/>
      <c r="H801" s="56"/>
      <c r="I801" s="56"/>
      <c r="J801" s="56"/>
      <c r="L801" s="56" t="str">
        <f>IF('AYIRA MINI MART FINAL MENU - Pr'!L801="", "", 'AYIRA MINI MART FINAL MENU - Pr'!L801)</f>
        <v/>
      </c>
      <c r="M801" s="56" t="str">
        <f>IF('AYIRA MINI MART FINAL MENU - Pr'!M801="", "", 'AYIRA MINI MART FINAL MENU - Pr'!M801)</f>
        <v/>
      </c>
      <c r="N801" s="56" t="str">
        <f>IF('AYIRA MINI MART FINAL MENU - Pr'!N801="", "", 'AYIRA MINI MART FINAL MENU - Pr'!N801)</f>
        <v/>
      </c>
      <c r="O801" s="57"/>
      <c r="P801" s="57"/>
      <c r="Q801" s="57"/>
      <c r="R801" s="57"/>
      <c r="S801" s="57"/>
      <c r="T801" s="57"/>
      <c r="U801" s="57"/>
      <c r="V801" s="57"/>
      <c r="W801" s="57"/>
      <c r="X801" s="57"/>
      <c r="Y801" s="57"/>
      <c r="Z801" s="57"/>
    </row>
    <row r="802">
      <c r="A802" s="56" t="str">
        <f>IFERROR(__xludf.DUMMYFUNCTION("IF('AYIRA MINI MART FINAL MENU - Pr'!A802="""", """", IF(LEN(IFERROR(TRIM(REGEXREPLACE(TRIM(REGEXEXTRACT('AYIRA MINI MART FINAL MENU - Pr'!A802, ""^[^\x{0600}-\x{06FF}]+"")), ""[-–]+$"", """")), """"))&gt;0, IFERROR(TRIM(REGEXREPLACE(TRIM(REGEXEXTRACT('AYIRA"&amp;" MINI MART FINAL MENU - Pr'!A802, ""^[^\x{0600}-\x{06FF}]+"")), ""[-–]+$"", """")), """"), GOOGLETRANSLATE('AYIRA MINI MART FINAL MENU - Pr'!A802, ""ar"", ""en"")))"),"Haribo Berries – 80 g")</f>
        <v>Haribo Berries – 80 g</v>
      </c>
      <c r="B802" s="56" t="str">
        <f>IFERROR(__xludf.DUMMYFUNCTION("IF('AYIRA MINI MART FINAL MENU - Pr'!B802="""", """", IF(LEN(IFERROR(TRIM(REGEXREPLACE(TRIM(REGEXEXTRACT('AYIRA MINI MART FINAL MENU - Pr'!B802, ""^[^\x{0600}-\x{06FF}]+"")), ""[-–]+$"", """")), """"))&gt;0, IFERROR(TRIM(REGEXREPLACE(TRIM(REGEXEXTRACT('AYIRA"&amp;" MINI MART FINAL MENU - Pr'!B802, ""^[^\x{0600}-\x{06FF}]+"")), ""[-–]+$"", """")), """"), GOOGLETRANSLATE('AYIRA MINI MART FINAL MENU - Pr'!B802, ""ar"", ""en"")))"),"Candy |")</f>
        <v>Candy |</v>
      </c>
      <c r="C802" s="58">
        <f>IF('AYIRA MINI MART FINAL MENU - Pr'!C802="", "", 'AYIRA MINI MART FINAL MENU - Pr'!C802)</f>
        <v>6</v>
      </c>
      <c r="D802" s="56" t="str">
        <f>IFERROR(__xludf.DUMMYFUNCTION("IF('AYIRA MINI MART FINAL MENU - Pr'!D802="""", """", GOOGLETRANSLATE('AYIRA MINI MART FINAL MENU - Pr'!D802, ""ar"", ""en""))"),"Add a sweet moment to your day with Haribo, the delicious treat loved by everyone. Its variety of flavors and vibrant colors make it suitable for all ages. Perfect as a small treat or a light gift for friends and family. Made with high quality ingredients"&amp;" to ensure a great taste in every piece. Get yours from Aira Mini Mart and spread the joy to your loved ones.")</f>
        <v>Add a sweet moment to your day with Haribo, the delicious treat loved by everyone. Its variety of flavors and vibrant colors make it suitable for all ages. Perfect as a small treat or a light gift for friends and family. Made with high quality ingredients to ensure a great taste in every piece. Get yours from Aira Mini Mart and spread the joy to your loved ones.</v>
      </c>
      <c r="E802" s="56" t="str">
        <f>IF('AYIRA MINI MART FINAL MENU - Pr'!K802="", "", 'AYIRA MINI MART FINAL MENU - Pr'!K802)</f>
        <v/>
      </c>
      <c r="F802" s="56"/>
      <c r="G802" s="56"/>
      <c r="H802" s="56"/>
      <c r="I802" s="56"/>
      <c r="J802" s="56"/>
      <c r="L802" s="56" t="str">
        <f>IF('AYIRA MINI MART FINAL MENU - Pr'!L802="", "", 'AYIRA MINI MART FINAL MENU - Pr'!L802)</f>
        <v/>
      </c>
      <c r="M802" s="56" t="str">
        <f>IF('AYIRA MINI MART FINAL MENU - Pr'!M802="", "", 'AYIRA MINI MART FINAL MENU - Pr'!M802)</f>
        <v/>
      </c>
      <c r="N802" s="56" t="str">
        <f>IF('AYIRA MINI MART FINAL MENU - Pr'!N802="", "", 'AYIRA MINI MART FINAL MENU - Pr'!N802)</f>
        <v/>
      </c>
      <c r="O802" s="57"/>
      <c r="P802" s="57"/>
      <c r="Q802" s="57"/>
      <c r="R802" s="57"/>
      <c r="S802" s="57"/>
      <c r="T802" s="57"/>
      <c r="U802" s="57"/>
      <c r="V802" s="57"/>
      <c r="W802" s="57"/>
      <c r="X802" s="57"/>
      <c r="Y802" s="57"/>
      <c r="Z802" s="57"/>
    </row>
    <row r="803">
      <c r="A803" s="56" t="str">
        <f>IFERROR(__xludf.DUMMYFUNCTION("IF('AYIRA MINI MART FINAL MENU - Pr'!A803="""", """", IF(LEN(IFERROR(TRIM(REGEXREPLACE(TRIM(REGEXEXTRACT('AYIRA MINI MART FINAL MENU - Pr'!A803, ""^[^\x{0600}-\x{06FF}]+"")), ""[-–]+$"", """")), """"))&gt;0, IFERROR(TRIM(REGEXREPLACE(TRIM(REGEXEXTRACT('AYIRA"&amp;" MINI MART FINAL MENU - Pr'!A803, ""^[^\x{0600}-\x{06FF}]+"")), ""[-–]+$"", """")), """"), GOOGLETRANSLATE('AYIRA MINI MART FINAL MENU - Pr'!A803, ""ar"", ""en"")))"),"Haribo Happy Cola Fizz – 70 g")</f>
        <v>Haribo Happy Cola Fizz – 70 g</v>
      </c>
      <c r="B803" s="56" t="str">
        <f>IFERROR(__xludf.DUMMYFUNCTION("IF('AYIRA MINI MART FINAL MENU - Pr'!B803="""", """", IF(LEN(IFERROR(TRIM(REGEXREPLACE(TRIM(REGEXEXTRACT('AYIRA MINI MART FINAL MENU - Pr'!B803, ""^[^\x{0600}-\x{06FF}]+"")), ""[-–]+$"", """")), """"))&gt;0, IFERROR(TRIM(REGEXREPLACE(TRIM(REGEXEXTRACT('AYIRA"&amp;" MINI MART FINAL MENU - Pr'!B803, ""^[^\x{0600}-\x{06FF}]+"")), ""[-–]+$"", """")), """"), GOOGLETRANSLATE('AYIRA MINI MART FINAL MENU - Pr'!B803, ""ar"", ""en"")))"),"Candy |")</f>
        <v>Candy |</v>
      </c>
      <c r="C803" s="58">
        <f>IF('AYIRA MINI MART FINAL MENU - Pr'!C803="", "", 'AYIRA MINI MART FINAL MENU - Pr'!C803)</f>
        <v>6</v>
      </c>
      <c r="D803" s="56" t="str">
        <f>IFERROR(__xludf.DUMMYFUNCTION("IF('AYIRA MINI MART FINAL MENU - Pr'!D803="""", """", GOOGLETRANSLATE('AYIRA MINI MART FINAL MENU - Pr'!D803, ""ar"", ""en""))"),"Add a sweet moment to your day with Haribo, the delicious treat loved by everyone. Its variety of flavors and vibrant colors make it suitable for all ages. Perfect as a small treat or a light gift for friends and family. Made with high quality ingredients"&amp;" to ensure a great taste in every piece. Get yours from Aira Mini Mart and spread the joy to your loved ones.")</f>
        <v>Add a sweet moment to your day with Haribo, the delicious treat loved by everyone. Its variety of flavors and vibrant colors make it suitable for all ages. Perfect as a small treat or a light gift for friends and family. Made with high quality ingredients to ensure a great taste in every piece. Get yours from Aira Mini Mart and spread the joy to your loved ones.</v>
      </c>
      <c r="E803" s="56" t="str">
        <f>IF('AYIRA MINI MART FINAL MENU - Pr'!K803="", "", 'AYIRA MINI MART FINAL MENU - Pr'!K803)</f>
        <v/>
      </c>
      <c r="F803" s="56"/>
      <c r="G803" s="56"/>
      <c r="H803" s="56"/>
      <c r="I803" s="56"/>
      <c r="J803" s="56"/>
      <c r="L803" s="56" t="str">
        <f>IF('AYIRA MINI MART FINAL MENU - Pr'!L803="", "", 'AYIRA MINI MART FINAL MENU - Pr'!L803)</f>
        <v/>
      </c>
      <c r="M803" s="56" t="str">
        <f>IF('AYIRA MINI MART FINAL MENU - Pr'!M803="", "", 'AYIRA MINI MART FINAL MENU - Pr'!M803)</f>
        <v/>
      </c>
      <c r="N803" s="56" t="str">
        <f>IF('AYIRA MINI MART FINAL MENU - Pr'!N803="", "", 'AYIRA MINI MART FINAL MENU - Pr'!N803)</f>
        <v/>
      </c>
      <c r="O803" s="57"/>
      <c r="P803" s="57"/>
      <c r="Q803" s="57"/>
      <c r="R803" s="57"/>
      <c r="S803" s="57"/>
      <c r="T803" s="57"/>
      <c r="U803" s="57"/>
      <c r="V803" s="57"/>
      <c r="W803" s="57"/>
      <c r="X803" s="57"/>
      <c r="Y803" s="57"/>
      <c r="Z803" s="57"/>
    </row>
    <row r="804">
      <c r="A804" s="56" t="str">
        <f>IFERROR(__xludf.DUMMYFUNCTION("IF('AYIRA MINI MART FINAL MENU - Pr'!A804="""", """", IF(LEN(IFERROR(TRIM(REGEXREPLACE(TRIM(REGEXEXTRACT('AYIRA MINI MART FINAL MENU - Pr'!A804, ""^[^\x{0600}-\x{06FF}]+"")), ""[-–]+$"", """")), """"))&gt;0, IFERROR(TRIM(REGEXREPLACE(TRIM(REGEXEXTRACT('AYIRA"&amp;" MINI MART FINAL MENU - Pr'!A804, ""^[^\x{0600}-\x{06FF}]+"")), ""[-–]+$"", """")), """"), GOOGLETRANSLATE('AYIRA MINI MART FINAL MENU - Pr'!A804, ""ar"", ""en"")))"),"Mentos Strawberry")</f>
        <v>Mentos Strawberry</v>
      </c>
      <c r="B804" s="56" t="str">
        <f>IFERROR(__xludf.DUMMYFUNCTION("IF('AYIRA MINI MART FINAL MENU - Pr'!B804="""", """", IF(LEN(IFERROR(TRIM(REGEXREPLACE(TRIM(REGEXEXTRACT('AYIRA MINI MART FINAL MENU - Pr'!B804, ""^[^\x{0600}-\x{06FF}]+"")), ""[-–]+$"", """")), """"))&gt;0, IFERROR(TRIM(REGEXREPLACE(TRIM(REGEXEXTRACT('AYIRA"&amp;" MINI MART FINAL MENU - Pr'!B804, ""^[^\x{0600}-\x{06FF}]+"")), ""[-–]+$"", """")), """"), GOOGLETRANSLATE('AYIRA MINI MART FINAL MENU - Pr'!B804, ""ar"", ""en"")))"),"Gums |")</f>
        <v>Gums |</v>
      </c>
      <c r="C804" s="58">
        <f>IF('AYIRA MINI MART FINAL MENU - Pr'!C804="", "", 'AYIRA MINI MART FINAL MENU - Pr'!C804)</f>
        <v>3</v>
      </c>
      <c r="D804" s="56" t="str">
        <f>IFERROR(__xludf.DUMMYFUNCTION("IF('AYIRA MINI MART FINAL MENU - Pr'!D804="""", """", GOOGLETRANSLATE('AYIRA MINI MART FINAL MENU - Pr'!D804, ""ar"", ""en""))"),"Add a sweet moment to your day with Mentos, the delicious treat loved by everyone. With its variety of flavors and vibrant colors, it's suitable for all ages. Perfect as a small treat or a light gift for friends and family. Made with high-quality ingredie"&amp;"nts to ensure great taste in every piece. Get yours from Aira Mini Mart and spread the joy to those you love.")</f>
        <v>Add a sweet moment to your day with Mentos, the delicious treat loved by everyone. With its variety of flavors and vibrant colors, it's suitable for all ages. Perfect as a small treat or a light gift for friends and family. Made with high-quality ingredients to ensure great taste in every piece. Get yours from Aira Mini Mart and spread the joy to those you love.</v>
      </c>
      <c r="E804" s="56" t="str">
        <f>IF('AYIRA MINI MART FINAL MENU - Pr'!K804="", "", 'AYIRA MINI MART FINAL MENU - Pr'!K804)</f>
        <v/>
      </c>
      <c r="F804" s="56"/>
      <c r="G804" s="56"/>
      <c r="H804" s="56"/>
      <c r="I804" s="56"/>
      <c r="J804" s="56"/>
      <c r="L804" s="56" t="str">
        <f>IF('AYIRA MINI MART FINAL MENU - Pr'!L804="", "", 'AYIRA MINI MART FINAL MENU - Pr'!L804)</f>
        <v/>
      </c>
      <c r="M804" s="56" t="str">
        <f>IF('AYIRA MINI MART FINAL MENU - Pr'!M804="", "", 'AYIRA MINI MART FINAL MENU - Pr'!M804)</f>
        <v/>
      </c>
      <c r="N804" s="56" t="str">
        <f>IF('AYIRA MINI MART FINAL MENU - Pr'!N804="", "", 'AYIRA MINI MART FINAL MENU - Pr'!N804)</f>
        <v/>
      </c>
      <c r="O804" s="57"/>
      <c r="P804" s="57"/>
      <c r="Q804" s="57"/>
      <c r="R804" s="57"/>
      <c r="S804" s="57"/>
      <c r="T804" s="57"/>
      <c r="U804" s="57"/>
      <c r="V804" s="57"/>
      <c r="W804" s="57"/>
      <c r="X804" s="57"/>
      <c r="Y804" s="57"/>
      <c r="Z804" s="57"/>
    </row>
    <row r="805">
      <c r="A805" s="56" t="str">
        <f>IFERROR(__xludf.DUMMYFUNCTION("IF('AYIRA MINI MART FINAL MENU - Pr'!A805="""", """", IF(LEN(IFERROR(TRIM(REGEXREPLACE(TRIM(REGEXEXTRACT('AYIRA MINI MART FINAL MENU - Pr'!A805, ""^[^\x{0600}-\x{06FF}]+"")), ""[-–]+$"", """")), """"))&gt;0, IFERROR(TRIM(REGEXREPLACE(TRIM(REGEXEXTRACT('AYIRA"&amp;" MINI MART FINAL MENU - Pr'!A805, ""^[^\x{0600}-\x{06FF}]+"")), ""[-–]+$"", """")), """"), GOOGLETRANSLATE('AYIRA MINI MART FINAL MENU - Pr'!A805, ""ar"", ""en"")))"),"Extra Refreshers Spearmint – 15.6 g – Extra Refreshers Spearmint – 15.6")</f>
        <v>Extra Refreshers Spearmint – 15.6 g – Extra Refreshers Spearmint – 15.6</v>
      </c>
      <c r="B805" s="56" t="str">
        <f>IFERROR(__xludf.DUMMYFUNCTION("IF('AYIRA MINI MART FINAL MENU - Pr'!B805="""", """", IF(LEN(IFERROR(TRIM(REGEXREPLACE(TRIM(REGEXEXTRACT('AYIRA MINI MART FINAL MENU - Pr'!B805, ""^[^\x{0600}-\x{06FF}]+"")), ""[-–]+$"", """")), """"))&gt;0, IFERROR(TRIM(REGEXREPLACE(TRIM(REGEXEXTRACT('AYIRA"&amp;" MINI MART FINAL MENU - Pr'!B805, ""^[^\x{0600}-\x{06FF}]+"")), ""[-–]+$"", """")), """"), GOOGLETRANSLATE('AYIRA MINI MART FINAL MENU - Pr'!B805, ""ar"", ""en"")))"),"Gums |")</f>
        <v>Gums |</v>
      </c>
      <c r="C805" s="58">
        <f>IF('AYIRA MINI MART FINAL MENU - Pr'!C805="", "", 'AYIRA MINI MART FINAL MENU - Pr'!C805)</f>
        <v>5</v>
      </c>
      <c r="D805" s="56" t="str">
        <f>IFERROR(__xludf.DUMMYFUNCTION("IF('AYIRA MINI MART FINAL MENU - Pr'!D805="""", """", GOOGLETRANSLATE('AYIRA MINI MART FINAL MENU - Pr'!D805, ""ar"", ""en""))"),"Add a sweet touch to your day with Extra, the delicious treat loved by everyone. Its variety of flavors and vibrant colors make it suitable for all ages. Perfect as a small reward or a light gift for friends and family. Made with high-quality ingredients "&amp;"to ensure a great taste in every piece. Get yours from Aira Mini Mart and spread joy to your loved ones.")</f>
        <v>Add a sweet touch to your day with Extra, the delicious treat loved by everyone. Its variety of flavors and vibrant colors make it suitable for all ages. Perfect as a small reward or a light gift for friends and family. Made with high-quality ingredients to ensure a great taste in every piece. Get yours from Aira Mini Mart and spread joy to your loved ones.</v>
      </c>
      <c r="E805" s="56" t="str">
        <f>IF('AYIRA MINI MART FINAL MENU - Pr'!K805="", "", 'AYIRA MINI MART FINAL MENU - Pr'!K805)</f>
        <v/>
      </c>
      <c r="F805" s="56"/>
      <c r="G805" s="56"/>
      <c r="H805" s="56"/>
      <c r="I805" s="56"/>
      <c r="J805" s="56"/>
      <c r="L805" s="56" t="str">
        <f>IF('AYIRA MINI MART FINAL MENU - Pr'!L805="", "", 'AYIRA MINI MART FINAL MENU - Pr'!L805)</f>
        <v/>
      </c>
      <c r="M805" s="56" t="str">
        <f>IF('AYIRA MINI MART FINAL MENU - Pr'!M805="", "", 'AYIRA MINI MART FINAL MENU - Pr'!M805)</f>
        <v/>
      </c>
      <c r="N805" s="56" t="str">
        <f>IF('AYIRA MINI MART FINAL MENU - Pr'!N805="", "", 'AYIRA MINI MART FINAL MENU - Pr'!N805)</f>
        <v/>
      </c>
      <c r="O805" s="57"/>
      <c r="P805" s="57"/>
      <c r="Q805" s="57"/>
      <c r="R805" s="57"/>
      <c r="S805" s="57"/>
      <c r="T805" s="57"/>
      <c r="U805" s="57"/>
      <c r="V805" s="57"/>
      <c r="W805" s="57"/>
      <c r="X805" s="57"/>
      <c r="Y805" s="57"/>
      <c r="Z805" s="57"/>
    </row>
    <row r="806">
      <c r="A806" s="56" t="str">
        <f>IFERROR(__xludf.DUMMYFUNCTION("IF('AYIRA MINI MART FINAL MENU - Pr'!A806="""", """", IF(LEN(IFERROR(TRIM(REGEXREPLACE(TRIM(REGEXEXTRACT('AYIRA MINI MART FINAL MENU - Pr'!A806, ""^[^\x{0600}-\x{06FF}]+"")), ""[-–]+$"", """")), """"))&gt;0, IFERROR(TRIM(REGEXREPLACE(TRIM(REGEXEXTRACT('AYIRA"&amp;" MINI MART FINAL MENU - Pr'!A806, ""^[^\x{0600}-\x{06FF}]+"")), ""[-–]+$"", """")), """"), GOOGLETRANSLATE('AYIRA MINI MART FINAL MENU - Pr'!A806, ""ar"", ""en"")))"),"Airlist Mint Chews – 32 g – Airlist")</f>
        <v>Airlist Mint Chews – 32 g – Airlist</v>
      </c>
      <c r="B806" s="56" t="str">
        <f>IFERROR(__xludf.DUMMYFUNCTION("IF('AYIRA MINI MART FINAL MENU - Pr'!B806="""", """", IF(LEN(IFERROR(TRIM(REGEXREPLACE(TRIM(REGEXEXTRACT('AYIRA MINI MART FINAL MENU - Pr'!B806, ""^[^\x{0600}-\x{06FF}]+"")), ""[-–]+$"", """")), """"))&gt;0, IFERROR(TRIM(REGEXREPLACE(TRIM(REGEXEXTRACT('AYIRA"&amp;" MINI MART FINAL MENU - Pr'!B806, ""^[^\x{0600}-\x{06FF}]+"")), ""[-–]+$"", """")), """"), GOOGLETRANSLATE('AYIRA MINI MART FINAL MENU - Pr'!B806, ""ar"", ""en"")))"),"Gums |")</f>
        <v>Gums |</v>
      </c>
      <c r="C806" s="58">
        <f>IF('AYIRA MINI MART FINAL MENU - Pr'!C806="", "", 'AYIRA MINI MART FINAL MENU - Pr'!C806)</f>
        <v>1.5</v>
      </c>
      <c r="D806" s="56" t="str">
        <f>IFERROR(__xludf.DUMMYFUNCTION("IF('AYIRA MINI MART FINAL MENU - Pr'!D806="""", """", GOOGLETRANSLATE('AYIRA MINI MART FINAL MENU - Pr'!D806, ""ar"", ""en""))"),"Add a sweet touch to your day with Airlist Mint Chews – 32g, a delicious treat loved by everyone. Their varied flavors and vibrant colors make them suitable for all ages. Perfect as a small reward or a light gift for friends and family. Made with high-qua"&amp;"lity ingredients to ensure a great taste in every single piece. Get them from Airlist Mini Mart and spread the joy to your loved ones.")</f>
        <v>Add a sweet touch to your day with Airlist Mint Chews – 32g, a delicious treat loved by everyone. Their varied flavors and vibrant colors make them suitable for all ages. Perfect as a small reward or a light gift for friends and family. Made with high-quality ingredients to ensure a great taste in every single piece. Get them from Airlist Mini Mart and spread the joy to your loved ones.</v>
      </c>
      <c r="E806" s="56" t="str">
        <f>IF('AYIRA MINI MART FINAL MENU - Pr'!K806="", "", 'AYIRA MINI MART FINAL MENU - Pr'!K806)</f>
        <v/>
      </c>
      <c r="F806" s="56"/>
      <c r="G806" s="56"/>
      <c r="H806" s="56"/>
      <c r="I806" s="56"/>
      <c r="J806" s="56"/>
      <c r="L806" s="56" t="str">
        <f>IF('AYIRA MINI MART FINAL MENU - Pr'!L806="", "", 'AYIRA MINI MART FINAL MENU - Pr'!L806)</f>
        <v/>
      </c>
      <c r="M806" s="56" t="str">
        <f>IF('AYIRA MINI MART FINAL MENU - Pr'!M806="", "", 'AYIRA MINI MART FINAL MENU - Pr'!M806)</f>
        <v/>
      </c>
      <c r="N806" s="56" t="str">
        <f>IF('AYIRA MINI MART FINAL MENU - Pr'!N806="", "", 'AYIRA MINI MART FINAL MENU - Pr'!N806)</f>
        <v/>
      </c>
      <c r="O806" s="57"/>
      <c r="P806" s="57"/>
      <c r="Q806" s="57"/>
      <c r="R806" s="57"/>
      <c r="S806" s="57"/>
      <c r="T806" s="57"/>
      <c r="U806" s="57"/>
      <c r="V806" s="57"/>
      <c r="W806" s="57"/>
      <c r="X806" s="57"/>
      <c r="Y806" s="57"/>
      <c r="Z806" s="57"/>
    </row>
    <row r="807">
      <c r="A807" s="56" t="str">
        <f>IFERROR(__xludf.DUMMYFUNCTION("IF('AYIRA MINI MART FINAL MENU - Pr'!A807="""", """", IF(LEN(IFERROR(TRIM(REGEXREPLACE(TRIM(REGEXEXTRACT('AYIRA MINI MART FINAL MENU - Pr'!A807, ""^[^\x{0600}-\x{06FF}]+"")), ""[-–]+$"", """")), """"))&gt;0, IFERROR(TRIM(REGEXREPLACE(TRIM(REGEXEXTRACT('AYIRA"&amp;" MINI MART FINAL MENU - Pr'!A807, ""^[^\x{0600}-\x{06FF}]+"")), ""[-–]+$"", """")), """"), GOOGLETRANSLATE('AYIRA MINI MART FINAL MENU - Pr'!A807, ""ar"", ""en"")))"),"Airlist Fruit Chews – 32 g – Airlist Fruit Chews – 32")</f>
        <v>Airlist Fruit Chews – 32 g – Airlist Fruit Chews – 32</v>
      </c>
      <c r="B807" s="56" t="str">
        <f>IFERROR(__xludf.DUMMYFUNCTION("IF('AYIRA MINI MART FINAL MENU - Pr'!B807="""", """", IF(LEN(IFERROR(TRIM(REGEXREPLACE(TRIM(REGEXEXTRACT('AYIRA MINI MART FINAL MENU - Pr'!B807, ""^[^\x{0600}-\x{06FF}]+"")), ""[-–]+$"", """")), """"))&gt;0, IFERROR(TRIM(REGEXREPLACE(TRIM(REGEXEXTRACT('AYIRA"&amp;" MINI MART FINAL MENU - Pr'!B807, ""^[^\x{0600}-\x{06FF}]+"")), ""[-–]+$"", """")), """"), GOOGLETRANSLATE('AYIRA MINI MART FINAL MENU - Pr'!B807, ""ar"", ""en"")))"),"Gums |")</f>
        <v>Gums |</v>
      </c>
      <c r="C807" s="58">
        <f>IF('AYIRA MINI MART FINAL MENU - Pr'!C807="", "", 'AYIRA MINI MART FINAL MENU - Pr'!C807)</f>
        <v>1.5</v>
      </c>
      <c r="D807" s="56" t="str">
        <f>IFERROR(__xludf.DUMMYFUNCTION("IF('AYIRA MINI MART FINAL MENU - Pr'!D807="""", """", GOOGLETRANSLATE('AYIRA MINI MART FINAL MENU - Pr'!D807, ""ar"", ""en""))"),"Don't be able to resist the taste of Airlist Fruit Chews – 32g, your perfect companion for relaxing and watching the game. Their unique crunch and varied flavors make every handful a delightful experience. Prepared with the finest ingredients using the la"&amp;"test manufacturing techniques to ensure an unparalleled taste. Ideal as a snack for adults and children alike between meals. Aira Mini Mart offers them in the perfect size and flavor for you.")</f>
        <v>Don't be able to resist the taste of Airlist Fruit Chews – 32g,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807" s="56" t="str">
        <f>IF('AYIRA MINI MART FINAL MENU - Pr'!K807="", "", 'AYIRA MINI MART FINAL MENU - Pr'!K807)</f>
        <v/>
      </c>
      <c r="F807" s="56"/>
      <c r="G807" s="56"/>
      <c r="H807" s="56"/>
      <c r="I807" s="56"/>
      <c r="J807" s="56"/>
      <c r="L807" s="56" t="str">
        <f>IF('AYIRA MINI MART FINAL MENU - Pr'!L807="", "", 'AYIRA MINI MART FINAL MENU - Pr'!L807)</f>
        <v/>
      </c>
      <c r="M807" s="56" t="str">
        <f>IF('AYIRA MINI MART FINAL MENU - Pr'!M807="", "", 'AYIRA MINI MART FINAL MENU - Pr'!M807)</f>
        <v/>
      </c>
      <c r="N807" s="56" t="str">
        <f>IF('AYIRA MINI MART FINAL MENU - Pr'!N807="", "", 'AYIRA MINI MART FINAL MENU - Pr'!N807)</f>
        <v/>
      </c>
      <c r="O807" s="57"/>
      <c r="P807" s="57"/>
      <c r="Q807" s="57"/>
      <c r="R807" s="57"/>
      <c r="S807" s="57"/>
      <c r="T807" s="57"/>
      <c r="U807" s="57"/>
      <c r="V807" s="57"/>
      <c r="W807" s="57"/>
      <c r="X807" s="57"/>
      <c r="Y807" s="57"/>
      <c r="Z807" s="57"/>
    </row>
    <row r="808">
      <c r="A808" s="56" t="str">
        <f>IFERROR(__xludf.DUMMYFUNCTION("IF('AYIRA MINI MART FINAL MENU - Pr'!A808="""", """", IF(LEN(IFERROR(TRIM(REGEXREPLACE(TRIM(REGEXEXTRACT('AYIRA MINI MART FINAL MENU - Pr'!A808, ""^[^\x{0600}-\x{06FF}]+"")), ""[-–]+$"", """")), """"))&gt;0, IFERROR(TRIM(REGEXREPLACE(TRIM(REGEXEXTRACT('AYIRA"&amp;" MINI MART FINAL MENU - Pr'!A808, ""^[^\x{0600}-\x{06FF}]+"")), ""[-–]+$"", """")), """"), GOOGLETRANSLATE('AYIRA MINI MART FINAL MENU - Pr'!A808, ""ar"", ""en"")))"),"Brain Blasterz Strawberry – 28 g – Brain Blasterz")</f>
        <v>Brain Blasterz Strawberry – 28 g – Brain Blasterz</v>
      </c>
      <c r="B808" s="56" t="str">
        <f>IFERROR(__xludf.DUMMYFUNCTION("IF('AYIRA MINI MART FINAL MENU - Pr'!B808="""", """", IF(LEN(IFERROR(TRIM(REGEXREPLACE(TRIM(REGEXEXTRACT('AYIRA MINI MART FINAL MENU - Pr'!B808, ""^[^\x{0600}-\x{06FF}]+"")), ""[-–]+$"", """")), """"))&gt;0, IFERROR(TRIM(REGEXREPLACE(TRIM(REGEXEXTRACT('AYIRA"&amp;" MINI MART FINAL MENU - Pr'!B808, ""^[^\x{0600}-\x{06FF}]+"")), ""[-–]+$"", """")), """"), GOOGLETRANSLATE('AYIRA MINI MART FINAL MENU - Pr'!B808, ""ar"", ""en"")))"),"Candy |")</f>
        <v>Candy |</v>
      </c>
      <c r="C808" s="58">
        <f>IF('AYIRA MINI MART FINAL MENU - Pr'!C808="", "", 'AYIRA MINI MART FINAL MENU - Pr'!C808)</f>
        <v>5</v>
      </c>
      <c r="D808" s="56" t="str">
        <f>IFERROR(__xludf.DUMMYFUNCTION("IF('AYIRA MINI MART FINAL MENU - Pr'!D808="""", """", GOOGLETRANSLATE('AYIRA MINI MART FINAL MENU - Pr'!D808, ""ar"", ""en""))"),"Don't be able to resist the taste of Brain Blasterz Strawberry – 28g, your perfect companion for relaxing and watching the game. Its unique crunch and varied flavors make every handful a delightful experience. Prepared with the finest ingredients using th"&amp;"e latest manufacturing techniques to ensure an unparalleled taste. Ideal as a snack for adults and children between meals. Aira Mini Mart offers it in the perfect size and flavor for you.")</f>
        <v>Don't be able to resist the taste of Brain Blasterz Strawberry – 28g,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808" s="56" t="str">
        <f>IF('AYIRA MINI MART FINAL MENU - Pr'!K808="", "", 'AYIRA MINI MART FINAL MENU - Pr'!K808)</f>
        <v/>
      </c>
      <c r="F808" s="56"/>
      <c r="G808" s="56"/>
      <c r="H808" s="56"/>
      <c r="I808" s="56"/>
      <c r="J808" s="56"/>
      <c r="L808" s="56" t="str">
        <f>IF('AYIRA MINI MART FINAL MENU - Pr'!L808="", "", 'AYIRA MINI MART FINAL MENU - Pr'!L808)</f>
        <v/>
      </c>
      <c r="M808" s="56" t="str">
        <f>IF('AYIRA MINI MART FINAL MENU - Pr'!M808="", "", 'AYIRA MINI MART FINAL MENU - Pr'!M808)</f>
        <v/>
      </c>
      <c r="N808" s="56" t="str">
        <f>IF('AYIRA MINI MART FINAL MENU - Pr'!N808="", "", 'AYIRA MINI MART FINAL MENU - Pr'!N808)</f>
        <v/>
      </c>
      <c r="O808" s="57"/>
      <c r="P808" s="57"/>
      <c r="Q808" s="57"/>
      <c r="R808" s="57"/>
      <c r="S808" s="57"/>
      <c r="T808" s="57"/>
      <c r="U808" s="57"/>
      <c r="V808" s="57"/>
      <c r="W808" s="57"/>
      <c r="X808" s="57"/>
      <c r="Y808" s="57"/>
      <c r="Z808" s="57"/>
    </row>
    <row r="809">
      <c r="A809" s="56" t="str">
        <f>IFERROR(__xludf.DUMMYFUNCTION("IF('AYIRA MINI MART FINAL MENU - Pr'!A809="""", """", IF(LEN(IFERROR(TRIM(REGEXREPLACE(TRIM(REGEXEXTRACT('AYIRA MINI MART FINAL MENU - Pr'!A809, ""^[^\x{0600}-\x{06FF}]+"")), ""[-–]+$"", """")), """"))&gt;0, IFERROR(TRIM(REGEXREPLACE(TRIM(REGEXEXTRACT('AYIRA"&amp;" MINI MART FINAL MENU - Pr'!A809, ""^[^\x{0600}-\x{06FF}]+"")), ""[-–]+$"", """")), """"), GOOGLETRANSLATE('AYIRA MINI MART FINAL MENU - Pr'!A809, ""ar"", ""en"")))"),"Brain Blasterz Sour Scales – 45 g – Brain Blasterz Sour Scales – 45")</f>
        <v>Brain Blasterz Sour Scales – 45 g – Brain Blasterz Sour Scales – 45</v>
      </c>
      <c r="B809" s="56" t="str">
        <f>IFERROR(__xludf.DUMMYFUNCTION("IF('AYIRA MINI MART FINAL MENU - Pr'!B809="""", """", IF(LEN(IFERROR(TRIM(REGEXREPLACE(TRIM(REGEXEXTRACT('AYIRA MINI MART FINAL MENU - Pr'!B809, ""^[^\x{0600}-\x{06FF}]+"")), ""[-–]+$"", """")), """"))&gt;0, IFERROR(TRIM(REGEXREPLACE(TRIM(REGEXEXTRACT('AYIRA"&amp;" MINI MART FINAL MENU - Pr'!B809, ""^[^\x{0600}-\x{06FF}]+"")), ""[-–]+$"", """")), """"), GOOGLETRANSLATE('AYIRA MINI MART FINAL MENU - Pr'!B809, ""ar"", ""en"")))"),"Candy |")</f>
        <v>Candy |</v>
      </c>
      <c r="C809" s="58">
        <f>IF('AYIRA MINI MART FINAL MENU - Pr'!C809="", "", 'AYIRA MINI MART FINAL MENU - Pr'!C809)</f>
        <v>3.5</v>
      </c>
      <c r="D809" s="56" t="str">
        <f>IFERROR(__xludf.DUMMYFUNCTION("IF('AYIRA MINI MART FINAL MENU - Pr'!D809="""", """", GOOGLETRANSLATE('AYIRA MINI MART FINAL MENU - Pr'!D809, ""ar"", ""en""))"),"Don't be able to resist the taste of Brain Blasterz Sour Scales – 45g, your perfect companion for relaxing and watching the game. Its unique crunch and varied flavors make every handful a delightful experience. Prepared with the finest ingredients using t"&amp;"he latest manufacturing techniques to ensure an unparalleled taste. Ideal as a snack for adults and children between meals. Aira Mini Mart offers it in the perfect size and flavor for you.")</f>
        <v>Don't be able to resist the taste of Brain Blasterz Sour Scales – 45g,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809" s="56" t="str">
        <f>IF('AYIRA MINI MART FINAL MENU - Pr'!K809="", "", 'AYIRA MINI MART FINAL MENU - Pr'!K809)</f>
        <v/>
      </c>
      <c r="F809" s="56"/>
      <c r="G809" s="56"/>
      <c r="H809" s="56"/>
      <c r="I809" s="56"/>
      <c r="J809" s="56"/>
      <c r="L809" s="56" t="str">
        <f>IF('AYIRA MINI MART FINAL MENU - Pr'!L809="", "", 'AYIRA MINI MART FINAL MENU - Pr'!L809)</f>
        <v/>
      </c>
      <c r="M809" s="56" t="str">
        <f>IF('AYIRA MINI MART FINAL MENU - Pr'!M809="", "", 'AYIRA MINI MART FINAL MENU - Pr'!M809)</f>
        <v/>
      </c>
      <c r="N809" s="56" t="str">
        <f>IF('AYIRA MINI MART FINAL MENU - Pr'!N809="", "", 'AYIRA MINI MART FINAL MENU - Pr'!N809)</f>
        <v/>
      </c>
      <c r="O809" s="57"/>
      <c r="P809" s="57"/>
      <c r="Q809" s="57"/>
      <c r="R809" s="57"/>
      <c r="S809" s="57"/>
      <c r="T809" s="57"/>
      <c r="U809" s="57"/>
      <c r="V809" s="57"/>
      <c r="W809" s="57"/>
      <c r="X809" s="57"/>
      <c r="Y809" s="57"/>
      <c r="Z809" s="57"/>
    </row>
    <row r="810">
      <c r="A810" s="56" t="str">
        <f>IFERROR(__xludf.DUMMYFUNCTION("IF('AYIRA MINI MART FINAL MENU - Pr'!A810="""", """", IF(LEN(IFERROR(TRIM(REGEXREPLACE(TRIM(REGEXEXTRACT('AYIRA MINI MART FINAL MENU - Pr'!A810, ""^[^\x{0600}-\x{06FF}]+"")), ""[-–]+$"", """")), """"))&gt;0, IFERROR(TRIM(REGEXREPLACE(TRIM(REGEXEXTRACT('AYIRA"&amp;" MINI MART FINAL MENU - Pr'!A810, ""^[^\x{0600}-\x{06FF}]+"")), ""[-–]+$"", """")), """"), GOOGLETRANSLATE('AYIRA MINI MART FINAL MENU - Pr'!A810, ""ar"", ""en"")))"),"Roller Blaster Blue Raspberry – 60 ml – Roller Blaster Blue Raspberry – 60")</f>
        <v>Roller Blaster Blue Raspberry – 60 ml – Roller Blaster Blue Raspberry – 60</v>
      </c>
      <c r="B810" s="56" t="str">
        <f>IFERROR(__xludf.DUMMYFUNCTION("IF('AYIRA MINI MART FINAL MENU - Pr'!B810="""", """", IF(LEN(IFERROR(TRIM(REGEXREPLACE(TRIM(REGEXEXTRACT('AYIRA MINI MART FINAL MENU - Pr'!B810, ""^[^\x{0600}-\x{06FF}]+"")), ""[-–]+$"", """")), """"))&gt;0, IFERROR(TRIM(REGEXREPLACE(TRIM(REGEXEXTRACT('AYIRA"&amp;" MINI MART FINAL MENU - Pr'!B810, ""^[^\x{0600}-\x{06FF}]+"")), ""[-–]+$"", """")), """"), GOOGLETRANSLATE('AYIRA MINI MART FINAL MENU - Pr'!B810, ""ar"", ""en"")))"),"Candy |")</f>
        <v>Candy |</v>
      </c>
      <c r="C810" s="58">
        <f>IF('AYIRA MINI MART FINAL MENU - Pr'!C810="", "", 'AYIRA MINI MART FINAL MENU - Pr'!C810)</f>
        <v>6</v>
      </c>
      <c r="D810" s="56" t="str">
        <f>IFERROR(__xludf.DUMMYFUNCTION("IF('AYIRA MINI MART FINAL MENU - Pr'!D810="""", """", GOOGLETRANSLATE('AYIRA MINI MART FINAL MENU - Pr'!D810, ""ar"", ""en""))"),"Don't be able to resist the taste of Roller Blaster Blue Raspberry – 60 ml, your perfect companion for relaxing and watching the game. Its unique crunch and varied flavors make every handful a delightful experience. Prepared with the finest ingredients us"&amp;"ing the latest manufacturing techniques to guarantee an unparalleled taste. Ideal as a snack for adults and children alike between meals. Aira Mini Mart offers it in the perfect size and flavor for you.")</f>
        <v>Don't be able to resist the taste of Roller Blaster Blue Raspberry – 60 ml,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810" s="56" t="str">
        <f>IF('AYIRA MINI MART FINAL MENU - Pr'!K810="", "", 'AYIRA MINI MART FINAL MENU - Pr'!K810)</f>
        <v/>
      </c>
      <c r="F810" s="56"/>
      <c r="G810" s="56"/>
      <c r="H810" s="56"/>
      <c r="I810" s="56"/>
      <c r="J810" s="56"/>
      <c r="L810" s="56" t="str">
        <f>IF('AYIRA MINI MART FINAL MENU - Pr'!L810="", "", 'AYIRA MINI MART FINAL MENU - Pr'!L810)</f>
        <v/>
      </c>
      <c r="M810" s="56" t="str">
        <f>IF('AYIRA MINI MART FINAL MENU - Pr'!M810="", "", 'AYIRA MINI MART FINAL MENU - Pr'!M810)</f>
        <v/>
      </c>
      <c r="N810" s="56" t="str">
        <f>IF('AYIRA MINI MART FINAL MENU - Pr'!N810="", "", 'AYIRA MINI MART FINAL MENU - Pr'!N810)</f>
        <v/>
      </c>
      <c r="O810" s="57"/>
      <c r="P810" s="57"/>
      <c r="Q810" s="57"/>
      <c r="R810" s="57"/>
      <c r="S810" s="57"/>
      <c r="T810" s="57"/>
      <c r="U810" s="57"/>
      <c r="V810" s="57"/>
      <c r="W810" s="57"/>
      <c r="X810" s="57"/>
      <c r="Y810" s="57"/>
      <c r="Z810" s="57"/>
    </row>
    <row r="811">
      <c r="A811" s="56" t="str">
        <f>IFERROR(__xludf.DUMMYFUNCTION("IF('AYIRA MINI MART FINAL MENU - Pr'!A811="""", """", IF(LEN(IFERROR(TRIM(REGEXREPLACE(TRIM(REGEXEXTRACT('AYIRA MINI MART FINAL MENU - Pr'!A811, ""^[^\x{0600}-\x{06FF}]+"")), ""[-–]+$"", """")), """"))&gt;0, IFERROR(TRIM(REGEXREPLACE(TRIM(REGEXEXTRACT('AYIRA"&amp;" MINI MART FINAL MENU - Pr'!A811, ""^[^\x{0600}-\x{06FF}]+"")), ""[-–]+$"", """")), """"), GOOGLETRANSLATE('AYIRA MINI MART FINAL MENU - Pr'!A811, ""ar"", ""en"")))"),"Windmill Lollipop")</f>
        <v>Windmill Lollipop</v>
      </c>
      <c r="B811" s="56" t="str">
        <f>IFERROR(__xludf.DUMMYFUNCTION("IF('AYIRA MINI MART FINAL MENU - Pr'!B811="""", """", IF(LEN(IFERROR(TRIM(REGEXREPLACE(TRIM(REGEXEXTRACT('AYIRA MINI MART FINAL MENU - Pr'!B811, ""^[^\x{0600}-\x{06FF}]+"")), ""[-–]+$"", """")), """"))&gt;0, IFERROR(TRIM(REGEXREPLACE(TRIM(REGEXEXTRACT('AYIRA"&amp;" MINI MART FINAL MENU - Pr'!B811, ""^[^\x{0600}-\x{06FF}]+"")), ""[-–]+$"", """")), """"), GOOGLETRANSLATE('AYIRA MINI MART FINAL MENU - Pr'!B811, ""ar"", ""en"")))"),"Candy |")</f>
        <v>Candy |</v>
      </c>
      <c r="C811" s="58">
        <f>IF('AYIRA MINI MART FINAL MENU - Pr'!C811="", "", 'AYIRA MINI MART FINAL MENU - Pr'!C811)</f>
        <v>7.5</v>
      </c>
      <c r="D811" s="56" t="str">
        <f>IFERROR(__xludf.DUMMYFUNCTION("IF('AYIRA MINI MART FINAL MENU - Pr'!D811="""", """", GOOGLETRANSLATE('AYIRA MINI MART FINAL MENU - Pr'!D811, ""ar"", ""en""))"),"Add a sweet touch to your day with Windmill Lollipop, a delicious treat loved by everyone. Its variety of flavors and vibrant colors make it suitable for all ages. Perfect as a small treat or a light gift for friends and family. Made with high-quality ing"&amp;"redients to ensure great taste in every single one. Get yours from Aira Mini Mart and spread the joy to your loved ones.")</f>
        <v>Add a sweet touch to your day with Windmill Lollipop, a delicious treat loved by everyone. Its variety of flavors and vibrant colors make it suitable for all ages. Perfect as a small treat or a light gift for friends and family. Made with high-quality ingredients to ensure great taste in every single one. Get yours from Aira Mini Mart and spread the joy to your loved ones.</v>
      </c>
      <c r="E811" s="56" t="str">
        <f>IF('AYIRA MINI MART FINAL MENU - Pr'!K811="", "", 'AYIRA MINI MART FINAL MENU - Pr'!K811)</f>
        <v/>
      </c>
      <c r="F811" s="56"/>
      <c r="G811" s="56"/>
      <c r="H811" s="56"/>
      <c r="I811" s="56"/>
      <c r="J811" s="56"/>
      <c r="L811" s="56" t="str">
        <f>IF('AYIRA MINI MART FINAL MENU - Pr'!L811="", "", 'AYIRA MINI MART FINAL MENU - Pr'!L811)</f>
        <v/>
      </c>
      <c r="M811" s="56" t="str">
        <f>IF('AYIRA MINI MART FINAL MENU - Pr'!M811="", "", 'AYIRA MINI MART FINAL MENU - Pr'!M811)</f>
        <v/>
      </c>
      <c r="N811" s="56" t="str">
        <f>IF('AYIRA MINI MART FINAL MENU - Pr'!N811="", "", 'AYIRA MINI MART FINAL MENU - Pr'!N811)</f>
        <v/>
      </c>
      <c r="O811" s="57"/>
      <c r="P811" s="57"/>
      <c r="Q811" s="57"/>
      <c r="R811" s="57"/>
      <c r="S811" s="57"/>
      <c r="T811" s="57"/>
      <c r="U811" s="57"/>
      <c r="V811" s="57"/>
      <c r="W811" s="57"/>
      <c r="X811" s="57"/>
      <c r="Y811" s="57"/>
      <c r="Z811" s="57"/>
    </row>
    <row r="812">
      <c r="A812" s="56" t="str">
        <f>IFERROR(__xludf.DUMMYFUNCTION("IF('AYIRA MINI MART FINAL MENU - Pr'!A812="""", """", IF(LEN(IFERROR(TRIM(REGEXREPLACE(TRIM(REGEXEXTRACT('AYIRA MINI MART FINAL MENU - Pr'!A812, ""^[^\x{0600}-\x{06FF}]+"")), ""[-–]+$"", """")), """"))&gt;0, IFERROR(TRIM(REGEXREPLACE(TRIM(REGEXEXTRACT('AYIRA"&amp;" MINI MART FINAL MENU - Pr'!A812, ""^[^\x{0600}-\x{06FF}]+"")), ""[-–]+$"", """")), """"), GOOGLETRANSLATE('AYIRA MINI MART FINAL MENU - Pr'!A812, ""ar"", ""en"")))"),"Original Oreo – 36.8 g")</f>
        <v>Original Oreo – 36.8 g</v>
      </c>
      <c r="B812" s="56" t="str">
        <f>IFERROR(__xludf.DUMMYFUNCTION("IF('AYIRA MINI MART FINAL MENU - Pr'!B812="""", """", IF(LEN(IFERROR(TRIM(REGEXREPLACE(TRIM(REGEXEXTRACT('AYIRA MINI MART FINAL MENU - Pr'!B812, ""^[^\x{0600}-\x{06FF}]+"")), ""[-–]+$"", """")), """"))&gt;0, IFERROR(TRIM(REGEXREPLACE(TRIM(REGEXEXTRACT('AYIRA"&amp;" MINI MART FINAL MENU - Pr'!B812, ""^[^\x{0600}-\x{06FF}]+"")), ""[-–]+$"", """")), """"), GOOGLETRANSLATE('AYIRA MINI MART FINAL MENU - Pr'!B812, ""ar"", ""en"")))"),"Chocolates")</f>
        <v>Chocolates</v>
      </c>
      <c r="C812" s="58">
        <f>IF('AYIRA MINI MART FINAL MENU - Pr'!C812="", "", 'AYIRA MINI MART FINAL MENU - Pr'!C812)</f>
        <v>2</v>
      </c>
      <c r="D812" s="56" t="str">
        <f>IFERROR(__xludf.DUMMYFUNCTION("IF('AYIRA MINI MART FINAL MENU - Pr'!D812="""", """", GOOGLETRANSLATE('AYIRA MINI MART FINAL MENU - Pr'!D812, ""ar"", ""en""))"),"Don't be able to resist the taste of Oreo, your perfect companion for relaxing and watching the game. Its unique crunch and diverse flavors make every handful a delightful experience. Made with the finest ingredients using the latest manufacturing techniq"&amp;"ues to guarantee an unparalleled taste. Ideal as a snack for adults and children alike between meals. Aira Mini Mart offers it in the perfect size and flavor for you.")</f>
        <v>Don't be able to resist the taste of Oreo,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alike between meals. Aira Mini Mart offers it in the perfect size and flavor for you.</v>
      </c>
      <c r="E812" s="56" t="str">
        <f>IF('AYIRA MINI MART FINAL MENU - Pr'!K812="", "", 'AYIRA MINI MART FINAL MENU - Pr'!K812)</f>
        <v/>
      </c>
      <c r="F812" s="56"/>
      <c r="G812" s="56"/>
      <c r="H812" s="56"/>
      <c r="I812" s="56"/>
      <c r="J812" s="56"/>
      <c r="L812" s="56" t="str">
        <f>IF('AYIRA MINI MART FINAL MENU - Pr'!L812="", "", 'AYIRA MINI MART FINAL MENU - Pr'!L812)</f>
        <v/>
      </c>
      <c r="M812" s="56" t="str">
        <f>IF('AYIRA MINI MART FINAL MENU - Pr'!M812="", "", 'AYIRA MINI MART FINAL MENU - Pr'!M812)</f>
        <v/>
      </c>
      <c r="N812" s="56" t="str">
        <f>IF('AYIRA MINI MART FINAL MENU - Pr'!N812="", "", 'AYIRA MINI MART FINAL MENU - Pr'!N812)</f>
        <v/>
      </c>
      <c r="O812" s="57"/>
      <c r="P812" s="57"/>
      <c r="Q812" s="57"/>
      <c r="R812" s="57"/>
      <c r="S812" s="57"/>
      <c r="T812" s="57"/>
      <c r="U812" s="57"/>
      <c r="V812" s="57"/>
      <c r="W812" s="57"/>
      <c r="X812" s="57"/>
      <c r="Y812" s="57"/>
      <c r="Z812" s="57"/>
    </row>
    <row r="813">
      <c r="A813" s="56" t="str">
        <f>IFERROR(__xludf.DUMMYFUNCTION("IF('AYIRA MINI MART FINAL MENU - Pr'!A813="""", """", IF(LEN(IFERROR(TRIM(REGEXREPLACE(TRIM(REGEXEXTRACT('AYIRA MINI MART FINAL MENU - Pr'!A813, ""^[^\x{0600}-\x{06FF}]+"")), ""[-–]+$"", """")), """"))&gt;0, IFERROR(TRIM(REGEXREPLACE(TRIM(REGEXEXTRACT('AYIRA"&amp;" MINI MART FINAL MENU - Pr'!A813, ""^[^\x{0600}-\x{06FF}]+"")), ""[-–]+$"", """")), """"), GOOGLETRANSLATE('AYIRA MINI MART FINAL MENU - Pr'!A813, ""ar"", ""en"")))"),"Chocolate Cream Oreo – 36.8 g")</f>
        <v>Chocolate Cream Oreo – 36.8 g</v>
      </c>
      <c r="B813" s="56" t="str">
        <f>IFERROR(__xludf.DUMMYFUNCTION("IF('AYIRA MINI MART FINAL MENU - Pr'!B813="""", """", IF(LEN(IFERROR(TRIM(REGEXREPLACE(TRIM(REGEXEXTRACT('AYIRA MINI MART FINAL MENU - Pr'!B813, ""^[^\x{0600}-\x{06FF}]+"")), ""[-–]+$"", """")), """"))&gt;0, IFERROR(TRIM(REGEXREPLACE(TRIM(REGEXEXTRACT('AYIRA"&amp;" MINI MART FINAL MENU - Pr'!B813, ""^[^\x{0600}-\x{06FF}]+"")), ""[-–]+$"", """")), """"), GOOGLETRANSLATE('AYIRA MINI MART FINAL MENU - Pr'!B813, ""ar"", ""en"")))"),"Chocolates")</f>
        <v>Chocolates</v>
      </c>
      <c r="C813" s="58">
        <f>IF('AYIRA MINI MART FINAL MENU - Pr'!C813="", "", 'AYIRA MINI MART FINAL MENU - Pr'!C813)</f>
        <v>2</v>
      </c>
      <c r="D813" s="56" t="str">
        <f>IFERROR(__xludf.DUMMYFUNCTION("IF('AYIRA MINI MART FINAL MENU - Pr'!D813="""", """", GOOGLETRANSLATE('AYIRA MINI MART FINAL MENU - Pr'!D813, ""ar"", ""en""))"),"Indulge your senses with Oreo, the luxurious chocolate that combines rich flavor with a perfect texture. Made from the finest selected cocoa beans, it delivers an exceptional dessert experience every time. Whether you're looking for a special gift or want"&amp;" to treat yourself, this chocolate is the perfect choice. Savor every piece and immerse yourself in a world of smoothness and sweetness. Get yours from Aira Mini Mart and experience moments of pure delight.")</f>
        <v>Indulge your senses with Oreo, the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813" s="56" t="str">
        <f>IF('AYIRA MINI MART FINAL MENU - Pr'!K813="", "", 'AYIRA MINI MART FINAL MENU - Pr'!K813)</f>
        <v/>
      </c>
      <c r="F813" s="56"/>
      <c r="G813" s="56"/>
      <c r="H813" s="56"/>
      <c r="I813" s="56"/>
      <c r="J813" s="56"/>
      <c r="L813" s="56" t="str">
        <f>IF('AYIRA MINI MART FINAL MENU - Pr'!L813="", "", 'AYIRA MINI MART FINAL MENU - Pr'!L813)</f>
        <v/>
      </c>
      <c r="M813" s="56" t="str">
        <f>IF('AYIRA MINI MART FINAL MENU - Pr'!M813="", "", 'AYIRA MINI MART FINAL MENU - Pr'!M813)</f>
        <v/>
      </c>
      <c r="N813" s="56" t="str">
        <f>IF('AYIRA MINI MART FINAL MENU - Pr'!N813="", "", 'AYIRA MINI MART FINAL MENU - Pr'!N813)</f>
        <v/>
      </c>
      <c r="O813" s="57"/>
      <c r="P813" s="57"/>
      <c r="Q813" s="57"/>
      <c r="R813" s="57"/>
      <c r="S813" s="57"/>
      <c r="T813" s="57"/>
      <c r="U813" s="57"/>
      <c r="V813" s="57"/>
      <c r="W813" s="57"/>
      <c r="X813" s="57"/>
      <c r="Y813" s="57"/>
      <c r="Z813" s="57"/>
    </row>
    <row r="814">
      <c r="A814" s="56" t="str">
        <f>IFERROR(__xludf.DUMMYFUNCTION("IF('AYIRA MINI MART FINAL MENU - Pr'!A814="""", """", IF(LEN(IFERROR(TRIM(REGEXREPLACE(TRIM(REGEXEXTRACT('AYIRA MINI MART FINAL MENU - Pr'!A814, ""^[^\x{0600}-\x{06FF}]+"")), ""[-–]+$"", """")), """"))&gt;0, IFERROR(TRIM(REGEXREPLACE(TRIM(REGEXEXTRACT('AYIRA"&amp;" MINI MART FINAL MENU - Pr'!A814, ""^[^\x{0600}-\x{06FF}]+"")), ""[-–]+$"", """")), """"), GOOGLETRANSLATE('AYIRA MINI MART FINAL MENU - Pr'!A814, ""ar"", ""en"")))"),"Topsy Salted Peanuts – 15 g – Topsy")</f>
        <v>Topsy Salted Peanuts – 15 g – Topsy</v>
      </c>
      <c r="B814" s="56" t="str">
        <f>IFERROR(__xludf.DUMMYFUNCTION("IF('AYIRA MINI MART FINAL MENU - Pr'!B814="""", """", IF(LEN(IFERROR(TRIM(REGEXREPLACE(TRIM(REGEXEXTRACT('AYIRA MINI MART FINAL MENU - Pr'!B814, ""^[^\x{0600}-\x{06FF}]+"")), ""[-–]+$"", """")), """"))&gt;0, IFERROR(TRIM(REGEXREPLACE(TRIM(REGEXEXTRACT('AYIRA"&amp;" MINI MART FINAL MENU - Pr'!B814, ""^[^\x{0600}-\x{06FF}]+"")), ""[-–]+$"", """")), """"), GOOGLETRANSLATE('AYIRA MINI MART FINAL MENU - Pr'!B814, ""ar"", ""en"")))"),"Nuts &amp; Seeds")</f>
        <v>Nuts &amp; Seeds</v>
      </c>
      <c r="C814" s="58">
        <f>IF('AYIRA MINI MART FINAL MENU - Pr'!C814="", "", 'AYIRA MINI MART FINAL MENU - Pr'!C814)</f>
        <v>0.5</v>
      </c>
      <c r="D814" s="56" t="str">
        <f>IFERROR(__xludf.DUMMYFUNCTION("IF('AYIRA MINI MART FINAL MENU - Pr'!D814="""", """", GOOGLETRANSLATE('AYIRA MINI MART FINAL MENU - Pr'!D814, ""ar"", ""en""))"),"Choose Topsy Salted Peanuts – 15g, natural nuts rich in protein and healthy fats essential for your body. Made from the finest, carefully selected nuts to ensure the highest levels of purity and taste. A perfect healthy and nutritious snack between meals."&amp;" Supports heart health and provides the energy you need. Available at Aira Mini Mart with the highest quality and best prices.")</f>
        <v>Choose Topsy Salted Peanuts – 15g,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814" s="56" t="str">
        <f>IF('AYIRA MINI MART FINAL MENU - Pr'!K814="", "", 'AYIRA MINI MART FINAL MENU - Pr'!K814)</f>
        <v/>
      </c>
      <c r="F814" s="56"/>
      <c r="G814" s="56"/>
      <c r="H814" s="56"/>
      <c r="I814" s="56"/>
      <c r="J814" s="56"/>
      <c r="L814" s="56" t="str">
        <f>IF('AYIRA MINI MART FINAL MENU - Pr'!L814="", "", 'AYIRA MINI MART FINAL MENU - Pr'!L814)</f>
        <v/>
      </c>
      <c r="M814" s="56" t="str">
        <f>IF('AYIRA MINI MART FINAL MENU - Pr'!M814="", "", 'AYIRA MINI MART FINAL MENU - Pr'!M814)</f>
        <v/>
      </c>
      <c r="N814" s="56" t="str">
        <f>IF('AYIRA MINI MART FINAL MENU - Pr'!N814="", "", 'AYIRA MINI MART FINAL MENU - Pr'!N814)</f>
        <v/>
      </c>
      <c r="O814" s="57"/>
      <c r="P814" s="57"/>
      <c r="Q814" s="57"/>
      <c r="R814" s="57"/>
      <c r="S814" s="57"/>
      <c r="T814" s="57"/>
      <c r="U814" s="57"/>
      <c r="V814" s="57"/>
      <c r="W814" s="57"/>
      <c r="X814" s="57"/>
      <c r="Y814" s="57"/>
      <c r="Z814" s="57"/>
    </row>
    <row r="815">
      <c r="A815" s="56" t="str">
        <f>IFERROR(__xludf.DUMMYFUNCTION("IF('AYIRA MINI MART FINAL MENU - Pr'!A815="""", """", IF(LEN(IFERROR(TRIM(REGEXREPLACE(TRIM(REGEXEXTRACT('AYIRA MINI MART FINAL MENU - Pr'!A815, ""^[^\x{0600}-\x{06FF}]+"")), ""[-–]+$"", """")), """"))&gt;0, IFERROR(TRIM(REGEXREPLACE(TRIM(REGEXEXTRACT('AYIRA"&amp;" MINI MART FINAL MENU - Pr'!A815, ""^[^\x{0600}-\x{06FF}]+"")), ""[-–]+$"", """")), """"), GOOGLETRANSLATE('AYIRA MINI MART FINAL MENU - Pr'!A815, ""ar"", ""en"")))"),"Topsy Sunflower Seeds – 25 g – Topsy Sunflower Seeds – 25")</f>
        <v>Topsy Sunflower Seeds – 25 g – Topsy Sunflower Seeds – 25</v>
      </c>
      <c r="B815" s="56" t="str">
        <f>IFERROR(__xludf.DUMMYFUNCTION("IF('AYIRA MINI MART FINAL MENU - Pr'!B815="""", """", IF(LEN(IFERROR(TRIM(REGEXREPLACE(TRIM(REGEXEXTRACT('AYIRA MINI MART FINAL MENU - Pr'!B815, ""^[^\x{0600}-\x{06FF}]+"")), ""[-–]+$"", """")), """"))&gt;0, IFERROR(TRIM(REGEXREPLACE(TRIM(REGEXEXTRACT('AYIRA"&amp;" MINI MART FINAL MENU - Pr'!B815, ""^[^\x{0600}-\x{06FF}]+"")), ""[-–]+$"", """")), """"), GOOGLETRANSLATE('AYIRA MINI MART FINAL MENU - Pr'!B815, ""ar"", ""en"")))"),"Nuts &amp; Seeds")</f>
        <v>Nuts &amp; Seeds</v>
      </c>
      <c r="C815" s="58">
        <f>IF('AYIRA MINI MART FINAL MENU - Pr'!C815="", "", 'AYIRA MINI MART FINAL MENU - Pr'!C815)</f>
        <v>1</v>
      </c>
      <c r="D815" s="56" t="str">
        <f>IFERROR(__xludf.DUMMYFUNCTION("IF('AYIRA MINI MART FINAL MENU - Pr'!D815="""", """", GOOGLETRANSLATE('AYIRA MINI MART FINAL MENU - Pr'!D815, ""ar"", ""en""))"),"Choose Topsy Sunflower Seeds – 25g, natural nuts rich in protein and healthy fats essential for your body. Made from the finest, carefully selected nuts to ensure the highest levels of purity and taste. A perfect healthy and nutritious snack between meals"&amp;". Supports heart health and provides the energy you need. Available at Aira Mini Mart with the highest quality and best prices.")</f>
        <v>Choose Topsy Sunflower Seeds – 25g,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815" s="56" t="str">
        <f>IF('AYIRA MINI MART FINAL MENU - Pr'!K815="", "", 'AYIRA MINI MART FINAL MENU - Pr'!K815)</f>
        <v/>
      </c>
      <c r="F815" s="56"/>
      <c r="G815" s="56"/>
      <c r="H815" s="56"/>
      <c r="I815" s="56"/>
      <c r="J815" s="56"/>
      <c r="L815" s="56" t="str">
        <f>IF('AYIRA MINI MART FINAL MENU - Pr'!L815="", "", 'AYIRA MINI MART FINAL MENU - Pr'!L815)</f>
        <v/>
      </c>
      <c r="M815" s="56" t="str">
        <f>IF('AYIRA MINI MART FINAL MENU - Pr'!M815="", "", 'AYIRA MINI MART FINAL MENU - Pr'!M815)</f>
        <v/>
      </c>
      <c r="N815" s="56" t="str">
        <f>IF('AYIRA MINI MART FINAL MENU - Pr'!N815="", "", 'AYIRA MINI MART FINAL MENU - Pr'!N815)</f>
        <v/>
      </c>
      <c r="O815" s="57"/>
      <c r="P815" s="57"/>
      <c r="Q815" s="57"/>
      <c r="R815" s="57"/>
      <c r="S815" s="57"/>
      <c r="T815" s="57"/>
      <c r="U815" s="57"/>
      <c r="V815" s="57"/>
      <c r="W815" s="57"/>
      <c r="X815" s="57"/>
      <c r="Y815" s="57"/>
      <c r="Z815" s="57"/>
    </row>
    <row r="816">
      <c r="A816" s="56" t="str">
        <f>IFERROR(__xludf.DUMMYFUNCTION("IF('AYIRA MINI MART FINAL MENU - Pr'!A816="""", """", IF(LEN(IFERROR(TRIM(REGEXREPLACE(TRIM(REGEXEXTRACT('AYIRA MINI MART FINAL MENU - Pr'!A816, ""^[^\x{0600}-\x{06FF}]+"")), ""[-–]+$"", """")), """"))&gt;0, IFERROR(TRIM(REGEXREPLACE(TRIM(REGEXEXTRACT('AYIRA"&amp;" MINI MART FINAL MENU - Pr'!A816, ""^[^\x{0600}-\x{06FF}]+"")), ""[-–]+$"", """")), """"), GOOGLETRANSLATE('AYIRA MINI MART FINAL MENU - Pr'!A816, ""ar"", ""en"")))"),"Minis 35 Mixed – 710 gm – Minis 35")</f>
        <v>Minis 35 Mixed – 710 gm – Minis 35</v>
      </c>
      <c r="B816" s="56" t="str">
        <f>IFERROR(__xludf.DUMMYFUNCTION("IF('AYIRA MINI MART FINAL MENU - Pr'!B816="""", """", IF(LEN(IFERROR(TRIM(REGEXREPLACE(TRIM(REGEXEXTRACT('AYIRA MINI MART FINAL MENU - Pr'!B816, ""^[^\x{0600}-\x{06FF}]+"")), ""[-–]+$"", """")), """"))&gt;0, IFERROR(TRIM(REGEXREPLACE(TRIM(REGEXEXTRACT('AYIRA"&amp;" MINI MART FINAL MENU - Pr'!B816, ""^[^\x{0600}-\x{06FF}]+"")), ""[-–]+$"", """")), """"), GOOGLETRANSLATE('AYIRA MINI MART FINAL MENU - Pr'!B816, ""ar"", ""en"")))"),"Chocolates")</f>
        <v>Chocolates</v>
      </c>
      <c r="C816" s="58">
        <f>IF('AYIRA MINI MART FINAL MENU - Pr'!C816="", "", 'AYIRA MINI MART FINAL MENU - Pr'!C816)</f>
        <v>50</v>
      </c>
      <c r="D816" s="56" t="str">
        <f>IFERROR(__xludf.DUMMYFUNCTION("IF('AYIRA MINI MART FINAL MENU - Pr'!D816="""", """", GOOGLETRANSLATE('AYIRA MINI MART FINAL MENU - Pr'!D816, ""ar"", ""en""))"),"Don't be able to resist the taste of Minis 35 Mixed – 710g, your perfect companion for relaxing and watching the game. Their unique crunch and diverse flavors make every handful a delightful experience. Prepared with the finest ingredients using the lates"&amp;"t manufacturing techniques to guarantee an unparalleled taste. Ideal as a snack for adults and children alike between meals. Aira Mini Mart offers them in the perfect size and flavor for you.")</f>
        <v>Don't be able to resist the taste of Minis 35 Mixed – 710g, your perfect companion for relaxing and watching the game. Their unique crunch and diverse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816" s="56" t="str">
        <f>IF('AYIRA MINI MART FINAL MENU - Pr'!K816="", "", 'AYIRA MINI MART FINAL MENU - Pr'!K816)</f>
        <v/>
      </c>
      <c r="F816" s="56"/>
      <c r="G816" s="56"/>
      <c r="H816" s="56"/>
      <c r="I816" s="56"/>
      <c r="J816" s="56"/>
      <c r="L816" s="56" t="str">
        <f>IF('AYIRA MINI MART FINAL MENU - Pr'!L816="", "", 'AYIRA MINI MART FINAL MENU - Pr'!L816)</f>
        <v/>
      </c>
      <c r="M816" s="56" t="str">
        <f>IF('AYIRA MINI MART FINAL MENU - Pr'!M816="", "", 'AYIRA MINI MART FINAL MENU - Pr'!M816)</f>
        <v/>
      </c>
      <c r="N816" s="56" t="str">
        <f>IF('AYIRA MINI MART FINAL MENU - Pr'!N816="", "", 'AYIRA MINI MART FINAL MENU - Pr'!N816)</f>
        <v/>
      </c>
      <c r="O816" s="57"/>
      <c r="P816" s="57"/>
      <c r="Q816" s="57"/>
      <c r="R816" s="57"/>
      <c r="S816" s="57"/>
      <c r="T816" s="57"/>
      <c r="U816" s="57"/>
      <c r="V816" s="57"/>
      <c r="W816" s="57"/>
      <c r="X816" s="57"/>
      <c r="Y816" s="57"/>
      <c r="Z816" s="57"/>
    </row>
    <row r="817">
      <c r="A817" s="56" t="str">
        <f>IFERROR(__xludf.DUMMYFUNCTION("IF('AYIRA MINI MART FINAL MENU - Pr'!A817="""", """", IF(LEN(IFERROR(TRIM(REGEXREPLACE(TRIM(REGEXEXTRACT('AYIRA MINI MART FINAL MENU - Pr'!A817, ""^[^\x{0600}-\x{06FF}]+"")), ""[-–]+$"", """")), """"))&gt;0, IFERROR(TRIM(REGEXREPLACE(TRIM(REGEXEXTRACT('AYIRA"&amp;" MINI MART FINAL MENU - Pr'!A817, ""^[^\x{0600}-\x{06FF}]+"")), ""[-–]+$"", """")), """"), GOOGLETRANSLATE('AYIRA MINI MART FINAL MENU - Pr'!A817, ""ar"", ""en"")))"),"Minis 20 Mixed – 400 gm – Minis 20")</f>
        <v>Minis 20 Mixed – 400 gm – Minis 20</v>
      </c>
      <c r="B817" s="56" t="str">
        <f>IFERROR(__xludf.DUMMYFUNCTION("IF('AYIRA MINI MART FINAL MENU - Pr'!B817="""", """", IF(LEN(IFERROR(TRIM(REGEXREPLACE(TRIM(REGEXEXTRACT('AYIRA MINI MART FINAL MENU - Pr'!B817, ""^[^\x{0600}-\x{06FF}]+"")), ""[-–]+$"", """")), """"))&gt;0, IFERROR(TRIM(REGEXREPLACE(TRIM(REGEXEXTRACT('AYIRA"&amp;" MINI MART FINAL MENU - Pr'!B817, ""^[^\x{0600}-\x{06FF}]+"")), ""[-–]+$"", """")), """"), GOOGLETRANSLATE('AYIRA MINI MART FINAL MENU - Pr'!B817, ""ar"", ""en"")))"),"Chocolates")</f>
        <v>Chocolates</v>
      </c>
      <c r="C817" s="58">
        <f>IF('AYIRA MINI MART FINAL MENU - Pr'!C817="", "", 'AYIRA MINI MART FINAL MENU - Pr'!C817)</f>
        <v>32</v>
      </c>
      <c r="D817" s="56" t="str">
        <f>IFERROR(__xludf.DUMMYFUNCTION("IF('AYIRA MINI MART FINAL MENU - Pr'!D817="""", """", GOOGLETRANSLATE('AYIRA MINI MART FINAL MENU - Pr'!D817, ""ar"", ""en""))"),"Don't be able to resist the taste of Minis 20 Mixed – 400g, your perfect companion for relaxing and watching the game. Their unique crunch and diverse flavors make every handful a delightful experience. Prepared with the finest ingredients using the lates"&amp;"t manufacturing techniques to guarantee an unparalleled taste. Ideal as a snack for adults and children alike between meals. Aira Mini Mart offers them in the perfect size and flavor for you.")</f>
        <v>Don't be able to resist the taste of Minis 20 Mixed – 400g, your perfect companion for relaxing and watching the game. Their unique crunch and diverse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817" s="56" t="str">
        <f>IF('AYIRA MINI MART FINAL MENU - Pr'!K817="", "", 'AYIRA MINI MART FINAL MENU - Pr'!K817)</f>
        <v/>
      </c>
      <c r="F817" s="56"/>
      <c r="G817" s="56"/>
      <c r="H817" s="56"/>
      <c r="I817" s="56"/>
      <c r="J817" s="56"/>
      <c r="L817" s="56" t="str">
        <f>IF('AYIRA MINI MART FINAL MENU - Pr'!L817="", "", 'AYIRA MINI MART FINAL MENU - Pr'!L817)</f>
        <v/>
      </c>
      <c r="M817" s="56" t="str">
        <f>IF('AYIRA MINI MART FINAL MENU - Pr'!M817="", "", 'AYIRA MINI MART FINAL MENU - Pr'!M817)</f>
        <v/>
      </c>
      <c r="N817" s="56" t="str">
        <f>IF('AYIRA MINI MART FINAL MENU - Pr'!N817="", "", 'AYIRA MINI MART FINAL MENU - Pr'!N817)</f>
        <v/>
      </c>
      <c r="O817" s="57"/>
      <c r="P817" s="57"/>
      <c r="Q817" s="57"/>
      <c r="R817" s="57"/>
      <c r="S817" s="57"/>
      <c r="T817" s="57"/>
      <c r="U817" s="57"/>
      <c r="V817" s="57"/>
      <c r="W817" s="57"/>
      <c r="X817" s="57"/>
      <c r="Y817" s="57"/>
      <c r="Z817" s="57"/>
    </row>
    <row r="818">
      <c r="A818" s="56" t="str">
        <f>IFERROR(__xludf.DUMMYFUNCTION("IF('AYIRA MINI MART FINAL MENU - Pr'!A818="""", """", IF(LEN(IFERROR(TRIM(REGEXREPLACE(TRIM(REGEXEXTRACT('AYIRA MINI MART FINAL MENU - Pr'!A818, ""^[^\x{0600}-\x{06FF}]+"")), ""[-–]+$"", """")), """"))&gt;0, IFERROR(TRIM(REGEXREPLACE(TRIM(REGEXEXTRACT('AYIRA"&amp;" MINI MART FINAL MENU - Pr'!A818, ""^[^\x{0600}-\x{06FF}]+"")), ""[-–]+$"", """")), """"), GOOGLETRANSLATE('AYIRA MINI MART FINAL MENU - Pr'!A818, ""ar"", ""en"")))"),"Camel Natural Baked Almonds (36 g) – Camel")</f>
        <v>Camel Natural Baked Almonds (36 g) – Camel</v>
      </c>
      <c r="B818" s="56" t="str">
        <f>IFERROR(__xludf.DUMMYFUNCTION("IF('AYIRA MINI MART FINAL MENU - Pr'!B818="""", """", IF(LEN(IFERROR(TRIM(REGEXREPLACE(TRIM(REGEXEXTRACT('AYIRA MINI MART FINAL MENU - Pr'!B818, ""^[^\x{0600}-\x{06FF}]+"")), ""[-–]+$"", """")), """"))&gt;0, IFERROR(TRIM(REGEXREPLACE(TRIM(REGEXEXTRACT('AYIRA"&amp;" MINI MART FINAL MENU - Pr'!B818, ""^[^\x{0600}-\x{06FF}]+"")), ""[-–]+$"", """")), """"), GOOGLETRANSLATE('AYIRA MINI MART FINAL MENU - Pr'!B818, ""ar"", ""en"")))"),"Nuts &amp; Seeds")</f>
        <v>Nuts &amp; Seeds</v>
      </c>
      <c r="C818" s="58">
        <f>IF('AYIRA MINI MART FINAL MENU - Pr'!C818="", "", 'AYIRA MINI MART FINAL MENU - Pr'!C818)</f>
        <v>5</v>
      </c>
      <c r="D818" s="56" t="str">
        <f>IFERROR(__xludf.DUMMYFUNCTION("IF('AYIRA MINI MART FINAL MENU - Pr'!D818="""", """", GOOGLETRANSLATE('AYIRA MINI MART FINAL MENU - Pr'!D818, ""ar"", ""en""))"),"Choose Camel Natural Baked Almonds (36g), natural nuts rich in protein and healthy fats essential for your body. Made from the finest, carefully selected nuts to ensure the highest levels of purity and taste. A perfect healthy and nutritious snack between"&amp;" meals. Supports heart health and provides the energy you need. Available at Aira Mini Mart with the highest quality and best prices.")</f>
        <v>Choose Camel Natural Baked Almonds (36g),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818" s="56" t="str">
        <f>IF('AYIRA MINI MART FINAL MENU - Pr'!K818="", "", 'AYIRA MINI MART FINAL MENU - Pr'!K818)</f>
        <v/>
      </c>
      <c r="F818" s="56"/>
      <c r="G818" s="56"/>
      <c r="H818" s="56"/>
      <c r="I818" s="56"/>
      <c r="J818" s="56"/>
      <c r="L818" s="56" t="str">
        <f>IF('AYIRA MINI MART FINAL MENU - Pr'!L818="", "", 'AYIRA MINI MART FINAL MENU - Pr'!L818)</f>
        <v/>
      </c>
      <c r="M818" s="56" t="str">
        <f>IF('AYIRA MINI MART FINAL MENU - Pr'!M818="", "", 'AYIRA MINI MART FINAL MENU - Pr'!M818)</f>
        <v/>
      </c>
      <c r="N818" s="56" t="str">
        <f>IF('AYIRA MINI MART FINAL MENU - Pr'!N818="", "", 'AYIRA MINI MART FINAL MENU - Pr'!N818)</f>
        <v/>
      </c>
      <c r="O818" s="57"/>
      <c r="P818" s="57"/>
      <c r="Q818" s="57"/>
      <c r="R818" s="57"/>
      <c r="S818" s="57"/>
      <c r="T818" s="57"/>
      <c r="U818" s="57"/>
      <c r="V818" s="57"/>
      <c r="W818" s="57"/>
      <c r="X818" s="57"/>
      <c r="Y818" s="57"/>
      <c r="Z818" s="57"/>
    </row>
    <row r="819">
      <c r="A819" s="56" t="str">
        <f>IFERROR(__xludf.DUMMYFUNCTION("IF('AYIRA MINI MART FINAL MENU - Pr'!A819="""", """", IF(LEN(IFERROR(TRIM(REGEXREPLACE(TRIM(REGEXEXTRACT('AYIRA MINI MART FINAL MENU - Pr'!A819, ""^[^\x{0600}-\x{06FF}]+"")), ""[-–]+$"", """")), """"))&gt;0, IFERROR(TRIM(REGEXREPLACE(TRIM(REGEXEXTRACT('AYIRA"&amp;" MINI MART FINAL MENU - Pr'!A819, ""^[^\x{0600}-\x{06FF}]+"")), ""[-–]+$"", """")), """"), GOOGLETRANSLATE('AYIRA MINI MART FINAL MENU - Pr'!A819, ""ar"", ""en"")))"),"Camel Natural Smoked Almonds (36 g) – Camel")</f>
        <v>Camel Natural Smoked Almonds (36 g) – Camel</v>
      </c>
      <c r="B819" s="56" t="str">
        <f>IFERROR(__xludf.DUMMYFUNCTION("IF('AYIRA MINI MART FINAL MENU - Pr'!B819="""", """", IF(LEN(IFERROR(TRIM(REGEXREPLACE(TRIM(REGEXEXTRACT('AYIRA MINI MART FINAL MENU - Pr'!B819, ""^[^\x{0600}-\x{06FF}]+"")), ""[-–]+$"", """")), """"))&gt;0, IFERROR(TRIM(REGEXREPLACE(TRIM(REGEXEXTRACT('AYIRA"&amp;" MINI MART FINAL MENU - Pr'!B819, ""^[^\x{0600}-\x{06FF}]+"")), ""[-–]+$"", """")), """"), GOOGLETRANSLATE('AYIRA MINI MART FINAL MENU - Pr'!B819, ""ar"", ""en"")))"),"Nuts &amp; Seeds")</f>
        <v>Nuts &amp; Seeds</v>
      </c>
      <c r="C819" s="58">
        <f>IF('AYIRA MINI MART FINAL MENU - Pr'!C819="", "", 'AYIRA MINI MART FINAL MENU - Pr'!C819)</f>
        <v>5.5</v>
      </c>
      <c r="D819" s="56" t="str">
        <f>IFERROR(__xludf.DUMMYFUNCTION("IF('AYIRA MINI MART FINAL MENU - Pr'!D819="""", """", GOOGLETRANSLATE('AYIRA MINI MART FINAL MENU - Pr'!D819, ""ar"", ""en""))"),"Choose Camel Natural Smoked Almonds (36g), natural nuts rich in protein and healthy fats essential for your body. Made from the finest nuts, carefully selected to ensure the highest levels of purity and taste. A perfect healthy and nutritious snack betwee"&amp;"n meals. Supports heart health and provides the energy you need. Available at Aira Mini Mart with the highest quality and best prices.")</f>
        <v>Choose Camel Natural Smoked Almonds (36g), natural nuts rich in protein and healthy fats essential for your body. Made from the finest nuts, carefully selected to ensure the highest levels of purity and taste. A perfect healthy and nutritious snack between meals. Supports heart health and provides the energy you need. Available at Aira Mini Mart with the highest quality and best prices.</v>
      </c>
      <c r="E819" s="56" t="str">
        <f>IF('AYIRA MINI MART FINAL MENU - Pr'!K819="", "", 'AYIRA MINI MART FINAL MENU - Pr'!K819)</f>
        <v/>
      </c>
      <c r="F819" s="56"/>
      <c r="G819" s="56"/>
      <c r="H819" s="56"/>
      <c r="I819" s="56"/>
      <c r="J819" s="56"/>
      <c r="L819" s="56" t="str">
        <f>IF('AYIRA MINI MART FINAL MENU - Pr'!L819="", "", 'AYIRA MINI MART FINAL MENU - Pr'!L819)</f>
        <v/>
      </c>
      <c r="M819" s="56" t="str">
        <f>IF('AYIRA MINI MART FINAL MENU - Pr'!M819="", "", 'AYIRA MINI MART FINAL MENU - Pr'!M819)</f>
        <v/>
      </c>
      <c r="N819" s="56" t="str">
        <f>IF('AYIRA MINI MART FINAL MENU - Pr'!N819="", "", 'AYIRA MINI MART FINAL MENU - Pr'!N819)</f>
        <v/>
      </c>
      <c r="O819" s="57"/>
      <c r="P819" s="57"/>
      <c r="Q819" s="57"/>
      <c r="R819" s="57"/>
      <c r="S819" s="57"/>
      <c r="T819" s="57"/>
      <c r="U819" s="57"/>
      <c r="V819" s="57"/>
      <c r="W819" s="57"/>
      <c r="X819" s="57"/>
      <c r="Y819" s="57"/>
      <c r="Z819" s="57"/>
    </row>
    <row r="820">
      <c r="A820" s="56" t="str">
        <f>IFERROR(__xludf.DUMMYFUNCTION("IF('AYIRA MINI MART FINAL MENU - Pr'!A820="""", """", IF(LEN(IFERROR(TRIM(REGEXREPLACE(TRIM(REGEXEXTRACT('AYIRA MINI MART FINAL MENU - Pr'!A820, ""^[^\x{0600}-\x{06FF}]+"")), ""[-–]+$"", """")), """"))&gt;0, IFERROR(TRIM(REGEXREPLACE(TRIM(REGEXEXTRACT('AYIRA"&amp;" MINI MART FINAL MENU - Pr'!A820, ""^[^\x{0600}-\x{06FF}]+"")), ""[-–]+$"", """")), """"), GOOGLETRANSLATE('AYIRA MINI MART FINAL MENU - Pr'!A820, ""ar"", ""en"")))"),"Camel Roasted Peanuts (36 g) – Camel")</f>
        <v>Camel Roasted Peanuts (36 g) – Camel</v>
      </c>
      <c r="B820" s="56" t="str">
        <f>IFERROR(__xludf.DUMMYFUNCTION("IF('AYIRA MINI MART FINAL MENU - Pr'!B820="""", """", IF(LEN(IFERROR(TRIM(REGEXREPLACE(TRIM(REGEXEXTRACT('AYIRA MINI MART FINAL MENU - Pr'!B820, ""^[^\x{0600}-\x{06FF}]+"")), ""[-–]+$"", """")), """"))&gt;0, IFERROR(TRIM(REGEXREPLACE(TRIM(REGEXEXTRACT('AYIRA"&amp;" MINI MART FINAL MENU - Pr'!B820, ""^[^\x{0600}-\x{06FF}]+"")), ""[-–]+$"", """")), """"), GOOGLETRANSLATE('AYIRA MINI MART FINAL MENU - Pr'!B820, ""ar"", ""en"")))"),"Nuts &amp; Seeds")</f>
        <v>Nuts &amp; Seeds</v>
      </c>
      <c r="C820" s="58">
        <f>IF('AYIRA MINI MART FINAL MENU - Pr'!C820="", "", 'AYIRA MINI MART FINAL MENU - Pr'!C820)</f>
        <v>3</v>
      </c>
      <c r="D820" s="56" t="str">
        <f>IFERROR(__xludf.DUMMYFUNCTION("IF('AYIRA MINI MART FINAL MENU - Pr'!D820="""", """", GOOGLETRANSLATE('AYIRA MINI MART FINAL MENU - Pr'!D820, ""ar"", ""en""))"),"Choose Camel Roasted Peanuts (36g), natural nuts rich in protein and healthy fats essential for your body. Made from the finest, carefully selected nuts to ensure the highest levels of purity and taste. A perfect healthy and nutritious snack between meals"&amp;". Supports heart health and provides the energy you need. Available at Aira Mini Mart with the highest quality and best prices.")</f>
        <v>Choose Camel Roasted Peanuts (36g),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820" s="56" t="str">
        <f>IF('AYIRA MINI MART FINAL MENU - Pr'!K820="", "", 'AYIRA MINI MART FINAL MENU - Pr'!K820)</f>
        <v/>
      </c>
      <c r="F820" s="56"/>
      <c r="G820" s="56"/>
      <c r="H820" s="56"/>
      <c r="I820" s="56"/>
      <c r="J820" s="56"/>
      <c r="L820" s="56" t="str">
        <f>IF('AYIRA MINI MART FINAL MENU - Pr'!L820="", "", 'AYIRA MINI MART FINAL MENU - Pr'!L820)</f>
        <v/>
      </c>
      <c r="M820" s="56" t="str">
        <f>IF('AYIRA MINI MART FINAL MENU - Pr'!M820="", "", 'AYIRA MINI MART FINAL MENU - Pr'!M820)</f>
        <v/>
      </c>
      <c r="N820" s="56" t="str">
        <f>IF('AYIRA MINI MART FINAL MENU - Pr'!N820="", "", 'AYIRA MINI MART FINAL MENU - Pr'!N820)</f>
        <v/>
      </c>
      <c r="O820" s="57"/>
      <c r="P820" s="57"/>
      <c r="Q820" s="57"/>
      <c r="R820" s="57"/>
      <c r="S820" s="57"/>
      <c r="T820" s="57"/>
      <c r="U820" s="57"/>
      <c r="V820" s="57"/>
      <c r="W820" s="57"/>
      <c r="X820" s="57"/>
      <c r="Y820" s="57"/>
      <c r="Z820" s="57"/>
    </row>
    <row r="821">
      <c r="A821" s="56" t="str">
        <f>IFERROR(__xludf.DUMMYFUNCTION("IF('AYIRA MINI MART FINAL MENU - Pr'!A821="""", """", IF(LEN(IFERROR(TRIM(REGEXREPLACE(TRIM(REGEXEXTRACT('AYIRA MINI MART FINAL MENU - Pr'!A821, ""^[^\x{0600}-\x{06FF}]+"")), ""[-–]+$"", """")), """"))&gt;0, IFERROR(TRIM(REGEXREPLACE(TRIM(REGEXEXTRACT('AYIRA"&amp;" MINI MART FINAL MENU - Pr'!A821, ""^[^\x{0600}-\x{06FF}]+"")), ""[-–]+$"", """")), """"), GOOGLETRANSLATE('AYIRA MINI MART FINAL MENU - Pr'!A821, ""ar"", ""en"")))"),"Camel Green Peas (36 g) – Camel Green")</f>
        <v>Camel Green Peas (36 g) – Camel Green</v>
      </c>
      <c r="B821" s="56" t="str">
        <f>IFERROR(__xludf.DUMMYFUNCTION("IF('AYIRA MINI MART FINAL MENU - Pr'!B821="""", """", IF(LEN(IFERROR(TRIM(REGEXREPLACE(TRIM(REGEXEXTRACT('AYIRA MINI MART FINAL MENU - Pr'!B821, ""^[^\x{0600}-\x{06FF}]+"")), ""[-–]+$"", """")), """"))&gt;0, IFERROR(TRIM(REGEXREPLACE(TRIM(REGEXEXTRACT('AYIRA"&amp;" MINI MART FINAL MENU - Pr'!B821, ""^[^\x{0600}-\x{06FF}]+"")), ""[-–]+$"", """")), """"), GOOGLETRANSLATE('AYIRA MINI MART FINAL MENU - Pr'!B821, ""ar"", ""en"")))"),"Nuts &amp; Seeds")</f>
        <v>Nuts &amp; Seeds</v>
      </c>
      <c r="C821" s="58">
        <f>IF('AYIRA MINI MART FINAL MENU - Pr'!C821="", "", 'AYIRA MINI MART FINAL MENU - Pr'!C821)</f>
        <v>3.5</v>
      </c>
      <c r="D821" s="56" t="str">
        <f>IFERROR(__xludf.DUMMYFUNCTION("IF('AYIRA MINI MART FINAL MENU - Pr'!D821="""", """", GOOGLETRANSLATE('AYIRA MINI MART FINAL MENU - Pr'!D821, ""ar"", ""en""))"),"Don't be able to resist the taste of Camel Green Peas (36g), your perfect companion for relaxing and watching the game. Their unique crunch and varied flavors make every handful a delightful experience. Prepared with the finest ingredients using the lates"&amp;"t manufacturing techniques to ensure an unparalleled taste. Ideal as a snack for adults and children alike between meals. Aira Mini Mart offers them in the perfect size and flavor for you.")</f>
        <v>Don't be able to resist the taste of Camel Green Peas (36g),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821" s="56" t="str">
        <f>IF('AYIRA MINI MART FINAL MENU - Pr'!K821="", "", 'AYIRA MINI MART FINAL MENU - Pr'!K821)</f>
        <v/>
      </c>
      <c r="F821" s="56"/>
      <c r="G821" s="56"/>
      <c r="H821" s="56"/>
      <c r="I821" s="56"/>
      <c r="J821" s="56"/>
      <c r="L821" s="56" t="str">
        <f>IF('AYIRA MINI MART FINAL MENU - Pr'!L821="", "", 'AYIRA MINI MART FINAL MENU - Pr'!L821)</f>
        <v/>
      </c>
      <c r="M821" s="56" t="str">
        <f>IF('AYIRA MINI MART FINAL MENU - Pr'!M821="", "", 'AYIRA MINI MART FINAL MENU - Pr'!M821)</f>
        <v/>
      </c>
      <c r="N821" s="56" t="str">
        <f>IF('AYIRA MINI MART FINAL MENU - Pr'!N821="", "", 'AYIRA MINI MART FINAL MENU - Pr'!N821)</f>
        <v/>
      </c>
      <c r="O821" s="57"/>
      <c r="P821" s="57"/>
      <c r="Q821" s="57"/>
      <c r="R821" s="57"/>
      <c r="S821" s="57"/>
      <c r="T821" s="57"/>
      <c r="U821" s="57"/>
      <c r="V821" s="57"/>
      <c r="W821" s="57"/>
      <c r="X821" s="57"/>
      <c r="Y821" s="57"/>
      <c r="Z821" s="57"/>
    </row>
    <row r="822">
      <c r="A822" s="56" t="str">
        <f>IFERROR(__xludf.DUMMYFUNCTION("IF('AYIRA MINI MART FINAL MENU - Pr'!A822="""", """", IF(LEN(IFERROR(TRIM(REGEXREPLACE(TRIM(REGEXEXTRACT('AYIRA MINI MART FINAL MENU - Pr'!A822, ""^[^\x{0600}-\x{06FF}]+"")), ""[-–]+$"", """")), """"))&gt;0, IFERROR(TRIM(REGEXREPLACE(TRIM(REGEXEXTRACT('AYIRA"&amp;" MINI MART FINAL MENU - Pr'!A822, ""^[^\x{0600}-\x{06FF}]+"")), ""[-–]+$"", """")), """"), GOOGLETRANSLATE('AYIRA MINI MART FINAL MENU - Pr'!A822, ""ar"", ""en"")))"),"Camel Mixed Snacks (36 g) – Camel")</f>
        <v>Camel Mixed Snacks (36 g) – Camel</v>
      </c>
      <c r="B822" s="56" t="str">
        <f>IFERROR(__xludf.DUMMYFUNCTION("IF('AYIRA MINI MART FINAL MENU - Pr'!B822="""", """", IF(LEN(IFERROR(TRIM(REGEXREPLACE(TRIM(REGEXEXTRACT('AYIRA MINI MART FINAL MENU - Pr'!B822, ""^[^\x{0600}-\x{06FF}]+"")), ""[-–]+$"", """")), """"))&gt;0, IFERROR(TRIM(REGEXREPLACE(TRIM(REGEXEXTRACT('AYIRA"&amp;" MINI MART FINAL MENU - Pr'!B822, ""^[^\x{0600}-\x{06FF}]+"")), ""[-–]+$"", """")), """"), GOOGLETRANSLATE('AYIRA MINI MART FINAL MENU - Pr'!B822, ""ar"", ""en"")))"),"Nuts &amp; Seeds")</f>
        <v>Nuts &amp; Seeds</v>
      </c>
      <c r="C822" s="58">
        <f>IF('AYIRA MINI MART FINAL MENU - Pr'!C822="", "", 'AYIRA MINI MART FINAL MENU - Pr'!C822)</f>
        <v>3</v>
      </c>
      <c r="D822" s="56" t="str">
        <f>IFERROR(__xludf.DUMMYFUNCTION("IF('AYIRA MINI MART FINAL MENU - Pr'!D822="""", """", GOOGLETRANSLATE('AYIRA MINI MART FINAL MENU - Pr'!D822, ""ar"", ""en""))"),"Don't be able to resist the taste of Camel Mixed Snacks (36g), your perfect companion for relaxing and watching the game. Their unique crunch and varied flavors make every handful a delightful experience. Prepared with the finest ingredients using the lat"&amp;"est manufacturing techniques to ensure an unparalleled taste. Ideal as a snack for adults and children alike between meals. Aira Mini Mart offers them in the perfect size and flavor for you.")</f>
        <v>Don't be able to resist the taste of Camel Mixed Snacks (36g),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822" s="56" t="str">
        <f>IF('AYIRA MINI MART FINAL MENU - Pr'!K822="", "", 'AYIRA MINI MART FINAL MENU - Pr'!K822)</f>
        <v/>
      </c>
      <c r="F822" s="56"/>
      <c r="G822" s="56"/>
      <c r="H822" s="56"/>
      <c r="I822" s="56"/>
      <c r="J822" s="56"/>
      <c r="L822" s="56" t="str">
        <f>IF('AYIRA MINI MART FINAL MENU - Pr'!L822="", "", 'AYIRA MINI MART FINAL MENU - Pr'!L822)</f>
        <v/>
      </c>
      <c r="M822" s="56" t="str">
        <f>IF('AYIRA MINI MART FINAL MENU - Pr'!M822="", "", 'AYIRA MINI MART FINAL MENU - Pr'!M822)</f>
        <v/>
      </c>
      <c r="N822" s="56" t="str">
        <f>IF('AYIRA MINI MART FINAL MENU - Pr'!N822="", "", 'AYIRA MINI MART FINAL MENU - Pr'!N822)</f>
        <v/>
      </c>
      <c r="O822" s="57"/>
      <c r="P822" s="57"/>
      <c r="Q822" s="57"/>
      <c r="R822" s="57"/>
      <c r="S822" s="57"/>
      <c r="T822" s="57"/>
      <c r="U822" s="57"/>
      <c r="V822" s="57"/>
      <c r="W822" s="57"/>
      <c r="X822" s="57"/>
      <c r="Y822" s="57"/>
      <c r="Z822" s="57"/>
    </row>
    <row r="823">
      <c r="A823" s="56" t="str">
        <f>IFERROR(__xludf.DUMMYFUNCTION("IF('AYIRA MINI MART FINAL MENU - Pr'!A823="""", """", IF(LEN(IFERROR(TRIM(REGEXREPLACE(TRIM(REGEXEXTRACT('AYIRA MINI MART FINAL MENU - Pr'!A823, ""^[^\x{0600}-\x{06FF}]+"")), ""[-–]+$"", """")), """"))&gt;0, IFERROR(TRIM(REGEXREPLACE(TRIM(REGEXEXTRACT('AYIRA"&amp;" MINI MART FINAL MENU - Pr'!A823, ""^[^\x{0600}-\x{06FF}]+"")), ""[-–]+$"", """")), """"), GOOGLETRANSLATE('AYIRA MINI MART FINAL MENU - Pr'!A823, ""ar"", ""en"")))"),"Star Fries Ring Murukku – Kerala Style")</f>
        <v>Star Fries Ring Murukku – Kerala Style</v>
      </c>
      <c r="B823" s="56" t="str">
        <f>IFERROR(__xludf.DUMMYFUNCTION("IF('AYIRA MINI MART FINAL MENU - Pr'!B823="""", """", IF(LEN(IFERROR(TRIM(REGEXREPLACE(TRIM(REGEXEXTRACT('AYIRA MINI MART FINAL MENU - Pr'!B823, ""^[^\x{0600}-\x{06FF}]+"")), ""[-–]+$"", """")), """"))&gt;0, IFERROR(TRIM(REGEXREPLACE(TRIM(REGEXEXTRACT('AYIRA"&amp;" MINI MART FINAL MENU - Pr'!B823, ""^[^\x{0600}-\x{06FF}]+"")), ""[-–]+$"", """")), """"), GOOGLETRANSLATE('AYIRA MINI MART FINAL MENU - Pr'!B823, ""ar"", ""en"")))"),"Snacks |")</f>
        <v>Snacks |</v>
      </c>
      <c r="C823" s="58">
        <f>IF('AYIRA MINI MART FINAL MENU - Pr'!C823="", "", 'AYIRA MINI MART FINAL MENU - Pr'!C823)</f>
        <v>4</v>
      </c>
      <c r="D823" s="56" t="str">
        <f>IFERROR(__xludf.DUMMYFUNCTION("IF('AYIRA MINI MART FINAL MENU - Pr'!D823="""", """", GOOGLETRANSLATE('AYIRA MINI MART FINAL MENU - Pr'!D823, ""ar"", ""en""))"),"Don't be able to resist the taste of Pran Ring Murukku – Kerala Style, your perfect companion for relaxing and watching matches. Its unique crunch and diverse flavors make every handful a delightful experience. Prepared with the finest ingredients using t"&amp;"he latest manufacturing techniques to ensure an unparalleled taste. Ideal as a snack for adults and children between meals. Aira Mini Mart offers it in the perfect size and flavor for you.")</f>
        <v>Don't be able to resist the taste of Pran Ring Murukku – Kerala Style,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823" s="56" t="str">
        <f>IF('AYIRA MINI MART FINAL MENU - Pr'!K823="", "", 'AYIRA MINI MART FINAL MENU - Pr'!K823)</f>
        <v/>
      </c>
      <c r="F823" s="56"/>
      <c r="G823" s="56"/>
      <c r="H823" s="56"/>
      <c r="I823" s="56"/>
      <c r="J823" s="56"/>
      <c r="L823" s="56" t="str">
        <f>IF('AYIRA MINI MART FINAL MENU - Pr'!L823="", "", 'AYIRA MINI MART FINAL MENU - Pr'!L823)</f>
        <v/>
      </c>
      <c r="M823" s="56" t="str">
        <f>IF('AYIRA MINI MART FINAL MENU - Pr'!M823="", "", 'AYIRA MINI MART FINAL MENU - Pr'!M823)</f>
        <v/>
      </c>
      <c r="N823" s="56" t="str">
        <f>IF('AYIRA MINI MART FINAL MENU - Pr'!N823="", "", 'AYIRA MINI MART FINAL MENU - Pr'!N823)</f>
        <v/>
      </c>
      <c r="O823" s="57"/>
      <c r="P823" s="57"/>
      <c r="Q823" s="57"/>
      <c r="R823" s="57"/>
      <c r="S823" s="57"/>
      <c r="T823" s="57"/>
      <c r="U823" s="57"/>
      <c r="V823" s="57"/>
      <c r="W823" s="57"/>
      <c r="X823" s="57"/>
      <c r="Y823" s="57"/>
      <c r="Z823" s="57"/>
    </row>
    <row r="824">
      <c r="A824" s="56" t="str">
        <f>IFERROR(__xludf.DUMMYFUNCTION("IF('AYIRA MINI MART FINAL MENU - Pr'!A824="""", """", IF(LEN(IFERROR(TRIM(REGEXREPLACE(TRIM(REGEXEXTRACT('AYIRA MINI MART FINAL MENU - Pr'!A824, ""^[^\x{0600}-\x{06FF}]+"")), ""[-–]+$"", """")), """"))&gt;0, IFERROR(TRIM(REGEXREPLACE(TRIM(REGEXEXTRACT('AYIRA"&amp;" MINI MART FINAL MENU - Pr'!A824, ""^[^\x{0600}-\x{06FF}]+"")), ""[-–]+$"", """")), """"), GOOGLETRANSLATE('AYIRA MINI MART FINAL MENU - Pr'!A824, ""ar"", ""en"")))"),"Star Fries Tapioca Chips – 125g – Star Fries Tapioca")</f>
        <v>Star Fries Tapioca Chips – 125g – Star Fries Tapioca</v>
      </c>
      <c r="B824" s="56" t="str">
        <f>IFERROR(__xludf.DUMMYFUNCTION("IF('AYIRA MINI MART FINAL MENU - Pr'!B824="""", """", IF(LEN(IFERROR(TRIM(REGEXREPLACE(TRIM(REGEXEXTRACT('AYIRA MINI MART FINAL MENU - Pr'!B824, ""^[^\x{0600}-\x{06FF}]+"")), ""[-–]+$"", """")), """"))&gt;0, IFERROR(TRIM(REGEXREPLACE(TRIM(REGEXEXTRACT('AYIRA"&amp;" MINI MART FINAL MENU - Pr'!B824, ""^[^\x{0600}-\x{06FF}]+"")), ""[-–]+$"", """")), """"), GOOGLETRANSLATE('AYIRA MINI MART FINAL MENU - Pr'!B824, ""ar"", ""en"")))"),"Snacks |")</f>
        <v>Snacks |</v>
      </c>
      <c r="C824" s="58">
        <f>IF('AYIRA MINI MART FINAL MENU - Pr'!C824="", "", 'AYIRA MINI MART FINAL MENU - Pr'!C824)</f>
        <v>4.5</v>
      </c>
      <c r="D824" s="56" t="str">
        <f>IFERROR(__xludf.DUMMYFUNCTION("IF('AYIRA MINI MART FINAL MENU - Pr'!D824="""", """", GOOGLETRANSLATE('AYIRA MINI MART FINAL MENU - Pr'!D824, ""ar"", ""en""))"),"Don't be able to resist the taste of Star Fries Tapioca Chips – 125g, your perfect companion for relaxing and watching the game. Their unique crunch and varied flavors make every handful a delightful experience. Prepared with the finest ingredients using "&amp;"the latest manufacturing techniques to ensure an unparalleled taste. Ideal as a snack for adults and children alike between meals. Aira Mini Mart offers them in the perfect size and flavor for you.")</f>
        <v>Don't be able to resist the taste of Star Fries Tapioca Chips – 125g,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824" s="56" t="str">
        <f>IF('AYIRA MINI MART FINAL MENU - Pr'!K824="", "", 'AYIRA MINI MART FINAL MENU - Pr'!K824)</f>
        <v/>
      </c>
      <c r="F824" s="56"/>
      <c r="G824" s="56"/>
      <c r="H824" s="56"/>
      <c r="I824" s="56"/>
      <c r="J824" s="56"/>
      <c r="L824" s="56" t="str">
        <f>IF('AYIRA MINI MART FINAL MENU - Pr'!L824="", "", 'AYIRA MINI MART FINAL MENU - Pr'!L824)</f>
        <v/>
      </c>
      <c r="M824" s="56" t="str">
        <f>IF('AYIRA MINI MART FINAL MENU - Pr'!M824="", "", 'AYIRA MINI MART FINAL MENU - Pr'!M824)</f>
        <v/>
      </c>
      <c r="N824" s="56" t="str">
        <f>IF('AYIRA MINI MART FINAL MENU - Pr'!N824="", "", 'AYIRA MINI MART FINAL MENU - Pr'!N824)</f>
        <v/>
      </c>
      <c r="O824" s="57"/>
      <c r="P824" s="57"/>
      <c r="Q824" s="57"/>
      <c r="R824" s="57"/>
      <c r="S824" s="57"/>
      <c r="T824" s="57"/>
      <c r="U824" s="57"/>
      <c r="V824" s="57"/>
      <c r="W824" s="57"/>
      <c r="X824" s="57"/>
      <c r="Y824" s="57"/>
      <c r="Z824" s="57"/>
    </row>
    <row r="825">
      <c r="A825" s="56" t="str">
        <f>IFERROR(__xludf.DUMMYFUNCTION("IF('AYIRA MINI MART FINAL MENU - Pr'!A825="""", """", IF(LEN(IFERROR(TRIM(REGEXREPLACE(TRIM(REGEXEXTRACT('AYIRA MINI MART FINAL MENU - Pr'!A825, ""^[^\x{0600}-\x{06FF}]+"")), ""[-–]+$"", """")), """"))&gt;0, IFERROR(TRIM(REGEXREPLACE(TRIM(REGEXEXTRACT('AYIRA"&amp;" MINI MART FINAL MENU - Pr'!A825, ""^[^\x{0600}-\x{06FF}]+"")), ""[-–]+$"", """")), """"), GOOGLETRANSLATE('AYIRA MINI MART FINAL MENU - Pr'!A825, ""ar"", ""en"")))"),"Star Fries Fruit Banana Chips – 125g – Star Fries Fruit Banana")</f>
        <v>Star Fries Fruit Banana Chips – 125g – Star Fries Fruit Banana</v>
      </c>
      <c r="B825" s="56" t="str">
        <f>IFERROR(__xludf.DUMMYFUNCTION("IF('AYIRA MINI MART FINAL MENU - Pr'!B825="""", """", IF(LEN(IFERROR(TRIM(REGEXREPLACE(TRIM(REGEXEXTRACT('AYIRA MINI MART FINAL MENU - Pr'!B825, ""^[^\x{0600}-\x{06FF}]+"")), ""[-–]+$"", """")), """"))&gt;0, IFERROR(TRIM(REGEXREPLACE(TRIM(REGEXEXTRACT('AYIRA"&amp;" MINI MART FINAL MENU - Pr'!B825, ""^[^\x{0600}-\x{06FF}]+"")), ""[-–]+$"", """")), """"), GOOGLETRANSLATE('AYIRA MINI MART FINAL MENU - Pr'!B825, ""ar"", ""en"")))"),"Snacks |")</f>
        <v>Snacks |</v>
      </c>
      <c r="C825" s="58">
        <f>IF('AYIRA MINI MART FINAL MENU - Pr'!C825="", "", 'AYIRA MINI MART FINAL MENU - Pr'!C825)</f>
        <v>5</v>
      </c>
      <c r="D825" s="56" t="str">
        <f>IFERROR(__xludf.DUMMYFUNCTION("IF('AYIRA MINI MART FINAL MENU - Pr'!D825="""", """", GOOGLETRANSLATE('AYIRA MINI MART FINAL MENU - Pr'!D825, ""ar"", ""en""))"),"Don't be able to resist the taste of Star Fries Fruit Banana Chips – 125g, your perfect companion for relaxing and watching the game. Their unique crunch and varied flavors make every handful a delightful experience. Made with the finest ingredients using"&amp;" the latest manufacturing techniques to ensure an unparalleled taste. Ideal as a snack for adults and children alike between meals. Aira Mini Mart offers them in the perfect size and flavor for you.")</f>
        <v>Don't be able to resist the taste of Star Fries Fruit Banana Chips – 125g,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825" s="56" t="str">
        <f>IF('AYIRA MINI MART FINAL MENU - Pr'!K825="", "", 'AYIRA MINI MART FINAL MENU - Pr'!K825)</f>
        <v/>
      </c>
      <c r="F825" s="56"/>
      <c r="G825" s="56"/>
      <c r="H825" s="56"/>
      <c r="I825" s="56"/>
      <c r="J825" s="56"/>
      <c r="L825" s="56" t="str">
        <f>IF('AYIRA MINI MART FINAL MENU - Pr'!L825="", "", 'AYIRA MINI MART FINAL MENU - Pr'!L825)</f>
        <v/>
      </c>
      <c r="M825" s="56" t="str">
        <f>IF('AYIRA MINI MART FINAL MENU - Pr'!M825="", "", 'AYIRA MINI MART FINAL MENU - Pr'!M825)</f>
        <v/>
      </c>
      <c r="N825" s="56" t="str">
        <f>IF('AYIRA MINI MART FINAL MENU - Pr'!N825="", "", 'AYIRA MINI MART FINAL MENU - Pr'!N825)</f>
        <v/>
      </c>
      <c r="O825" s="57"/>
      <c r="P825" s="57"/>
      <c r="Q825" s="57"/>
      <c r="R825" s="57"/>
      <c r="S825" s="57"/>
      <c r="T825" s="57"/>
      <c r="U825" s="57"/>
      <c r="V825" s="57"/>
      <c r="W825" s="57"/>
      <c r="X825" s="57"/>
      <c r="Y825" s="57"/>
      <c r="Z825" s="57"/>
    </row>
    <row r="826">
      <c r="A826" s="56" t="str">
        <f>IFERROR(__xludf.DUMMYFUNCTION("IF('AYIRA MINI MART FINAL MENU - Pr'!A826="""", """", IF(LEN(IFERROR(TRIM(REGEXREPLACE(TRIM(REGEXEXTRACT('AYIRA MINI MART FINAL MENU - Pr'!A826, ""^[^\x{0600}-\x{06FF}]+"")), ""[-–]+$"", """")), """"))&gt;0, IFERROR(TRIM(REGEXREPLACE(TRIM(REGEXEXTRACT('AYIRA"&amp;" MINI MART FINAL MENU - Pr'!A826, ""^[^\x{0600}-\x{06FF}]+"")), ""[-–]+$"", """")), """"), GOOGLETRANSLATE('AYIRA MINI MART FINAL MENU - Pr'!A826, ""ar"", ""en"")))"),"Star Fries Jackfruit Chips – 125g – Star Fries Jackfruit")</f>
        <v>Star Fries Jackfruit Chips – 125g – Star Fries Jackfruit</v>
      </c>
      <c r="B826" s="56" t="str">
        <f>IFERROR(__xludf.DUMMYFUNCTION("IF('AYIRA MINI MART FINAL MENU - Pr'!B826="""", """", IF(LEN(IFERROR(TRIM(REGEXREPLACE(TRIM(REGEXEXTRACT('AYIRA MINI MART FINAL MENU - Pr'!B826, ""^[^\x{0600}-\x{06FF}]+"")), ""[-–]+$"", """")), """"))&gt;0, IFERROR(TRIM(REGEXREPLACE(TRIM(REGEXEXTRACT('AYIRA"&amp;" MINI MART FINAL MENU - Pr'!B826, ""^[^\x{0600}-\x{06FF}]+"")), ""[-–]+$"", """")), """"), GOOGLETRANSLATE('AYIRA MINI MART FINAL MENU - Pr'!B826, ""ar"", ""en"")))"),"Snacks |")</f>
        <v>Snacks |</v>
      </c>
      <c r="C826" s="58">
        <f>IF('AYIRA MINI MART FINAL MENU - Pr'!C826="", "", 'AYIRA MINI MART FINAL MENU - Pr'!C826)</f>
        <v>5</v>
      </c>
      <c r="D826" s="56" t="str">
        <f>IFERROR(__xludf.DUMMYFUNCTION("IF('AYIRA MINI MART FINAL MENU - Pr'!D826="""", """", GOOGLETRANSLATE('AYIRA MINI MART FINAL MENU - Pr'!D826, ""ar"", ""en""))"),"Don't be able to resist the taste of Star Fries Jackfruit Chips – 125g, your perfect companion for relaxing and watching the game. Their unique crunch and varied flavors make every handful a delightful experience. Made with the finest ingredients using th"&amp;"e latest manufacturing techniques to ensure an unparalleled taste. Ideal as a snack for adults and children alike between meals. Aira Mini Mart offers them in the perfect size and flavor for you.")</f>
        <v>Don't be able to resist the taste of Star Fries Jackfruit Chips – 125g,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826" s="56" t="str">
        <f>IF('AYIRA MINI MART FINAL MENU - Pr'!K826="", "", 'AYIRA MINI MART FINAL MENU - Pr'!K826)</f>
        <v/>
      </c>
      <c r="F826" s="56"/>
      <c r="G826" s="56"/>
      <c r="H826" s="56"/>
      <c r="I826" s="56"/>
      <c r="J826" s="56"/>
      <c r="L826" s="56" t="str">
        <f>IF('AYIRA MINI MART FINAL MENU - Pr'!L826="", "", 'AYIRA MINI MART FINAL MENU - Pr'!L826)</f>
        <v/>
      </c>
      <c r="M826" s="56" t="str">
        <f>IF('AYIRA MINI MART FINAL MENU - Pr'!M826="", "", 'AYIRA MINI MART FINAL MENU - Pr'!M826)</f>
        <v/>
      </c>
      <c r="N826" s="56" t="str">
        <f>IF('AYIRA MINI MART FINAL MENU - Pr'!N826="", "", 'AYIRA MINI MART FINAL MENU - Pr'!N826)</f>
        <v/>
      </c>
      <c r="O826" s="57"/>
      <c r="P826" s="57"/>
      <c r="Q826" s="57"/>
      <c r="R826" s="57"/>
      <c r="S826" s="57"/>
      <c r="T826" s="57"/>
      <c r="U826" s="57"/>
      <c r="V826" s="57"/>
      <c r="W826" s="57"/>
      <c r="X826" s="57"/>
      <c r="Y826" s="57"/>
      <c r="Z826" s="57"/>
    </row>
    <row r="827">
      <c r="A827" s="56" t="str">
        <f>IFERROR(__xludf.DUMMYFUNCTION("IF('AYIRA MINI MART FINAL MENU - Pr'!A827="""", """", IF(LEN(IFERROR(TRIM(REGEXREPLACE(TRIM(REGEXEXTRACT('AYIRA MINI MART FINAL MENU - Pr'!A827, ""^[^\x{0600}-\x{06FF}]+"")), ""[-–]+$"", """")), """"))&gt;0, IFERROR(TRIM(REGEXREPLACE(TRIM(REGEXEXTRACT('AYIRA"&amp;" MINI MART FINAL MENU - Pr'!A827, ""^[^\x{0600}-\x{06FF}]+"")), ""[-–]+$"", """")), """"), GOOGLETRANSLATE('AYIRA MINI MART FINAL MENU - Pr'!A827, ""ar"", ""en"")))"),"Star Fries Indian Mixture – 200g – Star Fries Indian Mixture – 200")</f>
        <v>Star Fries Indian Mixture – 200g – Star Fries Indian Mixture – 200</v>
      </c>
      <c r="B827" s="56" t="str">
        <f>IFERROR(__xludf.DUMMYFUNCTION("IF('AYIRA MINI MART FINAL MENU - Pr'!B827="""", """", IF(LEN(IFERROR(TRIM(REGEXREPLACE(TRIM(REGEXEXTRACT('AYIRA MINI MART FINAL MENU - Pr'!B827, ""^[^\x{0600}-\x{06FF}]+"")), ""[-–]+$"", """")), """"))&gt;0, IFERROR(TRIM(REGEXREPLACE(TRIM(REGEXEXTRACT('AYIRA"&amp;" MINI MART FINAL MENU - Pr'!B827, ""^[^\x{0600}-\x{06FF}]+"")), ""[-–]+$"", """")), """"), GOOGLETRANSLATE('AYIRA MINI MART FINAL MENU - Pr'!B827, ""ar"", ""en"")))"),"Snacks |")</f>
        <v>Snacks |</v>
      </c>
      <c r="C827" s="58">
        <f>IF('AYIRA MINI MART FINAL MENU - Pr'!C827="", "", 'AYIRA MINI MART FINAL MENU - Pr'!C827)</f>
        <v>4.5</v>
      </c>
      <c r="D827" s="56" t="str">
        <f>IFERROR(__xludf.DUMMYFUNCTION("IF('AYIRA MINI MART FINAL MENU - Pr'!D827="""", """", GOOGLETRANSLATE('AYIRA MINI MART FINAL MENU - Pr'!D827, ""ar"", ""en""))"),"Don't be able to resist the taste of Star Fries Indian Mixture – 200g, your perfect companion for relaxing and watching the game. Its unique crunch and diverse flavors make every handful a delightful experience. Prepared with the finest ingredients using "&amp;"the latest manufacturing techniques to guarantee an unparalleled taste. Ideal as a snack for adults and children alike between meals. Aira Mini Mart offers it in the perfect size and flavor for you.")</f>
        <v>Don't be able to resist the taste of Star Fries Indian Mixture – 200g,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827" s="56" t="str">
        <f>IF('AYIRA MINI MART FINAL MENU - Pr'!K827="", "", 'AYIRA MINI MART FINAL MENU - Pr'!K827)</f>
        <v/>
      </c>
      <c r="F827" s="56"/>
      <c r="G827" s="56"/>
      <c r="H827" s="56"/>
      <c r="I827" s="56"/>
      <c r="J827" s="56"/>
      <c r="L827" s="56" t="str">
        <f>IF('AYIRA MINI MART FINAL MENU - Pr'!L827="", "", 'AYIRA MINI MART FINAL MENU - Pr'!L827)</f>
        <v/>
      </c>
      <c r="M827" s="56" t="str">
        <f>IF('AYIRA MINI MART FINAL MENU - Pr'!M827="", "", 'AYIRA MINI MART FINAL MENU - Pr'!M827)</f>
        <v/>
      </c>
      <c r="N827" s="56" t="str">
        <f>IF('AYIRA MINI MART FINAL MENU - Pr'!N827="", "", 'AYIRA MINI MART FINAL MENU - Pr'!N827)</f>
        <v/>
      </c>
      <c r="O827" s="57"/>
      <c r="P827" s="57"/>
      <c r="Q827" s="57"/>
      <c r="R827" s="57"/>
      <c r="S827" s="57"/>
      <c r="T827" s="57"/>
      <c r="U827" s="57"/>
      <c r="V827" s="57"/>
      <c r="W827" s="57"/>
      <c r="X827" s="57"/>
      <c r="Y827" s="57"/>
      <c r="Z827" s="57"/>
    </row>
    <row r="828">
      <c r="A828" s="56" t="str">
        <f>IFERROR(__xludf.DUMMYFUNCTION("IF('AYIRA MINI MART FINAL MENU - Pr'!A828="""", """", IF(LEN(IFERROR(TRIM(REGEXREPLACE(TRIM(REGEXEXTRACT('AYIRA MINI MART FINAL MENU - Pr'!A828, ""^[^\x{0600}-\x{06FF}]+"")), ""[-–]+$"", """")), """"))&gt;0, IFERROR(TRIM(REGEXREPLACE(TRIM(REGEXEXTRACT('AYIRA"&amp;" MINI MART FINAL MENU - Pr'!A828, ""^[^\x{0600}-\x{06FF}]+"")), ""[-–]+$"", """")), """"), GOOGLETRANSLATE('AYIRA MINI MART FINAL MENU - Pr'!A828, ""ar"", ""en"")))"),"Star Fries Tapioca Stick – 125g – Star Fries Tapioca")</f>
        <v>Star Fries Tapioca Stick – 125g – Star Fries Tapioca</v>
      </c>
      <c r="B828" s="56" t="str">
        <f>IFERROR(__xludf.DUMMYFUNCTION("IF('AYIRA MINI MART FINAL MENU - Pr'!B828="""", """", IF(LEN(IFERROR(TRIM(REGEXREPLACE(TRIM(REGEXEXTRACT('AYIRA MINI MART FINAL MENU - Pr'!B828, ""^[^\x{0600}-\x{06FF}]+"")), ""[-–]+$"", """")), """"))&gt;0, IFERROR(TRIM(REGEXREPLACE(TRIM(REGEXEXTRACT('AYIRA"&amp;" MINI MART FINAL MENU - Pr'!B828, ""^[^\x{0600}-\x{06FF}]+"")), ""[-–]+$"", """")), """"), GOOGLETRANSLATE('AYIRA MINI MART FINAL MENU - Pr'!B828, ""ar"", ""en"")))"),"Snacks |")</f>
        <v>Snacks |</v>
      </c>
      <c r="C828" s="58">
        <f>IF('AYIRA MINI MART FINAL MENU - Pr'!C828="", "", 'AYIRA MINI MART FINAL MENU - Pr'!C828)</f>
        <v>4.5</v>
      </c>
      <c r="D828" s="56" t="str">
        <f>IFERROR(__xludf.DUMMYFUNCTION("IF('AYIRA MINI MART FINAL MENU - Pr'!D828="""", """", GOOGLETRANSLATE('AYIRA MINI MART FINAL MENU - Pr'!D828, ""ar"", ""en""))"),"Don't be able to resist the taste of Star Fries Tapioca Sticks – 125g, your perfect companion for relaxing and watching the game. Their unique crunch and varied flavors make every handful a delightful experience. Prepared with the finest ingredients using"&amp;" the latest manufacturing techniques to ensure an unparalleled taste. Ideal as a snack for adults and children alike between meals. Aira Mini Mart offers them in the perfect size and flavor for you.")</f>
        <v>Don't be able to resist the taste of Star Fries Tapioca Sticks – 125g,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828" s="56" t="str">
        <f>IF('AYIRA MINI MART FINAL MENU - Pr'!K828="", "", 'AYIRA MINI MART FINAL MENU - Pr'!K828)</f>
        <v/>
      </c>
      <c r="F828" s="56"/>
      <c r="G828" s="56"/>
      <c r="H828" s="56"/>
      <c r="I828" s="56"/>
      <c r="J828" s="56"/>
      <c r="L828" s="56" t="str">
        <f>IF('AYIRA MINI MART FINAL MENU - Pr'!L828="", "", 'AYIRA MINI MART FINAL MENU - Pr'!L828)</f>
        <v/>
      </c>
      <c r="M828" s="56" t="str">
        <f>IF('AYIRA MINI MART FINAL MENU - Pr'!M828="", "", 'AYIRA MINI MART FINAL MENU - Pr'!M828)</f>
        <v/>
      </c>
      <c r="N828" s="56" t="str">
        <f>IF('AYIRA MINI MART FINAL MENU - Pr'!N828="", "", 'AYIRA MINI MART FINAL MENU - Pr'!N828)</f>
        <v/>
      </c>
      <c r="O828" s="57"/>
      <c r="P828" s="57"/>
      <c r="Q828" s="57"/>
      <c r="R828" s="57"/>
      <c r="S828" s="57"/>
      <c r="T828" s="57"/>
      <c r="U828" s="57"/>
      <c r="V828" s="57"/>
      <c r="W828" s="57"/>
      <c r="X828" s="57"/>
      <c r="Y828" s="57"/>
      <c r="Z828" s="57"/>
    </row>
    <row r="829">
      <c r="A829" s="56" t="str">
        <f>IFERROR(__xludf.DUMMYFUNCTION("IF('AYIRA MINI MART FINAL MENU - Pr'!A829="""", """", IF(LEN(IFERROR(TRIM(REGEXREPLACE(TRIM(REGEXEXTRACT('AYIRA MINI MART FINAL MENU - Pr'!A829, ""^[^\x{0600}-\x{06FF}]+"")), ""[-–]+$"", """")), """"))&gt;0, IFERROR(TRIM(REGEXREPLACE(TRIM(REGEXEXTRACT('AYIRA"&amp;" MINI MART FINAL MENU - Pr'!A829, ""^[^\x{0600}-\x{06FF}]+"")), ""[-–]+$"", """")), """"), GOOGLETRANSLATE('AYIRA MINI MART FINAL MENU - Pr'!A829, ""ar"", ""en"")))"),"Star Fries Garlic Murukku – 125g – Star Fries Garlic Murukku – 125")</f>
        <v>Star Fries Garlic Murukku – 125g – Star Fries Garlic Murukku – 125</v>
      </c>
      <c r="B829" s="56" t="str">
        <f>IFERROR(__xludf.DUMMYFUNCTION("IF('AYIRA MINI MART FINAL MENU - Pr'!B829="""", """", IF(LEN(IFERROR(TRIM(REGEXREPLACE(TRIM(REGEXEXTRACT('AYIRA MINI MART FINAL MENU - Pr'!B829, ""^[^\x{0600}-\x{06FF}]+"")), ""[-–]+$"", """")), """"))&gt;0, IFERROR(TRIM(REGEXREPLACE(TRIM(REGEXEXTRACT('AYIRA"&amp;" MINI MART FINAL MENU - Pr'!B829, ""^[^\x{0600}-\x{06FF}]+"")), ""[-–]+$"", """")), """"), GOOGLETRANSLATE('AYIRA MINI MART FINAL MENU - Pr'!B829, ""ar"", ""en"")))"),"Snacks |")</f>
        <v>Snacks |</v>
      </c>
      <c r="C829" s="58">
        <f>IF('AYIRA MINI MART FINAL MENU - Pr'!C829="", "", 'AYIRA MINI MART FINAL MENU - Pr'!C829)</f>
        <v>4.5</v>
      </c>
      <c r="D829" s="56" t="str">
        <f>IFERROR(__xludf.DUMMYFUNCTION("IF('AYIRA MINI MART FINAL MENU - Pr'!D829="""", """", GOOGLETRANSLATE('AYIRA MINI MART FINAL MENU - Pr'!D829, ""ar"", ""en""))"),"Don't be able to resist the taste of Star Fries Garlic Murukku – 125g, your perfect companion for relaxing and watching matches. Its unique crunch and varied flavors make every handful a delightful experience. Prepared with the finest ingredients using th"&amp;"e latest manufacturing techniques to ensure an unparalleled taste. Ideal as a snack for adults and children between meals. Aira Mini Mart offers it in the perfect size and flavor for you.")</f>
        <v>Don't be able to resist the taste of Star Fries Garlic Murukku – 125g, your perfect companion for relaxing and watching matches.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829" s="56" t="str">
        <f>IF('AYIRA MINI MART FINAL MENU - Pr'!K829="", "", 'AYIRA MINI MART FINAL MENU - Pr'!K829)</f>
        <v/>
      </c>
      <c r="F829" s="56"/>
      <c r="G829" s="56"/>
      <c r="H829" s="56"/>
      <c r="I829" s="56"/>
      <c r="J829" s="56"/>
      <c r="L829" s="56" t="str">
        <f>IF('AYIRA MINI MART FINAL MENU - Pr'!L829="", "", 'AYIRA MINI MART FINAL MENU - Pr'!L829)</f>
        <v/>
      </c>
      <c r="M829" s="56" t="str">
        <f>IF('AYIRA MINI MART FINAL MENU - Pr'!M829="", "", 'AYIRA MINI MART FINAL MENU - Pr'!M829)</f>
        <v/>
      </c>
      <c r="N829" s="56" t="str">
        <f>IF('AYIRA MINI MART FINAL MENU - Pr'!N829="", "", 'AYIRA MINI MART FINAL MENU - Pr'!N829)</f>
        <v/>
      </c>
      <c r="O829" s="57"/>
      <c r="P829" s="57"/>
      <c r="Q829" s="57"/>
      <c r="R829" s="57"/>
      <c r="S829" s="57"/>
      <c r="T829" s="57"/>
      <c r="U829" s="57"/>
      <c r="V829" s="57"/>
      <c r="W829" s="57"/>
      <c r="X829" s="57"/>
      <c r="Y829" s="57"/>
      <c r="Z829" s="57"/>
    </row>
    <row r="830">
      <c r="A830" s="56" t="str">
        <f>IFERROR(__xludf.DUMMYFUNCTION("IF('AYIRA MINI MART FINAL MENU - Pr'!A830="""", """", IF(LEN(IFERROR(TRIM(REGEXREPLACE(TRIM(REGEXEXTRACT('AYIRA MINI MART FINAL MENU - Pr'!A830, ""^[^\x{0600}-\x{06FF}]+"")), ""[-–]+$"", """")), """"))&gt;0, IFERROR(TRIM(REGEXREPLACE(TRIM(REGEXEXTRACT('AYIRA"&amp;" MINI MART FINAL MENU - Pr'!A830, ""^[^\x{0600}-\x{06FF}]+"")), ""[-–]+$"", """")), """"), GOOGLETRANSLATE('AYIRA MINI MART FINAL MENU - Pr'!A830, ""ar"", ""en"")))"),"Star Fries Banana Chips – 125g – Star Fries Banana")</f>
        <v>Star Fries Banana Chips – 125g – Star Fries Banana</v>
      </c>
      <c r="B830" s="56" t="str">
        <f>IFERROR(__xludf.DUMMYFUNCTION("IF('AYIRA MINI MART FINAL MENU - Pr'!B830="""", """", IF(LEN(IFERROR(TRIM(REGEXREPLACE(TRIM(REGEXEXTRACT('AYIRA MINI MART FINAL MENU - Pr'!B830, ""^[^\x{0600}-\x{06FF}]+"")), ""[-–]+$"", """")), """"))&gt;0, IFERROR(TRIM(REGEXREPLACE(TRIM(REGEXEXTRACT('AYIRA"&amp;" MINI MART FINAL MENU - Pr'!B830, ""^[^\x{0600}-\x{06FF}]+"")), ""[-–]+$"", """")), """"), GOOGLETRANSLATE('AYIRA MINI MART FINAL MENU - Pr'!B830, ""ar"", ""en"")))"),"Snacks |")</f>
        <v>Snacks |</v>
      </c>
      <c r="C830" s="58">
        <f>IF('AYIRA MINI MART FINAL MENU - Pr'!C830="", "", 'AYIRA MINI MART FINAL MENU - Pr'!C830)</f>
        <v>5</v>
      </c>
      <c r="D830" s="56" t="str">
        <f>IFERROR(__xludf.DUMMYFUNCTION("IF('AYIRA MINI MART FINAL MENU - Pr'!D830="""", """", GOOGLETRANSLATE('AYIRA MINI MART FINAL MENU - Pr'!D830, ""ar"", ""en""))"),"Don't be able to resist the taste of Star Fries Banana Chips – 125g, your perfect companion for relaxing and watching the game. Their unique crunch and varied flavors make every handful a delightful experience. Made with the finest ingredients using the l"&amp;"atest manufacturing techniques to ensure an unparalleled taste. Ideal as a snack for adults and children alike between meals. Aira Mini Mart offers them in the perfect size and flavor for you.")</f>
        <v>Don't be able to resist the taste of Star Fries Banana Chips – 125g,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830" s="56" t="str">
        <f>IF('AYIRA MINI MART FINAL MENU - Pr'!K830="", "", 'AYIRA MINI MART FINAL MENU - Pr'!K830)</f>
        <v/>
      </c>
      <c r="F830" s="56"/>
      <c r="G830" s="56"/>
      <c r="H830" s="56"/>
      <c r="I830" s="56"/>
      <c r="J830" s="56"/>
      <c r="L830" s="56" t="str">
        <f>IF('AYIRA MINI MART FINAL MENU - Pr'!L830="", "", 'AYIRA MINI MART FINAL MENU - Pr'!L830)</f>
        <v/>
      </c>
      <c r="M830" s="56" t="str">
        <f>IF('AYIRA MINI MART FINAL MENU - Pr'!M830="", "", 'AYIRA MINI MART FINAL MENU - Pr'!M830)</f>
        <v/>
      </c>
      <c r="N830" s="56" t="str">
        <f>IF('AYIRA MINI MART FINAL MENU - Pr'!N830="", "", 'AYIRA MINI MART FINAL MENU - Pr'!N830)</f>
        <v/>
      </c>
      <c r="O830" s="57"/>
      <c r="P830" s="57"/>
      <c r="Q830" s="57"/>
      <c r="R830" s="57"/>
      <c r="S830" s="57"/>
      <c r="T830" s="57"/>
      <c r="U830" s="57"/>
      <c r="V830" s="57"/>
      <c r="W830" s="57"/>
      <c r="X830" s="57"/>
      <c r="Y830" s="57"/>
      <c r="Z830" s="57"/>
    </row>
    <row r="831">
      <c r="A831" s="56" t="str">
        <f>IFERROR(__xludf.DUMMYFUNCTION("IF('AYIRA MINI MART FINAL MENU - Pr'!A831="""", """", IF(LEN(IFERROR(TRIM(REGEXREPLACE(TRIM(REGEXEXTRACT('AYIRA MINI MART FINAL MENU - Pr'!A831, ""^[^\x{0600}-\x{06FF}]+"")), ""[-–]+$"", """")), """"))&gt;0, IFERROR(TRIM(REGEXREPLACE(TRIM(REGEXEXTRACT('AYIRA"&amp;" MINI MART FINAL MENU - Pr'!A831, ""^[^\x{0600}-\x{06FF}]+"")), ""[-–]+$"", """")), """"), GOOGLETRANSLATE('AYIRA MINI MART FINAL MENU - Pr'!A831, ""ar"", ""en"")))"),"Topsy Ola Pakkavada – 100g – Topsy Ola Pakkavada – 100")</f>
        <v>Topsy Ola Pakkavada – 100g – Topsy Ola Pakkavada – 100</v>
      </c>
      <c r="B831" s="56" t="str">
        <f>IFERROR(__xludf.DUMMYFUNCTION("IF('AYIRA MINI MART FINAL MENU - Pr'!B831="""", """", IF(LEN(IFERROR(TRIM(REGEXREPLACE(TRIM(REGEXEXTRACT('AYIRA MINI MART FINAL MENU - Pr'!B831, ""^[^\x{0600}-\x{06FF}]+"")), ""[-–]+$"", """")), """"))&gt;0, IFERROR(TRIM(REGEXREPLACE(TRIM(REGEXEXTRACT('AYIRA"&amp;" MINI MART FINAL MENU - Pr'!B831, ""^[^\x{0600}-\x{06FF}]+"")), ""[-–]+$"", """")), """"), GOOGLETRANSLATE('AYIRA MINI MART FINAL MENU - Pr'!B831, ""ar"", ""en"")))"),"Snacks |")</f>
        <v>Snacks |</v>
      </c>
      <c r="C831" s="58">
        <f>IF('AYIRA MINI MART FINAL MENU - Pr'!C831="", "", 'AYIRA MINI MART FINAL MENU - Pr'!C831)</f>
        <v>2</v>
      </c>
      <c r="D831" s="56" t="str">
        <f>IFERROR(__xludf.DUMMYFUNCTION("IF('AYIRA MINI MART FINAL MENU - Pr'!D831="""", """", GOOGLETRANSLATE('AYIRA MINI MART FINAL MENU - Pr'!D831, ""ar"", ""en""))"),"Don't be able to resist the taste of Topsy Ola Pakkavada – 100g, your perfect companion for relaxing and watching matches. Its unique crunch and diverse flavors make every handful a delightful experience. Prepared with the finest ingredients using the lat"&amp;"est manufacturing techniques to guarantee an unparalleled taste. Ideal as a snack for adults and children between meals. Aira Mini Mart offers it in the perfect size and flavor for you.")</f>
        <v>Don't be able to resist the taste of Topsy Ola Pakkavada – 100g,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31" s="56" t="str">
        <f>IF('AYIRA MINI MART FINAL MENU - Pr'!K831="", "", 'AYIRA MINI MART FINAL MENU - Pr'!K831)</f>
        <v/>
      </c>
      <c r="F831" s="56"/>
      <c r="G831" s="56"/>
      <c r="H831" s="56"/>
      <c r="I831" s="56"/>
      <c r="J831" s="56"/>
      <c r="L831" s="56" t="str">
        <f>IF('AYIRA MINI MART FINAL MENU - Pr'!L831="", "", 'AYIRA MINI MART FINAL MENU - Pr'!L831)</f>
        <v/>
      </c>
      <c r="M831" s="56" t="str">
        <f>IF('AYIRA MINI MART FINAL MENU - Pr'!M831="", "", 'AYIRA MINI MART FINAL MENU - Pr'!M831)</f>
        <v/>
      </c>
      <c r="N831" s="56" t="str">
        <f>IF('AYIRA MINI MART FINAL MENU - Pr'!N831="", "", 'AYIRA MINI MART FINAL MENU - Pr'!N831)</f>
        <v/>
      </c>
      <c r="O831" s="57"/>
      <c r="P831" s="57"/>
      <c r="Q831" s="57"/>
      <c r="R831" s="57"/>
      <c r="S831" s="57"/>
      <c r="T831" s="57"/>
      <c r="U831" s="57"/>
      <c r="V831" s="57"/>
      <c r="W831" s="57"/>
      <c r="X831" s="57"/>
      <c r="Y831" s="57"/>
      <c r="Z831" s="57"/>
    </row>
    <row r="832">
      <c r="A832" s="56" t="str">
        <f>IFERROR(__xludf.DUMMYFUNCTION("IF('AYIRA MINI MART FINAL MENU - Pr'!A832="""", """", IF(LEN(IFERROR(TRIM(REGEXREPLACE(TRIM(REGEXEXTRACT('AYIRA MINI MART FINAL MENU - Pr'!A832, ""^[^\x{0600}-\x{06FF}]+"")), ""[-–]+$"", """")), """"))&gt;0, IFERROR(TRIM(REGEXREPLACE(TRIM(REGEXEXTRACT('AYIRA"&amp;" MINI MART FINAL MENU - Pr'!A832, ""^[^\x{0600}-\x{06FF}]+"")), ""[-–]+$"", """")), """"), GOOGLETRANSLATE('AYIRA MINI MART FINAL MENU - Pr'!A832, ""ar"", ""en"")))"),"Star Fries Malabar Murukku – 125g – Star Fries Malabar Murukku – 125")</f>
        <v>Star Fries Malabar Murukku – 125g – Star Fries Malabar Murukku – 125</v>
      </c>
      <c r="B832" s="56" t="str">
        <f>IFERROR(__xludf.DUMMYFUNCTION("IF('AYIRA MINI MART FINAL MENU - Pr'!B832="""", """", IF(LEN(IFERROR(TRIM(REGEXREPLACE(TRIM(REGEXEXTRACT('AYIRA MINI MART FINAL MENU - Pr'!B832, ""^[^\x{0600}-\x{06FF}]+"")), ""[-–]+$"", """")), """"))&gt;0, IFERROR(TRIM(REGEXREPLACE(TRIM(REGEXEXTRACT('AYIRA"&amp;" MINI MART FINAL MENU - Pr'!B832, ""^[^\x{0600}-\x{06FF}]+"")), ""[-–]+$"", """")), """"), GOOGLETRANSLATE('AYIRA MINI MART FINAL MENU - Pr'!B832, ""ar"", ""en"")))"),"Snacks |")</f>
        <v>Snacks |</v>
      </c>
      <c r="C832" s="58">
        <f>IF('AYIRA MINI MART FINAL MENU - Pr'!C832="", "", 'AYIRA MINI MART FINAL MENU - Pr'!C832)</f>
        <v>4</v>
      </c>
      <c r="D832" s="56" t="str">
        <f>IFERROR(__xludf.DUMMYFUNCTION("IF('AYIRA MINI MART FINAL MENU - Pr'!D832="""", """", GOOGLETRANSLATE('AYIRA MINI MART FINAL MENU - Pr'!D832, ""ar"", ""en""))"),"Don't be able to resist the taste of Star Fries Malabar Murukku – 125g, your perfect companion for relaxing and watching matches. Its unique crunch and diverse flavors make every handful a delightful experience. Prepared with the finest ingredients using "&amp;"the latest manufacturing techniques to ensure an unparalleled taste. Ideal as a snack for adults and children between meals. Aira Mini Mart offers it in the perfect size and flavor for you.")</f>
        <v>Don't be able to resist the taste of Star Fries Malabar Murukku – 125g,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832" s="56" t="str">
        <f>IF('AYIRA MINI MART FINAL MENU - Pr'!K832="", "", 'AYIRA MINI MART FINAL MENU - Pr'!K832)</f>
        <v/>
      </c>
      <c r="F832" s="56"/>
      <c r="G832" s="56"/>
      <c r="H832" s="56"/>
      <c r="I832" s="56"/>
      <c r="J832" s="56"/>
      <c r="L832" s="56" t="str">
        <f>IF('AYIRA MINI MART FINAL MENU - Pr'!L832="", "", 'AYIRA MINI MART FINAL MENU - Pr'!L832)</f>
        <v/>
      </c>
      <c r="M832" s="56" t="str">
        <f>IF('AYIRA MINI MART FINAL MENU - Pr'!M832="", "", 'AYIRA MINI MART FINAL MENU - Pr'!M832)</f>
        <v/>
      </c>
      <c r="N832" s="56" t="str">
        <f>IF('AYIRA MINI MART FINAL MENU - Pr'!N832="", "", 'AYIRA MINI MART FINAL MENU - Pr'!N832)</f>
        <v/>
      </c>
      <c r="O832" s="57"/>
      <c r="P832" s="57"/>
      <c r="Q832" s="57"/>
      <c r="R832" s="57"/>
      <c r="S832" s="57"/>
      <c r="T832" s="57"/>
      <c r="U832" s="57"/>
      <c r="V832" s="57"/>
      <c r="W832" s="57"/>
      <c r="X832" s="57"/>
      <c r="Y832" s="57"/>
      <c r="Z832" s="57"/>
    </row>
    <row r="833">
      <c r="A833" s="56" t="str">
        <f>IFERROR(__xludf.DUMMYFUNCTION("IF('AYIRA MINI MART FINAL MENU - Pr'!A833="""", """", IF(LEN(IFERROR(TRIM(REGEXREPLACE(TRIM(REGEXEXTRACT('AYIRA MINI MART FINAL MENU - Pr'!A833, ""^[^\x{0600}-\x{06FF}]+"")), ""[-–]+$"", """")), """"))&gt;0, IFERROR(TRIM(REGEXREPLACE(TRIM(REGEXEXTRACT('AYIRA"&amp;" MINI MART FINAL MENU - Pr'!A833, ""^[^\x{0600}-\x{06FF}]+"")), ""[-–]+$"", """")), """"), GOOGLETRANSLATE('AYIRA MINI MART FINAL MENU - Pr'!A833, ""ar"", ""en"")))"),"Topsy Mixed Nuts 100 g – Topsy")</f>
        <v>Topsy Mixed Nuts 100 g – Topsy</v>
      </c>
      <c r="B833" s="56" t="str">
        <f>IFERROR(__xludf.DUMMYFUNCTION("IF('AYIRA MINI MART FINAL MENU - Pr'!B833="""", """", IF(LEN(IFERROR(TRIM(REGEXREPLACE(TRIM(REGEXEXTRACT('AYIRA MINI MART FINAL MENU - Pr'!B833, ""^[^\x{0600}-\x{06FF}]+"")), ""[-–]+$"", """")), """"))&gt;0, IFERROR(TRIM(REGEXREPLACE(TRIM(REGEXEXTRACT('AYIRA"&amp;" MINI MART FINAL MENU - Pr'!B833, ""^[^\x{0600}-\x{06FF}]+"")), ""[-–]+$"", """")), """"), GOOGLETRANSLATE('AYIRA MINI MART FINAL MENU - Pr'!B833, ""ar"", ""en"")))"),"Snacks |")</f>
        <v>Snacks |</v>
      </c>
      <c r="C833" s="58">
        <f>IF('AYIRA MINI MART FINAL MENU - Pr'!C833="", "", 'AYIRA MINI MART FINAL MENU - Pr'!C833)</f>
        <v>2</v>
      </c>
      <c r="D833" s="56" t="str">
        <f>IFERROR(__xludf.DUMMYFUNCTION("IF('AYIRA MINI MART FINAL MENU - Pr'!D833="""", """", GOOGLETRANSLATE('AYIRA MINI MART FINAL MENU - Pr'!D833, ""ar"", ""en""))"),"Choose Topsy Mixed Nuts 100g, natural nuts rich in protein and healthy fats essential for your body. Made from the finest nuts, carefully selected to ensure the highest levels of purity and taste. A perfect healthy and nutritious snack between meals. Supp"&amp;"orts heart health and provides the energy you need. Available at Aira Mini Mart with the highest quality and best prices.")</f>
        <v>Choose Topsy Mixed Nuts 100g, natural nuts rich in protein and healthy fats essential for your body. Made from the finest nuts, carefully selected to ensure the highest levels of purity and taste. A perfect healthy and nutritious snack between meals. Supports heart health and provides the energy you need. Available at Aira Mini Mart with the highest quality and best prices.</v>
      </c>
      <c r="E833" s="56" t="str">
        <f>IF('AYIRA MINI MART FINAL MENU - Pr'!K833="", "", 'AYIRA MINI MART FINAL MENU - Pr'!K833)</f>
        <v/>
      </c>
      <c r="F833" s="56"/>
      <c r="G833" s="56"/>
      <c r="H833" s="56"/>
      <c r="I833" s="56"/>
      <c r="J833" s="56"/>
      <c r="L833" s="56" t="str">
        <f>IF('AYIRA MINI MART FINAL MENU - Pr'!L833="", "", 'AYIRA MINI MART FINAL MENU - Pr'!L833)</f>
        <v/>
      </c>
      <c r="M833" s="56" t="str">
        <f>IF('AYIRA MINI MART FINAL MENU - Pr'!M833="", "", 'AYIRA MINI MART FINAL MENU - Pr'!M833)</f>
        <v/>
      </c>
      <c r="N833" s="56" t="str">
        <f>IF('AYIRA MINI MART FINAL MENU - Pr'!N833="", "", 'AYIRA MINI MART FINAL MENU - Pr'!N833)</f>
        <v/>
      </c>
      <c r="O833" s="57"/>
      <c r="P833" s="57"/>
      <c r="Q833" s="57"/>
      <c r="R833" s="57"/>
      <c r="S833" s="57"/>
      <c r="T833" s="57"/>
      <c r="U833" s="57"/>
      <c r="V833" s="57"/>
      <c r="W833" s="57"/>
      <c r="X833" s="57"/>
      <c r="Y833" s="57"/>
      <c r="Z833" s="57"/>
    </row>
    <row r="834">
      <c r="A834" s="56" t="str">
        <f>IFERROR(__xludf.DUMMYFUNCTION("IF('AYIRA MINI MART FINAL MENU - Pr'!A834="""", """", IF(LEN(IFERROR(TRIM(REGEXREPLACE(TRIM(REGEXEXTRACT('AYIRA MINI MART FINAL MENU - Pr'!A834, ""^[^\x{0600}-\x{06FF}]+"")), ""[-–]+$"", """")), """"))&gt;0, IFERROR(TRIM(REGEXREPLACE(TRIM(REGEXEXTRACT('AYIRA"&amp;" MINI MART FINAL MENU - Pr'!A834, ""^[^\x{0600}-\x{06FF}]+"")), ""[-–]+$"", """")), """"), GOOGLETRANSLATE('AYIRA MINI MART FINAL MENU - Pr'!A834, ""ar"", ""en"")))"),"Topsy Makai Mixture 70 g – Topsy Makai Mixture 70")</f>
        <v>Topsy Makai Mixture 70 g – Topsy Makai Mixture 70</v>
      </c>
      <c r="B834" s="56" t="str">
        <f>IFERROR(__xludf.DUMMYFUNCTION("IF('AYIRA MINI MART FINAL MENU - Pr'!B834="""", """", IF(LEN(IFERROR(TRIM(REGEXREPLACE(TRIM(REGEXEXTRACT('AYIRA MINI MART FINAL MENU - Pr'!B834, ""^[^\x{0600}-\x{06FF}]+"")), ""[-–]+$"", """")), """"))&gt;0, IFERROR(TRIM(REGEXREPLACE(TRIM(REGEXEXTRACT('AYIRA"&amp;" MINI MART FINAL MENU - Pr'!B834, ""^[^\x{0600}-\x{06FF}]+"")), ""[-–]+$"", """")), """"), GOOGLETRANSLATE('AYIRA MINI MART FINAL MENU - Pr'!B834, ""ar"", ""en"")))"),"Snacks |")</f>
        <v>Snacks |</v>
      </c>
      <c r="C834" s="58">
        <f>IF('AYIRA MINI MART FINAL MENU - Pr'!C834="", "", 'AYIRA MINI MART FINAL MENU - Pr'!C834)</f>
        <v>2</v>
      </c>
      <c r="D834" s="56" t="str">
        <f>IFERROR(__xludf.DUMMYFUNCTION("IF('AYIRA MINI MART FINAL MENU - Pr'!D834="""", """", GOOGLETRANSLATE('AYIRA MINI MART FINAL MENU - Pr'!D834, ""ar"", ""en""))"),"Don't be able to resist the taste of Topsy Makai Mixture 70g, your perfect companion for relaxing and watching the game. Its unique crunch and diverse flavors make every handful a delightful experience. Prepared with the finest ingredients using the lates"&amp;"t manufacturing techniques to guarantee an unparalleled taste. Ideal as a snack for adults and children alike between meals. Aira Mini Mart offers it in the perfect size and flavor for you.")</f>
        <v>Don't be able to resist the taste of Topsy Makai Mixture 70g,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834" s="56" t="str">
        <f>IF('AYIRA MINI MART FINAL MENU - Pr'!K834="", "", 'AYIRA MINI MART FINAL MENU - Pr'!K834)</f>
        <v/>
      </c>
      <c r="F834" s="56"/>
      <c r="G834" s="56"/>
      <c r="H834" s="56"/>
      <c r="I834" s="56"/>
      <c r="J834" s="56"/>
      <c r="L834" s="56" t="str">
        <f>IF('AYIRA MINI MART FINAL MENU - Pr'!L834="", "", 'AYIRA MINI MART FINAL MENU - Pr'!L834)</f>
        <v/>
      </c>
      <c r="M834" s="56" t="str">
        <f>IF('AYIRA MINI MART FINAL MENU - Pr'!M834="", "", 'AYIRA MINI MART FINAL MENU - Pr'!M834)</f>
        <v/>
      </c>
      <c r="N834" s="56" t="str">
        <f>IF('AYIRA MINI MART FINAL MENU - Pr'!N834="", "", 'AYIRA MINI MART FINAL MENU - Pr'!N834)</f>
        <v/>
      </c>
      <c r="O834" s="57"/>
      <c r="P834" s="57"/>
      <c r="Q834" s="57"/>
      <c r="R834" s="57"/>
      <c r="S834" s="57"/>
      <c r="T834" s="57"/>
      <c r="U834" s="57"/>
      <c r="V834" s="57"/>
      <c r="W834" s="57"/>
      <c r="X834" s="57"/>
      <c r="Y834" s="57"/>
      <c r="Z834" s="57"/>
    </row>
    <row r="835">
      <c r="A835" s="56" t="str">
        <f>IFERROR(__xludf.DUMMYFUNCTION("IF('AYIRA MINI MART FINAL MENU - Pr'!A835="""", """", IF(LEN(IFERROR(TRIM(REGEXREPLACE(TRIM(REGEXEXTRACT('AYIRA MINI MART FINAL MENU - Pr'!A835, ""^[^\x{0600}-\x{06FF}]+"")), ""[-–]+$"", """")), """"))&gt;0, IFERROR(TRIM(REGEXREPLACE(TRIM(REGEXEXTRACT('AYIRA"&amp;" MINI MART FINAL MENU - Pr'!A835, ""^[^\x{0600}-\x{06FF}]+"")), ""[-–]+$"", """")), """"), GOOGLETRANSLATE('AYIRA MINI MART FINAL MENU - Pr'!A835, ""ar"", ""en"")))"),"Topsy Payyoli Mixture 100 g – Topsy Payyoli Mixture 100")</f>
        <v>Topsy Payyoli Mixture 100 g – Topsy Payyoli Mixture 100</v>
      </c>
      <c r="B835" s="56" t="str">
        <f>IFERROR(__xludf.DUMMYFUNCTION("IF('AYIRA MINI MART FINAL MENU - Pr'!B835="""", """", IF(LEN(IFERROR(TRIM(REGEXREPLACE(TRIM(REGEXEXTRACT('AYIRA MINI MART FINAL MENU - Pr'!B835, ""^[^\x{0600}-\x{06FF}]+"")), ""[-–]+$"", """")), """"))&gt;0, IFERROR(TRIM(REGEXREPLACE(TRIM(REGEXEXTRACT('AYIRA"&amp;" MINI MART FINAL MENU - Pr'!B835, ""^[^\x{0600}-\x{06FF}]+"")), ""[-–]+$"", """")), """"), GOOGLETRANSLATE('AYIRA MINI MART FINAL MENU - Pr'!B835, ""ar"", ""en"")))"),"Snacks |")</f>
        <v>Snacks |</v>
      </c>
      <c r="C835" s="58">
        <f>IF('AYIRA MINI MART FINAL MENU - Pr'!C835="", "", 'AYIRA MINI MART FINAL MENU - Pr'!C835)</f>
        <v>2</v>
      </c>
      <c r="D835" s="56" t="str">
        <f>IFERROR(__xludf.DUMMYFUNCTION("IF('AYIRA MINI MART FINAL MENU - Pr'!D835="""", """", GOOGLETRANSLATE('AYIRA MINI MART FINAL MENU - Pr'!D835, ""ar"", ""en""))"),"Don't be able to resist the taste of Topsy Payyoli Mixture 100g, your perfect companion for relaxing and watching matches. Its unique crunch and diverse flavors make every handful a delightful experience. Prepared with the finest ingredients using the lat"&amp;"est manufacturing techniques to guarantee an unparalleled taste. Ideal as a snack for adults and children between meals. Aira Mini Mart offers it in the size and flavor that suits you best.")</f>
        <v>Don't be able to resist the taste of Topsy Payyoli Mixture 100g,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835" s="56" t="str">
        <f>IF('AYIRA MINI MART FINAL MENU - Pr'!K835="", "", 'AYIRA MINI MART FINAL MENU - Pr'!K835)</f>
        <v/>
      </c>
      <c r="F835" s="56"/>
      <c r="G835" s="56"/>
      <c r="H835" s="56"/>
      <c r="I835" s="56"/>
      <c r="J835" s="56"/>
      <c r="L835" s="56" t="str">
        <f>IF('AYIRA MINI MART FINAL MENU - Pr'!L835="", "", 'AYIRA MINI MART FINAL MENU - Pr'!L835)</f>
        <v/>
      </c>
      <c r="M835" s="56" t="str">
        <f>IF('AYIRA MINI MART FINAL MENU - Pr'!M835="", "", 'AYIRA MINI MART FINAL MENU - Pr'!M835)</f>
        <v/>
      </c>
      <c r="N835" s="56" t="str">
        <f>IF('AYIRA MINI MART FINAL MENU - Pr'!N835="", "", 'AYIRA MINI MART FINAL MENU - Pr'!N835)</f>
        <v/>
      </c>
      <c r="O835" s="57"/>
      <c r="P835" s="57"/>
      <c r="Q835" s="57"/>
      <c r="R835" s="57"/>
      <c r="S835" s="57"/>
      <c r="T835" s="57"/>
      <c r="U835" s="57"/>
      <c r="V835" s="57"/>
      <c r="W835" s="57"/>
      <c r="X835" s="57"/>
      <c r="Y835" s="57"/>
      <c r="Z835" s="57"/>
    </row>
    <row r="836">
      <c r="A836" s="56" t="str">
        <f>IFERROR(__xludf.DUMMYFUNCTION("IF('AYIRA MINI MART FINAL MENU - Pr'!A836="""", """", IF(LEN(IFERROR(TRIM(REGEXREPLACE(TRIM(REGEXEXTRACT('AYIRA MINI MART FINAL MENU - Pr'!A836, ""^[^\x{0600}-\x{06FF}]+"")), ""[-–]+$"", """")), """"))&gt;0, IFERROR(TRIM(REGEXREPLACE(TRIM(REGEXEXTRACT('AYIRA"&amp;" MINI MART FINAL MENU - Pr'!A836, ""^[^\x{0600}-\x{06FF}]+"")), ""[-–]+$"", """")), """"), GOOGLETRANSLATE('AYIRA MINI MART FINAL MENU - Pr'!A836, ""ar"", ""en"")))"),"Topsy Chilly Murukku 100 g – Topsy Chilly Murukku 100")</f>
        <v>Topsy Chilly Murukku 100 g – Topsy Chilly Murukku 100</v>
      </c>
      <c r="B836" s="56" t="str">
        <f>IFERROR(__xludf.DUMMYFUNCTION("IF('AYIRA MINI MART FINAL MENU - Pr'!B836="""", """", IF(LEN(IFERROR(TRIM(REGEXREPLACE(TRIM(REGEXEXTRACT('AYIRA MINI MART FINAL MENU - Pr'!B836, ""^[^\x{0600}-\x{06FF}]+"")), ""[-–]+$"", """")), """"))&gt;0, IFERROR(TRIM(REGEXREPLACE(TRIM(REGEXEXTRACT('AYIRA"&amp;" MINI MART FINAL MENU - Pr'!B836, ""^[^\x{0600}-\x{06FF}]+"")), ""[-–]+$"", """")), """"), GOOGLETRANSLATE('AYIRA MINI MART FINAL MENU - Pr'!B836, ""ar"", ""en"")))"),"Snacks |")</f>
        <v>Snacks |</v>
      </c>
      <c r="C836" s="58">
        <f>IF('AYIRA MINI MART FINAL MENU - Pr'!C836="", "", 'AYIRA MINI MART FINAL MENU - Pr'!C836)</f>
        <v>2</v>
      </c>
      <c r="D836" s="56" t="str">
        <f>IFERROR(__xludf.DUMMYFUNCTION("IF('AYIRA MINI MART FINAL MENU - Pr'!D836="""", """", GOOGLETRANSLATE('AYIRA MINI MART FINAL MENU - Pr'!D836, ""ar"", ""en""))"),"Don't be able to resist the taste of Topsy Chilly Murukku 100g, your perfect companion for relaxing and watching matches. Its unique crunch and varied flavors make every handful a delightful experience. Prepared with the finest ingredients using the lates"&amp;"t manufacturing techniques to guarantee an unparalleled taste. Ideal as a snack for adults and children between meals. Aira Mini Mart offers it in the perfect size and flavor for you.")</f>
        <v>Don't be able to resist the taste of Topsy Chilly Murukku 100g, your perfect companion for relaxing and watching matches. Its unique crunch and varied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36" s="56" t="str">
        <f>IF('AYIRA MINI MART FINAL MENU - Pr'!K836="", "", 'AYIRA MINI MART FINAL MENU - Pr'!K836)</f>
        <v/>
      </c>
      <c r="F836" s="56"/>
      <c r="G836" s="56"/>
      <c r="H836" s="56"/>
      <c r="I836" s="56"/>
      <c r="J836" s="56"/>
      <c r="L836" s="56" t="str">
        <f>IF('AYIRA MINI MART FINAL MENU - Pr'!L836="", "", 'AYIRA MINI MART FINAL MENU - Pr'!L836)</f>
        <v/>
      </c>
      <c r="M836" s="56" t="str">
        <f>IF('AYIRA MINI MART FINAL MENU - Pr'!M836="", "", 'AYIRA MINI MART FINAL MENU - Pr'!M836)</f>
        <v/>
      </c>
      <c r="N836" s="56" t="str">
        <f>IF('AYIRA MINI MART FINAL MENU - Pr'!N836="", "", 'AYIRA MINI MART FINAL MENU - Pr'!N836)</f>
        <v/>
      </c>
      <c r="O836" s="57"/>
      <c r="P836" s="57"/>
      <c r="Q836" s="57"/>
      <c r="R836" s="57"/>
      <c r="S836" s="57"/>
      <c r="T836" s="57"/>
      <c r="U836" s="57"/>
      <c r="V836" s="57"/>
      <c r="W836" s="57"/>
      <c r="X836" s="57"/>
      <c r="Y836" s="57"/>
      <c r="Z836" s="57"/>
    </row>
    <row r="837">
      <c r="A837" s="56" t="str">
        <f>IFERROR(__xludf.DUMMYFUNCTION("IF('AYIRA MINI MART FINAL MENU - Pr'!A837="""", """", IF(LEN(IFERROR(TRIM(REGEXREPLACE(TRIM(REGEXEXTRACT('AYIRA MINI MART FINAL MENU - Pr'!A837, ""^[^\x{0600}-\x{06FF}]+"")), ""[-–]+$"", """")), """"))&gt;0, IFERROR(TRIM(REGEXREPLACE(TRIM(REGEXEXTRACT('AYIRA"&amp;" MINI MART FINAL MENU - Pr'!A837, ""^[^\x{0600}-\x{06FF}]+"")), ""[-–]+$"", """")), """"), GOOGLETRANSLATE('AYIRA MINI MART FINAL MENU - Pr'!A837, ""ar"", ""en"")))"),"Topsy Butter Murukku 80 g – Topsy")</f>
        <v>Topsy Butter Murukku 80 g – Topsy</v>
      </c>
      <c r="B837" s="56" t="str">
        <f>IFERROR(__xludf.DUMMYFUNCTION("IF('AYIRA MINI MART FINAL MENU - Pr'!B837="""", """", IF(LEN(IFERROR(TRIM(REGEXREPLACE(TRIM(REGEXEXTRACT('AYIRA MINI MART FINAL MENU - Pr'!B837, ""^[^\x{0600}-\x{06FF}]+"")), ""[-–]+$"", """")), """"))&gt;0, IFERROR(TRIM(REGEXREPLACE(TRIM(REGEXEXTRACT('AYIRA"&amp;" MINI MART FINAL MENU - Pr'!B837, ""^[^\x{0600}-\x{06FF}]+"")), ""[-–]+$"", """")), """"), GOOGLETRANSLATE('AYIRA MINI MART FINAL MENU - Pr'!B837, ""ar"", ""en"")))"),"Snacks |")</f>
        <v>Snacks |</v>
      </c>
      <c r="C837" s="58">
        <f>IF('AYIRA MINI MART FINAL MENU - Pr'!C837="", "", 'AYIRA MINI MART FINAL MENU - Pr'!C837)</f>
        <v>2</v>
      </c>
      <c r="D837" s="56" t="str">
        <f>IFERROR(__xludf.DUMMYFUNCTION("IF('AYIRA MINI MART FINAL MENU - Pr'!D837="""", """", GOOGLETRANSLATE('AYIRA MINI MART FINAL MENU - Pr'!D837, ""ar"", ""en""))"),"Don't be able to resist the taste of Topsy Butter Murukku 80g, your perfect companion for relaxing and watching matches. Its unique crunch and diverse flavors make every handful a delightful experience. Prepared with the finest ingredients using the lates"&amp;"t manufacturing techniques to guarantee an unparalleled taste. Ideal as a snack for adults and children between meals. Aira Mini Mart offers it in the perfect size and flavor for you.")</f>
        <v>Don't be able to resist the taste of Topsy Butter Murukku 80g,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37" s="56" t="str">
        <f>IF('AYIRA MINI MART FINAL MENU - Pr'!K837="", "", 'AYIRA MINI MART FINAL MENU - Pr'!K837)</f>
        <v/>
      </c>
      <c r="F837" s="56"/>
      <c r="G837" s="56"/>
      <c r="H837" s="56"/>
      <c r="I837" s="56"/>
      <c r="J837" s="56"/>
      <c r="L837" s="56" t="str">
        <f>IF('AYIRA MINI MART FINAL MENU - Pr'!L837="", "", 'AYIRA MINI MART FINAL MENU - Pr'!L837)</f>
        <v/>
      </c>
      <c r="M837" s="56" t="str">
        <f>IF('AYIRA MINI MART FINAL MENU - Pr'!M837="", "", 'AYIRA MINI MART FINAL MENU - Pr'!M837)</f>
        <v/>
      </c>
      <c r="N837" s="56" t="str">
        <f>IF('AYIRA MINI MART FINAL MENU - Pr'!N837="", "", 'AYIRA MINI MART FINAL MENU - Pr'!N837)</f>
        <v/>
      </c>
      <c r="O837" s="57"/>
      <c r="P837" s="57"/>
      <c r="Q837" s="57"/>
      <c r="R837" s="57"/>
      <c r="S837" s="57"/>
      <c r="T837" s="57"/>
      <c r="U837" s="57"/>
      <c r="V837" s="57"/>
      <c r="W837" s="57"/>
      <c r="X837" s="57"/>
      <c r="Y837" s="57"/>
      <c r="Z837" s="57"/>
    </row>
    <row r="838">
      <c r="A838" s="56" t="str">
        <f>IFERROR(__xludf.DUMMYFUNCTION("IF('AYIRA MINI MART FINAL MENU - Pr'!A838="""", """", IF(LEN(IFERROR(TRIM(REGEXREPLACE(TRIM(REGEXEXTRACT('AYIRA MINI MART FINAL MENU - Pr'!A838, ""^[^\x{0600}-\x{06FF}]+"")), ""[-–]+$"", """")), """"))&gt;0, IFERROR(TRIM(REGEXREPLACE(TRIM(REGEXEXTRACT('AYIRA"&amp;" MINI MART FINAL MENU - Pr'!A838, ""^[^\x{0600}-\x{06FF}]+"")), ""[-–]+$"", """")), """"), GOOGLETRANSLATE('AYIRA MINI MART FINAL MENU - Pr'!A838, ""ar"", ""en"")))"),"Topsy Chilly Sev 90 g – Topsy Chilly Sev 90")</f>
        <v>Topsy Chilly Sev 90 g – Topsy Chilly Sev 90</v>
      </c>
      <c r="B838" s="56" t="str">
        <f>IFERROR(__xludf.DUMMYFUNCTION("IF('AYIRA MINI MART FINAL MENU - Pr'!B838="""", """", IF(LEN(IFERROR(TRIM(REGEXREPLACE(TRIM(REGEXEXTRACT('AYIRA MINI MART FINAL MENU - Pr'!B838, ""^[^\x{0600}-\x{06FF}]+"")), ""[-–]+$"", """")), """"))&gt;0, IFERROR(TRIM(REGEXREPLACE(TRIM(REGEXEXTRACT('AYIRA"&amp;" MINI MART FINAL MENU - Pr'!B838, ""^[^\x{0600}-\x{06FF}]+"")), ""[-–]+$"", """")), """"), GOOGLETRANSLATE('AYIRA MINI MART FINAL MENU - Pr'!B838, ""ar"", ""en"")))"),"Snacks |")</f>
        <v>Snacks |</v>
      </c>
      <c r="C838" s="58">
        <f>IF('AYIRA MINI MART FINAL MENU - Pr'!C838="", "", 'AYIRA MINI MART FINAL MENU - Pr'!C838)</f>
        <v>2</v>
      </c>
      <c r="D838" s="56" t="str">
        <f>IFERROR(__xludf.DUMMYFUNCTION("IF('AYIRA MINI MART FINAL MENU - Pr'!D838="""", """", GOOGLETRANSLATE('AYIRA MINI MART FINAL MENU - Pr'!D838, ""ar"", ""en""))"),"Don't be able to resist the taste of Topsy Chilly Sev 90g, your perfect companion for relaxing and watching the game. Its unique crunch and varied flavors make every handful a delightful experience. Prepared with the finest ingredients using the latest ma"&amp;"nufacturing techniques to guarantee an unparalleled taste. Ideal as a snack for adults and children between meals. Aira Mini Mart offers it in the perfect size and flavor for you.")</f>
        <v>Don't be able to resist the taste of Topsy Chilly Sev 90g, your perfect companion for relaxing and watching the game. Its unique crunch and varied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38" s="56" t="str">
        <f>IF('AYIRA MINI MART FINAL MENU - Pr'!K838="", "", 'AYIRA MINI MART FINAL MENU - Pr'!K838)</f>
        <v/>
      </c>
      <c r="F838" s="56"/>
      <c r="G838" s="56"/>
      <c r="H838" s="56"/>
      <c r="I838" s="56"/>
      <c r="J838" s="56"/>
      <c r="L838" s="56" t="str">
        <f>IF('AYIRA MINI MART FINAL MENU - Pr'!L838="", "", 'AYIRA MINI MART FINAL MENU - Pr'!L838)</f>
        <v/>
      </c>
      <c r="M838" s="56" t="str">
        <f>IF('AYIRA MINI MART FINAL MENU - Pr'!M838="", "", 'AYIRA MINI MART FINAL MENU - Pr'!M838)</f>
        <v/>
      </c>
      <c r="N838" s="56" t="str">
        <f>IF('AYIRA MINI MART FINAL MENU - Pr'!N838="", "", 'AYIRA MINI MART FINAL MENU - Pr'!N838)</f>
        <v/>
      </c>
      <c r="O838" s="57"/>
      <c r="P838" s="57"/>
      <c r="Q838" s="57"/>
      <c r="R838" s="57"/>
      <c r="S838" s="57"/>
      <c r="T838" s="57"/>
      <c r="U838" s="57"/>
      <c r="V838" s="57"/>
      <c r="W838" s="57"/>
      <c r="X838" s="57"/>
      <c r="Y838" s="57"/>
      <c r="Z838" s="57"/>
    </row>
    <row r="839">
      <c r="A839" s="56" t="str">
        <f>IFERROR(__xludf.DUMMYFUNCTION("IF('AYIRA MINI MART FINAL MENU - Pr'!A839="""", """", IF(LEN(IFERROR(TRIM(REGEXREPLACE(TRIM(REGEXEXTRACT('AYIRA MINI MART FINAL MENU - Pr'!A839, ""^[^\x{0600}-\x{06FF}]+"")), ""[-–]+$"", """")), """"))&gt;0, IFERROR(TRIM(REGEXREPLACE(TRIM(REGEXEXTRACT('AYIRA"&amp;" MINI MART FINAL MENU - Pr'!A839, ""^[^\x{0600}-\x{06FF}]+"")), ""[-–]+$"", """")), """"), GOOGLETRANSLATE('AYIRA MINI MART FINAL MENU - Pr'!A839, ""ar"", ""en"")))"),"PRAN Chanachur Bombay Mix 50 g – PRAN Chanachur Bombay Mix 50")</f>
        <v>PRAN Chanachur Bombay Mix 50 g – PRAN Chanachur Bombay Mix 50</v>
      </c>
      <c r="B839" s="56" t="str">
        <f>IFERROR(__xludf.DUMMYFUNCTION("IF('AYIRA MINI MART FINAL MENU - Pr'!B839="""", """", IF(LEN(IFERROR(TRIM(REGEXREPLACE(TRIM(REGEXEXTRACT('AYIRA MINI MART FINAL MENU - Pr'!B839, ""^[^\x{0600}-\x{06FF}]+"")), ""[-–]+$"", """")), """"))&gt;0, IFERROR(TRIM(REGEXREPLACE(TRIM(REGEXEXTRACT('AYIRA"&amp;" MINI MART FINAL MENU - Pr'!B839, ""^[^\x{0600}-\x{06FF}]+"")), ""[-–]+$"", """")), """"), GOOGLETRANSLATE('AYIRA MINI MART FINAL MENU - Pr'!B839, ""ar"", ""en"")))"),"Snacks |")</f>
        <v>Snacks |</v>
      </c>
      <c r="C839" s="58">
        <f>IF('AYIRA MINI MART FINAL MENU - Pr'!C839="", "", 'AYIRA MINI MART FINAL MENU - Pr'!C839)</f>
        <v>1</v>
      </c>
      <c r="D839" s="56" t="str">
        <f>IFERROR(__xludf.DUMMYFUNCTION("IF('AYIRA MINI MART FINAL MENU - Pr'!D839="""", """", GOOGLETRANSLATE('AYIRA MINI MART FINAL MENU - Pr'!D839, ""ar"", ""en""))"),"Don't be able to resist the taste of PRAN Chanachur Bombay Mix 50g, your perfect companion for relaxing and watching matches. Its unique crunch and diverse flavors make every handful a delightful experience. Prepared with the finest ingredients using the "&amp;"latest manufacturing techniques to guarantee an unparalleled taste. Ideal as a snack for adults and children between meals. Aira Mini Mart offers it in the perfect size and flavor for you.")</f>
        <v>Don't be able to resist the taste of PRAN Chanachur Bombay Mix 50g,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39" s="56" t="str">
        <f>IF('AYIRA MINI MART FINAL MENU - Pr'!K839="", "", 'AYIRA MINI MART FINAL MENU - Pr'!K839)</f>
        <v/>
      </c>
      <c r="F839" s="56"/>
      <c r="G839" s="56"/>
      <c r="H839" s="56"/>
      <c r="I839" s="56"/>
      <c r="J839" s="56"/>
      <c r="L839" s="56" t="str">
        <f>IF('AYIRA MINI MART FINAL MENU - Pr'!L839="", "", 'AYIRA MINI MART FINAL MENU - Pr'!L839)</f>
        <v/>
      </c>
      <c r="M839" s="56" t="str">
        <f>IF('AYIRA MINI MART FINAL MENU - Pr'!M839="", "", 'AYIRA MINI MART FINAL MENU - Pr'!M839)</f>
        <v/>
      </c>
      <c r="N839" s="56" t="str">
        <f>IF('AYIRA MINI MART FINAL MENU - Pr'!N839="", "", 'AYIRA MINI MART FINAL MENU - Pr'!N839)</f>
        <v/>
      </c>
      <c r="O839" s="57"/>
      <c r="P839" s="57"/>
      <c r="Q839" s="57"/>
      <c r="R839" s="57"/>
      <c r="S839" s="57"/>
      <c r="T839" s="57"/>
      <c r="U839" s="57"/>
      <c r="V839" s="57"/>
      <c r="W839" s="57"/>
      <c r="X839" s="57"/>
      <c r="Y839" s="57"/>
      <c r="Z839" s="57"/>
    </row>
    <row r="840">
      <c r="A840" s="56" t="str">
        <f>IFERROR(__xludf.DUMMYFUNCTION("IF('AYIRA MINI MART FINAL MENU - Pr'!A840="""", """", IF(LEN(IFERROR(TRIM(REGEXREPLACE(TRIM(REGEXEXTRACT('AYIRA MINI MART FINAL MENU - Pr'!A840, ""^[^\x{0600}-\x{06FF}]+"")), ""[-–]+$"", """")), """"))&gt;0, IFERROR(TRIM(REGEXREPLACE(TRIM(REGEXEXTRACT('AYIRA"&amp;" MINI MART FINAL MENU - Pr'!A840, ""^[^\x{0600}-\x{06FF}]+"")), ""[-–]+$"", """")), """"), GOOGLETRANSLATE('AYIRA MINI MART FINAL MENU - Pr'!A840, ""ar"", ""en"")))"),"Topsy Garlic Mixture – 100g – Topsy Garlic Mixture – 100")</f>
        <v>Topsy Garlic Mixture – 100g – Topsy Garlic Mixture – 100</v>
      </c>
      <c r="B840" s="56" t="str">
        <f>IFERROR(__xludf.DUMMYFUNCTION("IF('AYIRA MINI MART FINAL MENU - Pr'!B840="""", """", IF(LEN(IFERROR(TRIM(REGEXREPLACE(TRIM(REGEXEXTRACT('AYIRA MINI MART FINAL MENU - Pr'!B840, ""^[^\x{0600}-\x{06FF}]+"")), ""[-–]+$"", """")), """"))&gt;0, IFERROR(TRIM(REGEXREPLACE(TRIM(REGEXEXTRACT('AYIRA"&amp;" MINI MART FINAL MENU - Pr'!B840, ""^[^\x{0600}-\x{06FF}]+"")), ""[-–]+$"", """")), """"), GOOGLETRANSLATE('AYIRA MINI MART FINAL MENU - Pr'!B840, ""ar"", ""en"")))"),"Snacks |")</f>
        <v>Snacks |</v>
      </c>
      <c r="C840" s="58">
        <f>IF('AYIRA MINI MART FINAL MENU - Pr'!C840="", "", 'AYIRA MINI MART FINAL MENU - Pr'!C840)</f>
        <v>2</v>
      </c>
      <c r="D840" s="56" t="str">
        <f>IFERROR(__xludf.DUMMYFUNCTION("IF('AYIRA MINI MART FINAL MENU - Pr'!D840="""", """", GOOGLETRANSLATE('AYIRA MINI MART FINAL MENU - Pr'!D840, ""ar"", ""en""))"),"Don't be able to resist the taste of Topsy Garlic Mixture – 100g, your perfect companion for relaxing and watching matches. Its unique crunch and diverse flavors make every handful a delightful experience. Prepared with the finest ingredients using the la"&amp;"test manufacturing techniques to guarantee an unparalleled taste. Ideal as a snack for adults and children between meals. Aira Mini Mart offers it in the perfect size and flavor for you.")</f>
        <v>Don't be able to resist the taste of Topsy Garlic Mixture – 100g,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40" s="56" t="str">
        <f>IF('AYIRA MINI MART FINAL MENU - Pr'!K840="", "", 'AYIRA MINI MART FINAL MENU - Pr'!K840)</f>
        <v/>
      </c>
      <c r="F840" s="56"/>
      <c r="G840" s="56"/>
      <c r="H840" s="56"/>
      <c r="I840" s="56"/>
      <c r="J840" s="56"/>
      <c r="L840" s="56" t="str">
        <f>IF('AYIRA MINI MART FINAL MENU - Pr'!L840="", "", 'AYIRA MINI MART FINAL MENU - Pr'!L840)</f>
        <v/>
      </c>
      <c r="M840" s="56" t="str">
        <f>IF('AYIRA MINI MART FINAL MENU - Pr'!M840="", "", 'AYIRA MINI MART FINAL MENU - Pr'!M840)</f>
        <v/>
      </c>
      <c r="N840" s="56" t="str">
        <f>IF('AYIRA MINI MART FINAL MENU - Pr'!N840="", "", 'AYIRA MINI MART FINAL MENU - Pr'!N840)</f>
        <v/>
      </c>
      <c r="O840" s="57"/>
      <c r="P840" s="57"/>
      <c r="Q840" s="57"/>
      <c r="R840" s="57"/>
      <c r="S840" s="57"/>
      <c r="T840" s="57"/>
      <c r="U840" s="57"/>
      <c r="V840" s="57"/>
      <c r="W840" s="57"/>
      <c r="X840" s="57"/>
      <c r="Y840" s="57"/>
      <c r="Z840" s="57"/>
    </row>
    <row r="841">
      <c r="A841" s="56" t="str">
        <f>IFERROR(__xludf.DUMMYFUNCTION("IF('AYIRA MINI MART FINAL MENU - Pr'!A841="""", """", IF(LEN(IFERROR(TRIM(REGEXREPLACE(TRIM(REGEXEXTRACT('AYIRA MINI MART FINAL MENU - Pr'!A841, ""^[^\x{0600}-\x{06FF}]+"")), ""[-–]+$"", """")), """"))&gt;0, IFERROR(TRIM(REGEXREPLACE(TRIM(REGEXEXTRACT('AYIRA"&amp;" MINI MART FINAL MENU - Pr'!A841, ""^[^\x{0600}-\x{06FF}]+"")), ""[-–]+$"", """")), """"), GOOGLETRANSLATE('AYIRA MINI MART FINAL MENU - Pr'!A841, ""ar"", ""en"")))"),"Topsy Payyoli Mixture – 300g – Topsy Payyoli Mixture – 300")</f>
        <v>Topsy Payyoli Mixture – 300g – Topsy Payyoli Mixture – 300</v>
      </c>
      <c r="B841" s="56" t="str">
        <f>IFERROR(__xludf.DUMMYFUNCTION("IF('AYIRA MINI MART FINAL MENU - Pr'!B841="""", """", IF(LEN(IFERROR(TRIM(REGEXREPLACE(TRIM(REGEXEXTRACT('AYIRA MINI MART FINAL MENU - Pr'!B841, ""^[^\x{0600}-\x{06FF}]+"")), ""[-–]+$"", """")), """"))&gt;0, IFERROR(TRIM(REGEXREPLACE(TRIM(REGEXEXTRACT('AYIRA"&amp;" MINI MART FINAL MENU - Pr'!B841, ""^[^\x{0600}-\x{06FF}]+"")), ""[-–]+$"", """")), """"), GOOGLETRANSLATE('AYIRA MINI MART FINAL MENU - Pr'!B841, ""ar"", ""en"")))"),"Snacks |")</f>
        <v>Snacks |</v>
      </c>
      <c r="C841" s="58">
        <f>IF('AYIRA MINI MART FINAL MENU - Pr'!C841="", "", 'AYIRA MINI MART FINAL MENU - Pr'!C841)</f>
        <v>2</v>
      </c>
      <c r="D841" s="56" t="str">
        <f>IFERROR(__xludf.DUMMYFUNCTION("IF('AYIRA MINI MART FINAL MENU - Pr'!D841="""", """", GOOGLETRANSLATE('AYIRA MINI MART FINAL MENU - Pr'!D841, ""ar"", ""en""))"),"Don't be able to resist the taste of Topsy Payyoli Mixture – 300g, your perfect companion for relaxing and watching matches. Its unique crunch and diverse flavors make every handful a delightful experience. Prepared with the finest ingredients using the l"&amp;"atest manufacturing techniques to guarantee an unparalleled taste. Ideal as a snack for adults and children between meals. Aira Mini Mart offers it in the perfect size and flavor for you.")</f>
        <v>Don't be able to resist the taste of Topsy Payyoli Mixture – 300g,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41" s="56" t="str">
        <f>IF('AYIRA MINI MART FINAL MENU - Pr'!K841="", "", 'AYIRA MINI MART FINAL MENU - Pr'!K841)</f>
        <v/>
      </c>
      <c r="F841" s="56"/>
      <c r="G841" s="56"/>
      <c r="H841" s="56"/>
      <c r="I841" s="56"/>
      <c r="J841" s="56"/>
      <c r="L841" s="56" t="str">
        <f>IF('AYIRA MINI MART FINAL MENU - Pr'!L841="", "", 'AYIRA MINI MART FINAL MENU - Pr'!L841)</f>
        <v/>
      </c>
      <c r="M841" s="56" t="str">
        <f>IF('AYIRA MINI MART FINAL MENU - Pr'!M841="", "", 'AYIRA MINI MART FINAL MENU - Pr'!M841)</f>
        <v/>
      </c>
      <c r="N841" s="56" t="str">
        <f>IF('AYIRA MINI MART FINAL MENU - Pr'!N841="", "", 'AYIRA MINI MART FINAL MENU - Pr'!N841)</f>
        <v/>
      </c>
      <c r="O841" s="57"/>
      <c r="P841" s="57"/>
      <c r="Q841" s="57"/>
      <c r="R841" s="57"/>
      <c r="S841" s="57"/>
      <c r="T841" s="57"/>
      <c r="U841" s="57"/>
      <c r="V841" s="57"/>
      <c r="W841" s="57"/>
      <c r="X841" s="57"/>
      <c r="Y841" s="57"/>
      <c r="Z841" s="57"/>
    </row>
    <row r="842">
      <c r="A842" s="56" t="str">
        <f>IFERROR(__xludf.DUMMYFUNCTION("IF('AYIRA MINI MART FINAL MENU - Pr'!A842="""", """", IF(LEN(IFERROR(TRIM(REGEXREPLACE(TRIM(REGEXEXTRACT('AYIRA MINI MART FINAL MENU - Pr'!A842, ""^[^\x{0600}-\x{06FF}]+"")), ""[-–]+$"", """")), """"))&gt;0, IFERROR(TRIM(REGEXREPLACE(TRIM(REGEXEXTRACT('AYIRA"&amp;" MINI MART FINAL MENU - Pr'!A842, ""^[^\x{0600}-\x{06FF}]+"")), ""[-–]+$"", """")), """"), GOOGLETRANSLATE('AYIRA MINI MART FINAL MENU - Pr'!A842, ""ar"", ""en"")))"),"Topsy Masala Peanut – 300g – Topsy Masala")</f>
        <v>Topsy Masala Peanut – 300g – Topsy Masala</v>
      </c>
      <c r="B842" s="56" t="str">
        <f>IFERROR(__xludf.DUMMYFUNCTION("IF('AYIRA MINI MART FINAL MENU - Pr'!B842="""", """", IF(LEN(IFERROR(TRIM(REGEXREPLACE(TRIM(REGEXEXTRACT('AYIRA MINI MART FINAL MENU - Pr'!B842, ""^[^\x{0600}-\x{06FF}]+"")), ""[-–]+$"", """")), """"))&gt;0, IFERROR(TRIM(REGEXREPLACE(TRIM(REGEXEXTRACT('AYIRA"&amp;" MINI MART FINAL MENU - Pr'!B842, ""^[^\x{0600}-\x{06FF}]+"")), ""[-–]+$"", """")), """"), GOOGLETRANSLATE('AYIRA MINI MART FINAL MENU - Pr'!B842, ""ar"", ""en"")))"),"Snacks |")</f>
        <v>Snacks |</v>
      </c>
      <c r="C842" s="58">
        <f>IF('AYIRA MINI MART FINAL MENU - Pr'!C842="", "", 'AYIRA MINI MART FINAL MENU - Pr'!C842)</f>
        <v>5</v>
      </c>
      <c r="D842" s="56" t="str">
        <f>IFERROR(__xludf.DUMMYFUNCTION("IF('AYIRA MINI MART FINAL MENU - Pr'!D842="""", """", GOOGLETRANSLATE('AYIRA MINI MART FINAL MENU - Pr'!D842, ""ar"", ""en""))"),"Choose Topsy Masala Peanut – 300g, a natural nut rich in protein and healthy fats essential for your body. Made from the finest, carefully selected nuts to ensure the highest levels of purity and taste. A perfect healthy and nutritious snack between meals"&amp;". Supports heart health and provides the energy you need. Available at Aira Mini Mart with the highest quality and best prices.")</f>
        <v>Choose Topsy Masala Peanut – 300g, a natural nut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842" s="56" t="str">
        <f>IF('AYIRA MINI MART FINAL MENU - Pr'!K842="", "", 'AYIRA MINI MART FINAL MENU - Pr'!K842)</f>
        <v/>
      </c>
      <c r="F842" s="56"/>
      <c r="G842" s="56"/>
      <c r="H842" s="56"/>
      <c r="I842" s="56"/>
      <c r="J842" s="56"/>
      <c r="L842" s="56" t="str">
        <f>IF('AYIRA MINI MART FINAL MENU - Pr'!L842="", "", 'AYIRA MINI MART FINAL MENU - Pr'!L842)</f>
        <v/>
      </c>
      <c r="M842" s="56" t="str">
        <f>IF('AYIRA MINI MART FINAL MENU - Pr'!M842="", "", 'AYIRA MINI MART FINAL MENU - Pr'!M842)</f>
        <v/>
      </c>
      <c r="N842" s="56" t="str">
        <f>IF('AYIRA MINI MART FINAL MENU - Pr'!N842="", "", 'AYIRA MINI MART FINAL MENU - Pr'!N842)</f>
        <v/>
      </c>
      <c r="O842" s="57"/>
      <c r="P842" s="57"/>
      <c r="Q842" s="57"/>
      <c r="R842" s="57"/>
      <c r="S842" s="57"/>
      <c r="T842" s="57"/>
      <c r="U842" s="57"/>
      <c r="V842" s="57"/>
      <c r="W842" s="57"/>
      <c r="X842" s="57"/>
      <c r="Y842" s="57"/>
      <c r="Z842" s="57"/>
    </row>
    <row r="843">
      <c r="A843" s="56" t="str">
        <f>IFERROR(__xludf.DUMMYFUNCTION("IF('AYIRA MINI MART FINAL MENU - Pr'!A843="""", """", IF(LEN(IFERROR(TRIM(REGEXREPLACE(TRIM(REGEXEXTRACT('AYIRA MINI MART FINAL MENU - Pr'!A843, ""^[^\x{0600}-\x{06FF}]+"")), ""[-–]+$"", """")), """"))&gt;0, IFERROR(TRIM(REGEXREPLACE(TRIM(REGEXEXTRACT('AYIRA"&amp;" MINI MART FINAL MENU - Pr'!A843, ""^[^\x{0600}-\x{06FF}]+"")), ""[-–]+$"", """")), """"), GOOGLETRANSLATE('AYIRA MINI MART FINAL MENU - Pr'!A843, ""ar"", ""en"")))"),"Topsy Makai Mixture – 190g – Topsy Makai Mixture – 190")</f>
        <v>Topsy Makai Mixture – 190g – Topsy Makai Mixture – 190</v>
      </c>
      <c r="B843" s="56" t="str">
        <f>IFERROR(__xludf.DUMMYFUNCTION("IF('AYIRA MINI MART FINAL MENU - Pr'!B843="""", """", IF(LEN(IFERROR(TRIM(REGEXREPLACE(TRIM(REGEXEXTRACT('AYIRA MINI MART FINAL MENU - Pr'!B843, ""^[^\x{0600}-\x{06FF}]+"")), ""[-–]+$"", """")), """"))&gt;0, IFERROR(TRIM(REGEXREPLACE(TRIM(REGEXEXTRACT('AYIRA"&amp;" MINI MART FINAL MENU - Pr'!B843, ""^[^\x{0600}-\x{06FF}]+"")), ""[-–]+$"", """")), """"), GOOGLETRANSLATE('AYIRA MINI MART FINAL MENU - Pr'!B843, ""ar"", ""en"")))"),"Snacks |")</f>
        <v>Snacks |</v>
      </c>
      <c r="C843" s="58">
        <f>IF('AYIRA MINI MART FINAL MENU - Pr'!C843="", "", 'AYIRA MINI MART FINAL MENU - Pr'!C843)</f>
        <v>5</v>
      </c>
      <c r="D843" s="56" t="str">
        <f>IFERROR(__xludf.DUMMYFUNCTION("IF('AYIRA MINI MART FINAL MENU - Pr'!D843="""", """", GOOGLETRANSLATE('AYIRA MINI MART FINAL MENU - Pr'!D843, ""ar"", ""en""))"),"Don't be able to resist the taste of Topsy Makai Mixture – 190g, your perfect companion for relaxing and watching matches. Its unique crunch and diverse flavors make every handful a delightful experience. Prepared with the finest ingredients using the lat"&amp;"est manufacturing techniques to guarantee an unparalleled taste. Ideal as a snack for adults and children between meals. Aira Mini Mart offers it in the perfect size and flavor for you.")</f>
        <v>Don't be able to resist the taste of Topsy Makai Mixture – 190g,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43" s="56" t="str">
        <f>IF('AYIRA MINI MART FINAL MENU - Pr'!K843="", "", 'AYIRA MINI MART FINAL MENU - Pr'!K843)</f>
        <v/>
      </c>
      <c r="F843" s="56"/>
      <c r="G843" s="56"/>
      <c r="H843" s="56"/>
      <c r="I843" s="56"/>
      <c r="J843" s="56"/>
      <c r="L843" s="56" t="str">
        <f>IF('AYIRA MINI MART FINAL MENU - Pr'!L843="", "", 'AYIRA MINI MART FINAL MENU - Pr'!L843)</f>
        <v/>
      </c>
      <c r="M843" s="56" t="str">
        <f>IF('AYIRA MINI MART FINAL MENU - Pr'!M843="", "", 'AYIRA MINI MART FINAL MENU - Pr'!M843)</f>
        <v/>
      </c>
      <c r="N843" s="56" t="str">
        <f>IF('AYIRA MINI MART FINAL MENU - Pr'!N843="", "", 'AYIRA MINI MART FINAL MENU - Pr'!N843)</f>
        <v/>
      </c>
      <c r="O843" s="57"/>
      <c r="P843" s="57"/>
      <c r="Q843" s="57"/>
      <c r="R843" s="57"/>
      <c r="S843" s="57"/>
      <c r="T843" s="57"/>
      <c r="U843" s="57"/>
      <c r="V843" s="57"/>
      <c r="W843" s="57"/>
      <c r="X843" s="57"/>
      <c r="Y843" s="57"/>
      <c r="Z843" s="57"/>
    </row>
    <row r="844">
      <c r="A844" s="56" t="str">
        <f>IFERROR(__xludf.DUMMYFUNCTION("IF('AYIRA MINI MART FINAL MENU - Pr'!A844="""", """", IF(LEN(IFERROR(TRIM(REGEXREPLACE(TRIM(REGEXEXTRACT('AYIRA MINI MART FINAL MENU - Pr'!A844, ""^[^\x{0600}-\x{06FF}]+"")), ""[-–]+$"", """")), """"))&gt;0, IFERROR(TRIM(REGEXREPLACE(TRIM(REGEXEXTRACT('AYIRA"&amp;" MINI MART FINAL MENU - Pr'!A844, ""^[^\x{0600}-\x{06FF}]+"")), ""[-–]+$"", """")), """"), GOOGLETRANSLATE('AYIRA MINI MART FINAL MENU - Pr'!A844, ""ar"", ""en"")))"),"Topsy Garlic Mixture – 300g – Topsy Garlic Mixture – 300")</f>
        <v>Topsy Garlic Mixture – 300g – Topsy Garlic Mixture – 300</v>
      </c>
      <c r="B844" s="56" t="str">
        <f>IFERROR(__xludf.DUMMYFUNCTION("IF('AYIRA MINI MART FINAL MENU - Pr'!B844="""", """", IF(LEN(IFERROR(TRIM(REGEXREPLACE(TRIM(REGEXEXTRACT('AYIRA MINI MART FINAL MENU - Pr'!B844, ""^[^\x{0600}-\x{06FF}]+"")), ""[-–]+$"", """")), """"))&gt;0, IFERROR(TRIM(REGEXREPLACE(TRIM(REGEXEXTRACT('AYIRA"&amp;" MINI MART FINAL MENU - Pr'!B844, ""^[^\x{0600}-\x{06FF}]+"")), ""[-–]+$"", """")), """"), GOOGLETRANSLATE('AYIRA MINI MART FINAL MENU - Pr'!B844, ""ar"", ""en"")))"),"Snacks |")</f>
        <v>Snacks |</v>
      </c>
      <c r="C844" s="58">
        <f>IF('AYIRA MINI MART FINAL MENU - Pr'!C844="", "", 'AYIRA MINI MART FINAL MENU - Pr'!C844)</f>
        <v>5</v>
      </c>
      <c r="D844" s="56" t="str">
        <f>IFERROR(__xludf.DUMMYFUNCTION("IF('AYIRA MINI MART FINAL MENU - Pr'!D844="""", """", GOOGLETRANSLATE('AYIRA MINI MART FINAL MENU - Pr'!D844, ""ar"", ""en""))"),"Don't be able to resist the taste of Topsy Garlic Mixture – 300g, your perfect companion for relaxing and watching matches. Its unique crunch and diverse flavors make every handful a delightful experience. Prepared with the finest ingredients using the la"&amp;"test manufacturing techniques to guarantee an unparalleled taste. Ideal as a snack for adults and children between meals. Aira Mini Mart offers it in the perfect size and flavor for you.")</f>
        <v>Don't be able to resist the taste of Topsy Garlic Mixture – 300g,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44" s="56" t="str">
        <f>IF('AYIRA MINI MART FINAL MENU - Pr'!K844="", "", 'AYIRA MINI MART FINAL MENU - Pr'!K844)</f>
        <v/>
      </c>
      <c r="F844" s="56"/>
      <c r="G844" s="56"/>
      <c r="H844" s="56"/>
      <c r="I844" s="56"/>
      <c r="J844" s="56"/>
      <c r="L844" s="56" t="str">
        <f>IF('AYIRA MINI MART FINAL MENU - Pr'!L844="", "", 'AYIRA MINI MART FINAL MENU - Pr'!L844)</f>
        <v/>
      </c>
      <c r="M844" s="56" t="str">
        <f>IF('AYIRA MINI MART FINAL MENU - Pr'!M844="", "", 'AYIRA MINI MART FINAL MENU - Pr'!M844)</f>
        <v/>
      </c>
      <c r="N844" s="56" t="str">
        <f>IF('AYIRA MINI MART FINAL MENU - Pr'!N844="", "", 'AYIRA MINI MART FINAL MENU - Pr'!N844)</f>
        <v/>
      </c>
      <c r="O844" s="57"/>
      <c r="P844" s="57"/>
      <c r="Q844" s="57"/>
      <c r="R844" s="57"/>
      <c r="S844" s="57"/>
      <c r="T844" s="57"/>
      <c r="U844" s="57"/>
      <c r="V844" s="57"/>
      <c r="W844" s="57"/>
      <c r="X844" s="57"/>
      <c r="Y844" s="57"/>
      <c r="Z844" s="57"/>
    </row>
    <row r="845">
      <c r="A845" s="56" t="str">
        <f>IFERROR(__xludf.DUMMYFUNCTION("IF('AYIRA MINI MART FINAL MENU - Pr'!A845="""", """", IF(LEN(IFERROR(TRIM(REGEXREPLACE(TRIM(REGEXEXTRACT('AYIRA MINI MART FINAL MENU - Pr'!A845, ""^[^\x{0600}-\x{06FF}]+"")), ""[-–]+$"", """")), """"))&gt;0, IFERROR(TRIM(REGEXREPLACE(TRIM(REGEXEXTRACT('AYIRA"&amp;" MINI MART FINAL MENU - Pr'!A845, ""^[^\x{0600}-\x{06FF}]+"")), ""[-–]+$"", """")), """"), GOOGLETRANSLATE('AYIRA MINI MART FINAL MENU - Pr'!A845, ""ar"", ""en"")))"),"Garlic Mixture – 100 g – Garlic Mixture – 100")</f>
        <v>Garlic Mixture – 100 g – Garlic Mixture – 100</v>
      </c>
      <c r="B845" s="56" t="str">
        <f>IFERROR(__xludf.DUMMYFUNCTION("IF('AYIRA MINI MART FINAL MENU - Pr'!B845="""", """", IF(LEN(IFERROR(TRIM(REGEXREPLACE(TRIM(REGEXEXTRACT('AYIRA MINI MART FINAL MENU - Pr'!B845, ""^[^\x{0600}-\x{06FF}]+"")), ""[-–]+$"", """")), """"))&gt;0, IFERROR(TRIM(REGEXREPLACE(TRIM(REGEXEXTRACT('AYIRA"&amp;" MINI MART FINAL MENU - Pr'!B845, ""^[^\x{0600}-\x{06FF}]+"")), ""[-–]+$"", """")), """"), GOOGLETRANSLATE('AYIRA MINI MART FINAL MENU - Pr'!B845, ""ar"", ""en"")))"),"Snacks |")</f>
        <v>Snacks |</v>
      </c>
      <c r="C845" s="58">
        <f>IF('AYIRA MINI MART FINAL MENU - Pr'!C845="", "", 'AYIRA MINI MART FINAL MENU - Pr'!C845)</f>
        <v>5</v>
      </c>
      <c r="D845" s="56" t="str">
        <f>IFERROR(__xludf.DUMMYFUNCTION("IF('AYIRA MINI MART FINAL MENU - Pr'!D845="""", """", GOOGLETRANSLATE('AYIRA MINI MART FINAL MENU - Pr'!D845, ""ar"", ""en""))"),"Don't be able to resist the taste of Garlic Mixture – 100g, your perfect companion for relaxing and watching matches. Its unique crunch and diverse flavors make every handful a delightful experience. Prepared with the finest ingredients using the latest m"&amp;"anufacturing techniques to guarantee an unparalleled taste. Ideal as a snack for adults and children between meals. Aira Mini Mart offers it in the perfect size and flavor for you.")</f>
        <v>Don't be able to resist the taste of Garlic Mixture – 100g,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45" s="56" t="str">
        <f>IF('AYIRA MINI MART FINAL MENU - Pr'!K845="", "", 'AYIRA MINI MART FINAL MENU - Pr'!K845)</f>
        <v/>
      </c>
      <c r="F845" s="56"/>
      <c r="G845" s="56"/>
      <c r="H845" s="56"/>
      <c r="I845" s="56"/>
      <c r="J845" s="56"/>
      <c r="L845" s="56" t="str">
        <f>IF('AYIRA MINI MART FINAL MENU - Pr'!L845="", "", 'AYIRA MINI MART FINAL MENU - Pr'!L845)</f>
        <v/>
      </c>
      <c r="M845" s="56" t="str">
        <f>IF('AYIRA MINI MART FINAL MENU - Pr'!M845="", "", 'AYIRA MINI MART FINAL MENU - Pr'!M845)</f>
        <v/>
      </c>
      <c r="N845" s="56" t="str">
        <f>IF('AYIRA MINI MART FINAL MENU - Pr'!N845="", "", 'AYIRA MINI MART FINAL MENU - Pr'!N845)</f>
        <v/>
      </c>
      <c r="O845" s="57"/>
      <c r="P845" s="57"/>
      <c r="Q845" s="57"/>
      <c r="R845" s="57"/>
      <c r="S845" s="57"/>
      <c r="T845" s="57"/>
      <c r="U845" s="57"/>
      <c r="V845" s="57"/>
      <c r="W845" s="57"/>
      <c r="X845" s="57"/>
      <c r="Y845" s="57"/>
      <c r="Z845" s="57"/>
    </row>
    <row r="846">
      <c r="A846" s="56" t="str">
        <f>IFERROR(__xludf.DUMMYFUNCTION("IF('AYIRA MINI MART FINAL MENU - Pr'!A846="""", """", IF(LEN(IFERROR(TRIM(REGEXREPLACE(TRIM(REGEXEXTRACT('AYIRA MINI MART FINAL MENU - Pr'!A846, ""^[^\x{0600}-\x{06FF}]+"")), ""[-–]+$"", """")), """"))&gt;0, IFERROR(TRIM(REGEXREPLACE(TRIM(REGEXEXTRACT('AYIRA"&amp;" MINI MART FINAL MENU - Pr'!A846, ""^[^\x{0600}-\x{06FF}]+"")), ""[-–]+$"", """")), """"), GOOGLETRANSLATE('AYIRA MINI MART FINAL MENU - Pr'!A846, ""ar"", ""en"")))"),"Kifco Plain Rusks 385g – Kifco Plain Rusks 385")</f>
        <v>Kifco Plain Rusks 385g – Kifco Plain Rusks 385</v>
      </c>
      <c r="B846" s="56" t="str">
        <f>IFERROR(__xludf.DUMMYFUNCTION("IF('AYIRA MINI MART FINAL MENU - Pr'!B846="""", """", IF(LEN(IFERROR(TRIM(REGEXREPLACE(TRIM(REGEXEXTRACT('AYIRA MINI MART FINAL MENU - Pr'!B846, ""^[^\x{0600}-\x{06FF}]+"")), ""[-–]+$"", """")), """"))&gt;0, IFERROR(TRIM(REGEXREPLACE(TRIM(REGEXEXTRACT('AYIRA"&amp;" MINI MART FINAL MENU - Pr'!B846, ""^[^\x{0600}-\x{06FF}]+"")), ""[-–]+$"", """")), """"), GOOGLETRANSLATE('AYIRA MINI MART FINAL MENU - Pr'!B846, ""ar"", ""en"")))"),"Bakery &amp; Pastries")</f>
        <v>Bakery &amp; Pastries</v>
      </c>
      <c r="C846" s="58">
        <f>IF('AYIRA MINI MART FINAL MENU - Pr'!C846="", "", 'AYIRA MINI MART FINAL MENU - Pr'!C846)</f>
        <v>7.5</v>
      </c>
      <c r="D846" s="56" t="str">
        <f>IFERROR(__xludf.DUMMYFUNCTION("IF('AYIRA MINI MART FINAL MENU - Pr'!D846="""", """", GOOGLETRANSLATE('AYIRA MINI MART FINAL MENU - Pr'!D846, ""ar"", ""en""))"),"Don't be able to resist the taste of Kifco Plain Rusks 385g, your perfect companion for relaxing and watching the game. Their unique crunch and varied flavors make every handful a delightful experience. Prepared with the finest ingredients using the lates"&amp;"t manufacturing techniques to ensure an unparalleled taste. Ideal as a snack for adults and children alike between meals. Aira Mini Mart offers them in the perfect size and flavor for you.")</f>
        <v>Don't be able to resist the taste of Kifco Plain Rusks 385g,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846" s="56" t="str">
        <f>IF('AYIRA MINI MART FINAL MENU - Pr'!K846="", "", 'AYIRA MINI MART FINAL MENU - Pr'!K846)</f>
        <v/>
      </c>
      <c r="F846" s="56"/>
      <c r="G846" s="56"/>
      <c r="H846" s="56"/>
      <c r="I846" s="56"/>
      <c r="J846" s="56"/>
      <c r="L846" s="56" t="str">
        <f>IF('AYIRA MINI MART FINAL MENU - Pr'!L846="", "", 'AYIRA MINI MART FINAL MENU - Pr'!L846)</f>
        <v/>
      </c>
      <c r="M846" s="56" t="str">
        <f>IF('AYIRA MINI MART FINAL MENU - Pr'!M846="", "", 'AYIRA MINI MART FINAL MENU - Pr'!M846)</f>
        <v/>
      </c>
      <c r="N846" s="56" t="str">
        <f>IF('AYIRA MINI MART FINAL MENU - Pr'!N846="", "", 'AYIRA MINI MART FINAL MENU - Pr'!N846)</f>
        <v/>
      </c>
      <c r="O846" s="57"/>
      <c r="P846" s="57"/>
      <c r="Q846" s="57"/>
      <c r="R846" s="57"/>
      <c r="S846" s="57"/>
      <c r="T846" s="57"/>
      <c r="U846" s="57"/>
      <c r="V846" s="57"/>
      <c r="W846" s="57"/>
      <c r="X846" s="57"/>
      <c r="Y846" s="57"/>
      <c r="Z846" s="57"/>
    </row>
    <row r="847">
      <c r="A847" s="56" t="str">
        <f>IFERROR(__xludf.DUMMYFUNCTION("IF('AYIRA MINI MART FINAL MENU - Pr'!A847="""", """", IF(LEN(IFERROR(TRIM(REGEXREPLACE(TRIM(REGEXEXTRACT('AYIRA MINI MART FINAL MENU - Pr'!A847, ""^[^\x{0600}-\x{06FF}]+"")), ""[-–]+$"", """")), """"))&gt;0, IFERROR(TRIM(REGEXREPLACE(TRIM(REGEXEXTRACT('AYIRA"&amp;" MINI MART FINAL MENU - Pr'!A847, ""^[^\x{0600}-\x{06FF}]+"")), ""[-–]+$"", """")), """"), GOOGLETRANSLATE('AYIRA MINI MART FINAL MENU - Pr'!A847, ""ar"", ""en"")))"),"PRAN Special Toast (Rusk) – 385g – PRAN Special Toast (Rusk) – 385")</f>
        <v>PRAN Special Toast (Rusk) – 385g – PRAN Special Toast (Rusk) – 385</v>
      </c>
      <c r="B847" s="56" t="str">
        <f>IFERROR(__xludf.DUMMYFUNCTION("IF('AYIRA MINI MART FINAL MENU - Pr'!B847="""", """", IF(LEN(IFERROR(TRIM(REGEXREPLACE(TRIM(REGEXEXTRACT('AYIRA MINI MART FINAL MENU - Pr'!B847, ""^[^\x{0600}-\x{06FF}]+"")), ""[-–]+$"", """")), """"))&gt;0, IFERROR(TRIM(REGEXREPLACE(TRIM(REGEXEXTRACT('AYIRA"&amp;" MINI MART FINAL MENU - Pr'!B847, ""^[^\x{0600}-\x{06FF}]+"")), ""[-–]+$"", """")), """"), GOOGLETRANSLATE('AYIRA MINI MART FINAL MENU - Pr'!B847, ""ar"", ""en"")))"),"Bakery &amp; Pastries")</f>
        <v>Bakery &amp; Pastries</v>
      </c>
      <c r="C847" s="56" t="str">
        <f>IF('AYIRA MINI MART FINAL MENU - Pr'!C847="", "", 'AYIRA MINI MART FINAL MENU - Pr'!C847)</f>
        <v/>
      </c>
      <c r="D847" s="56" t="str">
        <f>IFERROR(__xludf.DUMMYFUNCTION("IF('AYIRA MINI MART FINAL MENU - Pr'!D847="""", """", GOOGLETRANSLATE('AYIRA MINI MART FINAL MENU - Pr'!D847, ""ar"", ""en""))"),"Don't be able to resist the taste of PRAN Special Toast (Rusk) – 385g, your perfect companion for relaxing and watching the game. Its unique crunch and diverse flavors make every bite a delightful experience. Prepared with the finest ingredients using the"&amp;" latest manufacturing techniques to guarantee an unparalleled taste. Ideal as a snack for adults and children alike between meals. Aira Mini Mart offers it in the perfect size and flavor for you.")</f>
        <v>Don't be able to resist the taste of PRAN Special Toast (Rusk) – 385g, your perfect companion for relaxing and watching the game. Its unique crunch and diverse flavors make every bite a delightful experience. Prepared with the finest ingredients using the latest manufacturing techniques to guarantee an unparalleled taste. Ideal as a snack for adults and children alike between meals. Aira Mini Mart offers it in the perfect size and flavor for you.</v>
      </c>
      <c r="E847" s="56" t="str">
        <f>IF('AYIRA MINI MART FINAL MENU - Pr'!K847="", "", 'AYIRA MINI MART FINAL MENU - Pr'!K847)</f>
        <v/>
      </c>
      <c r="F847" s="56"/>
      <c r="G847" s="56"/>
      <c r="H847" s="56"/>
      <c r="I847" s="56"/>
      <c r="J847" s="56"/>
      <c r="L847" s="56" t="str">
        <f>IF('AYIRA MINI MART FINAL MENU - Pr'!L847="", "", 'AYIRA MINI MART FINAL MENU - Pr'!L847)</f>
        <v/>
      </c>
      <c r="M847" s="56" t="str">
        <f>IF('AYIRA MINI MART FINAL MENU - Pr'!M847="", "", 'AYIRA MINI MART FINAL MENU - Pr'!M847)</f>
        <v/>
      </c>
      <c r="N847" s="56" t="str">
        <f>IF('AYIRA MINI MART FINAL MENU - Pr'!N847="", "", 'AYIRA MINI MART FINAL MENU - Pr'!N847)</f>
        <v/>
      </c>
      <c r="O847" s="57"/>
      <c r="P847" s="57"/>
      <c r="Q847" s="57"/>
      <c r="R847" s="57"/>
      <c r="S847" s="57"/>
      <c r="T847" s="57"/>
      <c r="U847" s="57"/>
      <c r="V847" s="57"/>
      <c r="W847" s="57"/>
      <c r="X847" s="57"/>
      <c r="Y847" s="57"/>
      <c r="Z847" s="57"/>
    </row>
    <row r="848">
      <c r="A848" s="56" t="str">
        <f>IFERROR(__xludf.DUMMYFUNCTION("IF('AYIRA MINI MART FINAL MENU - Pr'!A848="""", """", IF(LEN(IFERROR(TRIM(REGEXREPLACE(TRIM(REGEXEXTRACT('AYIRA MINI MART FINAL MENU - Pr'!A848, ""^[^\x{0600}-\x{06FF}]+"")), ""[-–]+$"", """")), """"))&gt;0, IFERROR(TRIM(REGEXREPLACE(TRIM(REGEXEXTRACT('AYIRA"&amp;" MINI MART FINAL MENU - Pr'!A848, ""^[^\x{0600}-\x{06FF}]+"")), ""[-–]+$"", """")), """"), GOOGLETRANSLATE('AYIRA MINI MART FINAL MENU - Pr'!A848, ""ar"", ""en"")))"),"Topsy Sunflower Seeds Roasted &amp; Salted 25 g – Topsy Sunflower Seeds")</f>
        <v>Topsy Sunflower Seeds Roasted &amp; Salted 25 g – Topsy Sunflower Seeds</v>
      </c>
      <c r="B848" s="56" t="str">
        <f>IFERROR(__xludf.DUMMYFUNCTION("IF('AYIRA MINI MART FINAL MENU - Pr'!B848="""", """", IF(LEN(IFERROR(TRIM(REGEXREPLACE(TRIM(REGEXEXTRACT('AYIRA MINI MART FINAL MENU - Pr'!B848, ""^[^\x{0600}-\x{06FF}]+"")), ""[-–]+$"", """")), """"))&gt;0, IFERROR(TRIM(REGEXREPLACE(TRIM(REGEXEXTRACT('AYIRA"&amp;" MINI MART FINAL MENU - Pr'!B848, ""^[^\x{0600}-\x{06FF}]+"")), ""[-–]+$"", """")), """"), GOOGLETRANSLATE('AYIRA MINI MART FINAL MENU - Pr'!B848, ""ar"", ""en"")))"),"Nuts &amp; Seeds")</f>
        <v>Nuts &amp; Seeds</v>
      </c>
      <c r="C848" s="58">
        <f>IF('AYIRA MINI MART FINAL MENU - Pr'!C848="", "", 'AYIRA MINI MART FINAL MENU - Pr'!C848)</f>
        <v>1</v>
      </c>
      <c r="D848" s="56" t="str">
        <f>IFERROR(__xludf.DUMMYFUNCTION("IF('AYIRA MINI MART FINAL MENU - Pr'!D848="""", """", GOOGLETRANSLATE('AYIRA MINI MART FINAL MENU - Pr'!D848, ""ar"", ""en""))"),"Choose Topsy Sunflower Seeds Roasted &amp; Salted 25g, natural nuts rich in protein and healthy fats essential for your body. Made from the finest, carefully selected nuts to ensure the highest levels of purity and taste. A perfect healthy and nutritious snac"&amp;"k between meals. Supports heart health and provides the energy you need. Available at Aira Mini Mart with the highest quality and best prices.")</f>
        <v>Choose Topsy Sunflower Seeds Roasted &amp; Salted 25g, natural nuts rich in protein and healthy fats essential for your body. Made from the finest, carefully selected nuts to ensure the highest levels of purity and taste. A perfect healthy and nutritious snack between meals. Supports heart health and provides the energy you need. Available at Aira Mini Mart with the highest quality and best prices.</v>
      </c>
      <c r="E848" s="56" t="str">
        <f>IF('AYIRA MINI MART FINAL MENU - Pr'!K848="", "", 'AYIRA MINI MART FINAL MENU - Pr'!K848)</f>
        <v/>
      </c>
      <c r="F848" s="56"/>
      <c r="G848" s="56"/>
      <c r="H848" s="56"/>
      <c r="I848" s="56"/>
      <c r="J848" s="56"/>
      <c r="L848" s="56" t="str">
        <f>IF('AYIRA MINI MART FINAL MENU - Pr'!L848="", "", 'AYIRA MINI MART FINAL MENU - Pr'!L848)</f>
        <v/>
      </c>
      <c r="M848" s="56" t="str">
        <f>IF('AYIRA MINI MART FINAL MENU - Pr'!M848="", "", 'AYIRA MINI MART FINAL MENU - Pr'!M848)</f>
        <v/>
      </c>
      <c r="N848" s="56" t="str">
        <f>IF('AYIRA MINI MART FINAL MENU - Pr'!N848="", "", 'AYIRA MINI MART FINAL MENU - Pr'!N848)</f>
        <v/>
      </c>
      <c r="O848" s="57"/>
      <c r="P848" s="57"/>
      <c r="Q848" s="57"/>
      <c r="R848" s="57"/>
      <c r="S848" s="57"/>
      <c r="T848" s="57"/>
      <c r="U848" s="57"/>
      <c r="V848" s="57"/>
      <c r="W848" s="57"/>
      <c r="X848" s="57"/>
      <c r="Y848" s="57"/>
      <c r="Z848" s="57"/>
    </row>
    <row r="849">
      <c r="A849" s="56" t="str">
        <f>IFERROR(__xludf.DUMMYFUNCTION("IF('AYIRA MINI MART FINAL MENU - Pr'!A849="""", """", IF(LEN(IFERROR(TRIM(REGEXREPLACE(TRIM(REGEXEXTRACT('AYIRA MINI MART FINAL MENU - Pr'!A849, ""^[^\x{0600}-\x{06FF}]+"")), ""[-–]+$"", """")), """"))&gt;0, IFERROR(TRIM(REGEXREPLACE(TRIM(REGEXEXTRACT('AYIRA"&amp;" MINI MART FINAL MENU - Pr'!A849, ""^[^\x{0600}-\x{06FF}]+"")), ""[-–]+$"", """")), """"), GOOGLETRANSLATE('AYIRA MINI MART FINAL MENU - Pr'!A849, ""ar"", ""en"")))"),"PRAN Jhal Muri 50 g – PRAN Jhal Muri 50")</f>
        <v>PRAN Jhal Muri 50 g – PRAN Jhal Muri 50</v>
      </c>
      <c r="B849" s="56" t="str">
        <f>IFERROR(__xludf.DUMMYFUNCTION("IF('AYIRA MINI MART FINAL MENU - Pr'!B849="""", """", IF(LEN(IFERROR(TRIM(REGEXREPLACE(TRIM(REGEXEXTRACT('AYIRA MINI MART FINAL MENU - Pr'!B849, ""^[^\x{0600}-\x{06FF}]+"")), ""[-–]+$"", """")), """"))&gt;0, IFERROR(TRIM(REGEXREPLACE(TRIM(REGEXEXTRACT('AYIRA"&amp;" MINI MART FINAL MENU - Pr'!B849, ""^[^\x{0600}-\x{06FF}]+"")), ""[-–]+$"", """")), """"), GOOGLETRANSLATE('AYIRA MINI MART FINAL MENU - Pr'!B849, ""ar"", ""en"")))"),"Snacks |")</f>
        <v>Snacks |</v>
      </c>
      <c r="C849" s="58">
        <f>IF('AYIRA MINI MART FINAL MENU - Pr'!C849="", "", 'AYIRA MINI MART FINAL MENU - Pr'!C849)</f>
        <v>1</v>
      </c>
      <c r="D849" s="56" t="str">
        <f>IFERROR(__xludf.DUMMYFUNCTION("IF('AYIRA MINI MART FINAL MENU - Pr'!D849="""", """", GOOGLETRANSLATE('AYIRA MINI MART FINAL MENU - Pr'!D849, ""ar"", ""en""))"),"Don't be able to resist the taste of PRAN Jhal Muri 50g, your perfect companion for relaxing and watching matches. Its unique crunch and diverse flavors make every handful a delightful experience. Prepared with the finest ingredients using the latest manu"&amp;"facturing techniques to ensure an unparalleled taste. Ideal as a snack for adults and children between meals. Aira Mini Mart offers it in the size and flavor that suits you best.")</f>
        <v>Don't be able to resist the taste of PRAN Jhal Muri 50g, your perfect companion for relaxing and watching matches. Its unique crunch and diverse flavors make every handful a delightful experience. Prepared with the finest ingredients using the latest manufacturing techniques to ensure an unparalleled taste. Ideal as a snack for adults and children between meals. Aira Mini Mart offers it in the size and flavor that suits you best.</v>
      </c>
      <c r="E849" s="56" t="str">
        <f>IF('AYIRA MINI MART FINAL MENU - Pr'!K849="", "", 'AYIRA MINI MART FINAL MENU - Pr'!K849)</f>
        <v/>
      </c>
      <c r="F849" s="56"/>
      <c r="G849" s="56"/>
      <c r="H849" s="56"/>
      <c r="I849" s="56"/>
      <c r="J849" s="56"/>
      <c r="L849" s="56" t="str">
        <f>IF('AYIRA MINI MART FINAL MENU - Pr'!L849="", "", 'AYIRA MINI MART FINAL MENU - Pr'!L849)</f>
        <v/>
      </c>
      <c r="M849" s="56" t="str">
        <f>IF('AYIRA MINI MART FINAL MENU - Pr'!M849="", "", 'AYIRA MINI MART FINAL MENU - Pr'!M849)</f>
        <v/>
      </c>
      <c r="N849" s="56" t="str">
        <f>IF('AYIRA MINI MART FINAL MENU - Pr'!N849="", "", 'AYIRA MINI MART FINAL MENU - Pr'!N849)</f>
        <v/>
      </c>
      <c r="O849" s="57"/>
      <c r="P849" s="57"/>
      <c r="Q849" s="57"/>
      <c r="R849" s="57"/>
      <c r="S849" s="57"/>
      <c r="T849" s="57"/>
      <c r="U849" s="57"/>
      <c r="V849" s="57"/>
      <c r="W849" s="57"/>
      <c r="X849" s="57"/>
      <c r="Y849" s="57"/>
      <c r="Z849" s="57"/>
    </row>
    <row r="850">
      <c r="A850" s="56" t="str">
        <f>IFERROR(__xludf.DUMMYFUNCTION("IF('AYIRA MINI MART FINAL MENU - Pr'!A850="""", """", IF(LEN(IFERROR(TRIM(REGEXREPLACE(TRIM(REGEXEXTRACT('AYIRA MINI MART FINAL MENU - Pr'!A850, ""^[^\x{0600}-\x{06FF}]+"")), ""[-–]+$"", """")), """"))&gt;0, IFERROR(TRIM(REGEXREPLACE(TRIM(REGEXEXTRACT('AYIRA"&amp;" MINI MART FINAL MENU - Pr'!A850, ""^[^\x{0600}-\x{06FF}]+"")), ""[-–]+$"", """")), """"), GOOGLETRANSLATE('AYIRA MINI MART FINAL MENU - Pr'!A850, ""ar"", ""en"")))"),"Topsy Popcorn 35 g – Topsy")</f>
        <v>Topsy Popcorn 35 g – Topsy</v>
      </c>
      <c r="B850" s="56" t="str">
        <f>IFERROR(__xludf.DUMMYFUNCTION("IF('AYIRA MINI MART FINAL MENU - Pr'!B850="""", """", IF(LEN(IFERROR(TRIM(REGEXREPLACE(TRIM(REGEXEXTRACT('AYIRA MINI MART FINAL MENU - Pr'!B850, ""^[^\x{0600}-\x{06FF}]+"")), ""[-–]+$"", """")), """"))&gt;0, IFERROR(TRIM(REGEXREPLACE(TRIM(REGEXEXTRACT('AYIRA"&amp;" MINI MART FINAL MENU - Pr'!B850, ""^[^\x{0600}-\x{06FF}]+"")), ""[-–]+$"", """")), """"), GOOGLETRANSLATE('AYIRA MINI MART FINAL MENU - Pr'!B850, ""ar"", ""en"")))"),"Snacks |")</f>
        <v>Snacks |</v>
      </c>
      <c r="C850" s="58">
        <f>IF('AYIRA MINI MART FINAL MENU - Pr'!C850="", "", 'AYIRA MINI MART FINAL MENU - Pr'!C850)</f>
        <v>1</v>
      </c>
      <c r="D850" s="56" t="str">
        <f>IFERROR(__xludf.DUMMYFUNCTION("IF('AYIRA MINI MART FINAL MENU - Pr'!D850="""", """", GOOGLETRANSLATE('AYIRA MINI MART FINAL MENU - Pr'!D850, ""ar"", ""en""))"),"Don't be able to resist the taste of Topsy Popcorn 35g, your perfect companion for relaxing and watching the game. Its unique crunch and varied flavors make every handful a delightful experience. Prepared with the finest ingredients using the latest manuf"&amp;"acturing techniques to ensure an unparalleled taste. Ideal as a snack for adults and children alike between meals. Aira Mini Mart offers it in the perfect size and flavor for you.")</f>
        <v>Don't be able to resist the taste of Topsy Popcorn 35g,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850" s="56" t="str">
        <f>IF('AYIRA MINI MART FINAL MENU - Pr'!K850="", "", 'AYIRA MINI MART FINAL MENU - Pr'!K850)</f>
        <v/>
      </c>
      <c r="F850" s="56"/>
      <c r="G850" s="56"/>
      <c r="H850" s="56"/>
      <c r="I850" s="56"/>
      <c r="J850" s="56"/>
      <c r="L850" s="56" t="str">
        <f>IF('AYIRA MINI MART FINAL MENU - Pr'!L850="", "", 'AYIRA MINI MART FINAL MENU - Pr'!L850)</f>
        <v/>
      </c>
      <c r="M850" s="56" t="str">
        <f>IF('AYIRA MINI MART FINAL MENU - Pr'!M850="", "", 'AYIRA MINI MART FINAL MENU - Pr'!M850)</f>
        <v/>
      </c>
      <c r="N850" s="56" t="str">
        <f>IF('AYIRA MINI MART FINAL MENU - Pr'!N850="", "", 'AYIRA MINI MART FINAL MENU - Pr'!N850)</f>
        <v/>
      </c>
      <c r="O850" s="57"/>
      <c r="P850" s="57"/>
      <c r="Q850" s="57"/>
      <c r="R850" s="57"/>
      <c r="S850" s="57"/>
      <c r="T850" s="57"/>
      <c r="U850" s="57"/>
      <c r="V850" s="57"/>
      <c r="W850" s="57"/>
      <c r="X850" s="57"/>
      <c r="Y850" s="57"/>
      <c r="Z850" s="57"/>
    </row>
    <row r="851">
      <c r="A851" s="56" t="str">
        <f>IFERROR(__xludf.DUMMYFUNCTION("IF('AYIRA MINI MART FINAL MENU - Pr'!A851="""", """", IF(LEN(IFERROR(TRIM(REGEXREPLACE(TRIM(REGEXEXTRACT('AYIRA MINI MART FINAL MENU - Pr'!A851, ""^[^\x{0600}-\x{06FF}]+"")), ""[-–]+$"", """")), """"))&gt;0, IFERROR(TRIM(REGEXREPLACE(TRIM(REGEXEXTRACT('AYIRA"&amp;" MINI MART FINAL MENU - Pr'!A851, ""^[^\x{0600}-\x{06FF}]+"")), ""[-–]+$"", """")), """"), GOOGLETRANSLATE('AYIRA MINI MART FINAL MENU - Pr'!A851, ""ar"", ""en"")))"),"Topsy Cheese Popcorn 18 g – Topsy")</f>
        <v>Topsy Cheese Popcorn 18 g – Topsy</v>
      </c>
      <c r="B851" s="56" t="str">
        <f>IFERROR(__xludf.DUMMYFUNCTION("IF('AYIRA MINI MART FINAL MENU - Pr'!B851="""", """", IF(LEN(IFERROR(TRIM(REGEXREPLACE(TRIM(REGEXEXTRACT('AYIRA MINI MART FINAL MENU - Pr'!B851, ""^[^\x{0600}-\x{06FF}]+"")), ""[-–]+$"", """")), """"))&gt;0, IFERROR(TRIM(REGEXREPLACE(TRIM(REGEXEXTRACT('AYIRA"&amp;" MINI MART FINAL MENU - Pr'!B851, ""^[^\x{0600}-\x{06FF}]+"")), ""[-–]+$"", """")), """"), GOOGLETRANSLATE('AYIRA MINI MART FINAL MENU - Pr'!B851, ""ar"", ""en"")))"),"Snacks |")</f>
        <v>Snacks |</v>
      </c>
      <c r="C851" s="58">
        <f>IF('AYIRA MINI MART FINAL MENU - Pr'!C851="", "", 'AYIRA MINI MART FINAL MENU - Pr'!C851)</f>
        <v>1</v>
      </c>
      <c r="D851" s="56" t="str">
        <f>IFERROR(__xludf.DUMMYFUNCTION("IF('AYIRA MINI MART FINAL MENU - Pr'!D851="""", """", GOOGLETRANSLATE('AYIRA MINI MART FINAL MENU - Pr'!D851, ""ar"", ""en""))"),"Don't be able to resist the taste of Topsy Cheese Popcorn 18g, your perfect companion for relaxing and watching the game. Its unique crunch and varied flavors make every handful a delightful experience. Made with the finest ingredients using the latest ma"&amp;"nufacturing techniques to ensure an unparalleled taste. Ideal as a snack for adults and children alike between meals. Aira Mini Mart offers it in the perfect size and flavor for you.")</f>
        <v>Don't be able to resist the taste of Topsy Cheese Popcorn 18g, your perfect companion for relaxing and watching the game. Its unique crunch and varied flavors make every handful a delightful experience. Made with the finest ingredients using the latest manufacturing techniques to ensure an unparalleled taste. Ideal as a snack for adults and children alike between meals. Aira Mini Mart offers it in the perfect size and flavor for you.</v>
      </c>
      <c r="E851" s="56" t="str">
        <f>IF('AYIRA MINI MART FINAL MENU - Pr'!K851="", "", 'AYIRA MINI MART FINAL MENU - Pr'!K851)</f>
        <v/>
      </c>
      <c r="F851" s="56"/>
      <c r="G851" s="56"/>
      <c r="H851" s="56"/>
      <c r="I851" s="56"/>
      <c r="J851" s="56"/>
      <c r="L851" s="56" t="str">
        <f>IF('AYIRA MINI MART FINAL MENU - Pr'!L851="", "", 'AYIRA MINI MART FINAL MENU - Pr'!L851)</f>
        <v/>
      </c>
      <c r="M851" s="56" t="str">
        <f>IF('AYIRA MINI MART FINAL MENU - Pr'!M851="", "", 'AYIRA MINI MART FINAL MENU - Pr'!M851)</f>
        <v/>
      </c>
      <c r="N851" s="56" t="str">
        <f>IF('AYIRA MINI MART FINAL MENU - Pr'!N851="", "", 'AYIRA MINI MART FINAL MENU - Pr'!N851)</f>
        <v/>
      </c>
      <c r="O851" s="57"/>
      <c r="P851" s="57"/>
      <c r="Q851" s="57"/>
      <c r="R851" s="57"/>
      <c r="S851" s="57"/>
      <c r="T851" s="57"/>
      <c r="U851" s="57"/>
      <c r="V851" s="57"/>
      <c r="W851" s="57"/>
      <c r="X851" s="57"/>
      <c r="Y851" s="57"/>
      <c r="Z851" s="57"/>
    </row>
    <row r="852">
      <c r="A852" s="56" t="str">
        <f>IFERROR(__xludf.DUMMYFUNCTION("IF('AYIRA MINI MART FINAL MENU - Pr'!A852="""", """", IF(LEN(IFERROR(TRIM(REGEXREPLACE(TRIM(REGEXEXTRACT('AYIRA MINI MART FINAL MENU - Pr'!A852, ""^[^\x{0600}-\x{06FF}]+"")), ""[-–]+$"", """")), """"))&gt;0, IFERROR(TRIM(REGEXREPLACE(TRIM(REGEXEXTRACT('AYIRA"&amp;" MINI MART FINAL MENU - Pr'!A852, ""^[^\x{0600}-\x{06FF}]+"")), ""[-–]+$"", """")), """"), GOOGLETRANSLATE('AYIRA MINI MART FINAL MENU - Pr'!A852, ""ar"", ""en"")))"),"Napoleon Original Butterscotch Candy 150 g – Napoleon")</f>
        <v>Napoleon Original Butterscotch Candy 150 g – Napoleon</v>
      </c>
      <c r="B852" s="56" t="str">
        <f>IFERROR(__xludf.DUMMYFUNCTION("IF('AYIRA MINI MART FINAL MENU - Pr'!B852="""", """", IF(LEN(IFERROR(TRIM(REGEXREPLACE(TRIM(REGEXEXTRACT('AYIRA MINI MART FINAL MENU - Pr'!B852, ""^[^\x{0600}-\x{06FF}]+"")), ""[-–]+$"", """")), """"))&gt;0, IFERROR(TRIM(REGEXREPLACE(TRIM(REGEXEXTRACT('AYIRA"&amp;" MINI MART FINAL MENU - Pr'!B852, ""^[^\x{0600}-\x{06FF}]+"")), ""[-–]+$"", """")), """"), GOOGLETRANSLATE('AYIRA MINI MART FINAL MENU - Pr'!B852, ""ar"", ""en"")))"),"Chocolates")</f>
        <v>Chocolates</v>
      </c>
      <c r="C852" s="56" t="str">
        <f>IF('AYIRA MINI MART FINAL MENU - Pr'!C852="", "", 'AYIRA MINI MART FINAL MENU - Pr'!C852)</f>
        <v/>
      </c>
      <c r="D852" s="56" t="str">
        <f>IFERROR(__xludf.DUMMYFUNCTION("IF('AYIRA MINI MART FINAL MENU - Pr'!D852="""", """", GOOGLETRANSLATE('AYIRA MINI MART FINAL MENU - Pr'!D852, ""ar"", ""en""))"),"Add a sweet touch to your day with Napoleon Original Butterscotch Candy 150g, a delicious treat loved by everyone. Its variety of flavors and attractive colors make it suitable for all ages. Perfect as a small treat or a light gift for friends and family."&amp;" Made with high quality ingredients to ensure a great taste in every piece. Get yours from Aira Mini Mart and spread joy to your loved ones.")</f>
        <v>Add a sweet touch to your day with Napoleon Original Butterscotch Candy 150g, a delicious treat loved by everyone. Its variety of flavors and attractive colors make it suitable for all ages. Perfect as a small treat or a light gift for friends and family. Made with high quality ingredients to ensure a great taste in every piece. Get yours from Aira Mini Mart and spread joy to your loved ones.</v>
      </c>
      <c r="E852" s="56" t="str">
        <f>IF('AYIRA MINI MART FINAL MENU - Pr'!K852="", "", 'AYIRA MINI MART FINAL MENU - Pr'!K852)</f>
        <v/>
      </c>
      <c r="F852" s="56"/>
      <c r="G852" s="56"/>
      <c r="H852" s="56"/>
      <c r="I852" s="56"/>
      <c r="J852" s="56"/>
      <c r="L852" s="56" t="str">
        <f>IF('AYIRA MINI MART FINAL MENU - Pr'!L852="", "", 'AYIRA MINI MART FINAL MENU - Pr'!L852)</f>
        <v/>
      </c>
      <c r="M852" s="56" t="str">
        <f>IF('AYIRA MINI MART FINAL MENU - Pr'!M852="", "", 'AYIRA MINI MART FINAL MENU - Pr'!M852)</f>
        <v/>
      </c>
      <c r="N852" s="56" t="str">
        <f>IF('AYIRA MINI MART FINAL MENU - Pr'!N852="", "", 'AYIRA MINI MART FINAL MENU - Pr'!N852)</f>
        <v/>
      </c>
      <c r="O852" s="57"/>
      <c r="P852" s="57"/>
      <c r="Q852" s="57"/>
      <c r="R852" s="57"/>
      <c r="S852" s="57"/>
      <c r="T852" s="57"/>
      <c r="U852" s="57"/>
      <c r="V852" s="57"/>
      <c r="W852" s="57"/>
      <c r="X852" s="57"/>
      <c r="Y852" s="57"/>
      <c r="Z852" s="57"/>
    </row>
    <row r="853">
      <c r="A853" s="56" t="str">
        <f>IFERROR(__xludf.DUMMYFUNCTION("IF('AYIRA MINI MART FINAL MENU - Pr'!A853="""", """", IF(LEN(IFERROR(TRIM(REGEXREPLACE(TRIM(REGEXEXTRACT('AYIRA MINI MART FINAL MENU - Pr'!A853, ""^[^\x{0600}-\x{06FF}]+"")), ""[-–]+$"", """")), """"))&gt;0, IFERROR(TRIM(REGEXREPLACE(TRIM(REGEXEXTRACT('AYIRA"&amp;" MINI MART FINAL MENU - Pr'!A853, ""^[^\x{0600}-\x{06FF}]+"")), ""[-–]+$"", """")), """"), GOOGLETRANSLATE('AYIRA MINI MART FINAL MENU - Pr'!A853, ""ar"", ""en"")))"),"Napoleon Vanilla Flavour Butterscotch Candy 150 g – Napoleon")</f>
        <v>Napoleon Vanilla Flavour Butterscotch Candy 150 g – Napoleon</v>
      </c>
      <c r="B853" s="56" t="str">
        <f>IFERROR(__xludf.DUMMYFUNCTION("IF('AYIRA MINI MART FINAL MENU - Pr'!B853="""", """", IF(LEN(IFERROR(TRIM(REGEXREPLACE(TRIM(REGEXEXTRACT('AYIRA MINI MART FINAL MENU - Pr'!B853, ""^[^\x{0600}-\x{06FF}]+"")), ""[-–]+$"", """")), """"))&gt;0, IFERROR(TRIM(REGEXREPLACE(TRIM(REGEXEXTRACT('AYIRA"&amp;" MINI MART FINAL MENU - Pr'!B853, ""^[^\x{0600}-\x{06FF}]+"")), ""[-–]+$"", """")), """"), GOOGLETRANSLATE('AYIRA MINI MART FINAL MENU - Pr'!B853, ""ar"", ""en"")))"),"Chocolates")</f>
        <v>Chocolates</v>
      </c>
      <c r="C853" s="56" t="str">
        <f>IF('AYIRA MINI MART FINAL MENU - Pr'!C853="", "", 'AYIRA MINI MART FINAL MENU - Pr'!C853)</f>
        <v/>
      </c>
      <c r="D853" s="56" t="str">
        <f>IFERROR(__xludf.DUMMYFUNCTION("IF('AYIRA MINI MART FINAL MENU - Pr'!D853="""", """", GOOGLETRANSLATE('AYIRA MINI MART FINAL MENU - Pr'!D853, ""ar"", ""en""))"),"Add a sweet touch to your day with Napoleon Vanilla Flavor Butterscotch Candy 150g, a delicious treat loved by everyone. Its variety of flavors and attractive colors make it suitable for all ages. Perfect as a small treat or a light gift for friends and f"&amp;"amily. Made with high quality ingredients to ensure a great taste in every piece. Get yours from Aira Mini Mart and spread joy to your loved ones.")</f>
        <v>Add a sweet touch to your day with Napoleon Vanilla Flavor Butterscotch Candy 150g, a delicious treat loved by everyone. Its variety of flavors and attractive colors make it suitable for all ages. Perfect as a small treat or a light gift for friends and family. Made with high quality ingredients to ensure a great taste in every piece. Get yours from Aira Mini Mart and spread joy to your loved ones.</v>
      </c>
      <c r="E853" s="56" t="str">
        <f>IF('AYIRA MINI MART FINAL MENU - Pr'!K853="", "", 'AYIRA MINI MART FINAL MENU - Pr'!K853)</f>
        <v/>
      </c>
      <c r="F853" s="56"/>
      <c r="G853" s="56"/>
      <c r="H853" s="56"/>
      <c r="I853" s="56"/>
      <c r="J853" s="56"/>
      <c r="L853" s="56" t="str">
        <f>IF('AYIRA MINI MART FINAL MENU - Pr'!L853="", "", 'AYIRA MINI MART FINAL MENU - Pr'!L853)</f>
        <v/>
      </c>
      <c r="M853" s="56" t="str">
        <f>IF('AYIRA MINI MART FINAL MENU - Pr'!M853="", "", 'AYIRA MINI MART FINAL MENU - Pr'!M853)</f>
        <v/>
      </c>
      <c r="N853" s="56" t="str">
        <f>IF('AYIRA MINI MART FINAL MENU - Pr'!N853="", "", 'AYIRA MINI MART FINAL MENU - Pr'!N853)</f>
        <v/>
      </c>
      <c r="O853" s="57"/>
      <c r="P853" s="57"/>
      <c r="Q853" s="57"/>
      <c r="R853" s="57"/>
      <c r="S853" s="57"/>
      <c r="T853" s="57"/>
      <c r="U853" s="57"/>
      <c r="V853" s="57"/>
      <c r="W853" s="57"/>
      <c r="X853" s="57"/>
      <c r="Y853" s="57"/>
      <c r="Z853" s="57"/>
    </row>
    <row r="854">
      <c r="A854" s="56" t="str">
        <f>IFERROR(__xludf.DUMMYFUNCTION("IF('AYIRA MINI MART FINAL MENU - Pr'!A854="""", """", IF(LEN(IFERROR(TRIM(REGEXREPLACE(TRIM(REGEXEXTRACT('AYIRA MINI MART FINAL MENU - Pr'!A854, ""^[^\x{0600}-\x{06FF}]+"")), ""[-–]+$"", """")), """"))&gt;0, IFERROR(TRIM(REGEXREPLACE(TRIM(REGEXEXTRACT('AYIRA"&amp;" MINI MART FINAL MENU - Pr'!A854, ""^[^\x{0600}-\x{06FF}]+"")), ""[-–]+$"", """")), """"), GOOGLETRANSLATE('AYIRA MINI MART FINAL MENU - Pr'!A854, ""ar"", ""en"")))"),"Ülker Napoliten Milk Chocolate 30 g – Ülker Napoliten")</f>
        <v>Ülker Napoliten Milk Chocolate 30 g – Ülker Napoliten</v>
      </c>
      <c r="B854" s="56" t="str">
        <f>IFERROR(__xludf.DUMMYFUNCTION("IF('AYIRA MINI MART FINAL MENU - Pr'!B854="""", """", IF(LEN(IFERROR(TRIM(REGEXREPLACE(TRIM(REGEXEXTRACT('AYIRA MINI MART FINAL MENU - Pr'!B854, ""^[^\x{0600}-\x{06FF}]+"")), ""[-–]+$"", """")), """"))&gt;0, IFERROR(TRIM(REGEXREPLACE(TRIM(REGEXEXTRACT('AYIRA"&amp;" MINI MART FINAL MENU - Pr'!B854, ""^[^\x{0600}-\x{06FF}]+"")), ""[-–]+$"", """")), """"), GOOGLETRANSLATE('AYIRA MINI MART FINAL MENU - Pr'!B854, ""ar"", ""en"")))"),"Chocolates")</f>
        <v>Chocolates</v>
      </c>
      <c r="C854" s="58">
        <f>IF('AYIRA MINI MART FINAL MENU - Pr'!C854="", "", 'AYIRA MINI MART FINAL MENU - Pr'!C854)</f>
        <v>2</v>
      </c>
      <c r="D854" s="56" t="str">
        <f>IFERROR(__xludf.DUMMYFUNCTION("IF('AYIRA MINI MART FINAL MENU - Pr'!D854="""", """", GOOGLETRANSLATE('AYIRA MINI MART FINAL MENU - Pr'!D854, ""ar"", ""en""))"),"Indulge your senses with Ülker Napoliten Milk Chocolate 30g, a luxurious chocolate that combines rich flavor with a perfect texture. Made from the finest selected cocoa beans, it delivers an exceptional dessert experience every time. Whether you're lookin"&amp;"g for a special gift or want to treat yourself, this chocolate is the perfect choice. Savor every piece and immerse yourself in a world of smoothness and sweetness. Get yours from Aira Mini Mart and experience moments of pure delight.")</f>
        <v>Indulge your senses with Ülker Napoliten Milk Chocolate 30g,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854" s="56" t="str">
        <f>IF('AYIRA MINI MART FINAL MENU - Pr'!K854="", "", 'AYIRA MINI MART FINAL MENU - Pr'!K854)</f>
        <v/>
      </c>
      <c r="F854" s="56"/>
      <c r="G854" s="56"/>
      <c r="H854" s="56"/>
      <c r="I854" s="56"/>
      <c r="J854" s="56"/>
      <c r="L854" s="56" t="str">
        <f>IF('AYIRA MINI MART FINAL MENU - Pr'!L854="", "", 'AYIRA MINI MART FINAL MENU - Pr'!L854)</f>
        <v/>
      </c>
      <c r="M854" s="56" t="str">
        <f>IF('AYIRA MINI MART FINAL MENU - Pr'!M854="", "", 'AYIRA MINI MART FINAL MENU - Pr'!M854)</f>
        <v/>
      </c>
      <c r="N854" s="56" t="str">
        <f>IF('AYIRA MINI MART FINAL MENU - Pr'!N854="", "", 'AYIRA MINI MART FINAL MENU - Pr'!N854)</f>
        <v/>
      </c>
      <c r="O854" s="57"/>
      <c r="P854" s="57"/>
      <c r="Q854" s="57"/>
      <c r="R854" s="57"/>
      <c r="S854" s="57"/>
      <c r="T854" s="57"/>
      <c r="U854" s="57"/>
      <c r="V854" s="57"/>
      <c r="W854" s="57"/>
      <c r="X854" s="57"/>
      <c r="Y854" s="57"/>
      <c r="Z854" s="57"/>
    </row>
    <row r="855">
      <c r="A855" s="56" t="str">
        <f>IFERROR(__xludf.DUMMYFUNCTION("IF('AYIRA MINI MART FINAL MENU - Pr'!A855="""", """", IF(LEN(IFERROR(TRIM(REGEXREPLACE(TRIM(REGEXEXTRACT('AYIRA MINI MART FINAL MENU - Pr'!A855, ""^[^\x{0600}-\x{06FF}]+"")), ""[-–]+$"", """")), """"))&gt;0, IFERROR(TRIM(REGEXREPLACE(TRIM(REGEXEXTRACT('AYIRA"&amp;" MINI MART FINAL MENU - Pr'!A855, ""^[^\x{0600}-\x{06FF}]+"")), ""[-–]+$"", """")), """"), GOOGLETRANSLATE('AYIRA MINI MART FINAL MENU - Pr'!A855, ""ar"", ""en"")))"),"Hobby Caramel Nougat Bar 16 g – Hobby")</f>
        <v>Hobby Caramel Nougat Bar 16 g – Hobby</v>
      </c>
      <c r="B855" s="56" t="str">
        <f>IFERROR(__xludf.DUMMYFUNCTION("IF('AYIRA MINI MART FINAL MENU - Pr'!B855="""", """", IF(LEN(IFERROR(TRIM(REGEXREPLACE(TRIM(REGEXEXTRACT('AYIRA MINI MART FINAL MENU - Pr'!B855, ""^[^\x{0600}-\x{06FF}]+"")), ""[-–]+$"", """")), """"))&gt;0, IFERROR(TRIM(REGEXREPLACE(TRIM(REGEXEXTRACT('AYIRA"&amp;" MINI MART FINAL MENU - Pr'!B855, ""^[^\x{0600}-\x{06FF}]+"")), ""[-–]+$"", """")), """"), GOOGLETRANSLATE('AYIRA MINI MART FINAL MENU - Pr'!B855, ""ar"", ""en"")))"),"Chocolates")</f>
        <v>Chocolates</v>
      </c>
      <c r="C855" s="58">
        <f>IF('AYIRA MINI MART FINAL MENU - Pr'!C855="", "", 'AYIRA MINI MART FINAL MENU - Pr'!C855)</f>
        <v>1</v>
      </c>
      <c r="D855" s="56" t="str">
        <f>IFERROR(__xludf.DUMMYFUNCTION("IF('AYIRA MINI MART FINAL MENU - Pr'!D855="""", """", GOOGLETRANSLATE('AYIRA MINI MART FINAL MENU - Pr'!D855, ""ar"", ""en""))"),"Don't be able to resist the taste of Hobby Caramel Nougat Bar 16g, your perfect companion for relaxing and watching the game. Its unique crunch and varied flavors make every handful a delightful experience. Prepared with the finest ingredients using the l"&amp;"atest manufacturing techniques to ensure an unparalleled taste. Ideal as a snack for adults and children alike between meals. Aira Mini Mart offers it in the perfect size and flavor for you.")</f>
        <v>Don't be able to resist the taste of Hobby Caramel Nougat Bar 16g,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855" s="56" t="str">
        <f>IF('AYIRA MINI MART FINAL MENU - Pr'!K855="", "", 'AYIRA MINI MART FINAL MENU - Pr'!K855)</f>
        <v/>
      </c>
      <c r="F855" s="56"/>
      <c r="G855" s="56"/>
      <c r="H855" s="56"/>
      <c r="I855" s="56"/>
      <c r="J855" s="56"/>
      <c r="L855" s="56" t="str">
        <f>IF('AYIRA MINI MART FINAL MENU - Pr'!L855="", "", 'AYIRA MINI MART FINAL MENU - Pr'!L855)</f>
        <v/>
      </c>
      <c r="M855" s="56" t="str">
        <f>IF('AYIRA MINI MART FINAL MENU - Pr'!M855="", "", 'AYIRA MINI MART FINAL MENU - Pr'!M855)</f>
        <v/>
      </c>
      <c r="N855" s="56" t="str">
        <f>IF('AYIRA MINI MART FINAL MENU - Pr'!N855="", "", 'AYIRA MINI MART FINAL MENU - Pr'!N855)</f>
        <v/>
      </c>
      <c r="O855" s="57"/>
      <c r="P855" s="57"/>
      <c r="Q855" s="57"/>
      <c r="R855" s="57"/>
      <c r="S855" s="57"/>
      <c r="T855" s="57"/>
      <c r="U855" s="57"/>
      <c r="V855" s="57"/>
      <c r="W855" s="57"/>
      <c r="X855" s="57"/>
      <c r="Y855" s="57"/>
      <c r="Z855" s="57"/>
    </row>
    <row r="856">
      <c r="A856" s="56" t="str">
        <f>IFERROR(__xludf.DUMMYFUNCTION("IF('AYIRA MINI MART FINAL MENU - Pr'!A856="""", """", IF(LEN(IFERROR(TRIM(REGEXREPLACE(TRIM(REGEXEXTRACT('AYIRA MINI MART FINAL MENU - Pr'!A856, ""^[^\x{0600}-\x{06FF}]+"")), ""[-–]+$"", """")), """"))&gt;0, IFERROR(TRIM(REGEXREPLACE(TRIM(REGEXEXTRACT('AYIRA"&amp;" MINI MART FINAL MENU - Pr'!A856, ""^[^\x{0600}-\x{06FF}]+"")), ""[-–]+$"", """")), """"), GOOGLETRANSLATE('AYIRA MINI MART FINAL MENU - Pr'!A856, ""ar"", ""en"")))"),"Hobby Chocolate Coated Wafer Bar 20 g – Hobby")</f>
        <v>Hobby Chocolate Coated Wafer Bar 20 g – Hobby</v>
      </c>
      <c r="B856" s="56" t="str">
        <f>IFERROR(__xludf.DUMMYFUNCTION("IF('AYIRA MINI MART FINAL MENU - Pr'!B856="""", """", IF(LEN(IFERROR(TRIM(REGEXREPLACE(TRIM(REGEXEXTRACT('AYIRA MINI MART FINAL MENU - Pr'!B856, ""^[^\x{0600}-\x{06FF}]+"")), ""[-–]+$"", """")), """"))&gt;0, IFERROR(TRIM(REGEXREPLACE(TRIM(REGEXEXTRACT('AYIRA"&amp;" MINI MART FINAL MENU - Pr'!B856, ""^[^\x{0600}-\x{06FF}]+"")), ""[-–]+$"", """")), """"), GOOGLETRANSLATE('AYIRA MINI MART FINAL MENU - Pr'!B856, ""ar"", ""en"")))"),"Chocolates")</f>
        <v>Chocolates</v>
      </c>
      <c r="C856" s="58">
        <f>IF('AYIRA MINI MART FINAL MENU - Pr'!C856="", "", 'AYIRA MINI MART FINAL MENU - Pr'!C856)</f>
        <v>1</v>
      </c>
      <c r="D856" s="56" t="str">
        <f>IFERROR(__xludf.DUMMYFUNCTION("IF('AYIRA MINI MART FINAL MENU - Pr'!D856="""", """", GOOGLETRANSLATE('AYIRA MINI MART FINAL MENU - Pr'!D856, ""ar"", ""en""))"),"Indulge your senses with Hobby Chocolate Coated Wafer Bar 20g, a luxurious chocolate that combines rich taste with a perfect texture. Made from the finest selected cocoa beans, it delivers an exceptional dessert experience every time. Whether you're looki"&amp;"ng for a special gift or want to treat yourself, this chocolate is the perfect choice. Savor every piece and immerse yourself in a world of smoothness and sweetness. Get yours from Aira Mini Mart and experience moments of pure delight.")</f>
        <v>Indulge your senses with Hobby Chocolate Coated Wafer Bar 20g, a luxurious chocolate that combines rich taste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856" s="56" t="str">
        <f>IF('AYIRA MINI MART FINAL MENU - Pr'!K856="", "", 'AYIRA MINI MART FINAL MENU - Pr'!K856)</f>
        <v/>
      </c>
      <c r="F856" s="56"/>
      <c r="G856" s="56"/>
      <c r="H856" s="56"/>
      <c r="I856" s="56"/>
      <c r="J856" s="56"/>
      <c r="L856" s="56" t="str">
        <f>IF('AYIRA MINI MART FINAL MENU - Pr'!L856="", "", 'AYIRA MINI MART FINAL MENU - Pr'!L856)</f>
        <v/>
      </c>
      <c r="M856" s="56" t="str">
        <f>IF('AYIRA MINI MART FINAL MENU - Pr'!M856="", "", 'AYIRA MINI MART FINAL MENU - Pr'!M856)</f>
        <v/>
      </c>
      <c r="N856" s="56" t="str">
        <f>IF('AYIRA MINI MART FINAL MENU - Pr'!N856="", "", 'AYIRA MINI MART FINAL MENU - Pr'!N856)</f>
        <v/>
      </c>
      <c r="O856" s="57"/>
      <c r="P856" s="57"/>
      <c r="Q856" s="57"/>
      <c r="R856" s="57"/>
      <c r="S856" s="57"/>
      <c r="T856" s="57"/>
      <c r="U856" s="57"/>
      <c r="V856" s="57"/>
      <c r="W856" s="57"/>
      <c r="X856" s="57"/>
      <c r="Y856" s="57"/>
      <c r="Z856" s="57"/>
    </row>
    <row r="857">
      <c r="A857" s="56" t="str">
        <f>IFERROR(__xludf.DUMMYFUNCTION("IF('AYIRA MINI MART FINAL MENU - Pr'!A857="""", """", IF(LEN(IFERROR(TRIM(REGEXREPLACE(TRIM(REGEXEXTRACT('AYIRA MINI MART FINAL MENU - Pr'!A857, ""^[^\x{0600}-\x{06FF}]+"")), ""[-–]+$"", """")), """"))&gt;0, IFERROR(TRIM(REGEXREPLACE(TRIM(REGEXEXTRACT('AYIRA"&amp;" MINI MART FINAL MENU - Pr'!A857, ""^[^\x{0600}-\x{06FF}]+"")), ""[-–]+$"", """")), """"), GOOGLETRANSLATE('AYIRA MINI MART FINAL MENU - Pr'!A857, ""ar"", ""en"")))"),"Oreo Original Sandwich Biscuits 36.8 g")</f>
        <v>Oreo Original Sandwich Biscuits 36.8 g</v>
      </c>
      <c r="B857" s="56" t="str">
        <f>IFERROR(__xludf.DUMMYFUNCTION("IF('AYIRA MINI MART FINAL MENU - Pr'!B857="""", """", IF(LEN(IFERROR(TRIM(REGEXREPLACE(TRIM(REGEXEXTRACT('AYIRA MINI MART FINAL MENU - Pr'!B857, ""^[^\x{0600}-\x{06FF}]+"")), ""[-–]+$"", """")), """"))&gt;0, IFERROR(TRIM(REGEXREPLACE(TRIM(REGEXEXTRACT('AYIRA"&amp;" MINI MART FINAL MENU - Pr'!B857, ""^[^\x{0600}-\x{06FF}]+"")), ""[-–]+$"", """")), """"), GOOGLETRANSLATE('AYIRA MINI MART FINAL MENU - Pr'!B857, ""ar"", ""en"")))"),"Chocolates")</f>
        <v>Chocolates</v>
      </c>
      <c r="C857" s="58">
        <f>IF('AYIRA MINI MART FINAL MENU - Pr'!C857="", "", 'AYIRA MINI MART FINAL MENU - Pr'!C857)</f>
        <v>2</v>
      </c>
      <c r="D857" s="56" t="str">
        <f>IFERROR(__xludf.DUMMYFUNCTION("IF('AYIRA MINI MART FINAL MENU - Pr'!D857="""", """", GOOGLETRANSLATE('AYIRA MINI MART FINAL MENU - Pr'!D857, ""ar"", ""en""))"),"Don't be able to resist the taste of Oreo, your perfect companion for relaxing and watching the game. Its unique crunch and diverse flavors make every handful a delightful experience. Made with the finest ingredients using the latest manufacturing techniq"&amp;"ues to guarantee an unparalleled taste. Ideal as a snack for adults and children alike between meals. Aira Mini Mart offers it in the perfect size and flavor for you.")</f>
        <v>Don't be able to resist the taste of Oreo, your perfect companion for relaxing and watching the game. Its unique crunch and diverse flavors make every handful a delightful experience. Made with the finest ingredients using the latest manufacturing techniques to guarantee an unparalleled taste. Ideal as a snack for adults and children alike between meals. Aira Mini Mart offers it in the perfect size and flavor for you.</v>
      </c>
      <c r="E857" s="56" t="str">
        <f>IF('AYIRA MINI MART FINAL MENU - Pr'!K857="", "", 'AYIRA MINI MART FINAL MENU - Pr'!K857)</f>
        <v/>
      </c>
      <c r="F857" s="56"/>
      <c r="G857" s="56"/>
      <c r="H857" s="56"/>
      <c r="I857" s="56"/>
      <c r="J857" s="56"/>
      <c r="L857" s="56" t="str">
        <f>IF('AYIRA MINI MART FINAL MENU - Pr'!L857="", "", 'AYIRA MINI MART FINAL MENU - Pr'!L857)</f>
        <v/>
      </c>
      <c r="M857" s="56" t="str">
        <f>IF('AYIRA MINI MART FINAL MENU - Pr'!M857="", "", 'AYIRA MINI MART FINAL MENU - Pr'!M857)</f>
        <v/>
      </c>
      <c r="N857" s="56" t="str">
        <f>IF('AYIRA MINI MART FINAL MENU - Pr'!N857="", "", 'AYIRA MINI MART FINAL MENU - Pr'!N857)</f>
        <v/>
      </c>
      <c r="O857" s="57"/>
      <c r="P857" s="57"/>
      <c r="Q857" s="57"/>
      <c r="R857" s="57"/>
      <c r="S857" s="57"/>
      <c r="T857" s="57"/>
      <c r="U857" s="57"/>
      <c r="V857" s="57"/>
      <c r="W857" s="57"/>
      <c r="X857" s="57"/>
      <c r="Y857" s="57"/>
      <c r="Z857" s="57"/>
    </row>
    <row r="858">
      <c r="A858" s="56" t="str">
        <f>IFERROR(__xludf.DUMMYFUNCTION("IF('AYIRA MINI MART FINAL MENU - Pr'!A858="""", """", IF(LEN(IFERROR(TRIM(REGEXREPLACE(TRIM(REGEXEXTRACT('AYIRA MINI MART FINAL MENU - Pr'!A858, ""^[^\x{0600}-\x{06FF}]+"")), ""[-–]+$"", """")), """"))&gt;0, IFERROR(TRIM(REGEXREPLACE(TRIM(REGEXEXTRACT('AYIRA"&amp;" MINI MART FINAL MENU - Pr'!A858, ""^[^\x{0600}-\x{06FF}]+"")), ""[-–]+$"", """")), """"), GOOGLETRANSLATE('AYIRA MINI MART FINAL MENU - Pr'!A858, ""ar"", ""en"")))"),"Alvita Banana Wafer – Alvita Banana")</f>
        <v>Alvita Banana Wafer – Alvita Banana</v>
      </c>
      <c r="B858" s="56" t="str">
        <f>IFERROR(__xludf.DUMMYFUNCTION("IF('AYIRA MINI MART FINAL MENU - Pr'!B858="""", """", IF(LEN(IFERROR(TRIM(REGEXREPLACE(TRIM(REGEXEXTRACT('AYIRA MINI MART FINAL MENU - Pr'!B858, ""^[^\x{0600}-\x{06FF}]+"")), ""[-–]+$"", """")), """"))&gt;0, IFERROR(TRIM(REGEXREPLACE(TRIM(REGEXEXTRACT('AYIRA"&amp;" MINI MART FINAL MENU - Pr'!B858, ""^[^\x{0600}-\x{06FF}]+"")), ""[-–]+$"", """")), """"), GOOGLETRANSLATE('AYIRA MINI MART FINAL MENU - Pr'!B858, ""ar"", ""en"")))"),"Chocolates")</f>
        <v>Chocolates</v>
      </c>
      <c r="C858" s="58">
        <f>IF('AYIRA MINI MART FINAL MENU - Pr'!C858="", "", 'AYIRA MINI MART FINAL MENU - Pr'!C858)</f>
        <v>1</v>
      </c>
      <c r="D858" s="56" t="str">
        <f>IFERROR(__xludf.DUMMYFUNCTION("IF('AYIRA MINI MART FINAL MENU - Pr'!D858="""", """", GOOGLETRANSLATE('AYIRA MINI MART FINAL MENU - Pr'!D858, ""ar"", ""en""))"),"Don't be able to resist the taste of Alvita Banana Wafers, your perfect companion for relaxing and watching the game. Their unique crunch and diverse flavors make every handful a delightful experience. Made with the finest ingredients using the latest man"&amp;"ufacturing techniques to ensure an unparalleled taste. Ideal as a snack for adults and children alike between meals. Aira Mini Mart offers them in the perfect size and flavor for you.")</f>
        <v>Don't be able to resist the taste of Alvita Banana Wafers,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858" s="56" t="str">
        <f>IF('AYIRA MINI MART FINAL MENU - Pr'!K858="", "", 'AYIRA MINI MART FINAL MENU - Pr'!K858)</f>
        <v/>
      </c>
      <c r="F858" s="56"/>
      <c r="G858" s="56"/>
      <c r="H858" s="56"/>
      <c r="I858" s="56"/>
      <c r="J858" s="56"/>
      <c r="L858" s="56" t="str">
        <f>IF('AYIRA MINI MART FINAL MENU - Pr'!L858="", "", 'AYIRA MINI MART FINAL MENU - Pr'!L858)</f>
        <v/>
      </c>
      <c r="M858" s="56" t="str">
        <f>IF('AYIRA MINI MART FINAL MENU - Pr'!M858="", "", 'AYIRA MINI MART FINAL MENU - Pr'!M858)</f>
        <v/>
      </c>
      <c r="N858" s="56" t="str">
        <f>IF('AYIRA MINI MART FINAL MENU - Pr'!N858="", "", 'AYIRA MINI MART FINAL MENU - Pr'!N858)</f>
        <v/>
      </c>
      <c r="O858" s="57"/>
      <c r="P858" s="57"/>
      <c r="Q858" s="57"/>
      <c r="R858" s="57"/>
      <c r="S858" s="57"/>
      <c r="T858" s="57"/>
      <c r="U858" s="57"/>
      <c r="V858" s="57"/>
      <c r="W858" s="57"/>
      <c r="X858" s="57"/>
      <c r="Y858" s="57"/>
      <c r="Z858" s="57"/>
    </row>
    <row r="859">
      <c r="A859" s="56" t="str">
        <f>IFERROR(__xludf.DUMMYFUNCTION("IF('AYIRA MINI MART FINAL MENU - Pr'!A859="""", """", IF(LEN(IFERROR(TRIM(REGEXREPLACE(TRIM(REGEXEXTRACT('AYIRA MINI MART FINAL MENU - Pr'!A859, ""^[^\x{0600}-\x{06FF}]+"")), ""[-–]+$"", """")), """"))&gt;0, IFERROR(TRIM(REGEXREPLACE(TRIM(REGEXEXTRACT('AYIRA"&amp;" MINI MART FINAL MENU - Pr'!A859, ""^[^\x{0600}-\x{06FF}]+"")), ""[-–]+$"", """")), """"), GOOGLETRANSLATE('AYIRA MINI MART FINAL MENU - Pr'!A859, ""ar"", ""en"")))"),"Alvita Orange Wafer – Alvita")</f>
        <v>Alvita Orange Wafer – Alvita</v>
      </c>
      <c r="B859" s="56" t="str">
        <f>IFERROR(__xludf.DUMMYFUNCTION("IF('AYIRA MINI MART FINAL MENU - Pr'!B859="""", """", IF(LEN(IFERROR(TRIM(REGEXREPLACE(TRIM(REGEXEXTRACT('AYIRA MINI MART FINAL MENU - Pr'!B859, ""^[^\x{0600}-\x{06FF}]+"")), ""[-–]+$"", """")), """"))&gt;0, IFERROR(TRIM(REGEXREPLACE(TRIM(REGEXEXTRACT('AYIRA"&amp;" MINI MART FINAL MENU - Pr'!B859, ""^[^\x{0600}-\x{06FF}]+"")), ""[-–]+$"", """")), """"), GOOGLETRANSLATE('AYIRA MINI MART FINAL MENU - Pr'!B859, ""ar"", ""en"")))"),"Chocolates")</f>
        <v>Chocolates</v>
      </c>
      <c r="C859" s="58">
        <f>IF('AYIRA MINI MART FINAL MENU - Pr'!C859="", "", 'AYIRA MINI MART FINAL MENU - Pr'!C859)</f>
        <v>1</v>
      </c>
      <c r="D859" s="56" t="str">
        <f>IFERROR(__xludf.DUMMYFUNCTION("IF('AYIRA MINI MART FINAL MENU - Pr'!D859="""", """", GOOGLETRANSLATE('AYIRA MINI MART FINAL MENU - Pr'!D859, ""ar"", ""en""))"),"Don't be able to resist the taste of Alvita Orange Wafers, your perfect companion for relaxing and watching the game. Their unique crunch and diverse flavors make every handful a delightful experience. Made with the finest ingredients using the latest man"&amp;"ufacturing techniques to ensure an unparalleled taste. Ideal as a snack for adults and children alike between meals. Aira Mini Mart offers them in the perfect size and flavor for you.")</f>
        <v>Don't be able to resist the taste of Alvita Orange Wafers, your perfect companion for relaxing and watching the game. Their unique crunch and diverse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859" s="56" t="str">
        <f>IF('AYIRA MINI MART FINAL MENU - Pr'!K859="", "", 'AYIRA MINI MART FINAL MENU - Pr'!K859)</f>
        <v/>
      </c>
      <c r="F859" s="56"/>
      <c r="G859" s="56"/>
      <c r="H859" s="56"/>
      <c r="I859" s="56"/>
      <c r="J859" s="56"/>
      <c r="L859" s="56" t="str">
        <f>IF('AYIRA MINI MART FINAL MENU - Pr'!L859="", "", 'AYIRA MINI MART FINAL MENU - Pr'!L859)</f>
        <v/>
      </c>
      <c r="M859" s="56" t="str">
        <f>IF('AYIRA MINI MART FINAL MENU - Pr'!M859="", "", 'AYIRA MINI MART FINAL MENU - Pr'!M859)</f>
        <v/>
      </c>
      <c r="N859" s="56" t="str">
        <f>IF('AYIRA MINI MART FINAL MENU - Pr'!N859="", "", 'AYIRA MINI MART FINAL MENU - Pr'!N859)</f>
        <v/>
      </c>
      <c r="O859" s="57"/>
      <c r="P859" s="57"/>
      <c r="Q859" s="57"/>
      <c r="R859" s="57"/>
      <c r="S859" s="57"/>
      <c r="T859" s="57"/>
      <c r="U859" s="57"/>
      <c r="V859" s="57"/>
      <c r="W859" s="57"/>
      <c r="X859" s="57"/>
      <c r="Y859" s="57"/>
      <c r="Z859" s="57"/>
    </row>
    <row r="860">
      <c r="A860" s="56" t="str">
        <f>IFERROR(__xludf.DUMMYFUNCTION("IF('AYIRA MINI MART FINAL MENU - Pr'!A860="""", """", IF(LEN(IFERROR(TRIM(REGEXREPLACE(TRIM(REGEXEXTRACT('AYIRA MINI MART FINAL MENU - Pr'!A860, ""^[^\x{0600}-\x{06FF}]+"")), ""[-–]+$"", """")), """"))&gt;0, IFERROR(TRIM(REGEXREPLACE(TRIM(REGEXEXTRACT('AYIRA"&amp;" MINI MART FINAL MENU - Pr'!A860, ""^[^\x{0600}-\x{06FF}]+"")), ""[-–]+$"", """")), """"), GOOGLETRANSLATE('AYIRA MINI MART FINAL MENU - Pr'!A860, ""ar"", ""en"")))"),"Exira Strawberry Wafer 32 g – Exira")</f>
        <v>Exira Strawberry Wafer 32 g – Exira</v>
      </c>
      <c r="B860" s="56" t="str">
        <f>IFERROR(__xludf.DUMMYFUNCTION("IF('AYIRA MINI MART FINAL MENU - Pr'!B860="""", """", IF(LEN(IFERROR(TRIM(REGEXREPLACE(TRIM(REGEXEXTRACT('AYIRA MINI MART FINAL MENU - Pr'!B860, ""^[^\x{0600}-\x{06FF}]+"")), ""[-–]+$"", """")), """"))&gt;0, IFERROR(TRIM(REGEXREPLACE(TRIM(REGEXEXTRACT('AYIRA"&amp;" MINI MART FINAL MENU - Pr'!B860, ""^[^\x{0600}-\x{06FF}]+"")), ""[-–]+$"", """")), """"), GOOGLETRANSLATE('AYIRA MINI MART FINAL MENU - Pr'!B860, ""ar"", ""en"")))"),"Chocolates")</f>
        <v>Chocolates</v>
      </c>
      <c r="C860" s="58">
        <f>IF('AYIRA MINI MART FINAL MENU - Pr'!C860="", "", 'AYIRA MINI MART FINAL MENU - Pr'!C860)</f>
        <v>1</v>
      </c>
      <c r="D860" s="56" t="str">
        <f>IFERROR(__xludf.DUMMYFUNCTION("IF('AYIRA MINI MART FINAL MENU - Pr'!D860="""", """", GOOGLETRANSLATE('AYIRA MINI MART FINAL MENU - Pr'!D860, ""ar"", ""en""))"),"Don't be able to resist the taste of Exira Strawberry Wafer 32g, your perfect companion for relaxing and watching the game. Its unique crunch and varied flavors make every handful a delightful experience. Prepared with the finest ingredients using the lat"&amp;"est manufacturing techniques to ensure an unparalleled taste. Ideal as a snack for adults and children alike between meals. Exira Mini Mart offers it in the perfect size and flavor for you.")</f>
        <v>Don't be able to resist the taste of Exira Strawberry Wafer 32g,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Exira Mini Mart offers it in the perfect size and flavor for you.</v>
      </c>
      <c r="E860" s="56" t="str">
        <f>IF('AYIRA MINI MART FINAL MENU - Pr'!K860="", "", 'AYIRA MINI MART FINAL MENU - Pr'!K860)</f>
        <v/>
      </c>
      <c r="F860" s="56"/>
      <c r="G860" s="56"/>
      <c r="H860" s="56"/>
      <c r="I860" s="56"/>
      <c r="J860" s="56"/>
      <c r="L860" s="56" t="str">
        <f>IF('AYIRA MINI MART FINAL MENU - Pr'!L860="", "", 'AYIRA MINI MART FINAL MENU - Pr'!L860)</f>
        <v/>
      </c>
      <c r="M860" s="56" t="str">
        <f>IF('AYIRA MINI MART FINAL MENU - Pr'!M860="", "", 'AYIRA MINI MART FINAL MENU - Pr'!M860)</f>
        <v/>
      </c>
      <c r="N860" s="56" t="str">
        <f>IF('AYIRA MINI MART FINAL MENU - Pr'!N860="", "", 'AYIRA MINI MART FINAL MENU - Pr'!N860)</f>
        <v/>
      </c>
      <c r="O860" s="57"/>
      <c r="P860" s="57"/>
      <c r="Q860" s="57"/>
      <c r="R860" s="57"/>
      <c r="S860" s="57"/>
      <c r="T860" s="57"/>
      <c r="U860" s="57"/>
      <c r="V860" s="57"/>
      <c r="W860" s="57"/>
      <c r="X860" s="57"/>
      <c r="Y860" s="57"/>
      <c r="Z860" s="57"/>
    </row>
    <row r="861">
      <c r="A861" s="56" t="str">
        <f>IFERROR(__xludf.DUMMYFUNCTION("IF('AYIRA MINI MART FINAL MENU - Pr'!A861="""", """", IF(LEN(IFERROR(TRIM(REGEXREPLACE(TRIM(REGEXEXTRACT('AYIRA MINI MART FINAL MENU - Pr'!A861, ""^[^\x{0600}-\x{06FF}]+"")), ""[-–]+$"", """")), """"))&gt;0, IFERROR(TRIM(REGEXREPLACE(TRIM(REGEXEXTRACT('AYIRA"&amp;" MINI MART FINAL MENU - Pr'!A861, ""^[^\x{0600}-\x{06FF}]+"")), ""[-–]+$"", """")), """"), GOOGLETRANSLATE('AYIRA MINI MART FINAL MENU - Pr'!A861, ""ar"", ""en"")))"),"Avita Strawberry Wafe 23 g – Avita")</f>
        <v>Avita Strawberry Wafe 23 g – Avita</v>
      </c>
      <c r="B861" s="56" t="str">
        <f>IFERROR(__xludf.DUMMYFUNCTION("IF('AYIRA MINI MART FINAL MENU - Pr'!B861="""", """", IF(LEN(IFERROR(TRIM(REGEXREPLACE(TRIM(REGEXEXTRACT('AYIRA MINI MART FINAL MENU - Pr'!B861, ""^[^\x{0600}-\x{06FF}]+"")), ""[-–]+$"", """")), """"))&gt;0, IFERROR(TRIM(REGEXREPLACE(TRIM(REGEXEXTRACT('AYIRA"&amp;" MINI MART FINAL MENU - Pr'!B861, ""^[^\x{0600}-\x{06FF}]+"")), ""[-–]+$"", """")), """"), GOOGLETRANSLATE('AYIRA MINI MART FINAL MENU - Pr'!B861, ""ar"", ""en"")))"),"Chocolates")</f>
        <v>Chocolates</v>
      </c>
      <c r="C861" s="58">
        <f>IF('AYIRA MINI MART FINAL MENU - Pr'!C861="", "", 'AYIRA MINI MART FINAL MENU - Pr'!C861)</f>
        <v>1</v>
      </c>
      <c r="D861" s="56" t="str">
        <f>IFERROR(__xludf.DUMMYFUNCTION("IF('AYIRA MINI MART FINAL MENU - Pr'!D861="""", """", GOOGLETRANSLATE('AYIRA MINI MART FINAL MENU - Pr'!D861, ""ar"", ""en""))"),"Don't be able to resist the taste of Avita Strawberry Wafe 23g, your perfect companion for relaxing and watching the game. Its unique crunch and varied flavors make every handful a delightful experience. Prepared with the finest ingredients using the late"&amp;"st manufacturing techniques to ensure an unparalleled taste. Ideal as a snack for adults and children alike between meals. Aira Mini Mart offers it in the perfect size and flavor for you.")</f>
        <v>Don't be able to resist the taste of Avita Strawberry Wafe 23g,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861" s="56" t="str">
        <f>IF('AYIRA MINI MART FINAL MENU - Pr'!K861="", "", 'AYIRA MINI MART FINAL MENU - Pr'!K861)</f>
        <v/>
      </c>
      <c r="F861" s="56"/>
      <c r="G861" s="56"/>
      <c r="H861" s="56"/>
      <c r="I861" s="56"/>
      <c r="J861" s="56"/>
      <c r="L861" s="56" t="str">
        <f>IF('AYIRA MINI MART FINAL MENU - Pr'!L861="", "", 'AYIRA MINI MART FINAL MENU - Pr'!L861)</f>
        <v/>
      </c>
      <c r="M861" s="56" t="str">
        <f>IF('AYIRA MINI MART FINAL MENU - Pr'!M861="", "", 'AYIRA MINI MART FINAL MENU - Pr'!M861)</f>
        <v/>
      </c>
      <c r="N861" s="56" t="str">
        <f>IF('AYIRA MINI MART FINAL MENU - Pr'!N861="", "", 'AYIRA MINI MART FINAL MENU - Pr'!N861)</f>
        <v/>
      </c>
      <c r="O861" s="57"/>
      <c r="P861" s="57"/>
      <c r="Q861" s="57"/>
      <c r="R861" s="57"/>
      <c r="S861" s="57"/>
      <c r="T861" s="57"/>
      <c r="U861" s="57"/>
      <c r="V861" s="57"/>
      <c r="W861" s="57"/>
      <c r="X861" s="57"/>
      <c r="Y861" s="57"/>
      <c r="Z861" s="57"/>
    </row>
    <row r="862">
      <c r="A862" s="56" t="str">
        <f>IFERROR(__xludf.DUMMYFUNCTION("IF('AYIRA MINI MART FINAL MENU - Pr'!A862="""", """", IF(LEN(IFERROR(TRIM(REGEXREPLACE(TRIM(REGEXEXTRACT('AYIRA MINI MART FINAL MENU - Pr'!A862, ""^[^\x{0600}-\x{06FF}]+"")), ""[-–]+$"", """")), """"))&gt;0, IFERROR(TRIM(REGEXREPLACE(TRIM(REGEXEXTRACT('AYIRA"&amp;" MINI MART FINAL MENU - Pr'!A862, ""^[^\x{0600}-\x{06FF}]+"")), ""[-–]+$"", """")), """"), GOOGLETRANSLATE('AYIRA MINI MART FINAL MENU - Pr'!A862, ""ar"", ""en"")))"),"Double Dares Jelly Bean Game Cup – Double Dares Jelly Bean Game")</f>
        <v>Double Dares Jelly Bean Game Cup – Double Dares Jelly Bean Game</v>
      </c>
      <c r="B862" s="56" t="str">
        <f>IFERROR(__xludf.DUMMYFUNCTION("IF('AYIRA MINI MART FINAL MENU - Pr'!B862="""", """", IF(LEN(IFERROR(TRIM(REGEXREPLACE(TRIM(REGEXEXTRACT('AYIRA MINI MART FINAL MENU - Pr'!B862, ""^[^\x{0600}-\x{06FF}]+"")), ""[-–]+$"", """")), """"))&gt;0, IFERROR(TRIM(REGEXREPLACE(TRIM(REGEXEXTRACT('AYIRA"&amp;" MINI MART FINAL MENU - Pr'!B862, ""^[^\x{0600}-\x{06FF}]+"")), ""[-–]+$"", """")), """"), GOOGLETRANSLATE('AYIRA MINI MART FINAL MENU - Pr'!B862, ""ar"", ""en"")))"),"Candy |")</f>
        <v>Candy |</v>
      </c>
      <c r="C862" s="58">
        <f>IF('AYIRA MINI MART FINAL MENU - Pr'!C862="", "", 'AYIRA MINI MART FINAL MENU - Pr'!C862)</f>
        <v>9</v>
      </c>
      <c r="D862" s="56" t="str">
        <f>IFERROR(__xludf.DUMMYFUNCTION("IF('AYIRA MINI MART FINAL MENU - Pr'!D862="""", """", GOOGLETRANSLATE('AYIRA MINI MART FINAL MENU - Pr'!D862, ""ar"", ""en""))"),"Add a sweet treat to your day with Double Dares Jelly Bean Game Cups, a delicious treat loved by everyone. Their variety of flavors and vibrant colors make them suitable for all ages. Perfect as a small reward or a light gift for friends and family. Made "&amp;"with high-quality ingredients to ensure great taste in every cup. Get yours from Aira Mini Mart and spread the joy to your loved ones.")</f>
        <v>Add a sweet treat to your day with Double Dares Jelly Bean Game Cups, a delicious treat loved by everyone. Their variety of flavors and vibrant colors make them suitable for all ages. Perfect as a small reward or a light gift for friends and family. Made with high-quality ingredients to ensure great taste in every cup. Get yours from Aira Mini Mart and spread the joy to your loved ones.</v>
      </c>
      <c r="E862" s="56" t="str">
        <f>IF('AYIRA MINI MART FINAL MENU - Pr'!K862="", "", 'AYIRA MINI MART FINAL MENU - Pr'!K862)</f>
        <v/>
      </c>
      <c r="F862" s="56"/>
      <c r="G862" s="56"/>
      <c r="H862" s="56"/>
      <c r="I862" s="56"/>
      <c r="J862" s="56"/>
      <c r="L862" s="56" t="str">
        <f>IF('AYIRA MINI MART FINAL MENU - Pr'!L862="", "", 'AYIRA MINI MART FINAL MENU - Pr'!L862)</f>
        <v/>
      </c>
      <c r="M862" s="56" t="str">
        <f>IF('AYIRA MINI MART FINAL MENU - Pr'!M862="", "", 'AYIRA MINI MART FINAL MENU - Pr'!M862)</f>
        <v/>
      </c>
      <c r="N862" s="56" t="str">
        <f>IF('AYIRA MINI MART FINAL MENU - Pr'!N862="", "", 'AYIRA MINI MART FINAL MENU - Pr'!N862)</f>
        <v/>
      </c>
      <c r="O862" s="57"/>
      <c r="P862" s="57"/>
      <c r="Q862" s="57"/>
      <c r="R862" s="57"/>
      <c r="S862" s="57"/>
      <c r="T862" s="57"/>
      <c r="U862" s="57"/>
      <c r="V862" s="57"/>
      <c r="W862" s="57"/>
      <c r="X862" s="57"/>
      <c r="Y862" s="57"/>
      <c r="Z862" s="57"/>
    </row>
    <row r="863">
      <c r="A863" s="56" t="str">
        <f>IFERROR(__xludf.DUMMYFUNCTION("IF('AYIRA MINI MART FINAL MENU - Pr'!A863="""", """", IF(LEN(IFERROR(TRIM(REGEXREPLACE(TRIM(REGEXEXTRACT('AYIRA MINI MART FINAL MENU - Pr'!A863, ""^[^\x{0600}-\x{06FF}]+"")), ""[-–]+$"", """")), """"))&gt;0, IFERROR(TRIM(REGEXREPLACE(TRIM(REGEXEXTRACT('AYIRA"&amp;" MINI MART FINAL MENU - Pr'!A863, ""^[^\x{0600}-\x{06FF}]+"")), ""[-–]+$"", """")), """"), GOOGLETRANSLATE('AYIRA MINI MART FINAL MENU - Pr'!A863, ""ar"", ""en"")))"),"Brain Blasterz Super Sour Berry Candy 48")</f>
        <v>Brain Blasterz Super Sour Berry Candy 48</v>
      </c>
      <c r="B863" s="56" t="str">
        <f>IFERROR(__xludf.DUMMYFUNCTION("IF('AYIRA MINI MART FINAL MENU - Pr'!B863="""", """", IF(LEN(IFERROR(TRIM(REGEXREPLACE(TRIM(REGEXEXTRACT('AYIRA MINI MART FINAL MENU - Pr'!B863, ""^[^\x{0600}-\x{06FF}]+"")), ""[-–]+$"", """")), """"))&gt;0, IFERROR(TRIM(REGEXREPLACE(TRIM(REGEXEXTRACT('AYIRA"&amp;" MINI MART FINAL MENU - Pr'!B863, ""^[^\x{0600}-\x{06FF}]+"")), ""[-–]+$"", """")), """"), GOOGLETRANSLATE('AYIRA MINI MART FINAL MENU - Pr'!B863, ""ar"", ""en"")))"),"Candy |")</f>
        <v>Candy |</v>
      </c>
      <c r="C863" s="58">
        <f>IF('AYIRA MINI MART FINAL MENU - Pr'!C863="", "", 'AYIRA MINI MART FINAL MENU - Pr'!C863)</f>
        <v>7.5</v>
      </c>
      <c r="D863" s="56" t="str">
        <f>IFERROR(__xludf.DUMMYFUNCTION("IF('AYIRA MINI MART FINAL MENU - Pr'!D863="""", """", GOOGLETRANSLATE('AYIRA MINI MART FINAL MENU - Pr'!D863, ""ar"", ""en""))"),"Add a sweet treat to your day with Brain Blasterz Super Sour Berry Candy 48, a delicious candy loved by everyone. Its variety of flavors and attractive colors make it suitable for all ages. Perfect as a small reward or a light gift for friends and family."&amp;" Made with high quality ingredients to ensure great taste in every piece. Get yours from Aira Mini Mart and spread the joy to your loved ones.")</f>
        <v>Add a sweet treat to your day with Brain Blasterz Super Sour Berry Candy 48, a delicious candy loved by everyone. Its variety of flavors and attractive colors make it suitable for all ages. Perfect as a small reward or a light gift for friends and family. Made with high quality ingredients to ensure great taste in every piece. Get yours from Aira Mini Mart and spread the joy to your loved ones.</v>
      </c>
      <c r="E863" s="56" t="str">
        <f>IF('AYIRA MINI MART FINAL MENU - Pr'!K863="", "", 'AYIRA MINI MART FINAL MENU - Pr'!K863)</f>
        <v/>
      </c>
      <c r="F863" s="56"/>
      <c r="G863" s="56"/>
      <c r="H863" s="56"/>
      <c r="I863" s="56"/>
      <c r="J863" s="56"/>
      <c r="L863" s="56" t="str">
        <f>IF('AYIRA MINI MART FINAL MENU - Pr'!L863="", "", 'AYIRA MINI MART FINAL MENU - Pr'!L863)</f>
        <v/>
      </c>
      <c r="M863" s="56" t="str">
        <f>IF('AYIRA MINI MART FINAL MENU - Pr'!M863="", "", 'AYIRA MINI MART FINAL MENU - Pr'!M863)</f>
        <v/>
      </c>
      <c r="N863" s="56" t="str">
        <f>IF('AYIRA MINI MART FINAL MENU - Pr'!N863="", "", 'AYIRA MINI MART FINAL MENU - Pr'!N863)</f>
        <v/>
      </c>
      <c r="O863" s="57"/>
      <c r="P863" s="57"/>
      <c r="Q863" s="57"/>
      <c r="R863" s="57"/>
      <c r="S863" s="57"/>
      <c r="T863" s="57"/>
      <c r="U863" s="57"/>
      <c r="V863" s="57"/>
      <c r="W863" s="57"/>
      <c r="X863" s="57"/>
      <c r="Y863" s="57"/>
      <c r="Z863" s="57"/>
    </row>
    <row r="864">
      <c r="A864" s="56" t="str">
        <f>IFERROR(__xludf.DUMMYFUNCTION("IF('AYIRA MINI MART FINAL MENU - Pr'!A864="""", """", IF(LEN(IFERROR(TRIM(REGEXREPLACE(TRIM(REGEXEXTRACT('AYIRA MINI MART FINAL MENU - Pr'!A864, ""^[^\x{0600}-\x{06FF}]+"")), ""[-–]+$"", """")), """"))&gt;0, IFERROR(TRIM(REGEXREPLACE(TRIM(REGEXEXTRACT('AYIRA"&amp;" MINI MART FINAL MENU - Pr'!A864, ""^[^\x{0600}-\x{06FF}]+"")), ""[-–]+$"", """")), """"), GOOGLETRANSLATE('AYIRA MINI MART FINAL MENU - Pr'!A864, ""ar"", ""en"")))"),"Brain Blasterz Super Sour Candy 48")</f>
        <v>Brain Blasterz Super Sour Candy 48</v>
      </c>
      <c r="B864" s="56" t="str">
        <f>IFERROR(__xludf.DUMMYFUNCTION("IF('AYIRA MINI MART FINAL MENU - Pr'!B864="""", """", IF(LEN(IFERROR(TRIM(REGEXREPLACE(TRIM(REGEXEXTRACT('AYIRA MINI MART FINAL MENU - Pr'!B864, ""^[^\x{0600}-\x{06FF}]+"")), ""[-–]+$"", """")), """"))&gt;0, IFERROR(TRIM(REGEXREPLACE(TRIM(REGEXEXTRACT('AYIRA"&amp;" MINI MART FINAL MENU - Pr'!B864, ""^[^\x{0600}-\x{06FF}]+"")), ""[-–]+$"", """")), """"), GOOGLETRANSLATE('AYIRA MINI MART FINAL MENU - Pr'!B864, ""ar"", ""en"")))"),"Candy |")</f>
        <v>Candy |</v>
      </c>
      <c r="C864" s="58">
        <f>IF('AYIRA MINI MART FINAL MENU - Pr'!C864="", "", 'AYIRA MINI MART FINAL MENU - Pr'!C864)</f>
        <v>7.5</v>
      </c>
      <c r="D864" s="56" t="str">
        <f>IFERROR(__xludf.DUMMYFUNCTION("IF('AYIRA MINI MART FINAL MENU - Pr'!D864="""", """", GOOGLETRANSLATE('AYIRA MINI MART FINAL MENU - Pr'!D864, ""ar"", ""en""))"),"Add a sweet treat to your day with Brain Blasterz Super Sour Candy 48, a delicious candy loved by everyone. Its variety of flavors and vibrant colors make it suitable for all ages. Perfect as a small reward or a light gift for friends and family. Made wit"&amp;"h high-quality ingredients to ensure great taste in every piece. Get yours from Aira Mini Mart and spread the joy to your loved ones.")</f>
        <v>Add a sweet treat to your day with Brain Blasterz Super Sour Candy 48, a delicious candy loved by everyone. Its variety of flavors and vibrant colors make it suitable for all ages. Perfect as a small reward or a light gift for friends and family. Made with high-quality ingredients to ensure great taste in every piece. Get yours from Aira Mini Mart and spread the joy to your loved ones.</v>
      </c>
      <c r="E864" s="56" t="str">
        <f>IF('AYIRA MINI MART FINAL MENU - Pr'!K864="", "", 'AYIRA MINI MART FINAL MENU - Pr'!K864)</f>
        <v/>
      </c>
      <c r="F864" s="56"/>
      <c r="G864" s="56"/>
      <c r="H864" s="56"/>
      <c r="I864" s="56"/>
      <c r="J864" s="56"/>
      <c r="L864" s="56" t="str">
        <f>IF('AYIRA MINI MART FINAL MENU - Pr'!L864="", "", 'AYIRA MINI MART FINAL MENU - Pr'!L864)</f>
        <v/>
      </c>
      <c r="M864" s="56" t="str">
        <f>IF('AYIRA MINI MART FINAL MENU - Pr'!M864="", "", 'AYIRA MINI MART FINAL MENU - Pr'!M864)</f>
        <v/>
      </c>
      <c r="N864" s="56" t="str">
        <f>IF('AYIRA MINI MART FINAL MENU - Pr'!N864="", "", 'AYIRA MINI MART FINAL MENU - Pr'!N864)</f>
        <v/>
      </c>
      <c r="O864" s="57"/>
      <c r="P864" s="57"/>
      <c r="Q864" s="57"/>
      <c r="R864" s="57"/>
      <c r="S864" s="57"/>
      <c r="T864" s="57"/>
      <c r="U864" s="57"/>
      <c r="V864" s="57"/>
      <c r="W864" s="57"/>
      <c r="X864" s="57"/>
      <c r="Y864" s="57"/>
      <c r="Z864" s="57"/>
    </row>
    <row r="865">
      <c r="A865" s="56" t="str">
        <f>IFERROR(__xludf.DUMMYFUNCTION("IF('AYIRA MINI MART FINAL MENU - Pr'!A865="""", """", IF(LEN(IFERROR(TRIM(REGEXREPLACE(TRIM(REGEXEXTRACT('AYIRA MINI MART FINAL MENU - Pr'!A865, ""^[^\x{0600}-\x{06FF}]+"")), ""[-–]+$"", """")), """"))&gt;0, IFERROR(TRIM(REGEXREPLACE(TRIM(REGEXEXTRACT('AYIRA"&amp;" MINI MART FINAL MENU - Pr'!A865, ""^[^\x{0600}-\x{06FF}]+"")), ""[-–]+$"", """")), """"), GOOGLETRANSLATE('AYIRA MINI MART FINAL MENU - Pr'!A865, ""ar"", ""en"")))"),"Ice Blasterz Super Sour Cool Candy 48 g – Ice Blasterz Super Sour Cool Candy 48")</f>
        <v>Ice Blasterz Super Sour Cool Candy 48 g – Ice Blasterz Super Sour Cool Candy 48</v>
      </c>
      <c r="B865" s="56" t="str">
        <f>IFERROR(__xludf.DUMMYFUNCTION("IF('AYIRA MINI MART FINAL MENU - Pr'!B865="""", """", IF(LEN(IFERROR(TRIM(REGEXREPLACE(TRIM(REGEXEXTRACT('AYIRA MINI MART FINAL MENU - Pr'!B865, ""^[^\x{0600}-\x{06FF}]+"")), ""[-–]+$"", """")), """"))&gt;0, IFERROR(TRIM(REGEXREPLACE(TRIM(REGEXEXTRACT('AYIRA"&amp;" MINI MART FINAL MENU - Pr'!B865, ""^[^\x{0600}-\x{06FF}]+"")), ""[-–]+$"", """")), """"), GOOGLETRANSLATE('AYIRA MINI MART FINAL MENU - Pr'!B865, ""ar"", ""en"")))"),"Candy |")</f>
        <v>Candy |</v>
      </c>
      <c r="C865" s="58">
        <f>IF('AYIRA MINI MART FINAL MENU - Pr'!C865="", "", 'AYIRA MINI MART FINAL MENU - Pr'!C865)</f>
        <v>7</v>
      </c>
      <c r="D865" s="56" t="str">
        <f>IFERROR(__xludf.DUMMYFUNCTION("IF('AYIRA MINI MART FINAL MENU - Pr'!D865="""", """", GOOGLETRANSLATE('AYIRA MINI MART FINAL MENU - Pr'!D865, ""ar"", ""en""))"),"Add a sweet treat to your day with Ice Blasterz Super Sour Cool Candy 48g, a delicious treat loved by everyone. Its variety of flavors and attractive colors make it suitable for all ages. Perfect as a small reward or a light gift for friends and family. M"&amp;"ade with high quality ingredients to ensure a great taste in every piece. Get yours from Aira Mini Mart and spread the joy to your loved ones.")</f>
        <v>Add a sweet treat to your day with Ice Blasterz Super Sour Cool Candy 48g, a delicious treat loved by everyone. Its variety of flavors and attractive colors make it suitable for all ages. Perfect as a small reward or a light gift for friends and family. Made with high quality ingredients to ensure a great taste in every piece. Get yours from Aira Mini Mart and spread the joy to your loved ones.</v>
      </c>
      <c r="E865" s="56" t="str">
        <f>IF('AYIRA MINI MART FINAL MENU - Pr'!K865="", "", 'AYIRA MINI MART FINAL MENU - Pr'!K865)</f>
        <v/>
      </c>
      <c r="F865" s="56"/>
      <c r="G865" s="56"/>
      <c r="H865" s="56"/>
      <c r="I865" s="56"/>
      <c r="J865" s="56"/>
      <c r="L865" s="56" t="str">
        <f>IF('AYIRA MINI MART FINAL MENU - Pr'!L865="", "", 'AYIRA MINI MART FINAL MENU - Pr'!L865)</f>
        <v/>
      </c>
      <c r="M865" s="56" t="str">
        <f>IF('AYIRA MINI MART FINAL MENU - Pr'!M865="", "", 'AYIRA MINI MART FINAL MENU - Pr'!M865)</f>
        <v/>
      </c>
      <c r="N865" s="56" t="str">
        <f>IF('AYIRA MINI MART FINAL MENU - Pr'!N865="", "", 'AYIRA MINI MART FINAL MENU - Pr'!N865)</f>
        <v/>
      </c>
      <c r="O865" s="57"/>
      <c r="P865" s="57"/>
      <c r="Q865" s="57"/>
      <c r="R865" s="57"/>
      <c r="S865" s="57"/>
      <c r="T865" s="57"/>
      <c r="U865" s="57"/>
      <c r="V865" s="57"/>
      <c r="W865" s="57"/>
      <c r="X865" s="57"/>
      <c r="Y865" s="57"/>
      <c r="Z865" s="57"/>
    </row>
    <row r="866">
      <c r="A866" s="56" t="str">
        <f>IFERROR(__xludf.DUMMYFUNCTION("IF('AYIRA MINI MART FINAL MENU - Pr'!A866="""", """", IF(LEN(IFERROR(TRIM(REGEXREPLACE(TRIM(REGEXEXTRACT('AYIRA MINI MART FINAL MENU - Pr'!A866, ""^[^\x{0600}-\x{06FF}]+"")), ""[-–]+$"", """")), """"))&gt;0, IFERROR(TRIM(REGEXREPLACE(TRIM(REGEXEXTRACT('AYIRA"&amp;" MINI MART FINAL MENU - Pr'!A866, ""^[^\x{0600}-\x{06FF}]+"")), ""[-–]+$"", """")), """"), GOOGLETRANSLATE('AYIRA MINI MART FINAL MENU - Pr'!A866, ""ar"", ""en"")))"),"Fun Basketball Candy Toy")</f>
        <v>Fun Basketball Candy Toy</v>
      </c>
      <c r="B866" s="56" t="str">
        <f>IFERROR(__xludf.DUMMYFUNCTION("IF('AYIRA MINI MART FINAL MENU - Pr'!B866="""", """", IF(LEN(IFERROR(TRIM(REGEXREPLACE(TRIM(REGEXEXTRACT('AYIRA MINI MART FINAL MENU - Pr'!B866, ""^[^\x{0600}-\x{06FF}]+"")), ""[-–]+$"", """")), """"))&gt;0, IFERROR(TRIM(REGEXREPLACE(TRIM(REGEXEXTRACT('AYIRA"&amp;" MINI MART FINAL MENU - Pr'!B866, ""^[^\x{0600}-\x{06FF}]+"")), ""[-–]+$"", """")), """"), GOOGLETRANSLATE('AYIRA MINI MART FINAL MENU - Pr'!B866, ""ar"", ""en"")))"),"Candy |")</f>
        <v>Candy |</v>
      </c>
      <c r="C866" s="58">
        <f>IF('AYIRA MINI MART FINAL MENU - Pr'!C866="", "", 'AYIRA MINI MART FINAL MENU - Pr'!C866)</f>
        <v>8</v>
      </c>
      <c r="D866" s="56" t="str">
        <f>IFERROR(__xludf.DUMMYFUNCTION("IF('AYIRA MINI MART FINAL MENU - Pr'!D866="""", """", GOOGLETRANSLATE('AYIRA MINI MART FINAL MENU - Pr'!D866, ""ar"", ""en""))"),"Add a sweet moment to your day with Fun Basketball Candy Toy, a delicious treat loved by everyone. Its variety of flavors and attractive colors make it suitable for all ages. Perfect as a small reward or a light gift for friends and family. Made with high"&amp;" quality to ensure great taste in every piece. Get yours from Aira Mini Mart and spread joy to your loved ones.")</f>
        <v>Add a sweet moment to your day with Fun Basketball Candy Toy, a delicious treat loved by everyone. Its variety of flavors and attractive colors make it suitable for all ages. Perfect as a small reward or a light gift for friends and family. Made with high quality to ensure great taste in every piece. Get yours from Aira Mini Mart and spread joy to your loved ones.</v>
      </c>
      <c r="E866" s="56" t="str">
        <f>IF('AYIRA MINI MART FINAL MENU - Pr'!K866="", "", 'AYIRA MINI MART FINAL MENU - Pr'!K866)</f>
        <v/>
      </c>
      <c r="F866" s="56"/>
      <c r="G866" s="56"/>
      <c r="H866" s="56"/>
      <c r="I866" s="56"/>
      <c r="J866" s="56"/>
      <c r="L866" s="56" t="str">
        <f>IF('AYIRA MINI MART FINAL MENU - Pr'!L866="", "", 'AYIRA MINI MART FINAL MENU - Pr'!L866)</f>
        <v/>
      </c>
      <c r="M866" s="56" t="str">
        <f>IF('AYIRA MINI MART FINAL MENU - Pr'!M866="", "", 'AYIRA MINI MART FINAL MENU - Pr'!M866)</f>
        <v/>
      </c>
      <c r="N866" s="56" t="str">
        <f>IF('AYIRA MINI MART FINAL MENU - Pr'!N866="", "", 'AYIRA MINI MART FINAL MENU - Pr'!N866)</f>
        <v/>
      </c>
      <c r="O866" s="57"/>
      <c r="P866" s="57"/>
      <c r="Q866" s="57"/>
      <c r="R866" s="57"/>
      <c r="S866" s="57"/>
      <c r="T866" s="57"/>
      <c r="U866" s="57"/>
      <c r="V866" s="57"/>
      <c r="W866" s="57"/>
      <c r="X866" s="57"/>
      <c r="Y866" s="57"/>
      <c r="Z866" s="57"/>
    </row>
    <row r="867">
      <c r="A867" s="56" t="str">
        <f>IFERROR(__xludf.DUMMYFUNCTION("IF('AYIRA MINI MART FINAL MENU - Pr'!A867="""", """", IF(LEN(IFERROR(TRIM(REGEXREPLACE(TRIM(REGEXEXTRACT('AYIRA MINI MART FINAL MENU - Pr'!A867, ""^[^\x{0600}-\x{06FF}]+"")), ""[-–]+$"", """")), """"))&gt;0, IFERROR(TRIM(REGEXREPLACE(TRIM(REGEXEXTRACT('AYIRA"&amp;" MINI MART FINAL MENU - Pr'!A867, ""^[^\x{0600}-\x{06FF}]+"")), ""[-–]+$"", """")), """"), GOOGLETRANSLATE('AYIRA MINI MART FINAL MENU - Pr'!A867, ""ar"", ""en"")))"),"Brain Blasterz Apple Flavour Brain Gunk 28 ML – Brain Blasterz")</f>
        <v>Brain Blasterz Apple Flavour Brain Gunk 28 ML – Brain Blasterz</v>
      </c>
      <c r="B867" s="56" t="str">
        <f>IFERROR(__xludf.DUMMYFUNCTION("IF('AYIRA MINI MART FINAL MENU - Pr'!B867="""", """", IF(LEN(IFERROR(TRIM(REGEXREPLACE(TRIM(REGEXEXTRACT('AYIRA MINI MART FINAL MENU - Pr'!B867, ""^[^\x{0600}-\x{06FF}]+"")), ""[-–]+$"", """")), """"))&gt;0, IFERROR(TRIM(REGEXREPLACE(TRIM(REGEXEXTRACT('AYIRA"&amp;" MINI MART FINAL MENU - Pr'!B867, ""^[^\x{0600}-\x{06FF}]+"")), ""[-–]+$"", """")), """"), GOOGLETRANSLATE('AYIRA MINI MART FINAL MENU - Pr'!B867, ""ar"", ""en"")))"),"Candy |")</f>
        <v>Candy |</v>
      </c>
      <c r="C867" s="58">
        <f>IF('AYIRA MINI MART FINAL MENU - Pr'!C867="", "", 'AYIRA MINI MART FINAL MENU - Pr'!C867)</f>
        <v>4.5</v>
      </c>
      <c r="D867" s="56" t="str">
        <f>IFERROR(__xludf.DUMMYFUNCTION("IF('AYIRA MINI MART FINAL MENU - Pr'!D867="""", """", GOOGLETRANSLATE('AYIRA MINI MART FINAL MENU - Pr'!D867, ""ar"", ""en""))"),"Don't be able to resist the taste of Brain Blasterz Apple Flavor Brain Gunk 28ml, your perfect companion for relaxing and watching the game. Its unique crunch and varied flavors make every handful a delightful experience. Prepared with the finest ingredie"&amp;"nts using the latest manufacturing techniques to ensure an unparalleled taste. Ideal as a snack for adults and children between meals. Aira Mini Mart offers it in the perfect size and flavor for you.")</f>
        <v>Don't be able to resist the taste of Brain Blasterz Apple Flavor Brain Gunk 28ml,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867" s="56" t="str">
        <f>IF('AYIRA MINI MART FINAL MENU - Pr'!K867="", "", 'AYIRA MINI MART FINAL MENU - Pr'!K867)</f>
        <v/>
      </c>
      <c r="F867" s="56"/>
      <c r="G867" s="56"/>
      <c r="H867" s="56"/>
      <c r="I867" s="56"/>
      <c r="J867" s="56"/>
      <c r="L867" s="56" t="str">
        <f>IF('AYIRA MINI MART FINAL MENU - Pr'!L867="", "", 'AYIRA MINI MART FINAL MENU - Pr'!L867)</f>
        <v/>
      </c>
      <c r="M867" s="56" t="str">
        <f>IF('AYIRA MINI MART FINAL MENU - Pr'!M867="", "", 'AYIRA MINI MART FINAL MENU - Pr'!M867)</f>
        <v/>
      </c>
      <c r="N867" s="56" t="str">
        <f>IF('AYIRA MINI MART FINAL MENU - Pr'!N867="", "", 'AYIRA MINI MART FINAL MENU - Pr'!N867)</f>
        <v/>
      </c>
      <c r="O867" s="57"/>
      <c r="P867" s="57"/>
      <c r="Q867" s="57"/>
      <c r="R867" s="57"/>
      <c r="S867" s="57"/>
      <c r="T867" s="57"/>
      <c r="U867" s="57"/>
      <c r="V867" s="57"/>
      <c r="W867" s="57"/>
      <c r="X867" s="57"/>
      <c r="Y867" s="57"/>
      <c r="Z867" s="57"/>
    </row>
    <row r="868">
      <c r="A868" s="56" t="str">
        <f>IFERROR(__xludf.DUMMYFUNCTION("IF('AYIRA MINI MART FINAL MENU - Pr'!A868="""", """", IF(LEN(IFERROR(TRIM(REGEXREPLACE(TRIM(REGEXEXTRACT('AYIRA MINI MART FINAL MENU - Pr'!A868, ""^[^\x{0600}-\x{06FF}]+"")), ""[-–]+$"", """")), """"))&gt;0, IFERROR(TRIM(REGEXREPLACE(TRIM(REGEXEXTRACT('AYIRA"&amp;" MINI MART FINAL MENU - Pr'!A868, ""^[^\x{0600}-\x{06FF}]+"")), ""[-–]+$"", """")), """"), GOOGLETRANSLATE('AYIRA MINI MART FINAL MENU - Pr'!A868, ""ar"", ""en"")))"),"Brain Blasterz Sour Candy Brain Breakerz45 g – Brain Blasterz Sour Candy Brain Breakerz45")</f>
        <v>Brain Blasterz Sour Candy Brain Breakerz45 g – Brain Blasterz Sour Candy Brain Breakerz45</v>
      </c>
      <c r="B868" s="56" t="str">
        <f>IFERROR(__xludf.DUMMYFUNCTION("IF('AYIRA MINI MART FINAL MENU - Pr'!B868="""", """", IF(LEN(IFERROR(TRIM(REGEXREPLACE(TRIM(REGEXEXTRACT('AYIRA MINI MART FINAL MENU - Pr'!B868, ""^[^\x{0600}-\x{06FF}]+"")), ""[-–]+$"", """")), """"))&gt;0, IFERROR(TRIM(REGEXREPLACE(TRIM(REGEXEXTRACT('AYIRA"&amp;" MINI MART FINAL MENU - Pr'!B868, ""^[^\x{0600}-\x{06FF}]+"")), ""[-–]+$"", """")), """"), GOOGLETRANSLATE('AYIRA MINI MART FINAL MENU - Pr'!B868, ""ar"", ""en"")))"),"Candy |")</f>
        <v>Candy |</v>
      </c>
      <c r="C868" s="58">
        <f>IF('AYIRA MINI MART FINAL MENU - Pr'!C868="", "", 'AYIRA MINI MART FINAL MENU - Pr'!C868)</f>
        <v>3.5</v>
      </c>
      <c r="D868" s="56" t="str">
        <f>IFERROR(__xludf.DUMMYFUNCTION("IF('AYIRA MINI MART FINAL MENU - Pr'!D868="""", """", GOOGLETRANSLATE('AYIRA MINI MART FINAL MENU - Pr'!D868, ""ar"", ""en""))"),"Add a sweet treat to your day with Brain Blasterz Sour Candy (Brain Breakerz 45g), a delicious candy loved by everyone. Its varied flavors and attractive colors make it suitable for all ages. Perfect as a small reward or a light gift for friends and famil"&amp;"y. Made with high quality ingredients to ensure a great taste in every piece. Get yours from Aira Mini Mart and spread the joy to your loved ones.")</f>
        <v>Add a sweet treat to your day with Brain Blasterz Sour Candy (Brain Breakerz 45g), a delicious candy loved by everyone. Its varied flavors and attractive colors make it suitable for all ages. Perfect as a small reward or a light gift for friends and family. Made with high quality ingredients to ensure a great taste in every piece. Get yours from Aira Mini Mart and spread the joy to your loved ones.</v>
      </c>
      <c r="E868" s="56" t="str">
        <f>IF('AYIRA MINI MART FINAL MENU - Pr'!K868="", "", 'AYIRA MINI MART FINAL MENU - Pr'!K868)</f>
        <v/>
      </c>
      <c r="F868" s="56"/>
      <c r="G868" s="56"/>
      <c r="H868" s="56"/>
      <c r="I868" s="56"/>
      <c r="J868" s="56"/>
      <c r="L868" s="56" t="str">
        <f>IF('AYIRA MINI MART FINAL MENU - Pr'!L868="", "", 'AYIRA MINI MART FINAL MENU - Pr'!L868)</f>
        <v/>
      </c>
      <c r="M868" s="56" t="str">
        <f>IF('AYIRA MINI MART FINAL MENU - Pr'!M868="", "", 'AYIRA MINI MART FINAL MENU - Pr'!M868)</f>
        <v/>
      </c>
      <c r="N868" s="56" t="str">
        <f>IF('AYIRA MINI MART FINAL MENU - Pr'!N868="", "", 'AYIRA MINI MART FINAL MENU - Pr'!N868)</f>
        <v/>
      </c>
      <c r="O868" s="57"/>
      <c r="P868" s="57"/>
      <c r="Q868" s="57"/>
      <c r="R868" s="57"/>
      <c r="S868" s="57"/>
      <c r="T868" s="57"/>
      <c r="U868" s="57"/>
      <c r="V868" s="57"/>
      <c r="W868" s="57"/>
      <c r="X868" s="57"/>
      <c r="Y868" s="57"/>
      <c r="Z868" s="57"/>
    </row>
    <row r="869">
      <c r="A869" s="56" t="str">
        <f>IFERROR(__xludf.DUMMYFUNCTION("IF('AYIRA MINI MART FINAL MENU - Pr'!A869="""", """", IF(LEN(IFERROR(TRIM(REGEXREPLACE(TRIM(REGEXEXTRACT('AYIRA MINI MART FINAL MENU - Pr'!A869, ""^[^\x{0600}-\x{06FF}]+"")), ""[-–]+$"", """")), """"))&gt;0, IFERROR(TRIM(REGEXREPLACE(TRIM(REGEXEXTRACT('AYIRA"&amp;" MINI MART FINAL MENU - Pr'!A869, ""^[^\x{0600}-\x{06FF}]+"")), ""[-–]+$"", """")), """"), GOOGLETRANSLATE('AYIRA MINI MART FINAL MENU - Pr'!A869, ""ar"", ""en"")))"),"Big Baby Pop Candy 32 g – Big Baby Pop Candy 32")</f>
        <v>Big Baby Pop Candy 32 g – Big Baby Pop Candy 32</v>
      </c>
      <c r="B869" s="56" t="str">
        <f>IFERROR(__xludf.DUMMYFUNCTION("IF('AYIRA MINI MART FINAL MENU - Pr'!B869="""", """", IF(LEN(IFERROR(TRIM(REGEXREPLACE(TRIM(REGEXEXTRACT('AYIRA MINI MART FINAL MENU - Pr'!B869, ""^[^\x{0600}-\x{06FF}]+"")), ""[-–]+$"", """")), """"))&gt;0, IFERROR(TRIM(REGEXREPLACE(TRIM(REGEXEXTRACT('AYIRA"&amp;" MINI MART FINAL MENU - Pr'!B869, ""^[^\x{0600}-\x{06FF}]+"")), ""[-–]+$"", """")), """"), GOOGLETRANSLATE('AYIRA MINI MART FINAL MENU - Pr'!B869, ""ar"", ""en"")))"),"Candy |")</f>
        <v>Candy |</v>
      </c>
      <c r="C869" s="58">
        <f>IF('AYIRA MINI MART FINAL MENU - Pr'!C869="", "", 'AYIRA MINI MART FINAL MENU - Pr'!C869)</f>
        <v>6</v>
      </c>
      <c r="D869" s="56" t="str">
        <f>IFERROR(__xludf.DUMMYFUNCTION("IF('AYIRA MINI MART FINAL MENU - Pr'!D869="""", """", GOOGLETRANSLATE('AYIRA MINI MART FINAL MENU - Pr'!D869, ""ar"", ""en""))"),"Add a sweet moment to your day with Big Baby Pop Candy 32g, a delicious treat loved by everyone. Its variety of flavors and attractive colors make it suitable for all ages. Perfect as a small reward or a light gift for friends and family. Made with high q"&amp;"uality ingredients to ensure a great taste in every piece. Get yours from Aira Mini Mart and spread joy to your loved ones.")</f>
        <v>Add a sweet moment to your day with Big Baby Pop Candy 32g, a delicious treat loved by everyone. Its variety of flavors and attractive colors make it suitable for all ages. Perfect as a small reward or a light gift for friends and family. Made with high quality ingredients to ensure a great taste in every piece. Get yours from Aira Mini Mart and spread joy to your loved ones.</v>
      </c>
      <c r="E869" s="56" t="str">
        <f>IF('AYIRA MINI MART FINAL MENU - Pr'!K869="", "", 'AYIRA MINI MART FINAL MENU - Pr'!K869)</f>
        <v/>
      </c>
      <c r="F869" s="56"/>
      <c r="G869" s="56"/>
      <c r="H869" s="56"/>
      <c r="I869" s="56"/>
      <c r="J869" s="56"/>
      <c r="L869" s="56" t="str">
        <f>IF('AYIRA MINI MART FINAL MENU - Pr'!L869="", "", 'AYIRA MINI MART FINAL MENU - Pr'!L869)</f>
        <v/>
      </c>
      <c r="M869" s="56" t="str">
        <f>IF('AYIRA MINI MART FINAL MENU - Pr'!M869="", "", 'AYIRA MINI MART FINAL MENU - Pr'!M869)</f>
        <v/>
      </c>
      <c r="N869" s="56" t="str">
        <f>IF('AYIRA MINI MART FINAL MENU - Pr'!N869="", "", 'AYIRA MINI MART FINAL MENU - Pr'!N869)</f>
        <v/>
      </c>
      <c r="O869" s="57"/>
      <c r="P869" s="57"/>
      <c r="Q869" s="57"/>
      <c r="R869" s="57"/>
      <c r="S869" s="57"/>
      <c r="T869" s="57"/>
      <c r="U869" s="57"/>
      <c r="V869" s="57"/>
      <c r="W869" s="57"/>
      <c r="X869" s="57"/>
      <c r="Y869" s="57"/>
      <c r="Z869" s="57"/>
    </row>
    <row r="870">
      <c r="A870" s="56" t="str">
        <f>IFERROR(__xludf.DUMMYFUNCTION("IF('AYIRA MINI MART FINAL MENU - Pr'!A870="""", """", IF(LEN(IFERROR(TRIM(REGEXREPLACE(TRIM(REGEXEXTRACT('AYIRA MINI MART FINAL MENU - Pr'!A870, ""^[^\x{0600}-\x{06FF}]+"")), ""[-–]+$"", """")), """"))&gt;0, IFERROR(TRIM(REGEXREPLACE(TRIM(REGEXEXTRACT('AYIRA"&amp;" MINI MART FINAL MENU - Pr'!A870, ""^[^\x{0600}-\x{06FF}]+"")), ""[-–]+$"", """")), """"), GOOGLETRANSLATE('AYIRA MINI MART FINAL MENU - Pr'!A870, ""ar"", ""en"")))"),"Pop Plier Candy Toy")</f>
        <v>Pop Plier Candy Toy</v>
      </c>
      <c r="B870" s="56" t="str">
        <f>IFERROR(__xludf.DUMMYFUNCTION("IF('AYIRA MINI MART FINAL MENU - Pr'!B870="""", """", IF(LEN(IFERROR(TRIM(REGEXREPLACE(TRIM(REGEXEXTRACT('AYIRA MINI MART FINAL MENU - Pr'!B870, ""^[^\x{0600}-\x{06FF}]+"")), ""[-–]+$"", """")), """"))&gt;0, IFERROR(TRIM(REGEXREPLACE(TRIM(REGEXEXTRACT('AYIRA"&amp;" MINI MART FINAL MENU - Pr'!B870, ""^[^\x{0600}-\x{06FF}]+"")), ""[-–]+$"", """")), """"), GOOGLETRANSLATE('AYIRA MINI MART FINAL MENU - Pr'!B870, ""ar"", ""en"")))"),"Candy |")</f>
        <v>Candy |</v>
      </c>
      <c r="C870" s="58">
        <f>IF('AYIRA MINI MART FINAL MENU - Pr'!C870="", "", 'AYIRA MINI MART FINAL MENU - Pr'!C870)</f>
        <v>6</v>
      </c>
      <c r="D870" s="56" t="str">
        <f>IFERROR(__xludf.DUMMYFUNCTION("IF('AYIRA MINI MART FINAL MENU - Pr'!D870="""", """", GOOGLETRANSLATE('AYIRA MINI MART FINAL MENU - Pr'!D870, ""ar"", ""en""))"),"Add a sweet moment to your day with Pop Plier Candy Toy, a delicious treat loved by everyone. Its variety of flavors and attractive colors make it suitable for all ages. Perfect as a small reward or a light gift for friends and family. Made with high qual"&amp;"ity to ensure a great taste in every piece. Get yours from Aira Mini Mart and spread joy to your loved ones.")</f>
        <v>Add a sweet moment to your day with Pop Plier Candy Toy, a delicious treat loved by everyone. Its variety of flavors and attractive colors make it suitable for all ages. Perfect as a small reward or a light gift for friends and family. Made with high quality to ensure a great taste in every piece. Get yours from Aira Mini Mart and spread joy to your loved ones.</v>
      </c>
      <c r="E870" s="56" t="str">
        <f>IF('AYIRA MINI MART FINAL MENU - Pr'!K870="", "", 'AYIRA MINI MART FINAL MENU - Pr'!K870)</f>
        <v/>
      </c>
      <c r="F870" s="56"/>
      <c r="G870" s="56"/>
      <c r="H870" s="56"/>
      <c r="I870" s="56"/>
      <c r="J870" s="56"/>
      <c r="L870" s="56" t="str">
        <f>IF('AYIRA MINI MART FINAL MENU - Pr'!L870="", "", 'AYIRA MINI MART FINAL MENU - Pr'!L870)</f>
        <v/>
      </c>
      <c r="M870" s="56" t="str">
        <f>IF('AYIRA MINI MART FINAL MENU - Pr'!M870="", "", 'AYIRA MINI MART FINAL MENU - Pr'!M870)</f>
        <v/>
      </c>
      <c r="N870" s="56" t="str">
        <f>IF('AYIRA MINI MART FINAL MENU - Pr'!N870="", "", 'AYIRA MINI MART FINAL MENU - Pr'!N870)</f>
        <v/>
      </c>
      <c r="O870" s="57"/>
      <c r="P870" s="57"/>
      <c r="Q870" s="57"/>
      <c r="R870" s="57"/>
      <c r="S870" s="57"/>
      <c r="T870" s="57"/>
      <c r="U870" s="57"/>
      <c r="V870" s="57"/>
      <c r="W870" s="57"/>
      <c r="X870" s="57"/>
      <c r="Y870" s="57"/>
      <c r="Z870" s="57"/>
    </row>
    <row r="871">
      <c r="A871" s="56" t="str">
        <f>IFERROR(__xludf.DUMMYFUNCTION("IF('AYIRA MINI MART FINAL MENU - Pr'!A871="""", """", IF(LEN(IFERROR(TRIM(REGEXREPLACE(TRIM(REGEXEXTRACT('AYIRA MINI MART FINAL MENU - Pr'!A871, ""^[^\x{0600}-\x{06FF}]+"")), ""[-–]+$"", """")), """"))&gt;0, IFERROR(TRIM(REGEXREPLACE(TRIM(REGEXEXTRACT('AYIRA"&amp;" MINI MART FINAL MENU - Pr'!A871, ""^[^\x{0600}-\x{06FF}]+"")), ""[-–]+$"", """")), """"), GOOGLETRANSLATE('AYIRA MINI MART FINAL MENU - Pr'!A871, ""ar"", ""en"")))"),"Crazy Bottle Pop Apple Candy 25 g – Crazy")</f>
        <v>Crazy Bottle Pop Apple Candy 25 g – Crazy</v>
      </c>
      <c r="B871" s="56" t="str">
        <f>IFERROR(__xludf.DUMMYFUNCTION("IF('AYIRA MINI MART FINAL MENU - Pr'!B871="""", """", IF(LEN(IFERROR(TRIM(REGEXREPLACE(TRIM(REGEXEXTRACT('AYIRA MINI MART FINAL MENU - Pr'!B871, ""^[^\x{0600}-\x{06FF}]+"")), ""[-–]+$"", """")), """"))&gt;0, IFERROR(TRIM(REGEXREPLACE(TRIM(REGEXEXTRACT('AYIRA"&amp;" MINI MART FINAL MENU - Pr'!B871, ""^[^\x{0600}-\x{06FF}]+"")), ""[-–]+$"", """")), """"), GOOGLETRANSLATE('AYIRA MINI MART FINAL MENU - Pr'!B871, ""ar"", ""en"")))"),"Candy |")</f>
        <v>Candy |</v>
      </c>
      <c r="C871" s="58">
        <f>IF('AYIRA MINI MART FINAL MENU - Pr'!C871="", "", 'AYIRA MINI MART FINAL MENU - Pr'!C871)</f>
        <v>2.5</v>
      </c>
      <c r="D871" s="56" t="str">
        <f>IFERROR(__xludf.DUMMYFUNCTION("IF('AYIRA MINI MART FINAL MENU - Pr'!D871="""", """", GOOGLETRANSLATE('AYIRA MINI MART FINAL MENU - Pr'!D871, ""ar"", ""en""))"),"Add a sweet moment to your day with Crazy Bottle Pop Apple Candy 25g, a delicious treat loved by everyone. Its variety of flavors and attractive colors make it suitable for all ages. Perfect as a small treat or a light gift for friends and family. Made wi"&amp;"th high quality ingredients to ensure a great taste in every piece. Get yours from Aira Mini Mart and spread the joy to your loved ones.")</f>
        <v>Add a sweet moment to your day with Crazy Bottle Pop Apple Candy 25g, a delicious treat loved by everyone. Its variety of flavors and attractive colors make it suitable for all ages. Perfect as a small treat or a light gift for friends and family. Made with high quality ingredients to ensure a great taste in every piece. Get yours from Aira Mini Mart and spread the joy to your loved ones.</v>
      </c>
      <c r="E871" s="56" t="str">
        <f>IF('AYIRA MINI MART FINAL MENU - Pr'!K871="", "", 'AYIRA MINI MART FINAL MENU - Pr'!K871)</f>
        <v/>
      </c>
      <c r="F871" s="56"/>
      <c r="G871" s="56"/>
      <c r="H871" s="56"/>
      <c r="I871" s="56"/>
      <c r="J871" s="56"/>
      <c r="L871" s="56" t="str">
        <f>IF('AYIRA MINI MART FINAL MENU - Pr'!L871="", "", 'AYIRA MINI MART FINAL MENU - Pr'!L871)</f>
        <v/>
      </c>
      <c r="M871" s="56" t="str">
        <f>IF('AYIRA MINI MART FINAL MENU - Pr'!M871="", "", 'AYIRA MINI MART FINAL MENU - Pr'!M871)</f>
        <v/>
      </c>
      <c r="N871" s="56" t="str">
        <f>IF('AYIRA MINI MART FINAL MENU - Pr'!N871="", "", 'AYIRA MINI MART FINAL MENU - Pr'!N871)</f>
        <v/>
      </c>
      <c r="O871" s="57"/>
      <c r="P871" s="57"/>
      <c r="Q871" s="57"/>
      <c r="R871" s="57"/>
      <c r="S871" s="57"/>
      <c r="T871" s="57"/>
      <c r="U871" s="57"/>
      <c r="V871" s="57"/>
      <c r="W871" s="57"/>
      <c r="X871" s="57"/>
      <c r="Y871" s="57"/>
      <c r="Z871" s="57"/>
    </row>
    <row r="872">
      <c r="A872" s="56" t="str">
        <f>IFERROR(__xludf.DUMMYFUNCTION("IF('AYIRA MINI MART FINAL MENU - Pr'!A872="""", """", IF(LEN(IFERROR(TRIM(REGEXREPLACE(TRIM(REGEXEXTRACT('AYIRA MINI MART FINAL MENU - Pr'!A872, ""^[^\x{0600}-\x{06FF}]+"")), ""[-–]+$"", """")), """"))&gt;0, IFERROR(TRIM(REGEXREPLACE(TRIM(REGEXEXTRACT('AYIRA"&amp;" MINI MART FINAL MENU - Pr'!A872, ""^[^\x{0600}-\x{06FF}]+"")), ""[-–]+$"", """")), """"), GOOGLETRANSLATE('AYIRA MINI MART FINAL MENU - Pr'!A872, ""ar"", ""en"")))"),"Cats Pop Candy Toy")</f>
        <v>Cats Pop Candy Toy</v>
      </c>
      <c r="B872" s="56" t="str">
        <f>IFERROR(__xludf.DUMMYFUNCTION("IF('AYIRA MINI MART FINAL MENU - Pr'!B872="""", """", IF(LEN(IFERROR(TRIM(REGEXREPLACE(TRIM(REGEXEXTRACT('AYIRA MINI MART FINAL MENU - Pr'!B872, ""^[^\x{0600}-\x{06FF}]+"")), ""[-–]+$"", """")), """"))&gt;0, IFERROR(TRIM(REGEXREPLACE(TRIM(REGEXEXTRACT('AYIRA"&amp;" MINI MART FINAL MENU - Pr'!B872, ""^[^\x{0600}-\x{06FF}]+"")), ""[-–]+$"", """")), """"), GOOGLETRANSLATE('AYIRA MINI MART FINAL MENU - Pr'!B872, ""ar"", ""en"")))"),"Candy |")</f>
        <v>Candy |</v>
      </c>
      <c r="C872" s="58">
        <f>IF('AYIRA MINI MART FINAL MENU - Pr'!C872="", "", 'AYIRA MINI MART FINAL MENU - Pr'!C872)</f>
        <v>4</v>
      </c>
      <c r="D872" s="56" t="str">
        <f>IFERROR(__xludf.DUMMYFUNCTION("IF('AYIRA MINI MART FINAL MENU - Pr'!D872="""", """", GOOGLETRANSLATE('AYIRA MINI MART FINAL MENU - Pr'!D872, ""ar"", ""en""))"),"Add a sweet moment to your day with Cats Pop Candy Toy, a delicious treat loved by everyone. Its variety of flavors and attractive colors make it suitable for all ages. Perfect as a small reward or a light gift for friends and family. Made with high quali"&amp;"ty to ensure a great taste in every piece. Get yours from Aira Mini Mart and spread joy to your loved ones.")</f>
        <v>Add a sweet moment to your day with Cats Pop Candy Toy, a delicious treat loved by everyone. Its variety of flavors and attractive colors make it suitable for all ages. Perfect as a small reward or a light gift for friends and family. Made with high quality to ensure a great taste in every piece. Get yours from Aira Mini Mart and spread joy to your loved ones.</v>
      </c>
      <c r="E872" s="56" t="str">
        <f>IF('AYIRA MINI MART FINAL MENU - Pr'!K872="", "", 'AYIRA MINI MART FINAL MENU - Pr'!K872)</f>
        <v/>
      </c>
      <c r="F872" s="56"/>
      <c r="G872" s="56"/>
      <c r="H872" s="56"/>
      <c r="I872" s="56"/>
      <c r="J872" s="56"/>
      <c r="L872" s="56" t="str">
        <f>IF('AYIRA MINI MART FINAL MENU - Pr'!L872="", "", 'AYIRA MINI MART FINAL MENU - Pr'!L872)</f>
        <v/>
      </c>
      <c r="M872" s="56" t="str">
        <f>IF('AYIRA MINI MART FINAL MENU - Pr'!M872="", "", 'AYIRA MINI MART FINAL MENU - Pr'!M872)</f>
        <v/>
      </c>
      <c r="N872" s="56" t="str">
        <f>IF('AYIRA MINI MART FINAL MENU - Pr'!N872="", "", 'AYIRA MINI MART FINAL MENU - Pr'!N872)</f>
        <v/>
      </c>
      <c r="O872" s="57"/>
      <c r="P872" s="57"/>
      <c r="Q872" s="57"/>
      <c r="R872" s="57"/>
      <c r="S872" s="57"/>
      <c r="T872" s="57"/>
      <c r="U872" s="57"/>
      <c r="V872" s="57"/>
      <c r="W872" s="57"/>
      <c r="X872" s="57"/>
      <c r="Y872" s="57"/>
      <c r="Z872" s="57"/>
    </row>
    <row r="873">
      <c r="A873" s="56" t="str">
        <f>IFERROR(__xludf.DUMMYFUNCTION("IF('AYIRA MINI MART FINAL MENU - Pr'!A873="""", """", IF(LEN(IFERROR(TRIM(REGEXREPLACE(TRIM(REGEXEXTRACT('AYIRA MINI MART FINAL MENU - Pr'!A873, ""^[^\x{0600}-\x{06FF}]+"")), ""[-–]+$"", """")), """"))&gt;0, IFERROR(TRIM(REGEXREPLACE(TRIM(REGEXEXTRACT('AYIRA"&amp;" MINI MART FINAL MENU - Pr'!A873, ""^[^\x{0600}-\x{06FF}]+"")), ""[-–]+$"", """")), """"), GOOGLETRANSLATE('AYIRA MINI MART FINAL MENU - Pr'!A873, ""ar"", ""en"")))"),"Screamerz Big Lick Sour Candy Rolle Purple Razz 60 ml – Screamerz Big Lick Sour Candy Rolle Purple Razz 60")</f>
        <v>Screamerz Big Lick Sour Candy Rolle Purple Razz 60 ml – Screamerz Big Lick Sour Candy Rolle Purple Razz 60</v>
      </c>
      <c r="B873" s="56" t="str">
        <f>IFERROR(__xludf.DUMMYFUNCTION("IF('AYIRA MINI MART FINAL MENU - Pr'!B873="""", """", IF(LEN(IFERROR(TRIM(REGEXREPLACE(TRIM(REGEXEXTRACT('AYIRA MINI MART FINAL MENU - Pr'!B873, ""^[^\x{0600}-\x{06FF}]+"")), ""[-–]+$"", """")), """"))&gt;0, IFERROR(TRIM(REGEXREPLACE(TRIM(REGEXEXTRACT('AYIRA"&amp;" MINI MART FINAL MENU - Pr'!B873, ""^[^\x{0600}-\x{06FF}]+"")), ""[-–]+$"", """")), """"), GOOGLETRANSLATE('AYIRA MINI MART FINAL MENU - Pr'!B873, ""ar"", ""en"")))"),"Candy |")</f>
        <v>Candy |</v>
      </c>
      <c r="C873" s="58">
        <f>IF('AYIRA MINI MART FINAL MENU - Pr'!C873="", "", 'AYIRA MINI MART FINAL MENU - Pr'!C873)</f>
        <v>5</v>
      </c>
      <c r="D873" s="56" t="str">
        <f>IFERROR(__xludf.DUMMYFUNCTION("IF('AYIRA MINI MART FINAL MENU - Pr'!D873="""", """", GOOGLETRANSLATE('AYIRA MINI MART FINAL MENU - Pr'!D873, ""ar"", ""en""))"),"Add a sweet treat to your day with Screamerz Big Lick Sour Candy Roll Purple Razz 60ml, a delicious candy loved by everyone. Its variety of flavors and attractive colors make it suitable for all ages. Perfect as a small treat or a light gift for friends a"&amp;"nd family. Made with high quality to ensure a great taste in every piece. Get yours from Aira Mini Mart and spread the joy to your loved ones.")</f>
        <v>Add a sweet treat to your day with Screamerz Big Lick Sour Candy Roll Purple Razz 60ml, a delicious candy loved by everyone. Its variety of flavors and attractive colors make it suitable for all ages. Perfect as a small treat or a light gift for friends and family. Made with high quality to ensure a great taste in every piece. Get yours from Aira Mini Mart and spread the joy to your loved ones.</v>
      </c>
      <c r="E873" s="56" t="str">
        <f>IF('AYIRA MINI MART FINAL MENU - Pr'!K873="", "", 'AYIRA MINI MART FINAL MENU - Pr'!K873)</f>
        <v/>
      </c>
      <c r="F873" s="56"/>
      <c r="G873" s="56"/>
      <c r="H873" s="56"/>
      <c r="I873" s="56"/>
      <c r="J873" s="56"/>
      <c r="L873" s="56" t="str">
        <f>IF('AYIRA MINI MART FINAL MENU - Pr'!L873="", "", 'AYIRA MINI MART FINAL MENU - Pr'!L873)</f>
        <v/>
      </c>
      <c r="M873" s="56" t="str">
        <f>IF('AYIRA MINI MART FINAL MENU - Pr'!M873="", "", 'AYIRA MINI MART FINAL MENU - Pr'!M873)</f>
        <v/>
      </c>
      <c r="N873" s="56" t="str">
        <f>IF('AYIRA MINI MART FINAL MENU - Pr'!N873="", "", 'AYIRA MINI MART FINAL MENU - Pr'!N873)</f>
        <v/>
      </c>
      <c r="O873" s="57"/>
      <c r="P873" s="57"/>
      <c r="Q873" s="57"/>
      <c r="R873" s="57"/>
      <c r="S873" s="57"/>
      <c r="T873" s="57"/>
      <c r="U873" s="57"/>
      <c r="V873" s="57"/>
      <c r="W873" s="57"/>
      <c r="X873" s="57"/>
      <c r="Y873" s="57"/>
      <c r="Z873" s="57"/>
    </row>
    <row r="874">
      <c r="A874" s="56" t="str">
        <f>IFERROR(__xludf.DUMMYFUNCTION("IF('AYIRA MINI MART FINAL MENU - Pr'!A874="""", """", IF(LEN(IFERROR(TRIM(REGEXREPLACE(TRIM(REGEXEXTRACT('AYIRA MINI MART FINAL MENU - Pr'!A874, ""^[^\x{0600}-\x{06FF}]+"")), ""[-–]+$"", """")), """"))&gt;0, IFERROR(TRIM(REGEXREPLACE(TRIM(REGEXEXTRACT('AYIRA"&amp;" MINI MART FINAL MENU - Pr'!A874, ""^[^\x{0600}-\x{06FF}]+"")), ""[-–]+$"", """")), """"), GOOGLETRANSLATE('AYIRA MINI MART FINAL MENU - Pr'!A874, ""ar"", ""en"")))"),"Triple Power Push Pop Candy")</f>
        <v>Triple Power Push Pop Candy</v>
      </c>
      <c r="B874" s="56" t="str">
        <f>IFERROR(__xludf.DUMMYFUNCTION("IF('AYIRA MINI MART FINAL MENU - Pr'!B874="""", """", IF(LEN(IFERROR(TRIM(REGEXREPLACE(TRIM(REGEXEXTRACT('AYIRA MINI MART FINAL MENU - Pr'!B874, ""^[^\x{0600}-\x{06FF}]+"")), ""[-–]+$"", """")), """"))&gt;0, IFERROR(TRIM(REGEXREPLACE(TRIM(REGEXEXTRACT('AYIRA"&amp;" MINI MART FINAL MENU - Pr'!B874, ""^[^\x{0600}-\x{06FF}]+"")), ""[-–]+$"", """")), """"), GOOGLETRANSLATE('AYIRA MINI MART FINAL MENU - Pr'!B874, ""ar"", ""en"")))"),"Candy |")</f>
        <v>Candy |</v>
      </c>
      <c r="C874" s="58">
        <f>IF('AYIRA MINI MART FINAL MENU - Pr'!C874="", "", 'AYIRA MINI MART FINAL MENU - Pr'!C874)</f>
        <v>10</v>
      </c>
      <c r="D874" s="56" t="str">
        <f>IFERROR(__xludf.DUMMYFUNCTION("IF('AYIRA MINI MART FINAL MENU - Pr'!D874="""", """", GOOGLETRANSLATE('AYIRA MINI MART FINAL MENU - Pr'!D874, ""ar"", ""en""))"),"Add a sweet moment to your day with Triple Power Push Pop Candy, a delicious treat loved by everyone. Its variety of flavors and vibrant colors make it suitable for all ages. Perfect as a small reward or a light gift for friends and family. Made with high"&amp;"-quality ingredients to ensure great taste in every single piece. Get yours from Aira Mini Mart and spread the joy to your loved ones.")</f>
        <v>Add a sweet moment to your day with Triple Power Push Pop Candy, a delicious treat loved by everyone. Its variety of flavors and vibrant colors make it suitable for all ages. Perfect as a small reward or a light gift for friends and family. Made with high-quality ingredients to ensure great taste in every single piece. Get yours from Aira Mini Mart and spread the joy to your loved ones.</v>
      </c>
      <c r="E874" s="56" t="str">
        <f>IF('AYIRA MINI MART FINAL MENU - Pr'!K874="", "", 'AYIRA MINI MART FINAL MENU - Pr'!K874)</f>
        <v/>
      </c>
      <c r="F874" s="56"/>
      <c r="G874" s="56"/>
      <c r="H874" s="56"/>
      <c r="I874" s="56"/>
      <c r="J874" s="56"/>
      <c r="L874" s="56" t="str">
        <f>IF('AYIRA MINI MART FINAL MENU - Pr'!L874="", "", 'AYIRA MINI MART FINAL MENU - Pr'!L874)</f>
        <v/>
      </c>
      <c r="M874" s="56" t="str">
        <f>IF('AYIRA MINI MART FINAL MENU - Pr'!M874="", "", 'AYIRA MINI MART FINAL MENU - Pr'!M874)</f>
        <v/>
      </c>
      <c r="N874" s="56" t="str">
        <f>IF('AYIRA MINI MART FINAL MENU - Pr'!N874="", "", 'AYIRA MINI MART FINAL MENU - Pr'!N874)</f>
        <v/>
      </c>
      <c r="O874" s="57"/>
      <c r="P874" s="57"/>
      <c r="Q874" s="57"/>
      <c r="R874" s="57"/>
      <c r="S874" s="57"/>
      <c r="T874" s="57"/>
      <c r="U874" s="57"/>
      <c r="V874" s="57"/>
      <c r="W874" s="57"/>
      <c r="X874" s="57"/>
      <c r="Y874" s="57"/>
      <c r="Z874" s="57"/>
    </row>
    <row r="875">
      <c r="A875" s="56" t="str">
        <f>IFERROR(__xludf.DUMMYFUNCTION("IF('AYIRA MINI MART FINAL MENU - Pr'!A875="""", """", IF(LEN(IFERROR(TRIM(REGEXREPLACE(TRIM(REGEXEXTRACT('AYIRA MINI MART FINAL MENU - Pr'!A875, ""^[^\x{0600}-\x{06FF}]+"")), ""[-–]+$"", """")), """"))&gt;0, IFERROR(TRIM(REGEXREPLACE(TRIM(REGEXEXTRACT('AYIRA"&amp;" MINI MART FINAL MENU - Pr'!A875, ""^[^\x{0600}-\x{06FF}]+"")), ""[-–]+$"", """")), """"), GOOGLETRANSLATE('AYIRA MINI MART FINAL MENU - Pr'!A875, ""ar"", ""en"")))"),"Roller Blaster Sour Liquid Candy Rol Blue Raspberry 60 ml – Roller Blaster Sour Liquid Candy Rol Blue Raspberry 60")</f>
        <v>Roller Blaster Sour Liquid Candy Rol Blue Raspberry 60 ml – Roller Blaster Sour Liquid Candy Rol Blue Raspberry 60</v>
      </c>
      <c r="B875" s="56" t="str">
        <f>IFERROR(__xludf.DUMMYFUNCTION("IF('AYIRA MINI MART FINAL MENU - Pr'!B875="""", """", IF(LEN(IFERROR(TRIM(REGEXREPLACE(TRIM(REGEXEXTRACT('AYIRA MINI MART FINAL MENU - Pr'!B875, ""^[^\x{0600}-\x{06FF}]+"")), ""[-–]+$"", """")), """"))&gt;0, IFERROR(TRIM(REGEXREPLACE(TRIM(REGEXEXTRACT('AYIRA"&amp;" MINI MART FINAL MENU - Pr'!B875, ""^[^\x{0600}-\x{06FF}]+"")), ""[-–]+$"", """")), """"), GOOGLETRANSLATE('AYIRA MINI MART FINAL MENU - Pr'!B875, ""ar"", ""en"")))"),"Candy |")</f>
        <v>Candy |</v>
      </c>
      <c r="C875" s="58">
        <f>IF('AYIRA MINI MART FINAL MENU - Pr'!C875="", "", 'AYIRA MINI MART FINAL MENU - Pr'!C875)</f>
        <v>6</v>
      </c>
      <c r="D875" s="56" t="str">
        <f>IFERROR(__xludf.DUMMYFUNCTION("IF('AYIRA MINI MART FINAL MENU - Pr'!D875="""", """", GOOGLETRANSLATE('AYIRA MINI MART FINAL MENU - Pr'!D875, ""ar"", ""en""))"),"Add a sweet treat to your day with Roller Blaster Sour Liquid Candy Roll in Blue Raspberry (60 ml), a delicious candy loved by everyone. Its varied flavors and attractive colors make it suitable for all ages. Perfect as a small treat or a light gift for f"&amp;"riends and family. Made with high quality ingredients to ensure a great taste in every piece. Get yours from Aira Mini Mart and spread the joy to your loved ones.")</f>
        <v>Add a sweet treat to your day with Roller Blaster Sour Liquid Candy Roll in Blue Raspberry (60 ml), a delicious candy loved by everyone. Its varied flavors and attractive colors make it suitable for all ages. Perfect as a small treat or a light gift for friends and family. Made with high quality ingredients to ensure a great taste in every piece. Get yours from Aira Mini Mart and spread the joy to your loved ones.</v>
      </c>
      <c r="E875" s="56" t="str">
        <f>IF('AYIRA MINI MART FINAL MENU - Pr'!K875="", "", 'AYIRA MINI MART FINAL MENU - Pr'!K875)</f>
        <v/>
      </c>
      <c r="F875" s="56"/>
      <c r="G875" s="56"/>
      <c r="H875" s="56"/>
      <c r="I875" s="56"/>
      <c r="J875" s="56"/>
      <c r="L875" s="56" t="str">
        <f>IF('AYIRA MINI MART FINAL MENU - Pr'!L875="", "", 'AYIRA MINI MART FINAL MENU - Pr'!L875)</f>
        <v/>
      </c>
      <c r="M875" s="56" t="str">
        <f>IF('AYIRA MINI MART FINAL MENU - Pr'!M875="", "", 'AYIRA MINI MART FINAL MENU - Pr'!M875)</f>
        <v/>
      </c>
      <c r="N875" s="56" t="str">
        <f>IF('AYIRA MINI MART FINAL MENU - Pr'!N875="", "", 'AYIRA MINI MART FINAL MENU - Pr'!N875)</f>
        <v/>
      </c>
      <c r="O875" s="57"/>
      <c r="P875" s="57"/>
      <c r="Q875" s="57"/>
      <c r="R875" s="57"/>
      <c r="S875" s="57"/>
      <c r="T875" s="57"/>
      <c r="U875" s="57"/>
      <c r="V875" s="57"/>
      <c r="W875" s="57"/>
      <c r="X875" s="57"/>
      <c r="Y875" s="57"/>
      <c r="Z875" s="57"/>
    </row>
    <row r="876">
      <c r="A876" s="56" t="str">
        <f>IFERROR(__xludf.DUMMYFUNCTION("IF('AYIRA MINI MART FINAL MENU - Pr'!A876="""", """", IF(LEN(IFERROR(TRIM(REGEXREPLACE(TRIM(REGEXEXTRACT('AYIRA MINI MART FINAL MENU - Pr'!A876, ""^[^\x{0600}-\x{06FF}]+"")), ""[-–]+$"", """")), """"))&gt;0, IFERROR(TRIM(REGEXREPLACE(TRIM(REGEXEXTRACT('AYIRA"&amp;" MINI MART FINAL MENU - Pr'!A876, ""^[^\x{0600}-\x{06FF}]+"")), ""[-–]+$"", """")), """"), GOOGLETRANSLATE('AYIRA MINI MART FINAL MENU - Pr'!A876, ""ar"", ""en"")))"),"Brain Blasterz Sour Powder (Strawberry Flavour) 10 g – Brain Blasterz Sour")</f>
        <v>Brain Blasterz Sour Powder (Strawberry Flavour) 10 g – Brain Blasterz Sour</v>
      </c>
      <c r="B876" s="56" t="str">
        <f>IFERROR(__xludf.DUMMYFUNCTION("IF('AYIRA MINI MART FINAL MENU - Pr'!B876="""", """", IF(LEN(IFERROR(TRIM(REGEXREPLACE(TRIM(REGEXEXTRACT('AYIRA MINI MART FINAL MENU - Pr'!B876, ""^[^\x{0600}-\x{06FF}]+"")), ""[-–]+$"", """")), """"))&gt;0, IFERROR(TRIM(REGEXREPLACE(TRIM(REGEXEXTRACT('AYIRA"&amp;" MINI MART FINAL MENU - Pr'!B876, ""^[^\x{0600}-\x{06FF}]+"")), ""[-–]+$"", """")), """"), GOOGLETRANSLATE('AYIRA MINI MART FINAL MENU - Pr'!B876, ""ar"", ""en"")))"),"Candy |")</f>
        <v>Candy |</v>
      </c>
      <c r="C876" s="58">
        <f>IF('AYIRA MINI MART FINAL MENU - Pr'!C876="", "", 'AYIRA MINI MART FINAL MENU - Pr'!C876)</f>
        <v>8.5</v>
      </c>
      <c r="D876" s="56" t="str">
        <f>IFERROR(__xludf.DUMMYFUNCTION("IF('AYIRA MINI MART FINAL MENU - Pr'!D876="""", """", GOOGLETRANSLATE('AYIRA MINI MART FINAL MENU - Pr'!D876, ""ar"", ""en""))"),"Don't be able to resist the taste of Brain Blasterz Sour Powder (Strawberry Flavor) 10g, your perfect companion for relaxing and watching the game. Its unique crunch and varied flavors make every handful a delightful experience. Prepared with the finest i"&amp;"ngredients using the latest manufacturing techniques to ensure an unparalleled taste. Ideal as a snack for adults and children between meals. Aira Mini Mart offers it in the perfect size and flavor for you.")</f>
        <v>Don't be able to resist the taste of Brain Blasterz Sour Powder (Strawberry Flavor) 10g,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876" s="56" t="str">
        <f>IF('AYIRA MINI MART FINAL MENU - Pr'!K876="", "", 'AYIRA MINI MART FINAL MENU - Pr'!K876)</f>
        <v/>
      </c>
      <c r="F876" s="56"/>
      <c r="G876" s="56"/>
      <c r="H876" s="56"/>
      <c r="I876" s="56"/>
      <c r="J876" s="56"/>
      <c r="L876" s="56" t="str">
        <f>IF('AYIRA MINI MART FINAL MENU - Pr'!L876="", "", 'AYIRA MINI MART FINAL MENU - Pr'!L876)</f>
        <v/>
      </c>
      <c r="M876" s="56" t="str">
        <f>IF('AYIRA MINI MART FINAL MENU - Pr'!M876="", "", 'AYIRA MINI MART FINAL MENU - Pr'!M876)</f>
        <v/>
      </c>
      <c r="N876" s="56" t="str">
        <f>IF('AYIRA MINI MART FINAL MENU - Pr'!N876="", "", 'AYIRA MINI MART FINAL MENU - Pr'!N876)</f>
        <v/>
      </c>
      <c r="O876" s="57"/>
      <c r="P876" s="57"/>
      <c r="Q876" s="57"/>
      <c r="R876" s="57"/>
      <c r="S876" s="57"/>
      <c r="T876" s="57"/>
      <c r="U876" s="57"/>
      <c r="V876" s="57"/>
      <c r="W876" s="57"/>
      <c r="X876" s="57"/>
      <c r="Y876" s="57"/>
      <c r="Z876" s="57"/>
    </row>
    <row r="877">
      <c r="A877" s="56" t="str">
        <f>IFERROR(__xludf.DUMMYFUNCTION("IF('AYIRA MINI MART FINAL MENU - Pr'!A877="""", """", IF(LEN(IFERROR(TRIM(REGEXREPLACE(TRIM(REGEXEXTRACT('AYIRA MINI MART FINAL MENU - Pr'!A877, ""^[^\x{0600}-\x{06FF}]+"")), ""[-–]+$"", """")), """"))&gt;0, IFERROR(TRIM(REGEXREPLACE(TRIM(REGEXEXTRACT('AYIRA"&amp;" MINI MART FINAL MENU - Pr'!A877, ""^[^\x{0600}-\x{06FF}]+"")), ""[-–]+$"", """")), """"), GOOGLETRANSLATE('AYIRA MINI MART FINAL MENU - Pr'!A877, ""ar"", ""en"")))"),"Brain Blasterz Sour Candy Brain Bitz 45")</f>
        <v>Brain Blasterz Sour Candy Brain Bitz 45</v>
      </c>
      <c r="B877" s="56" t="str">
        <f>IFERROR(__xludf.DUMMYFUNCTION("IF('AYIRA MINI MART FINAL MENU - Pr'!B877="""", """", IF(LEN(IFERROR(TRIM(REGEXREPLACE(TRIM(REGEXEXTRACT('AYIRA MINI MART FINAL MENU - Pr'!B877, ""^[^\x{0600}-\x{06FF}]+"")), ""[-–]+$"", """")), """"))&gt;0, IFERROR(TRIM(REGEXREPLACE(TRIM(REGEXEXTRACT('AYIRA"&amp;" MINI MART FINAL MENU - Pr'!B877, ""^[^\x{0600}-\x{06FF}]+"")), ""[-–]+$"", """")), """"), GOOGLETRANSLATE('AYIRA MINI MART FINAL MENU - Pr'!B877, ""ar"", ""en"")))"),"Candy |")</f>
        <v>Candy |</v>
      </c>
      <c r="C877" s="58">
        <f>IF('AYIRA MINI MART FINAL MENU - Pr'!C877="", "", 'AYIRA MINI MART FINAL MENU - Pr'!C877)</f>
        <v>3.5</v>
      </c>
      <c r="D877" s="56" t="str">
        <f>IFERROR(__xludf.DUMMYFUNCTION("IF('AYIRA MINI MART FINAL MENU - Pr'!D877="""", """", GOOGLETRANSLATE('AYIRA MINI MART FINAL MENU - Pr'!D877, ""ar"", ""en""))"),"Add a sweet treat to your day with Brain Blasterz Sour Candy Brain Bitz 45, a delicious candy loved by everyone. Its varied flavors and attractive colors make it suitable for all ages. Perfect as a small reward or a light gift for friends and family. Made"&amp;" with high quality ingredients to ensure great taste in every piece. Get yours from Aira Mini Mart and spread the joy to your loved ones.")</f>
        <v>Add a sweet treat to your day with Brain Blasterz Sour Candy Brain Bitz 45, a delicious candy loved by everyone. Its varied flavors and attractive colors make it suitable for all ages. Perfect as a small reward or a light gift for friends and family. Made with high quality ingredients to ensure great taste in every piece. Get yours from Aira Mini Mart and spread the joy to your loved ones.</v>
      </c>
      <c r="E877" s="56" t="str">
        <f>IF('AYIRA MINI MART FINAL MENU - Pr'!K877="", "", 'AYIRA MINI MART FINAL MENU - Pr'!K877)</f>
        <v/>
      </c>
      <c r="F877" s="56"/>
      <c r="G877" s="56"/>
      <c r="H877" s="56"/>
      <c r="I877" s="56"/>
      <c r="J877" s="56"/>
      <c r="L877" s="56" t="str">
        <f>IF('AYIRA MINI MART FINAL MENU - Pr'!L877="", "", 'AYIRA MINI MART FINAL MENU - Pr'!L877)</f>
        <v/>
      </c>
      <c r="M877" s="56" t="str">
        <f>IF('AYIRA MINI MART FINAL MENU - Pr'!M877="", "", 'AYIRA MINI MART FINAL MENU - Pr'!M877)</f>
        <v/>
      </c>
      <c r="N877" s="56" t="str">
        <f>IF('AYIRA MINI MART FINAL MENU - Pr'!N877="", "", 'AYIRA MINI MART FINAL MENU - Pr'!N877)</f>
        <v/>
      </c>
      <c r="O877" s="57"/>
      <c r="P877" s="57"/>
      <c r="Q877" s="57"/>
      <c r="R877" s="57"/>
      <c r="S877" s="57"/>
      <c r="T877" s="57"/>
      <c r="U877" s="57"/>
      <c r="V877" s="57"/>
      <c r="W877" s="57"/>
      <c r="X877" s="57"/>
      <c r="Y877" s="57"/>
      <c r="Z877" s="57"/>
    </row>
    <row r="878">
      <c r="A878" s="56" t="str">
        <f>IFERROR(__xludf.DUMMYFUNCTION("IF('AYIRA MINI MART FINAL MENU - Pr'!A878="""", """", IF(LEN(IFERROR(TRIM(REGEXREPLACE(TRIM(REGEXEXTRACT('AYIRA MINI MART FINAL MENU - Pr'!A878, ""^[^\x{0600}-\x{06FF}]+"")), ""[-–]+$"", """")), """"))&gt;0, IFERROR(TRIM(REGEXREPLACE(TRIM(REGEXEXTRACT('AYIRA"&amp;" MINI MART FINAL MENU - Pr'!A878, ""^[^\x{0600}-\x{06FF}]+"")), ""[-–]+$"", """")), """"), GOOGLETRANSLATE('AYIRA MINI MART FINAL MENU - Pr'!A878, ""ar"", ""en"")))"),"Juicy Drop Pop Raspberry 26 g – Juicy Drop Pop Raspberry 26")</f>
        <v>Juicy Drop Pop Raspberry 26 g – Juicy Drop Pop Raspberry 26</v>
      </c>
      <c r="B878" s="56" t="str">
        <f>IFERROR(__xludf.DUMMYFUNCTION("IF('AYIRA MINI MART FINAL MENU - Pr'!B878="""", """", IF(LEN(IFERROR(TRIM(REGEXREPLACE(TRIM(REGEXEXTRACT('AYIRA MINI MART FINAL MENU - Pr'!B878, ""^[^\x{0600}-\x{06FF}]+"")), ""[-–]+$"", """")), """"))&gt;0, IFERROR(TRIM(REGEXREPLACE(TRIM(REGEXEXTRACT('AYIRA"&amp;" MINI MART FINAL MENU - Pr'!B878, ""^[^\x{0600}-\x{06FF}]+"")), ""[-–]+$"", """")), """"), GOOGLETRANSLATE('AYIRA MINI MART FINAL MENU - Pr'!B878, ""ar"", ""en"")))"),"Candy |")</f>
        <v>Candy |</v>
      </c>
      <c r="C878" s="58">
        <f>IF('AYIRA MINI MART FINAL MENU - Pr'!C878="", "", 'AYIRA MINI MART FINAL MENU - Pr'!C878)</f>
        <v>9</v>
      </c>
      <c r="D878" s="56" t="str">
        <f>IFERROR(__xludf.DUMMYFUNCTION("IF('AYIRA MINI MART FINAL MENU - Pr'!D878="""", """", GOOGLETRANSLATE('AYIRA MINI MART FINAL MENU - Pr'!D878, ""ar"", ""en""))"),"Don't be able to resist the taste of Juicy Drop Pop Raspberry 26g, your perfect companion for relaxing and watching the game. Its unique crunch and varied flavors make every handful a delightful experience. Made with the finest ingredients using the lates"&amp;"t manufacturing techniques to ensure an unparalleled taste. Ideal as a snack for adults and children alike between meals. Aira Mini Mart offers it in the perfect size and flavor for you.")</f>
        <v>Don't be able to resist the taste of Juicy Drop Pop Raspberry 26g, your perfect companion for relaxing and watching the game. Its unique crunch and varied flavors make every handful a delightful experience. Made with the finest ingredients using the latest manufacturing techniques to ensure an unparalleled taste. Ideal as a snack for adults and children alike between meals. Aira Mini Mart offers it in the perfect size and flavor for you.</v>
      </c>
      <c r="E878" s="56" t="str">
        <f>IF('AYIRA MINI MART FINAL MENU - Pr'!K878="", "", 'AYIRA MINI MART FINAL MENU - Pr'!K878)</f>
        <v/>
      </c>
      <c r="F878" s="56"/>
      <c r="G878" s="56"/>
      <c r="H878" s="56"/>
      <c r="I878" s="56"/>
      <c r="J878" s="56"/>
      <c r="L878" s="56" t="str">
        <f>IF('AYIRA MINI MART FINAL MENU - Pr'!L878="", "", 'AYIRA MINI MART FINAL MENU - Pr'!L878)</f>
        <v/>
      </c>
      <c r="M878" s="56" t="str">
        <f>IF('AYIRA MINI MART FINAL MENU - Pr'!M878="", "", 'AYIRA MINI MART FINAL MENU - Pr'!M878)</f>
        <v/>
      </c>
      <c r="N878" s="56" t="str">
        <f>IF('AYIRA MINI MART FINAL MENU - Pr'!N878="", "", 'AYIRA MINI MART FINAL MENU - Pr'!N878)</f>
        <v/>
      </c>
      <c r="O878" s="57"/>
      <c r="P878" s="57"/>
      <c r="Q878" s="57"/>
      <c r="R878" s="57"/>
      <c r="S878" s="57"/>
      <c r="T878" s="57"/>
      <c r="U878" s="57"/>
      <c r="V878" s="57"/>
      <c r="W878" s="57"/>
      <c r="X878" s="57"/>
      <c r="Y878" s="57"/>
      <c r="Z878" s="57"/>
    </row>
    <row r="879">
      <c r="A879" s="56" t="str">
        <f>IFERROR(__xludf.DUMMYFUNCTION("IF('AYIRA MINI MART FINAL MENU - Pr'!A879="""", """", IF(LEN(IFERROR(TRIM(REGEXREPLACE(TRIM(REGEXEXTRACT('AYIRA MINI MART FINAL MENU - Pr'!A879, ""^[^\x{0600}-\x{06FF}]+"")), ""[-–]+$"", """")), """"))&gt;0, IFERROR(TRIM(REGEXREPLACE(TRIM(REGEXEXTRACT('AYIRA"&amp;" MINI MART FINAL MENU - Pr'!A879, ""^[^\x{0600}-\x{06FF}]+"")), ""[-–]+$"", """")), """"), GOOGLETRANSLATE('AYIRA MINI MART FINAL MENU - Pr'!A879, ""ar"", ""en"")))"),"Juicy Drop Pop Cola Flavour 27 g – Juicy Drop Pop Cola Flavour 27")</f>
        <v>Juicy Drop Pop Cola Flavour 27 g – Juicy Drop Pop Cola Flavour 27</v>
      </c>
      <c r="B879" s="56" t="str">
        <f>IFERROR(__xludf.DUMMYFUNCTION("IF('AYIRA MINI MART FINAL MENU - Pr'!B879="""", """", IF(LEN(IFERROR(TRIM(REGEXREPLACE(TRIM(REGEXEXTRACT('AYIRA MINI MART FINAL MENU - Pr'!B879, ""^[^\x{0600}-\x{06FF}]+"")), ""[-–]+$"", """")), """"))&gt;0, IFERROR(TRIM(REGEXREPLACE(TRIM(REGEXEXTRACT('AYIRA"&amp;" MINI MART FINAL MENU - Pr'!B879, ""^[^\x{0600}-\x{06FF}]+"")), ""[-–]+$"", """")), """"), GOOGLETRANSLATE('AYIRA MINI MART FINAL MENU - Pr'!B879, ""ar"", ""en"")))"),"Candy |")</f>
        <v>Candy |</v>
      </c>
      <c r="C879" s="58">
        <f>IF('AYIRA MINI MART FINAL MENU - Pr'!C879="", "", 'AYIRA MINI MART FINAL MENU - Pr'!C879)</f>
        <v>9</v>
      </c>
      <c r="D879" s="56" t="str">
        <f>IFERROR(__xludf.DUMMYFUNCTION("IF('AYIRA MINI MART FINAL MENU - Pr'!D879="""", """", GOOGLETRANSLATE('AYIRA MINI MART FINAL MENU - Pr'!D879, ""ar"", ""en""))"),"Enjoy Juicy Drop Pop Cola Flavor 27g, the refreshing soft drink that gives you energy and vitality with every drop. Its delicious taste and unique formula make it the perfect choice to quench your thirst anytime. Ideal for parties, family gatherings, and "&amp;"various occasions. It contains distinctive flavors that make every sip an unforgettable experience. Get it now from Aira Mini Mart at the best prices and highest quality. Our special drink provides you with instant refreshment and satisfies your discernin"&amp;"g taste whenever you need hydration.")</f>
        <v>Enjoy Juicy Drop Pop Cola Flavor 27g, the refreshing soft drink that gives you energy and vitality with every drop. Its delicious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special drink provides you with instant refreshment and satisfies your discerning taste whenever you need hydration.</v>
      </c>
      <c r="E879" s="56" t="str">
        <f>IF('AYIRA MINI MART FINAL MENU - Pr'!K879="", "", 'AYIRA MINI MART FINAL MENU - Pr'!K879)</f>
        <v/>
      </c>
      <c r="F879" s="56"/>
      <c r="G879" s="56"/>
      <c r="H879" s="56"/>
      <c r="I879" s="56"/>
      <c r="J879" s="56"/>
      <c r="L879" s="56" t="str">
        <f>IF('AYIRA MINI MART FINAL MENU - Pr'!L879="", "", 'AYIRA MINI MART FINAL MENU - Pr'!L879)</f>
        <v/>
      </c>
      <c r="M879" s="56" t="str">
        <f>IF('AYIRA MINI MART FINAL MENU - Pr'!M879="", "", 'AYIRA MINI MART FINAL MENU - Pr'!M879)</f>
        <v/>
      </c>
      <c r="N879" s="56" t="str">
        <f>IF('AYIRA MINI MART FINAL MENU - Pr'!N879="", "", 'AYIRA MINI MART FINAL MENU - Pr'!N879)</f>
        <v/>
      </c>
      <c r="O879" s="57"/>
      <c r="P879" s="57"/>
      <c r="Q879" s="57"/>
      <c r="R879" s="57"/>
      <c r="S879" s="57"/>
      <c r="T879" s="57"/>
      <c r="U879" s="57"/>
      <c r="V879" s="57"/>
      <c r="W879" s="57"/>
      <c r="X879" s="57"/>
      <c r="Y879" s="57"/>
      <c r="Z879" s="57"/>
    </row>
    <row r="880">
      <c r="A880" s="56" t="str">
        <f>IFERROR(__xludf.DUMMYFUNCTION("IF('AYIRA MINI MART FINAL MENU - Pr'!A880="""", """", IF(LEN(IFERROR(TRIM(REGEXREPLACE(TRIM(REGEXEXTRACT('AYIRA MINI MART FINAL MENU - Pr'!A880, ""^[^\x{0600}-\x{06FF}]+"")), ""[-–]+$"", """")), """"))&gt;0, IFERROR(TRIM(REGEXREPLACE(TRIM(REGEXEXTRACT('AYIRA"&amp;" MINI MART FINAL MENU - Pr'!A880, ""^[^\x{0600}-\x{06FF}]+"")), ""[-–]+$"", """")), """"), GOOGLETRANSLATE('AYIRA MINI MART FINAL MENU - Pr'!A880, ""ar"", ""en"")))"),"Push Pop Candy Strawberry Flavour 15 g – Push Pop Candy")</f>
        <v>Push Pop Candy Strawberry Flavour 15 g – Push Pop Candy</v>
      </c>
      <c r="B880" s="56" t="str">
        <f>IFERROR(__xludf.DUMMYFUNCTION("IF('AYIRA MINI MART FINAL MENU - Pr'!B880="""", """", IF(LEN(IFERROR(TRIM(REGEXREPLACE(TRIM(REGEXEXTRACT('AYIRA MINI MART FINAL MENU - Pr'!B880, ""^[^\x{0600}-\x{06FF}]+"")), ""[-–]+$"", """")), """"))&gt;0, IFERROR(TRIM(REGEXREPLACE(TRIM(REGEXEXTRACT('AYIRA"&amp;" MINI MART FINAL MENU - Pr'!B880, ""^[^\x{0600}-\x{06FF}]+"")), ""[-–]+$"", """")), """"), GOOGLETRANSLATE('AYIRA MINI MART FINAL MENU - Pr'!B880, ""ar"", ""en"")))"),"Candy |")</f>
        <v>Candy |</v>
      </c>
      <c r="C880" s="58">
        <f>IF('AYIRA MINI MART FINAL MENU - Pr'!C880="", "", 'AYIRA MINI MART FINAL MENU - Pr'!C880)</f>
        <v>3.5</v>
      </c>
      <c r="D880" s="56" t="str">
        <f>IFERROR(__xludf.DUMMYFUNCTION("IF('AYIRA MINI MART FINAL MENU - Pr'!D880="""", """", GOOGLETRANSLATE('AYIRA MINI MART FINAL MENU - Pr'!D880, ""ar"", ""en""))"),"Add a sweet moment to your day with Push Pop Candy Strawberry Flavor 15g, a delicious treat loved by everyone. Its variety of flavors and attractive colors make it suitable for all ages. Perfect as a small treat or a light gift for friends and family. Mad"&amp;"e with high quality ingredients to ensure a great taste in every piece. Get yours from Aira Mini Mart and spread the joy to your loved ones.")</f>
        <v>Add a sweet moment to your day with Push Pop Candy Strawberry Flavor 15g, a delicious treat loved by everyone. Its variety of flavors and attractive colors make it suitable for all ages. Perfect as a small treat or a light gift for friends and family. Made with high quality ingredients to ensure a great taste in every piece. Get yours from Aira Mini Mart and spread the joy to your loved ones.</v>
      </c>
      <c r="E880" s="56" t="str">
        <f>IF('AYIRA MINI MART FINAL MENU - Pr'!K880="", "", 'AYIRA MINI MART FINAL MENU - Pr'!K880)</f>
        <v/>
      </c>
      <c r="F880" s="56"/>
      <c r="G880" s="56"/>
      <c r="H880" s="56"/>
      <c r="I880" s="56"/>
      <c r="J880" s="56"/>
      <c r="L880" s="56" t="str">
        <f>IF('AYIRA MINI MART FINAL MENU - Pr'!L880="", "", 'AYIRA MINI MART FINAL MENU - Pr'!L880)</f>
        <v/>
      </c>
      <c r="M880" s="56" t="str">
        <f>IF('AYIRA MINI MART FINAL MENU - Pr'!M880="", "", 'AYIRA MINI MART FINAL MENU - Pr'!M880)</f>
        <v/>
      </c>
      <c r="N880" s="56" t="str">
        <f>IF('AYIRA MINI MART FINAL MENU - Pr'!N880="", "", 'AYIRA MINI MART FINAL MENU - Pr'!N880)</f>
        <v/>
      </c>
      <c r="O880" s="57"/>
      <c r="P880" s="57"/>
      <c r="Q880" s="57"/>
      <c r="R880" s="57"/>
      <c r="S880" s="57"/>
      <c r="T880" s="57"/>
      <c r="U880" s="57"/>
      <c r="V880" s="57"/>
      <c r="W880" s="57"/>
      <c r="X880" s="57"/>
      <c r="Y880" s="57"/>
      <c r="Z880" s="57"/>
    </row>
    <row r="881">
      <c r="A881" s="56" t="str">
        <f>IFERROR(__xludf.DUMMYFUNCTION("IF('AYIRA MINI MART FINAL MENU - Pr'!A881="""", """", IF(LEN(IFERROR(TRIM(REGEXREPLACE(TRIM(REGEXEXTRACT('AYIRA MINI MART FINAL MENU - Pr'!A881, ""^[^\x{0600}-\x{06FF}]+"")), ""[-–]+$"", """")), """"))&gt;0, IFERROR(TRIM(REGEXREPLACE(TRIM(REGEXEXTRACT('AYIRA"&amp;" MINI MART FINAL MENU - Pr'!A881, ""^[^\x{0600}-\x{06FF}]+"")), ""[-–]+$"", """")), """"), GOOGLETRANSLATE('AYIRA MINI MART FINAL MENU - Pr'!A881, ""ar"", ""en"")))"),"Screamers Megasaur Gum")</f>
        <v>Screamers Megasaur Gum</v>
      </c>
      <c r="B881" s="56" t="str">
        <f>IFERROR(__xludf.DUMMYFUNCTION("IF('AYIRA MINI MART FINAL MENU - Pr'!B881="""", """", IF(LEN(IFERROR(TRIM(REGEXREPLACE(TRIM(REGEXEXTRACT('AYIRA MINI MART FINAL MENU - Pr'!B881, ""^[^\x{0600}-\x{06FF}]+"")), ""[-–]+$"", """")), """"))&gt;0, IFERROR(TRIM(REGEXREPLACE(TRIM(REGEXEXTRACT('AYIRA"&amp;" MINI MART FINAL MENU - Pr'!B881, ""^[^\x{0600}-\x{06FF}]+"")), ""[-–]+$"", """")), """"), GOOGLETRANSLATE('AYIRA MINI MART FINAL MENU - Pr'!B881, ""ar"", ""en"")))"),"Candy |")</f>
        <v>Candy |</v>
      </c>
      <c r="C881" s="58">
        <f>IF('AYIRA MINI MART FINAL MENU - Pr'!C881="", "", 'AYIRA MINI MART FINAL MENU - Pr'!C881)</f>
        <v>1.5</v>
      </c>
      <c r="D881" s="56" t="str">
        <f>IFERROR(__xludf.DUMMYFUNCTION("IF('AYIRA MINI MART FINAL MENU - Pr'!D881="""", """", GOOGLETRANSLATE('AYIRA MINI MART FINAL MENU - Pr'!D881, ""ar"", ""en""))"),"Enjoy Screamers Megasaur Gum, the refreshing gum that keeps your mouth clean and fresh all day long. Its long-lasting flavor and unique formula make it the perfect choice for those seeking continuous freshness throughout the day. It helps to invigorate te"&amp;"eth and freshen breath beautifully. Suitable anytime, anywhere. Get it from Aira Mini Mart and enjoy continuous freshness.")</f>
        <v>Enjoy Screamers Megasaur Gum,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881" s="56" t="str">
        <f>IF('AYIRA MINI MART FINAL MENU - Pr'!K881="", "", 'AYIRA MINI MART FINAL MENU - Pr'!K881)</f>
        <v/>
      </c>
      <c r="F881" s="56"/>
      <c r="G881" s="56"/>
      <c r="H881" s="56"/>
      <c r="I881" s="56"/>
      <c r="J881" s="56"/>
      <c r="L881" s="56" t="str">
        <f>IF('AYIRA MINI MART FINAL MENU - Pr'!L881="", "", 'AYIRA MINI MART FINAL MENU - Pr'!L881)</f>
        <v/>
      </c>
      <c r="M881" s="56" t="str">
        <f>IF('AYIRA MINI MART FINAL MENU - Pr'!M881="", "", 'AYIRA MINI MART FINAL MENU - Pr'!M881)</f>
        <v/>
      </c>
      <c r="N881" s="56" t="str">
        <f>IF('AYIRA MINI MART FINAL MENU - Pr'!N881="", "", 'AYIRA MINI MART FINAL MENU - Pr'!N881)</f>
        <v/>
      </c>
      <c r="O881" s="57"/>
      <c r="P881" s="57"/>
      <c r="Q881" s="57"/>
      <c r="R881" s="57"/>
      <c r="S881" s="57"/>
      <c r="T881" s="57"/>
      <c r="U881" s="57"/>
      <c r="V881" s="57"/>
      <c r="W881" s="57"/>
      <c r="X881" s="57"/>
      <c r="Y881" s="57"/>
      <c r="Z881" s="57"/>
    </row>
    <row r="882">
      <c r="A882" s="56" t="str">
        <f>IFERROR(__xludf.DUMMYFUNCTION("IF('AYIRA MINI MART FINAL MENU - Pr'!A882="""", """", IF(LEN(IFERROR(TRIM(REGEXREPLACE(TRIM(REGEXEXTRACT('AYIRA MINI MART FINAL MENU - Pr'!A882, ""^[^\x{0600}-\x{06FF}]+"")), ""[-–]+$"", """")), """"))&gt;0, IFERROR(TRIM(REGEXREPLACE(TRIM(REGEXEXTRACT('AYIRA"&amp;" MINI MART FINAL MENU - Pr'!A882, ""^[^\x{0600}-\x{06FF}]+"")), ""[-–]+$"", """")), """"), GOOGLETRANSLATE('AYIRA MINI MART FINAL MENU - Pr'!A882, ""ar"", ""en"")))"),"Gremmers Mega Sour Gum 14 g – Gremmers Mega Sour Gum 14")</f>
        <v>Gremmers Mega Sour Gum 14 g – Gremmers Mega Sour Gum 14</v>
      </c>
      <c r="B882" s="56" t="str">
        <f>IFERROR(__xludf.DUMMYFUNCTION("IF('AYIRA MINI MART FINAL MENU - Pr'!B882="""", """", IF(LEN(IFERROR(TRIM(REGEXREPLACE(TRIM(REGEXEXTRACT('AYIRA MINI MART FINAL MENU - Pr'!B882, ""^[^\x{0600}-\x{06FF}]+"")), ""[-–]+$"", """")), """"))&gt;0, IFERROR(TRIM(REGEXREPLACE(TRIM(REGEXEXTRACT('AYIRA"&amp;" MINI MART FINAL MENU - Pr'!B882, ""^[^\x{0600}-\x{06FF}]+"")), ""[-–]+$"", """")), """"), GOOGLETRANSLATE('AYIRA MINI MART FINAL MENU - Pr'!B882, ""ar"", ""en"")))"),"Candy |")</f>
        <v>Candy |</v>
      </c>
      <c r="C882" s="58">
        <f>IF('AYIRA MINI MART FINAL MENU - Pr'!C882="", "", 'AYIRA MINI MART FINAL MENU - Pr'!C882)</f>
        <v>1.5</v>
      </c>
      <c r="D882" s="56" t="str">
        <f>IFERROR(__xludf.DUMMYFUNCTION("IF('AYIRA MINI MART FINAL MENU - Pr'!D882="""", """", GOOGLETRANSLATE('AYIRA MINI MART FINAL MENU - Pr'!D882, ""ar"", ""en""))"),"Enjoy Gremmers Mega Sour Gum 14g, the refreshing gum that keeps your mouth clean and fresh all day long. Its long-lasting flavor and unique formula make it the perfect choice for those seeking continuous freshness throughout the day. It helps to invigorat"&amp;"e teeth and freshen breath beautifully. Suitable anytime, anywhere. Get it from Aira Mini Mart and enjoy continuous freshness.")</f>
        <v>Enjoy Gremmers Mega Sour Gum 14g,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882" s="56" t="str">
        <f>IF('AYIRA MINI MART FINAL MENU - Pr'!K882="", "", 'AYIRA MINI MART FINAL MENU - Pr'!K882)</f>
        <v/>
      </c>
      <c r="F882" s="56"/>
      <c r="G882" s="56"/>
      <c r="H882" s="56"/>
      <c r="I882" s="56"/>
      <c r="J882" s="56"/>
      <c r="L882" s="56" t="str">
        <f>IF('AYIRA MINI MART FINAL MENU - Pr'!L882="", "", 'AYIRA MINI MART FINAL MENU - Pr'!L882)</f>
        <v/>
      </c>
      <c r="M882" s="56" t="str">
        <f>IF('AYIRA MINI MART FINAL MENU - Pr'!M882="", "", 'AYIRA MINI MART FINAL MENU - Pr'!M882)</f>
        <v/>
      </c>
      <c r="N882" s="56" t="str">
        <f>IF('AYIRA MINI MART FINAL MENU - Pr'!N882="", "", 'AYIRA MINI MART FINAL MENU - Pr'!N882)</f>
        <v/>
      </c>
      <c r="O882" s="57"/>
      <c r="P882" s="57"/>
      <c r="Q882" s="57"/>
      <c r="R882" s="57"/>
      <c r="S882" s="57"/>
      <c r="T882" s="57"/>
      <c r="U882" s="57"/>
      <c r="V882" s="57"/>
      <c r="W882" s="57"/>
      <c r="X882" s="57"/>
      <c r="Y882" s="57"/>
      <c r="Z882" s="57"/>
    </row>
    <row r="883">
      <c r="A883" s="56" t="str">
        <f>IFERROR(__xludf.DUMMYFUNCTION("IF('AYIRA MINI MART FINAL MENU - Pr'!A883="""", """", IF(LEN(IFERROR(TRIM(REGEXREPLACE(TRIM(REGEXEXTRACT('AYIRA MINI MART FINAL MENU - Pr'!A883, ""^[^\x{0600}-\x{06FF}]+"")), ""[-–]+$"", """")), """"))&gt;0, IFERROR(TRIM(REGEXREPLACE(TRIM(REGEXEXTRACT('AYIRA"&amp;" MINI MART FINAL MENU - Pr'!A883, ""^[^\x{0600}-\x{06FF}]+"")), ""[-–]+$"", """")), """"), GOOGLETRANSLATE('AYIRA MINI MART FINAL MENU - Pr'!A883, ""ar"", ""en"")))"),"Brain Bitz Chew Bar Apple Flavour (20 g) – Brain Bitz Chew")</f>
        <v>Brain Bitz Chew Bar Apple Flavour (20 g) – Brain Bitz Chew</v>
      </c>
      <c r="B883" s="56" t="str">
        <f>IFERROR(__xludf.DUMMYFUNCTION("IF('AYIRA MINI MART FINAL MENU - Pr'!B883="""", """", IF(LEN(IFERROR(TRIM(REGEXREPLACE(TRIM(REGEXEXTRACT('AYIRA MINI MART FINAL MENU - Pr'!B883, ""^[^\x{0600}-\x{06FF}]+"")), ""[-–]+$"", """")), """"))&gt;0, IFERROR(TRIM(REGEXREPLACE(TRIM(REGEXEXTRACT('AYIRA"&amp;" MINI MART FINAL MENU - Pr'!B883, ""^[^\x{0600}-\x{06FF}]+"")), ""[-–]+$"", """")), """"), GOOGLETRANSLATE('AYIRA MINI MART FINAL MENU - Pr'!B883, ""ar"", ""en"")))"),"Candy |")</f>
        <v>Candy |</v>
      </c>
      <c r="C883" s="58">
        <f>IF('AYIRA MINI MART FINAL MENU - Pr'!C883="", "", 'AYIRA MINI MART FINAL MENU - Pr'!C883)</f>
        <v>1</v>
      </c>
      <c r="D883" s="56" t="str">
        <f>IFERROR(__xludf.DUMMYFUNCTION("IF('AYIRA MINI MART FINAL MENU - Pr'!D883="""", """", GOOGLETRANSLATE('AYIRA MINI MART FINAL MENU - Pr'!D883, ""ar"", ""en""))"),"Don't be able to resist the taste of Brain Bitz Chew Bar Apple Flavor (20g), your perfect companion for relaxing and watching the game. Its unique crunch and varied flavors make every handful a delightful experience. Prepared with the finest ingredients u"&amp;"sing the latest manufacturing techniques to ensure an unparalleled taste. Ideal as a snack for adults and children between meals. Aira Mini Mart offers it in the perfect size and flavor for you.")</f>
        <v>Don't be able to resist the taste of Brain Bitz Chew Bar Apple Flavor (20g),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883" s="56" t="str">
        <f>IF('AYIRA MINI MART FINAL MENU - Pr'!K883="", "", 'AYIRA MINI MART FINAL MENU - Pr'!K883)</f>
        <v/>
      </c>
      <c r="F883" s="56"/>
      <c r="G883" s="56"/>
      <c r="H883" s="56"/>
      <c r="I883" s="56"/>
      <c r="J883" s="56"/>
      <c r="L883" s="56" t="str">
        <f>IF('AYIRA MINI MART FINAL MENU - Pr'!L883="", "", 'AYIRA MINI MART FINAL MENU - Pr'!L883)</f>
        <v/>
      </c>
      <c r="M883" s="56" t="str">
        <f>IF('AYIRA MINI MART FINAL MENU - Pr'!M883="", "", 'AYIRA MINI MART FINAL MENU - Pr'!M883)</f>
        <v/>
      </c>
      <c r="N883" s="56" t="str">
        <f>IF('AYIRA MINI MART FINAL MENU - Pr'!N883="", "", 'AYIRA MINI MART FINAL MENU - Pr'!N883)</f>
        <v/>
      </c>
      <c r="O883" s="57"/>
      <c r="P883" s="57"/>
      <c r="Q883" s="57"/>
      <c r="R883" s="57"/>
      <c r="S883" s="57"/>
      <c r="T883" s="57"/>
      <c r="U883" s="57"/>
      <c r="V883" s="57"/>
      <c r="W883" s="57"/>
      <c r="X883" s="57"/>
      <c r="Y883" s="57"/>
      <c r="Z883" s="57"/>
    </row>
    <row r="884">
      <c r="A884" s="56" t="str">
        <f>IFERROR(__xludf.DUMMYFUNCTION("IF('AYIRA MINI MART FINAL MENU - Pr'!A884="""", """", IF(LEN(IFERROR(TRIM(REGEXREPLACE(TRIM(REGEXEXTRACT('AYIRA MINI MART FINAL MENU - Pr'!A884, ""^[^\x{0600}-\x{06FF}]+"")), ""[-–]+$"", """")), """"))&gt;0, IFERROR(TRIM(REGEXREPLACE(TRIM(REGEXEXTRACT('AYIRA"&amp;" MINI MART FINAL MENU - Pr'!A884, ""^[^\x{0600}-\x{06FF}]+"")), ""[-–]+$"", """")), """"), GOOGLETRANSLATE('AYIRA MINI MART FINAL MENU - Pr'!A884, ""ar"", ""en"")))"),"Brain Blasterz Sour Powder 10 g – Brain Blasterz Sour")</f>
        <v>Brain Blasterz Sour Powder 10 g – Brain Blasterz Sour</v>
      </c>
      <c r="B884" s="56" t="str">
        <f>IFERROR(__xludf.DUMMYFUNCTION("IF('AYIRA MINI MART FINAL MENU - Pr'!B884="""", """", IF(LEN(IFERROR(TRIM(REGEXREPLACE(TRIM(REGEXEXTRACT('AYIRA MINI MART FINAL MENU - Pr'!B884, ""^[^\x{0600}-\x{06FF}]+"")), ""[-–]+$"", """")), """"))&gt;0, IFERROR(TRIM(REGEXREPLACE(TRIM(REGEXEXTRACT('AYIRA"&amp;" MINI MART FINAL MENU - Pr'!B884, ""^[^\x{0600}-\x{06FF}]+"")), ""[-–]+$"", """")), """"), GOOGLETRANSLATE('AYIRA MINI MART FINAL MENU - Pr'!B884, ""ar"", ""en"")))"),"Candy |")</f>
        <v>Candy |</v>
      </c>
      <c r="C884" s="58">
        <f>IF('AYIRA MINI MART FINAL MENU - Pr'!C884="", "", 'AYIRA MINI MART FINAL MENU - Pr'!C884)</f>
        <v>8</v>
      </c>
      <c r="D884" s="56" t="str">
        <f>IFERROR(__xludf.DUMMYFUNCTION("IF('AYIRA MINI MART FINAL MENU - Pr'!D884="""", """", GOOGLETRANSLATE('AYIRA MINI MART FINAL MENU - Pr'!D884, ""ar"", ""en""))"),"Don't be able to resist the taste of Brain Blasterz Sour Powder 10g, your perfect companion for relaxing and watching the game. Its unique crunch and varied flavors make every handful a delightful experience. Prepared with the finest ingredients using the"&amp;" latest manufacturing techniques to ensure an unparalleled taste. Ideal as a snack for adults and children between meals. Aira Mini Mart offers it in the perfect size and flavor for you.")</f>
        <v>Don't be able to resist the taste of Brain Blasterz Sour Powder 10g,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perfect size and flavor for you.</v>
      </c>
      <c r="E884" s="56" t="str">
        <f>IF('AYIRA MINI MART FINAL MENU - Pr'!K884="", "", 'AYIRA MINI MART FINAL MENU - Pr'!K884)</f>
        <v/>
      </c>
      <c r="F884" s="56"/>
      <c r="G884" s="56"/>
      <c r="H884" s="56"/>
      <c r="I884" s="56"/>
      <c r="J884" s="56"/>
      <c r="L884" s="56" t="str">
        <f>IF('AYIRA MINI MART FINAL MENU - Pr'!L884="", "", 'AYIRA MINI MART FINAL MENU - Pr'!L884)</f>
        <v/>
      </c>
      <c r="M884" s="56" t="str">
        <f>IF('AYIRA MINI MART FINAL MENU - Pr'!M884="", "", 'AYIRA MINI MART FINAL MENU - Pr'!M884)</f>
        <v/>
      </c>
      <c r="N884" s="56" t="str">
        <f>IF('AYIRA MINI MART FINAL MENU - Pr'!N884="", "", 'AYIRA MINI MART FINAL MENU - Pr'!N884)</f>
        <v/>
      </c>
      <c r="O884" s="57"/>
      <c r="P884" s="57"/>
      <c r="Q884" s="57"/>
      <c r="R884" s="57"/>
      <c r="S884" s="57"/>
      <c r="T884" s="57"/>
      <c r="U884" s="57"/>
      <c r="V884" s="57"/>
      <c r="W884" s="57"/>
      <c r="X884" s="57"/>
      <c r="Y884" s="57"/>
      <c r="Z884" s="57"/>
    </row>
    <row r="885">
      <c r="A885" s="56" t="str">
        <f>IFERROR(__xludf.DUMMYFUNCTION("IF('AYIRA MINI MART FINAL MENU - Pr'!A885="""", """", IF(LEN(IFERROR(TRIM(REGEXREPLACE(TRIM(REGEXEXTRACT('AYIRA MINI MART FINAL MENU - Pr'!A885, ""^[^\x{0600}-\x{06FF}]+"")), ""[-–]+$"", """")), """"))&gt;0, IFERROR(TRIM(REGEXREPLACE(TRIM(REGEXEXTRACT('AYIRA"&amp;" MINI MART FINAL MENU - Pr'!A885, ""^[^\x{0600}-\x{06FF}]+"")), ""[-–]+$"", """")), """"), GOOGLETRANSLATE('AYIRA MINI MART FINAL MENU - Pr'!A885, ""ar"", ""en"")))"),"Fizzy Tubes Sour Fizz Powder 15 g – Fizzy Tubes Sour Fizz")</f>
        <v>Fizzy Tubes Sour Fizz Powder 15 g – Fizzy Tubes Sour Fizz</v>
      </c>
      <c r="B885" s="56" t="str">
        <f>IFERROR(__xludf.DUMMYFUNCTION("IF('AYIRA MINI MART FINAL MENU - Pr'!B885="""", """", IF(LEN(IFERROR(TRIM(REGEXREPLACE(TRIM(REGEXEXTRACT('AYIRA MINI MART FINAL MENU - Pr'!B885, ""^[^\x{0600}-\x{06FF}]+"")), ""[-–]+$"", """")), """"))&gt;0, IFERROR(TRIM(REGEXREPLACE(TRIM(REGEXEXTRACT('AYIRA"&amp;" MINI MART FINAL MENU - Pr'!B885, ""^[^\x{0600}-\x{06FF}]+"")), ""[-–]+$"", """")), """"), GOOGLETRANSLATE('AYIRA MINI MART FINAL MENU - Pr'!B885, ""ar"", ""en"")))"),"Candy |")</f>
        <v>Candy |</v>
      </c>
      <c r="C885" s="58">
        <f>IF('AYIRA MINI MART FINAL MENU - Pr'!C885="", "", 'AYIRA MINI MART FINAL MENU - Pr'!C885)</f>
        <v>1.5</v>
      </c>
      <c r="D885" s="56" t="str">
        <f>IFERROR(__xludf.DUMMYFUNCTION("IF('AYIRA MINI MART FINAL MENU - Pr'!D885="""", """", GOOGLETRANSLATE('AYIRA MINI MART FINAL MENU - Pr'!D885, ""ar"", ""en""))"),"Don't be able to resist the taste of Fizzy Tubes Sour Fizz Powder 15g, your perfect companion for relaxing and watching the game. Its unique crunch and varied flavors make every handful a delightful experience. Prepared with the finest ingredients using t"&amp;"he latest manufacturing techniques to ensure an unparalleled taste. Ideal as a snack for adults and children between meals. Aira Mini Mart offers it in the size and flavor that suits you best.")</f>
        <v>Don't be able to resist the taste of Fizzy Tubes Sour Fizz Powder 15g,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between meals. Aira Mini Mart offers it in the size and flavor that suits you best.</v>
      </c>
      <c r="E885" s="56" t="str">
        <f>IF('AYIRA MINI MART FINAL MENU - Pr'!K885="", "", 'AYIRA MINI MART FINAL MENU - Pr'!K885)</f>
        <v/>
      </c>
      <c r="F885" s="56"/>
      <c r="G885" s="56"/>
      <c r="H885" s="56"/>
      <c r="I885" s="56"/>
      <c r="J885" s="56"/>
      <c r="L885" s="56" t="str">
        <f>IF('AYIRA MINI MART FINAL MENU - Pr'!L885="", "", 'AYIRA MINI MART FINAL MENU - Pr'!L885)</f>
        <v/>
      </c>
      <c r="M885" s="56" t="str">
        <f>IF('AYIRA MINI MART FINAL MENU - Pr'!M885="", "", 'AYIRA MINI MART FINAL MENU - Pr'!M885)</f>
        <v/>
      </c>
      <c r="N885" s="56" t="str">
        <f>IF('AYIRA MINI MART FINAL MENU - Pr'!N885="", "", 'AYIRA MINI MART FINAL MENU - Pr'!N885)</f>
        <v/>
      </c>
      <c r="O885" s="57"/>
      <c r="P885" s="57"/>
      <c r="Q885" s="57"/>
      <c r="R885" s="57"/>
      <c r="S885" s="57"/>
      <c r="T885" s="57"/>
      <c r="U885" s="57"/>
      <c r="V885" s="57"/>
      <c r="W885" s="57"/>
      <c r="X885" s="57"/>
      <c r="Y885" s="57"/>
      <c r="Z885" s="57"/>
    </row>
    <row r="886">
      <c r="A886" s="56" t="str">
        <f>IFERROR(__xludf.DUMMYFUNCTION("IF('AYIRA MINI MART FINAL MENU - Pr'!A886="""", """", IF(LEN(IFERROR(TRIM(REGEXREPLACE(TRIM(REGEXEXTRACT('AYIRA MINI MART FINAL MENU - Pr'!A886, ""^[^\x{0600}-\x{06FF}]+"")), ""[-–]+$"", """")), """"))&gt;0, IFERROR(TRIM(REGEXREPLACE(TRIM(REGEXEXTRACT('AYIRA"&amp;" MINI MART FINAL MENU - Pr'!A886, ""^[^\x{0600}-\x{06FF}]+"")), ""[-–]+$"", """")), """"), GOOGLETRANSLATE('AYIRA MINI MART FINAL MENU - Pr'!A886, ""ar"", ""en"")))"),"Brain Blasterz Candy Spray Apple Flavour 28 ml – Brain Blasterz Candy Spray")</f>
        <v>Brain Blasterz Candy Spray Apple Flavour 28 ml – Brain Blasterz Candy Spray</v>
      </c>
      <c r="B886" s="56" t="str">
        <f>IFERROR(__xludf.DUMMYFUNCTION("IF('AYIRA MINI MART FINAL MENU - Pr'!B886="""", """", IF(LEN(IFERROR(TRIM(REGEXREPLACE(TRIM(REGEXEXTRACT('AYIRA MINI MART FINAL MENU - Pr'!B886, ""^[^\x{0600}-\x{06FF}]+"")), ""[-–]+$"", """")), """"))&gt;0, IFERROR(TRIM(REGEXREPLACE(TRIM(REGEXEXTRACT('AYIRA"&amp;" MINI MART FINAL MENU - Pr'!B886, ""^[^\x{0600}-\x{06FF}]+"")), ""[-–]+$"", """")), """"), GOOGLETRANSLATE('AYIRA MINI MART FINAL MENU - Pr'!B886, ""ar"", ""en"")))"),"Candy |")</f>
        <v>Candy |</v>
      </c>
      <c r="C886" s="58">
        <f>IF('AYIRA MINI MART FINAL MENU - Pr'!C886="", "", 'AYIRA MINI MART FINAL MENU - Pr'!C886)</f>
        <v>5</v>
      </c>
      <c r="D886" s="56" t="str">
        <f>IFERROR(__xludf.DUMMYFUNCTION("IF('AYIRA MINI MART FINAL MENU - Pr'!D886="""", """", GOOGLETRANSLATE('AYIRA MINI MART FINAL MENU - Pr'!D886, ""ar"", ""en""))"),"Add a sweet treat to your day with Brain Blasterz Candy Spray Apple Flavor 28ml, a delicious candy loved by everyone. Its varied flavors and attractive colors make it suitable for all ages. Perfect as a small reward or a light gift for friends and family."&amp;" Made with high quality ingredients to ensure great taste in every piece. Get yours from Aira Mini Mart and spread the joy to your loved ones.")</f>
        <v>Add a sweet treat to your day with Brain Blasterz Candy Spray Apple Flavor 28ml, a delicious candy loved by everyone. Its varied flavors and attractive colors make it suitable for all ages. Perfect as a small reward or a light gift for friends and family. Made with high quality ingredients to ensure great taste in every piece. Get yours from Aira Mini Mart and spread the joy to your loved ones.</v>
      </c>
      <c r="E886" s="56" t="str">
        <f>IF('AYIRA MINI MART FINAL MENU - Pr'!K886="", "", 'AYIRA MINI MART FINAL MENU - Pr'!K886)</f>
        <v/>
      </c>
      <c r="F886" s="56"/>
      <c r="G886" s="56"/>
      <c r="H886" s="56"/>
      <c r="I886" s="56"/>
      <c r="J886" s="56"/>
      <c r="L886" s="56" t="str">
        <f>IF('AYIRA MINI MART FINAL MENU - Pr'!L886="", "", 'AYIRA MINI MART FINAL MENU - Pr'!L886)</f>
        <v/>
      </c>
      <c r="M886" s="56" t="str">
        <f>IF('AYIRA MINI MART FINAL MENU - Pr'!M886="", "", 'AYIRA MINI MART FINAL MENU - Pr'!M886)</f>
        <v/>
      </c>
      <c r="N886" s="56" t="str">
        <f>IF('AYIRA MINI MART FINAL MENU - Pr'!N886="", "", 'AYIRA MINI MART FINAL MENU - Pr'!N886)</f>
        <v/>
      </c>
      <c r="O886" s="57"/>
      <c r="P886" s="57"/>
      <c r="Q886" s="57"/>
      <c r="R886" s="57"/>
      <c r="S886" s="57"/>
      <c r="T886" s="57"/>
      <c r="U886" s="57"/>
      <c r="V886" s="57"/>
      <c r="W886" s="57"/>
      <c r="X886" s="57"/>
      <c r="Y886" s="57"/>
      <c r="Z886" s="57"/>
    </row>
    <row r="887">
      <c r="A887" s="56" t="str">
        <f>IFERROR(__xludf.DUMMYFUNCTION("IF('AYIRA MINI MART FINAL MENU - Pr'!A887="""", """", IF(LEN(IFERROR(TRIM(REGEXREPLACE(TRIM(REGEXEXTRACT('AYIRA MINI MART FINAL MENU - Pr'!A887, ""^[^\x{0600}-\x{06FF}]+"")), ""[-–]+$"", """")), """"))&gt;0, IFERROR(TRIM(REGEXREPLACE(TRIM(REGEXEXTRACT('AYIRA"&amp;" MINI MART FINAL MENU - Pr'!A887, ""^[^\x{0600}-\x{06FF}]+"")), ""[-–]+$"", """")), """"), GOOGLETRANSLATE('AYIRA MINI MART FINAL MENU - Pr'!A887, ""ar"", ""en"")))"),"Triple Power Push Pop Candy (3 Pops in 1) 15 g – Triple Power Push Pop Candy (3 Pops in 1) 15")</f>
        <v>Triple Power Push Pop Candy (3 Pops in 1) 15 g – Triple Power Push Pop Candy (3 Pops in 1) 15</v>
      </c>
      <c r="B887" s="56" t="str">
        <f>IFERROR(__xludf.DUMMYFUNCTION("IF('AYIRA MINI MART FINAL MENU - Pr'!B887="""", """", IF(LEN(IFERROR(TRIM(REGEXREPLACE(TRIM(REGEXEXTRACT('AYIRA MINI MART FINAL MENU - Pr'!B887, ""^[^\x{0600}-\x{06FF}]+"")), ""[-–]+$"", """")), """"))&gt;0, IFERROR(TRIM(REGEXREPLACE(TRIM(REGEXEXTRACT('AYIRA"&amp;" MINI MART FINAL MENU - Pr'!B887, ""^[^\x{0600}-\x{06FF}]+"")), ""[-–]+$"", """")), """"), GOOGLETRANSLATE('AYIRA MINI MART FINAL MENU - Pr'!B887, ""ar"", ""en"")))"),"Candy |")</f>
        <v>Candy |</v>
      </c>
      <c r="C887" s="58">
        <f>IF('AYIRA MINI MART FINAL MENU - Pr'!C887="", "", 'AYIRA MINI MART FINAL MENU - Pr'!C887)</f>
        <v>2</v>
      </c>
      <c r="D887" s="56" t="str">
        <f>IFERROR(__xludf.DUMMYFUNCTION("IF('AYIRA MINI MART FINAL MENU - Pr'!D887="""", """", GOOGLETRANSLATE('AYIRA MINI MART FINAL MENU - Pr'!D887, ""ar"", ""en""))"),"Add a sweet moment to your day with Triple Power Push Pop Candy (3 Pops in 1) 15g, a delicious treat loved by everyone. Its varied flavors and attractive colors make it suitable for all ages. Perfect as a small reward or a light gift for friends and famil"&amp;"y. Made with high quality to ensure great taste in every single piece. Get them from Aira Mini Mart and spread the joy to your loved ones.")</f>
        <v>Add a sweet moment to your day with Triple Power Push Pop Candy (3 Pops in 1) 15g, a delicious treat loved by everyone. Its varied flavors and attractive colors make it suitable for all ages. Perfect as a small reward or a light gift for friends and family. Made with high quality to ensure great taste in every single piece. Get them from Aira Mini Mart and spread the joy to your loved ones.</v>
      </c>
      <c r="E887" s="56" t="str">
        <f>IF('AYIRA MINI MART FINAL MENU - Pr'!K887="", "", 'AYIRA MINI MART FINAL MENU - Pr'!K887)</f>
        <v/>
      </c>
      <c r="F887" s="56"/>
      <c r="G887" s="56"/>
      <c r="H887" s="56"/>
      <c r="I887" s="56"/>
      <c r="J887" s="56"/>
      <c r="L887" s="56" t="str">
        <f>IF('AYIRA MINI MART FINAL MENU - Pr'!L887="", "", 'AYIRA MINI MART FINAL MENU - Pr'!L887)</f>
        <v/>
      </c>
      <c r="M887" s="56" t="str">
        <f>IF('AYIRA MINI MART FINAL MENU - Pr'!M887="", "", 'AYIRA MINI MART FINAL MENU - Pr'!M887)</f>
        <v/>
      </c>
      <c r="N887" s="56" t="str">
        <f>IF('AYIRA MINI MART FINAL MENU - Pr'!N887="", "", 'AYIRA MINI MART FINAL MENU - Pr'!N887)</f>
        <v/>
      </c>
      <c r="O887" s="57"/>
      <c r="P887" s="57"/>
      <c r="Q887" s="57"/>
      <c r="R887" s="57"/>
      <c r="S887" s="57"/>
      <c r="T887" s="57"/>
      <c r="U887" s="57"/>
      <c r="V887" s="57"/>
      <c r="W887" s="57"/>
      <c r="X887" s="57"/>
      <c r="Y887" s="57"/>
      <c r="Z887" s="57"/>
    </row>
    <row r="888">
      <c r="A888" s="56" t="str">
        <f>IFERROR(__xludf.DUMMYFUNCTION("IF('AYIRA MINI MART FINAL MENU - Pr'!A888="""", """", IF(LEN(IFERROR(TRIM(REGEXREPLACE(TRIM(REGEXEXTRACT('AYIRA MINI MART FINAL MENU - Pr'!A888, ""^[^\x{0600}-\x{06FF}]+"")), ""[-–]+$"", """")), """"))&gt;0, IFERROR(TRIM(REGEXREPLACE(TRIM(REGEXEXTRACT('AYIRA"&amp;" MINI MART FINAL MENU - Pr'!A888, ""^[^\x{0600}-\x{06FF}]+"")), ""[-–]+$"", """")), """"), GOOGLETRANSLATE('AYIRA MINI MART FINAL MENU - Pr'!A888, ""ar"", ""en"")))"),"Juice Dip Candy Strawberry 20g")</f>
        <v>Juice Dip Candy Strawberry 20g</v>
      </c>
      <c r="B888" s="56" t="str">
        <f>IFERROR(__xludf.DUMMYFUNCTION("IF('AYIRA MINI MART FINAL MENU - Pr'!B888="""", """", IF(LEN(IFERROR(TRIM(REGEXREPLACE(TRIM(REGEXEXTRACT('AYIRA MINI MART FINAL MENU - Pr'!B888, ""^[^\x{0600}-\x{06FF}]+"")), ""[-–]+$"", """")), """"))&gt;0, IFERROR(TRIM(REGEXREPLACE(TRIM(REGEXEXTRACT('AYIRA"&amp;" MINI MART FINAL MENU - Pr'!B888, ""^[^\x{0600}-\x{06FF}]+"")), ""[-–]+$"", """")), """"), GOOGLETRANSLATE('AYIRA MINI MART FINAL MENU - Pr'!B888, ""ar"", ""en"")))"),"Candy |")</f>
        <v>Candy |</v>
      </c>
      <c r="C888" s="58">
        <f>IF('AYIRA MINI MART FINAL MENU - Pr'!C888="", "", 'AYIRA MINI MART FINAL MENU - Pr'!C888)</f>
        <v>4</v>
      </c>
      <c r="D888" s="56" t="str">
        <f>IFERROR(__xludf.DUMMYFUNCTION("IF('AYIRA MINI MART FINAL MENU - Pr'!D888="""", """", GOOGLETRANSLATE('AYIRA MINI MART FINAL MENU - Pr'!D888, ""ar"", ""en""))"),"Boost your health with Juice Dip Candy Strawberry 20g, a fresh juice packed with essential vitamins and minerals. Made from carefully selected, high-quality fruits for a delicious taste and superior nutritional value. It provides natural energy and streng"&amp;"thens your immune system thanks to its rich content. Perfect for your daily breakfast or as a healthy drink anytime. Order now from Aira Mini Mart and enjoy every drop of this delicious and nutritious juice.")</f>
        <v>Boost your health with Juice Dip Candy Strawberry 20g, a fresh juice packed with essential vitamins and minerals. Made from carefully selected, high-quality fruits for a delicious taste and superior nutritional value. It provides natural energy and strengthens your immune system thanks to its rich content. Perfect for your daily breakfast or as a healthy drink anytime. Order now from Aira Mini Mart and enjoy every drop of this delicious and nutritious juice.</v>
      </c>
      <c r="E888" s="56" t="str">
        <f>IF('AYIRA MINI MART FINAL MENU - Pr'!K888="", "", 'AYIRA MINI MART FINAL MENU - Pr'!K888)</f>
        <v/>
      </c>
      <c r="F888" s="56"/>
      <c r="G888" s="56"/>
      <c r="H888" s="56"/>
      <c r="I888" s="56"/>
      <c r="J888" s="56"/>
      <c r="L888" s="56" t="str">
        <f>IF('AYIRA MINI MART FINAL MENU - Pr'!L888="", "", 'AYIRA MINI MART FINAL MENU - Pr'!L888)</f>
        <v/>
      </c>
      <c r="M888" s="56" t="str">
        <f>IF('AYIRA MINI MART FINAL MENU - Pr'!M888="", "", 'AYIRA MINI MART FINAL MENU - Pr'!M888)</f>
        <v/>
      </c>
      <c r="N888" s="56" t="str">
        <f>IF('AYIRA MINI MART FINAL MENU - Pr'!N888="", "", 'AYIRA MINI MART FINAL MENU - Pr'!N888)</f>
        <v/>
      </c>
      <c r="O888" s="57"/>
      <c r="P888" s="57"/>
      <c r="Q888" s="57"/>
      <c r="R888" s="57"/>
      <c r="S888" s="57"/>
      <c r="T888" s="57"/>
      <c r="U888" s="57"/>
      <c r="V888" s="57"/>
      <c r="W888" s="57"/>
      <c r="X888" s="57"/>
      <c r="Y888" s="57"/>
      <c r="Z888" s="57"/>
    </row>
    <row r="889">
      <c r="A889" s="56" t="str">
        <f>IFERROR(__xludf.DUMMYFUNCTION("IF('AYIRA MINI MART FINAL MENU - Pr'!A889="""", """", IF(LEN(IFERROR(TRIM(REGEXREPLACE(TRIM(REGEXEXTRACT('AYIRA MINI MART FINAL MENU - Pr'!A889, ""^[^\x{0600}-\x{06FF}]+"")), ""[-–]+$"", """")), """"))&gt;0, IFERROR(TRIM(REGEXREPLACE(TRIM(REGEXEXTRACT('AYIRA"&amp;" MINI MART FINAL MENU - Pr'!A889, ""^[^\x{0600}-\x{06FF}]+"")), ""[-–]+$"", """")), """"), GOOGLETRANSLATE('AYIRA MINI MART FINAL MENU - Pr'!A889, ""ar"", ""en"")))"),"Leetak Kreetenes Almond Toffee 100 g – Leetak Kreetenes")</f>
        <v>Leetak Kreetenes Almond Toffee 100 g – Leetak Kreetenes</v>
      </c>
      <c r="B889" s="56" t="str">
        <f>IFERROR(__xludf.DUMMYFUNCTION("IF('AYIRA MINI MART FINAL MENU - Pr'!B889="""", """", IF(LEN(IFERROR(TRIM(REGEXREPLACE(TRIM(REGEXEXTRACT('AYIRA MINI MART FINAL MENU - Pr'!B889, ""^[^\x{0600}-\x{06FF}]+"")), ""[-–]+$"", """")), """"))&gt;0, IFERROR(TRIM(REGEXREPLACE(TRIM(REGEXEXTRACT('AYIRA"&amp;" MINI MART FINAL MENU - Pr'!B889, ""^[^\x{0600}-\x{06FF}]+"")), ""[-–]+$"", """")), """"), GOOGLETRANSLATE('AYIRA MINI MART FINAL MENU - Pr'!B889, ""ar"", ""en"")))"),"Candy |")</f>
        <v>Candy |</v>
      </c>
      <c r="C889" s="58">
        <f>IF('AYIRA MINI MART FINAL MENU - Pr'!C889="", "", 'AYIRA MINI MART FINAL MENU - Pr'!C889)</f>
        <v>10</v>
      </c>
      <c r="D889" s="56" t="str">
        <f>IFERROR(__xludf.DUMMYFUNCTION("IF('AYIRA MINI MART FINAL MENU - Pr'!D889="""", """", GOOGLETRANSLATE('AYIRA MINI MART FINAL MENU - Pr'!D889, ""ar"", ""en""))"),"Add a sweet treat to your day with Leetak Kreetenes Almond Toffee 100g, a delicious treat loved by everyone. Its varied flavors and attractive colors make it suitable for all ages. Perfect as a small reward or a light gift for friends and family. Made wit"&amp;"h high quality ingredients to ensure a great taste in every piece. Get yours from Aira Mini Mart and spread the joy to your loved ones.")</f>
        <v>Add a sweet treat to your day with Leetak Kreetenes Almond Toffee 100g, a delicious treat loved by everyone. Its varied flavors and attractive colors make it suitable for all ages. Perfect as a small reward or a light gift for friends and family. Made with high quality ingredients to ensure a great taste in every piece. Get yours from Aira Mini Mart and spread the joy to your loved ones.</v>
      </c>
      <c r="E889" s="56" t="str">
        <f>IF('AYIRA MINI MART FINAL MENU - Pr'!K889="", "", 'AYIRA MINI MART FINAL MENU - Pr'!K889)</f>
        <v/>
      </c>
      <c r="F889" s="56"/>
      <c r="G889" s="56"/>
      <c r="H889" s="56"/>
      <c r="I889" s="56"/>
      <c r="J889" s="56"/>
      <c r="L889" s="56" t="str">
        <f>IF('AYIRA MINI MART FINAL MENU - Pr'!L889="", "", 'AYIRA MINI MART FINAL MENU - Pr'!L889)</f>
        <v/>
      </c>
      <c r="M889" s="56" t="str">
        <f>IF('AYIRA MINI MART FINAL MENU - Pr'!M889="", "", 'AYIRA MINI MART FINAL MENU - Pr'!M889)</f>
        <v/>
      </c>
      <c r="N889" s="56" t="str">
        <f>IF('AYIRA MINI MART FINAL MENU - Pr'!N889="", "", 'AYIRA MINI MART FINAL MENU - Pr'!N889)</f>
        <v/>
      </c>
      <c r="O889" s="57"/>
      <c r="P889" s="57"/>
      <c r="Q889" s="57"/>
      <c r="R889" s="57"/>
      <c r="S889" s="57"/>
      <c r="T889" s="57"/>
      <c r="U889" s="57"/>
      <c r="V889" s="57"/>
      <c r="W889" s="57"/>
      <c r="X889" s="57"/>
      <c r="Y889" s="57"/>
      <c r="Z889" s="57"/>
    </row>
    <row r="890">
      <c r="A890" s="56" t="str">
        <f>IFERROR(__xludf.DUMMYFUNCTION("IF('AYIRA MINI MART FINAL MENU - Pr'!A890="""", """", IF(LEN(IFERROR(TRIM(REGEXREPLACE(TRIM(REGEXEXTRACT('AYIRA MINI MART FINAL MENU - Pr'!A890, ""^[^\x{0600}-\x{06FF}]+"")), ""[-–]+$"", """")), """"))&gt;0, IFERROR(TRIM(REGEXREPLACE(TRIM(REGEXEXTRACT('AYIRA"&amp;" MINI MART FINAL MENU - Pr'!A890, ""^[^\x{0600}-\x{06FF}]+"")), ""[-–]+$"", """")), """"), GOOGLETRANSLATE('AYIRA MINI MART FINAL MENU - Pr'!A890, ""ar"", ""en"")))"),"Space Chupi Lollipop (20 Units)")</f>
        <v>Space Chupi Lollipop (20 Units)</v>
      </c>
      <c r="B890" s="56" t="str">
        <f>IFERROR(__xludf.DUMMYFUNCTION("IF('AYIRA MINI MART FINAL MENU - Pr'!B890="""", """", IF(LEN(IFERROR(TRIM(REGEXREPLACE(TRIM(REGEXEXTRACT('AYIRA MINI MART FINAL MENU - Pr'!B890, ""^[^\x{0600}-\x{06FF}]+"")), ""[-–]+$"", """")), """"))&gt;0, IFERROR(TRIM(REGEXREPLACE(TRIM(REGEXEXTRACT('AYIRA"&amp;" MINI MART FINAL MENU - Pr'!B890, ""^[^\x{0600}-\x{06FF}]+"")), ""[-–]+$"", """")), """"), GOOGLETRANSLATE('AYIRA MINI MART FINAL MENU - Pr'!B890, ""ar"", ""en"")))"),"Candy |")</f>
        <v>Candy |</v>
      </c>
      <c r="C890" s="58">
        <f>IF('AYIRA MINI MART FINAL MENU - Pr'!C890="", "", 'AYIRA MINI MART FINAL MENU - Pr'!C890)</f>
        <v>10</v>
      </c>
      <c r="D890" s="56" t="str">
        <f>IFERROR(__xludf.DUMMYFUNCTION("IF('AYIRA MINI MART FINAL MENU - Pr'!D890="""", """", GOOGLETRANSLATE('AYIRA MINI MART FINAL MENU - Pr'!D890, ""ar"", ""en""))"),"Add a sweet treat to your day with Space Chupi Lollipops (20 units), a delicious candy loved by everyone. Their variety of flavors and vibrant colors make them suitable for all ages. Perfect as a small reward or a light gift for friends and family. Made w"&amp;"ith high-quality ingredients to ensure great taste in every single piece. Get them from Aira Mini Mart and spread the joy to your loved ones.")</f>
        <v>Add a sweet treat to your day with Space Chupi Lollipops (20 units), a delicious candy loved by everyone. Their variety of flavors and vibrant colors make them suitable for all ages. Perfect as a small reward or a light gift for friends and family. Made with high-quality ingredients to ensure great taste in every single piece. Get them from Aira Mini Mart and spread the joy to your loved ones.</v>
      </c>
      <c r="E890" s="56" t="str">
        <f>IF('AYIRA MINI MART FINAL MENU - Pr'!K890="", "", 'AYIRA MINI MART FINAL MENU - Pr'!K890)</f>
        <v/>
      </c>
      <c r="F890" s="56"/>
      <c r="G890" s="56"/>
      <c r="H890" s="56"/>
      <c r="I890" s="56"/>
      <c r="J890" s="56"/>
      <c r="L890" s="56" t="str">
        <f>IF('AYIRA MINI MART FINAL MENU - Pr'!L890="", "", 'AYIRA MINI MART FINAL MENU - Pr'!L890)</f>
        <v/>
      </c>
      <c r="M890" s="56" t="str">
        <f>IF('AYIRA MINI MART FINAL MENU - Pr'!M890="", "", 'AYIRA MINI MART FINAL MENU - Pr'!M890)</f>
        <v/>
      </c>
      <c r="N890" s="56" t="str">
        <f>IF('AYIRA MINI MART FINAL MENU - Pr'!N890="", "", 'AYIRA MINI MART FINAL MENU - Pr'!N890)</f>
        <v/>
      </c>
      <c r="O890" s="57"/>
      <c r="P890" s="57"/>
      <c r="Q890" s="57"/>
      <c r="R890" s="57"/>
      <c r="S890" s="57"/>
      <c r="T890" s="57"/>
      <c r="U890" s="57"/>
      <c r="V890" s="57"/>
      <c r="W890" s="57"/>
      <c r="X890" s="57"/>
      <c r="Y890" s="57"/>
      <c r="Z890" s="57"/>
    </row>
    <row r="891">
      <c r="A891" s="56" t="str">
        <f>IFERROR(__xludf.DUMMYFUNCTION("IF('AYIRA MINI MART FINAL MENU - Pr'!A891="""", """", IF(LEN(IFERROR(TRIM(REGEXREPLACE(TRIM(REGEXEXTRACT('AYIRA MINI MART FINAL MENU - Pr'!A891, ""^[^\x{0600}-\x{06FF}]+"")), ""[-–]+$"", """")), """"))&gt;0, IFERROR(TRIM(REGEXREPLACE(TRIM(REGEXEXTRACT('AYIRA"&amp;" MINI MART FINAL MENU - Pr'!A891, ""^[^\x{0600}-\x{06FF}]+"")), ""[-–]+$"", """")), """"), GOOGLETRANSLATE('AYIRA MINI MART FINAL MENU - Pr'!A891, ""ar"", ""en"")))"),"Haribo Chamallows Rubino Strawberry Marshmallow 70 g")</f>
        <v>Haribo Chamallows Rubino Strawberry Marshmallow 70 g</v>
      </c>
      <c r="B891" s="56" t="str">
        <f>IFERROR(__xludf.DUMMYFUNCTION("IF('AYIRA MINI MART FINAL MENU - Pr'!B891="""", """", IF(LEN(IFERROR(TRIM(REGEXREPLACE(TRIM(REGEXEXTRACT('AYIRA MINI MART FINAL MENU - Pr'!B891, ""^[^\x{0600}-\x{06FF}]+"")), ""[-–]+$"", """")), """"))&gt;0, IFERROR(TRIM(REGEXREPLACE(TRIM(REGEXEXTRACT('AYIRA"&amp;" MINI MART FINAL MENU - Pr'!B891, ""^[^\x{0600}-\x{06FF}]+"")), ""[-–]+$"", """")), """"), GOOGLETRANSLATE('AYIRA MINI MART FINAL MENU - Pr'!B891, ""ar"", ""en"")))"),"Candy |")</f>
        <v>Candy |</v>
      </c>
      <c r="C891" s="58">
        <f>IF('AYIRA MINI MART FINAL MENU - Pr'!C891="", "", 'AYIRA MINI MART FINAL MENU - Pr'!C891)</f>
        <v>6</v>
      </c>
      <c r="D891" s="56" t="str">
        <f>IFERROR(__xludf.DUMMYFUNCTION("IF('AYIRA MINI MART FINAL MENU - Pr'!D891="""", """", GOOGLETRANSLATE('AYIRA MINI MART FINAL MENU - Pr'!D891, ""ar"", ""en""))"),"Add a sweet moment to your day with Haribo, the delicious treat loved by everyone. Its variety of flavors and vibrant colors make it suitable for all ages. Perfect as a small treat or a light gift for friends and family. Made with high quality ingredients"&amp;" to ensure a great taste in every piece. Get yours from Aira Mini Mart and spread the joy to your loved ones.")</f>
        <v>Add a sweet moment to your day with Haribo, the delicious treat loved by everyone. Its variety of flavors and vibrant colors make it suitable for all ages. Perfect as a small treat or a light gift for friends and family. Made with high quality ingredients to ensure a great taste in every piece. Get yours from Aira Mini Mart and spread the joy to your loved ones.</v>
      </c>
      <c r="E891" s="56" t="str">
        <f>IF('AYIRA MINI MART FINAL MENU - Pr'!K891="", "", 'AYIRA MINI MART FINAL MENU - Pr'!K891)</f>
        <v/>
      </c>
      <c r="F891" s="56"/>
      <c r="G891" s="56"/>
      <c r="H891" s="56"/>
      <c r="I891" s="56"/>
      <c r="J891" s="56"/>
      <c r="L891" s="56" t="str">
        <f>IF('AYIRA MINI MART FINAL MENU - Pr'!L891="", "", 'AYIRA MINI MART FINAL MENU - Pr'!L891)</f>
        <v/>
      </c>
      <c r="M891" s="56" t="str">
        <f>IF('AYIRA MINI MART FINAL MENU - Pr'!M891="", "", 'AYIRA MINI MART FINAL MENU - Pr'!M891)</f>
        <v/>
      </c>
      <c r="N891" s="56" t="str">
        <f>IF('AYIRA MINI MART FINAL MENU - Pr'!N891="", "", 'AYIRA MINI MART FINAL MENU - Pr'!N891)</f>
        <v/>
      </c>
      <c r="O891" s="57"/>
      <c r="P891" s="57"/>
      <c r="Q891" s="57"/>
      <c r="R891" s="57"/>
      <c r="S891" s="57"/>
      <c r="T891" s="57"/>
      <c r="U891" s="57"/>
      <c r="V891" s="57"/>
      <c r="W891" s="57"/>
      <c r="X891" s="57"/>
      <c r="Y891" s="57"/>
      <c r="Z891" s="57"/>
    </row>
    <row r="892">
      <c r="A892" s="56" t="str">
        <f>IFERROR(__xludf.DUMMYFUNCTION("IF('AYIRA MINI MART FINAL MENU - Pr'!A892="""", """", IF(LEN(IFERROR(TRIM(REGEXREPLACE(TRIM(REGEXEXTRACT('AYIRA MINI MART FINAL MENU - Pr'!A892, ""^[^\x{0600}-\x{06FF}]+"")), ""[-–]+$"", """")), """"))&gt;0, IFERROR(TRIM(REGEXREPLACE(TRIM(REGEXEXTRACT('AYIRA"&amp;" MINI MART FINAL MENU - Pr'!A892, ""^[^\x{0600}-\x{06FF}]+"")), ""[-–]+$"", """")), """"), GOOGLETRANSLATE('AYIRA MINI MART FINAL MENU - Pr'!A892, ""ar"", ""en"")))"),"Milki Krowka Cream Fudge Candy 750 g – Milki Krowka")</f>
        <v>Milki Krowka Cream Fudge Candy 750 g – Milki Krowka</v>
      </c>
      <c r="B892" s="56" t="str">
        <f>IFERROR(__xludf.DUMMYFUNCTION("IF('AYIRA MINI MART FINAL MENU - Pr'!B892="""", """", IF(LEN(IFERROR(TRIM(REGEXREPLACE(TRIM(REGEXEXTRACT('AYIRA MINI MART FINAL MENU - Pr'!B892, ""^[^\x{0600}-\x{06FF}]+"")), ""[-–]+$"", """")), """"))&gt;0, IFERROR(TRIM(REGEXREPLACE(TRIM(REGEXEXTRACT('AYIRA"&amp;" MINI MART FINAL MENU - Pr'!B892, ""^[^\x{0600}-\x{06FF}]+"")), ""[-–]+$"", """")), """"), GOOGLETRANSLATE('AYIRA MINI MART FINAL MENU - Pr'!B892, ""ar"", ""en"")))"),"Candy |")</f>
        <v>Candy |</v>
      </c>
      <c r="C892" s="58">
        <f>IF('AYIRA MINI MART FINAL MENU - Pr'!C892="", "", 'AYIRA MINI MART FINAL MENU - Pr'!C892)</f>
        <v>20</v>
      </c>
      <c r="D892" s="56" t="str">
        <f>IFERROR(__xludf.DUMMYFUNCTION("IF('AYIRA MINI MART FINAL MENU - Pr'!D892="""", """", GOOGLETRANSLATE('AYIRA MINI MART FINAL MENU - Pr'!D892, ""ar"", ""en""))"),"Add a sweet touch to your day with Milki Krowka Cream Fudge Candy 750g, a delicious treat loved by everyone. Its variety of flavors and vibrant colors make it suitable for all ages. Perfect as a small treat or a light gift for friends and family. Made wit"&amp;"h high-quality ingredients to ensure a great taste in every piece. Get yours from Aira Mini Mart and spread the joy to your loved ones.")</f>
        <v>Add a sweet touch to your day with Milki Krowka Cream Fudge Candy 750g, a delicious treat loved by everyone. Its variety of flavors and vibrant colors make it suitable for all ages. Perfect as a small treat or a light gift for friends and family. Made with high-quality ingredients to ensure a great taste in every piece. Get yours from Aira Mini Mart and spread the joy to your loved ones.</v>
      </c>
      <c r="E892" s="56" t="str">
        <f>IF('AYIRA MINI MART FINAL MENU - Pr'!K892="", "", 'AYIRA MINI MART FINAL MENU - Pr'!K892)</f>
        <v/>
      </c>
      <c r="F892" s="56"/>
      <c r="G892" s="56"/>
      <c r="H892" s="56"/>
      <c r="I892" s="56"/>
      <c r="J892" s="56"/>
      <c r="L892" s="56" t="str">
        <f>IF('AYIRA MINI MART FINAL MENU - Pr'!L892="", "", 'AYIRA MINI MART FINAL MENU - Pr'!L892)</f>
        <v/>
      </c>
      <c r="M892" s="56" t="str">
        <f>IF('AYIRA MINI MART FINAL MENU - Pr'!M892="", "", 'AYIRA MINI MART FINAL MENU - Pr'!M892)</f>
        <v/>
      </c>
      <c r="N892" s="56" t="str">
        <f>IF('AYIRA MINI MART FINAL MENU - Pr'!N892="", "", 'AYIRA MINI MART FINAL MENU - Pr'!N892)</f>
        <v/>
      </c>
      <c r="O892" s="57"/>
      <c r="P892" s="57"/>
      <c r="Q892" s="57"/>
      <c r="R892" s="57"/>
      <c r="S892" s="57"/>
      <c r="T892" s="57"/>
      <c r="U892" s="57"/>
      <c r="V892" s="57"/>
      <c r="W892" s="57"/>
      <c r="X892" s="57"/>
      <c r="Y892" s="57"/>
      <c r="Z892" s="57"/>
    </row>
    <row r="893">
      <c r="A893" s="56" t="str">
        <f>IFERROR(__xludf.DUMMYFUNCTION("IF('AYIRA MINI MART FINAL MENU - Pr'!A893="""", """", IF(LEN(IFERROR(TRIM(REGEXREPLACE(TRIM(REGEXEXTRACT('AYIRA MINI MART FINAL MENU - Pr'!A893, ""^[^\x{0600}-\x{06FF}]+"")), ""[-–]+$"", """")), """"))&gt;0, IFERROR(TRIM(REGEXREPLACE(TRIM(REGEXEXTRACT('AYIRA"&amp;" MINI MART FINAL MENU - Pr'!A893, ""^[^\x{0600}-\x{06FF}]+"")), ""[-–]+$"", """")), """"), GOOGLETRANSLATE('AYIRA MINI MART FINAL MENU - Pr'!A893, ""ar"", ""en"")))"),"Vigo Snow Ball White Chocolate 300 g – Vigo Snow Ball")</f>
        <v>Vigo Snow Ball White Chocolate 300 g – Vigo Snow Ball</v>
      </c>
      <c r="B893" s="56" t="str">
        <f>IFERROR(__xludf.DUMMYFUNCTION("IF('AYIRA MINI MART FINAL MENU - Pr'!B893="""", """", IF(LEN(IFERROR(TRIM(REGEXREPLACE(TRIM(REGEXEXTRACT('AYIRA MINI MART FINAL MENU - Pr'!B893, ""^[^\x{0600}-\x{06FF}]+"")), ""[-–]+$"", """")), """"))&gt;0, IFERROR(TRIM(REGEXREPLACE(TRIM(REGEXEXTRACT('AYIRA"&amp;" MINI MART FINAL MENU - Pr'!B893, ""^[^\x{0600}-\x{06FF}]+"")), ""[-–]+$"", """")), """"), GOOGLETRANSLATE('AYIRA MINI MART FINAL MENU - Pr'!B893, ""ar"", ""en"")))"),"Candy |")</f>
        <v>Candy |</v>
      </c>
      <c r="C893" s="58">
        <f>IF('AYIRA MINI MART FINAL MENU - Pr'!C893="", "", 'AYIRA MINI MART FINAL MENU - Pr'!C893)</f>
        <v>20</v>
      </c>
      <c r="D893" s="56" t="str">
        <f>IFERROR(__xludf.DUMMYFUNCTION("IF('AYIRA MINI MART FINAL MENU - Pr'!D893="""", """", GOOGLETRANSLATE('AYIRA MINI MART FINAL MENU - Pr'!D893, ""ar"", ""en""))"),"Indulge your senses with Vigo Snow Ball White Chocolate 300g, a luxurious chocolate that combines rich flavor with a perfect texture. Made from the finest selected cocoa beans, it delivers an exceptional dessert experience every time. Whether you're looki"&amp;"ng for a special gift or want to treat yourself, this chocolate is the perfect choice. Savor every piece and immerse yourself in a world of smoothness and sweetness. Get yours from Aira Mini Mart and experience moments of pure delight.")</f>
        <v>Indulge your senses with Vigo Snow Ball White Chocolate 300g,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893" s="56" t="str">
        <f>IF('AYIRA MINI MART FINAL MENU - Pr'!K893="", "", 'AYIRA MINI MART FINAL MENU - Pr'!K893)</f>
        <v/>
      </c>
      <c r="F893" s="56"/>
      <c r="G893" s="56"/>
      <c r="H893" s="56"/>
      <c r="I893" s="56"/>
      <c r="J893" s="56"/>
      <c r="L893" s="56" t="str">
        <f>IF('AYIRA MINI MART FINAL MENU - Pr'!L893="", "", 'AYIRA MINI MART FINAL MENU - Pr'!L893)</f>
        <v/>
      </c>
      <c r="M893" s="56" t="str">
        <f>IF('AYIRA MINI MART FINAL MENU - Pr'!M893="", "", 'AYIRA MINI MART FINAL MENU - Pr'!M893)</f>
        <v/>
      </c>
      <c r="N893" s="56" t="str">
        <f>IF('AYIRA MINI MART FINAL MENU - Pr'!N893="", "", 'AYIRA MINI MART FINAL MENU - Pr'!N893)</f>
        <v/>
      </c>
      <c r="O893" s="57"/>
      <c r="P893" s="57"/>
      <c r="Q893" s="57"/>
      <c r="R893" s="57"/>
      <c r="S893" s="57"/>
      <c r="T893" s="57"/>
      <c r="U893" s="57"/>
      <c r="V893" s="57"/>
      <c r="W893" s="57"/>
      <c r="X893" s="57"/>
      <c r="Y893" s="57"/>
      <c r="Z893" s="57"/>
    </row>
    <row r="894">
      <c r="A894" s="56" t="str">
        <f>IFERROR(__xludf.DUMMYFUNCTION("IF('AYIRA MINI MART FINAL MENU - Pr'!A894="""", """", IF(LEN(IFERROR(TRIM(REGEXREPLACE(TRIM(REGEXEXTRACT('AYIRA MINI MART FINAL MENU - Pr'!A894, ""^[^\x{0600}-\x{06FF}]+"")), ""[-–]+$"", """")), """"))&gt;0, IFERROR(TRIM(REGEXREPLACE(TRIM(REGEXEXTRACT('AYIRA"&amp;" MINI MART FINAL MENU - Pr'!A894, ""^[^\x{0600}-\x{06FF}]+"")), ""[-–]+$"", """")), """"), GOOGLETRANSLATE('AYIRA MINI MART FINAL MENU - Pr'!A894, ""ar"", ""en"")))"),"Ice Cream Jam Filled Mallow 100 g")</f>
        <v>Ice Cream Jam Filled Mallow 100 g</v>
      </c>
      <c r="B894" s="56" t="str">
        <f>IFERROR(__xludf.DUMMYFUNCTION("IF('AYIRA MINI MART FINAL MENU - Pr'!B894="""", """", IF(LEN(IFERROR(TRIM(REGEXREPLACE(TRIM(REGEXEXTRACT('AYIRA MINI MART FINAL MENU - Pr'!B894, ""^[^\x{0600}-\x{06FF}]+"")), ""[-–]+$"", """")), """"))&gt;0, IFERROR(TRIM(REGEXREPLACE(TRIM(REGEXEXTRACT('AYIRA"&amp;" MINI MART FINAL MENU - Pr'!B894, ""^[^\x{0600}-\x{06FF}]+"")), ""[-–]+$"", """")), """"), GOOGLETRANSLATE('AYIRA MINI MART FINAL MENU - Pr'!B894, ""ar"", ""en"")))"),"Candy |")</f>
        <v>Candy |</v>
      </c>
      <c r="C894" s="58">
        <f>IF('AYIRA MINI MART FINAL MENU - Pr'!C894="", "", 'AYIRA MINI MART FINAL MENU - Pr'!C894)</f>
        <v>1.5</v>
      </c>
      <c r="D894" s="56" t="str">
        <f>IFERROR(__xludf.DUMMYFUNCTION("IF('AYIRA MINI MART FINAL MENU - Pr'!D894="""", """", GOOGLETRANSLATE('AYIRA MINI MART FINAL MENU - Pr'!D894, ""ar"", ""en""))"),"Cool down on hot days with Ice Cream Jam Filled Mallow 100g, a delicious treat that will transport you to a world of refreshment and enjoyment. It boasts a wonderful flavor and a smooth, creamy texture that melts in your mouth, leaving a delightful and un"&amp;"forgettable aftertaste. Perfect for both children and adults, it's a great light dessert any time of day. Discover the secret to its unique taste and make it a part of your sunny day. Aira Mini Mart offers it fresh and preserved to the highest standards.")</f>
        <v>Cool down on hot days with Ice Cream Jam Filled Mallow 100g, a delicious treat that will transport you to a world of refreshment and enjoyment. It boasts a wonderful flavor and a smooth, creamy texture that melts in your mouth, leaving a delightful and unforgettable aftertaste. Perfect for both children and adults, it's a great light dessert any time of day. Discover the secret to its unique taste and make it a part of your sunny day. Aira Mini Mart offers it fresh and preserved to the highest standards.</v>
      </c>
      <c r="E894" s="56" t="str">
        <f>IF('AYIRA MINI MART FINAL MENU - Pr'!K894="", "", 'AYIRA MINI MART FINAL MENU - Pr'!K894)</f>
        <v/>
      </c>
      <c r="F894" s="56"/>
      <c r="G894" s="56"/>
      <c r="H894" s="56"/>
      <c r="I894" s="56"/>
      <c r="J894" s="56"/>
      <c r="L894" s="56" t="str">
        <f>IF('AYIRA MINI MART FINAL MENU - Pr'!L894="", "", 'AYIRA MINI MART FINAL MENU - Pr'!L894)</f>
        <v/>
      </c>
      <c r="M894" s="56" t="str">
        <f>IF('AYIRA MINI MART FINAL MENU - Pr'!M894="", "", 'AYIRA MINI MART FINAL MENU - Pr'!M894)</f>
        <v/>
      </c>
      <c r="N894" s="56" t="str">
        <f>IF('AYIRA MINI MART FINAL MENU - Pr'!N894="", "", 'AYIRA MINI MART FINAL MENU - Pr'!N894)</f>
        <v/>
      </c>
      <c r="O894" s="57"/>
      <c r="P894" s="57"/>
      <c r="Q894" s="57"/>
      <c r="R894" s="57"/>
      <c r="S894" s="57"/>
      <c r="T894" s="57"/>
      <c r="U894" s="57"/>
      <c r="V894" s="57"/>
      <c r="W894" s="57"/>
      <c r="X894" s="57"/>
      <c r="Y894" s="57"/>
      <c r="Z894" s="57"/>
    </row>
    <row r="895">
      <c r="A895" s="56" t="str">
        <f>IFERROR(__xludf.DUMMYFUNCTION("IF('AYIRA MINI MART FINAL MENU - Pr'!A895="""", """", IF(LEN(IFERROR(TRIM(REGEXREPLACE(TRIM(REGEXEXTRACT('AYIRA MINI MART FINAL MENU - Pr'!A895, ""^[^\x{0600}-\x{06FF}]+"")), ""[-–]+$"", """")), """"))&gt;0, IFERROR(TRIM(REGEXREPLACE(TRIM(REGEXEXTRACT('AYIRA"&amp;" MINI MART FINAL MENU - Pr'!A895, ""^[^\x{0600}-\x{06FF}]+"")), ""[-–]+$"", """")), """"), GOOGLETRANSLATE('AYIRA MINI MART FINAL MENU - Pr'!A895, ""ar"", ""en"")))"),"Yupi Gummi Lunch")</f>
        <v>Yupi Gummi Lunch</v>
      </c>
      <c r="B895" s="56" t="str">
        <f>IFERROR(__xludf.DUMMYFUNCTION("IF('AYIRA MINI MART FINAL MENU - Pr'!B895="""", """", IF(LEN(IFERROR(TRIM(REGEXREPLACE(TRIM(REGEXEXTRACT('AYIRA MINI MART FINAL MENU - Pr'!B895, ""^[^\x{0600}-\x{06FF}]+"")), ""[-–]+$"", """")), """"))&gt;0, IFERROR(TRIM(REGEXREPLACE(TRIM(REGEXEXTRACT('AYIRA"&amp;" MINI MART FINAL MENU - Pr'!B895, ""^[^\x{0600}-\x{06FF}]+"")), ""[-–]+$"", """")), """"), GOOGLETRANSLATE('AYIRA MINI MART FINAL MENU - Pr'!B895, ""ar"", ""en"")))"),"Candy |")</f>
        <v>Candy |</v>
      </c>
      <c r="C895" s="58">
        <f>IF('AYIRA MINI MART FINAL MENU - Pr'!C895="", "", 'AYIRA MINI MART FINAL MENU - Pr'!C895)</f>
        <v>10</v>
      </c>
      <c r="D895" s="56" t="str">
        <f>IFERROR(__xludf.DUMMYFUNCTION("IF('AYIRA MINI MART FINAL MENU - Pr'!D895="""", """", GOOGLETRANSLATE('AYIRA MINI MART FINAL MENU - Pr'!D895, ""ar"", ""en""))"),"Enjoy Yupi Gummi Lunch, the refreshing gum that keeps your mouth clean and fresh all day long. Its long-lasting flavor and unique formula make it the perfect choice for those seeking continuous freshness throughout the day. It helps to invigorate teeth an"&amp;"d freshen breath beautifully. Suitable anytime, anywhere. Get it from Aira Mini Mart and enjoy continuous freshness.")</f>
        <v>Enjoy Yupi Gummi Lunch,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895" s="56" t="str">
        <f>IF('AYIRA MINI MART FINAL MENU - Pr'!K895="", "", 'AYIRA MINI MART FINAL MENU - Pr'!K895)</f>
        <v/>
      </c>
      <c r="F895" s="56"/>
      <c r="G895" s="56"/>
      <c r="H895" s="56"/>
      <c r="I895" s="56"/>
      <c r="J895" s="56"/>
      <c r="L895" s="56" t="str">
        <f>IF('AYIRA MINI MART FINAL MENU - Pr'!L895="", "", 'AYIRA MINI MART FINAL MENU - Pr'!L895)</f>
        <v/>
      </c>
      <c r="M895" s="56" t="str">
        <f>IF('AYIRA MINI MART FINAL MENU - Pr'!M895="", "", 'AYIRA MINI MART FINAL MENU - Pr'!M895)</f>
        <v/>
      </c>
      <c r="N895" s="56" t="str">
        <f>IF('AYIRA MINI MART FINAL MENU - Pr'!N895="", "", 'AYIRA MINI MART FINAL MENU - Pr'!N895)</f>
        <v/>
      </c>
      <c r="O895" s="57"/>
      <c r="P895" s="57"/>
      <c r="Q895" s="57"/>
      <c r="R895" s="57"/>
      <c r="S895" s="57"/>
      <c r="T895" s="57"/>
      <c r="U895" s="57"/>
      <c r="V895" s="57"/>
      <c r="W895" s="57"/>
      <c r="X895" s="57"/>
      <c r="Y895" s="57"/>
      <c r="Z895" s="57"/>
    </row>
    <row r="896">
      <c r="A896" s="56" t="str">
        <f>IFERROR(__xludf.DUMMYFUNCTION("IF('AYIRA MINI MART FINAL MENU - Pr'!A896="""", """", IF(LEN(IFERROR(TRIM(REGEXREPLACE(TRIM(REGEXEXTRACT('AYIRA MINI MART FINAL MENU - Pr'!A896, ""^[^\x{0600}-\x{06FF}]+"")), ""[-–]+$"", """")), """"))&gt;0, IFERROR(TRIM(REGEXREPLACE(TRIM(REGEXEXTRACT('AYIRA"&amp;" MINI MART FINAL MENU - Pr'!A896, ""^[^\x{0600}-\x{06FF}]+"")), ""[-–]+$"", """")), """"), GOOGLETRANSLATE('AYIRA MINI MART FINAL MENU - Pr'!A896, ""ar"", ""en"")))"),"Borgat Tongue Paint Lollipops")</f>
        <v>Borgat Tongue Paint Lollipops</v>
      </c>
      <c r="B896" s="56" t="str">
        <f>IFERROR(__xludf.DUMMYFUNCTION("IF('AYIRA MINI MART FINAL MENU - Pr'!B896="""", """", IF(LEN(IFERROR(TRIM(REGEXREPLACE(TRIM(REGEXEXTRACT('AYIRA MINI MART FINAL MENU - Pr'!B896, ""^[^\x{0600}-\x{06FF}]+"")), ""[-–]+$"", """")), """"))&gt;0, IFERROR(TRIM(REGEXREPLACE(TRIM(REGEXEXTRACT('AYIRA"&amp;" MINI MART FINAL MENU - Pr'!B896, ""^[^\x{0600}-\x{06FF}]+"")), ""[-–]+$"", """")), """"), GOOGLETRANSLATE('AYIRA MINI MART FINAL MENU - Pr'!B896, ""ar"", ""en"")))"),"Candy |")</f>
        <v>Candy |</v>
      </c>
      <c r="C896" s="58">
        <f>IF('AYIRA MINI MART FINAL MENU - Pr'!C896="", "", 'AYIRA MINI MART FINAL MENU - Pr'!C896)</f>
        <v>10</v>
      </c>
      <c r="D896" s="56" t="str">
        <f>IFERROR(__xludf.DUMMYFUNCTION("IF('AYIRA MINI MART FINAL MENU - Pr'!D896="""", """", GOOGLETRANSLATE('AYIRA MINI MART FINAL MENU - Pr'!D896, ""ar"", ""en""))"),"Add a sweet touch to your day with Borgat Tongue Paint Lollipops, the delicious treat loved by everyone. Their variety of flavors and vibrant colors make them suitable for all ages. Perfect as a small treat or a light gift for friends and family. Made wit"&amp;"h high-quality ingredients to ensure a great taste in every single one. Get them from Aira Mini Mart and spread the joy to your loved ones.")</f>
        <v>Add a sweet touch to your day with Borgat Tongue Paint Lollipops, the delicious treat loved by everyone. Their variety of flavors and vibrant colors make them suitable for all ages. Perfect as a small treat or a light gift for friends and family. Made with high-quality ingredients to ensure a great taste in every single one. Get them from Aira Mini Mart and spread the joy to your loved ones.</v>
      </c>
      <c r="E896" s="56" t="str">
        <f>IF('AYIRA MINI MART FINAL MENU - Pr'!K896="", "", 'AYIRA MINI MART FINAL MENU - Pr'!K896)</f>
        <v/>
      </c>
      <c r="F896" s="56"/>
      <c r="G896" s="56"/>
      <c r="H896" s="56"/>
      <c r="I896" s="56"/>
      <c r="J896" s="56"/>
      <c r="L896" s="56" t="str">
        <f>IF('AYIRA MINI MART FINAL MENU - Pr'!L896="", "", 'AYIRA MINI MART FINAL MENU - Pr'!L896)</f>
        <v/>
      </c>
      <c r="M896" s="56" t="str">
        <f>IF('AYIRA MINI MART FINAL MENU - Pr'!M896="", "", 'AYIRA MINI MART FINAL MENU - Pr'!M896)</f>
        <v/>
      </c>
      <c r="N896" s="56" t="str">
        <f>IF('AYIRA MINI MART FINAL MENU - Pr'!N896="", "", 'AYIRA MINI MART FINAL MENU - Pr'!N896)</f>
        <v/>
      </c>
      <c r="O896" s="57"/>
      <c r="P896" s="57"/>
      <c r="Q896" s="57"/>
      <c r="R896" s="57"/>
      <c r="S896" s="57"/>
      <c r="T896" s="57"/>
      <c r="U896" s="57"/>
      <c r="V896" s="57"/>
      <c r="W896" s="57"/>
      <c r="X896" s="57"/>
      <c r="Y896" s="57"/>
      <c r="Z896" s="57"/>
    </row>
    <row r="897">
      <c r="A897" s="56" t="str">
        <f>IFERROR(__xludf.DUMMYFUNCTION("IF('AYIRA MINI MART FINAL MENU - Pr'!A897="""", """", IF(LEN(IFERROR(TRIM(REGEXREPLACE(TRIM(REGEXEXTRACT('AYIRA MINI MART FINAL MENU - Pr'!A897, ""^[^\x{0600}-\x{06FF}]+"")), ""[-–]+$"", """")), """"))&gt;0, IFERROR(TRIM(REGEXREPLACE(TRIM(REGEXEXTRACT('AYIRA"&amp;" MINI MART FINAL MENU - Pr'!A897, ""^[^\x{0600}-\x{06FF}]+"")), ""[-–]+$"", """")), """"), GOOGLETRANSLATE('AYIRA MINI MART FINAL MENU - Pr'!A897, ""ar"", ""en"")))"),"Pink &amp; White Marshmallow 100 g – Pink &amp;")</f>
        <v>Pink &amp; White Marshmallow 100 g – Pink &amp;</v>
      </c>
      <c r="B897" s="56" t="str">
        <f>IFERROR(__xludf.DUMMYFUNCTION("IF('AYIRA MINI MART FINAL MENU - Pr'!B897="""", """", IF(LEN(IFERROR(TRIM(REGEXREPLACE(TRIM(REGEXEXTRACT('AYIRA MINI MART FINAL MENU - Pr'!B897, ""^[^\x{0600}-\x{06FF}]+"")), ""[-–]+$"", """")), """"))&gt;0, IFERROR(TRIM(REGEXREPLACE(TRIM(REGEXEXTRACT('AYIRA"&amp;" MINI MART FINAL MENU - Pr'!B897, ""^[^\x{0600}-\x{06FF}]+"")), ""[-–]+$"", """")), """"), GOOGLETRANSLATE('AYIRA MINI MART FINAL MENU - Pr'!B897, ""ar"", ""en"")))"),"Candy |")</f>
        <v>Candy |</v>
      </c>
      <c r="C897" s="58">
        <f>IF('AYIRA MINI MART FINAL MENU - Pr'!C897="", "", 'AYIRA MINI MART FINAL MENU - Pr'!C897)</f>
        <v>10</v>
      </c>
      <c r="D897" s="56" t="str">
        <f>IFERROR(__xludf.DUMMYFUNCTION("IF('AYIRA MINI MART FINAL MENU - Pr'!D897="""", """", GOOGLETRANSLATE('AYIRA MINI MART FINAL MENU - Pr'!D897, ""ar"", ""en""))"),"Don't be able to resist the taste of Mars, your perfect companion for relaxing and watching the game. Its unique crunch and diverse flavors make every handful a delightful experience. Prepared with the finest ingredients using the latest manufacturing tec"&amp;"hniques to guarantee an unparalleled taste. Ideal as a snack for adults and children between meals. Aira Mini Mart offers it in the perfect size and flavor for you.")</f>
        <v>Don't be able to resist the taste of Mars,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perfect size and flavor for you.</v>
      </c>
      <c r="E897" s="56" t="str">
        <f>IF('AYIRA MINI MART FINAL MENU - Pr'!K897="", "", 'AYIRA MINI MART FINAL MENU - Pr'!K897)</f>
        <v/>
      </c>
      <c r="F897" s="56"/>
      <c r="G897" s="56"/>
      <c r="H897" s="56"/>
      <c r="I897" s="56"/>
      <c r="J897" s="56"/>
      <c r="L897" s="56" t="str">
        <f>IF('AYIRA MINI MART FINAL MENU - Pr'!L897="", "", 'AYIRA MINI MART FINAL MENU - Pr'!L897)</f>
        <v/>
      </c>
      <c r="M897" s="56" t="str">
        <f>IF('AYIRA MINI MART FINAL MENU - Pr'!M897="", "", 'AYIRA MINI MART FINAL MENU - Pr'!M897)</f>
        <v/>
      </c>
      <c r="N897" s="56" t="str">
        <f>IF('AYIRA MINI MART FINAL MENU - Pr'!N897="", "", 'AYIRA MINI MART FINAL MENU - Pr'!N897)</f>
        <v/>
      </c>
      <c r="O897" s="57"/>
      <c r="P897" s="57"/>
      <c r="Q897" s="57"/>
      <c r="R897" s="57"/>
      <c r="S897" s="57"/>
      <c r="T897" s="57"/>
      <c r="U897" s="57"/>
      <c r="V897" s="57"/>
      <c r="W897" s="57"/>
      <c r="X897" s="57"/>
      <c r="Y897" s="57"/>
      <c r="Z897" s="57"/>
    </row>
    <row r="898">
      <c r="A898" s="56" t="str">
        <f>IFERROR(__xludf.DUMMYFUNCTION("IF('AYIRA MINI MART FINAL MENU - Pr'!A898="""", """", IF(LEN(IFERROR(TRIM(REGEXREPLACE(TRIM(REGEXEXTRACT('AYIRA MINI MART FINAL MENU - Pr'!A898, ""^[^\x{0600}-\x{06FF}]+"")), ""[-–]+$"", """")), """"))&gt;0, IFERROR(TRIM(REGEXREPLACE(TRIM(REGEXEXTRACT('AYIRA"&amp;" MINI MART FINAL MENU - Pr'!A898, ""^[^\x{0600}-\x{06FF}]+"")), ""[-–]+$"", """")), """"), GOOGLETRANSLATE('AYIRA MINI MART FINAL MENU - Pr'!A898, ""ar"", ""en"")))"),"Yupi Burger Gummy Candy")</f>
        <v>Yupi Burger Gummy Candy</v>
      </c>
      <c r="B898" s="56" t="str">
        <f>IFERROR(__xludf.DUMMYFUNCTION("IF('AYIRA MINI MART FINAL MENU - Pr'!B898="""", """", IF(LEN(IFERROR(TRIM(REGEXREPLACE(TRIM(REGEXEXTRACT('AYIRA MINI MART FINAL MENU - Pr'!B898, ""^[^\x{0600}-\x{06FF}]+"")), ""[-–]+$"", """")), """"))&gt;0, IFERROR(TRIM(REGEXREPLACE(TRIM(REGEXEXTRACT('AYIRA"&amp;" MINI MART FINAL MENU - Pr'!B898, ""^[^\x{0600}-\x{06FF}]+"")), ""[-–]+$"", """")), """"), GOOGLETRANSLATE('AYIRA MINI MART FINAL MENU - Pr'!B898, ""ar"", ""en"")))"),"Candy |")</f>
        <v>Candy |</v>
      </c>
      <c r="C898" s="58">
        <f>IF('AYIRA MINI MART FINAL MENU - Pr'!C898="", "", 'AYIRA MINI MART FINAL MENU - Pr'!C898)</f>
        <v>10</v>
      </c>
      <c r="D898" s="56" t="str">
        <f>IFERROR(__xludf.DUMMYFUNCTION("IF('AYIRA MINI MART FINAL MENU - Pr'!D898="""", """", GOOGLETRANSLATE('AYIRA MINI MART FINAL MENU - Pr'!D898, ""ar"", ""en""))"),"Enjoy Yupi Burger Gummy Candy, the refreshing gum that keeps your mouth clean and fresh all day long. Its long-lasting flavor and unique formula make it the perfect choice for those seeking continuous freshness throughout the day. It helps to invigorate t"&amp;"eeth and freshen breath beautifully. Suitable anytime, anywhere. Get yours from Aira Mini Mart and enjoy continuous freshness.")</f>
        <v>Enjoy Yupi Burger Gummy Candy,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898" s="56" t="str">
        <f>IF('AYIRA MINI MART FINAL MENU - Pr'!K898="", "", 'AYIRA MINI MART FINAL MENU - Pr'!K898)</f>
        <v/>
      </c>
      <c r="F898" s="56"/>
      <c r="G898" s="56"/>
      <c r="H898" s="56"/>
      <c r="I898" s="56"/>
      <c r="J898" s="56"/>
      <c r="L898" s="56" t="str">
        <f>IF('AYIRA MINI MART FINAL MENU - Pr'!L898="", "", 'AYIRA MINI MART FINAL MENU - Pr'!L898)</f>
        <v/>
      </c>
      <c r="M898" s="56" t="str">
        <f>IF('AYIRA MINI MART FINAL MENU - Pr'!M898="", "", 'AYIRA MINI MART FINAL MENU - Pr'!M898)</f>
        <v/>
      </c>
      <c r="N898" s="56" t="str">
        <f>IF('AYIRA MINI MART FINAL MENU - Pr'!N898="", "", 'AYIRA MINI MART FINAL MENU - Pr'!N898)</f>
        <v/>
      </c>
      <c r="O898" s="57"/>
      <c r="P898" s="57"/>
      <c r="Q898" s="57"/>
      <c r="R898" s="57"/>
      <c r="S898" s="57"/>
      <c r="T898" s="57"/>
      <c r="U898" s="57"/>
      <c r="V898" s="57"/>
      <c r="W898" s="57"/>
      <c r="X898" s="57"/>
      <c r="Y898" s="57"/>
      <c r="Z898" s="57"/>
    </row>
    <row r="899">
      <c r="A899" s="56" t="str">
        <f>IFERROR(__xludf.DUMMYFUNCTION("IF('AYIRA MINI MART FINAL MENU - Pr'!A899="""", """", IF(LEN(IFERROR(TRIM(REGEXREPLACE(TRIM(REGEXEXTRACT('AYIRA MINI MART FINAL MENU - Pr'!A899, ""^[^\x{0600}-\x{06FF}]+"")), ""[-–]+$"", """")), """"))&gt;0, IFERROR(TRIM(REGEXREPLACE(TRIM(REGEXEXTRACT('AYIRA"&amp;" MINI MART FINAL MENU - Pr'!A899, ""^[^\x{0600}-\x{06FF}]+"")), ""[-–]+$"", """")), """"), GOOGLETRANSLATE('AYIRA MINI MART FINAL MENU - Pr'!A899, ""ar"", ""en"")))"),"Yupi Gummi Pizza")</f>
        <v>Yupi Gummi Pizza</v>
      </c>
      <c r="B899" s="56" t="str">
        <f>IFERROR(__xludf.DUMMYFUNCTION("IF('AYIRA MINI MART FINAL MENU - Pr'!B899="""", """", IF(LEN(IFERROR(TRIM(REGEXREPLACE(TRIM(REGEXEXTRACT('AYIRA MINI MART FINAL MENU - Pr'!B899, ""^[^\x{0600}-\x{06FF}]+"")), ""[-–]+$"", """")), """"))&gt;0, IFERROR(TRIM(REGEXREPLACE(TRIM(REGEXEXTRACT('AYIRA"&amp;" MINI MART FINAL MENU - Pr'!B899, ""^[^\x{0600}-\x{06FF}]+"")), ""[-–]+$"", """")), """"), GOOGLETRANSLATE('AYIRA MINI MART FINAL MENU - Pr'!B899, ""ar"", ""en"")))"),"Candy |")</f>
        <v>Candy |</v>
      </c>
      <c r="C899" s="58">
        <f>IF('AYIRA MINI MART FINAL MENU - Pr'!C899="", "", 'AYIRA MINI MART FINAL MENU - Pr'!C899)</f>
        <v>10</v>
      </c>
      <c r="D899" s="56" t="str">
        <f>IFERROR(__xludf.DUMMYFUNCTION("IF('AYIRA MINI MART FINAL MENU - Pr'!D899="""", """", GOOGLETRANSLATE('AYIRA MINI MART FINAL MENU - Pr'!D899, ""ar"", ""en""))"),"Enjoy Yupi Gummi Pizza, the refreshing gum that keeps your mouth clean and fresh all day long. Its long-lasting flavor and unique formula make it the perfect choice for those seeking continuous freshness throughout the day. It helps to invigorate teeth an"&amp;"d freshen breath beautifully. Suitable anytime, anywhere. Get it from Aira Mini Mart and enjoy continuous freshness.")</f>
        <v>Enjoy Yupi Gummi Pizza,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899" s="56" t="str">
        <f>IF('AYIRA MINI MART FINAL MENU - Pr'!K899="", "", 'AYIRA MINI MART FINAL MENU - Pr'!K899)</f>
        <v/>
      </c>
      <c r="F899" s="56"/>
      <c r="G899" s="56"/>
      <c r="H899" s="56"/>
      <c r="I899" s="56"/>
      <c r="J899" s="56"/>
      <c r="L899" s="56" t="str">
        <f>IF('AYIRA MINI MART FINAL MENU - Pr'!L899="", "", 'AYIRA MINI MART FINAL MENU - Pr'!L899)</f>
        <v/>
      </c>
      <c r="M899" s="56" t="str">
        <f>IF('AYIRA MINI MART FINAL MENU - Pr'!M899="", "", 'AYIRA MINI MART FINAL MENU - Pr'!M899)</f>
        <v/>
      </c>
      <c r="N899" s="56" t="str">
        <f>IF('AYIRA MINI MART FINAL MENU - Pr'!N899="", "", 'AYIRA MINI MART FINAL MENU - Pr'!N899)</f>
        <v/>
      </c>
      <c r="O899" s="57"/>
      <c r="P899" s="57"/>
      <c r="Q899" s="57"/>
      <c r="R899" s="57"/>
      <c r="S899" s="57"/>
      <c r="T899" s="57"/>
      <c r="U899" s="57"/>
      <c r="V899" s="57"/>
      <c r="W899" s="57"/>
      <c r="X899" s="57"/>
      <c r="Y899" s="57"/>
      <c r="Z899" s="57"/>
    </row>
    <row r="900">
      <c r="A900" s="56" t="str">
        <f>IFERROR(__xludf.DUMMYFUNCTION("IF('AYIRA MINI MART FINAL MENU - Pr'!A900="""", """", IF(LEN(IFERROR(TRIM(REGEXREPLACE(TRIM(REGEXEXTRACT('AYIRA MINI MART FINAL MENU - Pr'!A900, ""^[^\x{0600}-\x{06FF}]+"")), ""[-–]+$"", """")), """"))&gt;0, IFERROR(TRIM(REGEXREPLACE(TRIM(REGEXEXTRACT('AYIRA"&amp;" MINI MART FINAL MENU - Pr'!A900, ""^[^\x{0600}-\x{06FF}]+"")), ""[-–]+$"", """")), """"), GOOGLETRANSLATE('AYIRA MINI MART FINAL MENU - Pr'!A900, ""ar"", ""en"")))"),"Kiddy Toys Rubber Chicken Toy")</f>
        <v>Kiddy Toys Rubber Chicken Toy</v>
      </c>
      <c r="B900" s="56" t="str">
        <f>IFERROR(__xludf.DUMMYFUNCTION("IF('AYIRA MINI MART FINAL MENU - Pr'!B900="""", """", IF(LEN(IFERROR(TRIM(REGEXREPLACE(TRIM(REGEXEXTRACT('AYIRA MINI MART FINAL MENU - Pr'!B900, ""^[^\x{0600}-\x{06FF}]+"")), ""[-–]+$"", """")), """"))&gt;0, IFERROR(TRIM(REGEXREPLACE(TRIM(REGEXEXTRACT('AYIRA"&amp;" MINI MART FINAL MENU - Pr'!B900, ""^[^\x{0600}-\x{06FF}]+"")), ""[-–]+$"", """")), """"), GOOGLETRANSLATE('AYIRA MINI MART FINAL MENU - Pr'!B900, ""ar"", ""en"")))"),"Candy |")</f>
        <v>Candy |</v>
      </c>
      <c r="C900" s="58">
        <f>IF('AYIRA MINI MART FINAL MENU - Pr'!C900="", "", 'AYIRA MINI MART FINAL MENU - Pr'!C900)</f>
        <v>9</v>
      </c>
      <c r="D900" s="56" t="str">
        <f>IFERROR(__xludf.DUMMYFUNCTION("IF('AYIRA MINI MART FINAL MENU - Pr'!D900="""", """", GOOGLETRANSLATE('AYIRA MINI MART FINAL MENU - Pr'!D900, ""ar"", ""en""))"),"Don't be able to resist the taste of Kiddy Toys Rubber Chicken Toys, your perfect companion for relaxing and watching the game. Their unique crunch and varied flavors make every handful a delightful experience. Made with the finest ingredients using the l"&amp;"atest manufacturing techniques to ensure an unparalleled taste. Ideal as a snack for adults and children alike between meals. Aira Mini Mart offers them in the perfect size and flavor for you.")</f>
        <v>Don't be able to resist the taste of Kiddy Toys Rubber Chicken Toys,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900" s="56" t="str">
        <f>IF('AYIRA MINI MART FINAL MENU - Pr'!K900="", "", 'AYIRA MINI MART FINAL MENU - Pr'!K900)</f>
        <v/>
      </c>
      <c r="F900" s="56"/>
      <c r="G900" s="56"/>
      <c r="H900" s="56"/>
      <c r="I900" s="56"/>
      <c r="J900" s="56"/>
      <c r="L900" s="56" t="str">
        <f>IF('AYIRA MINI MART FINAL MENU - Pr'!L900="", "", 'AYIRA MINI MART FINAL MENU - Pr'!L900)</f>
        <v/>
      </c>
      <c r="M900" s="56" t="str">
        <f>IF('AYIRA MINI MART FINAL MENU - Pr'!M900="", "", 'AYIRA MINI MART FINAL MENU - Pr'!M900)</f>
        <v/>
      </c>
      <c r="N900" s="56" t="str">
        <f>IF('AYIRA MINI MART FINAL MENU - Pr'!N900="", "", 'AYIRA MINI MART FINAL MENU - Pr'!N900)</f>
        <v/>
      </c>
      <c r="O900" s="57"/>
      <c r="P900" s="57"/>
      <c r="Q900" s="57"/>
      <c r="R900" s="57"/>
      <c r="S900" s="57"/>
      <c r="T900" s="57"/>
      <c r="U900" s="57"/>
      <c r="V900" s="57"/>
      <c r="W900" s="57"/>
      <c r="X900" s="57"/>
      <c r="Y900" s="57"/>
      <c r="Z900" s="57"/>
    </row>
    <row r="901">
      <c r="A901" s="56" t="str">
        <f>IFERROR(__xludf.DUMMYFUNCTION("IF('AYIRA MINI MART FINAL MENU - Pr'!A901="""", """", IF(LEN(IFERROR(TRIM(REGEXREPLACE(TRIM(REGEXEXTRACT('AYIRA MINI MART FINAL MENU - Pr'!A901, ""^[^\x{0600}-\x{06FF}]+"")), ""[-–]+$"", """")), """"))&gt;0, IFERROR(TRIM(REGEXREPLACE(TRIM(REGEXEXTRACT('AYIRA"&amp;" MINI MART FINAL MENU - Pr'!A901, ""^[^\x{0600}-\x{06FF}]+"")), ""[-–]+$"", """")), """"), GOOGLETRANSLATE('AYIRA MINI MART FINAL MENU - Pr'!A901, ""ar"", ""en"")))"),"Kinder Bueno Chocolate Bar 43 g")</f>
        <v>Kinder Bueno Chocolate Bar 43 g</v>
      </c>
      <c r="B901" s="56" t="str">
        <f>IFERROR(__xludf.DUMMYFUNCTION("IF('AYIRA MINI MART FINAL MENU - Pr'!B901="""", """", IF(LEN(IFERROR(TRIM(REGEXREPLACE(TRIM(REGEXEXTRACT('AYIRA MINI MART FINAL MENU - Pr'!B901, ""^[^\x{0600}-\x{06FF}]+"")), ""[-–]+$"", """")), """"))&gt;0, IFERROR(TRIM(REGEXREPLACE(TRIM(REGEXEXTRACT('AYIRA"&amp;" MINI MART FINAL MENU - Pr'!B901, ""^[^\x{0600}-\x{06FF}]+"")), ""[-–]+$"", """")), """"), GOOGLETRANSLATE('AYIRA MINI MART FINAL MENU - Pr'!B901, ""ar"", ""en"")))"),"Chocolates")</f>
        <v>Chocolates</v>
      </c>
      <c r="C901" s="58">
        <f>IF('AYIRA MINI MART FINAL MENU - Pr'!C901="", "", 'AYIRA MINI MART FINAL MENU - Pr'!C901)</f>
        <v>3.5</v>
      </c>
      <c r="D901" s="56" t="str">
        <f>IFERROR(__xludf.DUMMYFUNCTION("IF('AYIRA MINI MART FINAL MENU - Pr'!D901="""", """", GOOGLETRANSLATE('AYIRA MINI MART FINAL MENU - Pr'!D901, ""ar"", ""en""))"),"Indulge your senses with Kinder, the luxurious chocolate that combines rich taste with a perfect texture. Made from the finest selected cocoa beans, it delivers an exceptional sweet experience every time. Whether you're looking for a special gift or want "&amp;"to treat yourself, this chocolate is the perfect choice. Savor every piece and immerse yourself in a world of smoothness and sweetness. Get yours from Aira Mini Mart and experience moments of pure delight.")</f>
        <v>Indulge your senses with Kinder, the luxurious chocolate that combines rich taste with a perfect texture. Made from the finest selected cocoa beans, it delivers an exceptional sweet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901" s="56" t="str">
        <f>IF('AYIRA MINI MART FINAL MENU - Pr'!K901="", "", 'AYIRA MINI MART FINAL MENU - Pr'!K901)</f>
        <v/>
      </c>
      <c r="F901" s="56"/>
      <c r="G901" s="56"/>
      <c r="H901" s="56"/>
      <c r="I901" s="56"/>
      <c r="J901" s="56"/>
      <c r="L901" s="56" t="str">
        <f>IF('AYIRA MINI MART FINAL MENU - Pr'!L901="", "", 'AYIRA MINI MART FINAL MENU - Pr'!L901)</f>
        <v/>
      </c>
      <c r="M901" s="56" t="str">
        <f>IF('AYIRA MINI MART FINAL MENU - Pr'!M901="", "", 'AYIRA MINI MART FINAL MENU - Pr'!M901)</f>
        <v/>
      </c>
      <c r="N901" s="56" t="str">
        <f>IF('AYIRA MINI MART FINAL MENU - Pr'!N901="", "", 'AYIRA MINI MART FINAL MENU - Pr'!N901)</f>
        <v/>
      </c>
      <c r="O901" s="57"/>
      <c r="P901" s="57"/>
      <c r="Q901" s="57"/>
      <c r="R901" s="57"/>
      <c r="S901" s="57"/>
      <c r="T901" s="57"/>
      <c r="U901" s="57"/>
      <c r="V901" s="57"/>
      <c r="W901" s="57"/>
      <c r="X901" s="57"/>
      <c r="Y901" s="57"/>
      <c r="Z901" s="57"/>
    </row>
    <row r="902">
      <c r="A902" s="56" t="str">
        <f>IFERROR(__xludf.DUMMYFUNCTION("IF('AYIRA MINI MART FINAL MENU - Pr'!A902="""", """", IF(LEN(IFERROR(TRIM(REGEXREPLACE(TRIM(REGEXEXTRACT('AYIRA MINI MART FINAL MENU - Pr'!A902, ""^[^\x{0600}-\x{06FF}]+"")), ""[-–]+$"", """")), """"))&gt;0, IFERROR(TRIM(REGEXREPLACE(TRIM(REGEXEXTRACT('AYIRA"&amp;" MINI MART FINAL MENU - Pr'!A902, ""^[^\x{0600}-\x{06FF}]+"")), ""[-–]+$"", """")), """"), GOOGLETRANSLATE('AYIRA MINI MART FINAL MENU - Pr'!A902, ""ar"", ""en"")))"),"Ülker Halley Milk Chocolate Coated Biscuit – Ülker Halley")</f>
        <v>Ülker Halley Milk Chocolate Coated Biscuit – Ülker Halley</v>
      </c>
      <c r="B902" s="56" t="str">
        <f>IFERROR(__xludf.DUMMYFUNCTION("IF('AYIRA MINI MART FINAL MENU - Pr'!B902="""", """", IF(LEN(IFERROR(TRIM(REGEXREPLACE(TRIM(REGEXEXTRACT('AYIRA MINI MART FINAL MENU - Pr'!B902, ""^[^\x{0600}-\x{06FF}]+"")), ""[-–]+$"", """")), """"))&gt;0, IFERROR(TRIM(REGEXREPLACE(TRIM(REGEXEXTRACT('AYIRA"&amp;" MINI MART FINAL MENU - Pr'!B902, ""^[^\x{0600}-\x{06FF}]+"")), ""[-–]+$"", """")), """"), GOOGLETRANSLATE('AYIRA MINI MART FINAL MENU - Pr'!B902, ""ar"", ""en"")))"),"Chocolates")</f>
        <v>Chocolates</v>
      </c>
      <c r="C902" s="58">
        <f>IF('AYIRA MINI MART FINAL MENU - Pr'!C902="", "", 'AYIRA MINI MART FINAL MENU - Pr'!C902)</f>
        <v>2.5</v>
      </c>
      <c r="D902" s="56" t="str">
        <f>IFERROR(__xludf.DUMMYFUNCTION("IF('AYIRA MINI MART FINAL MENU - Pr'!D902="""", """", GOOGLETRANSLATE('AYIRA MINI MART FINAL MENU - Pr'!D902, ""ar"", ""en""))"),"Indulge your senses with Ülker Halley Milk Chocolate Coated Biscuit, a luxurious chocolate that combines rich flavor with a perfect texture. Made from the finest selected cocoa beans, it delivers an exceptional dessert experience every time. Whether you'r"&amp;"e looking for a special gift or want to treat yourself, this chocolate is the perfect choice. Savor every piece and immerse yourself in a world of smoothness and sweetness. Get yours from Aira Mini Mart and experience moments of pure delight.")</f>
        <v>Indulge your senses with Ülker Halley Milk Chocolate Coated Biscuit,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902" s="56" t="str">
        <f>IF('AYIRA MINI MART FINAL MENU - Pr'!K902="", "", 'AYIRA MINI MART FINAL MENU - Pr'!K902)</f>
        <v/>
      </c>
      <c r="F902" s="56"/>
      <c r="G902" s="56"/>
      <c r="H902" s="56"/>
      <c r="I902" s="56"/>
      <c r="J902" s="56"/>
      <c r="L902" s="56" t="str">
        <f>IF('AYIRA MINI MART FINAL MENU - Pr'!L902="", "", 'AYIRA MINI MART FINAL MENU - Pr'!L902)</f>
        <v/>
      </c>
      <c r="M902" s="56" t="str">
        <f>IF('AYIRA MINI MART FINAL MENU - Pr'!M902="", "", 'AYIRA MINI MART FINAL MENU - Pr'!M902)</f>
        <v/>
      </c>
      <c r="N902" s="56" t="str">
        <f>IF('AYIRA MINI MART FINAL MENU - Pr'!N902="", "", 'AYIRA MINI MART FINAL MENU - Pr'!N902)</f>
        <v/>
      </c>
      <c r="O902" s="57"/>
      <c r="P902" s="57"/>
      <c r="Q902" s="57"/>
      <c r="R902" s="57"/>
      <c r="S902" s="57"/>
      <c r="T902" s="57"/>
      <c r="U902" s="57"/>
      <c r="V902" s="57"/>
      <c r="W902" s="57"/>
      <c r="X902" s="57"/>
      <c r="Y902" s="57"/>
      <c r="Z902" s="57"/>
    </row>
    <row r="903">
      <c r="A903" s="56" t="str">
        <f>IFERROR(__xludf.DUMMYFUNCTION("IF('AYIRA MINI MART FINAL MENU - Pr'!A903="""", """", IF(LEN(IFERROR(TRIM(REGEXREPLACE(TRIM(REGEXEXTRACT('AYIRA MINI MART FINAL MENU - Pr'!A903, ""^[^\x{0600}-\x{06FF}]+"")), ""[-–]+$"", """")), """"))&gt;0, IFERROR(TRIM(REGEXREPLACE(TRIM(REGEXEXTRACT('AYIRA"&amp;" MINI MART FINAL MENU - Pr'!A903, ""^[^\x{0600}-\x{06FF}]+"")), ""[-–]+$"", """")), """"), GOOGLETRANSLATE('AYIRA MINI MART FINAL MENU - Pr'!A903, ""ar"", ""en"")))"),"Relish Cashew, Pistachio &amp; Oats Cookies 42 g – Relish Cashew,")</f>
        <v>Relish Cashew, Pistachio &amp; Oats Cookies 42 g – Relish Cashew,</v>
      </c>
      <c r="B903" s="56" t="str">
        <f>IFERROR(__xludf.DUMMYFUNCTION("IF('AYIRA MINI MART FINAL MENU - Pr'!B903="""", """", IF(LEN(IFERROR(TRIM(REGEXREPLACE(TRIM(REGEXEXTRACT('AYIRA MINI MART FINAL MENU - Pr'!B903, ""^[^\x{0600}-\x{06FF}]+"")), ""[-–]+$"", """")), """"))&gt;0, IFERROR(TRIM(REGEXREPLACE(TRIM(REGEXEXTRACT('AYIRA"&amp;" MINI MART FINAL MENU - Pr'!B903, ""^[^\x{0600}-\x{06FF}]+"")), ""[-–]+$"", """")), """"), GOOGLETRANSLATE('AYIRA MINI MART FINAL MENU - Pr'!B903, ""ar"", ""en"")))"),"Biscuits |")</f>
        <v>Biscuits |</v>
      </c>
      <c r="C903" s="58">
        <f>IF('AYIRA MINI MART FINAL MENU - Pr'!C903="", "", 'AYIRA MINI MART FINAL MENU - Pr'!C903)</f>
        <v>2</v>
      </c>
      <c r="D903" s="56" t="str">
        <f>IFERROR(__xludf.DUMMYFUNCTION("IF('AYIRA MINI MART FINAL MENU - Pr'!D903="""", """", GOOGLETRANSLATE('AYIRA MINI MART FINAL MENU - Pr'!D903, ""ar"", ""en""))"),"Choose Relish Cashew, Pistachio &amp; Oats Cookies 42g, made with natural nuts rich in protein and healthy fats essential for your body. Prepared from the finest nuts, carefully selected to ensure the highest levels of purity and taste. A perfect healthy and "&amp;"nutritious snack between meals. Supports heart health and provides the energy you need. Available at Aira Mini Mart with the highest quality and best prices.")</f>
        <v>Choose Relish Cashew, Pistachio &amp; Oats Cookies 42g, made with natural nuts rich in protein and healthy fats essential for your body. Prepared from the finest nuts, carefully selected to ensure the highest levels of purity and taste. A perfect healthy and nutritious snack between meals. Supports heart health and provides the energy you need. Available at Aira Mini Mart with the highest quality and best prices.</v>
      </c>
      <c r="E903" s="56" t="str">
        <f>IF('AYIRA MINI MART FINAL MENU - Pr'!K903="", "", 'AYIRA MINI MART FINAL MENU - Pr'!K903)</f>
        <v/>
      </c>
      <c r="F903" s="56"/>
      <c r="G903" s="56"/>
      <c r="H903" s="56"/>
      <c r="I903" s="56"/>
      <c r="J903" s="56"/>
      <c r="L903" s="56" t="str">
        <f>IF('AYIRA MINI MART FINAL MENU - Pr'!L903="", "", 'AYIRA MINI MART FINAL MENU - Pr'!L903)</f>
        <v/>
      </c>
      <c r="M903" s="56" t="str">
        <f>IF('AYIRA MINI MART FINAL MENU - Pr'!M903="", "", 'AYIRA MINI MART FINAL MENU - Pr'!M903)</f>
        <v/>
      </c>
      <c r="N903" s="56" t="str">
        <f>IF('AYIRA MINI MART FINAL MENU - Pr'!N903="", "", 'AYIRA MINI MART FINAL MENU - Pr'!N903)</f>
        <v/>
      </c>
      <c r="O903" s="57"/>
      <c r="P903" s="57"/>
      <c r="Q903" s="57"/>
      <c r="R903" s="57"/>
      <c r="S903" s="57"/>
      <c r="T903" s="57"/>
      <c r="U903" s="57"/>
      <c r="V903" s="57"/>
      <c r="W903" s="57"/>
      <c r="X903" s="57"/>
      <c r="Y903" s="57"/>
      <c r="Z903" s="57"/>
    </row>
    <row r="904">
      <c r="A904" s="56" t="str">
        <f>IFERROR(__xludf.DUMMYFUNCTION("IF('AYIRA MINI MART FINAL MENU - Pr'!A904="""", """", IF(LEN(IFERROR(TRIM(REGEXREPLACE(TRIM(REGEXEXTRACT('AYIRA MINI MART FINAL MENU - Pr'!A904, ""^[^\x{0600}-\x{06FF}]+"")), ""[-–]+$"", """")), """"))&gt;0, IFERROR(TRIM(REGEXREPLACE(TRIM(REGEXEXTRACT('AYIRA"&amp;" MINI MART FINAL MENU - Pr'!A904, ""^[^\x{0600}-\x{06FF}]+"")), ""[-–]+$"", """")), """"), GOOGLETRANSLATE('AYIRA MINI MART FINAL MENU - Pr'!A904, ""ar"", ""en"")))"),"Ülker Albeni Bites Chocolate Bar 72 g – Ülker Albeni Bites")</f>
        <v>Ülker Albeni Bites Chocolate Bar 72 g – Ülker Albeni Bites</v>
      </c>
      <c r="B904" s="56" t="str">
        <f>IFERROR(__xludf.DUMMYFUNCTION("IF('AYIRA MINI MART FINAL MENU - Pr'!B904="""", """", IF(LEN(IFERROR(TRIM(REGEXREPLACE(TRIM(REGEXEXTRACT('AYIRA MINI MART FINAL MENU - Pr'!B904, ""^[^\x{0600}-\x{06FF}]+"")), ""[-–]+$"", """")), """"))&gt;0, IFERROR(TRIM(REGEXREPLACE(TRIM(REGEXEXTRACT('AYIRA"&amp;" MINI MART FINAL MENU - Pr'!B904, ""^[^\x{0600}-\x{06FF}]+"")), ""[-–]+$"", """")), """"), GOOGLETRANSLATE('AYIRA MINI MART FINAL MENU - Pr'!B904, ""ar"", ""en"")))"),"Biscuits |")</f>
        <v>Biscuits |</v>
      </c>
      <c r="C904" s="58">
        <f>IF('AYIRA MINI MART FINAL MENU - Pr'!C904="", "", 'AYIRA MINI MART FINAL MENU - Pr'!C904)</f>
        <v>2.5</v>
      </c>
      <c r="D904" s="56" t="str">
        <f>IFERROR(__xludf.DUMMYFUNCTION("IF('AYIRA MINI MART FINAL MENU - Pr'!D904="""", """", GOOGLETRANSLATE('AYIRA MINI MART FINAL MENU - Pr'!D904, ""ar"", ""en""))"),"Indulge your senses with Ülker Albeni Bites Chocolate Bar 72g, a luxurious chocolate that combines rich taste with a perfect texture. Made from the finest selected cocoa beans, it delivers an exceptional dessert experience every time. Whether you're looki"&amp;"ng for a special gift or want to treat yourself, this chocolate is the perfect choice. Savor every piece and immerse yourself in a world of smoothness and sweetness. Get yours from Aira Mini Mart and experience moments of pure delight.")</f>
        <v>Indulge your senses with Ülker Albeni Bites Chocolate Bar 72g, a luxurious chocolate that combines rich taste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904" s="56" t="str">
        <f>IF('AYIRA MINI MART FINAL MENU - Pr'!K904="", "", 'AYIRA MINI MART FINAL MENU - Pr'!K904)</f>
        <v/>
      </c>
      <c r="F904" s="56"/>
      <c r="G904" s="56"/>
      <c r="H904" s="56"/>
      <c r="I904" s="56"/>
      <c r="J904" s="56"/>
      <c r="L904" s="56" t="str">
        <f>IF('AYIRA MINI MART FINAL MENU - Pr'!L904="", "", 'AYIRA MINI MART FINAL MENU - Pr'!L904)</f>
        <v/>
      </c>
      <c r="M904" s="56" t="str">
        <f>IF('AYIRA MINI MART FINAL MENU - Pr'!M904="", "", 'AYIRA MINI MART FINAL MENU - Pr'!M904)</f>
        <v/>
      </c>
      <c r="N904" s="56" t="str">
        <f>IF('AYIRA MINI MART FINAL MENU - Pr'!N904="", "", 'AYIRA MINI MART FINAL MENU - Pr'!N904)</f>
        <v/>
      </c>
      <c r="O904" s="57"/>
      <c r="P904" s="57"/>
      <c r="Q904" s="57"/>
      <c r="R904" s="57"/>
      <c r="S904" s="57"/>
      <c r="T904" s="57"/>
      <c r="U904" s="57"/>
      <c r="V904" s="57"/>
      <c r="W904" s="57"/>
      <c r="X904" s="57"/>
      <c r="Y904" s="57"/>
      <c r="Z904" s="57"/>
    </row>
    <row r="905">
      <c r="A905" s="56" t="str">
        <f>IFERROR(__xludf.DUMMYFUNCTION("IF('AYIRA MINI MART FINAL MENU - Pr'!A905="""", """", IF(LEN(IFERROR(TRIM(REGEXREPLACE(TRIM(REGEXEXTRACT('AYIRA MINI MART FINAL MENU - Pr'!A905, ""^[^\x{0600}-\x{06FF}]+"")), ""[-–]+$"", """")), """"))&gt;0, IFERROR(TRIM(REGEXREPLACE(TRIM(REGEXEXTRACT('AYIRA"&amp;" MINI MART FINAL MENU - Pr'!A905, ""^[^\x{0600}-\x{06FF}]+"")), ""[-–]+$"", """")), """"), GOOGLETRANSLATE('AYIRA MINI MART FINAL MENU - Pr'!A905, ""ar"", ""en"")))"),"Ülker Hanimeller Cocoa Chips Cookies 82 g – Ülker Hanimeller Cocoa")</f>
        <v>Ülker Hanimeller Cocoa Chips Cookies 82 g – Ülker Hanimeller Cocoa</v>
      </c>
      <c r="B905" s="56" t="str">
        <f>IFERROR(__xludf.DUMMYFUNCTION("IF('AYIRA MINI MART FINAL MENU - Pr'!B905="""", """", IF(LEN(IFERROR(TRIM(REGEXREPLACE(TRIM(REGEXEXTRACT('AYIRA MINI MART FINAL MENU - Pr'!B905, ""^[^\x{0600}-\x{06FF}]+"")), ""[-–]+$"", """")), """"))&gt;0, IFERROR(TRIM(REGEXREPLACE(TRIM(REGEXEXTRACT('AYIRA"&amp;" MINI MART FINAL MENU - Pr'!B905, ""^[^\x{0600}-\x{06FF}]+"")), ""[-–]+$"", """")), """"), GOOGLETRANSLATE('AYIRA MINI MART FINAL MENU - Pr'!B905, ""ar"", ""en"")))"),"Biscuits |")</f>
        <v>Biscuits |</v>
      </c>
      <c r="C905" s="58">
        <f>IF('AYIRA MINI MART FINAL MENU - Pr'!C905="", "", 'AYIRA MINI MART FINAL MENU - Pr'!C905)</f>
        <v>3</v>
      </c>
      <c r="D905" s="56" t="str">
        <f>IFERROR(__xludf.DUMMYFUNCTION("IF('AYIRA MINI MART FINAL MENU - Pr'!D905="""", """", GOOGLETRANSLATE('AYIRA MINI MART FINAL MENU - Pr'!D905, ""ar"", ""en""))"),"Don't be able to resist the taste of Ülker Hanimeller Cocoa Chips Cookies 82g, your perfect companion for relaxing and watching the game. Their unique crunch and varied flavors make every handful a delightful experience. Made with the finest ingredients u"&amp;"sing the latest manufacturing techniques to guarantee an unparalleled taste. Ideal as a snack for adults and children alike between meals. Aira Mini Mart offers them in the perfect size and flavor for you.")</f>
        <v>Don't be able to resist the taste of Ülker Hanimeller Cocoa Chips Cookies 82g, your perfect companion for relaxing and watching the game. Their unique crunch and varied flavors make every handful a delightful experience. Made with the finest ingredients using the latest manufacturing techniques to guarantee an unparalleled taste. Ideal as a snack for adults and children alike between meals. Aira Mini Mart offers them in the perfect size and flavor for you.</v>
      </c>
      <c r="E905" s="56" t="str">
        <f>IF('AYIRA MINI MART FINAL MENU - Pr'!K905="", "", 'AYIRA MINI MART FINAL MENU - Pr'!K905)</f>
        <v/>
      </c>
      <c r="F905" s="56"/>
      <c r="G905" s="56"/>
      <c r="H905" s="56"/>
      <c r="I905" s="56"/>
      <c r="J905" s="56"/>
      <c r="L905" s="56" t="str">
        <f>IF('AYIRA MINI MART FINAL MENU - Pr'!L905="", "", 'AYIRA MINI MART FINAL MENU - Pr'!L905)</f>
        <v/>
      </c>
      <c r="M905" s="56" t="str">
        <f>IF('AYIRA MINI MART FINAL MENU - Pr'!M905="", "", 'AYIRA MINI MART FINAL MENU - Pr'!M905)</f>
        <v/>
      </c>
      <c r="N905" s="56" t="str">
        <f>IF('AYIRA MINI MART FINAL MENU - Pr'!N905="", "", 'AYIRA MINI MART FINAL MENU - Pr'!N905)</f>
        <v/>
      </c>
      <c r="O905" s="57"/>
      <c r="P905" s="57"/>
      <c r="Q905" s="57"/>
      <c r="R905" s="57"/>
      <c r="S905" s="57"/>
      <c r="T905" s="57"/>
      <c r="U905" s="57"/>
      <c r="V905" s="57"/>
      <c r="W905" s="57"/>
      <c r="X905" s="57"/>
      <c r="Y905" s="57"/>
      <c r="Z905" s="57"/>
    </row>
    <row r="906">
      <c r="A906" s="56" t="str">
        <f>IFERROR(__xludf.DUMMYFUNCTION("IF('AYIRA MINI MART FINAL MENU - Pr'!A906="""", """", IF(LEN(IFERROR(TRIM(REGEXREPLACE(TRIM(REGEXEXTRACT('AYIRA MINI MART FINAL MENU - Pr'!A906, ""^[^\x{0600}-\x{06FF}]+"")), ""[-–]+$"", """")), """"))&gt;0, IFERROR(TRIM(REGEXREPLACE(TRIM(REGEXEXTRACT('AYIRA"&amp;" MINI MART FINAL MENU - Pr'!A906, ""^[^\x{0600}-\x{06FF}]+"")), ""[-–]+$"", """")), """"), GOOGLETRANSLATE('AYIRA MINI MART FINAL MENU - Pr'!A906, ""ar"", ""en"")))"),"Ülker Rondo Kremali Strawberry Cream Biscuits 61 g – Ülker Rondo Kremali")</f>
        <v>Ülker Rondo Kremali Strawberry Cream Biscuits 61 g – Ülker Rondo Kremali</v>
      </c>
      <c r="B906" s="56" t="str">
        <f>IFERROR(__xludf.DUMMYFUNCTION("IF('AYIRA MINI MART FINAL MENU - Pr'!B906="""", """", IF(LEN(IFERROR(TRIM(REGEXREPLACE(TRIM(REGEXEXTRACT('AYIRA MINI MART FINAL MENU - Pr'!B906, ""^[^\x{0600}-\x{06FF}]+"")), ""[-–]+$"", """")), """"))&gt;0, IFERROR(TRIM(REGEXREPLACE(TRIM(REGEXEXTRACT('AYIRA"&amp;" MINI MART FINAL MENU - Pr'!B906, ""^[^\x{0600}-\x{06FF}]+"")), ""[-–]+$"", """")), """"), GOOGLETRANSLATE('AYIRA MINI MART FINAL MENU - Pr'!B906, ""ar"", ""en"")))"),"Biscuits |")</f>
        <v>Biscuits |</v>
      </c>
      <c r="C906" s="58">
        <f>IF('AYIRA MINI MART FINAL MENU - Pr'!C906="", "", 'AYIRA MINI MART FINAL MENU - Pr'!C906)</f>
        <v>3</v>
      </c>
      <c r="D906" s="56" t="str">
        <f>IFERROR(__xludf.DUMMYFUNCTION("IF('AYIRA MINI MART FINAL MENU - Pr'!D906="""", """", GOOGLETRANSLATE('AYIRA MINI MART FINAL MENU - Pr'!D906, ""ar"", ""en""))"),"Don't be able to resist the taste of Ülker Rondo Kremali Strawberry Cream Biscuits 61g, your perfect companion for relaxing and watching the game. Their unique crunch and varied flavors make every handful a delightful experience. Prepared with the finest "&amp;"ingredients using the latest manufacturing techniques to guarantee an unparalleled taste. Ideal as a snack for adults and children alike between meals. Aira Mini Mart offers them in the perfect size and flavor for you.")</f>
        <v>Don't be able to resist the taste of Ülker Rondo Kremali Strawberry Cream Biscuits 61g,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906" s="56" t="str">
        <f>IF('AYIRA MINI MART FINAL MENU - Pr'!K906="", "", 'AYIRA MINI MART FINAL MENU - Pr'!K906)</f>
        <v/>
      </c>
      <c r="F906" s="56"/>
      <c r="G906" s="56"/>
      <c r="H906" s="56"/>
      <c r="I906" s="56"/>
      <c r="J906" s="56"/>
      <c r="L906" s="56" t="str">
        <f>IF('AYIRA MINI MART FINAL MENU - Pr'!L906="", "", 'AYIRA MINI MART FINAL MENU - Pr'!L906)</f>
        <v/>
      </c>
      <c r="M906" s="56" t="str">
        <f>IF('AYIRA MINI MART FINAL MENU - Pr'!M906="", "", 'AYIRA MINI MART FINAL MENU - Pr'!M906)</f>
        <v/>
      </c>
      <c r="N906" s="56" t="str">
        <f>IF('AYIRA MINI MART FINAL MENU - Pr'!N906="", "", 'AYIRA MINI MART FINAL MENU - Pr'!N906)</f>
        <v/>
      </c>
      <c r="O906" s="57"/>
      <c r="P906" s="57"/>
      <c r="Q906" s="57"/>
      <c r="R906" s="57"/>
      <c r="S906" s="57"/>
      <c r="T906" s="57"/>
      <c r="U906" s="57"/>
      <c r="V906" s="57"/>
      <c r="W906" s="57"/>
      <c r="X906" s="57"/>
      <c r="Y906" s="57"/>
      <c r="Z906" s="57"/>
    </row>
    <row r="907">
      <c r="A907" s="56" t="str">
        <f>IFERROR(__xludf.DUMMYFUNCTION("IF('AYIRA MINI MART FINAL MENU - Pr'!A907="""", """", IF(LEN(IFERROR(TRIM(REGEXREPLACE(TRIM(REGEXEXTRACT('AYIRA MINI MART FINAL MENU - Pr'!A907, ""^[^\x{0600}-\x{06FF}]+"")), ""[-–]+$"", """")), """"))&gt;0, IFERROR(TRIM(REGEXREPLACE(TRIM(REGEXEXTRACT('AYIRA"&amp;" MINI MART FINAL MENU - Pr'!A907, ""^[^\x{0600}-\x{06FF}]+"")), ""[-–]+$"", """")), """"), GOOGLETRANSLATE('AYIRA MINI MART FINAL MENU - Pr'!A907, ""ar"", ""en"")))"),"Ülker Rondo Kremaliı Banana Cream Biscuits 61 g – Ülker Rondo Kremaliı Banana")</f>
        <v>Ülker Rondo Kremaliı Banana Cream Biscuits 61 g – Ülker Rondo Kremaliı Banana</v>
      </c>
      <c r="B907" s="56" t="str">
        <f>IFERROR(__xludf.DUMMYFUNCTION("IF('AYIRA MINI MART FINAL MENU - Pr'!B907="""", """", IF(LEN(IFERROR(TRIM(REGEXREPLACE(TRIM(REGEXEXTRACT('AYIRA MINI MART FINAL MENU - Pr'!B907, ""^[^\x{0600}-\x{06FF}]+"")), ""[-–]+$"", """")), """"))&gt;0, IFERROR(TRIM(REGEXREPLACE(TRIM(REGEXEXTRACT('AYIRA"&amp;" MINI MART FINAL MENU - Pr'!B907, ""^[^\x{0600}-\x{06FF}]+"")), ""[-–]+$"", """")), """"), GOOGLETRANSLATE('AYIRA MINI MART FINAL MENU - Pr'!B907, ""ar"", ""en"")))"),"Biscuits |")</f>
        <v>Biscuits |</v>
      </c>
      <c r="C907" s="56" t="str">
        <f>IF('AYIRA MINI MART FINAL MENU - Pr'!C907="", "", 'AYIRA MINI MART FINAL MENU - Pr'!C907)</f>
        <v/>
      </c>
      <c r="D907" s="56" t="str">
        <f>IFERROR(__xludf.DUMMYFUNCTION("IF('AYIRA MINI MART FINAL MENU - Pr'!D907="""", """", GOOGLETRANSLATE('AYIRA MINI MART FINAL MENU - Pr'!D907, ""ar"", ""en""))"),"Don't be able to resist the taste of Ülker Rondo Kremaliı Banana Cream Biscuits 61g, your perfect companion for relaxing and watching the game. Their unique crunch and varied flavors make every handful a delightful experience. Prepared with the finest ing"&amp;"redients using the latest manufacturing techniques to guarantee an unparalleled taste. Ideal as a snack for adults and children alike between meals. Aira Mini Mart offers them in the perfect size and flavor for you.")</f>
        <v>Don't be able to resist the taste of Ülker Rondo Kremaliı Banana Cream Biscuits 61g, your perfect companion for relaxing and watching the game. Their unique crunch and varied flavors make every handful a delightful experience. Prepared with the finest ingredients using the latest manufacturing techniques to guarantee an unparalleled taste. Ideal as a snack for adults and children alike between meals. Aira Mini Mart offers them in the perfect size and flavor for you.</v>
      </c>
      <c r="E907" s="56" t="str">
        <f>IF('AYIRA MINI MART FINAL MENU - Pr'!K907="", "", 'AYIRA MINI MART FINAL MENU - Pr'!K907)</f>
        <v/>
      </c>
      <c r="F907" s="56"/>
      <c r="G907" s="56"/>
      <c r="H907" s="56"/>
      <c r="I907" s="56"/>
      <c r="J907" s="56"/>
      <c r="L907" s="56" t="str">
        <f>IF('AYIRA MINI MART FINAL MENU - Pr'!L907="", "", 'AYIRA MINI MART FINAL MENU - Pr'!L907)</f>
        <v/>
      </c>
      <c r="M907" s="56" t="str">
        <f>IF('AYIRA MINI MART FINAL MENU - Pr'!M907="", "", 'AYIRA MINI MART FINAL MENU - Pr'!M907)</f>
        <v/>
      </c>
      <c r="N907" s="56" t="str">
        <f>IF('AYIRA MINI MART FINAL MENU - Pr'!N907="", "", 'AYIRA MINI MART FINAL MENU - Pr'!N907)</f>
        <v/>
      </c>
      <c r="O907" s="57"/>
      <c r="P907" s="57"/>
      <c r="Q907" s="57"/>
      <c r="R907" s="57"/>
      <c r="S907" s="57"/>
      <c r="T907" s="57"/>
      <c r="U907" s="57"/>
      <c r="V907" s="57"/>
      <c r="W907" s="57"/>
      <c r="X907" s="57"/>
      <c r="Y907" s="57"/>
      <c r="Z907" s="57"/>
    </row>
    <row r="908">
      <c r="A908" s="56" t="str">
        <f>IFERROR(__xludf.DUMMYFUNCTION("IF('AYIRA MINI MART FINAL MENU - Pr'!A908="""", """", IF(LEN(IFERROR(TRIM(REGEXREPLACE(TRIM(REGEXEXTRACT('AYIRA MINI MART FINAL MENU - Pr'!A908, ""^[^\x{0600}-\x{06FF}]+"")), ""[-–]+$"", """")), """"))&gt;0, IFERROR(TRIM(REGEXREPLACE(TRIM(REGEXEXTRACT('AYIRA"&amp;" MINI MART FINAL MENU - Pr'!A908, ""^[^\x{0600}-\x{06FF}]+"")), ""[-–]+$"", """")), """"), GOOGLETRANSLATE('AYIRA MINI MART FINAL MENU - Pr'!A908, ""ar"", ""en"")))"),"Britannia 50-50 Sweet &amp; Salty Biscuits 71 g")</f>
        <v>Britannia 50-50 Sweet &amp; Salty Biscuits 71 g</v>
      </c>
      <c r="B908" s="56" t="str">
        <f>IFERROR(__xludf.DUMMYFUNCTION("IF('AYIRA MINI MART FINAL MENU - Pr'!B908="""", """", IF(LEN(IFERROR(TRIM(REGEXREPLACE(TRIM(REGEXEXTRACT('AYIRA MINI MART FINAL MENU - Pr'!B908, ""^[^\x{0600}-\x{06FF}]+"")), ""[-–]+$"", """")), """"))&gt;0, IFERROR(TRIM(REGEXREPLACE(TRIM(REGEXEXTRACT('AYIRA"&amp;" MINI MART FINAL MENU - Pr'!B908, ""^[^\x{0600}-\x{06FF}]+"")), ""[-–]+$"", """")), """"), GOOGLETRANSLATE('AYIRA MINI MART FINAL MENU - Pr'!B908, ""ar"", ""en"")))"),"Biscuits |")</f>
        <v>Biscuits |</v>
      </c>
      <c r="C908" s="56" t="str">
        <f>IF('AYIRA MINI MART FINAL MENU - Pr'!C908="", "", 'AYIRA MINI MART FINAL MENU - Pr'!C908)</f>
        <v/>
      </c>
      <c r="D908" s="56" t="str">
        <f>IFERROR(__xludf.DUMMYFUNCTION("IF('AYIRA MINI MART FINAL MENU - Pr'!D908="""", """", GOOGLETRANSLATE('AYIRA MINI MART FINAL MENU - Pr'!D908, ""ar"", ""en""))"),"Don't be able to resist the taste of Britannia, your perfect companion for relaxing and watching the game. Its unique crunch and diverse flavors make every handful a delightful experience. Prepared with the finest ingredients using the latest manufacturin"&amp;"g techniques to guarantee an unparalleled taste. Ideal as a snack for adults and children alike between meals. Aira Mini Mart offers it in the perfect size and flavor for you.")</f>
        <v>Don't be able to resist the taste of Britannia, your perfect companion for relaxing and watching the game. Its unique crunch and diverse flavors make every handful a delightful experience. Prepared with the finest ingredients using the latest manufacturing techniques to guarantee an unparalleled taste. Ideal as a snack for adults and children alike between meals. Aira Mini Mart offers it in the perfect size and flavor for you.</v>
      </c>
      <c r="E908" s="56" t="str">
        <f>IF('AYIRA MINI MART FINAL MENU - Pr'!K908="", "", 'AYIRA MINI MART FINAL MENU - Pr'!K908)</f>
        <v/>
      </c>
      <c r="F908" s="56"/>
      <c r="G908" s="56"/>
      <c r="H908" s="56"/>
      <c r="I908" s="56"/>
      <c r="J908" s="56"/>
      <c r="L908" s="56" t="str">
        <f>IF('AYIRA MINI MART FINAL MENU - Pr'!L908="", "", 'AYIRA MINI MART FINAL MENU - Pr'!L908)</f>
        <v/>
      </c>
      <c r="M908" s="56" t="str">
        <f>IF('AYIRA MINI MART FINAL MENU - Pr'!M908="", "", 'AYIRA MINI MART FINAL MENU - Pr'!M908)</f>
        <v/>
      </c>
      <c r="N908" s="56" t="str">
        <f>IF('AYIRA MINI MART FINAL MENU - Pr'!N908="", "", 'AYIRA MINI MART FINAL MENU - Pr'!N908)</f>
        <v/>
      </c>
      <c r="O908" s="57"/>
      <c r="P908" s="57"/>
      <c r="Q908" s="57"/>
      <c r="R908" s="57"/>
      <c r="S908" s="57"/>
      <c r="T908" s="57"/>
      <c r="U908" s="57"/>
      <c r="V908" s="57"/>
      <c r="W908" s="57"/>
      <c r="X908" s="57"/>
      <c r="Y908" s="57"/>
      <c r="Z908" s="57"/>
    </row>
    <row r="909">
      <c r="A909" s="56" t="str">
        <f>IFERROR(__xludf.DUMMYFUNCTION("IF('AYIRA MINI MART FINAL MENU - Pr'!A909="""", """", IF(LEN(IFERROR(TRIM(REGEXREPLACE(TRIM(REGEXEXTRACT('AYIRA MINI MART FINAL MENU - Pr'!A909, ""^[^\x{0600}-\x{06FF}]+"")), ""[-–]+$"", """")), """"))&gt;0, IFERROR(TRIM(REGEXREPLACE(TRIM(REGEXEXTRACT('AYIRA"&amp;" MINI MART FINAL MENU - Pr'!A909, ""^[^\x{0600}-\x{06FF}]+"")), ""[-–]+$"", """")), """"), GOOGLETRANSLATE('AYIRA MINI MART FINAL MENU - Pr'!A909, ""ar"", ""en"")))"),"Ülker Coffee Biscuit 58 g – Ülker")</f>
        <v>Ülker Coffee Biscuit 58 g – Ülker</v>
      </c>
      <c r="B909" s="56" t="str">
        <f>IFERROR(__xludf.DUMMYFUNCTION("IF('AYIRA MINI MART FINAL MENU - Pr'!B909="""", """", IF(LEN(IFERROR(TRIM(REGEXREPLACE(TRIM(REGEXEXTRACT('AYIRA MINI MART FINAL MENU - Pr'!B909, ""^[^\x{0600}-\x{06FF}]+"")), ""[-–]+$"", """")), """"))&gt;0, IFERROR(TRIM(REGEXREPLACE(TRIM(REGEXEXTRACT('AYIRA"&amp;" MINI MART FINAL MENU - Pr'!B909, ""^[^\x{0600}-\x{06FF}]+"")), ""[-–]+$"", """")), """"), GOOGLETRANSLATE('AYIRA MINI MART FINAL MENU - Pr'!B909, ""ar"", ""en"")))"),"Biscuits |")</f>
        <v>Biscuits |</v>
      </c>
      <c r="C909" s="56" t="str">
        <f>IF('AYIRA MINI MART FINAL MENU - Pr'!C909="", "", 'AYIRA MINI MART FINAL MENU - Pr'!C909)</f>
        <v/>
      </c>
      <c r="D909" s="56" t="str">
        <f>IFERROR(__xludf.DUMMYFUNCTION("IF('AYIRA MINI MART FINAL MENU - Pr'!D909="""", """", GOOGLETRANSLATE('AYIRA MINI MART FINAL MENU - Pr'!D909, ""ar"", ""en""))"),"Don't be able to resist the taste of Ülker Coffee Biscuit 58g, your perfect companion for relaxing and watching matches. Its unique crunch and diverse flavors make every handful a delightful experience. Prepared with the finest ingredients using the lates"&amp;"t manufacturing techniques to guarantee an unparalleled taste. Ideal as a snack for adults and children between meals. Aira Mini Mart offers it in the size and flavor that suits you best.")</f>
        <v>Don't be able to resist the taste of Ülker Coffee Biscuit 58g, your perfect companion for relaxing and watching matches. Its unique crunch and diverse flavors make every handful a delightful experience. Prepared with the finest ingredients using the latest manufacturing techniques to guarantee an unparalleled taste. Ideal as a snack for adults and children between meals. Aira Mini Mart offers it in the size and flavor that suits you best.</v>
      </c>
      <c r="E909" s="56" t="str">
        <f>IF('AYIRA MINI MART FINAL MENU - Pr'!K909="", "", 'AYIRA MINI MART FINAL MENU - Pr'!K909)</f>
        <v/>
      </c>
      <c r="F909" s="56"/>
      <c r="G909" s="56"/>
      <c r="H909" s="56"/>
      <c r="I909" s="56"/>
      <c r="J909" s="56"/>
      <c r="L909" s="56" t="str">
        <f>IF('AYIRA MINI MART FINAL MENU - Pr'!L909="", "", 'AYIRA MINI MART FINAL MENU - Pr'!L909)</f>
        <v/>
      </c>
      <c r="M909" s="56" t="str">
        <f>IF('AYIRA MINI MART FINAL MENU - Pr'!M909="", "", 'AYIRA MINI MART FINAL MENU - Pr'!M909)</f>
        <v/>
      </c>
      <c r="N909" s="56" t="str">
        <f>IF('AYIRA MINI MART FINAL MENU - Pr'!N909="", "", 'AYIRA MINI MART FINAL MENU - Pr'!N909)</f>
        <v/>
      </c>
      <c r="O909" s="57"/>
      <c r="P909" s="57"/>
      <c r="Q909" s="57"/>
      <c r="R909" s="57"/>
      <c r="S909" s="57"/>
      <c r="T909" s="57"/>
      <c r="U909" s="57"/>
      <c r="V909" s="57"/>
      <c r="W909" s="57"/>
      <c r="X909" s="57"/>
      <c r="Y909" s="57"/>
      <c r="Z909" s="57"/>
    </row>
    <row r="910">
      <c r="A910" s="56" t="str">
        <f>IFERROR(__xludf.DUMMYFUNCTION("IF('AYIRA MINI MART FINAL MENU - Pr'!A910="""", """", IF(LEN(IFERROR(TRIM(REGEXREPLACE(TRIM(REGEXEXTRACT('AYIRA MINI MART FINAL MENU - Pr'!A910, ""^[^\x{0600}-\x{06FF}]+"")), ""[-–]+$"", """")), """"))&gt;0, IFERROR(TRIM(REGEXREPLACE(TRIM(REGEXEXTRACT('AYIRA"&amp;" MINI MART FINAL MENU - Pr'!A910, ""^[^\x{0600}-\x{06FF}]+"")), ""[-–]+$"", """")), """"), GOOGLETRANSLATE('AYIRA MINI MART FINAL MENU - Pr'!A910, ""ar"", ""en"")))"),"Takis Fuego Hot Chili Pepper &amp; Lime Tortilla Chips – Takis Fuego")</f>
        <v>Takis Fuego Hot Chili Pepper &amp; Lime Tortilla Chips – Takis Fuego</v>
      </c>
      <c r="B910" s="56" t="str">
        <f>IFERROR(__xludf.DUMMYFUNCTION("IF('AYIRA MINI MART FINAL MENU - Pr'!B910="""", """", IF(LEN(IFERROR(TRIM(REGEXREPLACE(TRIM(REGEXEXTRACT('AYIRA MINI MART FINAL MENU - Pr'!B910, ""^[^\x{0600}-\x{06FF}]+"")), ""[-–]+$"", """")), """"))&gt;0, IFERROR(TRIM(REGEXREPLACE(TRIM(REGEXEXTRACT('AYIRA"&amp;" MINI MART FINAL MENU - Pr'!B910, ""^[^\x{0600}-\x{06FF}]+"")), ""[-–]+$"", """")), """"), GOOGLETRANSLATE('AYIRA MINI MART FINAL MENU - Pr'!B910, ""ar"", ""en"")))"),"Chips &amp; Crisps")</f>
        <v>Chips &amp; Crisps</v>
      </c>
      <c r="C910" s="58">
        <f>IF('AYIRA MINI MART FINAL MENU - Pr'!C910="", "", 'AYIRA MINI MART FINAL MENU - Pr'!C910)</f>
        <v>6.5</v>
      </c>
      <c r="D910" s="56" t="str">
        <f>IFERROR(__xludf.DUMMYFUNCTION("IF('AYIRA MINI MART FINAL MENU - Pr'!D910="""", """", GOOGLETRANSLATE('AYIRA MINI MART FINAL MENU - Pr'!D910, ""ar"", ""en""))"),"Don't be able to resist the taste of Takis Fuego Hot Chili Pepper &amp; Lime Tortilla Chips, your perfect companion for relaxing and watching the game. Their unique crunch and varied flavors make every handful a delightful experience. Made with the finest ing"&amp;"redients using the latest manufacturing techniques to ensure an unparalleled taste. Ideal as a snack for adults and children alike between meals. Aira Mini Mart offers them in the size and flavor that suits you best.")</f>
        <v>Don't be able to resist the taste of Takis Fuego Hot Chili Pepper &amp; Lime Tortilla Chips,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size and flavor that suits you best.</v>
      </c>
      <c r="E910" s="56" t="str">
        <f>IF('AYIRA MINI MART FINAL MENU - Pr'!K910="", "", 'AYIRA MINI MART FINAL MENU - Pr'!K910)</f>
        <v/>
      </c>
      <c r="F910" s="56"/>
      <c r="G910" s="56"/>
      <c r="H910" s="56"/>
      <c r="I910" s="56"/>
      <c r="J910" s="56"/>
      <c r="L910" s="56" t="str">
        <f>IF('AYIRA MINI MART FINAL MENU - Pr'!L910="", "", 'AYIRA MINI MART FINAL MENU - Pr'!L910)</f>
        <v/>
      </c>
      <c r="M910" s="56" t="str">
        <f>IF('AYIRA MINI MART FINAL MENU - Pr'!M910="", "", 'AYIRA MINI MART FINAL MENU - Pr'!M910)</f>
        <v/>
      </c>
      <c r="N910" s="56" t="str">
        <f>IF('AYIRA MINI MART FINAL MENU - Pr'!N910="", "", 'AYIRA MINI MART FINAL MENU - Pr'!N910)</f>
        <v/>
      </c>
      <c r="O910" s="57"/>
      <c r="P910" s="57"/>
      <c r="Q910" s="57"/>
      <c r="R910" s="57"/>
      <c r="S910" s="57"/>
      <c r="T910" s="57"/>
      <c r="U910" s="57"/>
      <c r="V910" s="57"/>
      <c r="W910" s="57"/>
      <c r="X910" s="57"/>
      <c r="Y910" s="57"/>
      <c r="Z910" s="57"/>
    </row>
    <row r="911">
      <c r="A911" s="56" t="str">
        <f>IFERROR(__xludf.DUMMYFUNCTION("IF('AYIRA MINI MART FINAL MENU - Pr'!A911="""", """", IF(LEN(IFERROR(TRIM(REGEXREPLACE(TRIM(REGEXEXTRACT('AYIRA MINI MART FINAL MENU - Pr'!A911, ""^[^\x{0600}-\x{06FF}]+"")), ""[-–]+$"", """")), """"))&gt;0, IFERROR(TRIM(REGEXREPLACE(TRIM(REGEXEXTRACT('AYIRA"&amp;" MINI MART FINAL MENU - Pr'!A911, ""^[^\x{0600}-\x{06FF}]+"")), ""[-–]+$"", """")), """"), GOOGLETRANSLATE('AYIRA MINI MART FINAL MENU - Pr'!A911, ""ar"", ""en"")))"),"")</f>
        <v/>
      </c>
      <c r="B911" s="56" t="str">
        <f>IFERROR(__xludf.DUMMYFUNCTION("IF('AYIRA MINI MART FINAL MENU - Pr'!B911="""", """", IF(LEN(IFERROR(TRIM(REGEXREPLACE(TRIM(REGEXEXTRACT('AYIRA MINI MART FINAL MENU - Pr'!B911, ""^[^\x{0600}-\x{06FF}]+"")), ""[-–]+$"", """")), """"))&gt;0, IFERROR(TRIM(REGEXREPLACE(TRIM(REGEXEXTRACT('AYIRA"&amp;" MINI MART FINAL MENU - Pr'!B911, ""^[^\x{0600}-\x{06FF}]+"")), ""[-–]+$"", """")), """"), GOOGLETRANSLATE('AYIRA MINI MART FINAL MENU - Pr'!B911, ""ar"", ""en"")))"),"Chips &amp; Crisps")</f>
        <v>Chips &amp; Crisps</v>
      </c>
      <c r="C911" s="56" t="str">
        <f>IF('AYIRA MINI MART FINAL MENU - Pr'!C911="", "", 'AYIRA MINI MART FINAL MENU - Pr'!C911)</f>
        <v/>
      </c>
      <c r="D911" s="56" t="str">
        <f>IFERROR(__xludf.DUMMYFUNCTION("IF('AYIRA MINI MART FINAL MENU - Pr'!D911="""", """", GOOGLETRANSLATE('AYIRA MINI MART FINAL MENU - Pr'!D911, ""ar"", ""en""))"),"Don't be able to resist the taste of Fruittella Gelatin-Free Chewy Sweets, your perfect companion for relaxing and watching the game. Their unique crunch and varied flavors make every handful a delightful experience. Prepared with the finest ingredients u"&amp;"sing the latest manufacturing techniques to ensure an unparalleled taste. Ideal as a snack for adults and children alike between meals. Aira Mini Mart offers them in the perfect size and flavor for you.")</f>
        <v>Don't be able to resist the taste of Fruittella Gelatin-Free Chewy Sweets,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911" s="56" t="str">
        <f>IF('AYIRA MINI MART FINAL MENU - Pr'!K911="", "", 'AYIRA MINI MART FINAL MENU - Pr'!K911)</f>
        <v/>
      </c>
      <c r="F911" s="56"/>
      <c r="G911" s="56"/>
      <c r="H911" s="56"/>
      <c r="I911" s="56"/>
      <c r="J911" s="56"/>
      <c r="L911" s="56" t="str">
        <f>IF('AYIRA MINI MART FINAL MENU - Pr'!L911="", "", 'AYIRA MINI MART FINAL MENU - Pr'!L911)</f>
        <v/>
      </c>
      <c r="M911" s="56" t="str">
        <f>IF('AYIRA MINI MART FINAL MENU - Pr'!M911="", "", 'AYIRA MINI MART FINAL MENU - Pr'!M911)</f>
        <v/>
      </c>
      <c r="N911" s="56" t="str">
        <f>IF('AYIRA MINI MART FINAL MENU - Pr'!N911="", "", 'AYIRA MINI MART FINAL MENU - Pr'!N911)</f>
        <v/>
      </c>
      <c r="O911" s="57"/>
      <c r="P911" s="57"/>
      <c r="Q911" s="57"/>
      <c r="R911" s="57"/>
      <c r="S911" s="57"/>
      <c r="T911" s="57"/>
      <c r="U911" s="57"/>
      <c r="V911" s="57"/>
      <c r="W911" s="57"/>
      <c r="X911" s="57"/>
      <c r="Y911" s="57"/>
      <c r="Z911" s="57"/>
    </row>
    <row r="912">
      <c r="A912" s="56" t="str">
        <f>IFERROR(__xludf.DUMMYFUNCTION("IF('AYIRA MINI MART FINAL MENU - Pr'!A912="""", """", IF(LEN(IFERROR(TRIM(REGEXREPLACE(TRIM(REGEXEXTRACT('AYIRA MINI MART FINAL MENU - Pr'!A912, ""^[^\x{0600}-\x{06FF}]+"")), ""[-–]+$"", """")), """"))&gt;0, IFERROR(TRIM(REGEXREPLACE(TRIM(REGEXEXTRACT('AYIRA"&amp;" MINI MART FINAL MENU - Pr'!A912, ""^[^\x{0600}-\x{06FF}]+"")), ""[-–]+$"", """")), """"), GOOGLETRANSLATE('AYIRA MINI MART FINAL MENU - Pr'!A912, ""ar"", ""en"")))"),"Fruittella Orange Chewy Sweets with Fruit Juice – Fruittella")</f>
        <v>Fruittella Orange Chewy Sweets with Fruit Juice – Fruittella</v>
      </c>
      <c r="B912" s="56" t="str">
        <f>IFERROR(__xludf.DUMMYFUNCTION("IF('AYIRA MINI MART FINAL MENU - Pr'!B912="""", """", IF(LEN(IFERROR(TRIM(REGEXREPLACE(TRIM(REGEXEXTRACT('AYIRA MINI MART FINAL MENU - Pr'!B912, ""^[^\x{0600}-\x{06FF}]+"")), ""[-–]+$"", """")), """"))&gt;0, IFERROR(TRIM(REGEXREPLACE(TRIM(REGEXEXTRACT('AYIRA"&amp;" MINI MART FINAL MENU - Pr'!B912, ""^[^\x{0600}-\x{06FF}]+"")), ""[-–]+$"", """")), """"), GOOGLETRANSLATE('AYIRA MINI MART FINAL MENU - Pr'!B912, ""ar"", ""en"")))"),"Gums |")</f>
        <v>Gums |</v>
      </c>
      <c r="C912" s="58">
        <f>IF('AYIRA MINI MART FINAL MENU - Pr'!C912="", "", 'AYIRA MINI MART FINAL MENU - Pr'!C912)</f>
        <v>1.5</v>
      </c>
      <c r="D912" s="56" t="str">
        <f>IFERROR(__xludf.DUMMYFUNCTION("IF('AYIRA MINI MART FINAL MENU - Pr'!D912="""", """", GOOGLETRANSLATE('AYIRA MINI MART FINAL MENU - Pr'!D912, ""ar"", ""en""))"),"Take care of your health with Fruittella Orange Chewy Sweets with Fruit Juice, a fresh juice packed with essential vitamins and minerals. Made from carefully selected, high-quality fruits for a delicious taste and superior nutritional value. It provides n"&amp;"atural energy and boosts your immune system thanks to its rich content. Perfect for your daily breakfast or as a healthy drink anytime. Order now from Aira Mini Mart and enjoy every drop of this delicious and nutritious juice.")</f>
        <v>Take care of your health with Fruittella Orange Chewy Sweets with Fruit Juice, a fresh juice packed with essential vitamins and minerals. Made from carefully selected, high-quality fruits for a delicious taste and superior nutritional value. It provides natural energy and boosts your immune system thanks to its rich content. Perfect for your daily breakfast or as a healthy drink anytime. Order now from Aira Mini Mart and enjoy every drop of this delicious and nutritious juice.</v>
      </c>
      <c r="E912" s="56" t="str">
        <f>IF('AYIRA MINI MART FINAL MENU - Pr'!K912="", "", 'AYIRA MINI MART FINAL MENU - Pr'!K912)</f>
        <v/>
      </c>
      <c r="F912" s="56"/>
      <c r="G912" s="56"/>
      <c r="H912" s="56"/>
      <c r="I912" s="56"/>
      <c r="J912" s="56"/>
      <c r="L912" s="56" t="str">
        <f>IF('AYIRA MINI MART FINAL MENU - Pr'!L912="", "", 'AYIRA MINI MART FINAL MENU - Pr'!L912)</f>
        <v/>
      </c>
      <c r="M912" s="56" t="str">
        <f>IF('AYIRA MINI MART FINAL MENU - Pr'!M912="", "", 'AYIRA MINI MART FINAL MENU - Pr'!M912)</f>
        <v/>
      </c>
      <c r="N912" s="56" t="str">
        <f>IF('AYIRA MINI MART FINAL MENU - Pr'!N912="", "", 'AYIRA MINI MART FINAL MENU - Pr'!N912)</f>
        <v/>
      </c>
      <c r="O912" s="57"/>
      <c r="P912" s="57"/>
      <c r="Q912" s="57"/>
      <c r="R912" s="57"/>
      <c r="S912" s="57"/>
      <c r="T912" s="57"/>
      <c r="U912" s="57"/>
      <c r="V912" s="57"/>
      <c r="W912" s="57"/>
      <c r="X912" s="57"/>
      <c r="Y912" s="57"/>
      <c r="Z912" s="57"/>
    </row>
    <row r="913">
      <c r="A913" s="56" t="str">
        <f>IFERROR(__xludf.DUMMYFUNCTION("IF('AYIRA MINI MART FINAL MENU - Pr'!A913="""", """", IF(LEN(IFERROR(TRIM(REGEXREPLACE(TRIM(REGEXEXTRACT('AYIRA MINI MART FINAL MENU - Pr'!A913, ""^[^\x{0600}-\x{06FF}]+"")), ""[-–]+$"", """")), """"))&gt;0, IFERROR(TRIM(REGEXREPLACE(TRIM(REGEXEXTRACT('AYIRA"&amp;" MINI MART FINAL MENU - Pr'!A913, ""^[^\x{0600}-\x{06FF}]+"")), ""[-–]+$"", """")), """"), GOOGLETRANSLATE('AYIRA MINI MART FINAL MENU - Pr'!A913, ""ar"", ""en"")))"),"Fruittella Strawberry Chewy Sweets Gelatin Free – Fruittella")</f>
        <v>Fruittella Strawberry Chewy Sweets Gelatin Free – Fruittella</v>
      </c>
      <c r="B913" s="56" t="str">
        <f>IFERROR(__xludf.DUMMYFUNCTION("IF('AYIRA MINI MART FINAL MENU - Pr'!B913="""", """", IF(LEN(IFERROR(TRIM(REGEXREPLACE(TRIM(REGEXEXTRACT('AYIRA MINI MART FINAL MENU - Pr'!B913, ""^[^\x{0600}-\x{06FF}]+"")), ""[-–]+$"", """")), """"))&gt;0, IFERROR(TRIM(REGEXREPLACE(TRIM(REGEXEXTRACT('AYIRA"&amp;" MINI MART FINAL MENU - Pr'!B913, ""^[^\x{0600}-\x{06FF}]+"")), ""[-–]+$"", """")), """"), GOOGLETRANSLATE('AYIRA MINI MART FINAL MENU - Pr'!B913, ""ar"", ""en"")))"),"Gums |")</f>
        <v>Gums |</v>
      </c>
      <c r="C913" s="58">
        <f>IF('AYIRA MINI MART FINAL MENU - Pr'!C913="", "", 'AYIRA MINI MART FINAL MENU - Pr'!C913)</f>
        <v>1.5</v>
      </c>
      <c r="D913" s="56" t="str">
        <f>IFERROR(__xludf.DUMMYFUNCTION("IF('AYIRA MINI MART FINAL MENU - Pr'!D913="""", """", GOOGLETRANSLATE('AYIRA MINI MART FINAL MENU - Pr'!D913, ""ar"", ""en""))"),"Don't be able to resist the taste of Fruittella Strawberry Chewy Sweets Gelatin Free, your perfect companion for relaxing and watching the game. Their unique crunch and varied flavors make every handful a delightful experience. Prepared with the finest in"&amp;"gredients using the latest manufacturing techniques to ensure an unparalleled taste. Ideal as a snack for adults and children alike between meals. Aira Mini Mart offers them in the perfect size and flavor for you.")</f>
        <v>Don't be able to resist the taste of Fruittella Strawberry Chewy Sweets Gelatin Free,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913" s="56" t="str">
        <f>IF('AYIRA MINI MART FINAL MENU - Pr'!K913="", "", 'AYIRA MINI MART FINAL MENU - Pr'!K913)</f>
        <v/>
      </c>
      <c r="F913" s="56"/>
      <c r="G913" s="56"/>
      <c r="H913" s="56"/>
      <c r="I913" s="56"/>
      <c r="J913" s="56"/>
      <c r="L913" s="56" t="str">
        <f>IF('AYIRA MINI MART FINAL MENU - Pr'!L913="", "", 'AYIRA MINI MART FINAL MENU - Pr'!L913)</f>
        <v/>
      </c>
      <c r="M913" s="56" t="str">
        <f>IF('AYIRA MINI MART FINAL MENU - Pr'!M913="", "", 'AYIRA MINI MART FINAL MENU - Pr'!M913)</f>
        <v/>
      </c>
      <c r="N913" s="56" t="str">
        <f>IF('AYIRA MINI MART FINAL MENU - Pr'!N913="", "", 'AYIRA MINI MART FINAL MENU - Pr'!N913)</f>
        <v/>
      </c>
      <c r="O913" s="57"/>
      <c r="P913" s="57"/>
      <c r="Q913" s="57"/>
      <c r="R913" s="57"/>
      <c r="S913" s="57"/>
      <c r="T913" s="57"/>
      <c r="U913" s="57"/>
      <c r="V913" s="57"/>
      <c r="W913" s="57"/>
      <c r="X913" s="57"/>
      <c r="Y913" s="57"/>
      <c r="Z913" s="57"/>
    </row>
    <row r="914">
      <c r="A914" s="56" t="str">
        <f>IFERROR(__xludf.DUMMYFUNCTION("IF('AYIRA MINI MART FINAL MENU - Pr'!A914="""", """", IF(LEN(IFERROR(TRIM(REGEXREPLACE(TRIM(REGEXEXTRACT('AYIRA MINI MART FINAL MENU - Pr'!A914, ""^[^\x{0600}-\x{06FF}]+"")), ""[-–]+$"", """")), """"))&gt;0, IFERROR(TRIM(REGEXREPLACE(TRIM(REGEXEXTRACT('AYIRA"&amp;" MINI MART FINAL MENU - Pr'!A914, ""^[^\x{0600}-\x{06FF}]+"")), ""[-–]+$"", """")), """"), GOOGLETRANSLATE('AYIRA MINI MART FINAL MENU - Pr'!A914, ""ar"", ""en"")))"),"Fruittella Mixed Fruit Chewy Sweets Gelatin Free – Fruittella")</f>
        <v>Fruittella Mixed Fruit Chewy Sweets Gelatin Free – Fruittella</v>
      </c>
      <c r="B914" s="56" t="str">
        <f>IFERROR(__xludf.DUMMYFUNCTION("IF('AYIRA MINI MART FINAL MENU - Pr'!B914="""", """", IF(LEN(IFERROR(TRIM(REGEXREPLACE(TRIM(REGEXEXTRACT('AYIRA MINI MART FINAL MENU - Pr'!B914, ""^[^\x{0600}-\x{06FF}]+"")), ""[-–]+$"", """")), """"))&gt;0, IFERROR(TRIM(REGEXREPLACE(TRIM(REGEXEXTRACT('AYIRA"&amp;" MINI MART FINAL MENU - Pr'!B914, ""^[^\x{0600}-\x{06FF}]+"")), ""[-–]+$"", """")), """"), GOOGLETRANSLATE('AYIRA MINI MART FINAL MENU - Pr'!B914, ""ar"", ""en"")))"),"Gums |")</f>
        <v>Gums |</v>
      </c>
      <c r="C914" s="58">
        <f>IF('AYIRA MINI MART FINAL MENU - Pr'!C914="", "", 'AYIRA MINI MART FINAL MENU - Pr'!C914)</f>
        <v>1.5</v>
      </c>
      <c r="D914" s="56" t="str">
        <f>IFERROR(__xludf.DUMMYFUNCTION("IF('AYIRA MINI MART FINAL MENU - Pr'!D914="""", """", GOOGLETRANSLATE('AYIRA MINI MART FINAL MENU - Pr'!D914, ""ar"", ""en""))"),"Don't be able to resist the taste of Fruittella Mixed Fruit Chewy Sweets Gelatin Free, your perfect companion for relaxing and watching the game. Their unique crunch and varied flavors make every handful a delightful experience. Prepared with the finest i"&amp;"ngredients using the latest manufacturing techniques to ensure an unparalleled taste. Ideal as a snack for adults and children alike between meals. Aira Mini Mart offers them in the perfect size and flavor for you.")</f>
        <v>Don't be able to resist the taste of Fruittella Mixed Fruit Chewy Sweets Gelatin Free,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914" s="56" t="str">
        <f>IF('AYIRA MINI MART FINAL MENU - Pr'!K914="", "", 'AYIRA MINI MART FINAL MENU - Pr'!K914)</f>
        <v/>
      </c>
      <c r="F914" s="56"/>
      <c r="G914" s="56"/>
      <c r="H914" s="56"/>
      <c r="I914" s="56"/>
      <c r="J914" s="56"/>
      <c r="L914" s="56" t="str">
        <f>IF('AYIRA MINI MART FINAL MENU - Pr'!L914="", "", 'AYIRA MINI MART FINAL MENU - Pr'!L914)</f>
        <v/>
      </c>
      <c r="M914" s="56" t="str">
        <f>IF('AYIRA MINI MART FINAL MENU - Pr'!M914="", "", 'AYIRA MINI MART FINAL MENU - Pr'!M914)</f>
        <v/>
      </c>
      <c r="N914" s="56" t="str">
        <f>IF('AYIRA MINI MART FINAL MENU - Pr'!N914="", "", 'AYIRA MINI MART FINAL MENU - Pr'!N914)</f>
        <v/>
      </c>
      <c r="O914" s="57"/>
      <c r="P914" s="57"/>
      <c r="Q914" s="57"/>
      <c r="R914" s="57"/>
      <c r="S914" s="57"/>
      <c r="T914" s="57"/>
      <c r="U914" s="57"/>
      <c r="V914" s="57"/>
      <c r="W914" s="57"/>
      <c r="X914" s="57"/>
      <c r="Y914" s="57"/>
      <c r="Z914" s="57"/>
    </row>
    <row r="915">
      <c r="A915" s="56" t="str">
        <f>IFERROR(__xludf.DUMMYFUNCTION("IF('AYIRA MINI MART FINAL MENU - Pr'!A915="""", """", IF(LEN(IFERROR(TRIM(REGEXREPLACE(TRIM(REGEXEXTRACT('AYIRA MINI MART FINAL MENU - Pr'!A915, ""^[^\x{0600}-\x{06FF}]+"")), ""[-–]+$"", """")), """"))&gt;0, IFERROR(TRIM(REGEXREPLACE(TRIM(REGEXEXTRACT('AYIRA"&amp;" MINI MART FINAL MENU - Pr'!A915, ""^[^\x{0600}-\x{06FF}]+"")), ""[-–]+$"", """")), """"), GOOGLETRANSLATE('AYIRA MINI MART FINAL MENU - Pr'!A915, ""ar"", ""en"")))"),"Strawberry Lollipop")</f>
        <v>Strawberry Lollipop</v>
      </c>
      <c r="B915" s="56" t="str">
        <f>IFERROR(__xludf.DUMMYFUNCTION("IF('AYIRA MINI MART FINAL MENU - Pr'!B915="""", """", IF(LEN(IFERROR(TRIM(REGEXREPLACE(TRIM(REGEXEXTRACT('AYIRA MINI MART FINAL MENU - Pr'!B915, ""^[^\x{0600}-\x{06FF}]+"")), ""[-–]+$"", """")), """"))&gt;0, IFERROR(TRIM(REGEXREPLACE(TRIM(REGEXEXTRACT('AYIRA"&amp;" MINI MART FINAL MENU - Pr'!B915, ""^[^\x{0600}-\x{06FF}]+"")), ""[-–]+$"", """")), """"), GOOGLETRANSLATE('AYIRA MINI MART FINAL MENU - Pr'!B915, ""ar"", ""en"")))"),"Candy |")</f>
        <v>Candy |</v>
      </c>
      <c r="C915" s="58">
        <f>IF('AYIRA MINI MART FINAL MENU - Pr'!C915="", "", 'AYIRA MINI MART FINAL MENU - Pr'!C915)</f>
        <v>2</v>
      </c>
      <c r="D915" s="56" t="str">
        <f>IFERROR(__xludf.DUMMYFUNCTION("IF('AYIRA MINI MART FINAL MENU - Pr'!D915="""", """", GOOGLETRANSLATE('AYIRA MINI MART FINAL MENU - Pr'!D915, ""ar"", ""en""))"),"Add a sweet touch to your day with Strawberry Lollipop, a delicious treat loved by everyone. Its variety of flavors and vibrant colors make it suitable for all ages. Perfect as a small treat or a light gift for friends and family. Made with high-quality i"&amp;"ngredients to ensure a great taste in every single one. Get yours from Aira Mini Mart and spread the joy to your loved ones.")</f>
        <v>Add a sweet touch to your day with Strawberry Lollipop, a delicious treat loved by everyone. Its variety of flavors and vibrant colors make it suitable for all ages. Perfect as a small treat or a light gift for friends and family. Made with high-quality ingredients to ensure a great taste in every single one. Get yours from Aira Mini Mart and spread the joy to your loved ones.</v>
      </c>
      <c r="E915" s="56" t="str">
        <f>IF('AYIRA MINI MART FINAL MENU - Pr'!K915="", "", 'AYIRA MINI MART FINAL MENU - Pr'!K915)</f>
        <v/>
      </c>
      <c r="F915" s="56"/>
      <c r="G915" s="56"/>
      <c r="H915" s="56"/>
      <c r="I915" s="56"/>
      <c r="J915" s="56"/>
      <c r="L915" s="56" t="str">
        <f>IF('AYIRA MINI MART FINAL MENU - Pr'!L915="", "", 'AYIRA MINI MART FINAL MENU - Pr'!L915)</f>
        <v/>
      </c>
      <c r="M915" s="56" t="str">
        <f>IF('AYIRA MINI MART FINAL MENU - Pr'!M915="", "", 'AYIRA MINI MART FINAL MENU - Pr'!M915)</f>
        <v/>
      </c>
      <c r="N915" s="56" t="str">
        <f>IF('AYIRA MINI MART FINAL MENU - Pr'!N915="", "", 'AYIRA MINI MART FINAL MENU - Pr'!N915)</f>
        <v/>
      </c>
      <c r="O915" s="57"/>
      <c r="P915" s="57"/>
      <c r="Q915" s="57"/>
      <c r="R915" s="57"/>
      <c r="S915" s="57"/>
      <c r="T915" s="57"/>
      <c r="U915" s="57"/>
      <c r="V915" s="57"/>
      <c r="W915" s="57"/>
      <c r="X915" s="57"/>
      <c r="Y915" s="57"/>
      <c r="Z915" s="57"/>
    </row>
    <row r="916">
      <c r="A916" s="56" t="str">
        <f>IFERROR(__xludf.DUMMYFUNCTION("IF('AYIRA MINI MART FINAL MENU - Pr'!A916="""", """", IF(LEN(IFERROR(TRIM(REGEXREPLACE(TRIM(REGEXEXTRACT('AYIRA MINI MART FINAL MENU - Pr'!A916, ""^[^\x{0600}-\x{06FF}]+"")), ""[-–]+$"", """")), """"))&gt;0, IFERROR(TRIM(REGEXREPLACE(TRIM(REGEXEXTRACT('AYIRA"&amp;" MINI MART FINAL MENU - Pr'!A916, ""^[^\x{0600}-\x{06FF}]+"")), ""[-–]+$"", """")), """"), GOOGLETRANSLATE('AYIRA MINI MART FINAL MENU - Pr'!A916, ""ar"", ""en"")))"),"Chupa Chups Melody Pops Cola Flavour")</f>
        <v>Chupa Chups Melody Pops Cola Flavour</v>
      </c>
      <c r="B916" s="56" t="str">
        <f>IFERROR(__xludf.DUMMYFUNCTION("IF('AYIRA MINI MART FINAL MENU - Pr'!B916="""", """", IF(LEN(IFERROR(TRIM(REGEXREPLACE(TRIM(REGEXEXTRACT('AYIRA MINI MART FINAL MENU - Pr'!B916, ""^[^\x{0600}-\x{06FF}]+"")), ""[-–]+$"", """")), """"))&gt;0, IFERROR(TRIM(REGEXREPLACE(TRIM(REGEXEXTRACT('AYIRA"&amp;" MINI MART FINAL MENU - Pr'!B916, ""^[^\x{0600}-\x{06FF}]+"")), ""[-–]+$"", """")), """"), GOOGLETRANSLATE('AYIRA MINI MART FINAL MENU - Pr'!B916, ""ar"", ""en"")))"),"Candy |")</f>
        <v>Candy |</v>
      </c>
      <c r="C916" s="58">
        <f>IF('AYIRA MINI MART FINAL MENU - Pr'!C916="", "", 'AYIRA MINI MART FINAL MENU - Pr'!C916)</f>
        <v>1.5</v>
      </c>
      <c r="D916" s="56" t="str">
        <f>IFERROR(__xludf.DUMMYFUNCTION("IF('AYIRA MINI MART FINAL MENU - Pr'!D916="""", """", GOOGLETRANSLATE('AYIRA MINI MART FINAL MENU - Pr'!D916, ""ar"", ""en""))"),"Enjoy Chupa Chups Melody Pops Cola Flavor, the refreshing soft drink that gives you energy and vitality with every drop. Its delicious taste and unique formula make it the perfect choice to quench your thirst anytime. Ideal for parties, family gatherings,"&amp;" and various occasions. It contains distinctive flavors that make every sip an unforgettable experience. Get it now from Aira Mini Mart at the best prices and highest quality. Our special drink provides you with instant refreshment and satisfies your disc"&amp;"erning palate whenever you need hydration.")</f>
        <v>Enjoy Chupa Chups Melody Pops Cola Flavor, the refreshing soft drink that gives you energy and vitality with every drop. Its delicious taste and unique formula make it the perfect choice to quench your thirst anytime. Ideal for parties, family gatherings, and various occasions. It contains distinctive flavors that make every sip an unforgettable experience. Get it now from Aira Mini Mart at the best prices and highest quality. Our special drink provides you with instant refreshment and satisfies your discerning palate whenever you need hydration.</v>
      </c>
      <c r="E916" s="56" t="str">
        <f>IF('AYIRA MINI MART FINAL MENU - Pr'!K916="", "", 'AYIRA MINI MART FINAL MENU - Pr'!K916)</f>
        <v/>
      </c>
      <c r="F916" s="56"/>
      <c r="G916" s="56"/>
      <c r="H916" s="56"/>
      <c r="I916" s="56"/>
      <c r="J916" s="56"/>
      <c r="L916" s="56" t="str">
        <f>IF('AYIRA MINI MART FINAL MENU - Pr'!L916="", "", 'AYIRA MINI MART FINAL MENU - Pr'!L916)</f>
        <v/>
      </c>
      <c r="M916" s="56" t="str">
        <f>IF('AYIRA MINI MART FINAL MENU - Pr'!M916="", "", 'AYIRA MINI MART FINAL MENU - Pr'!M916)</f>
        <v/>
      </c>
      <c r="N916" s="56" t="str">
        <f>IF('AYIRA MINI MART FINAL MENU - Pr'!N916="", "", 'AYIRA MINI MART FINAL MENU - Pr'!N916)</f>
        <v/>
      </c>
      <c r="O916" s="57"/>
      <c r="P916" s="57"/>
      <c r="Q916" s="57"/>
      <c r="R916" s="57"/>
      <c r="S916" s="57"/>
      <c r="T916" s="57"/>
      <c r="U916" s="57"/>
      <c r="V916" s="57"/>
      <c r="W916" s="57"/>
      <c r="X916" s="57"/>
      <c r="Y916" s="57"/>
      <c r="Z916" s="57"/>
    </row>
    <row r="917">
      <c r="A917" s="56" t="str">
        <f>IFERROR(__xludf.DUMMYFUNCTION("IF('AYIRA MINI MART FINAL MENU - Pr'!A917="""", """", IF(LEN(IFERROR(TRIM(REGEXREPLACE(TRIM(REGEXEXTRACT('AYIRA MINI MART FINAL MENU - Pr'!A917, ""^[^\x{0600}-\x{06FF}]+"")), ""[-–]+$"", """")), """"))&gt;0, IFERROR(TRIM(REGEXREPLACE(TRIM(REGEXEXTRACT('AYIRA"&amp;" MINI MART FINAL MENU - Pr'!A917, ""^[^\x{0600}-\x{06FF}]+"")), ""[-–]+$"", """")), """"), GOOGLETRANSLATE('AYIRA MINI MART FINAL MENU - Pr'!A917, ""ar"", ""en"")))"),"Chupa Chups Melody Pops Strawberry Flavour")</f>
        <v>Chupa Chups Melody Pops Strawberry Flavour</v>
      </c>
      <c r="B917" s="56" t="str">
        <f>IFERROR(__xludf.DUMMYFUNCTION("IF('AYIRA MINI MART FINAL MENU - Pr'!B917="""", """", IF(LEN(IFERROR(TRIM(REGEXREPLACE(TRIM(REGEXEXTRACT('AYIRA MINI MART FINAL MENU - Pr'!B917, ""^[^\x{0600}-\x{06FF}]+"")), ""[-–]+$"", """")), """"))&gt;0, IFERROR(TRIM(REGEXREPLACE(TRIM(REGEXEXTRACT('AYIRA"&amp;" MINI MART FINAL MENU - Pr'!B917, ""^[^\x{0600}-\x{06FF}]+"")), ""[-–]+$"", """")), """"), GOOGLETRANSLATE('AYIRA MINI MART FINAL MENU - Pr'!B917, ""ar"", ""en"")))"),"Candy |")</f>
        <v>Candy |</v>
      </c>
      <c r="C917" s="58">
        <f>IF('AYIRA MINI MART FINAL MENU - Pr'!C917="", "", 'AYIRA MINI MART FINAL MENU - Pr'!C917)</f>
        <v>1.5</v>
      </c>
      <c r="D917" s="56" t="str">
        <f>IFERROR(__xludf.DUMMYFUNCTION("IF('AYIRA MINI MART FINAL MENU - Pr'!D917="""", """", GOOGLETRANSLATE('AYIRA MINI MART FINAL MENU - Pr'!D917, ""ar"", ""en""))"),"Don't be able to resist the taste of Chupa Chups Melody Pops Strawberry Flavor, your perfect companion for relaxing and watching the game. Their unique crunch and varied flavors make every handful a delightful experience. Made with the finest ingredients "&amp;"using the latest manufacturing techniques to ensure an unparalleled taste. Ideal as a snack for adults and children alike between meals. Aira Mini Mart offers them in the perfect size and flavor for you.")</f>
        <v>Don't be able to resist the taste of Chupa Chups Melody Pops Strawberry Flavor, your perfect companion for relaxing and watching the game. Their unique crunch and varied flavors make every handful a delightful experience. Made with the finest ingredients using the latest manufacturing techniques to ensure an unparalleled taste. Ideal as a snack for adults and children alike between meals. Aira Mini Mart offers them in the perfect size and flavor for you.</v>
      </c>
      <c r="E917" s="56" t="str">
        <f>IF('AYIRA MINI MART FINAL MENU - Pr'!K917="", "", 'AYIRA MINI MART FINAL MENU - Pr'!K917)</f>
        <v/>
      </c>
      <c r="F917" s="56"/>
      <c r="G917" s="56"/>
      <c r="H917" s="56"/>
      <c r="I917" s="56"/>
      <c r="J917" s="56"/>
      <c r="L917" s="56" t="str">
        <f>IF('AYIRA MINI MART FINAL MENU - Pr'!L917="", "", 'AYIRA MINI MART FINAL MENU - Pr'!L917)</f>
        <v/>
      </c>
      <c r="M917" s="56" t="str">
        <f>IF('AYIRA MINI MART FINAL MENU - Pr'!M917="", "", 'AYIRA MINI MART FINAL MENU - Pr'!M917)</f>
        <v/>
      </c>
      <c r="N917" s="56" t="str">
        <f>IF('AYIRA MINI MART FINAL MENU - Pr'!N917="", "", 'AYIRA MINI MART FINAL MENU - Pr'!N917)</f>
        <v/>
      </c>
      <c r="O917" s="57"/>
      <c r="P917" s="57"/>
      <c r="Q917" s="57"/>
      <c r="R917" s="57"/>
      <c r="S917" s="57"/>
      <c r="T917" s="57"/>
      <c r="U917" s="57"/>
      <c r="V917" s="57"/>
      <c r="W917" s="57"/>
      <c r="X917" s="57"/>
      <c r="Y917" s="57"/>
      <c r="Z917" s="57"/>
    </row>
    <row r="918">
      <c r="A918" s="56" t="str">
        <f>IFERROR(__xludf.DUMMYFUNCTION("IF('AYIRA MINI MART FINAL MENU - Pr'!A918="""", """", IF(LEN(IFERROR(TRIM(REGEXREPLACE(TRIM(REGEXEXTRACT('AYIRA MINI MART FINAL MENU - Pr'!A918, ""^[^\x{0600}-\x{06FF}]+"")), ""[-–]+$"", """")), """"))&gt;0, IFERROR(TRIM(REGEXREPLACE(TRIM(REGEXEXTRACT('AYIRA"&amp;" MINI MART FINAL MENU - Pr'!A918, ""^[^\x{0600}-\x{06FF}]+"")), ""[-–]+$"", """")), """"), GOOGLETRANSLATE('AYIRA MINI MART FINAL MENU - Pr'!A918, ""ar"", ""en"")))"),"Chupa Chups Sour Belt Mixed Fruit Flavour Soft and Chewy")</f>
        <v>Chupa Chups Sour Belt Mixed Fruit Flavour Soft and Chewy</v>
      </c>
      <c r="B918" s="56" t="str">
        <f>IFERROR(__xludf.DUMMYFUNCTION("IF('AYIRA MINI MART FINAL MENU - Pr'!B918="""", """", IF(LEN(IFERROR(TRIM(REGEXREPLACE(TRIM(REGEXEXTRACT('AYIRA MINI MART FINAL MENU - Pr'!B918, ""^[^\x{0600}-\x{06FF}]+"")), ""[-–]+$"", """")), """"))&gt;0, IFERROR(TRIM(REGEXREPLACE(TRIM(REGEXEXTRACT('AYIRA"&amp;" MINI MART FINAL MENU - Pr'!B918, ""^[^\x{0600}-\x{06FF}]+"")), ""[-–]+$"", """")), """"), GOOGLETRANSLATE('AYIRA MINI MART FINAL MENU - Pr'!B918, ""ar"", ""en"")))"),"Candy |")</f>
        <v>Candy |</v>
      </c>
      <c r="C918" s="58">
        <f>IF('AYIRA MINI MART FINAL MENU - Pr'!C918="", "", 'AYIRA MINI MART FINAL MENU - Pr'!C918)</f>
        <v>1</v>
      </c>
      <c r="D918" s="56" t="str">
        <f>IFERROR(__xludf.DUMMYFUNCTION("IF('AYIRA MINI MART FINAL MENU - Pr'!D918="""", """", GOOGLETRANSLATE('AYIRA MINI MART FINAL MENU - Pr'!D918, ""ar"", ""en""))"),"Don't be able to resist the taste of Chupa Chups Sour Belt Mixed Fruit Flavor Soft and Chewy, your perfect companion for relaxing and watching the game. Its unique crunch and varied flavors make every handful a delightful experience. Prepared with the fin"&amp;"est ingredients using the latest manufacturing techniques to ensure an unparalleled taste. Ideal as a snack for adults and children alike between meals. Aira Mini Mart offers it in the perfect size and flavor for you.")</f>
        <v>Don't be able to resist the taste of Chupa Chups Sour Belt Mixed Fruit Flavor Soft and Chewy, your perfect companion for relaxing and watching the game. Its unique crunch and varied flavors make every handful a delightful experience. Prepared with the finest ingredients using the latest manufacturing techniques to ensure an unparalleled taste. Ideal as a snack for adults and children alike between meals. Aira Mini Mart offers it in the perfect size and flavor for you.</v>
      </c>
      <c r="E918" s="56" t="str">
        <f>IF('AYIRA MINI MART FINAL MENU - Pr'!K918="", "", 'AYIRA MINI MART FINAL MENU - Pr'!K918)</f>
        <v/>
      </c>
      <c r="F918" s="56"/>
      <c r="G918" s="56"/>
      <c r="H918" s="56"/>
      <c r="I918" s="56"/>
      <c r="J918" s="56"/>
      <c r="L918" s="56" t="str">
        <f>IF('AYIRA MINI MART FINAL MENU - Pr'!L918="", "", 'AYIRA MINI MART FINAL MENU - Pr'!L918)</f>
        <v/>
      </c>
      <c r="M918" s="56" t="str">
        <f>IF('AYIRA MINI MART FINAL MENU - Pr'!M918="", "", 'AYIRA MINI MART FINAL MENU - Pr'!M918)</f>
        <v/>
      </c>
      <c r="N918" s="56" t="str">
        <f>IF('AYIRA MINI MART FINAL MENU - Pr'!N918="", "", 'AYIRA MINI MART FINAL MENU - Pr'!N918)</f>
        <v/>
      </c>
      <c r="O918" s="57"/>
      <c r="P918" s="57"/>
      <c r="Q918" s="57"/>
      <c r="R918" s="57"/>
      <c r="S918" s="57"/>
      <c r="T918" s="57"/>
      <c r="U918" s="57"/>
      <c r="V918" s="57"/>
      <c r="W918" s="57"/>
      <c r="X918" s="57"/>
      <c r="Y918" s="57"/>
      <c r="Z918" s="57"/>
    </row>
    <row r="919">
      <c r="A919" s="56" t="str">
        <f>IFERROR(__xludf.DUMMYFUNCTION("IF('AYIRA MINI MART FINAL MENU - Pr'!A919="""", """", IF(LEN(IFERROR(TRIM(REGEXREPLACE(TRIM(REGEXEXTRACT('AYIRA MINI MART FINAL MENU - Pr'!A919, ""^[^\x{0600}-\x{06FF}]+"")), ""[-–]+$"", """")), """"))&gt;0, IFERROR(TRIM(REGEXREPLACE(TRIM(REGEXEXTRACT('AYIRA"&amp;" MINI MART FINAL MENU - Pr'!A919, ""^[^\x{0600}-\x{06FF}]+"")), ""[-–]+$"", """")), """"), GOOGLETRANSLATE('AYIRA MINI MART FINAL MENU - Pr'!A919, ""ar"", ""en"")))"),"Milk Flavour Chews Rich and Creamy Gelatin Free")</f>
        <v>Milk Flavour Chews Rich and Creamy Gelatin Free</v>
      </c>
      <c r="B919" s="56" t="str">
        <f>IFERROR(__xludf.DUMMYFUNCTION("IF('AYIRA MINI MART FINAL MENU - Pr'!B919="""", """", IF(LEN(IFERROR(TRIM(REGEXREPLACE(TRIM(REGEXEXTRACT('AYIRA MINI MART FINAL MENU - Pr'!B919, ""^[^\x{0600}-\x{06FF}]+"")), ""[-–]+$"", """")), """"))&gt;0, IFERROR(TRIM(REGEXREPLACE(TRIM(REGEXEXTRACT('AYIRA"&amp;" MINI MART FINAL MENU - Pr'!B919, ""^[^\x{0600}-\x{06FF}]+"")), ""[-–]+$"", """")), """"), GOOGLETRANSLATE('AYIRA MINI MART FINAL MENU - Pr'!B919, ""ar"", ""en"")))"),"Gums |")</f>
        <v>Gums |</v>
      </c>
      <c r="C919" s="58">
        <f>IF('AYIRA MINI MART FINAL MENU - Pr'!C919="", "", 'AYIRA MINI MART FINAL MENU - Pr'!C919)</f>
        <v>1.5</v>
      </c>
      <c r="D919" s="56" t="str">
        <f>IFERROR(__xludf.DUMMYFUNCTION("IF('AYIRA MINI MART FINAL MENU - Pr'!D919="""", """", GOOGLETRANSLATE('AYIRA MINI MART FINAL MENU - Pr'!D919, ""ar"", ""en""))"),"Don't be able to resist the taste of Milk Flavor Chews Rich and Creamy Gelatin Free, your perfect companion for relaxing and watching the game. Their unique crunch and varied flavors make every handful a delightful experience. Prepared with the finest ing"&amp;"redients using the latest manufacturing techniques to ensure an unparalleled taste. Ideal as a snack for adults and children alike between meals. Aira Mini Mart offers them in the perfect size and flavor for you.")</f>
        <v>Don't be able to resist the taste of Milk Flavor Chews Rich and Creamy Gelatin Free, your perfect companion for relaxing and watching the game. Their unique crunch and varied flavors make every handful a delightful experience. Prepared with the finest ingredients using the latest manufacturing techniques to ensure an unparalleled taste. Ideal as a snack for adults and children alike between meals. Aira Mini Mart offers them in the perfect size and flavor for you.</v>
      </c>
      <c r="E919" s="56" t="str">
        <f>IF('AYIRA MINI MART FINAL MENU - Pr'!K919="", "", 'AYIRA MINI MART FINAL MENU - Pr'!K919)</f>
        <v/>
      </c>
      <c r="F919" s="56"/>
      <c r="G919" s="56"/>
      <c r="H919" s="56"/>
      <c r="I919" s="56"/>
      <c r="J919" s="56"/>
      <c r="L919" s="56" t="str">
        <f>IF('AYIRA MINI MART FINAL MENU - Pr'!L919="", "", 'AYIRA MINI MART FINAL MENU - Pr'!L919)</f>
        <v/>
      </c>
      <c r="M919" s="56" t="str">
        <f>IF('AYIRA MINI MART FINAL MENU - Pr'!M919="", "", 'AYIRA MINI MART FINAL MENU - Pr'!M919)</f>
        <v/>
      </c>
      <c r="N919" s="56" t="str">
        <f>IF('AYIRA MINI MART FINAL MENU - Pr'!N919="", "", 'AYIRA MINI MART FINAL MENU - Pr'!N919)</f>
        <v/>
      </c>
      <c r="O919" s="57"/>
      <c r="P919" s="57"/>
      <c r="Q919" s="57"/>
      <c r="R919" s="57"/>
      <c r="S919" s="57"/>
      <c r="T919" s="57"/>
      <c r="U919" s="57"/>
      <c r="V919" s="57"/>
      <c r="W919" s="57"/>
      <c r="X919" s="57"/>
      <c r="Y919" s="57"/>
      <c r="Z919" s="57"/>
    </row>
    <row r="920">
      <c r="A920" s="56" t="str">
        <f>IFERROR(__xludf.DUMMYFUNCTION("IF('AYIRA MINI MART FINAL MENU - Pr'!A920="""", """", IF(LEN(IFERROR(TRIM(REGEXREPLACE(TRIM(REGEXEXTRACT('AYIRA MINI MART FINAL MENU - Pr'!A920, ""^[^\x{0600}-\x{06FF}]+"")), ""[-–]+$"", """")), """"))&gt;0, IFERROR(TRIM(REGEXREPLACE(TRIM(REGEXEXTRACT('AYIRA"&amp;" MINI MART FINAL MENU - Pr'!A920, ""^[^\x{0600}-\x{06FF}]+"")), ""[-–]+$"", """")), """"), GOOGLETRANSLATE('AYIRA MINI MART FINAL MENU - Pr'!A920, ""ar"", ""en"")))"),"Mentos Incredible Chew Soft Candy Green Apple Flavour")</f>
        <v>Mentos Incredible Chew Soft Candy Green Apple Flavour</v>
      </c>
      <c r="B920" s="56" t="str">
        <f>IFERROR(__xludf.DUMMYFUNCTION("IF('AYIRA MINI MART FINAL MENU - Pr'!B920="""", """", IF(LEN(IFERROR(TRIM(REGEXREPLACE(TRIM(REGEXEXTRACT('AYIRA MINI MART FINAL MENU - Pr'!B920, ""^[^\x{0600}-\x{06FF}]+"")), ""[-–]+$"", """")), """"))&gt;0, IFERROR(TRIM(REGEXREPLACE(TRIM(REGEXEXTRACT('AYIRA"&amp;" MINI MART FINAL MENU - Pr'!B920, ""^[^\x{0600}-\x{06FF}]+"")), ""[-–]+$"", """")), """"), GOOGLETRANSLATE('AYIRA MINI MART FINAL MENU - Pr'!B920, ""ar"", ""en"")))"),"Gums |")</f>
        <v>Gums |</v>
      </c>
      <c r="C920" s="58">
        <f>IF('AYIRA MINI MART FINAL MENU - Pr'!C920="", "", 'AYIRA MINI MART FINAL MENU - Pr'!C920)</f>
        <v>3</v>
      </c>
      <c r="D920" s="56" t="str">
        <f>IFERROR(__xludf.DUMMYFUNCTION("IF('AYIRA MINI MART FINAL MENU - Pr'!D920="""", """", GOOGLETRANSLATE('AYIRA MINI MART FINAL MENU - Pr'!D920, ""ar"", ""en""))"),"Add a sweet moment to your day with Mentos, the delicious treat loved by everyone. With its variety of flavors and vibrant colors, it's suitable for all ages. Perfect as a small treat or a light gift for friends and family. Made with high-quality ingredie"&amp;"nts to ensure great taste in every piece. Get yours from Aira Mini Mart and spread the joy to those you love.")</f>
        <v>Add a sweet moment to your day with Mentos, the delicious treat loved by everyone. With its variety of flavors and vibrant colors, it's suitable for all ages. Perfect as a small treat or a light gift for friends and family. Made with high-quality ingredients to ensure great taste in every piece. Get yours from Aira Mini Mart and spread the joy to those you love.</v>
      </c>
      <c r="E920" s="56" t="str">
        <f>IF('AYIRA MINI MART FINAL MENU - Pr'!K920="", "", 'AYIRA MINI MART FINAL MENU - Pr'!K920)</f>
        <v/>
      </c>
      <c r="F920" s="56"/>
      <c r="G920" s="56"/>
      <c r="H920" s="56"/>
      <c r="I920" s="56"/>
      <c r="J920" s="56"/>
      <c r="L920" s="56" t="str">
        <f>IF('AYIRA MINI MART FINAL MENU - Pr'!L920="", "", 'AYIRA MINI MART FINAL MENU - Pr'!L920)</f>
        <v/>
      </c>
      <c r="M920" s="56" t="str">
        <f>IF('AYIRA MINI MART FINAL MENU - Pr'!M920="", "", 'AYIRA MINI MART FINAL MENU - Pr'!M920)</f>
        <v/>
      </c>
      <c r="N920" s="56" t="str">
        <f>IF('AYIRA MINI MART FINAL MENU - Pr'!N920="", "", 'AYIRA MINI MART FINAL MENU - Pr'!N920)</f>
        <v/>
      </c>
      <c r="O920" s="57"/>
      <c r="P920" s="57"/>
      <c r="Q920" s="57"/>
      <c r="R920" s="57"/>
      <c r="S920" s="57"/>
      <c r="T920" s="57"/>
      <c r="U920" s="57"/>
      <c r="V920" s="57"/>
      <c r="W920" s="57"/>
      <c r="X920" s="57"/>
      <c r="Y920" s="57"/>
      <c r="Z920" s="57"/>
    </row>
    <row r="921">
      <c r="A921" s="56" t="str">
        <f>IFERROR(__xludf.DUMMYFUNCTION("IF('AYIRA MINI MART FINAL MENU - Pr'!A921="""", """", IF(LEN(IFERROR(TRIM(REGEXREPLACE(TRIM(REGEXEXTRACT('AYIRA MINI MART FINAL MENU - Pr'!A921, ""^[^\x{0600}-\x{06FF}]+"")), ""[-–]+$"", """")), """"))&gt;0, IFERROR(TRIM(REGEXREPLACE(TRIM(REGEXEXTRACT('AYIRA"&amp;" MINI MART FINAL MENU - Pr'!A921, ""^[^\x{0600}-\x{06FF}]+"")), ""[-–]+$"", """")), """"), GOOGLETRANSLATE('AYIRA MINI MART FINAL MENU - Pr'!A921, ""ar"", ""en"")))"),"Mentos Incredible Chew Soft Candy Grape Flavour")</f>
        <v>Mentos Incredible Chew Soft Candy Grape Flavour</v>
      </c>
      <c r="B921" s="56" t="str">
        <f>IFERROR(__xludf.DUMMYFUNCTION("IF('AYIRA MINI MART FINAL MENU - Pr'!B921="""", """", IF(LEN(IFERROR(TRIM(REGEXREPLACE(TRIM(REGEXEXTRACT('AYIRA MINI MART FINAL MENU - Pr'!B921, ""^[^\x{0600}-\x{06FF}]+"")), ""[-–]+$"", """")), """"))&gt;0, IFERROR(TRIM(REGEXREPLACE(TRIM(REGEXEXTRACT('AYIRA"&amp;" MINI MART FINAL MENU - Pr'!B921, ""^[^\x{0600}-\x{06FF}]+"")), ""[-–]+$"", """")), """"), GOOGLETRANSLATE('AYIRA MINI MART FINAL MENU - Pr'!B921, ""ar"", ""en"")))"),"Gums |")</f>
        <v>Gums |</v>
      </c>
      <c r="C921" s="58">
        <f>IF('AYIRA MINI MART FINAL MENU - Pr'!C921="", "", 'AYIRA MINI MART FINAL MENU - Pr'!C921)</f>
        <v>3</v>
      </c>
      <c r="D921" s="56" t="str">
        <f>IFERROR(__xludf.DUMMYFUNCTION("IF('AYIRA MINI MART FINAL MENU - Pr'!D921="""", """", GOOGLETRANSLATE('AYIRA MINI MART FINAL MENU - Pr'!D921, ""ar"", ""en""))"),"Add a sweet moment to your day with Mentos, the delicious treat loved by everyone. With its variety of flavors and vibrant colors, it's suitable for all ages. Perfect as a small treat or a light gift for friends and family. Made with high-quality ingredie"&amp;"nts to ensure great taste in every piece. Get yours from Aira Mini Mart and spread the joy to those you love.")</f>
        <v>Add a sweet moment to your day with Mentos, the delicious treat loved by everyone. With its variety of flavors and vibrant colors, it's suitable for all ages. Perfect as a small treat or a light gift for friends and family. Made with high-quality ingredients to ensure great taste in every piece. Get yours from Aira Mini Mart and spread the joy to those you love.</v>
      </c>
      <c r="E921" s="56" t="str">
        <f>IF('AYIRA MINI MART FINAL MENU - Pr'!K921="", "", 'AYIRA MINI MART FINAL MENU - Pr'!K921)</f>
        <v/>
      </c>
      <c r="F921" s="56"/>
      <c r="G921" s="56"/>
      <c r="H921" s="56"/>
      <c r="I921" s="56"/>
      <c r="J921" s="56"/>
      <c r="L921" s="56" t="str">
        <f>IF('AYIRA MINI MART FINAL MENU - Pr'!L921="", "", 'AYIRA MINI MART FINAL MENU - Pr'!L921)</f>
        <v/>
      </c>
      <c r="M921" s="56" t="str">
        <f>IF('AYIRA MINI MART FINAL MENU - Pr'!M921="", "", 'AYIRA MINI MART FINAL MENU - Pr'!M921)</f>
        <v/>
      </c>
      <c r="N921" s="56" t="str">
        <f>IF('AYIRA MINI MART FINAL MENU - Pr'!N921="", "", 'AYIRA MINI MART FINAL MENU - Pr'!N921)</f>
        <v/>
      </c>
      <c r="O921" s="57"/>
      <c r="P921" s="57"/>
      <c r="Q921" s="57"/>
      <c r="R921" s="57"/>
      <c r="S921" s="57"/>
      <c r="T921" s="57"/>
      <c r="U921" s="57"/>
      <c r="V921" s="57"/>
      <c r="W921" s="57"/>
      <c r="X921" s="57"/>
      <c r="Y921" s="57"/>
      <c r="Z921" s="57"/>
    </row>
    <row r="922">
      <c r="A922" s="56" t="str">
        <f>IFERROR(__xludf.DUMMYFUNCTION("IF('AYIRA MINI MART FINAL MENU - Pr'!A922="""", """", IF(LEN(IFERROR(TRIM(REGEXREPLACE(TRIM(REGEXEXTRACT('AYIRA MINI MART FINAL MENU - Pr'!A922, ""^[^\x{0600}-\x{06FF}]+"")), ""[-–]+$"", """")), """"))&gt;0, IFERROR(TRIM(REGEXREPLACE(TRIM(REGEXEXTRACT('AYIRA"&amp;" MINI MART FINAL MENU - Pr'!A922, ""^[^\x{0600}-\x{06FF}]+"")), ""[-–]+$"", """")), """"), GOOGLETRANSLATE('AYIRA MINI MART FINAL MENU - Pr'!A922, ""ar"", ""en"")))"),"Mentos Incredible Chew Soft Candy Strawberry Flavour")</f>
        <v>Mentos Incredible Chew Soft Candy Strawberry Flavour</v>
      </c>
      <c r="B922" s="56" t="str">
        <f>IFERROR(__xludf.DUMMYFUNCTION("IF('AYIRA MINI MART FINAL MENU - Pr'!B922="""", """", IF(LEN(IFERROR(TRIM(REGEXREPLACE(TRIM(REGEXEXTRACT('AYIRA MINI MART FINAL MENU - Pr'!B922, ""^[^\x{0600}-\x{06FF}]+"")), ""[-–]+$"", """")), """"))&gt;0, IFERROR(TRIM(REGEXREPLACE(TRIM(REGEXEXTRACT('AYIRA"&amp;" MINI MART FINAL MENU - Pr'!B922, ""^[^\x{0600}-\x{06FF}]+"")), ""[-–]+$"", """")), """"), GOOGLETRANSLATE('AYIRA MINI MART FINAL MENU - Pr'!B922, ""ar"", ""en"")))"),"Gums |")</f>
        <v>Gums |</v>
      </c>
      <c r="C922" s="58">
        <f>IF('AYIRA MINI MART FINAL MENU - Pr'!C922="", "", 'AYIRA MINI MART FINAL MENU - Pr'!C922)</f>
        <v>3</v>
      </c>
      <c r="D922" s="56" t="str">
        <f>IFERROR(__xludf.DUMMYFUNCTION("IF('AYIRA MINI MART FINAL MENU - Pr'!D922="""", """", GOOGLETRANSLATE('AYIRA MINI MART FINAL MENU - Pr'!D922, ""ar"", ""en""))"),"Add a sweet moment to your day with Mentos, the delicious treat loved by everyone. With its variety of flavors and vibrant colors, it's suitable for all ages. Perfect as a small treat or a light gift for friends and family. Made with high-quality ingredie"&amp;"nts to ensure great taste in every piece. Get yours from Aira Mini Mart and spread the joy to those you love.")</f>
        <v>Add a sweet moment to your day with Mentos, the delicious treat loved by everyone. With its variety of flavors and vibrant colors, it's suitable for all ages. Perfect as a small treat or a light gift for friends and family. Made with high-quality ingredients to ensure great taste in every piece. Get yours from Aira Mini Mart and spread the joy to those you love.</v>
      </c>
      <c r="E922" s="56" t="str">
        <f>IF('AYIRA MINI MART FINAL MENU - Pr'!K922="", "", 'AYIRA MINI MART FINAL MENU - Pr'!K922)</f>
        <v/>
      </c>
      <c r="F922" s="56"/>
      <c r="G922" s="56"/>
      <c r="H922" s="56"/>
      <c r="I922" s="56"/>
      <c r="J922" s="56"/>
      <c r="L922" s="56" t="str">
        <f>IF('AYIRA MINI MART FINAL MENU - Pr'!L922="", "", 'AYIRA MINI MART FINAL MENU - Pr'!L922)</f>
        <v/>
      </c>
      <c r="M922" s="56" t="str">
        <f>IF('AYIRA MINI MART FINAL MENU - Pr'!M922="", "", 'AYIRA MINI MART FINAL MENU - Pr'!M922)</f>
        <v/>
      </c>
      <c r="N922" s="56" t="str">
        <f>IF('AYIRA MINI MART FINAL MENU - Pr'!N922="", "", 'AYIRA MINI MART FINAL MENU - Pr'!N922)</f>
        <v/>
      </c>
      <c r="O922" s="57"/>
      <c r="P922" s="57"/>
      <c r="Q922" s="57"/>
      <c r="R922" s="57"/>
      <c r="S922" s="57"/>
      <c r="T922" s="57"/>
      <c r="U922" s="57"/>
      <c r="V922" s="57"/>
      <c r="W922" s="57"/>
      <c r="X922" s="57"/>
      <c r="Y922" s="57"/>
      <c r="Z922" s="57"/>
    </row>
    <row r="923">
      <c r="A923" s="56" t="str">
        <f>IFERROR(__xludf.DUMMYFUNCTION("IF('AYIRA MINI MART FINAL MENU - Pr'!A923="""", """", IF(LEN(IFERROR(TRIM(REGEXREPLACE(TRIM(REGEXEXTRACT('AYIRA MINI MART FINAL MENU - Pr'!A923, ""^[^\x{0600}-\x{06FF}]+"")), ""[-–]+$"", """")), """"))&gt;0, IFERROR(TRIM(REGEXREPLACE(TRIM(REGEXEXTRACT('AYIRA"&amp;" MINI MART FINAL MENU - Pr'!A923, ""^[^\x{0600}-\x{06FF}]+"")), ""[-–]+$"", """")), """"), GOOGLETRANSLATE('AYIRA MINI MART FINAL MENU - Pr'!A923, ""ar"", ""en"")))"),"Red Band Tutti Frutti Fruit Flavoured Candy")</f>
        <v>Red Band Tutti Frutti Fruit Flavoured Candy</v>
      </c>
      <c r="B923" s="56" t="str">
        <f>IFERROR(__xludf.DUMMYFUNCTION("IF('AYIRA MINI MART FINAL MENU - Pr'!B923="""", """", IF(LEN(IFERROR(TRIM(REGEXREPLACE(TRIM(REGEXEXTRACT('AYIRA MINI MART FINAL MENU - Pr'!B923, ""^[^\x{0600}-\x{06FF}]+"")), ""[-–]+$"", """")), """"))&gt;0, IFERROR(TRIM(REGEXREPLACE(TRIM(REGEXEXTRACT('AYIRA"&amp;" MINI MART FINAL MENU - Pr'!B923, ""^[^\x{0600}-\x{06FF}]+"")), ""[-–]+$"", """")), """"), GOOGLETRANSLATE('AYIRA MINI MART FINAL MENU - Pr'!B923, ""ar"", ""en"")))"),"Candy |")</f>
        <v>Candy |</v>
      </c>
      <c r="C923" s="58">
        <f>IF('AYIRA MINI MART FINAL MENU - Pr'!C923="", "", 'AYIRA MINI MART FINAL MENU - Pr'!C923)</f>
        <v>2</v>
      </c>
      <c r="D923" s="56" t="str">
        <f>IFERROR(__xludf.DUMMYFUNCTION("IF('AYIRA MINI MART FINAL MENU - Pr'!D923="""", """", GOOGLETRANSLATE('AYIRA MINI MART FINAL MENU - Pr'!D923, ""ar"", ""en""))"),"Add a sweet touch to your day with Red Band Tutti Frutti Fruit Flavored Candy, a delicious treat loved by everyone. Its variety of flavors and vibrant colors make it suitable for all ages. Perfect as a small treat or a light gift for friends and family. M"&amp;"ade with high-quality ingredients to ensure a great taste in every piece. Get yours from Aira Mini Mart and spread the joy to your loved ones.")</f>
        <v>Add a sweet touch to your day with Red Band Tutti Frutti Fruit Flavored Candy, a delicious treat loved by everyone. Its variety of flavors and vibrant colors make it suitable for all ages. Perfect as a small treat or a light gift for friends and family. Made with high-quality ingredients to ensure a great taste in every piece. Get yours from Aira Mini Mart and spread the joy to your loved ones.</v>
      </c>
      <c r="E923" s="56" t="str">
        <f>IF('AYIRA MINI MART FINAL MENU - Pr'!K923="", "", 'AYIRA MINI MART FINAL MENU - Pr'!K923)</f>
        <v/>
      </c>
      <c r="F923" s="56"/>
      <c r="G923" s="56"/>
      <c r="H923" s="56"/>
      <c r="I923" s="56"/>
      <c r="J923" s="56"/>
      <c r="L923" s="56" t="str">
        <f>IF('AYIRA MINI MART FINAL MENU - Pr'!L923="", "", 'AYIRA MINI MART FINAL MENU - Pr'!L923)</f>
        <v/>
      </c>
      <c r="M923" s="56" t="str">
        <f>IF('AYIRA MINI MART FINAL MENU - Pr'!M923="", "", 'AYIRA MINI MART FINAL MENU - Pr'!M923)</f>
        <v/>
      </c>
      <c r="N923" s="56" t="str">
        <f>IF('AYIRA MINI MART FINAL MENU - Pr'!N923="", "", 'AYIRA MINI MART FINAL MENU - Pr'!N923)</f>
        <v/>
      </c>
      <c r="O923" s="57"/>
      <c r="P923" s="57"/>
      <c r="Q923" s="57"/>
      <c r="R923" s="57"/>
      <c r="S923" s="57"/>
      <c r="T923" s="57"/>
      <c r="U923" s="57"/>
      <c r="V923" s="57"/>
      <c r="W923" s="57"/>
      <c r="X923" s="57"/>
      <c r="Y923" s="57"/>
      <c r="Z923" s="57"/>
    </row>
    <row r="924">
      <c r="A924" s="56" t="str">
        <f>IFERROR(__xludf.DUMMYFUNCTION("IF('AYIRA MINI MART FINAL MENU - Pr'!A924="""", """", IF(LEN(IFERROR(TRIM(REGEXREPLACE(TRIM(REGEXEXTRACT('AYIRA MINI MART FINAL MENU - Pr'!A924, ""^[^\x{0600}-\x{06FF}]+"")), ""[-–]+$"", """")), """"))&gt;0, IFERROR(TRIM(REGEXREPLACE(TRIM(REGEXEXTRACT('AYIRA"&amp;" MINI MART FINAL MENU - Pr'!A924, ""^[^\x{0600}-\x{06FF}]+"")), ""[-–]+$"", """")), """"), GOOGLETRANSLATE('AYIRA MINI MART FINAL MENU - Pr'!A924, ""ar"", ""en"")))"),"Mentos White Sugar Free Chewing Gum Strawberry Flavour 72 Pieces")</f>
        <v>Mentos White Sugar Free Chewing Gum Strawberry Flavour 72 Pieces</v>
      </c>
      <c r="B924" s="56" t="str">
        <f>IFERROR(__xludf.DUMMYFUNCTION("IF('AYIRA MINI MART FINAL MENU - Pr'!B924="""", """", IF(LEN(IFERROR(TRIM(REGEXREPLACE(TRIM(REGEXEXTRACT('AYIRA MINI MART FINAL MENU - Pr'!B924, ""^[^\x{0600}-\x{06FF}]+"")), ""[-–]+$"", """")), """"))&gt;0, IFERROR(TRIM(REGEXREPLACE(TRIM(REGEXEXTRACT('AYIRA"&amp;" MINI MART FINAL MENU - Pr'!B924, ""^[^\x{0600}-\x{06FF}]+"")), ""[-–]+$"", """")), """"), GOOGLETRANSLATE('AYIRA MINI MART FINAL MENU - Pr'!B924, ""ar"", ""en"")))"),"Gums |")</f>
        <v>Gums |</v>
      </c>
      <c r="C924" s="58">
        <f>IF('AYIRA MINI MART FINAL MENU - Pr'!C924="", "", 'AYIRA MINI MART FINAL MENU - Pr'!C924)</f>
        <v>14</v>
      </c>
      <c r="D924" s="56" t="str">
        <f>IFERROR(__xludf.DUMMYFUNCTION("IF('AYIRA MINI MART FINAL MENU - Pr'!D924="""", """", GOOGLETRANSLATE('AYIRA MINI MART FINAL MENU - Pr'!D924,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24" s="56" t="str">
        <f>IF('AYIRA MINI MART FINAL MENU - Pr'!K924="", "", 'AYIRA MINI MART FINAL MENU - Pr'!K924)</f>
        <v/>
      </c>
      <c r="F924" s="56"/>
      <c r="G924" s="56"/>
      <c r="H924" s="56"/>
      <c r="I924" s="56"/>
      <c r="J924" s="56"/>
      <c r="L924" s="56" t="str">
        <f>IF('AYIRA MINI MART FINAL MENU - Pr'!L924="", "", 'AYIRA MINI MART FINAL MENU - Pr'!L924)</f>
        <v/>
      </c>
      <c r="M924" s="56" t="str">
        <f>IF('AYIRA MINI MART FINAL MENU - Pr'!M924="", "", 'AYIRA MINI MART FINAL MENU - Pr'!M924)</f>
        <v/>
      </c>
      <c r="N924" s="56" t="str">
        <f>IF('AYIRA MINI MART FINAL MENU - Pr'!N924="", "", 'AYIRA MINI MART FINAL MENU - Pr'!N924)</f>
        <v/>
      </c>
      <c r="O924" s="57"/>
      <c r="P924" s="57"/>
      <c r="Q924" s="57"/>
      <c r="R924" s="57"/>
      <c r="S924" s="57"/>
      <c r="T924" s="57"/>
      <c r="U924" s="57"/>
      <c r="V924" s="57"/>
      <c r="W924" s="57"/>
      <c r="X924" s="57"/>
      <c r="Y924" s="57"/>
      <c r="Z924" s="57"/>
    </row>
    <row r="925">
      <c r="A925" s="56" t="str">
        <f>IFERROR(__xludf.DUMMYFUNCTION("IF('AYIRA MINI MART FINAL MENU - Pr'!A925="""", """", IF(LEN(IFERROR(TRIM(REGEXREPLACE(TRIM(REGEXEXTRACT('AYIRA MINI MART FINAL MENU - Pr'!A925, ""^[^\x{0600}-\x{06FF}]+"")), ""[-–]+$"", """")), """"))&gt;0, IFERROR(TRIM(REGEXREPLACE(TRIM(REGEXEXTRACT('AYIRA"&amp;" MINI MART FINAL MENU - Pr'!A925, ""^[^\x{0600}-\x{06FF}]+"")), ""[-–]+$"", """")), """"), GOOGLETRANSLATE('AYIRA MINI MART FINAL MENU - Pr'!A925, ""ar"", ""en"")))"),"Mentos White Sugar Free Chewing Gum Spearmint Flavour 72 Pieces")</f>
        <v>Mentos White Sugar Free Chewing Gum Spearmint Flavour 72 Pieces</v>
      </c>
      <c r="B925" s="56" t="str">
        <f>IFERROR(__xludf.DUMMYFUNCTION("IF('AYIRA MINI MART FINAL MENU - Pr'!B925="""", """", IF(LEN(IFERROR(TRIM(REGEXREPLACE(TRIM(REGEXEXTRACT('AYIRA MINI MART FINAL MENU - Pr'!B925, ""^[^\x{0600}-\x{06FF}]+"")), ""[-–]+$"", """")), """"))&gt;0, IFERROR(TRIM(REGEXREPLACE(TRIM(REGEXEXTRACT('AYIRA"&amp;" MINI MART FINAL MENU - Pr'!B925, ""^[^\x{0600}-\x{06FF}]+"")), ""[-–]+$"", """")), """"), GOOGLETRANSLATE('AYIRA MINI MART FINAL MENU - Pr'!B925, ""ar"", ""en"")))"),"Gums |")</f>
        <v>Gums |</v>
      </c>
      <c r="C925" s="58">
        <f>IF('AYIRA MINI MART FINAL MENU - Pr'!C925="", "", 'AYIRA MINI MART FINAL MENU - Pr'!C925)</f>
        <v>14</v>
      </c>
      <c r="D925" s="56" t="str">
        <f>IFERROR(__xludf.DUMMYFUNCTION("IF('AYIRA MINI MART FINAL MENU - Pr'!D925="""", """", GOOGLETRANSLATE('AYIRA MINI MART FINAL MENU - Pr'!D925,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25" s="56" t="str">
        <f>IF('AYIRA MINI MART FINAL MENU - Pr'!K925="", "", 'AYIRA MINI MART FINAL MENU - Pr'!K925)</f>
        <v/>
      </c>
      <c r="F925" s="56"/>
      <c r="G925" s="56"/>
      <c r="H925" s="56"/>
      <c r="I925" s="56"/>
      <c r="J925" s="56"/>
      <c r="L925" s="56" t="str">
        <f>IF('AYIRA MINI MART FINAL MENU - Pr'!L925="", "", 'AYIRA MINI MART FINAL MENU - Pr'!L925)</f>
        <v/>
      </c>
      <c r="M925" s="56" t="str">
        <f>IF('AYIRA MINI MART FINAL MENU - Pr'!M925="", "", 'AYIRA MINI MART FINAL MENU - Pr'!M925)</f>
        <v/>
      </c>
      <c r="N925" s="56" t="str">
        <f>IF('AYIRA MINI MART FINAL MENU - Pr'!N925="", "", 'AYIRA MINI MART FINAL MENU - Pr'!N925)</f>
        <v/>
      </c>
      <c r="O925" s="57"/>
      <c r="P925" s="57"/>
      <c r="Q925" s="57"/>
      <c r="R925" s="57"/>
      <c r="S925" s="57"/>
      <c r="T925" s="57"/>
      <c r="U925" s="57"/>
      <c r="V925" s="57"/>
      <c r="W925" s="57"/>
      <c r="X925" s="57"/>
      <c r="Y925" s="57"/>
      <c r="Z925" s="57"/>
    </row>
    <row r="926">
      <c r="A926" s="56" t="str">
        <f>IFERROR(__xludf.DUMMYFUNCTION("IF('AYIRA MINI MART FINAL MENU - Pr'!A926="""", """", IF(LEN(IFERROR(TRIM(REGEXREPLACE(TRIM(REGEXEXTRACT('AYIRA MINI MART FINAL MENU - Pr'!A926, ""^[^\x{0600}-\x{06FF}]+"")), ""[-–]+$"", """")), """"))&gt;0, IFERROR(TRIM(REGEXREPLACE(TRIM(REGEXEXTRACT('AYIRA"&amp;" MINI MART FINAL MENU - Pr'!A926, ""^[^\x{0600}-\x{06FF}]+"")), ""[-–]+$"", """")), """"), GOOGLETRANSLATE('AYIRA MINI MART FINAL MENU - Pr'!A926, ""ar"", ""en"")))"),"Mentos White Sugar Free Chewing Gum Sweet Mint Flavour 38 Pieces")</f>
        <v>Mentos White Sugar Free Chewing Gum Sweet Mint Flavour 38 Pieces</v>
      </c>
      <c r="B926" s="56" t="str">
        <f>IFERROR(__xludf.DUMMYFUNCTION("IF('AYIRA MINI MART FINAL MENU - Pr'!B926="""", """", IF(LEN(IFERROR(TRIM(REGEXREPLACE(TRIM(REGEXEXTRACT('AYIRA MINI MART FINAL MENU - Pr'!B926, ""^[^\x{0600}-\x{06FF}]+"")), ""[-–]+$"", """")), """"))&gt;0, IFERROR(TRIM(REGEXREPLACE(TRIM(REGEXEXTRACT('AYIRA"&amp;" MINI MART FINAL MENU - Pr'!B926, ""^[^\x{0600}-\x{06FF}]+"")), ""[-–]+$"", """")), """"), GOOGLETRANSLATE('AYIRA MINI MART FINAL MENU - Pr'!B926, ""ar"", ""en"")))"),"Gums |")</f>
        <v>Gums |</v>
      </c>
      <c r="C926" s="58">
        <f>IF('AYIRA MINI MART FINAL MENU - Pr'!C926="", "", 'AYIRA MINI MART FINAL MENU - Pr'!C926)</f>
        <v>7.5</v>
      </c>
      <c r="D926" s="56" t="str">
        <f>IFERROR(__xludf.DUMMYFUNCTION("IF('AYIRA MINI MART FINAL MENU - Pr'!D926="""", """", GOOGLETRANSLATE('AYIRA MINI MART FINAL MENU - Pr'!D926,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26" s="56" t="str">
        <f>IF('AYIRA MINI MART FINAL MENU - Pr'!K926="", "", 'AYIRA MINI MART FINAL MENU - Pr'!K926)</f>
        <v/>
      </c>
      <c r="F926" s="56"/>
      <c r="G926" s="56"/>
      <c r="H926" s="56"/>
      <c r="I926" s="56"/>
      <c r="J926" s="56"/>
      <c r="L926" s="56" t="str">
        <f>IF('AYIRA MINI MART FINAL MENU - Pr'!L926="", "", 'AYIRA MINI MART FINAL MENU - Pr'!L926)</f>
        <v/>
      </c>
      <c r="M926" s="56" t="str">
        <f>IF('AYIRA MINI MART FINAL MENU - Pr'!M926="", "", 'AYIRA MINI MART FINAL MENU - Pr'!M926)</f>
        <v/>
      </c>
      <c r="N926" s="56" t="str">
        <f>IF('AYIRA MINI MART FINAL MENU - Pr'!N926="", "", 'AYIRA MINI MART FINAL MENU - Pr'!N926)</f>
        <v/>
      </c>
      <c r="O926" s="57"/>
      <c r="P926" s="57"/>
      <c r="Q926" s="57"/>
      <c r="R926" s="57"/>
      <c r="S926" s="57"/>
      <c r="T926" s="57"/>
      <c r="U926" s="57"/>
      <c r="V926" s="57"/>
      <c r="W926" s="57"/>
      <c r="X926" s="57"/>
      <c r="Y926" s="57"/>
      <c r="Z926" s="57"/>
    </row>
    <row r="927">
      <c r="A927" s="56" t="str">
        <f>IFERROR(__xludf.DUMMYFUNCTION("IF('AYIRA MINI MART FINAL MENU - Pr'!A927="""", """", IF(LEN(IFERROR(TRIM(REGEXREPLACE(TRIM(REGEXEXTRACT('AYIRA MINI MART FINAL MENU - Pr'!A927, ""^[^\x{0600}-\x{06FF}]+"")), ""[-–]+$"", """")), """"))&gt;0, IFERROR(TRIM(REGEXREPLACE(TRIM(REGEXEXTRACT('AYIRA"&amp;" MINI MART FINAL MENU - Pr'!A927, ""^[^\x{0600}-\x{06FF}]+"")), ""[-–]+$"", """")), """"), GOOGLETRANSLATE('AYIRA MINI MART FINAL MENU - Pr'!A927, ""ar"", ""en"")))"),"Mentos White Sugar Free Chewing Gum Tutti Frutti Flavour 38 Pieces")</f>
        <v>Mentos White Sugar Free Chewing Gum Tutti Frutti Flavour 38 Pieces</v>
      </c>
      <c r="B927" s="56" t="str">
        <f>IFERROR(__xludf.DUMMYFUNCTION("IF('AYIRA MINI MART FINAL MENU - Pr'!B927="""", """", IF(LEN(IFERROR(TRIM(REGEXREPLACE(TRIM(REGEXEXTRACT('AYIRA MINI MART FINAL MENU - Pr'!B927, ""^[^\x{0600}-\x{06FF}]+"")), ""[-–]+$"", """")), """"))&gt;0, IFERROR(TRIM(REGEXREPLACE(TRIM(REGEXEXTRACT('AYIRA"&amp;" MINI MART FINAL MENU - Pr'!B927, ""^[^\x{0600}-\x{06FF}]+"")), ""[-–]+$"", """")), """"), GOOGLETRANSLATE('AYIRA MINI MART FINAL MENU - Pr'!B927, ""ar"", ""en"")))"),"Gums |")</f>
        <v>Gums |</v>
      </c>
      <c r="C927" s="58">
        <f>IF('AYIRA MINI MART FINAL MENU - Pr'!C927="", "", 'AYIRA MINI MART FINAL MENU - Pr'!C927)</f>
        <v>7.5</v>
      </c>
      <c r="D927" s="56" t="str">
        <f>IFERROR(__xludf.DUMMYFUNCTION("IF('AYIRA MINI MART FINAL MENU - Pr'!D927="""", """", GOOGLETRANSLATE('AYIRA MINI MART FINAL MENU - Pr'!D927,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27" s="56" t="str">
        <f>IF('AYIRA MINI MART FINAL MENU - Pr'!K927="", "", 'AYIRA MINI MART FINAL MENU - Pr'!K927)</f>
        <v/>
      </c>
      <c r="F927" s="56"/>
      <c r="G927" s="56"/>
      <c r="H927" s="56"/>
      <c r="I927" s="56"/>
      <c r="J927" s="56"/>
      <c r="L927" s="56" t="str">
        <f>IF('AYIRA MINI MART FINAL MENU - Pr'!L927="", "", 'AYIRA MINI MART FINAL MENU - Pr'!L927)</f>
        <v/>
      </c>
      <c r="M927" s="56" t="str">
        <f>IF('AYIRA MINI MART FINAL MENU - Pr'!M927="", "", 'AYIRA MINI MART FINAL MENU - Pr'!M927)</f>
        <v/>
      </c>
      <c r="N927" s="56" t="str">
        <f>IF('AYIRA MINI MART FINAL MENU - Pr'!N927="", "", 'AYIRA MINI MART FINAL MENU - Pr'!N927)</f>
        <v/>
      </c>
      <c r="O927" s="57"/>
      <c r="P927" s="57"/>
      <c r="Q927" s="57"/>
      <c r="R927" s="57"/>
      <c r="S927" s="57"/>
      <c r="T927" s="57"/>
      <c r="U927" s="57"/>
      <c r="V927" s="57"/>
      <c r="W927" s="57"/>
      <c r="X927" s="57"/>
      <c r="Y927" s="57"/>
      <c r="Z927" s="57"/>
    </row>
    <row r="928">
      <c r="A928" s="56" t="str">
        <f>IFERROR(__xludf.DUMMYFUNCTION("IF('AYIRA MINI MART FINAL MENU - Pr'!A928="""", """", IF(LEN(IFERROR(TRIM(REGEXREPLACE(TRIM(REGEXEXTRACT('AYIRA MINI MART FINAL MENU - Pr'!A928, ""^[^\x{0600}-\x{06FF}]+"")), ""[-–]+$"", """")), """"))&gt;0, IFERROR(TRIM(REGEXREPLACE(TRIM(REGEXEXTRACT('AYIRA"&amp;" MINI MART FINAL MENU - Pr'!A928, ""^[^\x{0600}-\x{06FF}]+"")), ""[-–]+$"", """")), """"), GOOGLETRANSLATE('AYIRA MINI MART FINAL MENU - Pr'!A928, ""ar"", ""en"")))"),"Mentos White Sugar Free Chewing Gum Peppermint Flavour 38 Pieces")</f>
        <v>Mentos White Sugar Free Chewing Gum Peppermint Flavour 38 Pieces</v>
      </c>
      <c r="B928" s="56" t="str">
        <f>IFERROR(__xludf.DUMMYFUNCTION("IF('AYIRA MINI MART FINAL MENU - Pr'!B928="""", """", IF(LEN(IFERROR(TRIM(REGEXREPLACE(TRIM(REGEXEXTRACT('AYIRA MINI MART FINAL MENU - Pr'!B928, ""^[^\x{0600}-\x{06FF}]+"")), ""[-–]+$"", """")), """"))&gt;0, IFERROR(TRIM(REGEXREPLACE(TRIM(REGEXEXTRACT('AYIRA"&amp;" MINI MART FINAL MENU - Pr'!B928, ""^[^\x{0600}-\x{06FF}]+"")), ""[-–]+$"", """")), """"), GOOGLETRANSLATE('AYIRA MINI MART FINAL MENU - Pr'!B928, ""ar"", ""en"")))"),"Gums |")</f>
        <v>Gums |</v>
      </c>
      <c r="C928" s="58">
        <f>IF('AYIRA MINI MART FINAL MENU - Pr'!C928="", "", 'AYIRA MINI MART FINAL MENU - Pr'!C928)</f>
        <v>7.5</v>
      </c>
      <c r="D928" s="56" t="str">
        <f>IFERROR(__xludf.DUMMYFUNCTION("IF('AYIRA MINI MART FINAL MENU - Pr'!D928="""", """", GOOGLETRANSLATE('AYIRA MINI MART FINAL MENU - Pr'!D928,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28" s="56" t="str">
        <f>IF('AYIRA MINI MART FINAL MENU - Pr'!K928="", "", 'AYIRA MINI MART FINAL MENU - Pr'!K928)</f>
        <v/>
      </c>
      <c r="F928" s="56"/>
      <c r="G928" s="56"/>
      <c r="H928" s="56"/>
      <c r="I928" s="56"/>
      <c r="J928" s="56"/>
      <c r="L928" s="56" t="str">
        <f>IF('AYIRA MINI MART FINAL MENU - Pr'!L928="", "", 'AYIRA MINI MART FINAL MENU - Pr'!L928)</f>
        <v/>
      </c>
      <c r="M928" s="56" t="str">
        <f>IF('AYIRA MINI MART FINAL MENU - Pr'!M928="", "", 'AYIRA MINI MART FINAL MENU - Pr'!M928)</f>
        <v/>
      </c>
      <c r="N928" s="56" t="str">
        <f>IF('AYIRA MINI MART FINAL MENU - Pr'!N928="", "", 'AYIRA MINI MART FINAL MENU - Pr'!N928)</f>
        <v/>
      </c>
      <c r="O928" s="57"/>
      <c r="P928" s="57"/>
      <c r="Q928" s="57"/>
      <c r="R928" s="57"/>
      <c r="S928" s="57"/>
      <c r="T928" s="57"/>
      <c r="U928" s="57"/>
      <c r="V928" s="57"/>
      <c r="W928" s="57"/>
      <c r="X928" s="57"/>
      <c r="Y928" s="57"/>
      <c r="Z928" s="57"/>
    </row>
    <row r="929">
      <c r="A929" s="56" t="str">
        <f>IFERROR(__xludf.DUMMYFUNCTION("IF('AYIRA MINI MART FINAL MENU - Pr'!A929="""", """", IF(LEN(IFERROR(TRIM(REGEXREPLACE(TRIM(REGEXEXTRACT('AYIRA MINI MART FINAL MENU - Pr'!A929, ""^[^\x{0600}-\x{06FF}]+"")), ""[-–]+$"", """")), """"))&gt;0, IFERROR(TRIM(REGEXREPLACE(TRIM(REGEXEXTRACT('AYIRA"&amp;" MINI MART FINAL MENU - Pr'!A929, ""^[^\x{0600}-\x{06FF}]+"")), ""[-–]+$"", """")), """"), GOOGLETRANSLATE('AYIRA MINI MART FINAL MENU - Pr'!A929, ""ar"", ""en"")))"),"Mentos Fresh Dive Soft Gum Tidal Grape Flavour 44 Pieces")</f>
        <v>Mentos Fresh Dive Soft Gum Tidal Grape Flavour 44 Pieces</v>
      </c>
      <c r="B929" s="56" t="str">
        <f>IFERROR(__xludf.DUMMYFUNCTION("IF('AYIRA MINI MART FINAL MENU - Pr'!B929="""", """", IF(LEN(IFERROR(TRIM(REGEXREPLACE(TRIM(REGEXEXTRACT('AYIRA MINI MART FINAL MENU - Pr'!B929, ""^[^\x{0600}-\x{06FF}]+"")), ""[-–]+$"", """")), """"))&gt;0, IFERROR(TRIM(REGEXREPLACE(TRIM(REGEXEXTRACT('AYIRA"&amp;" MINI MART FINAL MENU - Pr'!B929, ""^[^\x{0600}-\x{06FF}]+"")), ""[-–]+$"", """")), """"), GOOGLETRANSLATE('AYIRA MINI MART FINAL MENU - Pr'!B929, ""ar"", ""en"")))"),"Gums |")</f>
        <v>Gums |</v>
      </c>
      <c r="C929" s="58">
        <f>IF('AYIRA MINI MART FINAL MENU - Pr'!C929="", "", 'AYIRA MINI MART FINAL MENU - Pr'!C929)</f>
        <v>19</v>
      </c>
      <c r="D929" s="56" t="str">
        <f>IFERROR(__xludf.DUMMYFUNCTION("IF('AYIRA MINI MART FINAL MENU - Pr'!D929="""", """", GOOGLETRANSLATE('AYIRA MINI MART FINAL MENU - Pr'!D929,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29" s="56" t="str">
        <f>IF('AYIRA MINI MART FINAL MENU - Pr'!K929="", "", 'AYIRA MINI MART FINAL MENU - Pr'!K929)</f>
        <v/>
      </c>
      <c r="F929" s="56"/>
      <c r="G929" s="56"/>
      <c r="H929" s="56"/>
      <c r="I929" s="56"/>
      <c r="J929" s="56"/>
      <c r="L929" s="56" t="str">
        <f>IF('AYIRA MINI MART FINAL MENU - Pr'!L929="", "", 'AYIRA MINI MART FINAL MENU - Pr'!L929)</f>
        <v/>
      </c>
      <c r="M929" s="56" t="str">
        <f>IF('AYIRA MINI MART FINAL MENU - Pr'!M929="", "", 'AYIRA MINI MART FINAL MENU - Pr'!M929)</f>
        <v/>
      </c>
      <c r="N929" s="56" t="str">
        <f>IF('AYIRA MINI MART FINAL MENU - Pr'!N929="", "", 'AYIRA MINI MART FINAL MENU - Pr'!N929)</f>
        <v/>
      </c>
      <c r="O929" s="57"/>
      <c r="P929" s="57"/>
      <c r="Q929" s="57"/>
      <c r="R929" s="57"/>
      <c r="S929" s="57"/>
      <c r="T929" s="57"/>
      <c r="U929" s="57"/>
      <c r="V929" s="57"/>
      <c r="W929" s="57"/>
      <c r="X929" s="57"/>
      <c r="Y929" s="57"/>
      <c r="Z929" s="57"/>
    </row>
    <row r="930">
      <c r="A930" s="56" t="str">
        <f>IFERROR(__xludf.DUMMYFUNCTION("IF('AYIRA MINI MART FINAL MENU - Pr'!A930="""", """", IF(LEN(IFERROR(TRIM(REGEXREPLACE(TRIM(REGEXEXTRACT('AYIRA MINI MART FINAL MENU - Pr'!A930, ""^[^\x{0600}-\x{06FF}]+"")), ""[-–]+$"", """")), """"))&gt;0, IFERROR(TRIM(REGEXREPLACE(TRIM(REGEXEXTRACT('AYIRA"&amp;" MINI MART FINAL MENU - Pr'!A930, ""^[^\x{0600}-\x{06FF}]+"")), ""[-–]+$"", """")), """"), GOOGLETRANSLATE('AYIRA MINI MART FINAL MENU - Pr'!A930, ""ar"", ""en"")))"),"Mentos Fresh Dive Soft Gum Cool Peppermint Flavour (44 Pieces)")</f>
        <v>Mentos Fresh Dive Soft Gum Cool Peppermint Flavour (44 Pieces)</v>
      </c>
      <c r="B930" s="56" t="str">
        <f>IFERROR(__xludf.DUMMYFUNCTION("IF('AYIRA MINI MART FINAL MENU - Pr'!B930="""", """", IF(LEN(IFERROR(TRIM(REGEXREPLACE(TRIM(REGEXEXTRACT('AYIRA MINI MART FINAL MENU - Pr'!B930, ""^[^\x{0600}-\x{06FF}]+"")), ""[-–]+$"", """")), """"))&gt;0, IFERROR(TRIM(REGEXREPLACE(TRIM(REGEXEXTRACT('AYIRA"&amp;" MINI MART FINAL MENU - Pr'!B930, ""^[^\x{0600}-\x{06FF}]+"")), ""[-–]+$"", """")), """"), GOOGLETRANSLATE('AYIRA MINI MART FINAL MENU - Pr'!B930, ""ar"", ""en"")))"),"Gums |")</f>
        <v>Gums |</v>
      </c>
      <c r="C930" s="58">
        <f>IF('AYIRA MINI MART FINAL MENU - Pr'!C930="", "", 'AYIRA MINI MART FINAL MENU - Pr'!C930)</f>
        <v>19</v>
      </c>
      <c r="D930" s="56" t="str">
        <f>IFERROR(__xludf.DUMMYFUNCTION("IF('AYIRA MINI MART FINAL MENU - Pr'!D930="""", """", GOOGLETRANSLATE('AYIRA MINI MART FINAL MENU - Pr'!D930,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30" s="56" t="str">
        <f>IF('AYIRA MINI MART FINAL MENU - Pr'!K930="", "", 'AYIRA MINI MART FINAL MENU - Pr'!K930)</f>
        <v/>
      </c>
      <c r="F930" s="56"/>
      <c r="G930" s="56"/>
      <c r="H930" s="56"/>
      <c r="I930" s="56"/>
      <c r="J930" s="56"/>
      <c r="L930" s="56" t="str">
        <f>IF('AYIRA MINI MART FINAL MENU - Pr'!L930="", "", 'AYIRA MINI MART FINAL MENU - Pr'!L930)</f>
        <v/>
      </c>
      <c r="M930" s="56" t="str">
        <f>IF('AYIRA MINI MART FINAL MENU - Pr'!M930="", "", 'AYIRA MINI MART FINAL MENU - Pr'!M930)</f>
        <v/>
      </c>
      <c r="N930" s="56" t="str">
        <f>IF('AYIRA MINI MART FINAL MENU - Pr'!N930="", "", 'AYIRA MINI MART FINAL MENU - Pr'!N930)</f>
        <v/>
      </c>
      <c r="O930" s="57"/>
      <c r="P930" s="57"/>
      <c r="Q930" s="57"/>
      <c r="R930" s="57"/>
      <c r="S930" s="57"/>
      <c r="T930" s="57"/>
      <c r="U930" s="57"/>
      <c r="V930" s="57"/>
      <c r="W930" s="57"/>
      <c r="X930" s="57"/>
      <c r="Y930" s="57"/>
      <c r="Z930" s="57"/>
    </row>
    <row r="931">
      <c r="A931" s="56" t="str">
        <f>IFERROR(__xludf.DUMMYFUNCTION("IF('AYIRA MINI MART FINAL MENU - Pr'!A931="""", """", IF(LEN(IFERROR(TRIM(REGEXREPLACE(TRIM(REGEXEXTRACT('AYIRA MINI MART FINAL MENU - Pr'!A931, ""^[^\x{0600}-\x{06FF}]+"")), ""[-–]+$"", """")), """"))&gt;0, IFERROR(TRIM(REGEXREPLACE(TRIM(REGEXEXTRACT('AYIRA"&amp;" MINI MART FINAL MENU - Pr'!A931, ""^[^\x{0600}-\x{06FF}]+"")), ""[-–]+$"", """")), """"), GOOGLETRANSLATE('AYIRA MINI MART FINAL MENU - Pr'!A931, ""ar"", ""en"")))"),"Mentos Bubble Gum")</f>
        <v>Mentos Bubble Gum</v>
      </c>
      <c r="B931" s="56" t="str">
        <f>IFERROR(__xludf.DUMMYFUNCTION("IF('AYIRA MINI MART FINAL MENU - Pr'!B931="""", """", IF(LEN(IFERROR(TRIM(REGEXREPLACE(TRIM(REGEXEXTRACT('AYIRA MINI MART FINAL MENU - Pr'!B931, ""^[^\x{0600}-\x{06FF}]+"")), ""[-–]+$"", """")), """"))&gt;0, IFERROR(TRIM(REGEXREPLACE(TRIM(REGEXEXTRACT('AYIRA"&amp;" MINI MART FINAL MENU - Pr'!B931, ""^[^\x{0600}-\x{06FF}]+"")), ""[-–]+$"", """")), """"), GOOGLETRANSLATE('AYIRA MINI MART FINAL MENU - Pr'!B931, ""ar"", ""en"")))"),"Gums |")</f>
        <v>Gums |</v>
      </c>
      <c r="C931" s="58">
        <f>IF('AYIRA MINI MART FINAL MENU - Pr'!C931="", "", 'AYIRA MINI MART FINAL MENU - Pr'!C931)</f>
        <v>11.5</v>
      </c>
      <c r="D931" s="56" t="str">
        <f>IFERROR(__xludf.DUMMYFUNCTION("IF('AYIRA MINI MART FINAL MENU - Pr'!D931="""", """", GOOGLETRANSLATE('AYIRA MINI MART FINAL MENU - Pr'!D931,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31" s="56" t="str">
        <f>IF('AYIRA MINI MART FINAL MENU - Pr'!K931="", "", 'AYIRA MINI MART FINAL MENU - Pr'!K931)</f>
        <v/>
      </c>
      <c r="F931" s="56"/>
      <c r="G931" s="56"/>
      <c r="H931" s="56"/>
      <c r="I931" s="56"/>
      <c r="J931" s="56"/>
      <c r="L931" s="56" t="str">
        <f>IF('AYIRA MINI MART FINAL MENU - Pr'!L931="", "", 'AYIRA MINI MART FINAL MENU - Pr'!L931)</f>
        <v/>
      </c>
      <c r="M931" s="56" t="str">
        <f>IF('AYIRA MINI MART FINAL MENU - Pr'!M931="", "", 'AYIRA MINI MART FINAL MENU - Pr'!M931)</f>
        <v/>
      </c>
      <c r="N931" s="56" t="str">
        <f>IF('AYIRA MINI MART FINAL MENU - Pr'!N931="", "", 'AYIRA MINI MART FINAL MENU - Pr'!N931)</f>
        <v/>
      </c>
      <c r="O931" s="57"/>
      <c r="P931" s="57"/>
      <c r="Q931" s="57"/>
      <c r="R931" s="57"/>
      <c r="S931" s="57"/>
      <c r="T931" s="57"/>
      <c r="U931" s="57"/>
      <c r="V931" s="57"/>
      <c r="W931" s="57"/>
      <c r="X931" s="57"/>
      <c r="Y931" s="57"/>
      <c r="Z931" s="57"/>
    </row>
    <row r="932">
      <c r="A932" s="56" t="str">
        <f>IFERROR(__xludf.DUMMYFUNCTION("IF('AYIRA MINI MART FINAL MENU - Pr'!A932="""", """", IF(LEN(IFERROR(TRIM(REGEXREPLACE(TRIM(REGEXEXTRACT('AYIRA MINI MART FINAL MENU - Pr'!A932, ""^[^\x{0600}-\x{06FF}]+"")), ""[-–]+$"", """")), """"))&gt;0, IFERROR(TRIM(REGEXREPLACE(TRIM(REGEXEXTRACT('AYIRA"&amp;" MINI MART FINAL MENU - Pr'!A932, ""^[^\x{0600}-\x{06FF}]+"")), ""[-–]+$"", """")), """"), GOOGLETRANSLATE('AYIRA MINI MART FINAL MENU - Pr'!A932, ""ar"", ""en"")))"),"Chupa Chups Pinkis Soft &amp; Chewy Strawberry Flavour Gummy Candy 106 g")</f>
        <v>Chupa Chups Pinkis Soft &amp; Chewy Strawberry Flavour Gummy Candy 106 g</v>
      </c>
      <c r="B932" s="56" t="str">
        <f>IFERROR(__xludf.DUMMYFUNCTION("IF('AYIRA MINI MART FINAL MENU - Pr'!B932="""", """", IF(LEN(IFERROR(TRIM(REGEXREPLACE(TRIM(REGEXEXTRACT('AYIRA MINI MART FINAL MENU - Pr'!B932, ""^[^\x{0600}-\x{06FF}]+"")), ""[-–]+$"", """")), """"))&gt;0, IFERROR(TRIM(REGEXREPLACE(TRIM(REGEXEXTRACT('AYIRA"&amp;" MINI MART FINAL MENU - Pr'!B932, ""^[^\x{0600}-\x{06FF}]+"")), ""[-–]+$"", """")), """"), GOOGLETRANSLATE('AYIRA MINI MART FINAL MENU - Pr'!B932, ""ar"", ""en"")))"),"Candy |")</f>
        <v>Candy |</v>
      </c>
      <c r="C932" s="58">
        <f>IF('AYIRA MINI MART FINAL MENU - Pr'!C932="", "", 'AYIRA MINI MART FINAL MENU - Pr'!C932)</f>
        <v>10</v>
      </c>
      <c r="D932" s="56" t="str">
        <f>IFERROR(__xludf.DUMMYFUNCTION("IF('AYIRA MINI MART FINAL MENU - Pr'!D932="""", """", GOOGLETRANSLATE('AYIRA MINI MART FINAL MENU - Pr'!D932, ""ar"", ""en""))"),"Enjoy Chupa Chups Pinkis Soft &amp; Chewy Strawberry Flavor Gummy Candy 106g, a refreshing gum that keeps your mouth clean and fresh all day long. Its long-lasting flavor and unique formula make it the perfect choice for those seeking continuous freshness thr"&amp;"oughout the day. It helps to invigorate teeth and freshen breath beautifully. Suitable anytime, anywhere. Get yours from Aira Mini Mart and enjoy continuous freshness.")</f>
        <v>Enjoy Chupa Chups Pinkis Soft &amp; Chewy Strawberry Flavor Gummy Candy 106g, a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32" s="56" t="str">
        <f>IF('AYIRA MINI MART FINAL MENU - Pr'!K932="", "", 'AYIRA MINI MART FINAL MENU - Pr'!K932)</f>
        <v/>
      </c>
      <c r="F932" s="56"/>
      <c r="G932" s="56"/>
      <c r="H932" s="56"/>
      <c r="I932" s="56"/>
      <c r="J932" s="56"/>
      <c r="L932" s="56" t="str">
        <f>IF('AYIRA MINI MART FINAL MENU - Pr'!L932="", "", 'AYIRA MINI MART FINAL MENU - Pr'!L932)</f>
        <v/>
      </c>
      <c r="M932" s="56" t="str">
        <f>IF('AYIRA MINI MART FINAL MENU - Pr'!M932="", "", 'AYIRA MINI MART FINAL MENU - Pr'!M932)</f>
        <v/>
      </c>
      <c r="N932" s="56" t="str">
        <f>IF('AYIRA MINI MART FINAL MENU - Pr'!N932="", "", 'AYIRA MINI MART FINAL MENU - Pr'!N932)</f>
        <v/>
      </c>
      <c r="O932" s="57"/>
      <c r="P932" s="57"/>
      <c r="Q932" s="57"/>
      <c r="R932" s="57"/>
      <c r="S932" s="57"/>
      <c r="T932" s="57"/>
      <c r="U932" s="57"/>
      <c r="V932" s="57"/>
      <c r="W932" s="57"/>
      <c r="X932" s="57"/>
      <c r="Y932" s="57"/>
      <c r="Z932" s="57"/>
    </row>
    <row r="933">
      <c r="A933" s="56" t="str">
        <f>IFERROR(__xludf.DUMMYFUNCTION("IF('AYIRA MINI MART FINAL MENU - Pr'!A933="""", """", IF(LEN(IFERROR(TRIM(REGEXREPLACE(TRIM(REGEXEXTRACT('AYIRA MINI MART FINAL MENU - Pr'!A933, ""^[^\x{0600}-\x{06FF}]+"")), ""[-–]+$"", """")), """"))&gt;0, IFERROR(TRIM(REGEXREPLACE(TRIM(REGEXEXTRACT('AYIRA"&amp;" MINI MART FINAL MENU - Pr'!A933, ""^[^\x{0600}-\x{06FF}]+"")), ""[-–]+$"", """")), """"), GOOGLETRANSLATE('AYIRA MINI MART FINAL MENU - Pr'!A933, ""ar"", ""en"")))"),"Chupa Chups Cola Soft &amp; Chewy Cola Flavour Gummy Candy 106 g")</f>
        <v>Chupa Chups Cola Soft &amp; Chewy Cola Flavour Gummy Candy 106 g</v>
      </c>
      <c r="B933" s="56" t="str">
        <f>IFERROR(__xludf.DUMMYFUNCTION("IF('AYIRA MINI MART FINAL MENU - Pr'!B933="""", """", IF(LEN(IFERROR(TRIM(REGEXREPLACE(TRIM(REGEXEXTRACT('AYIRA MINI MART FINAL MENU - Pr'!B933, ""^[^\x{0600}-\x{06FF}]+"")), ""[-–]+$"", """")), """"))&gt;0, IFERROR(TRIM(REGEXREPLACE(TRIM(REGEXEXTRACT('AYIRA"&amp;" MINI MART FINAL MENU - Pr'!B933, ""^[^\x{0600}-\x{06FF}]+"")), ""[-–]+$"", """")), """"), GOOGLETRANSLATE('AYIRA MINI MART FINAL MENU - Pr'!B933, ""ar"", ""en"")))"),"Candy |")</f>
        <v>Candy |</v>
      </c>
      <c r="C933" s="58">
        <f>IF('AYIRA MINI MART FINAL MENU - Pr'!C933="", "", 'AYIRA MINI MART FINAL MENU - Pr'!C933)</f>
        <v>10</v>
      </c>
      <c r="D933" s="56" t="str">
        <f>IFERROR(__xludf.DUMMYFUNCTION("IF('AYIRA MINI MART FINAL MENU - Pr'!D933="""", """", GOOGLETRANSLATE('AYIRA MINI MART FINAL MENU - Pr'!D933, ""ar"", ""en""))"),"Enjoy Chupa Chups Cola Soft &amp; Chewy Cola Flavor Gummy Candy 106g, a refreshing gum that keeps your mouth clean and fresh all day long. Its long-lasting flavor and unique formula make it the perfect choice for those seeking continuous freshness throughout "&amp;"the day. It helps to invigorate teeth and freshen breath beautifully. Suitable anytime, anywhere. Get yours from Aira Mini Mart and enjoy continuous freshness.")</f>
        <v>Enjoy Chupa Chups Cola Soft &amp; Chewy Cola Flavor Gummy Candy 106g, a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33" s="56" t="str">
        <f>IF('AYIRA MINI MART FINAL MENU - Pr'!K933="", "", 'AYIRA MINI MART FINAL MENU - Pr'!K933)</f>
        <v/>
      </c>
      <c r="F933" s="56"/>
      <c r="G933" s="56"/>
      <c r="H933" s="56"/>
      <c r="I933" s="56"/>
      <c r="J933" s="56"/>
      <c r="L933" s="56" t="str">
        <f>IF('AYIRA MINI MART FINAL MENU - Pr'!L933="", "", 'AYIRA MINI MART FINAL MENU - Pr'!L933)</f>
        <v/>
      </c>
      <c r="M933" s="56" t="str">
        <f>IF('AYIRA MINI MART FINAL MENU - Pr'!M933="", "", 'AYIRA MINI MART FINAL MENU - Pr'!M933)</f>
        <v/>
      </c>
      <c r="N933" s="56" t="str">
        <f>IF('AYIRA MINI MART FINAL MENU - Pr'!N933="", "", 'AYIRA MINI MART FINAL MENU - Pr'!N933)</f>
        <v/>
      </c>
      <c r="O933" s="57"/>
      <c r="P933" s="57"/>
      <c r="Q933" s="57"/>
      <c r="R933" s="57"/>
      <c r="S933" s="57"/>
      <c r="T933" s="57"/>
      <c r="U933" s="57"/>
      <c r="V933" s="57"/>
      <c r="W933" s="57"/>
      <c r="X933" s="57"/>
      <c r="Y933" s="57"/>
      <c r="Z933" s="57"/>
    </row>
    <row r="934">
      <c r="A934" s="56" t="str">
        <f>IFERROR(__xludf.DUMMYFUNCTION("IF('AYIRA MINI MART FINAL MENU - Pr'!A934="""", """", IF(LEN(IFERROR(TRIM(REGEXREPLACE(TRIM(REGEXEXTRACT('AYIRA MINI MART FINAL MENU - Pr'!A934, ""^[^\x{0600}-\x{06FF}]+"")), ""[-–]+$"", """")), """"))&gt;0, IFERROR(TRIM(REGEXREPLACE(TRIM(REGEXEXTRACT('AYIRA"&amp;" MINI MART FINAL MENU - Pr'!A934, ""^[^\x{0600}-\x{06FF}]+"")), ""[-–]+$"", """")), """"), GOOGLETRANSLATE('AYIRA MINI MART FINAL MENU - Pr'!A934, ""ar"", ""en"")))"),"Chupa Chups Gecko Sour Fruit Flavour Gummy Candy 106 g")</f>
        <v>Chupa Chups Gecko Sour Fruit Flavour Gummy Candy 106 g</v>
      </c>
      <c r="B934" s="56" t="str">
        <f>IFERROR(__xludf.DUMMYFUNCTION("IF('AYIRA MINI MART FINAL MENU - Pr'!B934="""", """", IF(LEN(IFERROR(TRIM(REGEXREPLACE(TRIM(REGEXEXTRACT('AYIRA MINI MART FINAL MENU - Pr'!B934, ""^[^\x{0600}-\x{06FF}]+"")), ""[-–]+$"", """")), """"))&gt;0, IFERROR(TRIM(REGEXREPLACE(TRIM(REGEXEXTRACT('AYIRA"&amp;" MINI MART FINAL MENU - Pr'!B934, ""^[^\x{0600}-\x{06FF}]+"")), ""[-–]+$"", """")), """"), GOOGLETRANSLATE('AYIRA MINI MART FINAL MENU - Pr'!B934, ""ar"", ""en"")))"),"Candy |")</f>
        <v>Candy |</v>
      </c>
      <c r="C934" s="58">
        <f>IF('AYIRA MINI MART FINAL MENU - Pr'!C934="", "", 'AYIRA MINI MART FINAL MENU - Pr'!C934)</f>
        <v>10</v>
      </c>
      <c r="D934" s="56" t="str">
        <f>IFERROR(__xludf.DUMMYFUNCTION("IF('AYIRA MINI MART FINAL MENU - Pr'!D934="""", """", GOOGLETRANSLATE('AYIRA MINI MART FINAL MENU - Pr'!D934, ""ar"", ""en""))"),"Enjoy Chupa Chups Gecko Sour Fruit Flavor Gummy Candy 106g, a refreshing gum that keeps your mouth clean and fresh all day long. Its long-lasting flavor and unique formula make it the perfect choice for those seeking continuous freshness throughout the da"&amp;"y. It helps to invigorate teeth and freshen breath beautifully. Suitable anytime, anywhere. Get yours from Aira Mini Mart and enjoy continuous freshness.")</f>
        <v>Enjoy Chupa Chups Gecko Sour Fruit Flavor Gummy Candy 106g, a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34" s="56" t="str">
        <f>IF('AYIRA MINI MART FINAL MENU - Pr'!K934="", "", 'AYIRA MINI MART FINAL MENU - Pr'!K934)</f>
        <v/>
      </c>
      <c r="F934" s="56"/>
      <c r="G934" s="56"/>
      <c r="H934" s="56"/>
      <c r="I934" s="56"/>
      <c r="J934" s="56"/>
      <c r="L934" s="56" t="str">
        <f>IF('AYIRA MINI MART FINAL MENU - Pr'!L934="", "", 'AYIRA MINI MART FINAL MENU - Pr'!L934)</f>
        <v/>
      </c>
      <c r="M934" s="56" t="str">
        <f>IF('AYIRA MINI MART FINAL MENU - Pr'!M934="", "", 'AYIRA MINI MART FINAL MENU - Pr'!M934)</f>
        <v/>
      </c>
      <c r="N934" s="56" t="str">
        <f>IF('AYIRA MINI MART FINAL MENU - Pr'!N934="", "", 'AYIRA MINI MART FINAL MENU - Pr'!N934)</f>
        <v/>
      </c>
      <c r="O934" s="57"/>
      <c r="P934" s="57"/>
      <c r="Q934" s="57"/>
      <c r="R934" s="57"/>
      <c r="S934" s="57"/>
      <c r="T934" s="57"/>
      <c r="U934" s="57"/>
      <c r="V934" s="57"/>
      <c r="W934" s="57"/>
      <c r="X934" s="57"/>
      <c r="Y934" s="57"/>
      <c r="Z934" s="57"/>
    </row>
    <row r="935">
      <c r="A935" s="56" t="str">
        <f>IFERROR(__xludf.DUMMYFUNCTION("IF('AYIRA MINI MART FINAL MENU - Pr'!A935="""", """", IF(LEN(IFERROR(TRIM(REGEXREPLACE(TRIM(REGEXEXTRACT('AYIRA MINI MART FINAL MENU - Pr'!A935, ""^[^\x{0600}-\x{06FF}]+"")), ""[-–]+$"", """")), """"))&gt;0, IFERROR(TRIM(REGEXREPLACE(TRIM(REGEXEXTRACT('AYIRA"&amp;" MINI MART FINAL MENU - Pr'!A935, ""^[^\x{0600}-\x{06FF}]+"")), ""[-–]+$"", """")), """"), GOOGLETRANSLATE('AYIRA MINI MART FINAL MENU - Pr'!A935, ""ar"", ""en"")))"),"Chupa Chups Crawlers Sour Fruit Flavour Gummy Candy 90 g")</f>
        <v>Chupa Chups Crawlers Sour Fruit Flavour Gummy Candy 90 g</v>
      </c>
      <c r="B935" s="56" t="str">
        <f>IFERROR(__xludf.DUMMYFUNCTION("IF('AYIRA MINI MART FINAL MENU - Pr'!B935="""", """", IF(LEN(IFERROR(TRIM(REGEXREPLACE(TRIM(REGEXEXTRACT('AYIRA MINI MART FINAL MENU - Pr'!B935, ""^[^\x{0600}-\x{06FF}]+"")), ""[-–]+$"", """")), """"))&gt;0, IFERROR(TRIM(REGEXREPLACE(TRIM(REGEXEXTRACT('AYIRA"&amp;" MINI MART FINAL MENU - Pr'!B935, ""^[^\x{0600}-\x{06FF}]+"")), ""[-–]+$"", """")), """"), GOOGLETRANSLATE('AYIRA MINI MART FINAL MENU - Pr'!B935, ""ar"", ""en"")))"),"Candy |")</f>
        <v>Candy |</v>
      </c>
      <c r="C935" s="58">
        <f>IF('AYIRA MINI MART FINAL MENU - Pr'!C935="", "", 'AYIRA MINI MART FINAL MENU - Pr'!C935)</f>
        <v>6</v>
      </c>
      <c r="D935" s="56" t="str">
        <f>IFERROR(__xludf.DUMMYFUNCTION("IF('AYIRA MINI MART FINAL MENU - Pr'!D935="""", """", GOOGLETRANSLATE('AYIRA MINI MART FINAL MENU - Pr'!D935, ""ar"", ""en""))"),"Enjoy Chupa Chups Crawlers Sour Fruit Flavor Gummy Candy 90g, the refreshing gum that keeps your mouth clean and fresh all day long. Its long-lasting flavor and unique formula make it the perfect choice for those seeking continuous freshness throughout th"&amp;"e day. It helps to invigorate teeth and freshen breath beautifully. Suitable anytime, anywhere. Get yours from Aira Mini Mart and enjoy continuous freshness.")</f>
        <v>Enjoy Chupa Chups Crawlers Sour Fruit Flavor Gummy Candy 90g,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35" s="56" t="str">
        <f>IF('AYIRA MINI MART FINAL MENU - Pr'!K935="", "", 'AYIRA MINI MART FINAL MENU - Pr'!K935)</f>
        <v/>
      </c>
      <c r="F935" s="56"/>
      <c r="G935" s="56"/>
      <c r="H935" s="56"/>
      <c r="I935" s="56"/>
      <c r="J935" s="56"/>
      <c r="L935" s="56" t="str">
        <f>IF('AYIRA MINI MART FINAL MENU - Pr'!L935="", "", 'AYIRA MINI MART FINAL MENU - Pr'!L935)</f>
        <v/>
      </c>
      <c r="M935" s="56" t="str">
        <f>IF('AYIRA MINI MART FINAL MENU - Pr'!M935="", "", 'AYIRA MINI MART FINAL MENU - Pr'!M935)</f>
        <v/>
      </c>
      <c r="N935" s="56" t="str">
        <f>IF('AYIRA MINI MART FINAL MENU - Pr'!N935="", "", 'AYIRA MINI MART FINAL MENU - Pr'!N935)</f>
        <v/>
      </c>
      <c r="O935" s="57"/>
      <c r="P935" s="57"/>
      <c r="Q935" s="57"/>
      <c r="R935" s="57"/>
      <c r="S935" s="57"/>
      <c r="T935" s="57"/>
      <c r="U935" s="57"/>
      <c r="V935" s="57"/>
      <c r="W935" s="57"/>
      <c r="X935" s="57"/>
      <c r="Y935" s="57"/>
      <c r="Z935" s="57"/>
    </row>
    <row r="936">
      <c r="A936" s="56" t="str">
        <f>IFERROR(__xludf.DUMMYFUNCTION("IF('AYIRA MINI MART FINAL MENU - Pr'!A936="""", """", IF(LEN(IFERROR(TRIM(REGEXREPLACE(TRIM(REGEXEXTRACT('AYIRA MINI MART FINAL MENU - Pr'!A936, ""^[^\x{0600}-\x{06FF}]+"")), ""[-–]+$"", """")), """"))&gt;0, IFERROR(TRIM(REGEXREPLACE(TRIM(REGEXEXTRACT('AYIRA"&amp;" MINI MART FINAL MENU - Pr'!A936, ""^[^\x{0600}-\x{06FF}]+"")), ""[-–]+$"", """")), """"), GOOGLETRANSLATE('AYIRA MINI MART FINAL MENU - Pr'!A936, ""ar"", ""en"")))"),"Chupa Chups Panda Bears Fruit Flavour Gummy Candy 90 g")</f>
        <v>Chupa Chups Panda Bears Fruit Flavour Gummy Candy 90 g</v>
      </c>
      <c r="B936" s="56" t="str">
        <f>IFERROR(__xludf.DUMMYFUNCTION("IF('AYIRA MINI MART FINAL MENU - Pr'!B936="""", """", IF(LEN(IFERROR(TRIM(REGEXREPLACE(TRIM(REGEXEXTRACT('AYIRA MINI MART FINAL MENU - Pr'!B936, ""^[^\x{0600}-\x{06FF}]+"")), ""[-–]+$"", """")), """"))&gt;0, IFERROR(TRIM(REGEXREPLACE(TRIM(REGEXEXTRACT('AYIRA"&amp;" MINI MART FINAL MENU - Pr'!B936, ""^[^\x{0600}-\x{06FF}]+"")), ""[-–]+$"", """")), """"), GOOGLETRANSLATE('AYIRA MINI MART FINAL MENU - Pr'!B936, ""ar"", ""en"")))"),"Candy |")</f>
        <v>Candy |</v>
      </c>
      <c r="C936" s="58">
        <f>IF('AYIRA MINI MART FINAL MENU - Pr'!C936="", "", 'AYIRA MINI MART FINAL MENU - Pr'!C936)</f>
        <v>6</v>
      </c>
      <c r="D936" s="56" t="str">
        <f>IFERROR(__xludf.DUMMYFUNCTION("IF('AYIRA MINI MART FINAL MENU - Pr'!D936="""", """", GOOGLETRANSLATE('AYIRA MINI MART FINAL MENU - Pr'!D936, ""ar"", ""en""))"),"Enjoy Chupa Chups Panda Bears Fruit Flavor Gummy Candy 90g, a refreshing gum that keeps your mouth clean and fresh all day long. Its long-lasting flavor and unique formula make it the perfect choice for those seeking continuous freshness throughout the da"&amp;"y. It helps to invigorate teeth and freshen breath beautifully. Suitable anytime, anywhere. Get yours from Aira Mini Mart and enjoy continuous freshness.")</f>
        <v>Enjoy Chupa Chups Panda Bears Fruit Flavor Gummy Candy 90g, a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36" s="56" t="str">
        <f>IF('AYIRA MINI MART FINAL MENU - Pr'!K936="", "", 'AYIRA MINI MART FINAL MENU - Pr'!K936)</f>
        <v/>
      </c>
      <c r="F936" s="56"/>
      <c r="G936" s="56"/>
      <c r="H936" s="56"/>
      <c r="I936" s="56"/>
      <c r="J936" s="56"/>
      <c r="L936" s="56" t="str">
        <f>IF('AYIRA MINI MART FINAL MENU - Pr'!L936="", "", 'AYIRA MINI MART FINAL MENU - Pr'!L936)</f>
        <v/>
      </c>
      <c r="M936" s="56" t="str">
        <f>IF('AYIRA MINI MART FINAL MENU - Pr'!M936="", "", 'AYIRA MINI MART FINAL MENU - Pr'!M936)</f>
        <v/>
      </c>
      <c r="N936" s="56" t="str">
        <f>IF('AYIRA MINI MART FINAL MENU - Pr'!N936="", "", 'AYIRA MINI MART FINAL MENU - Pr'!N936)</f>
        <v/>
      </c>
      <c r="O936" s="57"/>
      <c r="P936" s="57"/>
      <c r="Q936" s="57"/>
      <c r="R936" s="57"/>
      <c r="S936" s="57"/>
      <c r="T936" s="57"/>
      <c r="U936" s="57"/>
      <c r="V936" s="57"/>
      <c r="W936" s="57"/>
      <c r="X936" s="57"/>
      <c r="Y936" s="57"/>
      <c r="Z936" s="57"/>
    </row>
    <row r="937">
      <c r="A937" s="56" t="str">
        <f>IFERROR(__xludf.DUMMYFUNCTION("IF('AYIRA MINI MART FINAL MENU - Pr'!A937="""", """", IF(LEN(IFERROR(TRIM(REGEXREPLACE(TRIM(REGEXEXTRACT('AYIRA MINI MART FINAL MENU - Pr'!A937, ""^[^\x{0600}-\x{06FF}]+"")), ""[-–]+$"", """")), """"))&gt;0, IFERROR(TRIM(REGEXREPLACE(TRIM(REGEXEXTRACT('AYIRA"&amp;" MINI MART FINAL MENU - Pr'!A937, ""^[^\x{0600}-\x{06FF}]+"")), ""[-–]+$"", """")), """"), GOOGLETRANSLATE('AYIRA MINI MART FINAL MENU - Pr'!A937, ""ar"", ""en"")))"),"Chupa Chups Cola Soft &amp; Chewy Cola Flavour Gummy Candy 90 g")</f>
        <v>Chupa Chups Cola Soft &amp; Chewy Cola Flavour Gummy Candy 90 g</v>
      </c>
      <c r="B937" s="56" t="str">
        <f>IFERROR(__xludf.DUMMYFUNCTION("IF('AYIRA MINI MART FINAL MENU - Pr'!B937="""", """", IF(LEN(IFERROR(TRIM(REGEXREPLACE(TRIM(REGEXEXTRACT('AYIRA MINI MART FINAL MENU - Pr'!B937, ""^[^\x{0600}-\x{06FF}]+"")), ""[-–]+$"", """")), """"))&gt;0, IFERROR(TRIM(REGEXREPLACE(TRIM(REGEXEXTRACT('AYIRA"&amp;" MINI MART FINAL MENU - Pr'!B937, ""^[^\x{0600}-\x{06FF}]+"")), ""[-–]+$"", """")), """"), GOOGLETRANSLATE('AYIRA MINI MART FINAL MENU - Pr'!B937, ""ar"", ""en"")))"),"Candy |")</f>
        <v>Candy |</v>
      </c>
      <c r="C937" s="58">
        <f>IF('AYIRA MINI MART FINAL MENU - Pr'!C937="", "", 'AYIRA MINI MART FINAL MENU - Pr'!C937)</f>
        <v>6</v>
      </c>
      <c r="D937" s="56" t="str">
        <f>IFERROR(__xludf.DUMMYFUNCTION("IF('AYIRA MINI MART FINAL MENU - Pr'!D937="""", """", GOOGLETRANSLATE('AYIRA MINI MART FINAL MENU - Pr'!D937, ""ar"", ""en""))"),"Enjoy Chupa Chups Cola Soft &amp; Chewy Cola Flavor Gummy Candy 90g, a refreshing gum that keeps your mouth clean and fresh all day long. Its long-lasting flavor and unique formula make it the perfect choice for those seeking continuous freshness throughout t"&amp;"he day. It helps to invigorate teeth and freshen breath beautifully. Suitable anytime, anywhere. Get yours from Aira Mini Mart and enjoy continuous freshness.")</f>
        <v>Enjoy Chupa Chups Cola Soft &amp; Chewy Cola Flavor Gummy Candy 90g, a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37" s="56" t="str">
        <f>IF('AYIRA MINI MART FINAL MENU - Pr'!K937="", "", 'AYIRA MINI MART FINAL MENU - Pr'!K937)</f>
        <v/>
      </c>
      <c r="F937" s="56"/>
      <c r="G937" s="56"/>
      <c r="H937" s="56"/>
      <c r="I937" s="56"/>
      <c r="J937" s="56"/>
      <c r="L937" s="56" t="str">
        <f>IF('AYIRA MINI MART FINAL MENU - Pr'!L937="", "", 'AYIRA MINI MART FINAL MENU - Pr'!L937)</f>
        <v/>
      </c>
      <c r="M937" s="56" t="str">
        <f>IF('AYIRA MINI MART FINAL MENU - Pr'!M937="", "", 'AYIRA MINI MART FINAL MENU - Pr'!M937)</f>
        <v/>
      </c>
      <c r="N937" s="56" t="str">
        <f>IF('AYIRA MINI MART FINAL MENU - Pr'!N937="", "", 'AYIRA MINI MART FINAL MENU - Pr'!N937)</f>
        <v/>
      </c>
      <c r="O937" s="57"/>
      <c r="P937" s="57"/>
      <c r="Q937" s="57"/>
      <c r="R937" s="57"/>
      <c r="S937" s="57"/>
      <c r="T937" s="57"/>
      <c r="U937" s="57"/>
      <c r="V937" s="57"/>
      <c r="W937" s="57"/>
      <c r="X937" s="57"/>
      <c r="Y937" s="57"/>
      <c r="Z937" s="57"/>
    </row>
    <row r="938">
      <c r="A938" s="56" t="str">
        <f>IFERROR(__xludf.DUMMYFUNCTION("IF('AYIRA MINI MART FINAL MENU - Pr'!A938="""", """", IF(LEN(IFERROR(TRIM(REGEXREPLACE(TRIM(REGEXEXTRACT('AYIRA MINI MART FINAL MENU - Pr'!A938, ""^[^\x{0600}-\x{06FF}]+"")), ""[-–]+$"", """")), """"))&gt;0, IFERROR(TRIM(REGEXREPLACE(TRIM(REGEXEXTRACT('AYIRA"&amp;" MINI MART FINAL MENU - Pr'!A938, ""^[^\x{0600}-\x{06FF}]+"")), ""[-–]+$"", """")), """"), GOOGLETRANSLATE('AYIRA MINI MART FINAL MENU - Pr'!A938, ""ar"", ""en"")))"),"Chupa Chups Gecko Sour Fruit Flavour Gummy Candy 90 g")</f>
        <v>Chupa Chups Gecko Sour Fruit Flavour Gummy Candy 90 g</v>
      </c>
      <c r="B938" s="56" t="str">
        <f>IFERROR(__xludf.DUMMYFUNCTION("IF('AYIRA MINI MART FINAL MENU - Pr'!B938="""", """", IF(LEN(IFERROR(TRIM(REGEXREPLACE(TRIM(REGEXEXTRACT('AYIRA MINI MART FINAL MENU - Pr'!B938, ""^[^\x{0600}-\x{06FF}]+"")), ""[-–]+$"", """")), """"))&gt;0, IFERROR(TRIM(REGEXREPLACE(TRIM(REGEXEXTRACT('AYIRA"&amp;" MINI MART FINAL MENU - Pr'!B938, ""^[^\x{0600}-\x{06FF}]+"")), ""[-–]+$"", """")), """"), GOOGLETRANSLATE('AYIRA MINI MART FINAL MENU - Pr'!B938, ""ar"", ""en"")))"),"Candy |")</f>
        <v>Candy |</v>
      </c>
      <c r="C938" s="58">
        <f>IF('AYIRA MINI MART FINAL MENU - Pr'!C938="", "", 'AYIRA MINI MART FINAL MENU - Pr'!C938)</f>
        <v>6</v>
      </c>
      <c r="D938" s="56" t="str">
        <f>IFERROR(__xludf.DUMMYFUNCTION("IF('AYIRA MINI MART FINAL MENU - Pr'!D938="""", """", GOOGLETRANSLATE('AYIRA MINI MART FINAL MENU - Pr'!D938, ""ar"", ""en""))"),"Enjoy Chupa Chups Gecko Sour Fruit Flavor Gummy Candy 90g, a refreshing gum that keeps your mouth clean and fresh all day long. Its long-lasting flavor and unique formula make it the perfect choice for those seeking continuous freshness throughout the day"&amp;". It helps to invigorate teeth and freshen breath beautifully. Suitable anytime, anywhere. Get yours from Aira Mini Mart and enjoy continuous freshness.")</f>
        <v>Enjoy Chupa Chups Gecko Sour Fruit Flavor Gummy Candy 90g, a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38" s="56" t="str">
        <f>IF('AYIRA MINI MART FINAL MENU - Pr'!K938="", "", 'AYIRA MINI MART FINAL MENU - Pr'!K938)</f>
        <v/>
      </c>
      <c r="F938" s="56"/>
      <c r="G938" s="56"/>
      <c r="H938" s="56"/>
      <c r="I938" s="56"/>
      <c r="J938" s="56"/>
      <c r="L938" s="56" t="str">
        <f>IF('AYIRA MINI MART FINAL MENU - Pr'!L938="", "", 'AYIRA MINI MART FINAL MENU - Pr'!L938)</f>
        <v/>
      </c>
      <c r="M938" s="56" t="str">
        <f>IF('AYIRA MINI MART FINAL MENU - Pr'!M938="", "", 'AYIRA MINI MART FINAL MENU - Pr'!M938)</f>
        <v/>
      </c>
      <c r="N938" s="56" t="str">
        <f>IF('AYIRA MINI MART FINAL MENU - Pr'!N938="", "", 'AYIRA MINI MART FINAL MENU - Pr'!N938)</f>
        <v/>
      </c>
      <c r="O938" s="57"/>
      <c r="P938" s="57"/>
      <c r="Q938" s="57"/>
      <c r="R938" s="57"/>
      <c r="S938" s="57"/>
      <c r="T938" s="57"/>
      <c r="U938" s="57"/>
      <c r="V938" s="57"/>
      <c r="W938" s="57"/>
      <c r="X938" s="57"/>
      <c r="Y938" s="57"/>
      <c r="Z938" s="57"/>
    </row>
    <row r="939">
      <c r="A939" s="56" t="str">
        <f>IFERROR(__xludf.DUMMYFUNCTION("IF('AYIRA MINI MART FINAL MENU - Pr'!A939="""", """", IF(LEN(IFERROR(TRIM(REGEXREPLACE(TRIM(REGEXEXTRACT('AYIRA MINI MART FINAL MENU - Pr'!A939, ""^[^\x{0600}-\x{06FF}]+"")), ""[-–]+$"", """")), """"))&gt;0, IFERROR(TRIM(REGEXREPLACE(TRIM(REGEXEXTRACT('AYIRA"&amp;" MINI MART FINAL MENU - Pr'!A939, ""^[^\x{0600}-\x{06FF}]+"")), ""[-–]+$"", """")), """"), GOOGLETRANSLATE('AYIRA MINI MART FINAL MENU - Pr'!A939, ""ar"", ""en"")))"),"Chupa Chups Pinkis Soft &amp; Chewy Strawberry Flavour Gummy Candy 90 g")</f>
        <v>Chupa Chups Pinkis Soft &amp; Chewy Strawberry Flavour Gummy Candy 90 g</v>
      </c>
      <c r="B939" s="56" t="str">
        <f>IFERROR(__xludf.DUMMYFUNCTION("IF('AYIRA MINI MART FINAL MENU - Pr'!B939="""", """", IF(LEN(IFERROR(TRIM(REGEXREPLACE(TRIM(REGEXEXTRACT('AYIRA MINI MART FINAL MENU - Pr'!B939, ""^[^\x{0600}-\x{06FF}]+"")), ""[-–]+$"", """")), """"))&gt;0, IFERROR(TRIM(REGEXREPLACE(TRIM(REGEXEXTRACT('AYIRA"&amp;" MINI MART FINAL MENU - Pr'!B939, ""^[^\x{0600}-\x{06FF}]+"")), ""[-–]+$"", """")), """"), GOOGLETRANSLATE('AYIRA MINI MART FINAL MENU - Pr'!B939, ""ar"", ""en"")))"),"Candy |")</f>
        <v>Candy |</v>
      </c>
      <c r="C939" s="58">
        <f>IF('AYIRA MINI MART FINAL MENU - Pr'!C939="", "", 'AYIRA MINI MART FINAL MENU - Pr'!C939)</f>
        <v>6</v>
      </c>
      <c r="D939" s="56" t="str">
        <f>IFERROR(__xludf.DUMMYFUNCTION("IF('AYIRA MINI MART FINAL MENU - Pr'!D939="""", """", GOOGLETRANSLATE('AYIRA MINI MART FINAL MENU - Pr'!D939, ""ar"", ""en""))"),"Enjoy Chupa Chups Pinkis Soft &amp; Chewy Strawberry Flavor Gummy Candy 90g, a refreshing gum that keeps your mouth clean and fresh all day long. Its long-lasting flavor and unique formula make it the perfect choice for those seeking continuous freshness thro"&amp;"ughout the day. It helps to invigorate teeth and freshen breath beautifully. Suitable anytime, anywhere. Get yours from Aira Mini Mart and enjoy continuous freshness.")</f>
        <v>Enjoy Chupa Chups Pinkis Soft &amp; Chewy Strawberry Flavor Gummy Candy 90g, a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39" s="56" t="str">
        <f>IF('AYIRA MINI MART FINAL MENU - Pr'!K939="", "", 'AYIRA MINI MART FINAL MENU - Pr'!K939)</f>
        <v/>
      </c>
      <c r="F939" s="56"/>
      <c r="G939" s="56"/>
      <c r="H939" s="56"/>
      <c r="I939" s="56"/>
      <c r="J939" s="56"/>
      <c r="L939" s="56" t="str">
        <f>IF('AYIRA MINI MART FINAL MENU - Pr'!L939="", "", 'AYIRA MINI MART FINAL MENU - Pr'!L939)</f>
        <v/>
      </c>
      <c r="M939" s="56" t="str">
        <f>IF('AYIRA MINI MART FINAL MENU - Pr'!M939="", "", 'AYIRA MINI MART FINAL MENU - Pr'!M939)</f>
        <v/>
      </c>
      <c r="N939" s="56" t="str">
        <f>IF('AYIRA MINI MART FINAL MENU - Pr'!N939="", "", 'AYIRA MINI MART FINAL MENU - Pr'!N939)</f>
        <v/>
      </c>
      <c r="O939" s="57"/>
      <c r="P939" s="57"/>
      <c r="Q939" s="57"/>
      <c r="R939" s="57"/>
      <c r="S939" s="57"/>
      <c r="T939" s="57"/>
      <c r="U939" s="57"/>
      <c r="V939" s="57"/>
      <c r="W939" s="57"/>
      <c r="X939" s="57"/>
      <c r="Y939" s="57"/>
      <c r="Z939" s="57"/>
    </row>
    <row r="940">
      <c r="A940" s="56" t="str">
        <f>IFERROR(__xludf.DUMMYFUNCTION("IF('AYIRA MINI MART FINAL MENU - Pr'!A940="""", """", IF(LEN(IFERROR(TRIM(REGEXREPLACE(TRIM(REGEXEXTRACT('AYIRA MINI MART FINAL MENU - Pr'!A940, ""^[^\x{0600}-\x{06FF}]+"")), ""[-–]+$"", """")), """"))&gt;0, IFERROR(TRIM(REGEXREPLACE(TRIM(REGEXEXTRACT('AYIRA"&amp;" MINI MART FINAL MENU - Pr'!A940, ""^[^\x{0600}-\x{06FF}]+"")), ""[-–]+$"", """")), """"), GOOGLETRANSLATE('AYIRA MINI MART FINAL MENU - Pr'!A940, ""ar"", ""en"")))"),"Chupa Chups Sour Assorted Flavour Lollipops 120 g")</f>
        <v>Chupa Chups Sour Assorted Flavour Lollipops 120 g</v>
      </c>
      <c r="B940" s="56" t="str">
        <f>IFERROR(__xludf.DUMMYFUNCTION("IF('AYIRA MINI MART FINAL MENU - Pr'!B940="""", """", IF(LEN(IFERROR(TRIM(REGEXREPLACE(TRIM(REGEXEXTRACT('AYIRA MINI MART FINAL MENU - Pr'!B940, ""^[^\x{0600}-\x{06FF}]+"")), ""[-–]+$"", """")), """"))&gt;0, IFERROR(TRIM(REGEXREPLACE(TRIM(REGEXEXTRACT('AYIRA"&amp;" MINI MART FINAL MENU - Pr'!B940, ""^[^\x{0600}-\x{06FF}]+"")), ""[-–]+$"", """")), """"), GOOGLETRANSLATE('AYIRA MINI MART FINAL MENU - Pr'!B940, ""ar"", ""en"")))"),"Candy |")</f>
        <v>Candy |</v>
      </c>
      <c r="C940" s="58">
        <f>IF('AYIRA MINI MART FINAL MENU - Pr'!C940="", "", 'AYIRA MINI MART FINAL MENU - Pr'!C940)</f>
        <v>7.5</v>
      </c>
      <c r="D940" s="56" t="str">
        <f>IFERROR(__xludf.DUMMYFUNCTION("IF('AYIRA MINI MART FINAL MENU - Pr'!D940="""", """", GOOGLETRANSLATE('AYIRA MINI MART FINAL MENU - Pr'!D940, ""ar"", ""en""))"),"Add a sweet treat to your day with Chupa Chups Sour Assorted Flavor Lollipops 120g, a delicious treat loved by everyone. Their assorted flavors and vibrant colors make them suitable for all ages. Perfect as a small reward or a light gift for friends and f"&amp;"amily. Made with high-quality ingredients to ensure a great taste in every single one. Get them from Aira Mini Mart and spread the joy to your loved ones.")</f>
        <v>Add a sweet treat to your day with Chupa Chups Sour Assorted Flavor Lollipops 120g, a delicious treat loved by everyone. Their assorted flavors and vibrant colors make them suitable for all ages. Perfect as a small reward or a light gift for friends and family. Made with high-quality ingredients to ensure a great taste in every single one. Get them from Aira Mini Mart and spread the joy to your loved ones.</v>
      </c>
      <c r="E940" s="56" t="str">
        <f>IF('AYIRA MINI MART FINAL MENU - Pr'!K940="", "", 'AYIRA MINI MART FINAL MENU - Pr'!K940)</f>
        <v/>
      </c>
      <c r="F940" s="56"/>
      <c r="G940" s="56"/>
      <c r="H940" s="56"/>
      <c r="I940" s="56"/>
      <c r="J940" s="56"/>
      <c r="L940" s="56" t="str">
        <f>IF('AYIRA MINI MART FINAL MENU - Pr'!L940="", "", 'AYIRA MINI MART FINAL MENU - Pr'!L940)</f>
        <v/>
      </c>
      <c r="M940" s="56" t="str">
        <f>IF('AYIRA MINI MART FINAL MENU - Pr'!M940="", "", 'AYIRA MINI MART FINAL MENU - Pr'!M940)</f>
        <v/>
      </c>
      <c r="N940" s="56" t="str">
        <f>IF('AYIRA MINI MART FINAL MENU - Pr'!N940="", "", 'AYIRA MINI MART FINAL MENU - Pr'!N940)</f>
        <v/>
      </c>
      <c r="O940" s="57"/>
      <c r="P940" s="57"/>
      <c r="Q940" s="57"/>
      <c r="R940" s="57"/>
      <c r="S940" s="57"/>
      <c r="T940" s="57"/>
      <c r="U940" s="57"/>
      <c r="V940" s="57"/>
      <c r="W940" s="57"/>
      <c r="X940" s="57"/>
      <c r="Y940" s="57"/>
      <c r="Z940" s="57"/>
    </row>
    <row r="941">
      <c r="A941" s="56" t="str">
        <f>IFERROR(__xludf.DUMMYFUNCTION("IF('AYIRA MINI MART FINAL MENU - Pr'!A941="""", """", IF(LEN(IFERROR(TRIM(REGEXREPLACE(TRIM(REGEXEXTRACT('AYIRA MINI MART FINAL MENU - Pr'!A941, ""^[^\x{0600}-\x{06FF}]+"")), ""[-–]+$"", """")), """"))&gt;0, IFERROR(TRIM(REGEXREPLACE(TRIM(REGEXEXTRACT('AYIRA"&amp;" MINI MART FINAL MENU - Pr'!A941, ""^[^\x{0600}-\x{06FF}]+"")), ""[-–]+$"", """")), """"), GOOGLETRANSLATE('AYIRA MINI MART FINAL MENU - Pr'!A941, ""ar"", ""en"")))"),"Chupa Chups Cola Gummy Candy 45g")</f>
        <v>Chupa Chups Cola Gummy Candy 45g</v>
      </c>
      <c r="B941" s="56" t="str">
        <f>IFERROR(__xludf.DUMMYFUNCTION("IF('AYIRA MINI MART FINAL MENU - Pr'!B941="""", """", IF(LEN(IFERROR(TRIM(REGEXREPLACE(TRIM(REGEXEXTRACT('AYIRA MINI MART FINAL MENU - Pr'!B941, ""^[^\x{0600}-\x{06FF}]+"")), ""[-–]+$"", """")), """"))&gt;0, IFERROR(TRIM(REGEXREPLACE(TRIM(REGEXEXTRACT('AYIRA"&amp;" MINI MART FINAL MENU - Pr'!B941, ""^[^\x{0600}-\x{06FF}]+"")), ""[-–]+$"", """")), """"), GOOGLETRANSLATE('AYIRA MINI MART FINAL MENU - Pr'!B941, ""ar"", ""en"")))"),"Candy |")</f>
        <v>Candy |</v>
      </c>
      <c r="C941" s="58">
        <f>IF('AYIRA MINI MART FINAL MENU - Pr'!C941="", "", 'AYIRA MINI MART FINAL MENU - Pr'!C941)</f>
        <v>6</v>
      </c>
      <c r="D941" s="56" t="str">
        <f>IFERROR(__xludf.DUMMYFUNCTION("IF('AYIRA MINI MART FINAL MENU - Pr'!D941="""", """", GOOGLETRANSLATE('AYIRA MINI MART FINAL MENU - Pr'!D941, ""ar"", ""en""))"),"Enjoy Chupa Chups Cola Gummy Candy 45g, the refreshing gum that keeps your mouth clean and fresh all day long. Its long-lasting flavor and unique formula make it the perfect choice for those seeking continuous freshness throughout the day. It helps to inv"&amp;"igorate teeth and freshen breath beautifully. Suitable anytime, anywhere. Get yours from Aira Mini Mart and enjoy continuous freshness.")</f>
        <v>Enjoy Chupa Chups Cola Gummy Candy 45g,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41" s="56" t="str">
        <f>IF('AYIRA MINI MART FINAL MENU - Pr'!K941="", "", 'AYIRA MINI MART FINAL MENU - Pr'!K941)</f>
        <v/>
      </c>
      <c r="F941" s="56"/>
      <c r="G941" s="56"/>
      <c r="H941" s="56"/>
      <c r="I941" s="56"/>
      <c r="J941" s="56"/>
      <c r="L941" s="56" t="str">
        <f>IF('AYIRA MINI MART FINAL MENU - Pr'!L941="", "", 'AYIRA MINI MART FINAL MENU - Pr'!L941)</f>
        <v/>
      </c>
      <c r="M941" s="56" t="str">
        <f>IF('AYIRA MINI MART FINAL MENU - Pr'!M941="", "", 'AYIRA MINI MART FINAL MENU - Pr'!M941)</f>
        <v/>
      </c>
      <c r="N941" s="56" t="str">
        <f>IF('AYIRA MINI MART FINAL MENU - Pr'!N941="", "", 'AYIRA MINI MART FINAL MENU - Pr'!N941)</f>
        <v/>
      </c>
      <c r="O941" s="57"/>
      <c r="P941" s="57"/>
      <c r="Q941" s="57"/>
      <c r="R941" s="57"/>
      <c r="S941" s="57"/>
      <c r="T941" s="57"/>
      <c r="U941" s="57"/>
      <c r="V941" s="57"/>
      <c r="W941" s="57"/>
      <c r="X941" s="57"/>
      <c r="Y941" s="57"/>
      <c r="Z941" s="57"/>
    </row>
    <row r="942">
      <c r="A942" s="56" t="str">
        <f>IFERROR(__xludf.DUMMYFUNCTION("IF('AYIRA MINI MART FINAL MENU - Pr'!A942="""", """", IF(LEN(IFERROR(TRIM(REGEXREPLACE(TRIM(REGEXEXTRACT('AYIRA MINI MART FINAL MENU - Pr'!A942, ""^[^\x{0600}-\x{06FF}]+"")), ""[-–]+$"", """")), """"))&gt;0, IFERROR(TRIM(REGEXREPLACE(TRIM(REGEXEXTRACT('AYIRA"&amp;" MINI MART FINAL MENU - Pr'!A942, ""^[^\x{0600}-\x{06FF}]+"")), ""[-–]+$"", """")), """"), GOOGLETRANSLATE('AYIRA MINI MART FINAL MENU - Pr'!A942, ""ar"", ""en"")))"),"Chupa Chups Bites Sour Fruit Flavour Gummy Candy 85g")</f>
        <v>Chupa Chups Bites Sour Fruit Flavour Gummy Candy 85g</v>
      </c>
      <c r="B942" s="56" t="str">
        <f>IFERROR(__xludf.DUMMYFUNCTION("IF('AYIRA MINI MART FINAL MENU - Pr'!B942="""", """", IF(LEN(IFERROR(TRIM(REGEXREPLACE(TRIM(REGEXEXTRACT('AYIRA MINI MART FINAL MENU - Pr'!B942, ""^[^\x{0600}-\x{06FF}]+"")), ""[-–]+$"", """")), """"))&gt;0, IFERROR(TRIM(REGEXREPLACE(TRIM(REGEXEXTRACT('AYIRA"&amp;" MINI MART FINAL MENU - Pr'!B942, ""^[^\x{0600}-\x{06FF}]+"")), ""[-–]+$"", """")), """"), GOOGLETRANSLATE('AYIRA MINI MART FINAL MENU - Pr'!B942, ""ar"", ""en"")))"),"Candy |")</f>
        <v>Candy |</v>
      </c>
      <c r="C942" s="58">
        <f>IF('AYIRA MINI MART FINAL MENU - Pr'!C942="", "", 'AYIRA MINI MART FINAL MENU - Pr'!C942)</f>
        <v>6</v>
      </c>
      <c r="D942" s="56" t="str">
        <f>IFERROR(__xludf.DUMMYFUNCTION("IF('AYIRA MINI MART FINAL MENU - Pr'!D942="""", """", GOOGLETRANSLATE('AYIRA MINI MART FINAL MENU - Pr'!D942, ""ar"", ""en""))"),"Enjoy Chupa Chups Bites Sour Fruit Flavor Gummy Candy 85g, the refreshing gum that keeps your mouth clean and fresh all day long. Its long-lasting flavor and unique formula make it the perfect choice for those seeking continuous freshness throughout the d"&amp;"ay. It helps to invigorate teeth and freshen breath beautifully. Suitable anytime, anywhere. Get yours from Aira Mini Mart and enjoy continuous freshness.")</f>
        <v>Enjoy Chupa Chups Bites Sour Fruit Flavor Gummy Candy 85g,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yours from Aira Mini Mart and enjoy continuous freshness.</v>
      </c>
      <c r="E942" s="56" t="str">
        <f>IF('AYIRA MINI MART FINAL MENU - Pr'!K942="", "", 'AYIRA MINI MART FINAL MENU - Pr'!K942)</f>
        <v/>
      </c>
      <c r="F942" s="56"/>
      <c r="G942" s="56"/>
      <c r="H942" s="56"/>
      <c r="I942" s="56"/>
      <c r="J942" s="56"/>
      <c r="L942" s="56" t="str">
        <f>IF('AYIRA MINI MART FINAL MENU - Pr'!L942="", "", 'AYIRA MINI MART FINAL MENU - Pr'!L942)</f>
        <v/>
      </c>
      <c r="M942" s="56" t="str">
        <f>IF('AYIRA MINI MART FINAL MENU - Pr'!M942="", "", 'AYIRA MINI MART FINAL MENU - Pr'!M942)</f>
        <v/>
      </c>
      <c r="N942" s="56" t="str">
        <f>IF('AYIRA MINI MART FINAL MENU - Pr'!N942="", "", 'AYIRA MINI MART FINAL MENU - Pr'!N942)</f>
        <v/>
      </c>
      <c r="O942" s="57"/>
      <c r="P942" s="57"/>
      <c r="Q942" s="57"/>
      <c r="R942" s="57"/>
      <c r="S942" s="57"/>
      <c r="T942" s="57"/>
      <c r="U942" s="57"/>
      <c r="V942" s="57"/>
      <c r="W942" s="57"/>
      <c r="X942" s="57"/>
      <c r="Y942" s="57"/>
      <c r="Z942" s="57"/>
    </row>
    <row r="943">
      <c r="A943" s="56" t="str">
        <f>IFERROR(__xludf.DUMMYFUNCTION("IF('AYIRA MINI MART FINAL MENU - Pr'!A943="""", """", IF(LEN(IFERROR(TRIM(REGEXREPLACE(TRIM(REGEXEXTRACT('AYIRA MINI MART FINAL MENU - Pr'!A943, ""^[^\x{0600}-\x{06FF}]+"")), ""[-–]+$"", """")), """"))&gt;0, IFERROR(TRIM(REGEXREPLACE(TRIM(REGEXEXTRACT('AYIRA"&amp;" MINI MART FINAL MENU - Pr'!A943, ""^[^\x{0600}-\x{06FF}]+"")), ""[-–]+$"", """")), """"), GOOGLETRANSLATE('AYIRA MINI MART FINAL MENU - Pr'!A943, ""ar"", ""en"")))"),"Mentos Pure Fresh Chewing Gum Fresh Mint")</f>
        <v>Mentos Pure Fresh Chewing Gum Fresh Mint</v>
      </c>
      <c r="B943" s="56" t="str">
        <f>IFERROR(__xludf.DUMMYFUNCTION("IF('AYIRA MINI MART FINAL MENU - Pr'!B943="""", """", IF(LEN(IFERROR(TRIM(REGEXREPLACE(TRIM(REGEXEXTRACT('AYIRA MINI MART FINAL MENU - Pr'!B943, ""^[^\x{0600}-\x{06FF}]+"")), ""[-–]+$"", """")), """"))&gt;0, IFERROR(TRIM(REGEXREPLACE(TRIM(REGEXEXTRACT('AYIRA"&amp;" MINI MART FINAL MENU - Pr'!B943, ""^[^\x{0600}-\x{06FF}]+"")), ""[-–]+$"", """")), """"), GOOGLETRANSLATE('AYIRA MINI MART FINAL MENU - Pr'!B943, ""ar"", ""en"")))"),"Gums |")</f>
        <v>Gums |</v>
      </c>
      <c r="C943" s="58">
        <f>IF('AYIRA MINI MART FINAL MENU - Pr'!C943="", "", 'AYIRA MINI MART FINAL MENU - Pr'!C943)</f>
        <v>11.5</v>
      </c>
      <c r="D943" s="56" t="str">
        <f>IFERROR(__xludf.DUMMYFUNCTION("IF('AYIRA MINI MART FINAL MENU - Pr'!D943="""", """", GOOGLETRANSLATE('AYIRA MINI MART FINAL MENU - Pr'!D943,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43" s="56" t="str">
        <f>IF('AYIRA MINI MART FINAL MENU - Pr'!K943="", "", 'AYIRA MINI MART FINAL MENU - Pr'!K943)</f>
        <v/>
      </c>
      <c r="F943" s="56"/>
      <c r="G943" s="56"/>
      <c r="H943" s="56"/>
      <c r="I943" s="56"/>
      <c r="J943" s="56"/>
      <c r="L943" s="56" t="str">
        <f>IF('AYIRA MINI MART FINAL MENU - Pr'!L943="", "", 'AYIRA MINI MART FINAL MENU - Pr'!L943)</f>
        <v/>
      </c>
      <c r="M943" s="56" t="str">
        <f>IF('AYIRA MINI MART FINAL MENU - Pr'!M943="", "", 'AYIRA MINI MART FINAL MENU - Pr'!M943)</f>
        <v/>
      </c>
      <c r="N943" s="56" t="str">
        <f>IF('AYIRA MINI MART FINAL MENU - Pr'!N943="", "", 'AYIRA MINI MART FINAL MENU - Pr'!N943)</f>
        <v/>
      </c>
      <c r="O943" s="57"/>
      <c r="P943" s="57"/>
      <c r="Q943" s="57"/>
      <c r="R943" s="57"/>
      <c r="S943" s="57"/>
      <c r="T943" s="57"/>
      <c r="U943" s="57"/>
      <c r="V943" s="57"/>
      <c r="W943" s="57"/>
      <c r="X943" s="57"/>
      <c r="Y943" s="57"/>
      <c r="Z943" s="57"/>
    </row>
    <row r="944">
      <c r="A944" s="56" t="str">
        <f>IFERROR(__xludf.DUMMYFUNCTION("IF('AYIRA MINI MART FINAL MENU - Pr'!A944="""", """", IF(LEN(IFERROR(TRIM(REGEXREPLACE(TRIM(REGEXEXTRACT('AYIRA MINI MART FINAL MENU - Pr'!A944, ""^[^\x{0600}-\x{06FF}]+"")), ""[-–]+$"", """")), """"))&gt;0, IFERROR(TRIM(REGEXREPLACE(TRIM(REGEXEXTRACT('AYIRA"&amp;" MINI MART FINAL MENU - Pr'!A944, ""^[^\x{0600}-\x{06FF}]+"")), ""[-–]+$"", """")), """"), GOOGLETRANSLATE('AYIRA MINI MART FINAL MENU - Pr'!A944, ""ar"", ""en"")))"),"Mentos Pure Fresh Chewing Gum Wintergreen 32 Pieces")</f>
        <v>Mentos Pure Fresh Chewing Gum Wintergreen 32 Pieces</v>
      </c>
      <c r="B944" s="56" t="str">
        <f>IFERROR(__xludf.DUMMYFUNCTION("IF('AYIRA MINI MART FINAL MENU - Pr'!B944="""", """", IF(LEN(IFERROR(TRIM(REGEXREPLACE(TRIM(REGEXEXTRACT('AYIRA MINI MART FINAL MENU - Pr'!B944, ""^[^\x{0600}-\x{06FF}]+"")), ""[-–]+$"", """")), """"))&gt;0, IFERROR(TRIM(REGEXREPLACE(TRIM(REGEXEXTRACT('AYIRA"&amp;" MINI MART FINAL MENU - Pr'!B944, ""^[^\x{0600}-\x{06FF}]+"")), ""[-–]+$"", """")), """"), GOOGLETRANSLATE('AYIRA MINI MART FINAL MENU - Pr'!B944, ""ar"", ""en"")))"),"Gums |")</f>
        <v>Gums |</v>
      </c>
      <c r="C944" s="58">
        <f>IF('AYIRA MINI MART FINAL MENU - Pr'!C944="", "", 'AYIRA MINI MART FINAL MENU - Pr'!C944)</f>
        <v>11.5</v>
      </c>
      <c r="D944" s="56" t="str">
        <f>IFERROR(__xludf.DUMMYFUNCTION("IF('AYIRA MINI MART FINAL MENU - Pr'!D944="""", """", GOOGLETRANSLATE('AYIRA MINI MART FINAL MENU - Pr'!D944,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44" s="56" t="str">
        <f>IF('AYIRA MINI MART FINAL MENU - Pr'!K944="", "", 'AYIRA MINI MART FINAL MENU - Pr'!K944)</f>
        <v/>
      </c>
      <c r="F944" s="56"/>
      <c r="G944" s="56"/>
      <c r="H944" s="56"/>
      <c r="I944" s="56"/>
      <c r="J944" s="56"/>
      <c r="L944" s="56" t="str">
        <f>IF('AYIRA MINI MART FINAL MENU - Pr'!L944="", "", 'AYIRA MINI MART FINAL MENU - Pr'!L944)</f>
        <v/>
      </c>
      <c r="M944" s="56" t="str">
        <f>IF('AYIRA MINI MART FINAL MENU - Pr'!M944="", "", 'AYIRA MINI MART FINAL MENU - Pr'!M944)</f>
        <v/>
      </c>
      <c r="N944" s="56" t="str">
        <f>IF('AYIRA MINI MART FINAL MENU - Pr'!N944="", "", 'AYIRA MINI MART FINAL MENU - Pr'!N944)</f>
        <v/>
      </c>
      <c r="O944" s="57"/>
      <c r="P944" s="57"/>
      <c r="Q944" s="57"/>
      <c r="R944" s="57"/>
      <c r="S944" s="57"/>
      <c r="T944" s="57"/>
      <c r="U944" s="57"/>
      <c r="V944" s="57"/>
      <c r="W944" s="57"/>
      <c r="X944" s="57"/>
      <c r="Y944" s="57"/>
      <c r="Z944" s="57"/>
    </row>
    <row r="945">
      <c r="A945" s="56" t="str">
        <f>IFERROR(__xludf.DUMMYFUNCTION("IF('AYIRA MINI MART FINAL MENU - Pr'!A945="""", """", IF(LEN(IFERROR(TRIM(REGEXREPLACE(TRIM(REGEXEXTRACT('AYIRA MINI MART FINAL MENU - Pr'!A945, ""^[^\x{0600}-\x{06FF}]+"")), ""[-–]+$"", """")), """"))&gt;0, IFERROR(TRIM(REGEXREPLACE(TRIM(REGEXEXTRACT('AYIRA"&amp;" MINI MART FINAL MENU - Pr'!A945, ""^[^\x{0600}-\x{06FF}]+"")), ""[-–]+$"", """")), """"), GOOGLETRANSLATE('AYIRA MINI MART FINAL MENU - Pr'!A945, ""ar"", ""en"")))"),"Mentos Pure Fresh Chewing Gum Strawberry 32 Pieces")</f>
        <v>Mentos Pure Fresh Chewing Gum Strawberry 32 Pieces</v>
      </c>
      <c r="B945" s="56" t="str">
        <f>IFERROR(__xludf.DUMMYFUNCTION("IF('AYIRA MINI MART FINAL MENU - Pr'!B945="""", """", IF(LEN(IFERROR(TRIM(REGEXREPLACE(TRIM(REGEXEXTRACT('AYIRA MINI MART FINAL MENU - Pr'!B945, ""^[^\x{0600}-\x{06FF}]+"")), ""[-–]+$"", """")), """"))&gt;0, IFERROR(TRIM(REGEXREPLACE(TRIM(REGEXEXTRACT('AYIRA"&amp;" MINI MART FINAL MENU - Pr'!B945, ""^[^\x{0600}-\x{06FF}]+"")), ""[-–]+$"", """")), """"), GOOGLETRANSLATE('AYIRA MINI MART FINAL MENU - Pr'!B945, ""ar"", ""en"")))"),"Gums |")</f>
        <v>Gums |</v>
      </c>
      <c r="C945" s="58">
        <f>IF('AYIRA MINI MART FINAL MENU - Pr'!C945="", "", 'AYIRA MINI MART FINAL MENU - Pr'!C945)</f>
        <v>11.5</v>
      </c>
      <c r="D945" s="56" t="str">
        <f>IFERROR(__xludf.DUMMYFUNCTION("IF('AYIRA MINI MART FINAL MENU - Pr'!D945="""", """", GOOGLETRANSLATE('AYIRA MINI MART FINAL MENU - Pr'!D945,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45" s="56" t="str">
        <f>IF('AYIRA MINI MART FINAL MENU - Pr'!K945="", "", 'AYIRA MINI MART FINAL MENU - Pr'!K945)</f>
        <v/>
      </c>
      <c r="F945" s="56"/>
      <c r="G945" s="56"/>
      <c r="H945" s="56"/>
      <c r="I945" s="56"/>
      <c r="J945" s="56"/>
      <c r="L945" s="56" t="str">
        <f>IF('AYIRA MINI MART FINAL MENU - Pr'!L945="", "", 'AYIRA MINI MART FINAL MENU - Pr'!L945)</f>
        <v/>
      </c>
      <c r="M945" s="56" t="str">
        <f>IF('AYIRA MINI MART FINAL MENU - Pr'!M945="", "", 'AYIRA MINI MART FINAL MENU - Pr'!M945)</f>
        <v/>
      </c>
      <c r="N945" s="56" t="str">
        <f>IF('AYIRA MINI MART FINAL MENU - Pr'!N945="", "", 'AYIRA MINI MART FINAL MENU - Pr'!N945)</f>
        <v/>
      </c>
      <c r="O945" s="57"/>
      <c r="P945" s="57"/>
      <c r="Q945" s="57"/>
      <c r="R945" s="57"/>
      <c r="S945" s="57"/>
      <c r="T945" s="57"/>
      <c r="U945" s="57"/>
      <c r="V945" s="57"/>
      <c r="W945" s="57"/>
      <c r="X945" s="57"/>
      <c r="Y945" s="57"/>
      <c r="Z945" s="57"/>
    </row>
    <row r="946">
      <c r="A946" s="56" t="str">
        <f>IFERROR(__xludf.DUMMYFUNCTION("IF('AYIRA MINI MART FINAL MENU - Pr'!A946="""", """", IF(LEN(IFERROR(TRIM(REGEXREPLACE(TRIM(REGEXEXTRACT('AYIRA MINI MART FINAL MENU - Pr'!A946, ""^[^\x{0600}-\x{06FF}]+"")), ""[-–]+$"", """")), """"))&gt;0, IFERROR(TRIM(REGEXREPLACE(TRIM(REGEXEXTRACT('AYIRA"&amp;" MINI MART FINAL MENU - Pr'!A946, ""^[^\x{0600}-\x{06FF}]+"")), ""[-–]+$"", """")), """"), GOOGLETRANSLATE('AYIRA MINI MART FINAL MENU - Pr'!A946, ""ar"", ""en"")))"),"Mentos Pure Fresh Chewing Gum Watermelon 32 Pieces")</f>
        <v>Mentos Pure Fresh Chewing Gum Watermelon 32 Pieces</v>
      </c>
      <c r="B946" s="56" t="str">
        <f>IFERROR(__xludf.DUMMYFUNCTION("IF('AYIRA MINI MART FINAL MENU - Pr'!B946="""", """", IF(LEN(IFERROR(TRIM(REGEXREPLACE(TRIM(REGEXEXTRACT('AYIRA MINI MART FINAL MENU - Pr'!B946, ""^[^\x{0600}-\x{06FF}]+"")), ""[-–]+$"", """")), """"))&gt;0, IFERROR(TRIM(REGEXREPLACE(TRIM(REGEXEXTRACT('AYIRA"&amp;" MINI MART FINAL MENU - Pr'!B946, ""^[^\x{0600}-\x{06FF}]+"")), ""[-–]+$"", """")), """"), GOOGLETRANSLATE('AYIRA MINI MART FINAL MENU - Pr'!B946, ""ar"", ""en"")))"),"Gums |")</f>
        <v>Gums |</v>
      </c>
      <c r="C946" s="58">
        <f>IF('AYIRA MINI MART FINAL MENU - Pr'!C946="", "", 'AYIRA MINI MART FINAL MENU - Pr'!C946)</f>
        <v>11.5</v>
      </c>
      <c r="D946" s="56" t="str">
        <f>IFERROR(__xludf.DUMMYFUNCTION("IF('AYIRA MINI MART FINAL MENU - Pr'!D946="""", """", GOOGLETRANSLATE('AYIRA MINI MART FINAL MENU - Pr'!D946, ""ar"", ""en""))"),"Drink Mentos, the pure water that restores your body's natural balance. Sourced from the purest natural sources and bottled to the highest standards of quality and hygiene to ensure it reaches you in perfect condition. Proper hydration is essential for a "&amp;"good life, and choosing this water reflects your commitment to your well-being. Make sure to drink enough water daily to stay energized and vibrant. Aira Mini Mart offers this premium water at competitive prices.")</f>
        <v>Drink Mentos,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stay energized and vibrant. Aira Mini Mart offers this premium water at competitive prices.</v>
      </c>
      <c r="E946" s="56" t="str">
        <f>IF('AYIRA MINI MART FINAL MENU - Pr'!K946="", "", 'AYIRA MINI MART FINAL MENU - Pr'!K946)</f>
        <v/>
      </c>
      <c r="F946" s="56"/>
      <c r="G946" s="56"/>
      <c r="H946" s="56"/>
      <c r="I946" s="56"/>
      <c r="J946" s="56"/>
      <c r="L946" s="56" t="str">
        <f>IF('AYIRA MINI MART FINAL MENU - Pr'!L946="", "", 'AYIRA MINI MART FINAL MENU - Pr'!L946)</f>
        <v/>
      </c>
      <c r="M946" s="56" t="str">
        <f>IF('AYIRA MINI MART FINAL MENU - Pr'!M946="", "", 'AYIRA MINI MART FINAL MENU - Pr'!M946)</f>
        <v/>
      </c>
      <c r="N946" s="56" t="str">
        <f>IF('AYIRA MINI MART FINAL MENU - Pr'!N946="", "", 'AYIRA MINI MART FINAL MENU - Pr'!N946)</f>
        <v/>
      </c>
      <c r="O946" s="57"/>
      <c r="P946" s="57"/>
      <c r="Q946" s="57"/>
      <c r="R946" s="57"/>
      <c r="S946" s="57"/>
      <c r="T946" s="57"/>
      <c r="U946" s="57"/>
      <c r="V946" s="57"/>
      <c r="W946" s="57"/>
      <c r="X946" s="57"/>
      <c r="Y946" s="57"/>
      <c r="Z946" s="57"/>
    </row>
    <row r="947">
      <c r="A947" s="56" t="str">
        <f>IFERROR(__xludf.DUMMYFUNCTION("IF('AYIRA MINI MART FINAL MENU - Pr'!A947="""", """", IF(LEN(IFERROR(TRIM(REGEXREPLACE(TRIM(REGEXEXTRACT('AYIRA MINI MART FINAL MENU - Pr'!A947, ""^[^\x{0600}-\x{06FF}]+"")), ""[-–]+$"", """")), """"))&gt;0, IFERROR(TRIM(REGEXREPLACE(TRIM(REGEXEXTRACT('AYIRA"&amp;" MINI MART FINAL MENU - Pr'!A947, ""^[^\x{0600}-\x{06FF}]+"")), ""[-–]+$"", """")), """"), GOOGLETRANSLATE('AYIRA MINI MART FINAL MENU - Pr'!A947, ""ar"", ""en"")))"),"Mentos Pure Fresh Chewing Gum Fresh Mint 32 Pieces")</f>
        <v>Mentos Pure Fresh Chewing Gum Fresh Mint 32 Pieces</v>
      </c>
      <c r="B947" s="56" t="str">
        <f>IFERROR(__xludf.DUMMYFUNCTION("IF('AYIRA MINI MART FINAL MENU - Pr'!B947="""", """", IF(LEN(IFERROR(TRIM(REGEXREPLACE(TRIM(REGEXEXTRACT('AYIRA MINI MART FINAL MENU - Pr'!B947, ""^[^\x{0600}-\x{06FF}]+"")), ""[-–]+$"", """")), """"))&gt;0, IFERROR(TRIM(REGEXREPLACE(TRIM(REGEXEXTRACT('AYIRA"&amp;" MINI MART FINAL MENU - Pr'!B947, ""^[^\x{0600}-\x{06FF}]+"")), ""[-–]+$"", """")), """"), GOOGLETRANSLATE('AYIRA MINI MART FINAL MENU - Pr'!B947, ""ar"", ""en"")))"),"Gums |")</f>
        <v>Gums |</v>
      </c>
      <c r="C947" s="58">
        <f>IF('AYIRA MINI MART FINAL MENU - Pr'!C947="", "", 'AYIRA MINI MART FINAL MENU - Pr'!C947)</f>
        <v>11.5</v>
      </c>
      <c r="D947" s="56" t="str">
        <f>IFERROR(__xludf.DUMMYFUNCTION("IF('AYIRA MINI MART FINAL MENU - Pr'!D947="""", """", GOOGLETRANSLATE('AYIRA MINI MART FINAL MENU - Pr'!D947,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47" s="56" t="str">
        <f>IF('AYIRA MINI MART FINAL MENU - Pr'!K947="", "", 'AYIRA MINI MART FINAL MENU - Pr'!K947)</f>
        <v/>
      </c>
      <c r="F947" s="56"/>
      <c r="G947" s="56"/>
      <c r="H947" s="56"/>
      <c r="I947" s="56"/>
      <c r="J947" s="56"/>
      <c r="L947" s="56" t="str">
        <f>IF('AYIRA MINI MART FINAL MENU - Pr'!L947="", "", 'AYIRA MINI MART FINAL MENU - Pr'!L947)</f>
        <v/>
      </c>
      <c r="M947" s="56" t="str">
        <f>IF('AYIRA MINI MART FINAL MENU - Pr'!M947="", "", 'AYIRA MINI MART FINAL MENU - Pr'!M947)</f>
        <v/>
      </c>
      <c r="N947" s="56" t="str">
        <f>IF('AYIRA MINI MART FINAL MENU - Pr'!N947="", "", 'AYIRA MINI MART FINAL MENU - Pr'!N947)</f>
        <v/>
      </c>
      <c r="O947" s="57"/>
      <c r="P947" s="57"/>
      <c r="Q947" s="57"/>
      <c r="R947" s="57"/>
      <c r="S947" s="57"/>
      <c r="T947" s="57"/>
      <c r="U947" s="57"/>
      <c r="V947" s="57"/>
      <c r="W947" s="57"/>
      <c r="X947" s="57"/>
      <c r="Y947" s="57"/>
      <c r="Z947" s="57"/>
    </row>
    <row r="948">
      <c r="A948" s="56" t="str">
        <f>IFERROR(__xludf.DUMMYFUNCTION("IF('AYIRA MINI MART FINAL MENU - Pr'!A948="""", """", IF(LEN(IFERROR(TRIM(REGEXREPLACE(TRIM(REGEXEXTRACT('AYIRA MINI MART FINAL MENU - Pr'!A948, ""^[^\x{0600}-\x{06FF}]+"")), ""[-–]+$"", """")), """"))&gt;0, IFERROR(TRIM(REGEXREPLACE(TRIM(REGEXEXTRACT('AYIRA"&amp;" MINI MART FINAL MENU - Pr'!A948, ""^[^\x{0600}-\x{06FF}]+"")), ""[-–]+$"", """")), """"), GOOGLETRANSLATE('AYIRA MINI MART FINAL MENU - Pr'!A948, ""ar"", ""en"")))"),"Mentos 3D Sugarfree Chewing Gum Watermelon 5 Pieces")</f>
        <v>Mentos 3D Sugarfree Chewing Gum Watermelon 5 Pieces</v>
      </c>
      <c r="B948" s="56" t="str">
        <f>IFERROR(__xludf.DUMMYFUNCTION("IF('AYIRA MINI MART FINAL MENU - Pr'!B948="""", """", IF(LEN(IFERROR(TRIM(REGEXREPLACE(TRIM(REGEXEXTRACT('AYIRA MINI MART FINAL MENU - Pr'!B948, ""^[^\x{0600}-\x{06FF}]+"")), ""[-–]+$"", """")), """"))&gt;0, IFERROR(TRIM(REGEXREPLACE(TRIM(REGEXEXTRACT('AYIRA"&amp;" MINI MART FINAL MENU - Pr'!B948, ""^[^\x{0600}-\x{06FF}]+"")), ""[-–]+$"", """")), """"), GOOGLETRANSLATE('AYIRA MINI MART FINAL MENU - Pr'!B948, ""ar"", ""en"")))"),"Gums |")</f>
        <v>Gums |</v>
      </c>
      <c r="C948" s="58">
        <f>IF('AYIRA MINI MART FINAL MENU - Pr'!C948="", "", 'AYIRA MINI MART FINAL MENU - Pr'!C948)</f>
        <v>1.5</v>
      </c>
      <c r="D948" s="56" t="str">
        <f>IFERROR(__xludf.DUMMYFUNCTION("IF('AYIRA MINI MART FINAL MENU - Pr'!D948="""", """", GOOGLETRANSLATE('AYIRA MINI MART FINAL MENU - Pr'!D948, ""ar"", ""en""))"),"Drink Mentos, the pure water that restores your body's natural balance. Sourced from the purest natural sources and bottled to the highest standards of quality and hygiene to ensure it reaches you in perfect condition. Proper hydration is essential for a "&amp;"good life, and choosing this water reflects your commitment to your well-being. Make sure to drink enough water daily to stay energized and vibrant. Aira Mini Mart offers this premium water at competitive prices.")</f>
        <v>Drink Mentos,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stay energized and vibrant. Aira Mini Mart offers this premium water at competitive prices.</v>
      </c>
      <c r="E948" s="56" t="str">
        <f>IF('AYIRA MINI MART FINAL MENU - Pr'!K948="", "", 'AYIRA MINI MART FINAL MENU - Pr'!K948)</f>
        <v/>
      </c>
      <c r="F948" s="56"/>
      <c r="G948" s="56"/>
      <c r="H948" s="56"/>
      <c r="I948" s="56"/>
      <c r="J948" s="56"/>
      <c r="L948" s="56" t="str">
        <f>IF('AYIRA MINI MART FINAL MENU - Pr'!L948="", "", 'AYIRA MINI MART FINAL MENU - Pr'!L948)</f>
        <v/>
      </c>
      <c r="M948" s="56" t="str">
        <f>IF('AYIRA MINI MART FINAL MENU - Pr'!M948="", "", 'AYIRA MINI MART FINAL MENU - Pr'!M948)</f>
        <v/>
      </c>
      <c r="N948" s="56" t="str">
        <f>IF('AYIRA MINI MART FINAL MENU - Pr'!N948="", "", 'AYIRA MINI MART FINAL MENU - Pr'!N948)</f>
        <v/>
      </c>
      <c r="O948" s="57"/>
      <c r="P948" s="57"/>
      <c r="Q948" s="57"/>
      <c r="R948" s="57"/>
      <c r="S948" s="57"/>
      <c r="T948" s="57"/>
      <c r="U948" s="57"/>
      <c r="V948" s="57"/>
      <c r="W948" s="57"/>
      <c r="X948" s="57"/>
      <c r="Y948" s="57"/>
      <c r="Z948" s="57"/>
    </row>
    <row r="949">
      <c r="A949" s="56" t="str">
        <f>IFERROR(__xludf.DUMMYFUNCTION("IF('AYIRA MINI MART FINAL MENU - Pr'!A949="""", """", IF(LEN(IFERROR(TRIM(REGEXREPLACE(TRIM(REGEXEXTRACT('AYIRA MINI MART FINAL MENU - Pr'!A949, ""^[^\x{0600}-\x{06FF}]+"")), ""[-–]+$"", """")), """"))&gt;0, IFERROR(TRIM(REGEXREPLACE(TRIM(REGEXEXTRACT('AYIRA"&amp;" MINI MART FINAL MENU - Pr'!A949, ""^[^\x{0600}-\x{06FF}]+"")), ""[-–]+$"", """")), """"), GOOGLETRANSLATE('AYIRA MINI MART FINAL MENU - Pr'!A949, ""ar"", ""en"")))"),"Mentos 3D Sugarfree Chewing Gum Fresh Mint 5 Pieces")</f>
        <v>Mentos 3D Sugarfree Chewing Gum Fresh Mint 5 Pieces</v>
      </c>
      <c r="B949" s="56" t="str">
        <f>IFERROR(__xludf.DUMMYFUNCTION("IF('AYIRA MINI MART FINAL MENU - Pr'!B949="""", """", IF(LEN(IFERROR(TRIM(REGEXREPLACE(TRIM(REGEXEXTRACT('AYIRA MINI MART FINAL MENU - Pr'!B949, ""^[^\x{0600}-\x{06FF}]+"")), ""[-–]+$"", """")), """"))&gt;0, IFERROR(TRIM(REGEXREPLACE(TRIM(REGEXEXTRACT('AYIRA"&amp;" MINI MART FINAL MENU - Pr'!B949, ""^[^\x{0600}-\x{06FF}]+"")), ""[-–]+$"", """")), """"), GOOGLETRANSLATE('AYIRA MINI MART FINAL MENU - Pr'!B949, ""ar"", ""en"")))"),"Gums |")</f>
        <v>Gums |</v>
      </c>
      <c r="C949" s="58">
        <f>IF('AYIRA MINI MART FINAL MENU - Pr'!C949="", "", 'AYIRA MINI MART FINAL MENU - Pr'!C949)</f>
        <v>1.5</v>
      </c>
      <c r="D949" s="56" t="str">
        <f>IFERROR(__xludf.DUMMYFUNCTION("IF('AYIRA MINI MART FINAL MENU - Pr'!D949="""", """", GOOGLETRANSLATE('AYIRA MINI MART FINAL MENU - Pr'!D949,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49" s="56" t="str">
        <f>IF('AYIRA MINI MART FINAL MENU - Pr'!K949="", "", 'AYIRA MINI MART FINAL MENU - Pr'!K949)</f>
        <v/>
      </c>
      <c r="F949" s="56"/>
      <c r="G949" s="56"/>
      <c r="H949" s="56"/>
      <c r="I949" s="56"/>
      <c r="J949" s="56"/>
      <c r="L949" s="56" t="str">
        <f>IF('AYIRA MINI MART FINAL MENU - Pr'!L949="", "", 'AYIRA MINI MART FINAL MENU - Pr'!L949)</f>
        <v/>
      </c>
      <c r="M949" s="56" t="str">
        <f>IF('AYIRA MINI MART FINAL MENU - Pr'!M949="", "", 'AYIRA MINI MART FINAL MENU - Pr'!M949)</f>
        <v/>
      </c>
      <c r="N949" s="56" t="str">
        <f>IF('AYIRA MINI MART FINAL MENU - Pr'!N949="", "", 'AYIRA MINI MART FINAL MENU - Pr'!N949)</f>
        <v/>
      </c>
      <c r="O949" s="57"/>
      <c r="P949" s="57"/>
      <c r="Q949" s="57"/>
      <c r="R949" s="57"/>
      <c r="S949" s="57"/>
      <c r="T949" s="57"/>
      <c r="U949" s="57"/>
      <c r="V949" s="57"/>
      <c r="W949" s="57"/>
      <c r="X949" s="57"/>
      <c r="Y949" s="57"/>
      <c r="Z949" s="57"/>
    </row>
    <row r="950">
      <c r="A950" s="56" t="str">
        <f>IFERROR(__xludf.DUMMYFUNCTION("IF('AYIRA MINI MART FINAL MENU - Pr'!A950="""", """", IF(LEN(IFERROR(TRIM(REGEXREPLACE(TRIM(REGEXEXTRACT('AYIRA MINI MART FINAL MENU - Pr'!A950, ""^[^\x{0600}-\x{06FF}]+"")), ""[-–]+$"", """")), """"))&gt;0, IFERROR(TRIM(REGEXREPLACE(TRIM(REGEXEXTRACT('AYIRA"&amp;" MINI MART FINAL MENU - Pr'!A950, ""^[^\x{0600}-\x{06FF}]+"")), ""[-–]+$"", """")), """"), GOOGLETRANSLATE('AYIRA MINI MART FINAL MENU - Pr'!A950, ""ar"", ""en"")))"),"Mentos Incredible Chew Cola Flavour Chews 140 g")</f>
        <v>Mentos Incredible Chew Cola Flavour Chews 140 g</v>
      </c>
      <c r="B950" s="56" t="str">
        <f>IFERROR(__xludf.DUMMYFUNCTION("IF('AYIRA MINI MART FINAL MENU - Pr'!B950="""", """", IF(LEN(IFERROR(TRIM(REGEXREPLACE(TRIM(REGEXEXTRACT('AYIRA MINI MART FINAL MENU - Pr'!B950, ""^[^\x{0600}-\x{06FF}]+"")), ""[-–]+$"", """")), """"))&gt;0, IFERROR(TRIM(REGEXREPLACE(TRIM(REGEXEXTRACT('AYIRA"&amp;" MINI MART FINAL MENU - Pr'!B950, ""^[^\x{0600}-\x{06FF}]+"")), ""[-–]+$"", """")), """"), GOOGLETRANSLATE('AYIRA MINI MART FINAL MENU - Pr'!B950, ""ar"", ""en"")))"),"Gums |")</f>
        <v>Gums |</v>
      </c>
      <c r="C950" s="58">
        <f>IF('AYIRA MINI MART FINAL MENU - Pr'!C950="", "", 'AYIRA MINI MART FINAL MENU - Pr'!C950)</f>
        <v>13</v>
      </c>
      <c r="D950" s="56" t="str">
        <f>IFERROR(__xludf.DUMMYFUNCTION("IF('AYIRA MINI MART FINAL MENU - Pr'!D950="""", """", GOOGLETRANSLATE('AYIRA MINI MART FINAL MENU - Pr'!D950, ""ar"", ""en""))"),"Add a sweet moment to your day with Mentos, the delicious treat loved by everyone. With its variety of flavors and vibrant colors, it's suitable for all ages. Perfect as a small treat or a light gift for friends and family. Made with high-quality ingredie"&amp;"nts to ensure great taste in every piece. Get yours from Aira Mini Mart and spread the joy to those you love.")</f>
        <v>Add a sweet moment to your day with Mentos, the delicious treat loved by everyone. With its variety of flavors and vibrant colors, it's suitable for all ages. Perfect as a small treat or a light gift for friends and family. Made with high-quality ingredients to ensure great taste in every piece. Get yours from Aira Mini Mart and spread the joy to those you love.</v>
      </c>
      <c r="E950" s="56" t="str">
        <f>IF('AYIRA MINI MART FINAL MENU - Pr'!K950="", "", 'AYIRA MINI MART FINAL MENU - Pr'!K950)</f>
        <v/>
      </c>
      <c r="F950" s="56"/>
      <c r="G950" s="56"/>
      <c r="H950" s="56"/>
      <c r="I950" s="56"/>
      <c r="J950" s="56"/>
      <c r="L950" s="56" t="str">
        <f>IF('AYIRA MINI MART FINAL MENU - Pr'!L950="", "", 'AYIRA MINI MART FINAL MENU - Pr'!L950)</f>
        <v/>
      </c>
      <c r="M950" s="56" t="str">
        <f>IF('AYIRA MINI MART FINAL MENU - Pr'!M950="", "", 'AYIRA MINI MART FINAL MENU - Pr'!M950)</f>
        <v/>
      </c>
      <c r="N950" s="56" t="str">
        <f>IF('AYIRA MINI MART FINAL MENU - Pr'!N950="", "", 'AYIRA MINI MART FINAL MENU - Pr'!N950)</f>
        <v/>
      </c>
      <c r="O950" s="57"/>
      <c r="P950" s="57"/>
      <c r="Q950" s="57"/>
      <c r="R950" s="57"/>
      <c r="S950" s="57"/>
      <c r="T950" s="57"/>
      <c r="U950" s="57"/>
      <c r="V950" s="57"/>
      <c r="W950" s="57"/>
      <c r="X950" s="57"/>
      <c r="Y950" s="57"/>
      <c r="Z950" s="57"/>
    </row>
    <row r="951">
      <c r="A951" s="56" t="str">
        <f>IFERROR(__xludf.DUMMYFUNCTION("IF('AYIRA MINI MART FINAL MENU - Pr'!A951="""", """", IF(LEN(IFERROR(TRIM(REGEXREPLACE(TRIM(REGEXEXTRACT('AYIRA MINI MART FINAL MENU - Pr'!A951, ""^[^\x{0600}-\x{06FF}]+"")), ""[-–]+$"", """")), """"))&gt;0, IFERROR(TRIM(REGEXREPLACE(TRIM(REGEXEXTRACT('AYIRA"&amp;" MINI MART FINAL MENU - Pr'!A951, ""^[^\x{0600}-\x{06FF}]+"")), ""[-–]+$"", """")), """"), GOOGLETRANSLATE('AYIRA MINI MART FINAL MENU - Pr'!A951, ""ar"", ""en"")))"),"Mentos Mint Chewy Candy Rol 37.5 g")</f>
        <v>Mentos Mint Chewy Candy Rol 37.5 g</v>
      </c>
      <c r="B951" s="56" t="str">
        <f>IFERROR(__xludf.DUMMYFUNCTION("IF('AYIRA MINI MART FINAL MENU - Pr'!B951="""", """", IF(LEN(IFERROR(TRIM(REGEXREPLACE(TRIM(REGEXEXTRACT('AYIRA MINI MART FINAL MENU - Pr'!B951, ""^[^\x{0600}-\x{06FF}]+"")), ""[-–]+$"", """")), """"))&gt;0, IFERROR(TRIM(REGEXREPLACE(TRIM(REGEXEXTRACT('AYIRA"&amp;" MINI MART FINAL MENU - Pr'!B951, ""^[^\x{0600}-\x{06FF}]+"")), ""[-–]+$"", """")), """"), GOOGLETRANSLATE('AYIRA MINI MART FINAL MENU - Pr'!B951, ""ar"", ""en"")))"),"Gums |")</f>
        <v>Gums |</v>
      </c>
      <c r="C951" s="58">
        <f>IF('AYIRA MINI MART FINAL MENU - Pr'!C951="", "", 'AYIRA MINI MART FINAL MENU - Pr'!C951)</f>
        <v>2.5</v>
      </c>
      <c r="D951" s="56" t="str">
        <f>IFERROR(__xludf.DUMMYFUNCTION("IF('AYIRA MINI MART FINAL MENU - Pr'!D951="""", """", GOOGLETRANSLATE('AYIRA MINI MART FINAL MENU - Pr'!D951, ""ar"", ""en""))"),"Add a sweet moment to your day with Mentos, the delicious treat loved by everyone. With its variety of flavors and vibrant colors, it's suitable for all ages. Perfect as a small treat or a light gift for friends and family. Made with high-quality ingredie"&amp;"nts to ensure great taste in every piece. Get yours from Aira Mini Mart and spread the joy to those you love.")</f>
        <v>Add a sweet moment to your day with Mentos, the delicious treat loved by everyone. With its variety of flavors and vibrant colors, it's suitable for all ages. Perfect as a small treat or a light gift for friends and family. Made with high-quality ingredients to ensure great taste in every piece. Get yours from Aira Mini Mart and spread the joy to those you love.</v>
      </c>
      <c r="E951" s="56" t="str">
        <f>IF('AYIRA MINI MART FINAL MENU - Pr'!K951="", "", 'AYIRA MINI MART FINAL MENU - Pr'!K951)</f>
        <v/>
      </c>
      <c r="F951" s="56"/>
      <c r="G951" s="56"/>
      <c r="H951" s="56"/>
      <c r="I951" s="56"/>
      <c r="J951" s="56"/>
      <c r="L951" s="56" t="str">
        <f>IF('AYIRA MINI MART FINAL MENU - Pr'!L951="", "", 'AYIRA MINI MART FINAL MENU - Pr'!L951)</f>
        <v/>
      </c>
      <c r="M951" s="56" t="str">
        <f>IF('AYIRA MINI MART FINAL MENU - Pr'!M951="", "", 'AYIRA MINI MART FINAL MENU - Pr'!M951)</f>
        <v/>
      </c>
      <c r="N951" s="56" t="str">
        <f>IF('AYIRA MINI MART FINAL MENU - Pr'!N951="", "", 'AYIRA MINI MART FINAL MENU - Pr'!N951)</f>
        <v/>
      </c>
      <c r="O951" s="57"/>
      <c r="P951" s="57"/>
      <c r="Q951" s="57"/>
      <c r="R951" s="57"/>
      <c r="S951" s="57"/>
      <c r="T951" s="57"/>
      <c r="U951" s="57"/>
      <c r="V951" s="57"/>
      <c r="W951" s="57"/>
      <c r="X951" s="57"/>
      <c r="Y951" s="57"/>
      <c r="Z951" s="57"/>
    </row>
    <row r="952">
      <c r="A952" s="56" t="str">
        <f>IFERROR(__xludf.DUMMYFUNCTION("IF('AYIRA MINI MART FINAL MENU - Pr'!A952="""", """", IF(LEN(IFERROR(TRIM(REGEXREPLACE(TRIM(REGEXEXTRACT('AYIRA MINI MART FINAL MENU - Pr'!A952, ""^[^\x{0600}-\x{06FF}]+"")), ""[-–]+$"", """")), """"))&gt;0, IFERROR(TRIM(REGEXREPLACE(TRIM(REGEXEXTRACT('AYIRA"&amp;" MINI MART FINAL MENU - Pr'!A952, ""^[^\x{0600}-\x{06FF}]+"")), ""[-–]+$"", """")), """"), GOOGLETRANSLATE('AYIRA MINI MART FINAL MENU - Pr'!A952, ""ar"", ""en"")))"),"Mentos Fruit Chewy Candy Roll 37.5 g")</f>
        <v>Mentos Fruit Chewy Candy Roll 37.5 g</v>
      </c>
      <c r="B952" s="56" t="str">
        <f>IFERROR(__xludf.DUMMYFUNCTION("IF('AYIRA MINI MART FINAL MENU - Pr'!B952="""", """", IF(LEN(IFERROR(TRIM(REGEXREPLACE(TRIM(REGEXEXTRACT('AYIRA MINI MART FINAL MENU - Pr'!B952, ""^[^\x{0600}-\x{06FF}]+"")), ""[-–]+$"", """")), """"))&gt;0, IFERROR(TRIM(REGEXREPLACE(TRIM(REGEXEXTRACT('AYIRA"&amp;" MINI MART FINAL MENU - Pr'!B952, ""^[^\x{0600}-\x{06FF}]+"")), ""[-–]+$"", """")), """"), GOOGLETRANSLATE('AYIRA MINI MART FINAL MENU - Pr'!B952, ""ar"", ""en"")))"),"Gums |")</f>
        <v>Gums |</v>
      </c>
      <c r="C952" s="58">
        <f>IF('AYIRA MINI MART FINAL MENU - Pr'!C952="", "", 'AYIRA MINI MART FINAL MENU - Pr'!C952)</f>
        <v>2.5</v>
      </c>
      <c r="D952" s="56" t="str">
        <f>IFERROR(__xludf.DUMMYFUNCTION("IF('AYIRA MINI MART FINAL MENU - Pr'!D952="""", """", GOOGLETRANSLATE('AYIRA MINI MART FINAL MENU - Pr'!D952, ""ar"", ""en""))"),"Add a sweet moment to your day with Mentos, the delicious treat loved by everyone. With its variety of flavors and vibrant colors, it's suitable for all ages. Perfect as a small treat or a light gift for friends and family. Made with high-quality ingredie"&amp;"nts to ensure great taste in every piece. Get yours from Aira Mini Mart and spread the joy to those you love.")</f>
        <v>Add a sweet moment to your day with Mentos, the delicious treat loved by everyone. With its variety of flavors and vibrant colors, it's suitable for all ages. Perfect as a small treat or a light gift for friends and family. Made with high-quality ingredients to ensure great taste in every piece. Get yours from Aira Mini Mart and spread the joy to those you love.</v>
      </c>
      <c r="E952" s="56" t="str">
        <f>IF('AYIRA MINI MART FINAL MENU - Pr'!K952="", "", 'AYIRA MINI MART FINAL MENU - Pr'!K952)</f>
        <v/>
      </c>
      <c r="F952" s="56"/>
      <c r="G952" s="56"/>
      <c r="H952" s="56"/>
      <c r="I952" s="56"/>
      <c r="J952" s="56"/>
      <c r="L952" s="56" t="str">
        <f>IF('AYIRA MINI MART FINAL MENU - Pr'!L952="", "", 'AYIRA MINI MART FINAL MENU - Pr'!L952)</f>
        <v/>
      </c>
      <c r="M952" s="56" t="str">
        <f>IF('AYIRA MINI MART FINAL MENU - Pr'!M952="", "", 'AYIRA MINI MART FINAL MENU - Pr'!M952)</f>
        <v/>
      </c>
      <c r="N952" s="56" t="str">
        <f>IF('AYIRA MINI MART FINAL MENU - Pr'!N952="", "", 'AYIRA MINI MART FINAL MENU - Pr'!N952)</f>
        <v/>
      </c>
      <c r="O952" s="57"/>
      <c r="P952" s="57"/>
      <c r="Q952" s="57"/>
      <c r="R952" s="57"/>
      <c r="S952" s="57"/>
      <c r="T952" s="57"/>
      <c r="U952" s="57"/>
      <c r="V952" s="57"/>
      <c r="W952" s="57"/>
      <c r="X952" s="57"/>
      <c r="Y952" s="57"/>
      <c r="Z952" s="57"/>
    </row>
    <row r="953">
      <c r="A953" s="56" t="str">
        <f>IFERROR(__xludf.DUMMYFUNCTION("IF('AYIRA MINI MART FINAL MENU - Pr'!A953="""", """", IF(LEN(IFERROR(TRIM(REGEXREPLACE(TRIM(REGEXEXTRACT('AYIRA MINI MART FINAL MENU - Pr'!A953, ""^[^\x{0600}-\x{06FF}]+"")), ""[-–]+$"", """")), """"))&gt;0, IFERROR(TRIM(REGEXREPLACE(TRIM(REGEXEXTRACT('AYIRA"&amp;" MINI MART FINAL MENU - Pr'!A953, ""^[^\x{0600}-\x{06FF}]+"")), ""[-–]+$"", """")), """"), GOOGLETRANSLATE('AYIRA MINI MART FINAL MENU - Pr'!A953, ""ar"", ""en"")))"),"Mentos Rainbow Chewy Candy Roll 37.5 g")</f>
        <v>Mentos Rainbow Chewy Candy Roll 37.5 g</v>
      </c>
      <c r="B953" s="56" t="str">
        <f>IFERROR(__xludf.DUMMYFUNCTION("IF('AYIRA MINI MART FINAL MENU - Pr'!B953="""", """", IF(LEN(IFERROR(TRIM(REGEXREPLACE(TRIM(REGEXEXTRACT('AYIRA MINI MART FINAL MENU - Pr'!B953, ""^[^\x{0600}-\x{06FF}]+"")), ""[-–]+$"", """")), """"))&gt;0, IFERROR(TRIM(REGEXREPLACE(TRIM(REGEXEXTRACT('AYIRA"&amp;" MINI MART FINAL MENU - Pr'!B953, ""^[^\x{0600}-\x{06FF}]+"")), ""[-–]+$"", """")), """"), GOOGLETRANSLATE('AYIRA MINI MART FINAL MENU - Pr'!B953, ""ar"", ""en"")))"),"Gums |")</f>
        <v>Gums |</v>
      </c>
      <c r="C953" s="58">
        <f>IF('AYIRA MINI MART FINAL MENU - Pr'!C953="", "", 'AYIRA MINI MART FINAL MENU - Pr'!C953)</f>
        <v>2.5</v>
      </c>
      <c r="D953" s="56" t="str">
        <f>IFERROR(__xludf.DUMMYFUNCTION("IF('AYIRA MINI MART FINAL MENU - Pr'!D953="""", """", GOOGLETRANSLATE('AYIRA MINI MART FINAL MENU - Pr'!D953, ""ar"", ""en""))"),"Add a sweet moment to your day with Mentos, the delicious treat loved by everyone. With its variety of flavors and vibrant colors, it's suitable for all ages. Perfect as a small treat or a light gift for friends and family. Made with high-quality ingredie"&amp;"nts to ensure great taste in every piece. Get yours from Aira Mini Mart and spread the joy to those you love.")</f>
        <v>Add a sweet moment to your day with Mentos, the delicious treat loved by everyone. With its variety of flavors and vibrant colors, it's suitable for all ages. Perfect as a small treat or a light gift for friends and family. Made with high-quality ingredients to ensure great taste in every piece. Get yours from Aira Mini Mart and spread the joy to those you love.</v>
      </c>
      <c r="E953" s="56" t="str">
        <f>IF('AYIRA MINI MART FINAL MENU - Pr'!K953="", "", 'AYIRA MINI MART FINAL MENU - Pr'!K953)</f>
        <v/>
      </c>
      <c r="F953" s="56"/>
      <c r="G953" s="56"/>
      <c r="H953" s="56"/>
      <c r="I953" s="56"/>
      <c r="J953" s="56"/>
      <c r="L953" s="56" t="str">
        <f>IF('AYIRA MINI MART FINAL MENU - Pr'!L953="", "", 'AYIRA MINI MART FINAL MENU - Pr'!L953)</f>
        <v/>
      </c>
      <c r="M953" s="56" t="str">
        <f>IF('AYIRA MINI MART FINAL MENU - Pr'!M953="", "", 'AYIRA MINI MART FINAL MENU - Pr'!M953)</f>
        <v/>
      </c>
      <c r="N953" s="56" t="str">
        <f>IF('AYIRA MINI MART FINAL MENU - Pr'!N953="", "", 'AYIRA MINI MART FINAL MENU - Pr'!N953)</f>
        <v/>
      </c>
      <c r="O953" s="57"/>
      <c r="P953" s="57"/>
      <c r="Q953" s="57"/>
      <c r="R953" s="57"/>
      <c r="S953" s="57"/>
      <c r="T953" s="57"/>
      <c r="U953" s="57"/>
      <c r="V953" s="57"/>
      <c r="W953" s="57"/>
      <c r="X953" s="57"/>
      <c r="Y953" s="57"/>
      <c r="Z953" s="57"/>
    </row>
    <row r="954">
      <c r="A954" s="56" t="str">
        <f>IFERROR(__xludf.DUMMYFUNCTION("IF('AYIRA MINI MART FINAL MENU - Pr'!A954="""", """", IF(LEN(IFERROR(TRIM(REGEXREPLACE(TRIM(REGEXEXTRACT('AYIRA MINI MART FINAL MENU - Pr'!A954, ""^[^\x{0600}-\x{06FF}]+"")), ""[-–]+$"", """")), """"))&gt;0, IFERROR(TRIM(REGEXREPLACE(TRIM(REGEXEXTRACT('AYIRA"&amp;" MINI MART FINAL MENU - Pr'!A954, ""^[^\x{0600}-\x{06FF}]+"")), ""[-–]+$"", """")), """"), GOOGLETRANSLATE('AYIRA MINI MART FINAL MENU - Pr'!A954, ""ar"", ""en"")))"),"Mentos Strawberry Chewy Candy Roll 37.5 g")</f>
        <v>Mentos Strawberry Chewy Candy Roll 37.5 g</v>
      </c>
      <c r="B954" s="56" t="str">
        <f>IFERROR(__xludf.DUMMYFUNCTION("IF('AYIRA MINI MART FINAL MENU - Pr'!B954="""", """", IF(LEN(IFERROR(TRIM(REGEXREPLACE(TRIM(REGEXEXTRACT('AYIRA MINI MART FINAL MENU - Pr'!B954, ""^[^\x{0600}-\x{06FF}]+"")), ""[-–]+$"", """")), """"))&gt;0, IFERROR(TRIM(REGEXREPLACE(TRIM(REGEXEXTRACT('AYIRA"&amp;" MINI MART FINAL MENU - Pr'!B954, ""^[^\x{0600}-\x{06FF}]+"")), ""[-–]+$"", """")), """"), GOOGLETRANSLATE('AYIRA MINI MART FINAL MENU - Pr'!B954, ""ar"", ""en"")))"),"Gums |")</f>
        <v>Gums |</v>
      </c>
      <c r="C954" s="58">
        <f>IF('AYIRA MINI MART FINAL MENU - Pr'!C954="", "", 'AYIRA MINI MART FINAL MENU - Pr'!C954)</f>
        <v>2.5</v>
      </c>
      <c r="D954" s="56" t="str">
        <f>IFERROR(__xludf.DUMMYFUNCTION("IF('AYIRA MINI MART FINAL MENU - Pr'!D954="""", """", GOOGLETRANSLATE('AYIRA MINI MART FINAL MENU - Pr'!D954, ""ar"", ""en""))"),"Add a sweet moment to your day with Mentos, the delicious treat loved by everyone. With its variety of flavors and vibrant colors, it's suitable for all ages. Perfect as a small treat or a light gift for friends and family. Made with high-quality ingredie"&amp;"nts to ensure great taste in every piece. Get yours from Aira Mini Mart and spread the joy to those you love.")</f>
        <v>Add a sweet moment to your day with Mentos, the delicious treat loved by everyone. With its variety of flavors and vibrant colors, it's suitable for all ages. Perfect as a small treat or a light gift for friends and family. Made with high-quality ingredients to ensure great taste in every piece. Get yours from Aira Mini Mart and spread the joy to those you love.</v>
      </c>
      <c r="E954" s="56" t="str">
        <f>IF('AYIRA MINI MART FINAL MENU - Pr'!K954="", "", 'AYIRA MINI MART FINAL MENU - Pr'!K954)</f>
        <v/>
      </c>
      <c r="F954" s="56"/>
      <c r="G954" s="56"/>
      <c r="H954" s="56"/>
      <c r="I954" s="56"/>
      <c r="J954" s="56"/>
      <c r="L954" s="56" t="str">
        <f>IF('AYIRA MINI MART FINAL MENU - Pr'!L954="", "", 'AYIRA MINI MART FINAL MENU - Pr'!L954)</f>
        <v/>
      </c>
      <c r="M954" s="56" t="str">
        <f>IF('AYIRA MINI MART FINAL MENU - Pr'!M954="", "", 'AYIRA MINI MART FINAL MENU - Pr'!M954)</f>
        <v/>
      </c>
      <c r="N954" s="56" t="str">
        <f>IF('AYIRA MINI MART FINAL MENU - Pr'!N954="", "", 'AYIRA MINI MART FINAL MENU - Pr'!N954)</f>
        <v/>
      </c>
      <c r="O954" s="57"/>
      <c r="P954" s="57"/>
      <c r="Q954" s="57"/>
      <c r="R954" s="57"/>
      <c r="S954" s="57"/>
      <c r="T954" s="57"/>
      <c r="U954" s="57"/>
      <c r="V954" s="57"/>
      <c r="W954" s="57"/>
      <c r="X954" s="57"/>
      <c r="Y954" s="57"/>
      <c r="Z954" s="57"/>
    </row>
    <row r="955">
      <c r="A955" s="56" t="str">
        <f>IFERROR(__xludf.DUMMYFUNCTION("IF('AYIRA MINI MART FINAL MENU - Pr'!A955="""", """", IF(LEN(IFERROR(TRIM(REGEXREPLACE(TRIM(REGEXEXTRACT('AYIRA MINI MART FINAL MENU - Pr'!A955, ""^[^\x{0600}-\x{06FF}]+"")), ""[-–]+$"", """")), """"))&gt;0, IFERROR(TRIM(REGEXREPLACE(TRIM(REGEXEXTRACT('AYIRA"&amp;" MINI MART FINAL MENU - Pr'!A955, ""^[^\x{0600}-\x{06FF}]+"")), ""[-–]+$"", """")), """"), GOOGLETRANSLATE('AYIRA MINI MART FINAL MENU - Pr'!A955, ""ar"", ""en"")))"),"Mentos Pure Fresh Sugarfree Chewing Gum Strawberry 9 Pieces 15 g")</f>
        <v>Mentos Pure Fresh Sugarfree Chewing Gum Strawberry 9 Pieces 15 g</v>
      </c>
      <c r="B955" s="56" t="str">
        <f>IFERROR(__xludf.DUMMYFUNCTION("IF('AYIRA MINI MART FINAL MENU - Pr'!B955="""", """", IF(LEN(IFERROR(TRIM(REGEXREPLACE(TRIM(REGEXEXTRACT('AYIRA MINI MART FINAL MENU - Pr'!B955, ""^[^\x{0600}-\x{06FF}]+"")), ""[-–]+$"", """")), """"))&gt;0, IFERROR(TRIM(REGEXREPLACE(TRIM(REGEXEXTRACT('AYIRA"&amp;" MINI MART FINAL MENU - Pr'!B955, ""^[^\x{0600}-\x{06FF}]+"")), ""[-–]+$"", """")), """"), GOOGLETRANSLATE('AYIRA MINI MART FINAL MENU - Pr'!B955, ""ar"", ""en"")))"),"Gums |")</f>
        <v>Gums |</v>
      </c>
      <c r="C955" s="58">
        <f>IF('AYIRA MINI MART FINAL MENU - Pr'!C955="", "", 'AYIRA MINI MART FINAL MENU - Pr'!C955)</f>
        <v>2.5</v>
      </c>
      <c r="D955" s="56" t="str">
        <f>IFERROR(__xludf.DUMMYFUNCTION("IF('AYIRA MINI MART FINAL MENU - Pr'!D955="""", """", GOOGLETRANSLATE('AYIRA MINI MART FINAL MENU - Pr'!D955,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55" s="56" t="str">
        <f>IF('AYIRA MINI MART FINAL MENU - Pr'!K955="", "", 'AYIRA MINI MART FINAL MENU - Pr'!K955)</f>
        <v/>
      </c>
      <c r="F955" s="56"/>
      <c r="G955" s="56"/>
      <c r="H955" s="56"/>
      <c r="I955" s="56"/>
      <c r="J955" s="56"/>
      <c r="L955" s="56" t="str">
        <f>IF('AYIRA MINI MART FINAL MENU - Pr'!L955="", "", 'AYIRA MINI MART FINAL MENU - Pr'!L955)</f>
        <v/>
      </c>
      <c r="M955" s="56" t="str">
        <f>IF('AYIRA MINI MART FINAL MENU - Pr'!M955="", "", 'AYIRA MINI MART FINAL MENU - Pr'!M955)</f>
        <v/>
      </c>
      <c r="N955" s="56" t="str">
        <f>IF('AYIRA MINI MART FINAL MENU - Pr'!N955="", "", 'AYIRA MINI MART FINAL MENU - Pr'!N955)</f>
        <v/>
      </c>
      <c r="O955" s="57"/>
      <c r="P955" s="57"/>
      <c r="Q955" s="57"/>
      <c r="R955" s="57"/>
      <c r="S955" s="57"/>
      <c r="T955" s="57"/>
      <c r="U955" s="57"/>
      <c r="V955" s="57"/>
      <c r="W955" s="57"/>
      <c r="X955" s="57"/>
      <c r="Y955" s="57"/>
      <c r="Z955" s="57"/>
    </row>
    <row r="956">
      <c r="A956" s="56" t="str">
        <f>IFERROR(__xludf.DUMMYFUNCTION("IF('AYIRA MINI MART FINAL MENU - Pr'!A956="""", """", IF(LEN(IFERROR(TRIM(REGEXREPLACE(TRIM(REGEXEXTRACT('AYIRA MINI MART FINAL MENU - Pr'!A956, ""^[^\x{0600}-\x{06FF}]+"")), ""[-–]+$"", """")), """"))&gt;0, IFERROR(TRIM(REGEXREPLACE(TRIM(REGEXEXTRACT('AYIRA"&amp;" MINI MART FINAL MENU - Pr'!A956, ""^[^\x{0600}-\x{06FF}]+"")), ""[-–]+$"", """")), """"), GOOGLETRANSLATE('AYIRA MINI MART FINAL MENU - Pr'!A956, ""ar"", ""en"")))"),"Mentos Pure Fresh Sugarfree Chewing Gum Spearmint 9 Pieces 15 g")</f>
        <v>Mentos Pure Fresh Sugarfree Chewing Gum Spearmint 9 Pieces 15 g</v>
      </c>
      <c r="B956" s="56" t="str">
        <f>IFERROR(__xludf.DUMMYFUNCTION("IF('AYIRA MINI MART FINAL MENU - Pr'!B956="""", """", IF(LEN(IFERROR(TRIM(REGEXREPLACE(TRIM(REGEXEXTRACT('AYIRA MINI MART FINAL MENU - Pr'!B956, ""^[^\x{0600}-\x{06FF}]+"")), ""[-–]+$"", """")), """"))&gt;0, IFERROR(TRIM(REGEXREPLACE(TRIM(REGEXEXTRACT('AYIRA"&amp;" MINI MART FINAL MENU - Pr'!B956, ""^[^\x{0600}-\x{06FF}]+"")), ""[-–]+$"", """")), """"), GOOGLETRANSLATE('AYIRA MINI MART FINAL MENU - Pr'!B956, ""ar"", ""en"")))"),"Gums |")</f>
        <v>Gums |</v>
      </c>
      <c r="C956" s="58">
        <f>IF('AYIRA MINI MART FINAL MENU - Pr'!C956="", "", 'AYIRA MINI MART FINAL MENU - Pr'!C956)</f>
        <v>2.5</v>
      </c>
      <c r="D956" s="56" t="str">
        <f>IFERROR(__xludf.DUMMYFUNCTION("IF('AYIRA MINI MART FINAL MENU - Pr'!D956="""", """", GOOGLETRANSLATE('AYIRA MINI MART FINAL MENU - Pr'!D956,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56" s="56" t="str">
        <f>IF('AYIRA MINI MART FINAL MENU - Pr'!K956="", "", 'AYIRA MINI MART FINAL MENU - Pr'!K956)</f>
        <v/>
      </c>
      <c r="F956" s="56"/>
      <c r="G956" s="56"/>
      <c r="H956" s="56"/>
      <c r="I956" s="56"/>
      <c r="J956" s="56"/>
      <c r="L956" s="56" t="str">
        <f>IF('AYIRA MINI MART FINAL MENU - Pr'!L956="", "", 'AYIRA MINI MART FINAL MENU - Pr'!L956)</f>
        <v/>
      </c>
      <c r="M956" s="56" t="str">
        <f>IF('AYIRA MINI MART FINAL MENU - Pr'!M956="", "", 'AYIRA MINI MART FINAL MENU - Pr'!M956)</f>
        <v/>
      </c>
      <c r="N956" s="56" t="str">
        <f>IF('AYIRA MINI MART FINAL MENU - Pr'!N956="", "", 'AYIRA MINI MART FINAL MENU - Pr'!N956)</f>
        <v/>
      </c>
      <c r="O956" s="57"/>
      <c r="P956" s="57"/>
      <c r="Q956" s="57"/>
      <c r="R956" s="57"/>
      <c r="S956" s="57"/>
      <c r="T956" s="57"/>
      <c r="U956" s="57"/>
      <c r="V956" s="57"/>
      <c r="W956" s="57"/>
      <c r="X956" s="57"/>
      <c r="Y956" s="57"/>
      <c r="Z956" s="57"/>
    </row>
    <row r="957">
      <c r="A957" s="56" t="str">
        <f>IFERROR(__xludf.DUMMYFUNCTION("IF('AYIRA MINI MART FINAL MENU - Pr'!A957="""", """", IF(LEN(IFERROR(TRIM(REGEXREPLACE(TRIM(REGEXEXTRACT('AYIRA MINI MART FINAL MENU - Pr'!A957, ""^[^\x{0600}-\x{06FF}]+"")), ""[-–]+$"", """")), """"))&gt;0, IFERROR(TRIM(REGEXREPLACE(TRIM(REGEXEXTRACT('AYIRA"&amp;" MINI MART FINAL MENU - Pr'!A957, ""^[^\x{0600}-\x{06FF}]+"")), ""[-–]+$"", """")), """"), GOOGLETRANSLATE('AYIRA MINI MART FINAL MENU - Pr'!A957, ""ar"", ""en"")))"),"Mentos Pure Fresh Sugarfree Chewing Gum Bubble Fresh 9 Pieces 15 g")</f>
        <v>Mentos Pure Fresh Sugarfree Chewing Gum Bubble Fresh 9 Pieces 15 g</v>
      </c>
      <c r="B957" s="56" t="str">
        <f>IFERROR(__xludf.DUMMYFUNCTION("IF('AYIRA MINI MART FINAL MENU - Pr'!B957="""", """", IF(LEN(IFERROR(TRIM(REGEXREPLACE(TRIM(REGEXEXTRACT('AYIRA MINI MART FINAL MENU - Pr'!B957, ""^[^\x{0600}-\x{06FF}]+"")), ""[-–]+$"", """")), """"))&gt;0, IFERROR(TRIM(REGEXREPLACE(TRIM(REGEXEXTRACT('AYIRA"&amp;" MINI MART FINAL MENU - Pr'!B957, ""^[^\x{0600}-\x{06FF}]+"")), ""[-–]+$"", """")), """"), GOOGLETRANSLATE('AYIRA MINI MART FINAL MENU - Pr'!B957, ""ar"", ""en"")))"),"Gums |")</f>
        <v>Gums |</v>
      </c>
      <c r="C957" s="58">
        <f>IF('AYIRA MINI MART FINAL MENU - Pr'!C957="", "", 'AYIRA MINI MART FINAL MENU - Pr'!C957)</f>
        <v>2.5</v>
      </c>
      <c r="D957" s="56" t="str">
        <f>IFERROR(__xludf.DUMMYFUNCTION("IF('AYIRA MINI MART FINAL MENU - Pr'!D957="""", """", GOOGLETRANSLATE('AYIRA MINI MART FINAL MENU - Pr'!D957,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57" s="56" t="str">
        <f>IF('AYIRA MINI MART FINAL MENU - Pr'!K957="", "", 'AYIRA MINI MART FINAL MENU - Pr'!K957)</f>
        <v/>
      </c>
      <c r="F957" s="56"/>
      <c r="G957" s="56"/>
      <c r="H957" s="56"/>
      <c r="I957" s="56"/>
      <c r="J957" s="56"/>
      <c r="L957" s="56" t="str">
        <f>IF('AYIRA MINI MART FINAL MENU - Pr'!L957="", "", 'AYIRA MINI MART FINAL MENU - Pr'!L957)</f>
        <v/>
      </c>
      <c r="M957" s="56" t="str">
        <f>IF('AYIRA MINI MART FINAL MENU - Pr'!M957="", "", 'AYIRA MINI MART FINAL MENU - Pr'!M957)</f>
        <v/>
      </c>
      <c r="N957" s="56" t="str">
        <f>IF('AYIRA MINI MART FINAL MENU - Pr'!N957="", "", 'AYIRA MINI MART FINAL MENU - Pr'!N957)</f>
        <v/>
      </c>
      <c r="O957" s="57"/>
      <c r="P957" s="57"/>
      <c r="Q957" s="57"/>
      <c r="R957" s="57"/>
      <c r="S957" s="57"/>
      <c r="T957" s="57"/>
      <c r="U957" s="57"/>
      <c r="V957" s="57"/>
      <c r="W957" s="57"/>
      <c r="X957" s="57"/>
      <c r="Y957" s="57"/>
      <c r="Z957" s="57"/>
    </row>
    <row r="958">
      <c r="A958" s="56" t="str">
        <f>IFERROR(__xludf.DUMMYFUNCTION("IF('AYIRA MINI MART FINAL MENU - Pr'!A958="""", """", IF(LEN(IFERROR(TRIM(REGEXREPLACE(TRIM(REGEXEXTRACT('AYIRA MINI MART FINAL MENU - Pr'!A958, ""^[^\x{0600}-\x{06FF}]+"")), ""[-–]+$"", """")), """"))&gt;0, IFERROR(TRIM(REGEXREPLACE(TRIM(REGEXEXTRACT('AYIRA"&amp;" MINI MART FINAL MENU - Pr'!A958, ""^[^\x{0600}-\x{06FF}]+"")), ""[-–]+$"", """")), """"), GOOGLETRANSLATE('AYIRA MINI MART FINAL MENU - Pr'!A958, ""ar"", ""en"")))"),"Mentos Pure Fresh Sugarfree Chewing Gum Fresh Mint 9 Pieces 15 g")</f>
        <v>Mentos Pure Fresh Sugarfree Chewing Gum Fresh Mint 9 Pieces 15 g</v>
      </c>
      <c r="B958" s="56" t="str">
        <f>IFERROR(__xludf.DUMMYFUNCTION("IF('AYIRA MINI MART FINAL MENU - Pr'!B958="""", """", IF(LEN(IFERROR(TRIM(REGEXREPLACE(TRIM(REGEXEXTRACT('AYIRA MINI MART FINAL MENU - Pr'!B958, ""^[^\x{0600}-\x{06FF}]+"")), ""[-–]+$"", """")), """"))&gt;0, IFERROR(TRIM(REGEXREPLACE(TRIM(REGEXEXTRACT('AYIRA"&amp;" MINI MART FINAL MENU - Pr'!B958, ""^[^\x{0600}-\x{06FF}]+"")), ""[-–]+$"", """")), """"), GOOGLETRANSLATE('AYIRA MINI MART FINAL MENU - Pr'!B958, ""ar"", ""en"")))"),"Gums |")</f>
        <v>Gums |</v>
      </c>
      <c r="C958" s="58">
        <f>IF('AYIRA MINI MART FINAL MENU - Pr'!C958="", "", 'AYIRA MINI MART FINAL MENU - Pr'!C958)</f>
        <v>2.5</v>
      </c>
      <c r="D958" s="56" t="str">
        <f>IFERROR(__xludf.DUMMYFUNCTION("IF('AYIRA MINI MART FINAL MENU - Pr'!D958="""", """", GOOGLETRANSLATE('AYIRA MINI MART FINAL MENU - Pr'!D958,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58" s="56" t="str">
        <f>IF('AYIRA MINI MART FINAL MENU - Pr'!K958="", "", 'AYIRA MINI MART FINAL MENU - Pr'!K958)</f>
        <v/>
      </c>
      <c r="F958" s="56"/>
      <c r="G958" s="56"/>
      <c r="H958" s="56"/>
      <c r="I958" s="56"/>
      <c r="J958" s="56"/>
      <c r="L958" s="56" t="str">
        <f>IF('AYIRA MINI MART FINAL MENU - Pr'!L958="", "", 'AYIRA MINI MART FINAL MENU - Pr'!L958)</f>
        <v/>
      </c>
      <c r="M958" s="56" t="str">
        <f>IF('AYIRA MINI MART FINAL MENU - Pr'!M958="", "", 'AYIRA MINI MART FINAL MENU - Pr'!M958)</f>
        <v/>
      </c>
      <c r="N958" s="56" t="str">
        <f>IF('AYIRA MINI MART FINAL MENU - Pr'!N958="", "", 'AYIRA MINI MART FINAL MENU - Pr'!N958)</f>
        <v/>
      </c>
      <c r="O958" s="57"/>
      <c r="P958" s="57"/>
      <c r="Q958" s="57"/>
      <c r="R958" s="57"/>
      <c r="S958" s="57"/>
      <c r="T958" s="57"/>
      <c r="U958" s="57"/>
      <c r="V958" s="57"/>
      <c r="W958" s="57"/>
      <c r="X958" s="57"/>
      <c r="Y958" s="57"/>
      <c r="Z958" s="57"/>
    </row>
    <row r="959">
      <c r="A959" s="56" t="str">
        <f>IFERROR(__xludf.DUMMYFUNCTION("IF('AYIRA MINI MART FINAL MENU - Pr'!A959="""", """", IF(LEN(IFERROR(TRIM(REGEXREPLACE(TRIM(REGEXEXTRACT('AYIRA MINI MART FINAL MENU - Pr'!A959, ""^[^\x{0600}-\x{06FF}]+"")), ""[-–]+$"", """")), """"))&gt;0, IFERROR(TRIM(REGEXREPLACE(TRIM(REGEXEXTRACT('AYIRA"&amp;" MINI MART FINAL MENU - Pr'!A959, ""^[^\x{0600}-\x{06FF}]+"")), ""[-–]+$"", """")), """"), GOOGLETRANSLATE('AYIRA MINI MART FINAL MENU - Pr'!A959, ""ar"", ""en"")))"),"Mentos Pure Fresh Sugarfree Chewing Gum Strawberry 50 Pieces 87.5 g")</f>
        <v>Mentos Pure Fresh Sugarfree Chewing Gum Strawberry 50 Pieces 87.5 g</v>
      </c>
      <c r="B959" s="56" t="str">
        <f>IFERROR(__xludf.DUMMYFUNCTION("IF('AYIRA MINI MART FINAL MENU - Pr'!B959="""", """", IF(LEN(IFERROR(TRIM(REGEXREPLACE(TRIM(REGEXEXTRACT('AYIRA MINI MART FINAL MENU - Pr'!B959, ""^[^\x{0600}-\x{06FF}]+"")), ""[-–]+$"", """")), """"))&gt;0, IFERROR(TRIM(REGEXREPLACE(TRIM(REGEXEXTRACT('AYIRA"&amp;" MINI MART FINAL MENU - Pr'!B959, ""^[^\x{0600}-\x{06FF}]+"")), ""[-–]+$"", """")), """"), GOOGLETRANSLATE('AYIRA MINI MART FINAL MENU - Pr'!B959, ""ar"", ""en"")))"),"Gums |")</f>
        <v>Gums |</v>
      </c>
      <c r="C959" s="58">
        <f>IF('AYIRA MINI MART FINAL MENU - Pr'!C959="", "", 'AYIRA MINI MART FINAL MENU - Pr'!C959)</f>
        <v>14.5</v>
      </c>
      <c r="D959" s="56" t="str">
        <f>IFERROR(__xludf.DUMMYFUNCTION("IF('AYIRA MINI MART FINAL MENU - Pr'!D959="""", """", GOOGLETRANSLATE('AYIRA MINI MART FINAL MENU - Pr'!D959,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59" s="56" t="str">
        <f>IF('AYIRA MINI MART FINAL MENU - Pr'!K959="", "", 'AYIRA MINI MART FINAL MENU - Pr'!K959)</f>
        <v/>
      </c>
      <c r="F959" s="56"/>
      <c r="G959" s="56"/>
      <c r="H959" s="56"/>
      <c r="I959" s="56"/>
      <c r="J959" s="56"/>
      <c r="L959" s="56" t="str">
        <f>IF('AYIRA MINI MART FINAL MENU - Pr'!L959="", "", 'AYIRA MINI MART FINAL MENU - Pr'!L959)</f>
        <v/>
      </c>
      <c r="M959" s="56" t="str">
        <f>IF('AYIRA MINI MART FINAL MENU - Pr'!M959="", "", 'AYIRA MINI MART FINAL MENU - Pr'!M959)</f>
        <v/>
      </c>
      <c r="N959" s="56" t="str">
        <f>IF('AYIRA MINI MART FINAL MENU - Pr'!N959="", "", 'AYIRA MINI MART FINAL MENU - Pr'!N959)</f>
        <v/>
      </c>
      <c r="O959" s="57"/>
      <c r="P959" s="57"/>
      <c r="Q959" s="57"/>
      <c r="R959" s="57"/>
      <c r="S959" s="57"/>
      <c r="T959" s="57"/>
      <c r="U959" s="57"/>
      <c r="V959" s="57"/>
      <c r="W959" s="57"/>
      <c r="X959" s="57"/>
      <c r="Y959" s="57"/>
      <c r="Z959" s="57"/>
    </row>
    <row r="960">
      <c r="A960" s="56" t="str">
        <f>IFERROR(__xludf.DUMMYFUNCTION("IF('AYIRA MINI MART FINAL MENU - Pr'!A960="""", """", IF(LEN(IFERROR(TRIM(REGEXREPLACE(TRIM(REGEXEXTRACT('AYIRA MINI MART FINAL MENU - Pr'!A960, ""^[^\x{0600}-\x{06FF}]+"")), ""[-–]+$"", """")), """"))&gt;0, IFERROR(TRIM(REGEXREPLACE(TRIM(REGEXEXTRACT('AYIRA"&amp;" MINI MART FINAL MENU - Pr'!A960, ""^[^\x{0600}-\x{06FF}]+"")), ""[-–]+$"", """")), """"), GOOGLETRANSLATE('AYIRA MINI MART FINAL MENU - Pr'!A960, ""ar"", ""en"")))"),"Mentos Pure Fresh Sugarfree Chewing Gum Bubble Fresh 50 Pieces 87.5 g")</f>
        <v>Mentos Pure Fresh Sugarfree Chewing Gum Bubble Fresh 50 Pieces 87.5 g</v>
      </c>
      <c r="B960" s="56" t="str">
        <f>IFERROR(__xludf.DUMMYFUNCTION("IF('AYIRA MINI MART FINAL MENU - Pr'!B960="""", """", IF(LEN(IFERROR(TRIM(REGEXREPLACE(TRIM(REGEXEXTRACT('AYIRA MINI MART FINAL MENU - Pr'!B960, ""^[^\x{0600}-\x{06FF}]+"")), ""[-–]+$"", """")), """"))&gt;0, IFERROR(TRIM(REGEXREPLACE(TRIM(REGEXEXTRACT('AYIRA"&amp;" MINI MART FINAL MENU - Pr'!B960, ""^[^\x{0600}-\x{06FF}]+"")), ""[-–]+$"", """")), """"), GOOGLETRANSLATE('AYIRA MINI MART FINAL MENU - Pr'!B960, ""ar"", ""en"")))"),"Gums |")</f>
        <v>Gums |</v>
      </c>
      <c r="C960" s="58">
        <f>IF('AYIRA MINI MART FINAL MENU - Pr'!C960="", "", 'AYIRA MINI MART FINAL MENU - Pr'!C960)</f>
        <v>14.5</v>
      </c>
      <c r="D960" s="56" t="str">
        <f>IFERROR(__xludf.DUMMYFUNCTION("IF('AYIRA MINI MART FINAL MENU - Pr'!D960="""", """", GOOGLETRANSLATE('AYIRA MINI MART FINAL MENU - Pr'!D960,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60" s="56" t="str">
        <f>IF('AYIRA MINI MART FINAL MENU - Pr'!K960="", "", 'AYIRA MINI MART FINAL MENU - Pr'!K960)</f>
        <v/>
      </c>
      <c r="F960" s="56"/>
      <c r="G960" s="56"/>
      <c r="H960" s="56"/>
      <c r="I960" s="56"/>
      <c r="J960" s="56"/>
      <c r="L960" s="56" t="str">
        <f>IF('AYIRA MINI MART FINAL MENU - Pr'!L960="", "", 'AYIRA MINI MART FINAL MENU - Pr'!L960)</f>
        <v/>
      </c>
      <c r="M960" s="56" t="str">
        <f>IF('AYIRA MINI MART FINAL MENU - Pr'!M960="", "", 'AYIRA MINI MART FINAL MENU - Pr'!M960)</f>
        <v/>
      </c>
      <c r="N960" s="56" t="str">
        <f>IF('AYIRA MINI MART FINAL MENU - Pr'!N960="", "", 'AYIRA MINI MART FINAL MENU - Pr'!N960)</f>
        <v/>
      </c>
      <c r="O960" s="57"/>
      <c r="P960" s="57"/>
      <c r="Q960" s="57"/>
      <c r="R960" s="57"/>
      <c r="S960" s="57"/>
      <c r="T960" s="57"/>
      <c r="U960" s="57"/>
      <c r="V960" s="57"/>
      <c r="W960" s="57"/>
      <c r="X960" s="57"/>
      <c r="Y960" s="57"/>
      <c r="Z960" s="57"/>
    </row>
    <row r="961">
      <c r="A961" s="56" t="str">
        <f>IFERROR(__xludf.DUMMYFUNCTION("IF('AYIRA MINI MART FINAL MENU - Pr'!A961="""", """", IF(LEN(IFERROR(TRIM(REGEXREPLACE(TRIM(REGEXEXTRACT('AYIRA MINI MART FINAL MENU - Pr'!A961, ""^[^\x{0600}-\x{06FF}]+"")), ""[-–]+$"", """")), """"))&gt;0, IFERROR(TRIM(REGEXREPLACE(TRIM(REGEXEXTRACT('AYIRA"&amp;" MINI MART FINAL MENU - Pr'!A961, ""^[^\x{0600}-\x{06FF}]+"")), ""[-–]+$"", """")), """"), GOOGLETRANSLATE('AYIRA MINI MART FINAL MENU - Pr'!A961, ""ar"", ""en"")))"),"Mentos Pure Fresh Sugarfree Chewing Gum Spearmint 50 Pieces 87.5 g")</f>
        <v>Mentos Pure Fresh Sugarfree Chewing Gum Spearmint 50 Pieces 87.5 g</v>
      </c>
      <c r="B961" s="56" t="str">
        <f>IFERROR(__xludf.DUMMYFUNCTION("IF('AYIRA MINI MART FINAL MENU - Pr'!B961="""", """", IF(LEN(IFERROR(TRIM(REGEXREPLACE(TRIM(REGEXEXTRACT('AYIRA MINI MART FINAL MENU - Pr'!B961, ""^[^\x{0600}-\x{06FF}]+"")), ""[-–]+$"", """")), """"))&gt;0, IFERROR(TRIM(REGEXREPLACE(TRIM(REGEXEXTRACT('AYIRA"&amp;" MINI MART FINAL MENU - Pr'!B961, ""^[^\x{0600}-\x{06FF}]+"")), ""[-–]+$"", """")), """"), GOOGLETRANSLATE('AYIRA MINI MART FINAL MENU - Pr'!B961, ""ar"", ""en"")))"),"Gums |")</f>
        <v>Gums |</v>
      </c>
      <c r="C961" s="58">
        <f>IF('AYIRA MINI MART FINAL MENU - Pr'!C961="", "", 'AYIRA MINI MART FINAL MENU - Pr'!C961)</f>
        <v>14.5</v>
      </c>
      <c r="D961" s="56" t="str">
        <f>IFERROR(__xludf.DUMMYFUNCTION("IF('AYIRA MINI MART FINAL MENU - Pr'!D961="""", """", GOOGLETRANSLATE('AYIRA MINI MART FINAL MENU - Pr'!D961, ""ar"", ""en""))"),"Enjoy Mentos, the refreshing gum that keeps your mouth clean and fresh all day long. Its long-lasting flavor and unique formula make it the perfect choice for those seeking continuous freshness throughout the day. It helps to invigorate teeth and freshen "&amp;"breath beautifully. Suitable anytime, anywhere. Get it from Aira Mini Mart and enjoy continuous freshness.")</f>
        <v>Enjoy Mentos, the refreshing gum that keeps your mouth clean and fresh all day long. Its long-lasting flavor and unique formula make it the perfect choice for those seeking continuous freshness throughout the day. It helps to invigorate teeth and freshen breath beautifully. Suitable anytime, anywhere. Get it from Aira Mini Mart and enjoy continuous freshness.</v>
      </c>
      <c r="E961" s="56" t="str">
        <f>IF('AYIRA MINI MART FINAL MENU - Pr'!K961="", "", 'AYIRA MINI MART FINAL MENU - Pr'!K961)</f>
        <v/>
      </c>
      <c r="F961" s="56"/>
      <c r="G961" s="56"/>
      <c r="H961" s="56"/>
      <c r="I961" s="56"/>
      <c r="J961" s="56"/>
      <c r="L961" s="56" t="str">
        <f>IF('AYIRA MINI MART FINAL MENU - Pr'!L961="", "", 'AYIRA MINI MART FINAL MENU - Pr'!L961)</f>
        <v/>
      </c>
      <c r="M961" s="56" t="str">
        <f>IF('AYIRA MINI MART FINAL MENU - Pr'!M961="", "", 'AYIRA MINI MART FINAL MENU - Pr'!M961)</f>
        <v/>
      </c>
      <c r="N961" s="56" t="str">
        <f>IF('AYIRA MINI MART FINAL MENU - Pr'!N961="", "", 'AYIRA MINI MART FINAL MENU - Pr'!N961)</f>
        <v/>
      </c>
      <c r="O961" s="57"/>
      <c r="P961" s="57"/>
      <c r="Q961" s="57"/>
      <c r="R961" s="57"/>
      <c r="S961" s="57"/>
      <c r="T961" s="57"/>
      <c r="U961" s="57"/>
      <c r="V961" s="57"/>
      <c r="W961" s="57"/>
      <c r="X961" s="57"/>
      <c r="Y961" s="57"/>
      <c r="Z961" s="57"/>
    </row>
    <row r="962">
      <c r="A962" s="56" t="str">
        <f>IFERROR(__xludf.DUMMYFUNCTION("IF('AYIRA MINI MART FINAL MENU - Pr'!A962="""", """", IF(LEN(IFERROR(TRIM(REGEXREPLACE(TRIM(REGEXEXTRACT('AYIRA MINI MART FINAL MENU - Pr'!A962, ""^[^\x{0600}-\x{06FF}]+"")), ""[-–]+$"", """")), """"))&gt;0, IFERROR(TRIM(REGEXREPLACE(TRIM(REGEXEXTRACT('AYIRA"&amp;" MINI MART FINAL MENU - Pr'!A962, ""^[^\x{0600}-\x{06FF}]+"")), ""[-–]+$"", """")), """"), GOOGLETRANSLATE('AYIRA MINI MART FINAL MENU - Pr'!A962, ""ar"", ""en"")))"),"Mentos Pure Fresh Sugarfree Chewing Gum Watermelon 50 Pieces 87.5 g")</f>
        <v>Mentos Pure Fresh Sugarfree Chewing Gum Watermelon 50 Pieces 87.5 g</v>
      </c>
      <c r="B962" s="56" t="str">
        <f>IFERROR(__xludf.DUMMYFUNCTION("IF('AYIRA MINI MART FINAL MENU - Pr'!B962="""", """", IF(LEN(IFERROR(TRIM(REGEXREPLACE(TRIM(REGEXEXTRACT('AYIRA MINI MART FINAL MENU - Pr'!B962, ""^[^\x{0600}-\x{06FF}]+"")), ""[-–]+$"", """")), """"))&gt;0, IFERROR(TRIM(REGEXREPLACE(TRIM(REGEXEXTRACT('AYIRA"&amp;" MINI MART FINAL MENU - Pr'!B962, ""^[^\x{0600}-\x{06FF}]+"")), ""[-–]+$"", """")), """"), GOOGLETRANSLATE('AYIRA MINI MART FINAL MENU - Pr'!B962, ""ar"", ""en"")))"),"Gums |")</f>
        <v>Gums |</v>
      </c>
      <c r="C962" s="58">
        <f>IF('AYIRA MINI MART FINAL MENU - Pr'!C962="", "", 'AYIRA MINI MART FINAL MENU - Pr'!C962)</f>
        <v>14.5</v>
      </c>
      <c r="D962" s="56" t="str">
        <f>IFERROR(__xludf.DUMMYFUNCTION("IF('AYIRA MINI MART FINAL MENU - Pr'!D962="""", """", GOOGLETRANSLATE('AYIRA MINI MART FINAL MENU - Pr'!D962, ""ar"", ""en""))"),"Drink Mentos, the pure water that restores your body's natural balance. Sourced from the purest natural sources and bottled to the highest standards of quality and hygiene to ensure it reaches you in perfect condition. Proper hydration is essential for a "&amp;"good life, and choosing this water reflects your commitment to your well-being. Make sure to drink enough water daily to stay energized and vibrant. Aira Mini Mart offers this premium water at competitive prices.")</f>
        <v>Drink Mentos, the pure water that restores your body's natural balance. Sourced from the purest natural sources and bottled to the highest standards of quality and hygiene to ensure it reaches you in perfect condition. Proper hydration is essential for a good life, and choosing this water reflects your commitment to your well-being. Make sure to drink enough water daily to stay energized and vibrant. Aira Mini Mart offers this premium water at competitive prices.</v>
      </c>
      <c r="E962" s="56" t="str">
        <f>IF('AYIRA MINI MART FINAL MENU - Pr'!K962="", "", 'AYIRA MINI MART FINAL MENU - Pr'!K962)</f>
        <v/>
      </c>
      <c r="F962" s="56"/>
      <c r="G962" s="56"/>
      <c r="H962" s="56"/>
      <c r="I962" s="56"/>
      <c r="J962" s="56"/>
      <c r="L962" s="56" t="str">
        <f>IF('AYIRA MINI MART FINAL MENU - Pr'!L962="", "", 'AYIRA MINI MART FINAL MENU - Pr'!L962)</f>
        <v/>
      </c>
      <c r="M962" s="56" t="str">
        <f>IF('AYIRA MINI MART FINAL MENU - Pr'!M962="", "", 'AYIRA MINI MART FINAL MENU - Pr'!M962)</f>
        <v/>
      </c>
      <c r="N962" s="56" t="str">
        <f>IF('AYIRA MINI MART FINAL MENU - Pr'!N962="", "", 'AYIRA MINI MART FINAL MENU - Pr'!N962)</f>
        <v/>
      </c>
      <c r="O962" s="57"/>
      <c r="P962" s="57"/>
      <c r="Q962" s="57"/>
      <c r="R962" s="57"/>
      <c r="S962" s="57"/>
      <c r="T962" s="57"/>
      <c r="U962" s="57"/>
      <c r="V962" s="57"/>
      <c r="W962" s="57"/>
      <c r="X962" s="57"/>
      <c r="Y962" s="57"/>
      <c r="Z962" s="57"/>
    </row>
    <row r="963">
      <c r="A963" s="56" t="str">
        <f>IFERROR(__xludf.DUMMYFUNCTION("IF('AYIRA MINI MART FINAL MENU - Pr'!A963="""", """", IF(LEN(IFERROR(TRIM(REGEXREPLACE(TRIM(REGEXEXTRACT('AYIRA MINI MART FINAL MENU - Pr'!A963, ""^[^\x{0600}-\x{06FF}]+"")), ""[-–]+$"", """")), """"))&gt;0, IFERROR(TRIM(REGEXREPLACE(TRIM(REGEXEXTRACT('AYIRA"&amp;" MINI MART FINAL MENU - Pr'!A963, ""^[^\x{0600}-\x{06FF}]+"")), ""[-–]+$"", """")), """"), GOOGLETRANSLATE('AYIRA MINI MART FINAL MENU - Pr'!A963, ""ar"", ""en"")))"),"Qbake Zaatar Cream Cheese Sandwich Roll 110g – Qbake Zaatar")</f>
        <v>Qbake Zaatar Cream Cheese Sandwich Roll 110g – Qbake Zaatar</v>
      </c>
      <c r="B963" s="56" t="str">
        <f>IFERROR(__xludf.DUMMYFUNCTION("IF('AYIRA MINI MART FINAL MENU - Pr'!B963="""", """", IF(LEN(IFERROR(TRIM(REGEXREPLACE(TRIM(REGEXEXTRACT('AYIRA MINI MART FINAL MENU - Pr'!B963, ""^[^\x{0600}-\x{06FF}]+"")), ""[-–]+$"", """")), """"))&gt;0, IFERROR(TRIM(REGEXREPLACE(TRIM(REGEXEXTRACT('AYIRA"&amp;" MINI MART FINAL MENU - Pr'!B963, ""^[^\x{0600}-\x{06FF}]+"")), ""[-–]+$"", """")), """"), GOOGLETRANSLATE('AYIRA MINI MART FINAL MENU - Pr'!B963, ""ar"", ""en"")))"),"Bakery &amp; Pastries")</f>
        <v>Bakery &amp; Pastries</v>
      </c>
      <c r="C963" s="58">
        <f>IF('AYIRA MINI MART FINAL MENU - Pr'!C963="", "", 'AYIRA MINI MART FINAL MENU - Pr'!C963)</f>
        <v>3</v>
      </c>
      <c r="D963" s="56" t="str">
        <f>IFERROR(__xludf.DUMMYFUNCTION("IF('AYIRA MINI MART FINAL MENU - Pr'!D963="""", """", GOOGLETRANSLATE('AYIRA MINI MART FINAL MENU - Pr'!D963, ""ar"", ""en""))"),"Discover Qbake Zaatar Cream Cheese Sandwich Roll 110g, a premium product that combines high quality with great value. Made to the highest standards of quality and safety to ensure your complete satisfaction every time. Its excellent features make it the p"&amp;"erfect choice for you and your family. Whether for everyday use or special occasions, it meets and exceeds your expectations. Get it now from Aira Mini Mart and enjoy a pleasant and reliable shopping experience.")</f>
        <v>Discover Qbake Zaatar Cream Cheese Sandwich Roll 110g,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63" s="56" t="str">
        <f>IF('AYIRA MINI MART FINAL MENU - Pr'!K963="", "", 'AYIRA MINI MART FINAL MENU - Pr'!K963)</f>
        <v/>
      </c>
      <c r="F963" s="56"/>
      <c r="G963" s="56"/>
      <c r="H963" s="56"/>
      <c r="I963" s="56"/>
      <c r="J963" s="56"/>
      <c r="L963" s="56" t="str">
        <f>IF('AYIRA MINI MART FINAL MENU - Pr'!L963="", "", 'AYIRA MINI MART FINAL MENU - Pr'!L963)</f>
        <v/>
      </c>
      <c r="M963" s="56" t="str">
        <f>IF('AYIRA MINI MART FINAL MENU - Pr'!M963="", "", 'AYIRA MINI MART FINAL MENU - Pr'!M963)</f>
        <v/>
      </c>
      <c r="N963" s="56" t="str">
        <f>IF('AYIRA MINI MART FINAL MENU - Pr'!N963="", "", 'AYIRA MINI MART FINAL MENU - Pr'!N963)</f>
        <v/>
      </c>
      <c r="O963" s="57"/>
      <c r="P963" s="57"/>
      <c r="Q963" s="57"/>
      <c r="R963" s="57"/>
      <c r="S963" s="57"/>
      <c r="T963" s="57"/>
      <c r="U963" s="57"/>
      <c r="V963" s="57"/>
      <c r="W963" s="57"/>
      <c r="X963" s="57"/>
      <c r="Y963" s="57"/>
      <c r="Z963" s="57"/>
    </row>
    <row r="964">
      <c r="A964" s="56" t="str">
        <f>IFERROR(__xludf.DUMMYFUNCTION("IF('AYIRA MINI MART FINAL MENU - Pr'!A964="""", """", IF(LEN(IFERROR(TRIM(REGEXREPLACE(TRIM(REGEXEXTRACT('AYIRA MINI MART FINAL MENU - Pr'!A964, ""^[^\x{0600}-\x{06FF}]+"")), ""[-–]+$"", """")), """"))&gt;0, IFERROR(TRIM(REGEXREPLACE(TRIM(REGEXEXTRACT('AYIRA"&amp;" MINI MART FINAL MENU - Pr'!A964, ""^[^\x{0600}-\x{06FF}]+"")), ""[-–]+$"", """")), """"), GOOGLETRANSLATE('AYIRA MINI MART FINAL MENU - Pr'!A964, ""ar"", ""en"")))"),"Biscuit Cream Butter Croissant 80g")</f>
        <v>Biscuit Cream Butter Croissant 80g</v>
      </c>
      <c r="B964" s="56" t="str">
        <f>IFERROR(__xludf.DUMMYFUNCTION("IF('AYIRA MINI MART FINAL MENU - Pr'!B964="""", """", IF(LEN(IFERROR(TRIM(REGEXREPLACE(TRIM(REGEXEXTRACT('AYIRA MINI MART FINAL MENU - Pr'!B964, ""^[^\x{0600}-\x{06FF}]+"")), ""[-–]+$"", """")), """"))&gt;0, IFERROR(TRIM(REGEXREPLACE(TRIM(REGEXEXTRACT('AYIRA"&amp;" MINI MART FINAL MENU - Pr'!B964, ""^[^\x{0600}-\x{06FF}]+"")), ""[-–]+$"", """")), """"), GOOGLETRANSLATE('AYIRA MINI MART FINAL MENU - Pr'!B964, ""ar"", ""en"")))"),"Bakery &amp; Pastries")</f>
        <v>Bakery &amp; Pastries</v>
      </c>
      <c r="C964" s="58">
        <f>IF('AYIRA MINI MART FINAL MENU - Pr'!C964="", "", 'AYIRA MINI MART FINAL MENU - Pr'!C964)</f>
        <v>3</v>
      </c>
      <c r="D964" s="56" t="str">
        <f>IFERROR(__xludf.DUMMYFUNCTION("IF('AYIRA MINI MART FINAL MENU - Pr'!D964="""", """", GOOGLETRANSLATE('AYIRA MINI MART FINAL MENU - Pr'!D964, ""ar"", ""en""))"),"Discover Biscuit Cream Butter Croissant 80g, a premium product that combines high quality with great value. Made to the highest standards of quality and safety to ensure your complete satisfaction every time. Its excellent features make it the perfect cho"&amp;"ice for you and your family. Whether for everyday use or special occasions, it meets and exceeds your expectations. Get it now from Aira Mini Mart and enjoy a pleasant and reliable shopping experience.")</f>
        <v>Discover Biscuit Cream Butter Croissant 80g,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64" s="56" t="str">
        <f>IF('AYIRA MINI MART FINAL MENU - Pr'!K964="", "", 'AYIRA MINI MART FINAL MENU - Pr'!K964)</f>
        <v/>
      </c>
      <c r="F964" s="56"/>
      <c r="G964" s="56"/>
      <c r="H964" s="56"/>
      <c r="I964" s="56"/>
      <c r="J964" s="56"/>
      <c r="L964" s="56" t="str">
        <f>IF('AYIRA MINI MART FINAL MENU - Pr'!L964="", "", 'AYIRA MINI MART FINAL MENU - Pr'!L964)</f>
        <v/>
      </c>
      <c r="M964" s="56" t="str">
        <f>IF('AYIRA MINI MART FINAL MENU - Pr'!M964="", "", 'AYIRA MINI MART FINAL MENU - Pr'!M964)</f>
        <v/>
      </c>
      <c r="N964" s="56" t="str">
        <f>IF('AYIRA MINI MART FINAL MENU - Pr'!N964="", "", 'AYIRA MINI MART FINAL MENU - Pr'!N964)</f>
        <v/>
      </c>
      <c r="O964" s="57"/>
      <c r="P964" s="57"/>
      <c r="Q964" s="57"/>
      <c r="R964" s="57"/>
      <c r="S964" s="57"/>
      <c r="T964" s="57"/>
      <c r="U964" s="57"/>
      <c r="V964" s="57"/>
      <c r="W964" s="57"/>
      <c r="X964" s="57"/>
      <c r="Y964" s="57"/>
      <c r="Z964" s="57"/>
    </row>
    <row r="965">
      <c r="A965" s="56" t="str">
        <f>IFERROR(__xludf.DUMMYFUNCTION("IF('AYIRA MINI MART FINAL MENU - Pr'!A965="""", """", IF(LEN(IFERROR(TRIM(REGEXREPLACE(TRIM(REGEXEXTRACT('AYIRA MINI MART FINAL MENU - Pr'!A965, ""^[^\x{0600}-\x{06FF}]+"")), ""[-–]+$"", """")), """"))&gt;0, IFERROR(TRIM(REGEXREPLACE(TRIM(REGEXEXTRACT('AYIRA"&amp;" MINI MART FINAL MENU - Pr'!A965, ""^[^\x{0600}-\x{06FF}]+"")), ""[-–]+$"", """")), """"), GOOGLETRANSLATE('AYIRA MINI MART FINAL MENU - Pr'!A965, ""ar"", ""en"")))"),"Qbake Apple Puff 70g – Qbake")</f>
        <v>Qbake Apple Puff 70g – Qbake</v>
      </c>
      <c r="B965" s="56" t="str">
        <f>IFERROR(__xludf.DUMMYFUNCTION("IF('AYIRA MINI MART FINAL MENU - Pr'!B965="""", """", IF(LEN(IFERROR(TRIM(REGEXREPLACE(TRIM(REGEXEXTRACT('AYIRA MINI MART FINAL MENU - Pr'!B965, ""^[^\x{0600}-\x{06FF}]+"")), ""[-–]+$"", """")), """"))&gt;0, IFERROR(TRIM(REGEXREPLACE(TRIM(REGEXEXTRACT('AYIRA"&amp;" MINI MART FINAL MENU - Pr'!B965, ""^[^\x{0600}-\x{06FF}]+"")), ""[-–]+$"", """")), """"), GOOGLETRANSLATE('AYIRA MINI MART FINAL MENU - Pr'!B965, ""ar"", ""en"")))"),"Bakery &amp; Pastries")</f>
        <v>Bakery &amp; Pastries</v>
      </c>
      <c r="C965" s="58">
        <f>IF('AYIRA MINI MART FINAL MENU - Pr'!C965="", "", 'AYIRA MINI MART FINAL MENU - Pr'!C965)</f>
        <v>2</v>
      </c>
      <c r="D965" s="56" t="str">
        <f>IFERROR(__xludf.DUMMYFUNCTION("IF('AYIRA MINI MART FINAL MENU - Pr'!D965="""", """", GOOGLETRANSLATE('AYIRA MINI MART FINAL MENU - Pr'!D965, ""ar"", ""en""))"),"Discover Qbake Apple Puff 70g, a premium product that combines high quality with great value. Made to the highest standards of quality and safety to ensure your complete satisfaction every time. Its excellent features make it the perfect choice for you an"&amp;"d your family. Whether for everyday use or special occasions, it meets and exceeds your expectations. Get it now from Aira Mini Mart and enjoy a pleasant and reliable shopping experience.")</f>
        <v>Discover Qbake Apple Puff 70g,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65" s="56" t="str">
        <f>IF('AYIRA MINI MART FINAL MENU - Pr'!K965="", "", 'AYIRA MINI MART FINAL MENU - Pr'!K965)</f>
        <v/>
      </c>
      <c r="F965" s="56"/>
      <c r="G965" s="56"/>
      <c r="H965" s="56"/>
      <c r="I965" s="56"/>
      <c r="J965" s="56"/>
      <c r="L965" s="56" t="str">
        <f>IF('AYIRA MINI MART FINAL MENU - Pr'!L965="", "", 'AYIRA MINI MART FINAL MENU - Pr'!L965)</f>
        <v/>
      </c>
      <c r="M965" s="56" t="str">
        <f>IF('AYIRA MINI MART FINAL MENU - Pr'!M965="", "", 'AYIRA MINI MART FINAL MENU - Pr'!M965)</f>
        <v/>
      </c>
      <c r="N965" s="56" t="str">
        <f>IF('AYIRA MINI MART FINAL MENU - Pr'!N965="", "", 'AYIRA MINI MART FINAL MENU - Pr'!N965)</f>
        <v/>
      </c>
      <c r="O965" s="57"/>
      <c r="P965" s="57"/>
      <c r="Q965" s="57"/>
      <c r="R965" s="57"/>
      <c r="S965" s="57"/>
      <c r="T965" s="57"/>
      <c r="U965" s="57"/>
      <c r="V965" s="57"/>
      <c r="W965" s="57"/>
      <c r="X965" s="57"/>
      <c r="Y965" s="57"/>
      <c r="Z965" s="57"/>
    </row>
    <row r="966">
      <c r="A966" s="56" t="str">
        <f>IFERROR(__xludf.DUMMYFUNCTION("IF('AYIRA MINI MART FINAL MENU - Pr'!A966="""", """", IF(LEN(IFERROR(TRIM(REGEXREPLACE(TRIM(REGEXEXTRACT('AYIRA MINI MART FINAL MENU - Pr'!A966, ""^[^\x{0600}-\x{06FF}]+"")), ""[-–]+$"", """")), """"))&gt;0, IFERROR(TRIM(REGEXREPLACE(TRIM(REGEXEXTRACT('AYIRA"&amp;" MINI MART FINAL MENU - Pr'!A966, ""^[^\x{0600}-\x{06FF}]+"")), ""[-–]+$"", """")), """"), GOOGLETRANSLATE('AYIRA MINI MART FINAL MENU - Pr'!A966, ""ar"", ""en"")))"),"Qbake Sweet Puff 70g – Qbake Sweet Puff 70")</f>
        <v>Qbake Sweet Puff 70g – Qbake Sweet Puff 70</v>
      </c>
      <c r="B966" s="56" t="str">
        <f>IFERROR(__xludf.DUMMYFUNCTION("IF('AYIRA MINI MART FINAL MENU - Pr'!B966="""", """", IF(LEN(IFERROR(TRIM(REGEXREPLACE(TRIM(REGEXEXTRACT('AYIRA MINI MART FINAL MENU - Pr'!B966, ""^[^\x{0600}-\x{06FF}]+"")), ""[-–]+$"", """")), """"))&gt;0, IFERROR(TRIM(REGEXREPLACE(TRIM(REGEXEXTRACT('AYIRA"&amp;" MINI MART FINAL MENU - Pr'!B966, ""^[^\x{0600}-\x{06FF}]+"")), ""[-–]+$"", """")), """"), GOOGLETRANSLATE('AYIRA MINI MART FINAL MENU - Pr'!B966, ""ar"", ""en"")))"),"Bakery &amp; Pastries")</f>
        <v>Bakery &amp; Pastries</v>
      </c>
      <c r="C966" s="58">
        <f>IF('AYIRA MINI MART FINAL MENU - Pr'!C966="", "", 'AYIRA MINI MART FINAL MENU - Pr'!C966)</f>
        <v>2</v>
      </c>
      <c r="D966" s="56" t="str">
        <f>IFERROR(__xludf.DUMMYFUNCTION("IF('AYIRA MINI MART FINAL MENU - Pr'!D966="""", """", GOOGLETRANSLATE('AYIRA MINI MART FINAL MENU - Pr'!D966, ""ar"", ""en""))"),"Discover Qbake Sweet Puff 70g, a premium product that combines high quality with great value. Made to the highest standards of quality and safety to ensure your complete satisfaction every time. Its excellent features make it the perfect choice for you an"&amp;"d your family. Whether for everyday use or special occasions, it meets and exceeds your expectations. Get it now from Aira Mini Mart and enjoy a pleasant and reliable shopping experience.")</f>
        <v>Discover Qbake Sweet Puff 70g,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66" s="56" t="str">
        <f>IF('AYIRA MINI MART FINAL MENU - Pr'!K966="", "", 'AYIRA MINI MART FINAL MENU - Pr'!K966)</f>
        <v/>
      </c>
      <c r="F966" s="56"/>
      <c r="G966" s="56"/>
      <c r="H966" s="56"/>
      <c r="I966" s="56"/>
      <c r="J966" s="56"/>
      <c r="L966" s="56" t="str">
        <f>IF('AYIRA MINI MART FINAL MENU - Pr'!L966="", "", 'AYIRA MINI MART FINAL MENU - Pr'!L966)</f>
        <v/>
      </c>
      <c r="M966" s="56" t="str">
        <f>IF('AYIRA MINI MART FINAL MENU - Pr'!M966="", "", 'AYIRA MINI MART FINAL MENU - Pr'!M966)</f>
        <v/>
      </c>
      <c r="N966" s="56" t="str">
        <f>IF('AYIRA MINI MART FINAL MENU - Pr'!N966="", "", 'AYIRA MINI MART FINAL MENU - Pr'!N966)</f>
        <v/>
      </c>
      <c r="O966" s="57"/>
      <c r="P966" s="57"/>
      <c r="Q966" s="57"/>
      <c r="R966" s="57"/>
      <c r="S966" s="57"/>
      <c r="T966" s="57"/>
      <c r="U966" s="57"/>
      <c r="V966" s="57"/>
      <c r="W966" s="57"/>
      <c r="X966" s="57"/>
      <c r="Y966" s="57"/>
      <c r="Z966" s="57"/>
    </row>
    <row r="967">
      <c r="A967" s="56" t="str">
        <f>IFERROR(__xludf.DUMMYFUNCTION("IF('AYIRA MINI MART FINAL MENU - Pr'!A967="""", """", IF(LEN(IFERROR(TRIM(REGEXREPLACE(TRIM(REGEXEXTRACT('AYIRA MINI MART FINAL MENU - Pr'!A967, ""^[^\x{0600}-\x{06FF}]+"")), ""[-–]+$"", """")), """"))&gt;0, IFERROR(TRIM(REGEXREPLACE(TRIM(REGEXEXTRACT('AYIRA"&amp;" MINI MART FINAL MENU - Pr'!A967, ""^[^\x{0600}-\x{06FF}]+"")), ""[-–]+$"", """")), """"), GOOGLETRANSLATE('AYIRA MINI MART FINAL MENU - Pr'!A967, ""ar"", ""en"")))"),"Qbake Vanilla Cupcake 15pcs – Qbake")</f>
        <v>Qbake Vanilla Cupcake 15pcs – Qbake</v>
      </c>
      <c r="B967" s="56" t="str">
        <f>IFERROR(__xludf.DUMMYFUNCTION("IF('AYIRA MINI MART FINAL MENU - Pr'!B967="""", """", IF(LEN(IFERROR(TRIM(REGEXREPLACE(TRIM(REGEXEXTRACT('AYIRA MINI MART FINAL MENU - Pr'!B967, ""^[^\x{0600}-\x{06FF}]+"")), ""[-–]+$"", """")), """"))&gt;0, IFERROR(TRIM(REGEXREPLACE(TRIM(REGEXEXTRACT('AYIRA"&amp;" MINI MART FINAL MENU - Pr'!B967, ""^[^\x{0600}-\x{06FF}]+"")), ""[-–]+$"", """")), """"), GOOGLETRANSLATE('AYIRA MINI MART FINAL MENU - Pr'!B967, ""ar"", ""en"")))"),"Bakery &amp; Pastries")</f>
        <v>Bakery &amp; Pastries</v>
      </c>
      <c r="C967" s="58">
        <f>IF('AYIRA MINI MART FINAL MENU - Pr'!C967="", "", 'AYIRA MINI MART FINAL MENU - Pr'!C967)</f>
        <v>5</v>
      </c>
      <c r="D967" s="56" t="str">
        <f>IFERROR(__xludf.DUMMYFUNCTION("IF('AYIRA MINI MART FINAL MENU - Pr'!D967="""", """", GOOGLETRANSLATE('AYIRA MINI MART FINAL MENU - Pr'!D967, ""ar"", ""en""))"),"Discover Qbake Vanilla Cupcakes 15pcs, a premium product that combines high quality with great value. Made to the highest standards of quality and safety to ensure your complete satisfaction every time. Its excellent features make it the perfect choice fo"&amp;"r you and your family. Whether for everyday use or special occasions, it meets and exceeds your expectations. Get yours now from Aira Mini Mart and enjoy a pleasant and reliable shopping experience.")</f>
        <v>Discover Qbake Vanilla Cupcakes 15pcs,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yours now from Aira Mini Mart and enjoy a pleasant and reliable shopping experience.</v>
      </c>
      <c r="E967" s="56" t="str">
        <f>IF('AYIRA MINI MART FINAL MENU - Pr'!K967="", "", 'AYIRA MINI MART FINAL MENU - Pr'!K967)</f>
        <v/>
      </c>
      <c r="F967" s="56"/>
      <c r="G967" s="56"/>
      <c r="H967" s="56"/>
      <c r="I967" s="56"/>
      <c r="J967" s="56"/>
      <c r="L967" s="56" t="str">
        <f>IF('AYIRA MINI MART FINAL MENU - Pr'!L967="", "", 'AYIRA MINI MART FINAL MENU - Pr'!L967)</f>
        <v/>
      </c>
      <c r="M967" s="56" t="str">
        <f>IF('AYIRA MINI MART FINAL MENU - Pr'!M967="", "", 'AYIRA MINI MART FINAL MENU - Pr'!M967)</f>
        <v/>
      </c>
      <c r="N967" s="56" t="str">
        <f>IF('AYIRA MINI MART FINAL MENU - Pr'!N967="", "", 'AYIRA MINI MART FINAL MENU - Pr'!N967)</f>
        <v/>
      </c>
      <c r="O967" s="57"/>
      <c r="P967" s="57"/>
      <c r="Q967" s="57"/>
      <c r="R967" s="57"/>
      <c r="S967" s="57"/>
      <c r="T967" s="57"/>
      <c r="U967" s="57"/>
      <c r="V967" s="57"/>
      <c r="W967" s="57"/>
      <c r="X967" s="57"/>
      <c r="Y967" s="57"/>
      <c r="Z967" s="57"/>
    </row>
    <row r="968">
      <c r="A968" s="56" t="str">
        <f>IFERROR(__xludf.DUMMYFUNCTION("IF('AYIRA MINI MART FINAL MENU - Pr'!A968="""", """", IF(LEN(IFERROR(TRIM(REGEXREPLACE(TRIM(REGEXEXTRACT('AYIRA MINI MART FINAL MENU - Pr'!A968, ""^[^\x{0600}-\x{06FF}]+"")), ""[-–]+$"", """")), """"))&gt;0, IFERROR(TRIM(REGEXREPLACE(TRIM(REGEXEXTRACT('AYIRA"&amp;" MINI MART FINAL MENU - Pr'!A968, ""^[^\x{0600}-\x{06FF}]+"")), ""[-–]+$"", """")), """"), GOOGLETRANSLATE('AYIRA MINI MART FINAL MENU - Pr'!A968, ""ar"", ""en"")))"),"Qbake Mini Vanilla Muffins Original 195g – Qbake")</f>
        <v>Qbake Mini Vanilla Muffins Original 195g – Qbake</v>
      </c>
      <c r="B968" s="56" t="str">
        <f>IFERROR(__xludf.DUMMYFUNCTION("IF('AYIRA MINI MART FINAL MENU - Pr'!B968="""", """", IF(LEN(IFERROR(TRIM(REGEXREPLACE(TRIM(REGEXEXTRACT('AYIRA MINI MART FINAL MENU - Pr'!B968, ""^[^\x{0600}-\x{06FF}]+"")), ""[-–]+$"", """")), """"))&gt;0, IFERROR(TRIM(REGEXREPLACE(TRIM(REGEXEXTRACT('AYIRA"&amp;" MINI MART FINAL MENU - Pr'!B968, ""^[^\x{0600}-\x{06FF}]+"")), ""[-–]+$"", """")), """"), GOOGLETRANSLATE('AYIRA MINI MART FINAL MENU - Pr'!B968, ""ar"", ""en"")))"),"Bakery &amp; Pastries")</f>
        <v>Bakery &amp; Pastries</v>
      </c>
      <c r="C968" s="58">
        <f>IF('AYIRA MINI MART FINAL MENU - Pr'!C968="", "", 'AYIRA MINI MART FINAL MENU - Pr'!C968)</f>
        <v>5</v>
      </c>
      <c r="D968" s="56" t="str">
        <f>IFERROR(__xludf.DUMMYFUNCTION("IF('AYIRA MINI MART FINAL MENU - Pr'!D968="""", """", GOOGLETRANSLATE('AYIRA MINI MART FINAL MENU - Pr'!D968, ""ar"", ""en""))"),"Discover Qbake Mini Vanilla Muffins Original 195g, a premium product that combines high quality with great value. Made to the highest standards of quality and safety to ensure your complete satisfaction every time. Its excellent features make it the perfe"&amp;"ct choice for you and your family. Whether for everyday use or special occasions, it meets and exceeds your expectations. Get it now from Aira Mini Mart and enjoy a pleasant and reliable shopping experience.")</f>
        <v>Discover Qbake Mini Vanilla Muffins Original 195g,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68" s="56" t="str">
        <f>IF('AYIRA MINI MART FINAL MENU - Pr'!K968="", "", 'AYIRA MINI MART FINAL MENU - Pr'!K968)</f>
        <v/>
      </c>
      <c r="F968" s="56"/>
      <c r="G968" s="56"/>
      <c r="H968" s="56"/>
      <c r="I968" s="56"/>
      <c r="J968" s="56"/>
      <c r="L968" s="56" t="str">
        <f>IF('AYIRA MINI MART FINAL MENU - Pr'!L968="", "", 'AYIRA MINI MART FINAL MENU - Pr'!L968)</f>
        <v/>
      </c>
      <c r="M968" s="56" t="str">
        <f>IF('AYIRA MINI MART FINAL MENU - Pr'!M968="", "", 'AYIRA MINI MART FINAL MENU - Pr'!M968)</f>
        <v/>
      </c>
      <c r="N968" s="56" t="str">
        <f>IF('AYIRA MINI MART FINAL MENU - Pr'!N968="", "", 'AYIRA MINI MART FINAL MENU - Pr'!N968)</f>
        <v/>
      </c>
      <c r="O968" s="57"/>
      <c r="P968" s="57"/>
      <c r="Q968" s="57"/>
      <c r="R968" s="57"/>
      <c r="S968" s="57"/>
      <c r="T968" s="57"/>
      <c r="U968" s="57"/>
      <c r="V968" s="57"/>
      <c r="W968" s="57"/>
      <c r="X968" s="57"/>
      <c r="Y968" s="57"/>
      <c r="Z968" s="57"/>
    </row>
    <row r="969">
      <c r="A969" s="56" t="str">
        <f>IFERROR(__xludf.DUMMYFUNCTION("IF('AYIRA MINI MART FINAL MENU - Pr'!A969="""", """", IF(LEN(IFERROR(TRIM(REGEXREPLACE(TRIM(REGEXEXTRACT('AYIRA MINI MART FINAL MENU - Pr'!A969, ""^[^\x{0600}-\x{06FF}]+"")), ""[-–]+$"", """")), """"))&gt;0, IFERROR(TRIM(REGEXREPLACE(TRIM(REGEXEXTRACT('AYIRA"&amp;" MINI MART FINAL MENU - Pr'!A969, ""^[^\x{0600}-\x{06FF}]+"")), ""[-–]+$"", """")), """"), GOOGLETRANSLATE('AYIRA MINI MART FINAL MENU - Pr'!A969, ""ar"", ""en"")))"),"Qbake Mini Chocolate Muffins 195g – Qbake")</f>
        <v>Qbake Mini Chocolate Muffins 195g – Qbake</v>
      </c>
      <c r="B969" s="56" t="str">
        <f>IFERROR(__xludf.DUMMYFUNCTION("IF('AYIRA MINI MART FINAL MENU - Pr'!B969="""", """", IF(LEN(IFERROR(TRIM(REGEXREPLACE(TRIM(REGEXEXTRACT('AYIRA MINI MART FINAL MENU - Pr'!B969, ""^[^\x{0600}-\x{06FF}]+"")), ""[-–]+$"", """")), """"))&gt;0, IFERROR(TRIM(REGEXREPLACE(TRIM(REGEXEXTRACT('AYIRA"&amp;" MINI MART FINAL MENU - Pr'!B969, ""^[^\x{0600}-\x{06FF}]+"")), ""[-–]+$"", """")), """"), GOOGLETRANSLATE('AYIRA MINI MART FINAL MENU - Pr'!B969, ""ar"", ""en"")))"),"Bakery &amp; Pastries")</f>
        <v>Bakery &amp; Pastries</v>
      </c>
      <c r="C969" s="58">
        <f>IF('AYIRA MINI MART FINAL MENU - Pr'!C969="", "", 'AYIRA MINI MART FINAL MENU - Pr'!C969)</f>
        <v>5</v>
      </c>
      <c r="D969" s="56" t="str">
        <f>IFERROR(__xludf.DUMMYFUNCTION("IF('AYIRA MINI MART FINAL MENU - Pr'!D969="""", """", GOOGLETRANSLATE('AYIRA MINI MART FINAL MENU - Pr'!D969, ""ar"", ""en""))"),"Indulge your senses with Qbake Mini Chocolate Muffins 195g, a luxurious chocolate that combines rich flavor with a perfect texture. Made from the finest selected cocoa beans, it delivers an exceptional dessert experience every time. Whether you're looking"&amp;" for a special gift or want to treat yourself, these chocolates are the perfect choice. Savor every bite and immerse yourself in a world of smoothness and sweetness. Get yours from Aira Mini Mart and experience moments of pure delight.")</f>
        <v>Indulge your senses with Qbake Mini Chocolate Muffins 195g, a luxurious chocolate that combines rich flavor with a perfect texture. Made from the finest selected cocoa beans, it delivers an exceptional dessert experience every time. Whether you're looking for a special gift or want to treat yourself, these chocolates are the perfect choice. Savor every bite and immerse yourself in a world of smoothness and sweetness. Get yours from Aira Mini Mart and experience moments of pure delight.</v>
      </c>
      <c r="E969" s="56" t="str">
        <f>IF('AYIRA MINI MART FINAL MENU - Pr'!K969="", "", 'AYIRA MINI MART FINAL MENU - Pr'!K969)</f>
        <v/>
      </c>
      <c r="F969" s="56"/>
      <c r="G969" s="56"/>
      <c r="H969" s="56"/>
      <c r="I969" s="56"/>
      <c r="J969" s="56"/>
      <c r="L969" s="56" t="str">
        <f>IF('AYIRA MINI MART FINAL MENU - Pr'!L969="", "", 'AYIRA MINI MART FINAL MENU - Pr'!L969)</f>
        <v/>
      </c>
      <c r="M969" s="56" t="str">
        <f>IF('AYIRA MINI MART FINAL MENU - Pr'!M969="", "", 'AYIRA MINI MART FINAL MENU - Pr'!M969)</f>
        <v/>
      </c>
      <c r="N969" s="56" t="str">
        <f>IF('AYIRA MINI MART FINAL MENU - Pr'!N969="", "", 'AYIRA MINI MART FINAL MENU - Pr'!N969)</f>
        <v/>
      </c>
      <c r="O969" s="57"/>
      <c r="P969" s="57"/>
      <c r="Q969" s="57"/>
      <c r="R969" s="57"/>
      <c r="S969" s="57"/>
      <c r="T969" s="57"/>
      <c r="U969" s="57"/>
      <c r="V969" s="57"/>
      <c r="W969" s="57"/>
      <c r="X969" s="57"/>
      <c r="Y969" s="57"/>
      <c r="Z969" s="57"/>
    </row>
    <row r="970">
      <c r="A970" s="56" t="str">
        <f>IFERROR(__xludf.DUMMYFUNCTION("IF('AYIRA MINI MART FINAL MENU - Pr'!A970="""", """", IF(LEN(IFERROR(TRIM(REGEXREPLACE(TRIM(REGEXEXTRACT('AYIRA MINI MART FINAL MENU - Pr'!A970, ""^[^\x{0600}-\x{06FF}]+"")), ""[-–]+$"", """")), """"))&gt;0, IFERROR(TRIM(REGEXREPLACE(TRIM(REGEXEXTRACT('AYIRA"&amp;" MINI MART FINAL MENU - Pr'!A970, ""^[^\x{0600}-\x{06FF}]+"")), ""[-–]+$"", """")), """"), GOOGLETRANSLATE('AYIRA MINI MART FINAL MENU - Pr'!A970, ""ar"", ""en"")))"),"Qbake Brown Bread 620g – Qbake Brown")</f>
        <v>Qbake Brown Bread 620g – Qbake Brown</v>
      </c>
      <c r="B970" s="56" t="str">
        <f>IFERROR(__xludf.DUMMYFUNCTION("IF('AYIRA MINI MART FINAL MENU - Pr'!B970="""", """", IF(LEN(IFERROR(TRIM(REGEXREPLACE(TRIM(REGEXEXTRACT('AYIRA MINI MART FINAL MENU - Pr'!B970, ""^[^\x{0600}-\x{06FF}]+"")), ""[-–]+$"", """")), """"))&gt;0, IFERROR(TRIM(REGEXREPLACE(TRIM(REGEXEXTRACT('AYIRA"&amp;" MINI MART FINAL MENU - Pr'!B970, ""^[^\x{0600}-\x{06FF}]+"")), ""[-–]+$"", """")), """"), GOOGLETRANSLATE('AYIRA MINI MART FINAL MENU - Pr'!B970, ""ar"", ""en"")))"),"Bakery &amp; Pastries")</f>
        <v>Bakery &amp; Pastries</v>
      </c>
      <c r="C970" s="58">
        <f>IF('AYIRA MINI MART FINAL MENU - Pr'!C970="", "", 'AYIRA MINI MART FINAL MENU - Pr'!C970)</f>
        <v>6</v>
      </c>
      <c r="D970" s="56" t="str">
        <f>IFERROR(__xludf.DUMMYFUNCTION("IF('AYIRA MINI MART FINAL MENU - Pr'!D970="""", """", GOOGLETRANSLATE('AYIRA MINI MART FINAL MENU - Pr'!D970, ""ar"", ""en""))"),"Discover Qbake Brown Bread 620g, a premium product that combines high quality with great value. Made to the highest standards of quality and safety to ensure your complete satisfaction every time. Its excellent features make it the perfect choice for you "&amp;"and your family. Whether for everyday use or special occasions, it meets and exceeds your expectations. Get it now from Aira Mini Mart and enjoy a pleasant and reliable shopping experience.")</f>
        <v>Discover Qbake Brown Bread 620g,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70" s="56" t="str">
        <f>IF('AYIRA MINI MART FINAL MENU - Pr'!K970="", "", 'AYIRA MINI MART FINAL MENU - Pr'!K970)</f>
        <v/>
      </c>
      <c r="F970" s="56"/>
      <c r="G970" s="56"/>
      <c r="H970" s="56"/>
      <c r="I970" s="56"/>
      <c r="J970" s="56"/>
      <c r="L970" s="56" t="str">
        <f>IF('AYIRA MINI MART FINAL MENU - Pr'!L970="", "", 'AYIRA MINI MART FINAL MENU - Pr'!L970)</f>
        <v/>
      </c>
      <c r="M970" s="56" t="str">
        <f>IF('AYIRA MINI MART FINAL MENU - Pr'!M970="", "", 'AYIRA MINI MART FINAL MENU - Pr'!M970)</f>
        <v/>
      </c>
      <c r="N970" s="56" t="str">
        <f>IF('AYIRA MINI MART FINAL MENU - Pr'!N970="", "", 'AYIRA MINI MART FINAL MENU - Pr'!N970)</f>
        <v/>
      </c>
      <c r="O970" s="57"/>
      <c r="P970" s="57"/>
      <c r="Q970" s="57"/>
      <c r="R970" s="57"/>
      <c r="S970" s="57"/>
      <c r="T970" s="57"/>
      <c r="U970" s="57"/>
      <c r="V970" s="57"/>
      <c r="W970" s="57"/>
      <c r="X970" s="57"/>
      <c r="Y970" s="57"/>
      <c r="Z970" s="57"/>
    </row>
    <row r="971">
      <c r="A971" s="56" t="str">
        <f>IFERROR(__xludf.DUMMYFUNCTION("IF('AYIRA MINI MART FINAL MENU - Pr'!A971="""", """", IF(LEN(IFERROR(TRIM(REGEXREPLACE(TRIM(REGEXEXTRACT('AYIRA MINI MART FINAL MENU - Pr'!A971, ""^[^\x{0600}-\x{06FF}]+"")), ""[-–]+$"", """")), """"))&gt;0, IFERROR(TRIM(REGEXREPLACE(TRIM(REGEXEXTRACT('AYIRA"&amp;" MINI MART FINAL MENU - Pr'!A971, ""^[^\x{0600}-\x{06FF}]+"")), ""[-–]+$"", """")), """"), GOOGLETRANSLATE('AYIRA MINI MART FINAL MENU - Pr'!A971, ""ar"", ""en"")))"),"Qbake White Bread 620g – Qbake")</f>
        <v>Qbake White Bread 620g – Qbake</v>
      </c>
      <c r="B971" s="56" t="str">
        <f>IFERROR(__xludf.DUMMYFUNCTION("IF('AYIRA MINI MART FINAL MENU - Pr'!B971="""", """", IF(LEN(IFERROR(TRIM(REGEXREPLACE(TRIM(REGEXEXTRACT('AYIRA MINI MART FINAL MENU - Pr'!B971, ""^[^\x{0600}-\x{06FF}]+"")), ""[-–]+$"", """")), """"))&gt;0, IFERROR(TRIM(REGEXREPLACE(TRIM(REGEXEXTRACT('AYIRA"&amp;" MINI MART FINAL MENU - Pr'!B971, ""^[^\x{0600}-\x{06FF}]+"")), ""[-–]+$"", """")), """"), GOOGLETRANSLATE('AYIRA MINI MART FINAL MENU - Pr'!B971, ""ar"", ""en"")))"),"Bakery &amp; Pastries")</f>
        <v>Bakery &amp; Pastries</v>
      </c>
      <c r="C971" s="58">
        <f>IF('AYIRA MINI MART FINAL MENU - Pr'!C971="", "", 'AYIRA MINI MART FINAL MENU - Pr'!C971)</f>
        <v>6</v>
      </c>
      <c r="D971" s="56" t="str">
        <f>IFERROR(__xludf.DUMMYFUNCTION("IF('AYIRA MINI MART FINAL MENU - Pr'!D971="""", """", GOOGLETRANSLATE('AYIRA MINI MART FINAL MENU - Pr'!D971, ""ar"", ""en""))"),"Discover Qbake White Bread 620g, a premium product that combines high quality with exceptional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Qbake White Bread 620g,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71" s="56" t="str">
        <f>IF('AYIRA MINI MART FINAL MENU - Pr'!K971="", "", 'AYIRA MINI MART FINAL MENU - Pr'!K971)</f>
        <v/>
      </c>
      <c r="F971" s="56"/>
      <c r="G971" s="56"/>
      <c r="H971" s="56"/>
      <c r="I971" s="56"/>
      <c r="J971" s="56"/>
      <c r="L971" s="56" t="str">
        <f>IF('AYIRA MINI MART FINAL MENU - Pr'!L971="", "", 'AYIRA MINI MART FINAL MENU - Pr'!L971)</f>
        <v/>
      </c>
      <c r="M971" s="56" t="str">
        <f>IF('AYIRA MINI MART FINAL MENU - Pr'!M971="", "", 'AYIRA MINI MART FINAL MENU - Pr'!M971)</f>
        <v/>
      </c>
      <c r="N971" s="56" t="str">
        <f>IF('AYIRA MINI MART FINAL MENU - Pr'!N971="", "", 'AYIRA MINI MART FINAL MENU - Pr'!N971)</f>
        <v/>
      </c>
      <c r="O971" s="57"/>
      <c r="P971" s="57"/>
      <c r="Q971" s="57"/>
      <c r="R971" s="57"/>
      <c r="S971" s="57"/>
      <c r="T971" s="57"/>
      <c r="U971" s="57"/>
      <c r="V971" s="57"/>
      <c r="W971" s="57"/>
      <c r="X971" s="57"/>
      <c r="Y971" s="57"/>
      <c r="Z971" s="57"/>
    </row>
    <row r="972">
      <c r="A972" s="56" t="str">
        <f>IFERROR(__xludf.DUMMYFUNCTION("IF('AYIRA MINI MART FINAL MENU - Pr'!A972="""", """", IF(LEN(IFERROR(TRIM(REGEXREPLACE(TRIM(REGEXEXTRACT('AYIRA MINI MART FINAL MENU - Pr'!A972, ""^[^\x{0600}-\x{06FF}]+"")), ""[-–]+$"", """")), """"))&gt;0, IFERROR(TRIM(REGEXREPLACE(TRIM(REGEXEXTRACT('AYIRA"&amp;" MINI MART FINAL MENU - Pr'!A972, ""^[^\x{0600}-\x{06FF}]+"")), ""[-–]+$"", """")), """"), GOOGLETRANSLATE('AYIRA MINI MART FINAL MENU - Pr'!A972, ""ar"", ""en"")))"),"Qbake White Bread Small 320g – Qbake")</f>
        <v>Qbake White Bread Small 320g – Qbake</v>
      </c>
      <c r="B972" s="56" t="str">
        <f>IFERROR(__xludf.DUMMYFUNCTION("IF('AYIRA MINI MART FINAL MENU - Pr'!B972="""", """", IF(LEN(IFERROR(TRIM(REGEXREPLACE(TRIM(REGEXEXTRACT('AYIRA MINI MART FINAL MENU - Pr'!B972, ""^[^\x{0600}-\x{06FF}]+"")), ""[-–]+$"", """")), """"))&gt;0, IFERROR(TRIM(REGEXREPLACE(TRIM(REGEXEXTRACT('AYIRA"&amp;" MINI MART FINAL MENU - Pr'!B972, ""^[^\x{0600}-\x{06FF}]+"")), ""[-–]+$"", """")), """"), GOOGLETRANSLATE('AYIRA MINI MART FINAL MENU - Pr'!B972, ""ar"", ""en"")))"),"Bakery &amp; Pastries")</f>
        <v>Bakery &amp; Pastries</v>
      </c>
      <c r="C972" s="58">
        <f>IF('AYIRA MINI MART FINAL MENU - Pr'!C972="", "", 'AYIRA MINI MART FINAL MENU - Pr'!C972)</f>
        <v>3.5</v>
      </c>
      <c r="D972" s="56" t="str">
        <f>IFERROR(__xludf.DUMMYFUNCTION("IF('AYIRA MINI MART FINAL MENU - Pr'!D972="""", """", GOOGLETRANSLATE('AYIRA MINI MART FINAL MENU - Pr'!D972, ""ar"", ""en""))"),"Discover Qbake White Bread Small 320g, a premium product that combines high quality with great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Qbake White Bread Small 320g,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72" s="56" t="str">
        <f>IF('AYIRA MINI MART FINAL MENU - Pr'!K972="", "", 'AYIRA MINI MART FINAL MENU - Pr'!K972)</f>
        <v/>
      </c>
      <c r="F972" s="56"/>
      <c r="G972" s="56"/>
      <c r="H972" s="56"/>
      <c r="I972" s="56"/>
      <c r="J972" s="56"/>
      <c r="L972" s="56" t="str">
        <f>IF('AYIRA MINI MART FINAL MENU - Pr'!L972="", "", 'AYIRA MINI MART FINAL MENU - Pr'!L972)</f>
        <v/>
      </c>
      <c r="M972" s="56" t="str">
        <f>IF('AYIRA MINI MART FINAL MENU - Pr'!M972="", "", 'AYIRA MINI MART FINAL MENU - Pr'!M972)</f>
        <v/>
      </c>
      <c r="N972" s="56" t="str">
        <f>IF('AYIRA MINI MART FINAL MENU - Pr'!N972="", "", 'AYIRA MINI MART FINAL MENU - Pr'!N972)</f>
        <v/>
      </c>
      <c r="O972" s="57"/>
      <c r="P972" s="57"/>
      <c r="Q972" s="57"/>
      <c r="R972" s="57"/>
      <c r="S972" s="57"/>
      <c r="T972" s="57"/>
      <c r="U972" s="57"/>
      <c r="V972" s="57"/>
      <c r="W972" s="57"/>
      <c r="X972" s="57"/>
      <c r="Y972" s="57"/>
      <c r="Z972" s="57"/>
    </row>
    <row r="973">
      <c r="A973" s="56" t="str">
        <f>IFERROR(__xludf.DUMMYFUNCTION("IF('AYIRA MINI MART FINAL MENU - Pr'!A973="""", """", IF(LEN(IFERROR(TRIM(REGEXREPLACE(TRIM(REGEXEXTRACT('AYIRA MINI MART FINAL MENU - Pr'!A973, ""^[^\x{0600}-\x{06FF}]+"")), ""[-–]+$"", """")), """"))&gt;0, IFERROR(TRIM(REGEXREPLACE(TRIM(REGEXEXTRACT('AYIRA"&amp;" MINI MART FINAL MENU - Pr'!A973, ""^[^\x{0600}-\x{06FF}]+"")), ""[-–]+$"", """")), """"), GOOGLETRANSLATE('AYIRA MINI MART FINAL MENU - Pr'!A973, ""ar"", ""en"")))"),"Jumpo Roll 55 g – Jumpo Roll 55")</f>
        <v>Jumpo Roll 55 g – Jumpo Roll 55</v>
      </c>
      <c r="B973" s="56" t="str">
        <f>IFERROR(__xludf.DUMMYFUNCTION("IF('AYIRA MINI MART FINAL MENU - Pr'!B973="""", """", IF(LEN(IFERROR(TRIM(REGEXREPLACE(TRIM(REGEXEXTRACT('AYIRA MINI MART FINAL MENU - Pr'!B973, ""^[^\x{0600}-\x{06FF}]+"")), ""[-–]+$"", """")), """"))&gt;0, IFERROR(TRIM(REGEXREPLACE(TRIM(REGEXEXTRACT('AYIRA"&amp;" MINI MART FINAL MENU - Pr'!B973, ""^[^\x{0600}-\x{06FF}]+"")), ""[-–]+$"", """")), """"), GOOGLETRANSLATE('AYIRA MINI MART FINAL MENU - Pr'!B973, ""ar"", ""en"")))"),"Bakery &amp; Pastries")</f>
        <v>Bakery &amp; Pastries</v>
      </c>
      <c r="C973" s="58">
        <f>IF('AYIRA MINI MART FINAL MENU - Pr'!C973="", "", 'AYIRA MINI MART FINAL MENU - Pr'!C973)</f>
        <v>2.5</v>
      </c>
      <c r="D973" s="56" t="str">
        <f>IFERROR(__xludf.DUMMYFUNCTION("IF('AYIRA MINI MART FINAL MENU - Pr'!D973="""", """", GOOGLETRANSLATE('AYIRA MINI MART FINAL MENU - Pr'!D973, ""ar"", ""en""))"),"Discover Jumpo Roll 55g, a premium product that combines high quality with great value. Made to the highest standards of quality and safety to ensure your complete satisfaction every time. Its excellent features make it the perfect choice for you and your"&amp;" family. Whether for everyday use or special occasions, it meets and exceeds your expectations. Get it now from Aira Mini Mart and enjoy a pleasant and reliable shopping experience.")</f>
        <v>Discover Jumpo Roll 55g,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73" s="56" t="str">
        <f>IF('AYIRA MINI MART FINAL MENU - Pr'!K973="", "", 'AYIRA MINI MART FINAL MENU - Pr'!K973)</f>
        <v/>
      </c>
      <c r="F973" s="56"/>
      <c r="G973" s="56"/>
      <c r="H973" s="56"/>
      <c r="I973" s="56"/>
      <c r="J973" s="56"/>
      <c r="L973" s="56" t="str">
        <f>IF('AYIRA MINI MART FINAL MENU - Pr'!L973="", "", 'AYIRA MINI MART FINAL MENU - Pr'!L973)</f>
        <v/>
      </c>
      <c r="M973" s="56" t="str">
        <f>IF('AYIRA MINI MART FINAL MENU - Pr'!M973="", "", 'AYIRA MINI MART FINAL MENU - Pr'!M973)</f>
        <v/>
      </c>
      <c r="N973" s="56" t="str">
        <f>IF('AYIRA MINI MART FINAL MENU - Pr'!N973="", "", 'AYIRA MINI MART FINAL MENU - Pr'!N973)</f>
        <v/>
      </c>
      <c r="O973" s="57"/>
      <c r="P973" s="57"/>
      <c r="Q973" s="57"/>
      <c r="R973" s="57"/>
      <c r="S973" s="57"/>
      <c r="T973" s="57"/>
      <c r="U973" s="57"/>
      <c r="V973" s="57"/>
      <c r="W973" s="57"/>
      <c r="X973" s="57"/>
      <c r="Y973" s="57"/>
      <c r="Z973" s="57"/>
    </row>
    <row r="974">
      <c r="A974" s="56" t="str">
        <f>IFERROR(__xludf.DUMMYFUNCTION("IF('AYIRA MINI MART FINAL MENU - Pr'!A974="""", """", IF(LEN(IFERROR(TRIM(REGEXREPLACE(TRIM(REGEXEXTRACT('AYIRA MINI MART FINAL MENU - Pr'!A974, ""^[^\x{0600}-\x{06FF}]+"")), ""[-–]+$"", """")), """"))&gt;0, IFERROR(TRIM(REGEXREPLACE(TRIM(REGEXEXTRACT('AYIRA"&amp;" MINI MART FINAL MENU - Pr'!A974, ""^[^\x{0600}-\x{06FF}]+"")), ""[-–]+$"", """")), """"), GOOGLETRANSLATE('AYIRA MINI MART FINAL MENU - Pr'!A974, ""ar"", ""en"")))"),"Lusine Chocolate Brownie (50 g) – Lusine")</f>
        <v>Lusine Chocolate Brownie (50 g) – Lusine</v>
      </c>
      <c r="B974" s="56" t="str">
        <f>IFERROR(__xludf.DUMMYFUNCTION("IF('AYIRA MINI MART FINAL MENU - Pr'!B974="""", """", IF(LEN(IFERROR(TRIM(REGEXREPLACE(TRIM(REGEXEXTRACT('AYIRA MINI MART FINAL MENU - Pr'!B974, ""^[^\x{0600}-\x{06FF}]+"")), ""[-–]+$"", """")), """"))&gt;0, IFERROR(TRIM(REGEXREPLACE(TRIM(REGEXEXTRACT('AYIRA"&amp;" MINI MART FINAL MENU - Pr'!B974, ""^[^\x{0600}-\x{06FF}]+"")), ""[-–]+$"", """")), """"), GOOGLETRANSLATE('AYIRA MINI MART FINAL MENU - Pr'!B974, ""ar"", ""en"")))"),"Chocolates")</f>
        <v>Chocolates</v>
      </c>
      <c r="C974" s="58">
        <f>IF('AYIRA MINI MART FINAL MENU - Pr'!C974="", "", 'AYIRA MINI MART FINAL MENU - Pr'!C974)</f>
        <v>3</v>
      </c>
      <c r="D974" s="56" t="str">
        <f>IFERROR(__xludf.DUMMYFUNCTION("IF('AYIRA MINI MART FINAL MENU - Pr'!D974="""", """", GOOGLETRANSLATE('AYIRA MINI MART FINAL MENU - Pr'!D974, ""ar"", ""en""))"),"Indulge your senses with Lusine Chocolate Brownie (50g), a luxurious chocolate that combines rich flavor with a perfect texture. Made from the finest selected cocoa beans, it delivers an exceptional dessert experience every time. Whether you're looking fo"&amp;"r a special gift or want to treat yourself, this chocolate is the perfect choice. Savor every bite and immerse yourself in a world of smoothness and sweetness. Get yours from Aira Mini Mart and experience moments of pure delight.")</f>
        <v>Indulge your senses with Lusine Chocolate Brownie (50g),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bite and immerse yourself in a world of smoothness and sweetness. Get yours from Aira Mini Mart and experience moments of pure delight.</v>
      </c>
      <c r="E974" s="56" t="str">
        <f>IF('AYIRA MINI MART FINAL MENU - Pr'!K974="", "", 'AYIRA MINI MART FINAL MENU - Pr'!K974)</f>
        <v/>
      </c>
      <c r="F974" s="56"/>
      <c r="G974" s="56"/>
      <c r="H974" s="56"/>
      <c r="I974" s="56"/>
      <c r="J974" s="56"/>
      <c r="L974" s="56" t="str">
        <f>IF('AYIRA MINI MART FINAL MENU - Pr'!L974="", "", 'AYIRA MINI MART FINAL MENU - Pr'!L974)</f>
        <v/>
      </c>
      <c r="M974" s="56" t="str">
        <f>IF('AYIRA MINI MART FINAL MENU - Pr'!M974="", "", 'AYIRA MINI MART FINAL MENU - Pr'!M974)</f>
        <v/>
      </c>
      <c r="N974" s="56" t="str">
        <f>IF('AYIRA MINI MART FINAL MENU - Pr'!N974="", "", 'AYIRA MINI MART FINAL MENU - Pr'!N974)</f>
        <v/>
      </c>
      <c r="O974" s="57"/>
      <c r="P974" s="57"/>
      <c r="Q974" s="57"/>
      <c r="R974" s="57"/>
      <c r="S974" s="57"/>
      <c r="T974" s="57"/>
      <c r="U974" s="57"/>
      <c r="V974" s="57"/>
      <c r="W974" s="57"/>
      <c r="X974" s="57"/>
      <c r="Y974" s="57"/>
      <c r="Z974" s="57"/>
    </row>
    <row r="975">
      <c r="A975" s="56" t="str">
        <f>IFERROR(__xludf.DUMMYFUNCTION("IF('AYIRA MINI MART FINAL MENU - Pr'!A975="""", """", IF(LEN(IFERROR(TRIM(REGEXREPLACE(TRIM(REGEXEXTRACT('AYIRA MINI MART FINAL MENU - Pr'!A975, ""^[^\x{0600}-\x{06FF}]+"")), ""[-–]+$"", """")), """"))&gt;0, IFERROR(TRIM(REGEXREPLACE(TRIM(REGEXEXTRACT('AYIRA"&amp;" MINI MART FINAL MENU - Pr'!A975, ""^[^\x{0600}-\x{06FF}]+"")), ""[-–]+$"", """")), """"), GOOGLETRANSLATE('AYIRA MINI MART FINAL MENU - Pr'!A975, ""ar"", ""en"")))"),"Lusine Triple Chocolate Muffin (60 g) – Lusine Triple")</f>
        <v>Lusine Triple Chocolate Muffin (60 g) – Lusine Triple</v>
      </c>
      <c r="B975" s="56" t="str">
        <f>IFERROR(__xludf.DUMMYFUNCTION("IF('AYIRA MINI MART FINAL MENU - Pr'!B975="""", """", IF(LEN(IFERROR(TRIM(REGEXREPLACE(TRIM(REGEXEXTRACT('AYIRA MINI MART FINAL MENU - Pr'!B975, ""^[^\x{0600}-\x{06FF}]+"")), ""[-–]+$"", """")), """"))&gt;0, IFERROR(TRIM(REGEXREPLACE(TRIM(REGEXEXTRACT('AYIRA"&amp;" MINI MART FINAL MENU - Pr'!B975, ""^[^\x{0600}-\x{06FF}]+"")), ""[-–]+$"", """")), """"), GOOGLETRANSLATE('AYIRA MINI MART FINAL MENU - Pr'!B975, ""ar"", ""en"")))"),"Chocolates")</f>
        <v>Chocolates</v>
      </c>
      <c r="C975" s="58">
        <f>IF('AYIRA MINI MART FINAL MENU - Pr'!C975="", "", 'AYIRA MINI MART FINAL MENU - Pr'!C975)</f>
        <v>3</v>
      </c>
      <c r="D975" s="56" t="str">
        <f>IFERROR(__xludf.DUMMYFUNCTION("IF('AYIRA MINI MART FINAL MENU - Pr'!D975="""", """", GOOGLETRANSLATE('AYIRA MINI MART FINAL MENU - Pr'!D975, ""ar"", ""en""))"),"Indulge your senses with Lusine Triple Chocolate Muffin (60g), a luxurious chocolate that combines rich flavor with a perfect texture. Made from the finest selected cocoa beans, it delivers an exceptional dessert experience every time. Whether you're look"&amp;"ing for a special gift or want to treat yourself, this chocolate is the perfect choice. Savor every bite and immerse yourself in a world of smoothness and sweetness. Get yours from Aira Mini Mart and experience moments of pure delight.")</f>
        <v>Indulge your senses with Lusine Triple Chocolate Muffin (60g),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bite and immerse yourself in a world of smoothness and sweetness. Get yours from Aira Mini Mart and experience moments of pure delight.</v>
      </c>
      <c r="E975" s="56" t="str">
        <f>IF('AYIRA MINI MART FINAL MENU - Pr'!K975="", "", 'AYIRA MINI MART FINAL MENU - Pr'!K975)</f>
        <v/>
      </c>
      <c r="F975" s="56"/>
      <c r="G975" s="56"/>
      <c r="H975" s="56"/>
      <c r="I975" s="56"/>
      <c r="J975" s="56"/>
      <c r="L975" s="56" t="str">
        <f>IF('AYIRA MINI MART FINAL MENU - Pr'!L975="", "", 'AYIRA MINI MART FINAL MENU - Pr'!L975)</f>
        <v/>
      </c>
      <c r="M975" s="56" t="str">
        <f>IF('AYIRA MINI MART FINAL MENU - Pr'!M975="", "", 'AYIRA MINI MART FINAL MENU - Pr'!M975)</f>
        <v/>
      </c>
      <c r="N975" s="56" t="str">
        <f>IF('AYIRA MINI MART FINAL MENU - Pr'!N975="", "", 'AYIRA MINI MART FINAL MENU - Pr'!N975)</f>
        <v/>
      </c>
      <c r="O975" s="57"/>
      <c r="P975" s="57"/>
      <c r="Q975" s="57"/>
      <c r="R975" s="57"/>
      <c r="S975" s="57"/>
      <c r="T975" s="57"/>
      <c r="U975" s="57"/>
      <c r="V975" s="57"/>
      <c r="W975" s="57"/>
      <c r="X975" s="57"/>
      <c r="Y975" s="57"/>
      <c r="Z975" s="57"/>
    </row>
    <row r="976">
      <c r="A976" s="56" t="str">
        <f>IFERROR(__xludf.DUMMYFUNCTION("IF('AYIRA MINI MART FINAL MENU - Pr'!A976="""", """", IF(LEN(IFERROR(TRIM(REGEXREPLACE(TRIM(REGEXEXTRACT('AYIRA MINI MART FINAL MENU - Pr'!A976, ""^[^\x{0600}-\x{06FF}]+"")), ""[-–]+$"", """")), """"))&gt;0, IFERROR(TRIM(REGEXREPLACE(TRIM(REGEXEXTRACT('AYIRA"&amp;" MINI MART FINAL MENU - Pr'!A976, ""^[^\x{0600}-\x{06FF}]+"")), ""[-–]+$"", """")), """"), GOOGLETRANSLATE('AYIRA MINI MART FINAL MENU - Pr'!A976, ""ar"", ""en"")))"),"Snaz Swizz Roll (20 g) – Snaz Swizz Roll (20")</f>
        <v>Snaz Swizz Roll (20 g) – Snaz Swizz Roll (20</v>
      </c>
      <c r="B976" s="56" t="str">
        <f>IFERROR(__xludf.DUMMYFUNCTION("IF('AYIRA MINI MART FINAL MENU - Pr'!B976="""", """", IF(LEN(IFERROR(TRIM(REGEXREPLACE(TRIM(REGEXEXTRACT('AYIRA MINI MART FINAL MENU - Pr'!B976, ""^[^\x{0600}-\x{06FF}]+"")), ""[-–]+$"", """")), """"))&gt;0, IFERROR(TRIM(REGEXREPLACE(TRIM(REGEXEXTRACT('AYIRA"&amp;" MINI MART FINAL MENU - Pr'!B976, ""^[^\x{0600}-\x{06FF}]+"")), ""[-–]+$"", """")), """"), GOOGLETRANSLATE('AYIRA MINI MART FINAL MENU - Pr'!B976, ""ar"", ""en"")))"),"Bakery &amp; Pastries")</f>
        <v>Bakery &amp; Pastries</v>
      </c>
      <c r="C976" s="58">
        <f>IF('AYIRA MINI MART FINAL MENU - Pr'!C976="", "", 'AYIRA MINI MART FINAL MENU - Pr'!C976)</f>
        <v>1</v>
      </c>
      <c r="D976" s="56" t="str">
        <f>IFERROR(__xludf.DUMMYFUNCTION("IF('AYIRA MINI MART FINAL MENU - Pr'!D976="""", """", GOOGLETRANSLATE('AYIRA MINI MART FINAL MENU - Pr'!D976, ""ar"", ""en""))"),"Discover Snaz Swizz Roll (20g), a premium product that combines high quality with great value. Made to the highest standards of quality and safety to ensure your complete satisfaction every time. Its excellent features make it the perfect choice for you a"&amp;"nd your family. Whether for everyday use or special occasions, it meets and exceeds your expectations. Get it now from Aira Mini Mart and enjoy a pleasant and reliable shopping experience.")</f>
        <v>Discover Snaz Swizz Roll (20g),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76" s="56" t="str">
        <f>IF('AYIRA MINI MART FINAL MENU - Pr'!K976="", "", 'AYIRA MINI MART FINAL MENU - Pr'!K976)</f>
        <v/>
      </c>
      <c r="F976" s="56"/>
      <c r="G976" s="56"/>
      <c r="H976" s="56"/>
      <c r="I976" s="56"/>
      <c r="J976" s="56"/>
      <c r="L976" s="56" t="str">
        <f>IF('AYIRA MINI MART FINAL MENU - Pr'!L976="", "", 'AYIRA MINI MART FINAL MENU - Pr'!L976)</f>
        <v/>
      </c>
      <c r="M976" s="56" t="str">
        <f>IF('AYIRA MINI MART FINAL MENU - Pr'!M976="", "", 'AYIRA MINI MART FINAL MENU - Pr'!M976)</f>
        <v/>
      </c>
      <c r="N976" s="56" t="str">
        <f>IF('AYIRA MINI MART FINAL MENU - Pr'!N976="", "", 'AYIRA MINI MART FINAL MENU - Pr'!N976)</f>
        <v/>
      </c>
      <c r="O976" s="57"/>
      <c r="P976" s="57"/>
      <c r="Q976" s="57"/>
      <c r="R976" s="57"/>
      <c r="S976" s="57"/>
      <c r="T976" s="57"/>
      <c r="U976" s="57"/>
      <c r="V976" s="57"/>
      <c r="W976" s="57"/>
      <c r="X976" s="57"/>
      <c r="Y976" s="57"/>
      <c r="Z976" s="57"/>
    </row>
    <row r="977">
      <c r="A977" s="56" t="str">
        <f>IFERROR(__xludf.DUMMYFUNCTION("IF('AYIRA MINI MART FINAL MENU - Pr'!A977="""", """", IF(LEN(IFERROR(TRIM(REGEXREPLACE(TRIM(REGEXEXTRACT('AYIRA MINI MART FINAL MENU - Pr'!A977, ""^[^\x{0600}-\x{06FF}]+"")), ""[-–]+$"", """")), """"))&gt;0, IFERROR(TRIM(REGEXREPLACE(TRIM(REGEXEXTRACT('AYIRA"&amp;" MINI MART FINAL MENU - Pr'!A977, ""^[^\x{0600}-\x{06FF}]+"")), ""[-–]+$"", """")), """"), GOOGLETRANSLATE('AYIRA MINI MART FINAL MENU - Pr'!A977, ""ar"", ""en"")))"),"Snaz Swizz Roll with Strawberry (20 g) – Snaz Swizz Roll with")</f>
        <v>Snaz Swizz Roll with Strawberry (20 g) – Snaz Swizz Roll with</v>
      </c>
      <c r="B977" s="56" t="str">
        <f>IFERROR(__xludf.DUMMYFUNCTION("IF('AYIRA MINI MART FINAL MENU - Pr'!B977="""", """", IF(LEN(IFERROR(TRIM(REGEXREPLACE(TRIM(REGEXEXTRACT('AYIRA MINI MART FINAL MENU - Pr'!B977, ""^[^\x{0600}-\x{06FF}]+"")), ""[-–]+$"", """")), """"))&gt;0, IFERROR(TRIM(REGEXREPLACE(TRIM(REGEXEXTRACT('AYIRA"&amp;" MINI MART FINAL MENU - Pr'!B977, ""^[^\x{0600}-\x{06FF}]+"")), ""[-–]+$"", """")), """"), GOOGLETRANSLATE('AYIRA MINI MART FINAL MENU - Pr'!B977, ""ar"", ""en"")))"),"Bakery &amp; Pastries")</f>
        <v>Bakery &amp; Pastries</v>
      </c>
      <c r="C977" s="58">
        <f>IF('AYIRA MINI MART FINAL MENU - Pr'!C977="", "", 'AYIRA MINI MART FINAL MENU - Pr'!C977)</f>
        <v>1</v>
      </c>
      <c r="D977" s="56" t="str">
        <f>IFERROR(__xludf.DUMMYFUNCTION("IF('AYIRA MINI MART FINAL MENU - Pr'!D977="""", """", GOOGLETRANSLATE('AYIRA MINI MART FINAL MENU - Pr'!D977, ""ar"", ""en""))"),"Discover Snaz Swizz Roll with Strawberry (20g), a premium product that combines high quality with great value. Made to the highest standards of quality and safety to ensure your complete satisfaction every time. Its excellent features make it the perfect "&amp;"choice for you and your family. Whether for everyday use or special occasions, it meets and exceeds your expectations. Get it now from Aira Mini Mart and enjoy a pleasant and reliable shopping experience.")</f>
        <v>Discover Snaz Swizz Roll with Strawberry (20g),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77" s="56" t="str">
        <f>IF('AYIRA MINI MART FINAL MENU - Pr'!K977="", "", 'AYIRA MINI MART FINAL MENU - Pr'!K977)</f>
        <v/>
      </c>
      <c r="F977" s="56"/>
      <c r="G977" s="56"/>
      <c r="H977" s="56"/>
      <c r="I977" s="56"/>
      <c r="J977" s="56"/>
      <c r="L977" s="56" t="str">
        <f>IF('AYIRA MINI MART FINAL MENU - Pr'!L977="", "", 'AYIRA MINI MART FINAL MENU - Pr'!L977)</f>
        <v/>
      </c>
      <c r="M977" s="56" t="str">
        <f>IF('AYIRA MINI MART FINAL MENU - Pr'!M977="", "", 'AYIRA MINI MART FINAL MENU - Pr'!M977)</f>
        <v/>
      </c>
      <c r="N977" s="56" t="str">
        <f>IF('AYIRA MINI MART FINAL MENU - Pr'!N977="", "", 'AYIRA MINI MART FINAL MENU - Pr'!N977)</f>
        <v/>
      </c>
      <c r="O977" s="57"/>
      <c r="P977" s="57"/>
      <c r="Q977" s="57"/>
      <c r="R977" s="57"/>
      <c r="S977" s="57"/>
      <c r="T977" s="57"/>
      <c r="U977" s="57"/>
      <c r="V977" s="57"/>
      <c r="W977" s="57"/>
      <c r="X977" s="57"/>
      <c r="Y977" s="57"/>
      <c r="Z977" s="57"/>
    </row>
    <row r="978">
      <c r="A978" s="56" t="str">
        <f>IFERROR(__xludf.DUMMYFUNCTION("IF('AYIRA MINI MART FINAL MENU - Pr'!A978="""", """", IF(LEN(IFERROR(TRIM(REGEXREPLACE(TRIM(REGEXEXTRACT('AYIRA MINI MART FINAL MENU - Pr'!A978, ""^[^\x{0600}-\x{06FF}]+"")), ""[-–]+$"", """")), """"))&gt;0, IFERROR(TRIM(REGEXREPLACE(TRIM(REGEXEXTRACT('AYIRA"&amp;" MINI MART FINAL MENU - Pr'!A978, ""^[^\x{0600}-\x{06FF}]+"")), ""[-–]+$"", """")), """"), GOOGLETRANSLATE('AYIRA MINI MART FINAL MENU - Pr'!A978, ""ar"", ""en"")))"),"Qbake Samona (360 g) – Qbake Samona (360")</f>
        <v>Qbake Samona (360 g) – Qbake Samona (360</v>
      </c>
      <c r="B978" s="56" t="str">
        <f>IFERROR(__xludf.DUMMYFUNCTION("IF('AYIRA MINI MART FINAL MENU - Pr'!B978="""", """", IF(LEN(IFERROR(TRIM(REGEXREPLACE(TRIM(REGEXEXTRACT('AYIRA MINI MART FINAL MENU - Pr'!B978, ""^[^\x{0600}-\x{06FF}]+"")), ""[-–]+$"", """")), """"))&gt;0, IFERROR(TRIM(REGEXREPLACE(TRIM(REGEXEXTRACT('AYIRA"&amp;" MINI MART FINAL MENU - Pr'!B978, ""^[^\x{0600}-\x{06FF}]+"")), ""[-–]+$"", """")), """"), GOOGLETRANSLATE('AYIRA MINI MART FINAL MENU - Pr'!B978, ""ar"", ""en"")))"),"Bakery &amp; Pastries")</f>
        <v>Bakery &amp; Pastries</v>
      </c>
      <c r="C978" s="58">
        <f>IF('AYIRA MINI MART FINAL MENU - Pr'!C978="", "", 'AYIRA MINI MART FINAL MENU - Pr'!C978)</f>
        <v>4</v>
      </c>
      <c r="D978" s="56" t="str">
        <f>IFERROR(__xludf.DUMMYFUNCTION("IF('AYIRA MINI MART FINAL MENU - Pr'!D978="""", """", GOOGLETRANSLATE('AYIRA MINI MART FINAL MENU - Pr'!D978, ""ar"", ""en""))"),"Discover Qbake Samona (360g), a premium product that combines high quality with exceptional value. Made to the highest standards of quality and safety to ensure your complete satisfaction every time, its excellent features make it the perfect choice for y"&amp;"ou and your family. Whether for everyday use or special occasions, it meets and exceeds your expectations. Get it now from Aira Mini Mart and enjoy a pleasant and reliable shopping experience.")</f>
        <v>Discover Qbake Samona (360g),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78" s="56" t="str">
        <f>IF('AYIRA MINI MART FINAL MENU - Pr'!K978="", "", 'AYIRA MINI MART FINAL MENU - Pr'!K978)</f>
        <v/>
      </c>
      <c r="F978" s="56"/>
      <c r="G978" s="56"/>
      <c r="H978" s="56"/>
      <c r="I978" s="56"/>
      <c r="J978" s="56"/>
      <c r="L978" s="56" t="str">
        <f>IF('AYIRA MINI MART FINAL MENU - Pr'!L978="", "", 'AYIRA MINI MART FINAL MENU - Pr'!L978)</f>
        <v/>
      </c>
      <c r="M978" s="56" t="str">
        <f>IF('AYIRA MINI MART FINAL MENU - Pr'!M978="", "", 'AYIRA MINI MART FINAL MENU - Pr'!M978)</f>
        <v/>
      </c>
      <c r="N978" s="56" t="str">
        <f>IF('AYIRA MINI MART FINAL MENU - Pr'!N978="", "", 'AYIRA MINI MART FINAL MENU - Pr'!N978)</f>
        <v/>
      </c>
      <c r="O978" s="57"/>
      <c r="P978" s="57"/>
      <c r="Q978" s="57"/>
      <c r="R978" s="57"/>
      <c r="S978" s="57"/>
      <c r="T978" s="57"/>
      <c r="U978" s="57"/>
      <c r="V978" s="57"/>
      <c r="W978" s="57"/>
      <c r="X978" s="57"/>
      <c r="Y978" s="57"/>
      <c r="Z978" s="57"/>
    </row>
    <row r="979">
      <c r="A979" s="56" t="str">
        <f>IFERROR(__xludf.DUMMYFUNCTION("IF('AYIRA MINI MART FINAL MENU - Pr'!A979="""", """", IF(LEN(IFERROR(TRIM(REGEXREPLACE(TRIM(REGEXEXTRACT('AYIRA MINI MART FINAL MENU - Pr'!A979, ""^[^\x{0600}-\x{06FF}]+"")), ""[-–]+$"", """")), """"))&gt;0, IFERROR(TRIM(REGEXREPLACE(TRIM(REGEXEXTRACT('AYIRA"&amp;" MINI MART FINAL MENU - Pr'!A979, ""^[^\x{0600}-\x{06FF}]+"")), ""[-–]+$"", """")), """"), GOOGLETRANSLATE('AYIRA MINI MART FINAL MENU - Pr'!A979, ""ar"", ""en"")))"),"Qbake Burger Bun (420 g) – Qbake Burger Bun (420")</f>
        <v>Qbake Burger Bun (420 g) – Qbake Burger Bun (420</v>
      </c>
      <c r="B979" s="56" t="str">
        <f>IFERROR(__xludf.DUMMYFUNCTION("IF('AYIRA MINI MART FINAL MENU - Pr'!B979="""", """", IF(LEN(IFERROR(TRIM(REGEXREPLACE(TRIM(REGEXEXTRACT('AYIRA MINI MART FINAL MENU - Pr'!B979, ""^[^\x{0600}-\x{06FF}]+"")), ""[-–]+$"", """")), """"))&gt;0, IFERROR(TRIM(REGEXREPLACE(TRIM(REGEXEXTRACT('AYIRA"&amp;" MINI MART FINAL MENU - Pr'!B979, ""^[^\x{0600}-\x{06FF}]+"")), ""[-–]+$"", """")), """"), GOOGLETRANSLATE('AYIRA MINI MART FINAL MENU - Pr'!B979, ""ar"", ""en"")))"),"Bakery &amp; Pastries")</f>
        <v>Bakery &amp; Pastries</v>
      </c>
      <c r="C979" s="58">
        <f>IF('AYIRA MINI MART FINAL MENU - Pr'!C979="", "", 'AYIRA MINI MART FINAL MENU - Pr'!C979)</f>
        <v>5</v>
      </c>
      <c r="D979" s="56" t="str">
        <f>IFERROR(__xludf.DUMMYFUNCTION("IF('AYIRA MINI MART FINAL MENU - Pr'!D979="""", """", GOOGLETRANSLATE('AYIRA MINI MART FINAL MENU - Pr'!D979, ""ar"", ""en""))"),"Discover the Qbake Burger Bun (420g), a premium product that combines high quality with great value. Made to the highest standards of quality and safety to ensure your complete satisfaction every time. Its excellent features make it the perfect choice for"&amp;" you and your family. Whether for everyday use or special occasions, it meets and exceeds your expectations. Get it now from Aira Mini Mart and enjoy a pleasant and reliable shopping experience.")</f>
        <v>Discover the Qbake Burger Bun (420g),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79" s="56" t="str">
        <f>IF('AYIRA MINI MART FINAL MENU - Pr'!K979="", "", 'AYIRA MINI MART FINAL MENU - Pr'!K979)</f>
        <v/>
      </c>
      <c r="F979" s="56"/>
      <c r="G979" s="56"/>
      <c r="H979" s="56"/>
      <c r="I979" s="56"/>
      <c r="J979" s="56"/>
      <c r="L979" s="56" t="str">
        <f>IF('AYIRA MINI MART FINAL MENU - Pr'!L979="", "", 'AYIRA MINI MART FINAL MENU - Pr'!L979)</f>
        <v/>
      </c>
      <c r="M979" s="56" t="str">
        <f>IF('AYIRA MINI MART FINAL MENU - Pr'!M979="", "", 'AYIRA MINI MART FINAL MENU - Pr'!M979)</f>
        <v/>
      </c>
      <c r="N979" s="56" t="str">
        <f>IF('AYIRA MINI MART FINAL MENU - Pr'!N979="", "", 'AYIRA MINI MART FINAL MENU - Pr'!N979)</f>
        <v/>
      </c>
      <c r="O979" s="57"/>
      <c r="P979" s="57"/>
      <c r="Q979" s="57"/>
      <c r="R979" s="57"/>
      <c r="S979" s="57"/>
      <c r="T979" s="57"/>
      <c r="U979" s="57"/>
      <c r="V979" s="57"/>
      <c r="W979" s="57"/>
      <c r="X979" s="57"/>
      <c r="Y979" s="57"/>
      <c r="Z979" s="57"/>
    </row>
    <row r="980">
      <c r="A980" s="56" t="str">
        <f>IFERROR(__xludf.DUMMYFUNCTION("IF('AYIRA MINI MART FINAL MENU - Pr'!A980="""", """", IF(LEN(IFERROR(TRIM(REGEXREPLACE(TRIM(REGEXEXTRACT('AYIRA MINI MART FINAL MENU - Pr'!A980, ""^[^\x{0600}-\x{06FF}]+"")), ""[-–]+$"", """")), """"))&gt;0, IFERROR(TRIM(REGEXREPLACE(TRIM(REGEXEXTRACT('AYIRA"&amp;" MINI MART FINAL MENU - Pr'!A980, ""^[^\x{0600}-\x{06FF}]+"")), ""[-–]+$"", """")), """"), GOOGLETRANSLATE('AYIRA MINI MART FINAL MENU - Pr'!A980, ""ar"", ""en"")))"),"Qbake Soft Bun (420 g) – Qbake Soft Bun (420")</f>
        <v>Qbake Soft Bun (420 g) – Qbake Soft Bun (420</v>
      </c>
      <c r="B980" s="56" t="str">
        <f>IFERROR(__xludf.DUMMYFUNCTION("IF('AYIRA MINI MART FINAL MENU - Pr'!B980="""", """", IF(LEN(IFERROR(TRIM(REGEXREPLACE(TRIM(REGEXEXTRACT('AYIRA MINI MART FINAL MENU - Pr'!B980, ""^[^\x{0600}-\x{06FF}]+"")), ""[-–]+$"", """")), """"))&gt;0, IFERROR(TRIM(REGEXREPLACE(TRIM(REGEXEXTRACT('AYIRA"&amp;" MINI MART FINAL MENU - Pr'!B980, ""^[^\x{0600}-\x{06FF}]+"")), ""[-–]+$"", """")), """"), GOOGLETRANSLATE('AYIRA MINI MART FINAL MENU - Pr'!B980, ""ar"", ""en"")))"),"Bakery &amp; Pastries")</f>
        <v>Bakery &amp; Pastries</v>
      </c>
      <c r="C980" s="58">
        <f>IF('AYIRA MINI MART FINAL MENU - Pr'!C980="", "", 'AYIRA MINI MART FINAL MENU - Pr'!C980)</f>
        <v>4.5</v>
      </c>
      <c r="D980" s="56" t="str">
        <f>IFERROR(__xludf.DUMMYFUNCTION("IF('AYIRA MINI MART FINAL MENU - Pr'!D980="""", """", GOOGLETRANSLATE('AYIRA MINI MART FINAL MENU - Pr'!D980, ""ar"", ""en""))"),"Discover Qbake Soft Buns (420g), a premium product that combines high quality with great value. Made to the highest standards of quality and safety to ensure your complete satisfaction every time. Its excellent features make it the perfect choice for you "&amp;"and your family. Whether for everyday use or special occasions, it meets and exceeds your expectations. Get yours now from Aira Mini Mart and enjoy a pleasant and reliable shopping experience.")</f>
        <v>Discover Qbake Soft Buns (420g),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yours now from Aira Mini Mart and enjoy a pleasant and reliable shopping experience.</v>
      </c>
      <c r="E980" s="56" t="str">
        <f>IF('AYIRA MINI MART FINAL MENU - Pr'!K980="", "", 'AYIRA MINI MART FINAL MENU - Pr'!K980)</f>
        <v/>
      </c>
      <c r="F980" s="56"/>
      <c r="G980" s="56"/>
      <c r="H980" s="56"/>
      <c r="I980" s="56"/>
      <c r="J980" s="56"/>
      <c r="L980" s="56" t="str">
        <f>IF('AYIRA MINI MART FINAL MENU - Pr'!L980="", "", 'AYIRA MINI MART FINAL MENU - Pr'!L980)</f>
        <v/>
      </c>
      <c r="M980" s="56" t="str">
        <f>IF('AYIRA MINI MART FINAL MENU - Pr'!M980="", "", 'AYIRA MINI MART FINAL MENU - Pr'!M980)</f>
        <v/>
      </c>
      <c r="N980" s="56" t="str">
        <f>IF('AYIRA MINI MART FINAL MENU - Pr'!N980="", "", 'AYIRA MINI MART FINAL MENU - Pr'!N980)</f>
        <v/>
      </c>
      <c r="O980" s="57"/>
      <c r="P980" s="57"/>
      <c r="Q980" s="57"/>
      <c r="R980" s="57"/>
      <c r="S980" s="57"/>
      <c r="T980" s="57"/>
      <c r="U980" s="57"/>
      <c r="V980" s="57"/>
      <c r="W980" s="57"/>
      <c r="X980" s="57"/>
      <c r="Y980" s="57"/>
      <c r="Z980" s="57"/>
    </row>
    <row r="981">
      <c r="A981" s="56" t="str">
        <f>IFERROR(__xludf.DUMMYFUNCTION("IF('AYIRA MINI MART FINAL MENU - Pr'!A981="""", """", IF(LEN(IFERROR(TRIM(REGEXREPLACE(TRIM(REGEXEXTRACT('AYIRA MINI MART FINAL MENU - Pr'!A981, ""^[^\x{0600}-\x{06FF}]+"")), ""[-–]+$"", """")), """"))&gt;0, IFERROR(TRIM(REGEXREPLACE(TRIM(REGEXEXTRACT('AYIRA"&amp;" MINI MART FINAL MENU - Pr'!A981, ""^[^\x{0600}-\x{06FF}]+"")), ""[-–]+$"", """")), """"), GOOGLETRANSLATE('AYIRA MINI MART FINAL MENU - Pr'!A981, ""ar"", ""en"")))"),"Qbake Hot Dog Roll – Soft &amp; Fluffy (500 g) – Qbake")</f>
        <v>Qbake Hot Dog Roll – Soft &amp; Fluffy (500 g) – Qbake</v>
      </c>
      <c r="B981" s="56" t="str">
        <f>IFERROR(__xludf.DUMMYFUNCTION("IF('AYIRA MINI MART FINAL MENU - Pr'!B981="""", """", IF(LEN(IFERROR(TRIM(REGEXREPLACE(TRIM(REGEXEXTRACT('AYIRA MINI MART FINAL MENU - Pr'!B981, ""^[^\x{0600}-\x{06FF}]+"")), ""[-–]+$"", """")), """"))&gt;0, IFERROR(TRIM(REGEXREPLACE(TRIM(REGEXEXTRACT('AYIRA"&amp;" MINI MART FINAL MENU - Pr'!B981, ""^[^\x{0600}-\x{06FF}]+"")), ""[-–]+$"", """")), """"), GOOGLETRANSLATE('AYIRA MINI MART FINAL MENU - Pr'!B981, ""ar"", ""en"")))"),"Bakery &amp; Pastries")</f>
        <v>Bakery &amp; Pastries</v>
      </c>
      <c r="C981" s="58">
        <f>IF('AYIRA MINI MART FINAL MENU - Pr'!C981="", "", 'AYIRA MINI MART FINAL MENU - Pr'!C981)</f>
        <v>5</v>
      </c>
      <c r="D981" s="56" t="str">
        <f>IFERROR(__xludf.DUMMYFUNCTION("IF('AYIRA MINI MART FINAL MENU - Pr'!D981="""", """", GOOGLETRANSLATE('AYIRA MINI MART FINAL MENU - Pr'!D981, ""ar"", ""en""))"),"Discover Qbake Hot Dog Roll – Soft &amp; Fluffy (500g), a premium product that combines high quality with great value. Made to the highest standards of quality and safety to ensure your complete satisfaction every time. Its excellent features make it the perf"&amp;"ect choice for you and your family. Whether for everyday use or special occasions, it meets and exceeds your expectations. Get it now from Aira Mini Mart and enjoy a pleasant and reliable shopping experience.")</f>
        <v>Discover Qbake Hot Dog Roll – Soft &amp; Fluffy (500g),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81" s="56" t="str">
        <f>IF('AYIRA MINI MART FINAL MENU - Pr'!K981="", "", 'AYIRA MINI MART FINAL MENU - Pr'!K981)</f>
        <v/>
      </c>
      <c r="F981" s="56"/>
      <c r="G981" s="56"/>
      <c r="H981" s="56"/>
      <c r="I981" s="56"/>
      <c r="J981" s="56"/>
      <c r="L981" s="56" t="str">
        <f>IF('AYIRA MINI MART FINAL MENU - Pr'!L981="", "", 'AYIRA MINI MART FINAL MENU - Pr'!L981)</f>
        <v/>
      </c>
      <c r="M981" s="56" t="str">
        <f>IF('AYIRA MINI MART FINAL MENU - Pr'!M981="", "", 'AYIRA MINI MART FINAL MENU - Pr'!M981)</f>
        <v/>
      </c>
      <c r="N981" s="56" t="str">
        <f>IF('AYIRA MINI MART FINAL MENU - Pr'!N981="", "", 'AYIRA MINI MART FINAL MENU - Pr'!N981)</f>
        <v/>
      </c>
      <c r="O981" s="57"/>
      <c r="P981" s="57"/>
      <c r="Q981" s="57"/>
      <c r="R981" s="57"/>
      <c r="S981" s="57"/>
      <c r="T981" s="57"/>
      <c r="U981" s="57"/>
      <c r="V981" s="57"/>
      <c r="W981" s="57"/>
      <c r="X981" s="57"/>
      <c r="Y981" s="57"/>
      <c r="Z981" s="57"/>
    </row>
    <row r="982">
      <c r="A982" s="56" t="str">
        <f>IFERROR(__xludf.DUMMYFUNCTION("IF('AYIRA MINI MART FINAL MENU - Pr'!A982="""", """", IF(LEN(IFERROR(TRIM(REGEXREPLACE(TRIM(REGEXEXTRACT('AYIRA MINI MART FINAL MENU - Pr'!A982, ""^[^\x{0600}-\x{06FF}]+"")), ""[-–]+$"", """")), """"))&gt;0, IFERROR(TRIM(REGEXREPLACE(TRIM(REGEXEXTRACT('AYIRA"&amp;" MINI MART FINAL MENU - Pr'!A982, ""^[^\x{0600}-\x{06FF}]+"")), ""[-–]+$"", """")), """"), GOOGLETRANSLATE('AYIRA MINI MART FINAL MENU - Pr'!A982, ""ar"", ""en"")))"),"London Oven Fresh – London Bakery (210 g) – London Oven Fresh – London Bakery (210")</f>
        <v>London Oven Fresh – London Bakery (210 g) – London Oven Fresh – London Bakery (210</v>
      </c>
      <c r="B982" s="56" t="str">
        <f>IFERROR(__xludf.DUMMYFUNCTION("IF('AYIRA MINI MART FINAL MENU - Pr'!B982="""", """", IF(LEN(IFERROR(TRIM(REGEXREPLACE(TRIM(REGEXEXTRACT('AYIRA MINI MART FINAL MENU - Pr'!B982, ""^[^\x{0600}-\x{06FF}]+"")), ""[-–]+$"", """")), """"))&gt;0, IFERROR(TRIM(REGEXREPLACE(TRIM(REGEXEXTRACT('AYIRA"&amp;" MINI MART FINAL MENU - Pr'!B982, ""^[^\x{0600}-\x{06FF}]+"")), ""[-–]+$"", """")), """"), GOOGLETRANSLATE('AYIRA MINI MART FINAL MENU - Pr'!B982, ""ar"", ""en"")))"),"Bakery &amp; Pastries")</f>
        <v>Bakery &amp; Pastries</v>
      </c>
      <c r="C982" s="58">
        <f>IF('AYIRA MINI MART FINAL MENU - Pr'!C982="", "", 'AYIRA MINI MART FINAL MENU - Pr'!C982)</f>
        <v>4</v>
      </c>
      <c r="D982" s="56" t="str">
        <f>IFERROR(__xludf.DUMMYFUNCTION("IF('AYIRA MINI MART FINAL MENU - Pr'!D982="""", """", GOOGLETRANSLATE('AYIRA MINI MART FINAL MENU - Pr'!D982, ""ar"", ""en""))"),"Discover London Oven Fresh – London Bakery (210g), a premium product that combines high quality with great value. Made to the highest standards of quality and safety to ensure your complete satisfaction every time. Its excellent features make it the perfe"&amp;"ct choice for you and your family. Whether for everyday use or special occasions, it meets and exceeds your expectations. Get it now from Aira Mini Mart and enjoy a pleasant and reliable shopping experience.")</f>
        <v>Discover London Oven Fresh – London Bakery (210g),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82" s="56" t="str">
        <f>IF('AYIRA MINI MART FINAL MENU - Pr'!K982="", "", 'AYIRA MINI MART FINAL MENU - Pr'!K982)</f>
        <v/>
      </c>
      <c r="F982" s="56"/>
      <c r="G982" s="56"/>
      <c r="H982" s="56"/>
      <c r="I982" s="56"/>
      <c r="J982" s="56"/>
      <c r="L982" s="56" t="str">
        <f>IF('AYIRA MINI MART FINAL MENU - Pr'!L982="", "", 'AYIRA MINI MART FINAL MENU - Pr'!L982)</f>
        <v/>
      </c>
      <c r="M982" s="56" t="str">
        <f>IF('AYIRA MINI MART FINAL MENU - Pr'!M982="", "", 'AYIRA MINI MART FINAL MENU - Pr'!M982)</f>
        <v/>
      </c>
      <c r="N982" s="56" t="str">
        <f>IF('AYIRA MINI MART FINAL MENU - Pr'!N982="", "", 'AYIRA MINI MART FINAL MENU - Pr'!N982)</f>
        <v/>
      </c>
      <c r="O982" s="57"/>
      <c r="P982" s="57"/>
      <c r="Q982" s="57"/>
      <c r="R982" s="57"/>
      <c r="S982" s="57"/>
      <c r="T982" s="57"/>
      <c r="U982" s="57"/>
      <c r="V982" s="57"/>
      <c r="W982" s="57"/>
      <c r="X982" s="57"/>
      <c r="Y982" s="57"/>
      <c r="Z982" s="57"/>
    </row>
    <row r="983">
      <c r="A983" s="56" t="str">
        <f>IFERROR(__xludf.DUMMYFUNCTION("IF('AYIRA MINI MART FINAL MENU - Pr'!A983="""", """", IF(LEN(IFERROR(TRIM(REGEXREPLACE(TRIM(REGEXEXTRACT('AYIRA MINI MART FINAL MENU - Pr'!A983, ""^[^\x{0600}-\x{06FF}]+"")), ""[-–]+$"", """")), """"))&gt;0, IFERROR(TRIM(REGEXREPLACE(TRIM(REGEXEXTRACT('AYIRA"&amp;" MINI MART FINAL MENU - Pr'!A983, ""^[^\x{0600}-\x{06FF}]+"")), ""[-–]+$"", """")), """"), GOOGLETRANSLATE('AYIRA MINI MART FINAL MENU - Pr'!A983, ""ar"", ""en"")))"),"Lusine Triple Chocolate Muffin (60 g) – Lusine Triple")</f>
        <v>Lusine Triple Chocolate Muffin (60 g) – Lusine Triple</v>
      </c>
      <c r="B983" s="56" t="str">
        <f>IFERROR(__xludf.DUMMYFUNCTION("IF('AYIRA MINI MART FINAL MENU - Pr'!B983="""", """", IF(LEN(IFERROR(TRIM(REGEXREPLACE(TRIM(REGEXEXTRACT('AYIRA MINI MART FINAL MENU - Pr'!B983, ""^[^\x{0600}-\x{06FF}]+"")), ""[-–]+$"", """")), """"))&gt;0, IFERROR(TRIM(REGEXREPLACE(TRIM(REGEXEXTRACT('AYIRA"&amp;" MINI MART FINAL MENU - Pr'!B983, ""^[^\x{0600}-\x{06FF}]+"")), ""[-–]+$"", """")), """"), GOOGLETRANSLATE('AYIRA MINI MART FINAL MENU - Pr'!B983, ""ar"", ""en"")))"),"Bakery &amp; Pastries")</f>
        <v>Bakery &amp; Pastries</v>
      </c>
      <c r="C983" s="58">
        <f>IF('AYIRA MINI MART FINAL MENU - Pr'!C983="", "", 'AYIRA MINI MART FINAL MENU - Pr'!C983)</f>
        <v>3</v>
      </c>
      <c r="D983" s="56" t="str">
        <f>IFERROR(__xludf.DUMMYFUNCTION("IF('AYIRA MINI MART FINAL MENU - Pr'!D983="""", """", GOOGLETRANSLATE('AYIRA MINI MART FINAL MENU - Pr'!D983, ""ar"", ""en""))"),"Indulge your senses with Lusine Triple Chocolate Muffin (60g), a luxurious chocolate that combines rich flavor with a perfect texture. Made from the finest selected cocoa beans, it delivers an exceptional dessert experience every time. Whether you're look"&amp;"ing for a special gift or want to treat yourself, this chocolate is the perfect choice. Savor every bite and immerse yourself in a world of smoothness and sweetness. Get yours from Aira Mini Mart and experience moments of pure delight.")</f>
        <v>Indulge your senses with Lusine Triple Chocolate Muffin (60g),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bite and immerse yourself in a world of smoothness and sweetness. Get yours from Aira Mini Mart and experience moments of pure delight.</v>
      </c>
      <c r="E983" s="56" t="str">
        <f>IF('AYIRA MINI MART FINAL MENU - Pr'!K983="", "", 'AYIRA MINI MART FINAL MENU - Pr'!K983)</f>
        <v/>
      </c>
      <c r="F983" s="56"/>
      <c r="G983" s="56"/>
      <c r="H983" s="56"/>
      <c r="I983" s="56"/>
      <c r="J983" s="56"/>
      <c r="L983" s="56" t="str">
        <f>IF('AYIRA MINI MART FINAL MENU - Pr'!L983="", "", 'AYIRA MINI MART FINAL MENU - Pr'!L983)</f>
        <v/>
      </c>
      <c r="M983" s="56" t="str">
        <f>IF('AYIRA MINI MART FINAL MENU - Pr'!M983="", "", 'AYIRA MINI MART FINAL MENU - Pr'!M983)</f>
        <v/>
      </c>
      <c r="N983" s="56" t="str">
        <f>IF('AYIRA MINI MART FINAL MENU - Pr'!N983="", "", 'AYIRA MINI MART FINAL MENU - Pr'!N983)</f>
        <v/>
      </c>
      <c r="O983" s="57"/>
      <c r="P983" s="57"/>
      <c r="Q983" s="57"/>
      <c r="R983" s="57"/>
      <c r="S983" s="57"/>
      <c r="T983" s="57"/>
      <c r="U983" s="57"/>
      <c r="V983" s="57"/>
      <c r="W983" s="57"/>
      <c r="X983" s="57"/>
      <c r="Y983" s="57"/>
      <c r="Z983" s="57"/>
    </row>
    <row r="984">
      <c r="A984" s="56" t="str">
        <f>IFERROR(__xludf.DUMMYFUNCTION("IF('AYIRA MINI MART FINAL MENU - Pr'!A984="""", """", IF(LEN(IFERROR(TRIM(REGEXREPLACE(TRIM(REGEXEXTRACT('AYIRA MINI MART FINAL MENU - Pr'!A984, ""^[^\x{0600}-\x{06FF}]+"")), ""[-–]+$"", """")), """"))&gt;0, IFERROR(TRIM(REGEXREPLACE(TRIM(REGEXEXTRACT('AYIRA"&amp;" MINI MART FINAL MENU - Pr'!A984, ""^[^\x{0600}-\x{06FF}]+"")), ""[-–]+$"", """")), """"), GOOGLETRANSLATE('AYIRA MINI MART FINAL MENU - Pr'!A984, ""ar"", ""en"")))"),"Qbake Butter Bread 300g – Qbake")</f>
        <v>Qbake Butter Bread 300g – Qbake</v>
      </c>
      <c r="B984" s="56" t="str">
        <f>IFERROR(__xludf.DUMMYFUNCTION("IF('AYIRA MINI MART FINAL MENU - Pr'!B984="""", """", IF(LEN(IFERROR(TRIM(REGEXREPLACE(TRIM(REGEXEXTRACT('AYIRA MINI MART FINAL MENU - Pr'!B984, ""^[^\x{0600}-\x{06FF}]+"")), ""[-–]+$"", """")), """"))&gt;0, IFERROR(TRIM(REGEXREPLACE(TRIM(REGEXEXTRACT('AYIRA"&amp;" MINI MART FINAL MENU - Pr'!B984, ""^[^\x{0600}-\x{06FF}]+"")), ""[-–]+$"", """")), """"), GOOGLETRANSLATE('AYIRA MINI MART FINAL MENU - Pr'!B984, ""ar"", ""en"")))"),"Bakery &amp; Pastries")</f>
        <v>Bakery &amp; Pastries</v>
      </c>
      <c r="C984" s="58">
        <f>IF('AYIRA MINI MART FINAL MENU - Pr'!C984="", "", 'AYIRA MINI MART FINAL MENU - Pr'!C984)</f>
        <v>4</v>
      </c>
      <c r="D984" s="56" t="str">
        <f>IFERROR(__xludf.DUMMYFUNCTION("IF('AYIRA MINI MART FINAL MENU - Pr'!D984="""", """", GOOGLETRANSLATE('AYIRA MINI MART FINAL MENU - Pr'!D984, ""ar"", ""en""))"),"Discover Qbake Butter Bread 300g, a premium product that combines high quality with great value. Made to the highest standards of quality and safety to ensure your complete satisfaction every time. Its excellent features make it the perfect choice for you"&amp;" and your family. Whether for everyday use or special occasions, it meets and exceeds your expectations. Get it now from Aira Mini Mart and enjoy a pleasant and reliable shopping experience.")</f>
        <v>Discover Qbake Butter Bread 300g,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84" s="56" t="str">
        <f>IF('AYIRA MINI MART FINAL MENU - Pr'!K984="", "", 'AYIRA MINI MART FINAL MENU - Pr'!K984)</f>
        <v/>
      </c>
      <c r="F984" s="56"/>
      <c r="G984" s="56"/>
      <c r="H984" s="56"/>
      <c r="I984" s="56"/>
      <c r="J984" s="56"/>
      <c r="L984" s="56" t="str">
        <f>IF('AYIRA MINI MART FINAL MENU - Pr'!L984="", "", 'AYIRA MINI MART FINAL MENU - Pr'!L984)</f>
        <v/>
      </c>
      <c r="M984" s="56" t="str">
        <f>IF('AYIRA MINI MART FINAL MENU - Pr'!M984="", "", 'AYIRA MINI MART FINAL MENU - Pr'!M984)</f>
        <v/>
      </c>
      <c r="N984" s="56" t="str">
        <f>IF('AYIRA MINI MART FINAL MENU - Pr'!N984="", "", 'AYIRA MINI MART FINAL MENU - Pr'!N984)</f>
        <v/>
      </c>
      <c r="O984" s="57"/>
      <c r="P984" s="57"/>
      <c r="Q984" s="57"/>
      <c r="R984" s="57"/>
      <c r="S984" s="57"/>
      <c r="T984" s="57"/>
      <c r="U984" s="57"/>
      <c r="V984" s="57"/>
      <c r="W984" s="57"/>
      <c r="X984" s="57"/>
      <c r="Y984" s="57"/>
      <c r="Z984" s="57"/>
    </row>
    <row r="985">
      <c r="A985" s="56" t="str">
        <f>IFERROR(__xludf.DUMMYFUNCTION("IF('AYIRA MINI MART FINAL MENU - Pr'!A985="""", """", IF(LEN(IFERROR(TRIM(REGEXREPLACE(TRIM(REGEXEXTRACT('AYIRA MINI MART FINAL MENU - Pr'!A985, ""^[^\x{0600}-\x{06FF}]+"")), ""[-–]+$"", """")), """"))&gt;0, IFERROR(TRIM(REGEXREPLACE(TRIM(REGEXEXTRACT('AYIRA"&amp;" MINI MART FINAL MENU - Pr'!A985, ""^[^\x{0600}-\x{06FF}]+"")), ""[-–]+$"", """")), """"), GOOGLETRANSLATE('AYIRA MINI MART FINAL MENU - Pr'!A985, ""ar"", ""en"")))"),"Qbake multi Grain Bread 325g – Qbake multi Grain")</f>
        <v>Qbake multi Grain Bread 325g – Qbake multi Grain</v>
      </c>
      <c r="B985" s="56" t="str">
        <f>IFERROR(__xludf.DUMMYFUNCTION("IF('AYIRA MINI MART FINAL MENU - Pr'!B985="""", """", IF(LEN(IFERROR(TRIM(REGEXREPLACE(TRIM(REGEXEXTRACT('AYIRA MINI MART FINAL MENU - Pr'!B985, ""^[^\x{0600}-\x{06FF}]+"")), ""[-–]+$"", """")), """"))&gt;0, IFERROR(TRIM(REGEXREPLACE(TRIM(REGEXEXTRACT('AYIRA"&amp;" MINI MART FINAL MENU - Pr'!B985, ""^[^\x{0600}-\x{06FF}]+"")), ""[-–]+$"", """")), """"), GOOGLETRANSLATE('AYIRA MINI MART FINAL MENU - Pr'!B985, ""ar"", ""en"")))"),"Bakery &amp; Pastries")</f>
        <v>Bakery &amp; Pastries</v>
      </c>
      <c r="C985" s="58">
        <f>IF('AYIRA MINI MART FINAL MENU - Pr'!C985="", "", 'AYIRA MINI MART FINAL MENU - Pr'!C985)</f>
        <v>5</v>
      </c>
      <c r="D985" s="56" t="str">
        <f>IFERROR(__xludf.DUMMYFUNCTION("IF('AYIRA MINI MART FINAL MENU - Pr'!D985="""", """", GOOGLETRANSLATE('AYIRA MINI MART FINAL MENU - Pr'!D985, ""ar"", ""en""))"),"Discover Qbake multi-grain bread 325g, a premium product that combines high quality with great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Qbake multi-grain bread 325g,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85" s="56" t="str">
        <f>IF('AYIRA MINI MART FINAL MENU - Pr'!K985="", "", 'AYIRA MINI MART FINAL MENU - Pr'!K985)</f>
        <v/>
      </c>
      <c r="F985" s="56"/>
      <c r="G985" s="56"/>
      <c r="H985" s="56"/>
      <c r="I985" s="56"/>
      <c r="J985" s="56"/>
      <c r="L985" s="56" t="str">
        <f>IF('AYIRA MINI MART FINAL MENU - Pr'!L985="", "", 'AYIRA MINI MART FINAL MENU - Pr'!L985)</f>
        <v/>
      </c>
      <c r="M985" s="56" t="str">
        <f>IF('AYIRA MINI MART FINAL MENU - Pr'!M985="", "", 'AYIRA MINI MART FINAL MENU - Pr'!M985)</f>
        <v/>
      </c>
      <c r="N985" s="56" t="str">
        <f>IF('AYIRA MINI MART FINAL MENU - Pr'!N985="", "", 'AYIRA MINI MART FINAL MENU - Pr'!N985)</f>
        <v/>
      </c>
      <c r="O985" s="57"/>
      <c r="P985" s="57"/>
      <c r="Q985" s="57"/>
      <c r="R985" s="57"/>
      <c r="S985" s="57"/>
      <c r="T985" s="57"/>
      <c r="U985" s="57"/>
      <c r="V985" s="57"/>
      <c r="W985" s="57"/>
      <c r="X985" s="57"/>
      <c r="Y985" s="57"/>
      <c r="Z985" s="57"/>
    </row>
    <row r="986">
      <c r="A986" s="56" t="str">
        <f>IFERROR(__xludf.DUMMYFUNCTION("IF('AYIRA MINI MART FINAL MENU - Pr'!A986="""", """", IF(LEN(IFERROR(TRIM(REGEXREPLACE(TRIM(REGEXEXTRACT('AYIRA MINI MART FINAL MENU - Pr'!A986, ""^[^\x{0600}-\x{06FF}]+"")), ""[-–]+$"", """")), """"))&gt;0, IFERROR(TRIM(REGEXREPLACE(TRIM(REGEXEXTRACT('AYIRA"&amp;" MINI MART FINAL MENU - Pr'!A986, ""^[^\x{0600}-\x{06FF}]+"")), ""[-–]+$"", """")), """"), GOOGLETRANSLATE('AYIRA MINI MART FINAL MENU - Pr'!A986, ""ar"", ""en"")))"),"Qbake Milk Bread Medium 620gm – Qbake")</f>
        <v>Qbake Milk Bread Medium 620gm – Qbake</v>
      </c>
      <c r="B986" s="56" t="str">
        <f>IFERROR(__xludf.DUMMYFUNCTION("IF('AYIRA MINI MART FINAL MENU - Pr'!B986="""", """", IF(LEN(IFERROR(TRIM(REGEXREPLACE(TRIM(REGEXEXTRACT('AYIRA MINI MART FINAL MENU - Pr'!B986, ""^[^\x{0600}-\x{06FF}]+"")), ""[-–]+$"", """")), """"))&gt;0, IFERROR(TRIM(REGEXREPLACE(TRIM(REGEXEXTRACT('AYIRA"&amp;" MINI MART FINAL MENU - Pr'!B986, ""^[^\x{0600}-\x{06FF}]+"")), ""[-–]+$"", """")), """"), GOOGLETRANSLATE('AYIRA MINI MART FINAL MENU - Pr'!B986, ""ar"", ""en"")))"),"Bakery &amp; Pastries")</f>
        <v>Bakery &amp; Pastries</v>
      </c>
      <c r="C986" s="58">
        <f>IF('AYIRA MINI MART FINAL MENU - Pr'!C986="", "", 'AYIRA MINI MART FINAL MENU - Pr'!C986)</f>
        <v>6</v>
      </c>
      <c r="D986" s="56" t="str">
        <f>IFERROR(__xludf.DUMMYFUNCTION("IF('AYIRA MINI MART FINAL MENU - Pr'!D986="""", """", GOOGLETRANSLATE('AYIRA MINI MART FINAL MENU - Pr'!D986, ""ar"", ""en""))"),"Discover Qbake Milk Bread Medium 620gm, a premium product that combines high quality with great value. Made to the highest standards of quality and safety to ensure your complete satisfaction every time. Its excellent features make it the perfect choice f"&amp;"or you and your family. Whether for everyday use or special occasions, it meets and exceeds your expectations. Get it now from Aira Mini Mart and enjoy a pleasant and reliable shopping experience.")</f>
        <v>Discover Qbake Milk Bread Medium 620gm,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86" s="56" t="str">
        <f>IF('AYIRA MINI MART FINAL MENU - Pr'!K986="", "", 'AYIRA MINI MART FINAL MENU - Pr'!K986)</f>
        <v/>
      </c>
      <c r="F986" s="56"/>
      <c r="G986" s="56"/>
      <c r="H986" s="56"/>
      <c r="I986" s="56"/>
      <c r="J986" s="56"/>
      <c r="L986" s="56" t="str">
        <f>IF('AYIRA MINI MART FINAL MENU - Pr'!L986="", "", 'AYIRA MINI MART FINAL MENU - Pr'!L986)</f>
        <v/>
      </c>
      <c r="M986" s="56" t="str">
        <f>IF('AYIRA MINI MART FINAL MENU - Pr'!M986="", "", 'AYIRA MINI MART FINAL MENU - Pr'!M986)</f>
        <v/>
      </c>
      <c r="N986" s="56" t="str">
        <f>IF('AYIRA MINI MART FINAL MENU - Pr'!N986="", "", 'AYIRA MINI MART FINAL MENU - Pr'!N986)</f>
        <v/>
      </c>
      <c r="O986" s="57"/>
      <c r="P986" s="57"/>
      <c r="Q986" s="57"/>
      <c r="R986" s="57"/>
      <c r="S986" s="57"/>
      <c r="T986" s="57"/>
      <c r="U986" s="57"/>
      <c r="V986" s="57"/>
      <c r="W986" s="57"/>
      <c r="X986" s="57"/>
      <c r="Y986" s="57"/>
      <c r="Z986" s="57"/>
    </row>
    <row r="987">
      <c r="A987" s="56" t="str">
        <f>IFERROR(__xludf.DUMMYFUNCTION("IF('AYIRA MINI MART FINAL MENU - Pr'!A987="""", """", IF(LEN(IFERROR(TRIM(REGEXREPLACE(TRIM(REGEXEXTRACT('AYIRA MINI MART FINAL MENU - Pr'!A987, ""^[^\x{0600}-\x{06FF}]+"")), ""[-–]+$"", """")), """"))&gt;0, IFERROR(TRIM(REGEXREPLACE(TRIM(REGEXEXTRACT('AYIRA"&amp;" MINI MART FINAL MENU - Pr'!A987, ""^[^\x{0600}-\x{06FF}]+"")), ""[-–]+$"", """")), """"), GOOGLETRANSLATE('AYIRA MINI MART FINAL MENU - Pr'!A987, ""ar"", ""en"")))"),"Qbake Milk Bread 350Gm – Qbake")</f>
        <v>Qbake Milk Bread 350Gm – Qbake</v>
      </c>
      <c r="B987" s="56" t="str">
        <f>IFERROR(__xludf.DUMMYFUNCTION("IF('AYIRA MINI MART FINAL MENU - Pr'!B987="""", """", IF(LEN(IFERROR(TRIM(REGEXREPLACE(TRIM(REGEXEXTRACT('AYIRA MINI MART FINAL MENU - Pr'!B987, ""^[^\x{0600}-\x{06FF}]+"")), ""[-–]+$"", """")), """"))&gt;0, IFERROR(TRIM(REGEXREPLACE(TRIM(REGEXEXTRACT('AYIRA"&amp;" MINI MART FINAL MENU - Pr'!B987, ""^[^\x{0600}-\x{06FF}]+"")), ""[-–]+$"", """")), """"), GOOGLETRANSLATE('AYIRA MINI MART FINAL MENU - Pr'!B987, ""ar"", ""en"")))"),"Bakery &amp; Pastries")</f>
        <v>Bakery &amp; Pastries</v>
      </c>
      <c r="C987" s="58">
        <f>IF('AYIRA MINI MART FINAL MENU - Pr'!C987="", "", 'AYIRA MINI MART FINAL MENU - Pr'!C987)</f>
        <v>3.5</v>
      </c>
      <c r="D987" s="56" t="str">
        <f>IFERROR(__xludf.DUMMYFUNCTION("IF('AYIRA MINI MART FINAL MENU - Pr'!D987="""", """", GOOGLETRANSLATE('AYIRA MINI MART FINAL MENU - Pr'!D987, ""ar"", ""en""))"),"Discover Qbake Milk Bread 350g, a premium product that combines high quality with great value. Made to the highest standards of quality and safety to ensure your complete satisfaction every time. Its excellent features make it the perfect choice for you a"&amp;"nd your family. Whether for everyday use or special occasions, it meets and exceeds your expectations. Get it now from Aira Mini Mart and enjoy a pleasant and reliable shopping experience.")</f>
        <v>Discover Qbake Milk Bread 350g,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87" s="56" t="str">
        <f>IF('AYIRA MINI MART FINAL MENU - Pr'!K987="", "", 'AYIRA MINI MART FINAL MENU - Pr'!K987)</f>
        <v/>
      </c>
      <c r="F987" s="56"/>
      <c r="G987" s="56"/>
      <c r="H987" s="56"/>
      <c r="I987" s="56"/>
      <c r="J987" s="56"/>
      <c r="L987" s="56" t="str">
        <f>IF('AYIRA MINI MART FINAL MENU - Pr'!L987="", "", 'AYIRA MINI MART FINAL MENU - Pr'!L987)</f>
        <v/>
      </c>
      <c r="M987" s="56" t="str">
        <f>IF('AYIRA MINI MART FINAL MENU - Pr'!M987="", "", 'AYIRA MINI MART FINAL MENU - Pr'!M987)</f>
        <v/>
      </c>
      <c r="N987" s="56" t="str">
        <f>IF('AYIRA MINI MART FINAL MENU - Pr'!N987="", "", 'AYIRA MINI MART FINAL MENU - Pr'!N987)</f>
        <v/>
      </c>
      <c r="O987" s="57"/>
      <c r="P987" s="57"/>
      <c r="Q987" s="57"/>
      <c r="R987" s="57"/>
      <c r="S987" s="57"/>
      <c r="T987" s="57"/>
      <c r="U987" s="57"/>
      <c r="V987" s="57"/>
      <c r="W987" s="57"/>
      <c r="X987" s="57"/>
      <c r="Y987" s="57"/>
      <c r="Z987" s="57"/>
    </row>
    <row r="988">
      <c r="A988" s="56" t="str">
        <f>IFERROR(__xludf.DUMMYFUNCTION("IF('AYIRA MINI MART FINAL MENU - Pr'!A988="""", """", IF(LEN(IFERROR(TRIM(REGEXREPLACE(TRIM(REGEXEXTRACT('AYIRA MINI MART FINAL MENU - Pr'!A988, ""^[^\x{0600}-\x{06FF}]+"")), ""[-–]+$"", """")), """"))&gt;0, IFERROR(TRIM(REGEXREPLACE(TRIM(REGEXEXTRACT('AYIRA"&amp;" MINI MART FINAL MENU - Pr'!A988, ""^[^\x{0600}-\x{06FF}]+"")), ""[-–]+$"", """")), """"), GOOGLETRANSLATE('AYIRA MINI MART FINAL MENU - Pr'!A988, ""ar"", ""en"")))"),"Lusine Zaatar Croissant")</f>
        <v>Lusine Zaatar Croissant</v>
      </c>
      <c r="B988" s="56" t="str">
        <f>IFERROR(__xludf.DUMMYFUNCTION("IF('AYIRA MINI MART FINAL MENU - Pr'!B988="""", """", IF(LEN(IFERROR(TRIM(REGEXREPLACE(TRIM(REGEXEXTRACT('AYIRA MINI MART FINAL MENU - Pr'!B988, ""^[^\x{0600}-\x{06FF}]+"")), ""[-–]+$"", """")), """"))&gt;0, IFERROR(TRIM(REGEXREPLACE(TRIM(REGEXEXTRACT('AYIRA"&amp;" MINI MART FINAL MENU - Pr'!B988, ""^[^\x{0600}-\x{06FF}]+"")), ""[-–]+$"", """")), """"), GOOGLETRANSLATE('AYIRA MINI MART FINAL MENU - Pr'!B988, ""ar"", ""en"")))"),"Bakery &amp; Pastries")</f>
        <v>Bakery &amp; Pastries</v>
      </c>
      <c r="C988" s="58">
        <f>IF('AYIRA MINI MART FINAL MENU - Pr'!C988="", "", 'AYIRA MINI MART FINAL MENU - Pr'!C988)</f>
        <v>2</v>
      </c>
      <c r="D988" s="56" t="str">
        <f>IFERROR(__xludf.DUMMYFUNCTION("IF('AYIRA MINI MART FINAL MENU - Pr'!D988="""", """", GOOGLETRANSLATE('AYIRA MINI MART FINAL MENU - Pr'!D988, ""ar"", ""en""))"),"Discover Lusine Zaatar Croissant, a premium product that combines high quality with exceptional value. Made to the highest standards of quality and safety to ensure your complete satisfaction every time, its excellent features make it the perfect choice f"&amp;"or you and your family. Whether for everyday use or special occasions, it meets and exceeds your expectations. Get yours now from Aira Mini Mart and enjoy a pleasant and reliable shopping experience.")</f>
        <v>Discover Lusine Zaatar Croissant,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yours now from Aira Mini Mart and enjoy a pleasant and reliable shopping experience.</v>
      </c>
      <c r="E988" s="56" t="str">
        <f>IF('AYIRA MINI MART FINAL MENU - Pr'!K988="", "", 'AYIRA MINI MART FINAL MENU - Pr'!K988)</f>
        <v/>
      </c>
      <c r="F988" s="56"/>
      <c r="G988" s="56"/>
      <c r="H988" s="56"/>
      <c r="I988" s="56"/>
      <c r="J988" s="56"/>
      <c r="L988" s="56" t="str">
        <f>IF('AYIRA MINI MART FINAL MENU - Pr'!L988="", "", 'AYIRA MINI MART FINAL MENU - Pr'!L988)</f>
        <v/>
      </c>
      <c r="M988" s="56" t="str">
        <f>IF('AYIRA MINI MART FINAL MENU - Pr'!M988="", "", 'AYIRA MINI MART FINAL MENU - Pr'!M988)</f>
        <v/>
      </c>
      <c r="N988" s="56" t="str">
        <f>IF('AYIRA MINI MART FINAL MENU - Pr'!N988="", "", 'AYIRA MINI MART FINAL MENU - Pr'!N988)</f>
        <v/>
      </c>
      <c r="O988" s="57"/>
      <c r="P988" s="57"/>
      <c r="Q988" s="57"/>
      <c r="R988" s="57"/>
      <c r="S988" s="57"/>
      <c r="T988" s="57"/>
      <c r="U988" s="57"/>
      <c r="V988" s="57"/>
      <c r="W988" s="57"/>
      <c r="X988" s="57"/>
      <c r="Y988" s="57"/>
      <c r="Z988" s="57"/>
    </row>
    <row r="989">
      <c r="A989" s="56" t="str">
        <f>IFERROR(__xludf.DUMMYFUNCTION("IF('AYIRA MINI MART FINAL MENU - Pr'!A989="""", """", IF(LEN(IFERROR(TRIM(REGEXREPLACE(TRIM(REGEXEXTRACT('AYIRA MINI MART FINAL MENU - Pr'!A989, ""^[^\x{0600}-\x{06FF}]+"")), ""[-–]+$"", """")), """"))&gt;0, IFERROR(TRIM(REGEXREPLACE(TRIM(REGEXEXTRACT('AYIRA"&amp;" MINI MART FINAL MENU - Pr'!A989, ""^[^\x{0600}-\x{06FF}]+"")), ""[-–]+$"", """")), """"), GOOGLETRANSLATE('AYIRA MINI MART FINAL MENU - Pr'!A989, ""ar"", ""en"")))"),"Lusine Flaky Butter Puff – Strawberry (80 g) – Lusine Flaky")</f>
        <v>Lusine Flaky Butter Puff – Strawberry (80 g) – Lusine Flaky</v>
      </c>
      <c r="B989" s="56" t="str">
        <f>IFERROR(__xludf.DUMMYFUNCTION("IF('AYIRA MINI MART FINAL MENU - Pr'!B989="""", """", IF(LEN(IFERROR(TRIM(REGEXREPLACE(TRIM(REGEXEXTRACT('AYIRA MINI MART FINAL MENU - Pr'!B989, ""^[^\x{0600}-\x{06FF}]+"")), ""[-–]+$"", """")), """"))&gt;0, IFERROR(TRIM(REGEXREPLACE(TRIM(REGEXEXTRACT('AYIRA"&amp;" MINI MART FINAL MENU - Pr'!B989, ""^[^\x{0600}-\x{06FF}]+"")), ""[-–]+$"", """")), """"), GOOGLETRANSLATE('AYIRA MINI MART FINAL MENU - Pr'!B989, ""ar"", ""en"")))"),"Bakery &amp; Pastries")</f>
        <v>Bakery &amp; Pastries</v>
      </c>
      <c r="C989" s="58">
        <f>IF('AYIRA MINI MART FINAL MENU - Pr'!C989="", "", 'AYIRA MINI MART FINAL MENU - Pr'!C989)</f>
        <v>2</v>
      </c>
      <c r="D989" s="56" t="str">
        <f>IFERROR(__xludf.DUMMYFUNCTION("IF('AYIRA MINI MART FINAL MENU - Pr'!D989="""", """", GOOGLETRANSLATE('AYIRA MINI MART FINAL MENU - Pr'!D989, ""ar"", ""en""))"),"Discover Lusine Flaky Butter Puff – Strawberry (80g), a premium product that combines high quality with great value. Made to the highest standards of quality and safety to ensure your complete satisfaction every time. Its excellent features make it the pe"&amp;"rfect choice for you and your family. Whether for everyday use or special occasions, it meets and exceeds your expectations. Get it now from Aira Mini Mart and enjoy a pleasant and reliable shopping experience.")</f>
        <v>Discover Lusine Flaky Butter Puff – Strawberry (80g),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89" s="56" t="str">
        <f>IF('AYIRA MINI MART FINAL MENU - Pr'!K989="", "", 'AYIRA MINI MART FINAL MENU - Pr'!K989)</f>
        <v/>
      </c>
      <c r="F989" s="56"/>
      <c r="G989" s="56"/>
      <c r="H989" s="56"/>
      <c r="I989" s="56"/>
      <c r="J989" s="56"/>
      <c r="L989" s="56" t="str">
        <f>IF('AYIRA MINI MART FINAL MENU - Pr'!L989="", "", 'AYIRA MINI MART FINAL MENU - Pr'!L989)</f>
        <v/>
      </c>
      <c r="M989" s="56" t="str">
        <f>IF('AYIRA MINI MART FINAL MENU - Pr'!M989="", "", 'AYIRA MINI MART FINAL MENU - Pr'!M989)</f>
        <v/>
      </c>
      <c r="N989" s="56" t="str">
        <f>IF('AYIRA MINI MART FINAL MENU - Pr'!N989="", "", 'AYIRA MINI MART FINAL MENU - Pr'!N989)</f>
        <v/>
      </c>
      <c r="O989" s="57"/>
      <c r="P989" s="57"/>
      <c r="Q989" s="57"/>
      <c r="R989" s="57"/>
      <c r="S989" s="57"/>
      <c r="T989" s="57"/>
      <c r="U989" s="57"/>
      <c r="V989" s="57"/>
      <c r="W989" s="57"/>
      <c r="X989" s="57"/>
      <c r="Y989" s="57"/>
      <c r="Z989" s="57"/>
    </row>
    <row r="990">
      <c r="A990" s="56" t="str">
        <f>IFERROR(__xludf.DUMMYFUNCTION("IF('AYIRA MINI MART FINAL MENU - Pr'!A990="""", """", IF(LEN(IFERROR(TRIM(REGEXREPLACE(TRIM(REGEXEXTRACT('AYIRA MINI MART FINAL MENU - Pr'!A990, ""^[^\x{0600}-\x{06FF}]+"")), ""[-–]+$"", """")), """"))&gt;0, IFERROR(TRIM(REGEXREPLACE(TRIM(REGEXEXTRACT('AYIRA"&amp;" MINI MART FINAL MENU - Pr'!A990, ""^[^\x{0600}-\x{06FF}]+"")), ""[-–]+$"", """")), """"), GOOGLETRANSLATE('AYIRA MINI MART FINAL MENU - Pr'!A990, ""ar"", ""en"")))"),"Lusine Cheese Puff (70 g) – Lusine")</f>
        <v>Lusine Cheese Puff (70 g) – Lusine</v>
      </c>
      <c r="B990" s="56" t="str">
        <f>IFERROR(__xludf.DUMMYFUNCTION("IF('AYIRA MINI MART FINAL MENU - Pr'!B990="""", """", IF(LEN(IFERROR(TRIM(REGEXREPLACE(TRIM(REGEXEXTRACT('AYIRA MINI MART FINAL MENU - Pr'!B990, ""^[^\x{0600}-\x{06FF}]+"")), ""[-–]+$"", """")), """"))&gt;0, IFERROR(TRIM(REGEXREPLACE(TRIM(REGEXEXTRACT('AYIRA"&amp;" MINI MART FINAL MENU - Pr'!B990, ""^[^\x{0600}-\x{06FF}]+"")), ""[-–]+$"", """")), """"), GOOGLETRANSLATE('AYIRA MINI MART FINAL MENU - Pr'!B990, ""ar"", ""en"")))"),"Bakery &amp; Pastries")</f>
        <v>Bakery &amp; Pastries</v>
      </c>
      <c r="C990" s="58">
        <f>IF('AYIRA MINI MART FINAL MENU - Pr'!C990="", "", 'AYIRA MINI MART FINAL MENU - Pr'!C990)</f>
        <v>2</v>
      </c>
      <c r="D990" s="56" t="str">
        <f>IFERROR(__xludf.DUMMYFUNCTION("IF('AYIRA MINI MART FINAL MENU - Pr'!D990="""", """", GOOGLETRANSLATE('AYIRA MINI MART FINAL MENU - Pr'!D990, ""ar"", ""en""))"),"Discover Lusine Cheese Puff (70g), a premium product that combines high quality with great value. Made to the highest standards of quality and safety to ensure your complete satisfaction every time. Its excellent features make it the perfect choice for yo"&amp;"u and your family. Whether for everyday use or special occasions, it meets and exceeds your expectations. Get it now from Aira Mini Mart and enjoy a pleasant and reliable shopping experience.")</f>
        <v>Discover Lusine Cheese Puff (70g),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90" s="56" t="str">
        <f>IF('AYIRA MINI MART FINAL MENU - Pr'!K990="", "", 'AYIRA MINI MART FINAL MENU - Pr'!K990)</f>
        <v/>
      </c>
      <c r="F990" s="56"/>
      <c r="G990" s="56"/>
      <c r="H990" s="56"/>
      <c r="I990" s="56"/>
      <c r="J990" s="56"/>
      <c r="L990" s="56" t="str">
        <f>IF('AYIRA MINI MART FINAL MENU - Pr'!L990="", "", 'AYIRA MINI MART FINAL MENU - Pr'!L990)</f>
        <v/>
      </c>
      <c r="M990" s="56" t="str">
        <f>IF('AYIRA MINI MART FINAL MENU - Pr'!M990="", "", 'AYIRA MINI MART FINAL MENU - Pr'!M990)</f>
        <v/>
      </c>
      <c r="N990" s="56" t="str">
        <f>IF('AYIRA MINI MART FINAL MENU - Pr'!N990="", "", 'AYIRA MINI MART FINAL MENU - Pr'!N990)</f>
        <v/>
      </c>
      <c r="O990" s="57"/>
      <c r="P990" s="57"/>
      <c r="Q990" s="57"/>
      <c r="R990" s="57"/>
      <c r="S990" s="57"/>
      <c r="T990" s="57"/>
      <c r="U990" s="57"/>
      <c r="V990" s="57"/>
      <c r="W990" s="57"/>
      <c r="X990" s="57"/>
      <c r="Y990" s="57"/>
      <c r="Z990" s="57"/>
    </row>
    <row r="991">
      <c r="A991" s="56" t="str">
        <f>IFERROR(__xludf.DUMMYFUNCTION("IF('AYIRA MINI MART FINAL MENU - Pr'!A991="""", """", IF(LEN(IFERROR(TRIM(REGEXREPLACE(TRIM(REGEXEXTRACT('AYIRA MINI MART FINAL MENU - Pr'!A991, ""^[^\x{0600}-\x{06FF}]+"")), ""[-–]+$"", """")), """"))&gt;0, IFERROR(TRIM(REGEXREPLACE(TRIM(REGEXEXTRACT('AYIRA"&amp;" MINI MART FINAL MENU - Pr'!A991, ""^[^\x{0600}-\x{06FF}]+"")), ""[-–]+$"", """")), """"), GOOGLETRANSLATE('AYIRA MINI MART FINAL MENU - Pr'!A991, ""ar"", ""en"")))"),"Lusine Flaky Butter Puff – Feta (80 g) – Lusine Flaky")</f>
        <v>Lusine Flaky Butter Puff – Feta (80 g) – Lusine Flaky</v>
      </c>
      <c r="B991" s="56" t="str">
        <f>IFERROR(__xludf.DUMMYFUNCTION("IF('AYIRA MINI MART FINAL MENU - Pr'!B991="""", """", IF(LEN(IFERROR(TRIM(REGEXREPLACE(TRIM(REGEXEXTRACT('AYIRA MINI MART FINAL MENU - Pr'!B991, ""^[^\x{0600}-\x{06FF}]+"")), ""[-–]+$"", """")), """"))&gt;0, IFERROR(TRIM(REGEXREPLACE(TRIM(REGEXEXTRACT('AYIRA"&amp;" MINI MART FINAL MENU - Pr'!B991, ""^[^\x{0600}-\x{06FF}]+"")), ""[-–]+$"", """")), """"), GOOGLETRANSLATE('AYIRA MINI MART FINAL MENU - Pr'!B991, ""ar"", ""en"")))"),"Bakery &amp; Pastries")</f>
        <v>Bakery &amp; Pastries</v>
      </c>
      <c r="C991" s="58">
        <f>IF('AYIRA MINI MART FINAL MENU - Pr'!C991="", "", 'AYIRA MINI MART FINAL MENU - Pr'!C991)</f>
        <v>3</v>
      </c>
      <c r="D991" s="56" t="str">
        <f>IFERROR(__xludf.DUMMYFUNCTION("IF('AYIRA MINI MART FINAL MENU - Pr'!D991="""", """", GOOGLETRANSLATE('AYIRA MINI MART FINAL MENU - Pr'!D991, ""ar"", ""en""))"),"Discover Lusine Flaky Butter Puff – Feta (80g), a premium product that combines high quality with great value. Made to the highest standards of quality and safety to ensure your complete satisfaction every time. Its excellent features make it the perfect "&amp;"choice for you and your family. Whether for everyday use or special occasions, it meets and exceeds your expectations. Get it now from Aira Mini Mart and enjoy a pleasant and reliable shopping experience.")</f>
        <v>Discover Lusine Flaky Butter Puff – Feta (80g),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91" s="56" t="str">
        <f>IF('AYIRA MINI MART FINAL MENU - Pr'!K991="", "", 'AYIRA MINI MART FINAL MENU - Pr'!K991)</f>
        <v/>
      </c>
      <c r="F991" s="56"/>
      <c r="G991" s="56"/>
      <c r="H991" s="56"/>
      <c r="I991" s="56"/>
      <c r="J991" s="56"/>
      <c r="L991" s="56" t="str">
        <f>IF('AYIRA MINI MART FINAL MENU - Pr'!L991="", "", 'AYIRA MINI MART FINAL MENU - Pr'!L991)</f>
        <v/>
      </c>
      <c r="M991" s="56" t="str">
        <f>IF('AYIRA MINI MART FINAL MENU - Pr'!M991="", "", 'AYIRA MINI MART FINAL MENU - Pr'!M991)</f>
        <v/>
      </c>
      <c r="N991" s="56" t="str">
        <f>IF('AYIRA MINI MART FINAL MENU - Pr'!N991="", "", 'AYIRA MINI MART FINAL MENU - Pr'!N991)</f>
        <v/>
      </c>
      <c r="O991" s="57"/>
      <c r="P991" s="57"/>
      <c r="Q991" s="57"/>
      <c r="R991" s="57"/>
      <c r="S991" s="57"/>
      <c r="T991" s="57"/>
      <c r="U991" s="57"/>
      <c r="V991" s="57"/>
      <c r="W991" s="57"/>
      <c r="X991" s="57"/>
      <c r="Y991" s="57"/>
      <c r="Z991" s="57"/>
    </row>
    <row r="992">
      <c r="A992" s="56" t="str">
        <f>IFERROR(__xludf.DUMMYFUNCTION("IF('AYIRA MINI MART FINAL MENU - Pr'!A992="""", """", IF(LEN(IFERROR(TRIM(REGEXREPLACE(TRIM(REGEXEXTRACT('AYIRA MINI MART FINAL MENU - Pr'!A992, ""^[^\x{0600}-\x{06FF}]+"")), ""[-–]+$"", """")), """"))&gt;0, IFERROR(TRIM(REGEXREPLACE(TRIM(REGEXEXTRACT('AYIRA"&amp;" MINI MART FINAL MENU - Pr'!A992, ""^[^\x{0600}-\x{06FF}]+"")), ""[-–]+$"", """")), """"), GOOGLETRANSLATE('AYIRA MINI MART FINAL MENU - Pr'!A992, ""ar"", ""en"")))"),"Lusine Chocolate Puff (70 g) – Lusine")</f>
        <v>Lusine Chocolate Puff (70 g) – Lusine</v>
      </c>
      <c r="B992" s="56" t="str">
        <f>IFERROR(__xludf.DUMMYFUNCTION("IF('AYIRA MINI MART FINAL MENU - Pr'!B992="""", """", IF(LEN(IFERROR(TRIM(REGEXREPLACE(TRIM(REGEXEXTRACT('AYIRA MINI MART FINAL MENU - Pr'!B992, ""^[^\x{0600}-\x{06FF}]+"")), ""[-–]+$"", """")), """"))&gt;0, IFERROR(TRIM(REGEXREPLACE(TRIM(REGEXEXTRACT('AYIRA"&amp;" MINI MART FINAL MENU - Pr'!B992, ""^[^\x{0600}-\x{06FF}]+"")), ""[-–]+$"", """")), """"), GOOGLETRANSLATE('AYIRA MINI MART FINAL MENU - Pr'!B992, ""ar"", ""en"")))"),"Bakery &amp; Pastries")</f>
        <v>Bakery &amp; Pastries</v>
      </c>
      <c r="C992" s="58">
        <f>IF('AYIRA MINI MART FINAL MENU - Pr'!C992="", "", 'AYIRA MINI MART FINAL MENU - Pr'!C992)</f>
        <v>2</v>
      </c>
      <c r="D992" s="56" t="str">
        <f>IFERROR(__xludf.DUMMYFUNCTION("IF('AYIRA MINI MART FINAL MENU - Pr'!D992="""", """", GOOGLETRANSLATE('AYIRA MINI MART FINAL MENU - Pr'!D992, ""ar"", ""en""))"),"Indulge your senses with Lusine Chocolate Puff (70g), a luxurious chocolate that combines rich flavor with a perfect texture. Made from the finest selected cocoa beans, it delivers an exceptional dessert experience every time. Whether you're looking for a"&amp;" special gift or want to treat yourself, this chocolate is the perfect choice. Savor every piece and immerse yourself in a world of smoothness and sweetness. Get yours from Aira Mini Mart and experience moments of pure delight.")</f>
        <v>Indulge your senses with Lusine Chocolate Puff (70g),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992" s="56" t="str">
        <f>IF('AYIRA MINI MART FINAL MENU - Pr'!K992="", "", 'AYIRA MINI MART FINAL MENU - Pr'!K992)</f>
        <v/>
      </c>
      <c r="F992" s="56"/>
      <c r="G992" s="56"/>
      <c r="H992" s="56"/>
      <c r="I992" s="56"/>
      <c r="J992" s="56"/>
      <c r="L992" s="56" t="str">
        <f>IF('AYIRA MINI MART FINAL MENU - Pr'!L992="", "", 'AYIRA MINI MART FINAL MENU - Pr'!L992)</f>
        <v/>
      </c>
      <c r="M992" s="56" t="str">
        <f>IF('AYIRA MINI MART FINAL MENU - Pr'!M992="", "", 'AYIRA MINI MART FINAL MENU - Pr'!M992)</f>
        <v/>
      </c>
      <c r="N992" s="56" t="str">
        <f>IF('AYIRA MINI MART FINAL MENU - Pr'!N992="", "", 'AYIRA MINI MART FINAL MENU - Pr'!N992)</f>
        <v/>
      </c>
      <c r="O992" s="57"/>
      <c r="P992" s="57"/>
      <c r="Q992" s="57"/>
      <c r="R992" s="57"/>
      <c r="S992" s="57"/>
      <c r="T992" s="57"/>
      <c r="U992" s="57"/>
      <c r="V992" s="57"/>
      <c r="W992" s="57"/>
      <c r="X992" s="57"/>
      <c r="Y992" s="57"/>
      <c r="Z992" s="57"/>
    </row>
    <row r="993">
      <c r="A993" s="56" t="str">
        <f>IFERROR(__xludf.DUMMYFUNCTION("IF('AYIRA MINI MART FINAL MENU - Pr'!A993="""", """", IF(LEN(IFERROR(TRIM(REGEXREPLACE(TRIM(REGEXEXTRACT('AYIRA MINI MART FINAL MENU - Pr'!A993, ""^[^\x{0600}-\x{06FF}]+"")), ""[-–]+$"", """")), """"))&gt;0, IFERROR(TRIM(REGEXREPLACE(TRIM(REGEXEXTRACT('AYIRA"&amp;" MINI MART FINAL MENU - Pr'!A993, ""^[^\x{0600}-\x{06FF}]+"")), ""[-–]+$"", """")), """"), GOOGLETRANSLATE('AYIRA MINI MART FINAL MENU - Pr'!A993, ""ar"", ""en"")))"),"Lusine Apple Puff (70 g) – Lusine")</f>
        <v>Lusine Apple Puff (70 g) – Lusine</v>
      </c>
      <c r="B993" s="56" t="str">
        <f>IFERROR(__xludf.DUMMYFUNCTION("IF('AYIRA MINI MART FINAL MENU - Pr'!B993="""", """", IF(LEN(IFERROR(TRIM(REGEXREPLACE(TRIM(REGEXEXTRACT('AYIRA MINI MART FINAL MENU - Pr'!B993, ""^[^\x{0600}-\x{06FF}]+"")), ""[-–]+$"", """")), """"))&gt;0, IFERROR(TRIM(REGEXREPLACE(TRIM(REGEXEXTRACT('AYIRA"&amp;" MINI MART FINAL MENU - Pr'!B993, ""^[^\x{0600}-\x{06FF}]+"")), ""[-–]+$"", """")), """"), GOOGLETRANSLATE('AYIRA MINI MART FINAL MENU - Pr'!B993, ""ar"", ""en"")))"),"Bakery &amp; Pastries")</f>
        <v>Bakery &amp; Pastries</v>
      </c>
      <c r="C993" s="58">
        <f>IF('AYIRA MINI MART FINAL MENU - Pr'!C993="", "", 'AYIRA MINI MART FINAL MENU - Pr'!C993)</f>
        <v>2</v>
      </c>
      <c r="D993" s="56" t="str">
        <f>IFERROR(__xludf.DUMMYFUNCTION("IF('AYIRA MINI MART FINAL MENU - Pr'!D993="""", """", GOOGLETRANSLATE('AYIRA MINI MART FINAL MENU - Pr'!D993, ""ar"", ""en""))"),"Discover Lusine Apple Puff (70g), a premium product that combines high quality with exceptional value. Made to the highest standards of quality and safety to ensure your complete satisfaction every time, its excellent features make it the perfect choice f"&amp;"or you and your family. Whether for everyday use or special occasions, it meets and exceeds your expectations. Get yours now from Aira Mini Mart and enjoy a pleasant and reliable shopping experience.")</f>
        <v>Discover Lusine Apple Puff (70g),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yours now from Aira Mini Mart and enjoy a pleasant and reliable shopping experience.</v>
      </c>
      <c r="E993" s="56" t="str">
        <f>IF('AYIRA MINI MART FINAL MENU - Pr'!K993="", "", 'AYIRA MINI MART FINAL MENU - Pr'!K993)</f>
        <v/>
      </c>
      <c r="F993" s="56"/>
      <c r="G993" s="56"/>
      <c r="H993" s="56"/>
      <c r="I993" s="56"/>
      <c r="J993" s="56"/>
      <c r="L993" s="56" t="str">
        <f>IF('AYIRA MINI MART FINAL MENU - Pr'!L993="", "", 'AYIRA MINI MART FINAL MENU - Pr'!L993)</f>
        <v/>
      </c>
      <c r="M993" s="56" t="str">
        <f>IF('AYIRA MINI MART FINAL MENU - Pr'!M993="", "", 'AYIRA MINI MART FINAL MENU - Pr'!M993)</f>
        <v/>
      </c>
      <c r="N993" s="56" t="str">
        <f>IF('AYIRA MINI MART FINAL MENU - Pr'!N993="", "", 'AYIRA MINI MART FINAL MENU - Pr'!N993)</f>
        <v/>
      </c>
      <c r="O993" s="57"/>
      <c r="P993" s="57"/>
      <c r="Q993" s="57"/>
      <c r="R993" s="57"/>
      <c r="S993" s="57"/>
      <c r="T993" s="57"/>
      <c r="U993" s="57"/>
      <c r="V993" s="57"/>
      <c r="W993" s="57"/>
      <c r="X993" s="57"/>
      <c r="Y993" s="57"/>
      <c r="Z993" s="57"/>
    </row>
    <row r="994">
      <c r="A994" s="56" t="str">
        <f>IFERROR(__xludf.DUMMYFUNCTION("IF('AYIRA MINI MART FINAL MENU - Pr'!A994="""", """", IF(LEN(IFERROR(TRIM(REGEXREPLACE(TRIM(REGEXEXTRACT('AYIRA MINI MART FINAL MENU - Pr'!A994, ""^[^\x{0600}-\x{06FF}]+"")), ""[-–]+$"", """")), """"))&gt;0, IFERROR(TRIM(REGEXREPLACE(TRIM(REGEXEXTRACT('AYIRA"&amp;" MINI MART FINAL MENU - Pr'!A994, ""^[^\x{0600}-\x{06FF}]+"")), ""[-–]+$"", """")), """"), GOOGLETRANSLATE('AYIRA MINI MART FINAL MENU - Pr'!A994, ""ar"", ""en"")))"),"Lusine Chocolate Cupcake (60 g) – Lusine")</f>
        <v>Lusine Chocolate Cupcake (60 g) – Lusine</v>
      </c>
      <c r="B994" s="56" t="str">
        <f>IFERROR(__xludf.DUMMYFUNCTION("IF('AYIRA MINI MART FINAL MENU - Pr'!B994="""", """", IF(LEN(IFERROR(TRIM(REGEXREPLACE(TRIM(REGEXEXTRACT('AYIRA MINI MART FINAL MENU - Pr'!B994, ""^[^\x{0600}-\x{06FF}]+"")), ""[-–]+$"", """")), """"))&gt;0, IFERROR(TRIM(REGEXREPLACE(TRIM(REGEXEXTRACT('AYIRA"&amp;" MINI MART FINAL MENU - Pr'!B994, ""^[^\x{0600}-\x{06FF}]+"")), ""[-–]+$"", """")), """"), GOOGLETRANSLATE('AYIRA MINI MART FINAL MENU - Pr'!B994, ""ar"", ""en"")))"),"Bakery &amp; Pastries")</f>
        <v>Bakery &amp; Pastries</v>
      </c>
      <c r="C994" s="58">
        <f>IF('AYIRA MINI MART FINAL MENU - Pr'!C994="", "", 'AYIRA MINI MART FINAL MENU - Pr'!C994)</f>
        <v>2</v>
      </c>
      <c r="D994" s="56" t="str">
        <f>IFERROR(__xludf.DUMMYFUNCTION("IF('AYIRA MINI MART FINAL MENU - Pr'!D994="""", """", GOOGLETRANSLATE('AYIRA MINI MART FINAL MENU - Pr'!D994, ""ar"", ""en""))"),"Indulge your senses with Lusine Chocolate Cupcake (60g), a luxurious chocolate that combines rich flavor with a perfect texture. Made from the finest selected cocoa beans, it delivers an exceptional dessert experience every time. Whether you're looking fo"&amp;"r a special gift or want to treat yourself, this chocolate is the perfect choice. Savor every bite and immerse yourself in a world of smoothness and sweetness. Get yours from Aira Mini Mart and experience moments of pure delight.")</f>
        <v>Indulge your senses with Lusine Chocolate Cupcake (60g),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bite and immerse yourself in a world of smoothness and sweetness. Get yours from Aira Mini Mart and experience moments of pure delight.</v>
      </c>
      <c r="E994" s="56" t="str">
        <f>IF('AYIRA MINI MART FINAL MENU - Pr'!K994="", "", 'AYIRA MINI MART FINAL MENU - Pr'!K994)</f>
        <v/>
      </c>
      <c r="F994" s="56"/>
      <c r="G994" s="56"/>
      <c r="H994" s="56"/>
      <c r="I994" s="56"/>
      <c r="J994" s="56"/>
      <c r="L994" s="56" t="str">
        <f>IF('AYIRA MINI MART FINAL MENU - Pr'!L994="", "", 'AYIRA MINI MART FINAL MENU - Pr'!L994)</f>
        <v/>
      </c>
      <c r="M994" s="56" t="str">
        <f>IF('AYIRA MINI MART FINAL MENU - Pr'!M994="", "", 'AYIRA MINI MART FINAL MENU - Pr'!M994)</f>
        <v/>
      </c>
      <c r="N994" s="56" t="str">
        <f>IF('AYIRA MINI MART FINAL MENU - Pr'!N994="", "", 'AYIRA MINI MART FINAL MENU - Pr'!N994)</f>
        <v/>
      </c>
      <c r="O994" s="57"/>
      <c r="P994" s="57"/>
      <c r="Q994" s="57"/>
      <c r="R994" s="57"/>
      <c r="S994" s="57"/>
      <c r="T994" s="57"/>
      <c r="U994" s="57"/>
      <c r="V994" s="57"/>
      <c r="W994" s="57"/>
      <c r="X994" s="57"/>
      <c r="Y994" s="57"/>
      <c r="Z994" s="57"/>
    </row>
    <row r="995">
      <c r="A995" s="56" t="str">
        <f>IFERROR(__xludf.DUMMYFUNCTION("IF('AYIRA MINI MART FINAL MENU - Pr'!A995="""", """", IF(LEN(IFERROR(TRIM(REGEXREPLACE(TRIM(REGEXEXTRACT('AYIRA MINI MART FINAL MENU - Pr'!A995, ""^[^\x{0600}-\x{06FF}]+"")), ""[-–]+$"", """")), """"))&gt;0, IFERROR(TRIM(REGEXREPLACE(TRIM(REGEXEXTRACT('AYIRA"&amp;" MINI MART FINAL MENU - Pr'!A995, ""^[^\x{0600}-\x{06FF}]+"")), ""[-–]+$"", """")), """"), GOOGLETRANSLATE('AYIRA MINI MART FINAL MENU - Pr'!A995, ""ar"", ""en"")))"),"Lusine Vanilla Cupcake (60 g) – Lusine")</f>
        <v>Lusine Vanilla Cupcake (60 g) – Lusine</v>
      </c>
      <c r="B995" s="56" t="str">
        <f>IFERROR(__xludf.DUMMYFUNCTION("IF('AYIRA MINI MART FINAL MENU - Pr'!B995="""", """", IF(LEN(IFERROR(TRIM(REGEXREPLACE(TRIM(REGEXEXTRACT('AYIRA MINI MART FINAL MENU - Pr'!B995, ""^[^\x{0600}-\x{06FF}]+"")), ""[-–]+$"", """")), """"))&gt;0, IFERROR(TRIM(REGEXREPLACE(TRIM(REGEXEXTRACT('AYIRA"&amp;" MINI MART FINAL MENU - Pr'!B995, ""^[^\x{0600}-\x{06FF}]+"")), ""[-–]+$"", """")), """"), GOOGLETRANSLATE('AYIRA MINI MART FINAL MENU - Pr'!B995, ""ar"", ""en"")))"),"Bakery &amp; Pastries")</f>
        <v>Bakery &amp; Pastries</v>
      </c>
      <c r="C995" s="58">
        <f>IF('AYIRA MINI MART FINAL MENU - Pr'!C995="", "", 'AYIRA MINI MART FINAL MENU - Pr'!C995)</f>
        <v>2</v>
      </c>
      <c r="D995" s="56" t="str">
        <f>IFERROR(__xludf.DUMMYFUNCTION("IF('AYIRA MINI MART FINAL MENU - Pr'!D995="""", """", GOOGLETRANSLATE('AYIRA MINI MART FINAL MENU - Pr'!D995, ""ar"", ""en""))"),"Discover Lusine Vanilla Cupcake (60g), a premium product that combines high quality with great value. Made to the highest standards of quality and safety to ensure your complete satisfaction every time. Its excellent features make it the perfect choice fo"&amp;"r you and your family. Whether for everyday use or special occasions, it meets and exceeds your expectations. Get it now from Aira Mini Mart and enjoy a pleasant and reliable shopping experience.")</f>
        <v>Discover Lusine Vanilla Cupcake (60g),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95" s="56" t="str">
        <f>IF('AYIRA MINI MART FINAL MENU - Pr'!K995="", "", 'AYIRA MINI MART FINAL MENU - Pr'!K995)</f>
        <v/>
      </c>
      <c r="F995" s="56"/>
      <c r="G995" s="56"/>
      <c r="H995" s="56"/>
      <c r="I995" s="56"/>
      <c r="J995" s="56"/>
      <c r="L995" s="56" t="str">
        <f>IF('AYIRA MINI MART FINAL MENU - Pr'!L995="", "", 'AYIRA MINI MART FINAL MENU - Pr'!L995)</f>
        <v/>
      </c>
      <c r="M995" s="56" t="str">
        <f>IF('AYIRA MINI MART FINAL MENU - Pr'!M995="", "", 'AYIRA MINI MART FINAL MENU - Pr'!M995)</f>
        <v/>
      </c>
      <c r="N995" s="56" t="str">
        <f>IF('AYIRA MINI MART FINAL MENU - Pr'!N995="", "", 'AYIRA MINI MART FINAL MENU - Pr'!N995)</f>
        <v/>
      </c>
      <c r="O995" s="57"/>
      <c r="P995" s="57"/>
      <c r="Q995" s="57"/>
      <c r="R995" s="57"/>
      <c r="S995" s="57"/>
      <c r="T995" s="57"/>
      <c r="U995" s="57"/>
      <c r="V995" s="57"/>
      <c r="W995" s="57"/>
      <c r="X995" s="57"/>
      <c r="Y995" s="57"/>
      <c r="Z995" s="57"/>
    </row>
    <row r="996">
      <c r="A996" s="56" t="str">
        <f>IFERROR(__xludf.DUMMYFUNCTION("IF('AYIRA MINI MART FINAL MENU - Pr'!A996="""", """", IF(LEN(IFERROR(TRIM(REGEXREPLACE(TRIM(REGEXEXTRACT('AYIRA MINI MART FINAL MENU - Pr'!A996, ""^[^\x{0600}-\x{06FF}]+"")), ""[-–]+$"", """")), """"))&gt;0, IFERROR(TRIM(REGEXREPLACE(TRIM(REGEXEXTRACT('AYIRA"&amp;" MINI MART FINAL MENU - Pr'!A996, ""^[^\x{0600}-\x{06FF}]+"")), ""[-–]+$"", """")), """"), GOOGLETRANSLATE('AYIRA MINI MART FINAL MENU - Pr'!A996, ""ar"", ""en"")))"),"Lusine Strawberry Cupcake (60 g) – Lusine")</f>
        <v>Lusine Strawberry Cupcake (60 g) – Lusine</v>
      </c>
      <c r="B996" s="56" t="str">
        <f>IFERROR(__xludf.DUMMYFUNCTION("IF('AYIRA MINI MART FINAL MENU - Pr'!B996="""", """", IF(LEN(IFERROR(TRIM(REGEXREPLACE(TRIM(REGEXEXTRACT('AYIRA MINI MART FINAL MENU - Pr'!B996, ""^[^\x{0600}-\x{06FF}]+"")), ""[-–]+$"", """")), """"))&gt;0, IFERROR(TRIM(REGEXREPLACE(TRIM(REGEXEXTRACT('AYIRA"&amp;" MINI MART FINAL MENU - Pr'!B996, ""^[^\x{0600}-\x{06FF}]+"")), ""[-–]+$"", """")), """"), GOOGLETRANSLATE('AYIRA MINI MART FINAL MENU - Pr'!B996, ""ar"", ""en"")))"),"Bakery &amp; Pastries")</f>
        <v>Bakery &amp; Pastries</v>
      </c>
      <c r="C996" s="58">
        <f>IF('AYIRA MINI MART FINAL MENU - Pr'!C996="", "", 'AYIRA MINI MART FINAL MENU - Pr'!C996)</f>
        <v>2</v>
      </c>
      <c r="D996" s="56" t="str">
        <f>IFERROR(__xludf.DUMMYFUNCTION("IF('AYIRA MINI MART FINAL MENU - Pr'!D996="""", """", GOOGLETRANSLATE('AYIRA MINI MART FINAL MENU - Pr'!D996, ""ar"", ""en""))"),"Discover Lusine Strawberry Cupcake (60g), a premium product that combines high quality with great value. Made to the highest standards of quality and safety to ensure your complete satisfaction every time. Its excellent features make it the perfect choice"&amp;" for you and your family. Whether for everyday use or special occasions, it meets and exceeds your expectations. Get it now from Aira Mini Mart and enjoy a pleasant and reliable shopping experience.")</f>
        <v>Discover Lusine Strawberry Cupcake (60g),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96" s="56" t="str">
        <f>IF('AYIRA MINI MART FINAL MENU - Pr'!K996="", "", 'AYIRA MINI MART FINAL MENU - Pr'!K996)</f>
        <v/>
      </c>
      <c r="F996" s="56"/>
      <c r="G996" s="56"/>
      <c r="H996" s="56"/>
      <c r="I996" s="56"/>
      <c r="J996" s="56"/>
      <c r="L996" s="56" t="str">
        <f>IF('AYIRA MINI MART FINAL MENU - Pr'!L996="", "", 'AYIRA MINI MART FINAL MENU - Pr'!L996)</f>
        <v/>
      </c>
      <c r="M996" s="56" t="str">
        <f>IF('AYIRA MINI MART FINAL MENU - Pr'!M996="", "", 'AYIRA MINI MART FINAL MENU - Pr'!M996)</f>
        <v/>
      </c>
      <c r="N996" s="56" t="str">
        <f>IF('AYIRA MINI MART FINAL MENU - Pr'!N996="", "", 'AYIRA MINI MART FINAL MENU - Pr'!N996)</f>
        <v/>
      </c>
      <c r="O996" s="57"/>
      <c r="P996" s="57"/>
      <c r="Q996" s="57"/>
      <c r="R996" s="57"/>
      <c r="S996" s="57"/>
      <c r="T996" s="57"/>
      <c r="U996" s="57"/>
      <c r="V996" s="57"/>
      <c r="W996" s="57"/>
      <c r="X996" s="57"/>
      <c r="Y996" s="57"/>
      <c r="Z996" s="57"/>
    </row>
    <row r="997">
      <c r="A997" s="56" t="str">
        <f>IFERROR(__xludf.DUMMYFUNCTION("IF('AYIRA MINI MART FINAL MENU - Pr'!A997="""", """", IF(LEN(IFERROR(TRIM(REGEXREPLACE(TRIM(REGEXEXTRACT('AYIRA MINI MART FINAL MENU - Pr'!A997, ""^[^\x{0600}-\x{06FF}]+"")), ""[-–]+$"", """")), """"))&gt;0, IFERROR(TRIM(REGEXREPLACE(TRIM(REGEXEXTRACT('AYIRA"&amp;" MINI MART FINAL MENU - Pr'!A997, ""^[^\x{0600}-\x{06FF}]+"")), ""[-–]+$"", """")), """"), GOOGLETRANSLATE('AYIRA MINI MART FINAL MENU - Pr'!A997, ""ar"", ""en"")))"),"Lusine Butter Croissant (85 g) – Lusine")</f>
        <v>Lusine Butter Croissant (85 g) – Lusine</v>
      </c>
      <c r="B997" s="56" t="str">
        <f>IFERROR(__xludf.DUMMYFUNCTION("IF('AYIRA MINI MART FINAL MENU - Pr'!B997="""", """", IF(LEN(IFERROR(TRIM(REGEXREPLACE(TRIM(REGEXEXTRACT('AYIRA MINI MART FINAL MENU - Pr'!B997, ""^[^\x{0600}-\x{06FF}]+"")), ""[-–]+$"", """")), """"))&gt;0, IFERROR(TRIM(REGEXREPLACE(TRIM(REGEXEXTRACT('AYIRA"&amp;" MINI MART FINAL MENU - Pr'!B997, ""^[^\x{0600}-\x{06FF}]+"")), ""[-–]+$"", """")), """"), GOOGLETRANSLATE('AYIRA MINI MART FINAL MENU - Pr'!B997, ""ar"", ""en"")))"),"Bakery &amp; Pastries")</f>
        <v>Bakery &amp; Pastries</v>
      </c>
      <c r="C997" s="58">
        <f>IF('AYIRA MINI MART FINAL MENU - Pr'!C997="", "", 'AYIRA MINI MART FINAL MENU - Pr'!C997)</f>
        <v>3</v>
      </c>
      <c r="D997" s="56" t="str">
        <f>IFERROR(__xludf.DUMMYFUNCTION("IF('AYIRA MINI MART FINAL MENU - Pr'!D997="""", """", GOOGLETRANSLATE('AYIRA MINI MART FINAL MENU - Pr'!D997, ""ar"", ""en""))"),"Discover Lusine Butter Croissant (85g), a premium product that combines high quality with exceptional value. Made to the highest standards of quality and safety to ensure your complete satisfaction every time, its excellent features make it the perfect ch"&amp;"oice for you and your family. Whether for everyday use or special occasions, it meets and exceeds your expectations. Get it now from Aira Mini Mart and enjoy a pleasant and reliable shopping experience.")</f>
        <v>Discover Lusine Butter Croissant (85g),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97" s="56" t="str">
        <f>IF('AYIRA MINI MART FINAL MENU - Pr'!K997="", "", 'AYIRA MINI MART FINAL MENU - Pr'!K997)</f>
        <v/>
      </c>
      <c r="F997" s="56"/>
      <c r="G997" s="56"/>
      <c r="H997" s="56"/>
      <c r="I997" s="56"/>
      <c r="J997" s="56"/>
      <c r="L997" s="56" t="str">
        <f>IF('AYIRA MINI MART FINAL MENU - Pr'!L997="", "", 'AYIRA MINI MART FINAL MENU - Pr'!L997)</f>
        <v/>
      </c>
      <c r="M997" s="56" t="str">
        <f>IF('AYIRA MINI MART FINAL MENU - Pr'!M997="", "", 'AYIRA MINI MART FINAL MENU - Pr'!M997)</f>
        <v/>
      </c>
      <c r="N997" s="56" t="str">
        <f>IF('AYIRA MINI MART FINAL MENU - Pr'!N997="", "", 'AYIRA MINI MART FINAL MENU - Pr'!N997)</f>
        <v/>
      </c>
      <c r="O997" s="57"/>
      <c r="P997" s="57"/>
      <c r="Q997" s="57"/>
      <c r="R997" s="57"/>
      <c r="S997" s="57"/>
      <c r="T997" s="57"/>
      <c r="U997" s="57"/>
      <c r="V997" s="57"/>
      <c r="W997" s="57"/>
      <c r="X997" s="57"/>
      <c r="Y997" s="57"/>
      <c r="Z997" s="57"/>
    </row>
    <row r="998">
      <c r="A998" s="56" t="str">
        <f>IFERROR(__xludf.DUMMYFUNCTION("IF('AYIRA MINI MART FINAL MENU - Pr'!A998="""", """", IF(LEN(IFERROR(TRIM(REGEXREPLACE(TRIM(REGEXEXTRACT('AYIRA MINI MART FINAL MENU - Pr'!A998, ""^[^\x{0600}-\x{06FF}]+"")), ""[-–]+$"", """")), """"))&gt;0, IFERROR(TRIM(REGEXREPLACE(TRIM(REGEXEXTRACT('AYIRA"&amp;" MINI MART FINAL MENU - Pr'!A998, ""^[^\x{0600}-\x{06FF}]+"")), ""[-–]+$"", """")), """"), GOOGLETRANSLATE('AYIRA MINI MART FINAL MENU - Pr'!A998, ""ar"", ""en"")))"),"Lusine Strawberry Cupcake (30 g) – Lusine")</f>
        <v>Lusine Strawberry Cupcake (30 g) – Lusine</v>
      </c>
      <c r="B998" s="56" t="str">
        <f>IFERROR(__xludf.DUMMYFUNCTION("IF('AYIRA MINI MART FINAL MENU - Pr'!B998="""", """", IF(LEN(IFERROR(TRIM(REGEXREPLACE(TRIM(REGEXEXTRACT('AYIRA MINI MART FINAL MENU - Pr'!B998, ""^[^\x{0600}-\x{06FF}]+"")), ""[-–]+$"", """")), """"))&gt;0, IFERROR(TRIM(REGEXREPLACE(TRIM(REGEXEXTRACT('AYIRA"&amp;" MINI MART FINAL MENU - Pr'!B998, ""^[^\x{0600}-\x{06FF}]+"")), ""[-–]+$"", """")), """"), GOOGLETRANSLATE('AYIRA MINI MART FINAL MENU - Pr'!B998, ""ar"", ""en"")))"),"Bakery &amp; Pastries")</f>
        <v>Bakery &amp; Pastries</v>
      </c>
      <c r="C998" s="58">
        <f>IF('AYIRA MINI MART FINAL MENU - Pr'!C998="", "", 'AYIRA MINI MART FINAL MENU - Pr'!C998)</f>
        <v>2</v>
      </c>
      <c r="D998" s="56" t="str">
        <f>IFERROR(__xludf.DUMMYFUNCTION("IF('AYIRA MINI MART FINAL MENU - Pr'!D998="""", """", GOOGLETRANSLATE('AYIRA MINI MART FINAL MENU - Pr'!D998, ""ar"", ""en""))"),"Discover Lusine Strawberry Cupcake (30g), a premium product that combines high quality with great value. Made to the highest standards of quality and safety to ensure your complete satisfaction every time. Its excellent features make it the perfect choice"&amp;" for you and your family. Whether for everyday use or special occasions, it meets and exceeds your expectations. Get it now from Aira Mini Mart and enjoy a pleasant and reliable shopping experience.")</f>
        <v>Discover Lusine Strawberry Cupcake (30g),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998" s="56" t="str">
        <f>IF('AYIRA MINI MART FINAL MENU - Pr'!K998="", "", 'AYIRA MINI MART FINAL MENU - Pr'!K998)</f>
        <v/>
      </c>
      <c r="F998" s="56"/>
      <c r="G998" s="56"/>
      <c r="H998" s="56"/>
      <c r="I998" s="56"/>
      <c r="J998" s="56"/>
      <c r="L998" s="56" t="str">
        <f>IF('AYIRA MINI MART FINAL MENU - Pr'!L998="", "", 'AYIRA MINI MART FINAL MENU - Pr'!L998)</f>
        <v/>
      </c>
      <c r="M998" s="56" t="str">
        <f>IF('AYIRA MINI MART FINAL MENU - Pr'!M998="", "", 'AYIRA MINI MART FINAL MENU - Pr'!M998)</f>
        <v/>
      </c>
      <c r="N998" s="56" t="str">
        <f>IF('AYIRA MINI MART FINAL MENU - Pr'!N998="", "", 'AYIRA MINI MART FINAL MENU - Pr'!N998)</f>
        <v/>
      </c>
      <c r="O998" s="57"/>
      <c r="P998" s="57"/>
      <c r="Q998" s="57"/>
      <c r="R998" s="57"/>
      <c r="S998" s="57"/>
      <c r="T998" s="57"/>
      <c r="U998" s="57"/>
      <c r="V998" s="57"/>
      <c r="W998" s="57"/>
      <c r="X998" s="57"/>
      <c r="Y998" s="57"/>
      <c r="Z998" s="57"/>
    </row>
    <row r="999">
      <c r="A999" s="56" t="str">
        <f>IFERROR(__xludf.DUMMYFUNCTION("IF('AYIRA MINI MART FINAL MENU - Pr'!A999="""", """", IF(LEN(IFERROR(TRIM(REGEXREPLACE(TRIM(REGEXEXTRACT('AYIRA MINI MART FINAL MENU - Pr'!A999, ""^[^\x{0600}-\x{06FF}]+"")), ""[-–]+$"", """")), """"))&gt;0, IFERROR(TRIM(REGEXREPLACE(TRIM(REGEXEXTRACT('AYIRA"&amp;" MINI MART FINAL MENU - Pr'!A999, ""^[^\x{0600}-\x{06FF}]+"")), ""[-–]+$"", """")), """"), GOOGLETRANSLATE('AYIRA MINI MART FINAL MENU - Pr'!A999, ""ar"", ""en"")))"),"Lusine Chocolate Cupcake (30 g) – Lusine")</f>
        <v>Lusine Chocolate Cupcake (30 g) – Lusine</v>
      </c>
      <c r="B999" s="56" t="str">
        <f>IFERROR(__xludf.DUMMYFUNCTION("IF('AYIRA MINI MART FINAL MENU - Pr'!B999="""", """", IF(LEN(IFERROR(TRIM(REGEXREPLACE(TRIM(REGEXEXTRACT('AYIRA MINI MART FINAL MENU - Pr'!B999, ""^[^\x{0600}-\x{06FF}]+"")), ""[-–]+$"", """")), """"))&gt;0, IFERROR(TRIM(REGEXREPLACE(TRIM(REGEXEXTRACT('AYIRA"&amp;" MINI MART FINAL MENU - Pr'!B999, ""^[^\x{0600}-\x{06FF}]+"")), ""[-–]+$"", """")), """"), GOOGLETRANSLATE('AYIRA MINI MART FINAL MENU - Pr'!B999, ""ar"", ""en"")))"),"Bakery &amp; Pastries")</f>
        <v>Bakery &amp; Pastries</v>
      </c>
      <c r="C999" s="58">
        <f>IF('AYIRA MINI MART FINAL MENU - Pr'!C999="", "", 'AYIRA MINI MART FINAL MENU - Pr'!C999)</f>
        <v>2</v>
      </c>
      <c r="D999" s="56" t="str">
        <f>IFERROR(__xludf.DUMMYFUNCTION("IF('AYIRA MINI MART FINAL MENU - Pr'!D999="""", """", GOOGLETRANSLATE('AYIRA MINI MART FINAL MENU - Pr'!D999, ""ar"", ""en""))"),"Indulge your senses with Lusine Chocolate Cupcake (30g), a luxurious chocolate that combines rich flavor with a perfect texture. Made from the finest selected cocoa beans, it delivers an exceptional dessert experience every time. Whether you're looking fo"&amp;"r a special gift or want to treat yourself, this chocolate is the perfect choice. Savor every bite and immerse yourself in a world of smoothness and sweetness. Get yours from Aira Mini Mart and experience moments of pure delight.")</f>
        <v>Indulge your senses with Lusine Chocolate Cupcake (30g),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bite and immerse yourself in a world of smoothness and sweetness. Get yours from Aira Mini Mart and experience moments of pure delight.</v>
      </c>
      <c r="E999" s="56" t="str">
        <f>IF('AYIRA MINI MART FINAL MENU - Pr'!K999="", "", 'AYIRA MINI MART FINAL MENU - Pr'!K999)</f>
        <v/>
      </c>
      <c r="F999" s="56"/>
      <c r="G999" s="56"/>
      <c r="H999" s="56"/>
      <c r="I999" s="56"/>
      <c r="J999" s="56"/>
      <c r="L999" s="56" t="str">
        <f>IF('AYIRA MINI MART FINAL MENU - Pr'!L999="", "", 'AYIRA MINI MART FINAL MENU - Pr'!L999)</f>
        <v/>
      </c>
      <c r="M999" s="56" t="str">
        <f>IF('AYIRA MINI MART FINAL MENU - Pr'!M999="", "", 'AYIRA MINI MART FINAL MENU - Pr'!M999)</f>
        <v/>
      </c>
      <c r="N999" s="56" t="str">
        <f>IF('AYIRA MINI MART FINAL MENU - Pr'!N999="", "", 'AYIRA MINI MART FINAL MENU - Pr'!N999)</f>
        <v/>
      </c>
      <c r="O999" s="57"/>
      <c r="P999" s="57"/>
      <c r="Q999" s="57"/>
      <c r="R999" s="57"/>
      <c r="S999" s="57"/>
      <c r="T999" s="57"/>
      <c r="U999" s="57"/>
      <c r="V999" s="57"/>
      <c r="W999" s="57"/>
      <c r="X999" s="57"/>
      <c r="Y999" s="57"/>
      <c r="Z999" s="57"/>
    </row>
    <row r="1000">
      <c r="A1000" s="56" t="str">
        <f>IFERROR(__xludf.DUMMYFUNCTION("IF('AYIRA MINI MART FINAL MENU - Pr'!A1000="""", """", IF(LEN(IFERROR(TRIM(REGEXREPLACE(TRIM(REGEXEXTRACT('AYIRA MINI MART FINAL MENU - Pr'!A1000, ""^[^\x{0600}-\x{06FF}]+"")), ""[-–]+$"", """")), """"))&gt;0, IFERROR(TRIM(REGEXREPLACE(TRIM(REGEXEXTRACT('AYI"&amp;"RA MINI MART FINAL MENU - Pr'!A1000, ""^[^\x{0600}-\x{06FF}]+"")), ""[-–]+$"", """")), """"), GOOGLETRANSLATE('AYIRA MINI MART FINAL MENU - Pr'!A1000, ""ar"", ""en"")))"),"Lusine Pizza Puff (90 g) – Lusine Pizza Puff (90")</f>
        <v>Lusine Pizza Puff (90 g) – Lusine Pizza Puff (90</v>
      </c>
      <c r="B1000" s="56" t="str">
        <f>IFERROR(__xludf.DUMMYFUNCTION("IF('AYIRA MINI MART FINAL MENU - Pr'!B1000="""", """", IF(LEN(IFERROR(TRIM(REGEXREPLACE(TRIM(REGEXEXTRACT('AYIRA MINI MART FINAL MENU - Pr'!B1000, ""^[^\x{0600}-\x{06FF}]+"")), ""[-–]+$"", """")), """"))&gt;0, IFERROR(TRIM(REGEXREPLACE(TRIM(REGEXEXTRACT('AYI"&amp;"RA MINI MART FINAL MENU - Pr'!B1000, ""^[^\x{0600}-\x{06FF}]+"")), ""[-–]+$"", """")), """"), GOOGLETRANSLATE('AYIRA MINI MART FINAL MENU - Pr'!B1000, ""ar"", ""en"")))"),"Bakery &amp; Pastries")</f>
        <v>Bakery &amp; Pastries</v>
      </c>
      <c r="C1000" s="58">
        <f>IF('AYIRA MINI MART FINAL MENU - Pr'!C1000="", "", 'AYIRA MINI MART FINAL MENU - Pr'!C1000)</f>
        <v>2</v>
      </c>
      <c r="D1000" s="56" t="str">
        <f>IFERROR(__xludf.DUMMYFUNCTION("IF('AYIRA MINI MART FINAL MENU - Pr'!D1000="""", """", GOOGLETRANSLATE('AYIRA MINI MART FINAL MENU - Pr'!D1000, ""ar"", ""en""))"),"Discover Lusine Pizza Puff (90g), a premium product that combines high quality with great value. Made to the highest standards of quality and safety to ensure your complete satisfaction every time. Its excellent features make it the perfect choice for you"&amp;" and your family. Whether for everyday use or special occasions, it meets and exceeds your expectations. Get it now from Aira Mini Mart and enjoy a pleasant and reliable shopping experience.")</f>
        <v>Discover Lusine Pizza Puff (90g),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00" s="56" t="str">
        <f>IF('AYIRA MINI MART FINAL MENU - Pr'!K1000="", "", 'AYIRA MINI MART FINAL MENU - Pr'!K1000)</f>
        <v/>
      </c>
      <c r="F1000" s="56"/>
      <c r="G1000" s="56"/>
      <c r="H1000" s="56"/>
      <c r="I1000" s="56"/>
      <c r="J1000" s="56"/>
      <c r="L1000" s="56" t="str">
        <f>IF('AYIRA MINI MART FINAL MENU - Pr'!L1000="", "", 'AYIRA MINI MART FINAL MENU - Pr'!L1000)</f>
        <v/>
      </c>
      <c r="M1000" s="56" t="str">
        <f>IF('AYIRA MINI MART FINAL MENU - Pr'!M1000="", "", 'AYIRA MINI MART FINAL MENU - Pr'!M1000)</f>
        <v/>
      </c>
      <c r="N1000" s="56" t="str">
        <f>IF('AYIRA MINI MART FINAL MENU - Pr'!N1000="", "", 'AYIRA MINI MART FINAL MENU - Pr'!N1000)</f>
        <v/>
      </c>
      <c r="O1000" s="57"/>
      <c r="P1000" s="57"/>
      <c r="Q1000" s="57"/>
      <c r="R1000" s="57"/>
      <c r="S1000" s="57"/>
      <c r="T1000" s="57"/>
      <c r="U1000" s="57"/>
      <c r="V1000" s="57"/>
      <c r="W1000" s="57"/>
      <c r="X1000" s="57"/>
      <c r="Y1000" s="57"/>
      <c r="Z1000" s="57"/>
    </row>
    <row r="1001">
      <c r="A1001" s="56" t="str">
        <f>IFERROR(__xludf.DUMMYFUNCTION("IF('AYIRA MINI MART FINAL MENU - Pr'!A1001="""", """", IF(LEN(IFERROR(TRIM(REGEXREPLACE(TRIM(REGEXEXTRACT('AYIRA MINI MART FINAL MENU - Pr'!A1001, ""^[^\x{0600}-\x{06FF}]+"")), ""[-–]+$"", """")), """"))&gt;0, IFERROR(TRIM(REGEXREPLACE(TRIM(REGEXEXTRACT('AYI"&amp;"RA MINI MART FINAL MENU - Pr'!A1001, ""^[^\x{0600}-\x{06FF}]+"")), ""[-–]+$"", """")), """"), GOOGLETRANSLATE('AYIRA MINI MART FINAL MENU - Pr'!A1001, ""ar"", ""en"")))"),"Lusine Cheese Croissant (60 g) – Lusine")</f>
        <v>Lusine Cheese Croissant (60 g) – Lusine</v>
      </c>
      <c r="B1001" s="56" t="str">
        <f>IFERROR(__xludf.DUMMYFUNCTION("IF('AYIRA MINI MART FINAL MENU - Pr'!B1001="""", """", IF(LEN(IFERROR(TRIM(REGEXREPLACE(TRIM(REGEXEXTRACT('AYIRA MINI MART FINAL MENU - Pr'!B1001, ""^[^\x{0600}-\x{06FF}]+"")), ""[-–]+$"", """")), """"))&gt;0, IFERROR(TRIM(REGEXREPLACE(TRIM(REGEXEXTRACT('AYI"&amp;"RA MINI MART FINAL MENU - Pr'!B1001, ""^[^\x{0600}-\x{06FF}]+"")), ""[-–]+$"", """")), """"), GOOGLETRANSLATE('AYIRA MINI MART FINAL MENU - Pr'!B1001, ""ar"", ""en"")))"),"Bakery &amp; Pastries")</f>
        <v>Bakery &amp; Pastries</v>
      </c>
      <c r="C1001" s="58">
        <f>IF('AYIRA MINI MART FINAL MENU - Pr'!C1001="", "", 'AYIRA MINI MART FINAL MENU - Pr'!C1001)</f>
        <v>2</v>
      </c>
      <c r="D1001" s="56" t="str">
        <f>IFERROR(__xludf.DUMMYFUNCTION("IF('AYIRA MINI MART FINAL MENU - Pr'!D1001="""", """", GOOGLETRANSLATE('AYIRA MINI MART FINAL MENU - Pr'!D1001, ""ar"", ""en""))"),"Discover Lusine Cheese Croissant (60g), a premium product that combines high quality with great value. Made to the highest standards of quality and safety to ensure your complete satisfaction every time. Its excellent features make it the perfect choice f"&amp;"or you and your family. Whether for everyday use or special occasions, it meets and exceeds your expectations. Get it now from Aira Mini Mart and enjoy a pleasant and reliable shopping experience.")</f>
        <v>Discover Lusine Cheese Croissant (60g),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01" s="56" t="str">
        <f>IF('AYIRA MINI MART FINAL MENU - Pr'!K1001="", "", 'AYIRA MINI MART FINAL MENU - Pr'!K1001)</f>
        <v/>
      </c>
      <c r="F1001" s="56"/>
      <c r="G1001" s="56"/>
      <c r="H1001" s="56"/>
      <c r="I1001" s="56"/>
      <c r="J1001" s="56"/>
      <c r="L1001" s="56" t="str">
        <f>IF('AYIRA MINI MART FINAL MENU - Pr'!L1001="", "", 'AYIRA MINI MART FINAL MENU - Pr'!L1001)</f>
        <v/>
      </c>
      <c r="M1001" s="56" t="str">
        <f>IF('AYIRA MINI MART FINAL MENU - Pr'!M1001="", "", 'AYIRA MINI MART FINAL MENU - Pr'!M1001)</f>
        <v/>
      </c>
      <c r="N1001" s="56" t="str">
        <f>IF('AYIRA MINI MART FINAL MENU - Pr'!N1001="", "", 'AYIRA MINI MART FINAL MENU - Pr'!N1001)</f>
        <v/>
      </c>
      <c r="O1001" s="57"/>
      <c r="P1001" s="57"/>
      <c r="Q1001" s="57"/>
      <c r="R1001" s="57"/>
      <c r="S1001" s="57"/>
      <c r="T1001" s="57"/>
      <c r="U1001" s="57"/>
      <c r="V1001" s="57"/>
      <c r="W1001" s="57"/>
      <c r="X1001" s="57"/>
      <c r="Y1001" s="57"/>
      <c r="Z1001" s="57"/>
    </row>
    <row r="1002">
      <c r="A1002" s="56" t="str">
        <f>IFERROR(__xludf.DUMMYFUNCTION("IF('AYIRA MINI MART FINAL MENU - Pr'!A1002="""", """", IF(LEN(IFERROR(TRIM(REGEXREPLACE(TRIM(REGEXEXTRACT('AYIRA MINI MART FINAL MENU - Pr'!A1002, ""^[^\x{0600}-\x{06FF}]+"")), ""[-–]+$"", """")), """"))&gt;0, IFERROR(TRIM(REGEXREPLACE(TRIM(REGEXEXTRACT('AYI"&amp;"RA MINI MART FINAL MENU - Pr'!A1002, ""^[^\x{0600}-\x{06FF}]+"")), ""[-–]+$"", """")), """"), GOOGLETRANSLATE('AYIRA MINI MART FINAL MENU - Pr'!A1002, ""ar"", ""en"")))"),"Lusine Biscuit Cream Butter Croissant (83 g) – Lusine")</f>
        <v>Lusine Biscuit Cream Butter Croissant (83 g) – Lusine</v>
      </c>
      <c r="B1002" s="56" t="str">
        <f>IFERROR(__xludf.DUMMYFUNCTION("IF('AYIRA MINI MART FINAL MENU - Pr'!B1002="""", """", IF(LEN(IFERROR(TRIM(REGEXREPLACE(TRIM(REGEXEXTRACT('AYIRA MINI MART FINAL MENU - Pr'!B1002, ""^[^\x{0600}-\x{06FF}]+"")), ""[-–]+$"", """")), """"))&gt;0, IFERROR(TRIM(REGEXREPLACE(TRIM(REGEXEXTRACT('AYI"&amp;"RA MINI MART FINAL MENU - Pr'!B1002, ""^[^\x{0600}-\x{06FF}]+"")), ""[-–]+$"", """")), """"), GOOGLETRANSLATE('AYIRA MINI MART FINAL MENU - Pr'!B1002, ""ar"", ""en"")))"),"Bakery &amp; Pastries")</f>
        <v>Bakery &amp; Pastries</v>
      </c>
      <c r="C1002" s="58">
        <f>IF('AYIRA MINI MART FINAL MENU - Pr'!C1002="", "", 'AYIRA MINI MART FINAL MENU - Pr'!C1002)</f>
        <v>3.5</v>
      </c>
      <c r="D1002" s="56" t="str">
        <f>IFERROR(__xludf.DUMMYFUNCTION("IF('AYIRA MINI MART FINAL MENU - Pr'!D1002="""", """", GOOGLETRANSLATE('AYIRA MINI MART FINAL MENU - Pr'!D1002, ""ar"", ""en""))"),"Discover Lusine Biscuit Cream Butter Croissant (83g), a premium product that combines high quality with great value. Made to the highest standards of quality and safety to ensure your complete satisfaction every time. Its excellent features make it the pe"&amp;"rfect choice for you and your family. Whether for everyday use or special occasions, it meets and exceeds your expectations. Get it now from Aira Mini Mart and enjoy a pleasant and reliable shopping experience.")</f>
        <v>Discover Lusine Biscuit Cream Butter Croissant (83g), a premium product that combines high quality with great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02" s="56" t="str">
        <f>IF('AYIRA MINI MART FINAL MENU - Pr'!K1002="", "", 'AYIRA MINI MART FINAL MENU - Pr'!K1002)</f>
        <v/>
      </c>
      <c r="F1002" s="56"/>
      <c r="G1002" s="56"/>
      <c r="H1002" s="56"/>
      <c r="I1002" s="56"/>
      <c r="J1002" s="56"/>
      <c r="L1002" s="56" t="str">
        <f>IF('AYIRA MINI MART FINAL MENU - Pr'!L1002="", "", 'AYIRA MINI MART FINAL MENU - Pr'!L1002)</f>
        <v/>
      </c>
      <c r="M1002" s="56" t="str">
        <f>IF('AYIRA MINI MART FINAL MENU - Pr'!M1002="", "", 'AYIRA MINI MART FINAL MENU - Pr'!M1002)</f>
        <v/>
      </c>
      <c r="N1002" s="56" t="str">
        <f>IF('AYIRA MINI MART FINAL MENU - Pr'!N1002="", "", 'AYIRA MINI MART FINAL MENU - Pr'!N1002)</f>
        <v/>
      </c>
      <c r="O1002" s="57"/>
      <c r="P1002" s="57"/>
      <c r="Q1002" s="57"/>
      <c r="R1002" s="57"/>
      <c r="S1002" s="57"/>
      <c r="T1002" s="57"/>
      <c r="U1002" s="57"/>
      <c r="V1002" s="57"/>
      <c r="W1002" s="57"/>
      <c r="X1002" s="57"/>
      <c r="Y1002" s="57"/>
      <c r="Z1002" s="57"/>
    </row>
    <row r="1003">
      <c r="A1003" s="56" t="str">
        <f>IFERROR(__xludf.DUMMYFUNCTION("IF('AYIRA MINI MART FINAL MENU - Pr'!A1003="""", """", IF(LEN(IFERROR(TRIM(REGEXREPLACE(TRIM(REGEXEXTRACT('AYIRA MINI MART FINAL MENU - Pr'!A1003, ""^[^\x{0600}-\x{06FF}]+"")), ""[-–]+$"", """")), """"))&gt;0, IFERROR(TRIM(REGEXREPLACE(TRIM(REGEXEXTRACT('AYI"&amp;"RA MINI MART FINAL MENU - Pr'!A1003, ""^[^\x{0600}-\x{06FF}]+"")), ""[-–]+$"", """")), """"), GOOGLETRANSLATE('AYIRA MINI MART FINAL MENU - Pr'!A1003, ""ar"", ""en"")))"),"Lusine Chocolate Sandwich 105 g – Lusine")</f>
        <v>Lusine Chocolate Sandwich 105 g – Lusine</v>
      </c>
      <c r="B1003" s="56" t="str">
        <f>IFERROR(__xludf.DUMMYFUNCTION("IF('AYIRA MINI MART FINAL MENU - Pr'!B1003="""", """", IF(LEN(IFERROR(TRIM(REGEXREPLACE(TRIM(REGEXEXTRACT('AYIRA MINI MART FINAL MENU - Pr'!B1003, ""^[^\x{0600}-\x{06FF}]+"")), ""[-–]+$"", """")), """"))&gt;0, IFERROR(TRIM(REGEXREPLACE(TRIM(REGEXEXTRACT('AYI"&amp;"RA MINI MART FINAL MENU - Pr'!B1003, ""^[^\x{0600}-\x{06FF}]+"")), ""[-–]+$"", """")), """"), GOOGLETRANSLATE('AYIRA MINI MART FINAL MENU - Pr'!B1003, ""ar"", ""en"")))"),"Bakery &amp; Pastries")</f>
        <v>Bakery &amp; Pastries</v>
      </c>
      <c r="C1003" s="58">
        <f>IF('AYIRA MINI MART FINAL MENU - Pr'!C1003="", "", 'AYIRA MINI MART FINAL MENU - Pr'!C1003)</f>
        <v>3</v>
      </c>
      <c r="D1003" s="56" t="str">
        <f>IFERROR(__xludf.DUMMYFUNCTION("IF('AYIRA MINI MART FINAL MENU - Pr'!D1003="""", """", GOOGLETRANSLATE('AYIRA MINI MART FINAL MENU - Pr'!D1003, ""ar"", ""en""))"),"Indulge your senses with Lusine Chocolate Sandwich 105g, a luxurious chocolate that combines rich flavor with a perfect texture. Made from the finest selected cocoa beans, it delivers an exceptional dessert experience every time. Whether you're looking fo"&amp;"r a special gift or want to treat yourself, this chocolate is the perfect choice. Savor every bite and immerse yourself in a world of smoothness and sweetness. Get yours from Aira Mini Mart and experience moments of pure delight.")</f>
        <v>Indulge your senses with Lusine Chocolate Sandwich 105g, a luxurious chocolate that combines rich flavor with a perfect texture. Made from the finest selected cocoa beans, it delivers an exceptional dessert experience every time. Whether you're looking for a special gift or want to treat yourself, this chocolate is the perfect choice. Savor every bite and immerse yourself in a world of smoothness and sweetness. Get yours from Aira Mini Mart and experience moments of pure delight.</v>
      </c>
      <c r="E1003" s="56" t="str">
        <f>IF('AYIRA MINI MART FINAL MENU - Pr'!K1003="", "", 'AYIRA MINI MART FINAL MENU - Pr'!K1003)</f>
        <v/>
      </c>
      <c r="F1003" s="56"/>
      <c r="G1003" s="56"/>
      <c r="H1003" s="56"/>
      <c r="I1003" s="56"/>
      <c r="J1003" s="56"/>
      <c r="L1003" s="56" t="str">
        <f>IF('AYIRA MINI MART FINAL MENU - Pr'!L1003="", "", 'AYIRA MINI MART FINAL MENU - Pr'!L1003)</f>
        <v/>
      </c>
      <c r="M1003" s="56" t="str">
        <f>IF('AYIRA MINI MART FINAL MENU - Pr'!M1003="", "", 'AYIRA MINI MART FINAL MENU - Pr'!M1003)</f>
        <v/>
      </c>
      <c r="N1003" s="56" t="str">
        <f>IF('AYIRA MINI MART FINAL MENU - Pr'!N1003="", "", 'AYIRA MINI MART FINAL MENU - Pr'!N1003)</f>
        <v/>
      </c>
      <c r="O1003" s="57"/>
      <c r="P1003" s="57"/>
      <c r="Q1003" s="57"/>
      <c r="R1003" s="57"/>
      <c r="S1003" s="57"/>
      <c r="T1003" s="57"/>
      <c r="U1003" s="57"/>
      <c r="V1003" s="57"/>
      <c r="W1003" s="57"/>
      <c r="X1003" s="57"/>
      <c r="Y1003" s="57"/>
      <c r="Z1003" s="57"/>
    </row>
    <row r="1004">
      <c r="A1004" s="56" t="str">
        <f>IFERROR(__xludf.DUMMYFUNCTION("IF('AYIRA MINI MART FINAL MENU - Pr'!A1004="""", """", IF(LEN(IFERROR(TRIM(REGEXREPLACE(TRIM(REGEXEXTRACT('AYIRA MINI MART FINAL MENU - Pr'!A1004, ""^[^\x{0600}-\x{06FF}]+"")), ""[-–]+$"", """")), """"))&gt;0, IFERROR(TRIM(REGEXREPLACE(TRIM(REGEXEXTRACT('AYI"&amp;"RA MINI MART FINAL MENU - Pr'!A1004, ""^[^\x{0600}-\x{06FF}]+"")), ""[-–]+$"", """")), """"), GOOGLETRANSLATE('AYIRA MINI MART FINAL MENU - Pr'!A1004, ""ar"", ""en"")))"),"Al Rifai Turkish Coffee with Cardamom 250 gm – Al Rifai Turkish")</f>
        <v>Al Rifai Turkish Coffee with Cardamom 250 gm – Al Rifai Turkish</v>
      </c>
      <c r="B1004" s="56" t="str">
        <f>IFERROR(__xludf.DUMMYFUNCTION("IF('AYIRA MINI MART FINAL MENU - Pr'!B1004="""", """", IF(LEN(IFERROR(TRIM(REGEXREPLACE(TRIM(REGEXEXTRACT('AYIRA MINI MART FINAL MENU - Pr'!B1004, ""^[^\x{0600}-\x{06FF}]+"")), ""[-–]+$"", """")), """"))&gt;0, IFERROR(TRIM(REGEXREPLACE(TRIM(REGEXEXTRACT('AYI"&amp;"RA MINI MART FINAL MENU - Pr'!B1004, ""^[^\x{0600}-\x{06FF}]+"")), ""[-–]+$"", """")), """"), GOOGLETRANSLATE('AYIRA MINI MART FINAL MENU - Pr'!B1004, ""ar"", ""en"")))"),"Coffee &amp; Coffee Drinks")</f>
        <v>Coffee &amp; Coffee Drinks</v>
      </c>
      <c r="C1004" s="56" t="str">
        <f>IF('AYIRA MINI MART FINAL MENU - Pr'!C1004="", "", 'AYIRA MINI MART FINAL MENU - Pr'!C1004)</f>
        <v/>
      </c>
      <c r="D1004" s="56" t="str">
        <f>IFERROR(__xludf.DUMMYFUNCTION("IF('AYIRA MINI MART FINAL MENU - Pr'!D1004="""", """", GOOGLETRANSLATE('AYIRA MINI MART FINAL MENU - Pr'!D1004, ""ar"", ""en""))"),"Discover Al Rifai Turkish Coffee with Cardamom 250g, a premium product that combines high quality with exceptional value. Made to the highest standards of quality and safety to ensure your complete satisfaction every time, its excellent qualities make it "&amp;"the perfect choice for you and your family. Whether for everyday use or special occasions, it meets and exceeds your expectations. Get it now from Aira Mini Mart and enjoy a pleasant and reliable shopping experience.")</f>
        <v>Discover Al Rifai Turkish Coffee with Cardamom 250g, a premium product that combines high quality with exceptional value. Made to the highest standards of quality and safety to ensure your complete satisfaction every time, its excellent qualities make it the perfect choice for you and your family. Whether for everyday use or special occasions, it meets and exceeds your expectations. Get it now from Aira Mini Mart and enjoy a pleasant and reliable shopping experience.</v>
      </c>
      <c r="E1004" s="56" t="str">
        <f>IF('AYIRA MINI MART FINAL MENU - Pr'!K1004="", "", 'AYIRA MINI MART FINAL MENU - Pr'!K1004)</f>
        <v/>
      </c>
      <c r="F1004" s="56"/>
      <c r="G1004" s="56"/>
      <c r="H1004" s="56"/>
      <c r="I1004" s="56"/>
      <c r="J1004" s="56"/>
      <c r="L1004" s="56" t="str">
        <f>IF('AYIRA MINI MART FINAL MENU - Pr'!L1004="", "", 'AYIRA MINI MART FINAL MENU - Pr'!L1004)</f>
        <v/>
      </c>
      <c r="M1004" s="56" t="str">
        <f>IF('AYIRA MINI MART FINAL MENU - Pr'!M1004="", "", 'AYIRA MINI MART FINAL MENU - Pr'!M1004)</f>
        <v/>
      </c>
      <c r="N1004" s="56" t="str">
        <f>IF('AYIRA MINI MART FINAL MENU - Pr'!N1004="", "", 'AYIRA MINI MART FINAL MENU - Pr'!N1004)</f>
        <v/>
      </c>
      <c r="O1004" s="57"/>
      <c r="P1004" s="57"/>
      <c r="Q1004" s="57"/>
      <c r="R1004" s="57"/>
      <c r="S1004" s="57"/>
      <c r="T1004" s="57"/>
      <c r="U1004" s="57"/>
      <c r="V1004" s="57"/>
      <c r="W1004" s="57"/>
      <c r="X1004" s="57"/>
      <c r="Y1004" s="57"/>
      <c r="Z1004" s="57"/>
    </row>
    <row r="1005">
      <c r="A1005" s="56" t="str">
        <f>IFERROR(__xludf.DUMMYFUNCTION("IF('AYIRA MINI MART FINAL MENU - Pr'!A1005="""", """", IF(LEN(IFERROR(TRIM(REGEXREPLACE(TRIM(REGEXEXTRACT('AYIRA MINI MART FINAL MENU - Pr'!A1005, ""^[^\x{0600}-\x{06FF}]+"")), ""[-–]+$"", """")), """"))&gt;0, IFERROR(TRIM(REGEXREPLACE(TRIM(REGEXEXTRACT('AYI"&amp;"RA MINI MART FINAL MENU - Pr'!A1005, ""^[^\x{0600}-\x{06FF}]+"")), ""[-–]+$"", """")), """"), GOOGLETRANSLATE('AYIRA MINI MART FINAL MENU - Pr'!A1005, ""ar"", ""en"")))"),"Al Rifai French Coffee Hazelnut Flavour 250 ml – Al Rifai French")</f>
        <v>Al Rifai French Coffee Hazelnut Flavour 250 ml – Al Rifai French</v>
      </c>
      <c r="B1005" s="56" t="str">
        <f>IFERROR(__xludf.DUMMYFUNCTION("IF('AYIRA MINI MART FINAL MENU - Pr'!B1005="""", """", IF(LEN(IFERROR(TRIM(REGEXREPLACE(TRIM(REGEXEXTRACT('AYIRA MINI MART FINAL MENU - Pr'!B1005, ""^[^\x{0600}-\x{06FF}]+"")), ""[-–]+$"", """")), """"))&gt;0, IFERROR(TRIM(REGEXREPLACE(TRIM(REGEXEXTRACT('AYI"&amp;"RA MINI MART FINAL MENU - Pr'!B1005, ""^[^\x{0600}-\x{06FF}]+"")), ""[-–]+$"", """")), """"), GOOGLETRANSLATE('AYIRA MINI MART FINAL MENU - Pr'!B1005, ""ar"", ""en"")))"),"Coffee &amp; Coffee Drinks")</f>
        <v>Coffee &amp; Coffee Drinks</v>
      </c>
      <c r="C1005" s="56" t="str">
        <f>IF('AYIRA MINI MART FINAL MENU - Pr'!C1005="", "", 'AYIRA MINI MART FINAL MENU - Pr'!C1005)</f>
        <v/>
      </c>
      <c r="D1005" s="56" t="str">
        <f>IFERROR(__xludf.DUMMYFUNCTION("IF('AYIRA MINI MART FINAL MENU - Pr'!D1005="""", """", GOOGLETRANSLATE('AYIRA MINI MART FINAL MENU - Pr'!D1005, ""ar"", ""en""))"),"Choose Al Rifai French Coffee Hazelnut Flavor 250ml, made with natural nuts rich in protein and healthy fats essential for your body. Prepared from the finest nuts, carefully selected to ensure the highest levels of purity and flavor. It's the perfect hea"&amp;"lthy and nutritious snack between meals. It supports heart health and provides the energy you need. Available at Aira Mini Mart with the highest quality and best prices.")</f>
        <v>Choose Al Rifai French Coffee Hazelnut Flavor 250ml, made with natural nuts rich in protein and healthy fats essential for your body. Prepared from the finest nuts, carefully selected to ensure the highest levels of purity and flavor. It's the perfect healthy and nutritious snack between meals. It supports heart health and provides the energy you need. Available at Aira Mini Mart with the highest quality and best prices.</v>
      </c>
      <c r="E1005" s="56" t="str">
        <f>IF('AYIRA MINI MART FINAL MENU - Pr'!K1005="", "", 'AYIRA MINI MART FINAL MENU - Pr'!K1005)</f>
        <v/>
      </c>
      <c r="F1005" s="56"/>
      <c r="G1005" s="56"/>
      <c r="H1005" s="56"/>
      <c r="I1005" s="56"/>
      <c r="J1005" s="56"/>
      <c r="L1005" s="56" t="str">
        <f>IF('AYIRA MINI MART FINAL MENU - Pr'!L1005="", "", 'AYIRA MINI MART FINAL MENU - Pr'!L1005)</f>
        <v/>
      </c>
      <c r="M1005" s="56" t="str">
        <f>IF('AYIRA MINI MART FINAL MENU - Pr'!M1005="", "", 'AYIRA MINI MART FINAL MENU - Pr'!M1005)</f>
        <v/>
      </c>
      <c r="N1005" s="56" t="str">
        <f>IF('AYIRA MINI MART FINAL MENU - Pr'!N1005="", "", 'AYIRA MINI MART FINAL MENU - Pr'!N1005)</f>
        <v/>
      </c>
      <c r="O1005" s="57"/>
      <c r="P1005" s="57"/>
      <c r="Q1005" s="57"/>
      <c r="R1005" s="57"/>
      <c r="S1005" s="57"/>
      <c r="T1005" s="57"/>
      <c r="U1005" s="57"/>
      <c r="V1005" s="57"/>
      <c r="W1005" s="57"/>
      <c r="X1005" s="57"/>
      <c r="Y1005" s="57"/>
      <c r="Z1005" s="57"/>
    </row>
    <row r="1006">
      <c r="A1006" s="56" t="str">
        <f>IFERROR(__xludf.DUMMYFUNCTION("IF('AYIRA MINI MART FINAL MENU - Pr'!A1006="""", """", IF(LEN(IFERROR(TRIM(REGEXREPLACE(TRIM(REGEXEXTRACT('AYIRA MINI MART FINAL MENU - Pr'!A1006, ""^[^\x{0600}-\x{06FF}]+"")), ""[-–]+$"", """")), """"))&gt;0, IFERROR(TRIM(REGEXREPLACE(TRIM(REGEXEXTRACT('AYI"&amp;"RA MINI MART FINAL MENU - Pr'!A1006, ""^[^\x{0600}-\x{06FF}]+"")), ""[-–]+$"", """")), """"), GOOGLETRANSLATE('AYIRA MINI MART FINAL MENU - Pr'!A1006, ""ar"", ""en"")))"),"Al Rifai French Coffee 250 gm – Al Rifai French")</f>
        <v>Al Rifai French Coffee 250 gm – Al Rifai French</v>
      </c>
      <c r="B1006" s="56" t="str">
        <f>IFERROR(__xludf.DUMMYFUNCTION("IF('AYIRA MINI MART FINAL MENU - Pr'!B1006="""", """", IF(LEN(IFERROR(TRIM(REGEXREPLACE(TRIM(REGEXEXTRACT('AYIRA MINI MART FINAL MENU - Pr'!B1006, ""^[^\x{0600}-\x{06FF}]+"")), ""[-–]+$"", """")), """"))&gt;0, IFERROR(TRIM(REGEXREPLACE(TRIM(REGEXEXTRACT('AYI"&amp;"RA MINI MART FINAL MENU - Pr'!B1006, ""^[^\x{0600}-\x{06FF}]+"")), ""[-–]+$"", """")), """"), GOOGLETRANSLATE('AYIRA MINI MART FINAL MENU - Pr'!B1006, ""ar"", ""en"")))"),"Coffee &amp; Coffee Drinks")</f>
        <v>Coffee &amp; Coffee Drinks</v>
      </c>
      <c r="C1006" s="56" t="str">
        <f>IF('AYIRA MINI MART FINAL MENU - Pr'!C1006="", "", 'AYIRA MINI MART FINAL MENU - Pr'!C1006)</f>
        <v/>
      </c>
      <c r="D1006" s="56" t="str">
        <f>IFERROR(__xludf.DUMMYFUNCTION("IF('AYIRA MINI MART FINAL MENU - Pr'!D1006="""", """", GOOGLETRANSLATE('AYIRA MINI MART FINAL MENU - Pr'!D1006, ""ar"", ""en""))"),"Discover Al Rifai French Coffee 250g, a premium product that combines high quality with exceptional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Al Rifai French Coffee 250g,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06" s="56" t="str">
        <f>IF('AYIRA MINI MART FINAL MENU - Pr'!K1006="", "", 'AYIRA MINI MART FINAL MENU - Pr'!K1006)</f>
        <v/>
      </c>
      <c r="F1006" s="56"/>
      <c r="G1006" s="56"/>
      <c r="H1006" s="56"/>
      <c r="I1006" s="56"/>
      <c r="J1006" s="56"/>
      <c r="L1006" s="56" t="str">
        <f>IF('AYIRA MINI MART FINAL MENU - Pr'!L1006="", "", 'AYIRA MINI MART FINAL MENU - Pr'!L1006)</f>
        <v/>
      </c>
      <c r="M1006" s="56" t="str">
        <f>IF('AYIRA MINI MART FINAL MENU - Pr'!M1006="", "", 'AYIRA MINI MART FINAL MENU - Pr'!M1006)</f>
        <v/>
      </c>
      <c r="N1006" s="56" t="str">
        <f>IF('AYIRA MINI MART FINAL MENU - Pr'!N1006="", "", 'AYIRA MINI MART FINAL MENU - Pr'!N1006)</f>
        <v/>
      </c>
      <c r="O1006" s="57"/>
      <c r="P1006" s="57"/>
      <c r="Q1006" s="57"/>
      <c r="R1006" s="57"/>
      <c r="S1006" s="57"/>
      <c r="T1006" s="57"/>
      <c r="U1006" s="57"/>
      <c r="V1006" s="57"/>
      <c r="W1006" s="57"/>
      <c r="X1006" s="57"/>
      <c r="Y1006" s="57"/>
      <c r="Z1006" s="57"/>
    </row>
    <row r="1007">
      <c r="A1007" s="56" t="str">
        <f>IFERROR(__xludf.DUMMYFUNCTION("IF('AYIRA MINI MART FINAL MENU - Pr'!A1007="""", """", IF(LEN(IFERROR(TRIM(REGEXREPLACE(TRIM(REGEXEXTRACT('AYIRA MINI MART FINAL MENU - Pr'!A1007, ""^[^\x{0600}-\x{06FF}]+"")), ""[-–]+$"", """")), """"))&gt;0, IFERROR(TRIM(REGEXREPLACE(TRIM(REGEXEXTRACT('AYI"&amp;"RA MINI MART FINAL MENU - Pr'!A1007, ""^[^\x{0600}-\x{06FF}]+"")), ""[-–]+$"", """")), """"), GOOGLETRANSLATE('AYIRA MINI MART FINAL MENU - Pr'!A1007, ""ar"", ""en"")))"),"Mr. Brown Vanilla Iced Coffee 240 ml – Mr. Brown")</f>
        <v>Mr. Brown Vanilla Iced Coffee 240 ml – Mr. Brown</v>
      </c>
      <c r="B1007" s="56" t="str">
        <f>IFERROR(__xludf.DUMMYFUNCTION("IF('AYIRA MINI MART FINAL MENU - Pr'!B1007="""", """", IF(LEN(IFERROR(TRIM(REGEXREPLACE(TRIM(REGEXEXTRACT('AYIRA MINI MART FINAL MENU - Pr'!B1007, ""^[^\x{0600}-\x{06FF}]+"")), ""[-–]+$"", """")), """"))&gt;0, IFERROR(TRIM(REGEXREPLACE(TRIM(REGEXEXTRACT('AYI"&amp;"RA MINI MART FINAL MENU - Pr'!B1007, ""^[^\x{0600}-\x{06FF}]+"")), ""[-–]+$"", """")), """"), GOOGLETRANSLATE('AYIRA MINI MART FINAL MENU - Pr'!B1007, ""ar"", ""en"")))"),"Carbonated Soft Drinks")</f>
        <v>Carbonated Soft Drinks</v>
      </c>
      <c r="C1007" s="56" t="str">
        <f>IF('AYIRA MINI MART FINAL MENU - Pr'!C1007="", "", 'AYIRA MINI MART FINAL MENU - Pr'!C1007)</f>
        <v/>
      </c>
      <c r="D1007" s="56" t="str">
        <f>IFERROR(__xludf.DUMMYFUNCTION("IF('AYIRA MINI MART FINAL MENU - Pr'!D1007="""", """", GOOGLETRANSLATE('AYIRA MINI MART FINAL MENU - Pr'!D1007, ""ar"", ""en""))"),"Discover Mr. Brown Vanilla Iced Coffee 240ml, a premium product that combines high quality with exceptional value. Made to the highest standards of quality and safety to ensure your complete satisfaction every time. Its excellent features make it the perf"&amp;"ect choice for you and your family. Whether for everyday use or special occasions, it meets and exceeds your expectations. Get it now from Aira Mini Mart and enjoy a pleasant and reliable shopping experience.")</f>
        <v>Discover Mr. Brown Vanilla Iced Coffee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07" s="56" t="str">
        <f>IF('AYIRA MINI MART FINAL MENU - Pr'!K1007="", "", 'AYIRA MINI MART FINAL MENU - Pr'!K1007)</f>
        <v/>
      </c>
      <c r="F1007" s="56"/>
      <c r="G1007" s="56"/>
      <c r="H1007" s="56"/>
      <c r="I1007" s="56"/>
      <c r="J1007" s="56"/>
      <c r="L1007" s="56" t="str">
        <f>IF('AYIRA MINI MART FINAL MENU - Pr'!L1007="", "", 'AYIRA MINI MART FINAL MENU - Pr'!L1007)</f>
        <v/>
      </c>
      <c r="M1007" s="56" t="str">
        <f>IF('AYIRA MINI MART FINAL MENU - Pr'!M1007="", "", 'AYIRA MINI MART FINAL MENU - Pr'!M1007)</f>
        <v/>
      </c>
      <c r="N1007" s="56" t="str">
        <f>IF('AYIRA MINI MART FINAL MENU - Pr'!N1007="", "", 'AYIRA MINI MART FINAL MENU - Pr'!N1007)</f>
        <v/>
      </c>
      <c r="O1007" s="57"/>
      <c r="P1007" s="57"/>
      <c r="Q1007" s="57"/>
      <c r="R1007" s="57"/>
      <c r="S1007" s="57"/>
      <c r="T1007" s="57"/>
      <c r="U1007" s="57"/>
      <c r="V1007" s="57"/>
      <c r="W1007" s="57"/>
      <c r="X1007" s="57"/>
      <c r="Y1007" s="57"/>
      <c r="Z1007" s="57"/>
    </row>
    <row r="1008">
      <c r="A1008" s="56" t="str">
        <f>IFERROR(__xludf.DUMMYFUNCTION("IF('AYIRA MINI MART FINAL MENU - Pr'!A1008="""", """", IF(LEN(IFERROR(TRIM(REGEXREPLACE(TRIM(REGEXEXTRACT('AYIRA MINI MART FINAL MENU - Pr'!A1008, ""^[^\x{0600}-\x{06FF}]+"")), ""[-–]+$"", """")), """"))&gt;0, IFERROR(TRIM(REGEXREPLACE(TRIM(REGEXEXTRACT('AYI"&amp;"RA MINI MART FINAL MENU - Pr'!A1008, ""^[^\x{0600}-\x{06FF}]+"")), ""[-–]+$"", """")), """"), GOOGLETRANSLATE('AYIRA MINI MART FINAL MENU - Pr'!A1008, ""ar"", ""en"")))"),"Mr. Brown Caramel Latte Iced Coffee 240 ml – Mr. Brown")</f>
        <v>Mr. Brown Caramel Latte Iced Coffee 240 ml – Mr. Brown</v>
      </c>
      <c r="B1008" s="56" t="str">
        <f>IFERROR(__xludf.DUMMYFUNCTION("IF('AYIRA MINI MART FINAL MENU - Pr'!B1008="""", """", IF(LEN(IFERROR(TRIM(REGEXREPLACE(TRIM(REGEXEXTRACT('AYIRA MINI MART FINAL MENU - Pr'!B1008, ""^[^\x{0600}-\x{06FF}]+"")), ""[-–]+$"", """")), """"))&gt;0, IFERROR(TRIM(REGEXREPLACE(TRIM(REGEXEXTRACT('AYI"&amp;"RA MINI MART FINAL MENU - Pr'!B1008, ""^[^\x{0600}-\x{06FF}]+"")), ""[-–]+$"", """")), """"), GOOGLETRANSLATE('AYIRA MINI MART FINAL MENU - Pr'!B1008, ""ar"", ""en"")))"),"Carbonated Soft Drinks")</f>
        <v>Carbonated Soft Drinks</v>
      </c>
      <c r="C1008" s="56" t="str">
        <f>IF('AYIRA MINI MART FINAL MENU - Pr'!C1008="", "", 'AYIRA MINI MART FINAL MENU - Pr'!C1008)</f>
        <v/>
      </c>
      <c r="D1008" s="56" t="str">
        <f>IFERROR(__xludf.DUMMYFUNCTION("IF('AYIRA MINI MART FINAL MENU - Pr'!D1008="""", """", GOOGLETRANSLATE('AYIRA MINI MART FINAL MENU - Pr'!D1008, ""ar"", ""en""))"),"Discover Mr. Brown Caramel Latte Iced Coffee 240ml, a premium product that combines high quality with exceptional value. Made to the highest standards of quality and safety to ensure your complete satisfaction every time, its excellent features make it th"&amp;"e perfect choice for you and your family. Whether for everyday use or special occasions, it meets and exceeds your expectations. Get it now from Aira Mini Mart and enjoy a pleasant and reliable shopping experience.")</f>
        <v>Discover Mr. Brown Caramel Latte Iced Coffee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08" s="56" t="str">
        <f>IF('AYIRA MINI MART FINAL MENU - Pr'!K1008="", "", 'AYIRA MINI MART FINAL MENU - Pr'!K1008)</f>
        <v/>
      </c>
      <c r="F1008" s="56"/>
      <c r="G1008" s="56"/>
      <c r="H1008" s="56"/>
      <c r="I1008" s="56"/>
      <c r="J1008" s="56"/>
      <c r="L1008" s="56" t="str">
        <f>IF('AYIRA MINI MART FINAL MENU - Pr'!L1008="", "", 'AYIRA MINI MART FINAL MENU - Pr'!L1008)</f>
        <v/>
      </c>
      <c r="M1008" s="56" t="str">
        <f>IF('AYIRA MINI MART FINAL MENU - Pr'!M1008="", "", 'AYIRA MINI MART FINAL MENU - Pr'!M1008)</f>
        <v/>
      </c>
      <c r="N1008" s="56" t="str">
        <f>IF('AYIRA MINI MART FINAL MENU - Pr'!N1008="", "", 'AYIRA MINI MART FINAL MENU - Pr'!N1008)</f>
        <v/>
      </c>
      <c r="O1008" s="57"/>
      <c r="P1008" s="57"/>
      <c r="Q1008" s="57"/>
      <c r="R1008" s="57"/>
      <c r="S1008" s="57"/>
      <c r="T1008" s="57"/>
      <c r="U1008" s="57"/>
      <c r="V1008" s="57"/>
      <c r="W1008" s="57"/>
      <c r="X1008" s="57"/>
      <c r="Y1008" s="57"/>
      <c r="Z1008" s="57"/>
    </row>
    <row r="1009">
      <c r="A1009" s="56" t="str">
        <f>IFERROR(__xludf.DUMMYFUNCTION("IF('AYIRA MINI MART FINAL MENU - Pr'!A1009="""", """", IF(LEN(IFERROR(TRIM(REGEXREPLACE(TRIM(REGEXEXTRACT('AYIRA MINI MART FINAL MENU - Pr'!A1009, ""^[^\x{0600}-\x{06FF}]+"")), ""[-–]+$"", """")), """"))&gt;0, IFERROR(TRIM(REGEXREPLACE(TRIM(REGEXEXTRACT('AYI"&amp;"RA MINI MART FINAL MENU - Pr'!A1009, ""^[^\x{0600}-\x{06FF}]+"")), ""[-–]+$"", """")), """"), GOOGLETRANSLATE('AYIRA MINI MART FINAL MENU - Pr'!A1009, ""ar"", ""en"")))"),"Mr. Brown Cappuccino Iced Coffee 240 ml – Mr. Brown Cappuccino Iced")</f>
        <v>Mr. Brown Cappuccino Iced Coffee 240 ml – Mr. Brown Cappuccino Iced</v>
      </c>
      <c r="B1009" s="56" t="str">
        <f>IFERROR(__xludf.DUMMYFUNCTION("IF('AYIRA MINI MART FINAL MENU - Pr'!B1009="""", """", IF(LEN(IFERROR(TRIM(REGEXREPLACE(TRIM(REGEXEXTRACT('AYIRA MINI MART FINAL MENU - Pr'!B1009, ""^[^\x{0600}-\x{06FF}]+"")), ""[-–]+$"", """")), """"))&gt;0, IFERROR(TRIM(REGEXREPLACE(TRIM(REGEXEXTRACT('AYI"&amp;"RA MINI MART FINAL MENU - Pr'!B1009, ""^[^\x{0600}-\x{06FF}]+"")), ""[-–]+$"", """")), """"), GOOGLETRANSLATE('AYIRA MINI MART FINAL MENU - Pr'!B1009, ""ar"", ""en"")))"),"Carbonated Soft Drinks")</f>
        <v>Carbonated Soft Drinks</v>
      </c>
      <c r="C1009" s="56" t="str">
        <f>IF('AYIRA MINI MART FINAL MENU - Pr'!C1009="", "", 'AYIRA MINI MART FINAL MENU - Pr'!C1009)</f>
        <v/>
      </c>
      <c r="D1009" s="56" t="str">
        <f>IFERROR(__xludf.DUMMYFUNCTION("IF('AYIRA MINI MART FINAL MENU - Pr'!D1009="""", """", GOOGLETRANSLATE('AYIRA MINI MART FINAL MENU - Pr'!D1009, ""ar"", ""en""))"),"Discover Mr. Brown Cappuccino Iced Coffee 240ml, a premium product that combines high quality with exceptional value. Made to the highest standards of quality and safety to ensure your complete satisfaction every time, its excellent features make it the p"&amp;"erfect choice for you and your family. Whether for everyday use or special occasions, it meets and exceeds your expectations. Get it now from Aira Mini Mart and enjoy a pleasant and reliable shopping experience.")</f>
        <v>Discover Mr. Brown Cappuccino Iced Coffee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09" s="56" t="str">
        <f>IF('AYIRA MINI MART FINAL MENU - Pr'!K1009="", "", 'AYIRA MINI MART FINAL MENU - Pr'!K1009)</f>
        <v/>
      </c>
      <c r="F1009" s="56"/>
      <c r="G1009" s="56"/>
      <c r="H1009" s="56"/>
      <c r="I1009" s="56"/>
      <c r="J1009" s="56"/>
      <c r="L1009" s="56" t="str">
        <f>IF('AYIRA MINI MART FINAL MENU - Pr'!L1009="", "", 'AYIRA MINI MART FINAL MENU - Pr'!L1009)</f>
        <v/>
      </c>
      <c r="M1009" s="56" t="str">
        <f>IF('AYIRA MINI MART FINAL MENU - Pr'!M1009="", "", 'AYIRA MINI MART FINAL MENU - Pr'!M1009)</f>
        <v/>
      </c>
      <c r="N1009" s="56" t="str">
        <f>IF('AYIRA MINI MART FINAL MENU - Pr'!N1009="", "", 'AYIRA MINI MART FINAL MENU - Pr'!N1009)</f>
        <v/>
      </c>
      <c r="O1009" s="57"/>
      <c r="P1009" s="57"/>
      <c r="Q1009" s="57"/>
      <c r="R1009" s="57"/>
      <c r="S1009" s="57"/>
      <c r="T1009" s="57"/>
      <c r="U1009" s="57"/>
      <c r="V1009" s="57"/>
      <c r="W1009" s="57"/>
      <c r="X1009" s="57"/>
      <c r="Y1009" s="57"/>
      <c r="Z1009" s="57"/>
    </row>
    <row r="1010">
      <c r="A1010" s="56" t="str">
        <f>IFERROR(__xludf.DUMMYFUNCTION("IF('AYIRA MINI MART FINAL MENU - Pr'!A1010="""", """", IF(LEN(IFERROR(TRIM(REGEXREPLACE(TRIM(REGEXEXTRACT('AYIRA MINI MART FINAL MENU - Pr'!A1010, ""^[^\x{0600}-\x{06FF}]+"")), ""[-–]+$"", """")), """"))&gt;0, IFERROR(TRIM(REGEXREPLACE(TRIM(REGEXEXTRACT('AYI"&amp;"RA MINI MART FINAL MENU - Pr'!A1010, ""^[^\x{0600}-\x{06FF}]+"")), ""[-–]+$"", """")), """"), GOOGLETRANSLATE('AYIRA MINI MART FINAL MENU - Pr'!A1010, ""ar"", ""en"")))"),"Mr. Brown Iced Coffee 240 ml – Mr. Brown Iced")</f>
        <v>Mr. Brown Iced Coffee 240 ml – Mr. Brown Iced</v>
      </c>
      <c r="B1010" s="56" t="str">
        <f>IFERROR(__xludf.DUMMYFUNCTION("IF('AYIRA MINI MART FINAL MENU - Pr'!B1010="""", """", IF(LEN(IFERROR(TRIM(REGEXREPLACE(TRIM(REGEXEXTRACT('AYIRA MINI MART FINAL MENU - Pr'!B1010, ""^[^\x{0600}-\x{06FF}]+"")), ""[-–]+$"", """")), """"))&gt;0, IFERROR(TRIM(REGEXREPLACE(TRIM(REGEXEXTRACT('AYI"&amp;"RA MINI MART FINAL MENU - Pr'!B1010, ""^[^\x{0600}-\x{06FF}]+"")), ""[-–]+$"", """")), """"), GOOGLETRANSLATE('AYIRA MINI MART FINAL MENU - Pr'!B1010, ""ar"", ""en"")))"),"Carbonated Soft Drinks")</f>
        <v>Carbonated Soft Drinks</v>
      </c>
      <c r="C1010" s="56" t="str">
        <f>IF('AYIRA MINI MART FINAL MENU - Pr'!C1010="", "", 'AYIRA MINI MART FINAL MENU - Pr'!C1010)</f>
        <v/>
      </c>
      <c r="D1010" s="56" t="str">
        <f>IFERROR(__xludf.DUMMYFUNCTION("IF('AYIRA MINI MART FINAL MENU - Pr'!D1010="""", """", GOOGLETRANSLATE('AYIRA MINI MART FINAL MENU - Pr'!D1010, ""ar"", ""en""))"),"Discover Mr. Brown Iced Coffee 240ml, a premium product that combines high quality with exceptional value. Made to the highest standards of quality and safety to ensure your complete satisfaction every time. Its excellent features make it the perfect choi"&amp;"ce for you and your family. Whether for everyday use or special occasions, it meets and exceeds your expectations. Get it now from Aira Mini Mart and enjoy a pleasant and reliable shopping experience.")</f>
        <v>Discover Mr. Brown Iced Coffee 240ml, a premium product that combines high quality with exceptional value. Made to the highest standards of quality and safety to ensure your complete satisfaction every time. Its excellent features make it the perfect choice for you and your family. Whether for everyday use or special occasions, it meets and exceeds your expectations. Get it now from Aira Mini Mart and enjoy a pleasant and reliable shopping experience.</v>
      </c>
      <c r="E1010" s="56" t="str">
        <f>IF('AYIRA MINI MART FINAL MENU - Pr'!K1010="", "", 'AYIRA MINI MART FINAL MENU - Pr'!K1010)</f>
        <v/>
      </c>
      <c r="F1010" s="56"/>
      <c r="G1010" s="56"/>
      <c r="H1010" s="56"/>
      <c r="I1010" s="56"/>
      <c r="J1010" s="56"/>
      <c r="L1010" s="56" t="str">
        <f>IF('AYIRA MINI MART FINAL MENU - Pr'!L1010="", "", 'AYIRA MINI MART FINAL MENU - Pr'!L1010)</f>
        <v/>
      </c>
      <c r="M1010" s="56" t="str">
        <f>IF('AYIRA MINI MART FINAL MENU - Pr'!M1010="", "", 'AYIRA MINI MART FINAL MENU - Pr'!M1010)</f>
        <v/>
      </c>
      <c r="N1010" s="56" t="str">
        <f>IF('AYIRA MINI MART FINAL MENU - Pr'!N1010="", "", 'AYIRA MINI MART FINAL MENU - Pr'!N1010)</f>
        <v/>
      </c>
      <c r="O1010" s="57"/>
      <c r="P1010" s="57"/>
      <c r="Q1010" s="57"/>
      <c r="R1010" s="57"/>
      <c r="S1010" s="57"/>
      <c r="T1010" s="57"/>
      <c r="U1010" s="57"/>
      <c r="V1010" s="57"/>
      <c r="W1010" s="57"/>
      <c r="X1010" s="57"/>
      <c r="Y1010" s="57"/>
      <c r="Z1010" s="57"/>
    </row>
    <row r="1011">
      <c r="A1011" s="56" t="str">
        <f>IFERROR(__xludf.DUMMYFUNCTION("IF('AYIRA MINI MART FINAL MENU - Pr'!A1011="""", """", IF(LEN(IFERROR(TRIM(REGEXREPLACE(TRIM(REGEXEXTRACT('AYIRA MINI MART FINAL MENU - Pr'!A1011, ""^[^\x{0600}-\x{06FF}]+"")), ""[-–]+$"", """")), """"))&gt;0, IFERROR(TRIM(REGEXREPLACE(TRIM(REGEXEXTRACT('AYI"&amp;"RA MINI MART FINAL MENU - Pr'!A1011, ""^[^\x{0600}-\x{06FF}]+"")), ""[-–]+$"", """")), """"), GOOGLETRANSLATE('AYIRA MINI MART FINAL MENU - Pr'!A1011, ""ar"", ""en"")))"),"KDD Caramel Macchiato Coffee with Milk 250 ml")</f>
        <v>KDD Caramel Macchiato Coffee with Milk 250 ml</v>
      </c>
      <c r="B1011" s="56" t="str">
        <f>IFERROR(__xludf.DUMMYFUNCTION("IF('AYIRA MINI MART FINAL MENU - Pr'!B1011="""", """", IF(LEN(IFERROR(TRIM(REGEXREPLACE(TRIM(REGEXEXTRACT('AYIRA MINI MART FINAL MENU - Pr'!B1011, ""^[^\x{0600}-\x{06FF}]+"")), ""[-–]+$"", """")), """"))&gt;0, IFERROR(TRIM(REGEXREPLACE(TRIM(REGEXEXTRACT('AYI"&amp;"RA MINI MART FINAL MENU - Pr'!B1011, ""^[^\x{0600}-\x{06FF}]+"")), ""[-–]+$"", """")), """"), GOOGLETRANSLATE('AYIRA MINI MART FINAL MENU - Pr'!B1011, ""ar"", ""en"")))"),"Carbonated Soft Drinks")</f>
        <v>Carbonated Soft Drinks</v>
      </c>
      <c r="C1011" s="56" t="str">
        <f>IF('AYIRA MINI MART FINAL MENU - Pr'!C1011="", "", 'AYIRA MINI MART FINAL MENU - Pr'!C1011)</f>
        <v/>
      </c>
      <c r="D1011" s="56" t="str">
        <f>IFERROR(__xludf.DUMMYFUNCTION("IF('AYIRA MINI MART FINAL MENU - Pr'!D1011="""", """", GOOGLETRANSLATE('AYIRA MINI MART FINAL MENU - Pr'!D1011, ""ar"", ""en""))"),"Enjoy KDD,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KDD,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011" s="56" t="str">
        <f>IF('AYIRA MINI MART FINAL MENU - Pr'!K1011="", "", 'AYIRA MINI MART FINAL MENU - Pr'!K1011)</f>
        <v/>
      </c>
      <c r="F1011" s="56"/>
      <c r="G1011" s="56"/>
      <c r="H1011" s="56"/>
      <c r="I1011" s="56"/>
      <c r="J1011" s="56"/>
      <c r="L1011" s="56" t="str">
        <f>IF('AYIRA MINI MART FINAL MENU - Pr'!L1011="", "", 'AYIRA MINI MART FINAL MENU - Pr'!L1011)</f>
        <v/>
      </c>
      <c r="M1011" s="56" t="str">
        <f>IF('AYIRA MINI MART FINAL MENU - Pr'!M1011="", "", 'AYIRA MINI MART FINAL MENU - Pr'!M1011)</f>
        <v/>
      </c>
      <c r="N1011" s="56" t="str">
        <f>IF('AYIRA MINI MART FINAL MENU - Pr'!N1011="", "", 'AYIRA MINI MART FINAL MENU - Pr'!N1011)</f>
        <v/>
      </c>
      <c r="O1011" s="57"/>
      <c r="P1011" s="57"/>
      <c r="Q1011" s="57"/>
      <c r="R1011" s="57"/>
      <c r="S1011" s="57"/>
      <c r="T1011" s="57"/>
      <c r="U1011" s="57"/>
      <c r="V1011" s="57"/>
      <c r="W1011" s="57"/>
      <c r="X1011" s="57"/>
      <c r="Y1011" s="57"/>
      <c r="Z1011" s="57"/>
    </row>
    <row r="1012">
      <c r="A1012" s="56" t="str">
        <f>IFERROR(__xludf.DUMMYFUNCTION("IF('AYIRA MINI MART FINAL MENU - Pr'!A1012="""", """", IF(LEN(IFERROR(TRIM(REGEXREPLACE(TRIM(REGEXEXTRACT('AYIRA MINI MART FINAL MENU - Pr'!A1012, ""^[^\x{0600}-\x{06FF}]+"")), ""[-–]+$"", """")), """"))&gt;0, IFERROR(TRIM(REGEXREPLACE(TRIM(REGEXEXTRACT('AYI"&amp;"RA MINI MART FINAL MENU - Pr'!A1012, ""^[^\x{0600}-\x{06FF}]+"")), ""[-–]+$"", """")), """"), GOOGLETRANSLATE('AYIRA MINI MART FINAL MENU - Pr'!A1012, ""ar"", ""en"")))"),"KDD Caffè Latte Coffee with Milk 250 ml")</f>
        <v>KDD Caffè Latte Coffee with Milk 250 ml</v>
      </c>
      <c r="B1012" s="56" t="str">
        <f>IFERROR(__xludf.DUMMYFUNCTION("IF('AYIRA MINI MART FINAL MENU - Pr'!B1012="""", """", IF(LEN(IFERROR(TRIM(REGEXREPLACE(TRIM(REGEXEXTRACT('AYIRA MINI MART FINAL MENU - Pr'!B1012, ""^[^\x{0600}-\x{06FF}]+"")), ""[-–]+$"", """")), """"))&gt;0, IFERROR(TRIM(REGEXREPLACE(TRIM(REGEXEXTRACT('AYI"&amp;"RA MINI MART FINAL MENU - Pr'!B1012, ""^[^\x{0600}-\x{06FF}]+"")), ""[-–]+$"", """")), """"), GOOGLETRANSLATE('AYIRA MINI MART FINAL MENU - Pr'!B1012, ""ar"", ""en"")))"),"Carbonated Soft Drinks")</f>
        <v>Carbonated Soft Drinks</v>
      </c>
      <c r="C1012" s="56" t="str">
        <f>IF('AYIRA MINI MART FINAL MENU - Pr'!C1012="", "", 'AYIRA MINI MART FINAL MENU - Pr'!C1012)</f>
        <v/>
      </c>
      <c r="D1012" s="56" t="str">
        <f>IFERROR(__xludf.DUMMYFUNCTION("IF('AYIRA MINI MART FINAL MENU - Pr'!D1012="""", """", GOOGLETRANSLATE('AYIRA MINI MART FINAL MENU - Pr'!D1012, ""ar"", ""en""))"),"Enjoy KDD, the refreshing soft drink that gives you energy and vitality with every drop. Its great taste and unique formula make it the perfect choice to quench your thirst anytime. Ideal for parties, family gatherings, and various occasions. It boasts di"&amp;"stinctive flavors that make every sip an unforgettable experience. Get it now from Aira Mini Mart at the best prices and highest quality. Our premium drink provides instant refreshment and satisfies your discerning palate whenever you need hydration.")</f>
        <v>Enjoy KDD, the refreshing soft drink that gives you energy and vitality with every drop. Its great taste and unique formula make it the perfect choice to quench your thirst anytime. Ideal for parties, family gatherings, and various occasions. It boasts distinctive flavors that make every sip an unforgettable experience. Get it now from Aira Mini Mart at the best prices and highest quality. Our premium drink provides instant refreshment and satisfies your discerning palate whenever you need hydration.</v>
      </c>
      <c r="E1012" s="56" t="str">
        <f>IF('AYIRA MINI MART FINAL MENU - Pr'!K1012="", "", 'AYIRA MINI MART FINAL MENU - Pr'!K1012)</f>
        <v/>
      </c>
      <c r="F1012" s="56"/>
      <c r="G1012" s="56"/>
      <c r="H1012" s="56"/>
      <c r="I1012" s="56"/>
      <c r="J1012" s="56"/>
      <c r="L1012" s="56" t="str">
        <f>IF('AYIRA MINI MART FINAL MENU - Pr'!L1012="", "", 'AYIRA MINI MART FINAL MENU - Pr'!L1012)</f>
        <v/>
      </c>
      <c r="M1012" s="56" t="str">
        <f>IF('AYIRA MINI MART FINAL MENU - Pr'!M1012="", "", 'AYIRA MINI MART FINAL MENU - Pr'!M1012)</f>
        <v/>
      </c>
      <c r="N1012" s="56" t="str">
        <f>IF('AYIRA MINI MART FINAL MENU - Pr'!N1012="", "", 'AYIRA MINI MART FINAL MENU - Pr'!N1012)</f>
        <v/>
      </c>
      <c r="O1012" s="57"/>
      <c r="P1012" s="57"/>
      <c r="Q1012" s="57"/>
      <c r="R1012" s="57"/>
      <c r="S1012" s="57"/>
      <c r="T1012" s="57"/>
      <c r="U1012" s="57"/>
      <c r="V1012" s="57"/>
      <c r="W1012" s="57"/>
      <c r="X1012" s="57"/>
      <c r="Y1012" s="57"/>
      <c r="Z1012" s="57"/>
    </row>
    <row r="1013">
      <c r="A1013" s="56" t="str">
        <f>IFERROR(__xludf.DUMMYFUNCTION("IF('AYIRA MINI MART FINAL MENU - Pr'!A1013="""", """", IF(LEN(IFERROR(TRIM(REGEXREPLACE(TRIM(REGEXEXTRACT('AYIRA MINI MART FINAL MENU - Pr'!A1013, ""^[^\x{0600}-\x{06FF}]+"")), ""[-–]+$"", """")), """"))&gt;0, IFERROR(TRIM(REGEXREPLACE(TRIM(REGEXEXTRACT('AYI"&amp;"RA MINI MART FINAL MENU - Pr'!A1013, ""^[^\x{0600}-\x{06FF}]+"")), ""[-–]+$"", """")), """"), GOOGLETRANSLATE('AYIRA MINI MART FINAL MENU - Pr'!A1013, ""ar"", ""en"")))"),"KDD Iced Mocha Coffee with Chocolate Milk 250 ml")</f>
        <v>KDD Iced Mocha Coffee with Chocolate Milk 250 ml</v>
      </c>
      <c r="B1013" s="56" t="str">
        <f>IFERROR(__xludf.DUMMYFUNCTION("IF('AYIRA MINI MART FINAL MENU - Pr'!B1013="""", """", IF(LEN(IFERROR(TRIM(REGEXREPLACE(TRIM(REGEXEXTRACT('AYIRA MINI MART FINAL MENU - Pr'!B1013, ""^[^\x{0600}-\x{06FF}]+"")), ""[-–]+$"", """")), """"))&gt;0, IFERROR(TRIM(REGEXREPLACE(TRIM(REGEXEXTRACT('AYI"&amp;"RA MINI MART FINAL MENU - Pr'!B1013, ""^[^\x{0600}-\x{06FF}]+"")), ""[-–]+$"", """")), """"), GOOGLETRANSLATE('AYIRA MINI MART FINAL MENU - Pr'!B1013, ""ar"", ""en"")))"),"Carbonated Soft Drinks")</f>
        <v>Carbonated Soft Drinks</v>
      </c>
      <c r="C1013" s="56" t="str">
        <f>IF('AYIRA MINI MART FINAL MENU - Pr'!C1013="", "", 'AYIRA MINI MART FINAL MENU - Pr'!C1013)</f>
        <v/>
      </c>
      <c r="D1013" s="56" t="str">
        <f>IFERROR(__xludf.DUMMYFUNCTION("IF('AYIRA MINI MART FINAL MENU - Pr'!D1013="""", """", GOOGLETRANSLATE('AYIRA MINI MART FINAL MENU - Pr'!D1013, ""ar"", ""en""))"),"Indulge your senses with KDD, the premium chocolate that combines rich flavor with a perfect texture. Made from the finest selected cocoa beans, it delivers an exceptional dessert experience every time. Whether you're looking for a special gift or want to"&amp;" treat yourself, this chocolate is the perfect choice. Savor every piece and immerse yourself in a world of smoothness and sweetness. Get yours from Aira Mini Mart and experience moments of pure delight.")</f>
        <v>Indulge your senses with KDD, the premium chocolate that combines rich flavor with a perfect texture. Made from the finest selected cocoa beans, it delivers an exceptional dessert experience every time. Whether you're looking for a special gift or want to treat yourself, this chocolate is the perfect choice. Savor every piece and immerse yourself in a world of smoothness and sweetness. Get yours from Aira Mini Mart and experience moments of pure delight.</v>
      </c>
      <c r="E1013" s="56" t="str">
        <f>IF('AYIRA MINI MART FINAL MENU - Pr'!K1013="", "", 'AYIRA MINI MART FINAL MENU - Pr'!K1013)</f>
        <v/>
      </c>
      <c r="F1013" s="56"/>
      <c r="G1013" s="56"/>
      <c r="H1013" s="56"/>
      <c r="I1013" s="56"/>
      <c r="J1013" s="56"/>
      <c r="L1013" s="56" t="str">
        <f>IF('AYIRA MINI MART FINAL MENU - Pr'!L1013="", "", 'AYIRA MINI MART FINAL MENU - Pr'!L1013)</f>
        <v/>
      </c>
      <c r="M1013" s="56" t="str">
        <f>IF('AYIRA MINI MART FINAL MENU - Pr'!M1013="", "", 'AYIRA MINI MART FINAL MENU - Pr'!M1013)</f>
        <v/>
      </c>
      <c r="N1013" s="56" t="str">
        <f>IF('AYIRA MINI MART FINAL MENU - Pr'!N1013="", "", 'AYIRA MINI MART FINAL MENU - Pr'!N1013)</f>
        <v/>
      </c>
      <c r="O1013" s="57"/>
      <c r="P1013" s="57"/>
      <c r="Q1013" s="57"/>
      <c r="R1013" s="57"/>
      <c r="S1013" s="57"/>
      <c r="T1013" s="57"/>
      <c r="U1013" s="57"/>
      <c r="V1013" s="57"/>
      <c r="W1013" s="57"/>
      <c r="X1013" s="57"/>
      <c r="Y1013" s="57"/>
      <c r="Z1013" s="57"/>
    </row>
    <row r="1014">
      <c r="A1014" s="57"/>
      <c r="B1014" s="57"/>
      <c r="C1014" s="57"/>
      <c r="D1014" s="57"/>
      <c r="E1014" s="57"/>
      <c r="F1014" s="57"/>
      <c r="G1014" s="57"/>
      <c r="H1014" s="57"/>
      <c r="I1014" s="57"/>
      <c r="J1014" s="57"/>
      <c r="L1014" s="57"/>
      <c r="M1014" s="57"/>
      <c r="N1014" s="57"/>
      <c r="O1014" s="57"/>
      <c r="P1014" s="57"/>
      <c r="Q1014" s="57"/>
      <c r="R1014" s="57"/>
      <c r="S1014" s="57"/>
      <c r="T1014" s="57"/>
      <c r="U1014" s="57"/>
      <c r="V1014" s="57"/>
      <c r="W1014" s="57"/>
      <c r="X1014" s="57"/>
      <c r="Y1014" s="57"/>
      <c r="Z1014" s="57"/>
    </row>
    <row r="1015">
      <c r="A1015" s="57"/>
      <c r="B1015" s="57"/>
      <c r="C1015" s="57"/>
      <c r="D1015" s="57"/>
      <c r="E1015" s="57"/>
      <c r="F1015" s="57"/>
      <c r="G1015" s="57"/>
      <c r="H1015" s="57"/>
      <c r="I1015" s="57"/>
      <c r="J1015" s="57"/>
      <c r="L1015" s="57"/>
      <c r="M1015" s="57"/>
      <c r="N1015" s="57"/>
      <c r="O1015" s="57"/>
      <c r="P1015" s="57"/>
      <c r="Q1015" s="57"/>
      <c r="R1015" s="57"/>
      <c r="S1015" s="57"/>
      <c r="T1015" s="57"/>
      <c r="U1015" s="57"/>
      <c r="V1015" s="57"/>
      <c r="W1015" s="57"/>
      <c r="X1015" s="57"/>
      <c r="Y1015" s="57"/>
      <c r="Z1015" s="57"/>
    </row>
    <row r="1016">
      <c r="A1016" s="57"/>
      <c r="B1016" s="57"/>
      <c r="C1016" s="57"/>
      <c r="D1016" s="57"/>
      <c r="E1016" s="57"/>
      <c r="F1016" s="57"/>
      <c r="G1016" s="57"/>
      <c r="H1016" s="57"/>
      <c r="I1016" s="57"/>
      <c r="J1016" s="57"/>
      <c r="L1016" s="57"/>
      <c r="M1016" s="57"/>
      <c r="N1016" s="57"/>
      <c r="O1016" s="57"/>
      <c r="P1016" s="57"/>
      <c r="Q1016" s="57"/>
      <c r="R1016" s="57"/>
      <c r="S1016" s="57"/>
      <c r="T1016" s="57"/>
      <c r="U1016" s="57"/>
      <c r="V1016" s="57"/>
      <c r="W1016" s="57"/>
      <c r="X1016" s="57"/>
      <c r="Y1016" s="57"/>
      <c r="Z1016" s="57"/>
    </row>
    <row r="1017">
      <c r="A1017" s="57"/>
      <c r="B1017" s="57"/>
      <c r="C1017" s="57"/>
      <c r="D1017" s="57"/>
      <c r="E1017" s="57"/>
      <c r="F1017" s="57"/>
      <c r="G1017" s="57"/>
      <c r="H1017" s="57"/>
      <c r="I1017" s="57"/>
      <c r="J1017" s="57"/>
      <c r="L1017" s="57"/>
      <c r="M1017" s="57"/>
      <c r="N1017" s="57"/>
      <c r="O1017" s="57"/>
      <c r="P1017" s="57"/>
      <c r="Q1017" s="57"/>
      <c r="R1017" s="57"/>
      <c r="S1017" s="57"/>
      <c r="T1017" s="57"/>
      <c r="U1017" s="57"/>
      <c r="V1017" s="57"/>
      <c r="W1017" s="57"/>
      <c r="X1017" s="57"/>
      <c r="Y1017" s="57"/>
      <c r="Z1017" s="57"/>
    </row>
    <row r="1018">
      <c r="A1018" s="57"/>
      <c r="B1018" s="57"/>
      <c r="C1018" s="57"/>
      <c r="D1018" s="57"/>
      <c r="E1018" s="57"/>
      <c r="F1018" s="57"/>
      <c r="G1018" s="57"/>
      <c r="H1018" s="57"/>
      <c r="I1018" s="57"/>
      <c r="J1018" s="57"/>
      <c r="L1018" s="57"/>
      <c r="M1018" s="57"/>
      <c r="N1018" s="57"/>
      <c r="O1018" s="57"/>
      <c r="P1018" s="57"/>
      <c r="Q1018" s="57"/>
      <c r="R1018" s="57"/>
      <c r="S1018" s="57"/>
      <c r="T1018" s="57"/>
      <c r="U1018" s="57"/>
      <c r="V1018" s="57"/>
      <c r="W1018" s="57"/>
      <c r="X1018" s="57"/>
      <c r="Y1018" s="57"/>
      <c r="Z1018" s="57"/>
    </row>
    <row r="1019">
      <c r="A1019" s="57"/>
      <c r="B1019" s="57"/>
      <c r="C1019" s="57"/>
      <c r="D1019" s="57"/>
      <c r="E1019" s="57"/>
      <c r="F1019" s="57"/>
      <c r="G1019" s="57"/>
      <c r="H1019" s="57"/>
      <c r="I1019" s="57"/>
      <c r="J1019" s="57"/>
      <c r="L1019" s="57"/>
      <c r="M1019" s="57"/>
      <c r="N1019" s="57"/>
      <c r="O1019" s="57"/>
      <c r="P1019" s="57"/>
      <c r="Q1019" s="57"/>
      <c r="R1019" s="57"/>
      <c r="S1019" s="57"/>
      <c r="T1019" s="57"/>
      <c r="U1019" s="57"/>
      <c r="V1019" s="57"/>
      <c r="W1019" s="57"/>
      <c r="X1019" s="57"/>
      <c r="Y1019" s="57"/>
      <c r="Z1019" s="57"/>
    </row>
    <row r="1020">
      <c r="A1020" s="57"/>
      <c r="B1020" s="57"/>
      <c r="C1020" s="57"/>
      <c r="D1020" s="57"/>
      <c r="E1020" s="57"/>
      <c r="F1020" s="57"/>
      <c r="G1020" s="57"/>
      <c r="H1020" s="57"/>
      <c r="I1020" s="57"/>
      <c r="J1020" s="57"/>
      <c r="L1020" s="57"/>
      <c r="M1020" s="57"/>
      <c r="N1020" s="57"/>
      <c r="O1020" s="57"/>
      <c r="P1020" s="57"/>
      <c r="Q1020" s="57"/>
      <c r="R1020" s="57"/>
      <c r="S1020" s="57"/>
      <c r="T1020" s="57"/>
      <c r="U1020" s="57"/>
      <c r="V1020" s="57"/>
      <c r="W1020" s="57"/>
      <c r="X1020" s="57"/>
      <c r="Y1020" s="57"/>
      <c r="Z1020" s="57"/>
    </row>
    <row r="1021">
      <c r="A1021" s="57"/>
      <c r="B1021" s="57"/>
      <c r="C1021" s="57"/>
      <c r="D1021" s="57"/>
      <c r="E1021" s="57"/>
      <c r="F1021" s="57"/>
      <c r="G1021" s="57"/>
      <c r="H1021" s="57"/>
      <c r="I1021" s="57"/>
      <c r="J1021" s="57"/>
      <c r="L1021" s="57"/>
      <c r="M1021" s="57"/>
      <c r="N1021" s="57"/>
      <c r="O1021" s="57"/>
      <c r="P1021" s="57"/>
      <c r="Q1021" s="57"/>
      <c r="R1021" s="57"/>
      <c r="S1021" s="57"/>
      <c r="T1021" s="57"/>
      <c r="U1021" s="57"/>
      <c r="V1021" s="57"/>
      <c r="W1021" s="57"/>
      <c r="X1021" s="57"/>
      <c r="Y1021" s="57"/>
      <c r="Z1021" s="57"/>
    </row>
    <row r="1022">
      <c r="A1022" s="57"/>
      <c r="B1022" s="57"/>
      <c r="C1022" s="57"/>
      <c r="D1022" s="57"/>
      <c r="E1022" s="57"/>
      <c r="F1022" s="57"/>
      <c r="G1022" s="57"/>
      <c r="H1022" s="57"/>
      <c r="I1022" s="57"/>
      <c r="J1022" s="57"/>
      <c r="L1022" s="57"/>
      <c r="M1022" s="57"/>
      <c r="N1022" s="57"/>
      <c r="O1022" s="57"/>
      <c r="P1022" s="57"/>
      <c r="Q1022" s="57"/>
      <c r="R1022" s="57"/>
      <c r="S1022" s="57"/>
      <c r="T1022" s="57"/>
      <c r="U1022" s="57"/>
      <c r="V1022" s="57"/>
      <c r="W1022" s="57"/>
      <c r="X1022" s="57"/>
      <c r="Y1022" s="57"/>
      <c r="Z1022" s="57"/>
    </row>
    <row r="1023">
      <c r="A1023" s="57"/>
      <c r="B1023" s="57"/>
      <c r="C1023" s="57"/>
      <c r="D1023" s="57"/>
      <c r="E1023" s="57"/>
      <c r="F1023" s="57"/>
      <c r="G1023" s="57"/>
      <c r="H1023" s="57"/>
      <c r="I1023" s="57"/>
      <c r="J1023" s="57"/>
      <c r="L1023" s="57"/>
      <c r="M1023" s="57"/>
      <c r="N1023" s="57"/>
      <c r="O1023" s="57"/>
      <c r="P1023" s="57"/>
      <c r="Q1023" s="57"/>
      <c r="R1023" s="57"/>
      <c r="S1023" s="57"/>
      <c r="T1023" s="57"/>
      <c r="U1023" s="57"/>
      <c r="V1023" s="57"/>
      <c r="W1023" s="57"/>
      <c r="X1023" s="57"/>
      <c r="Y1023" s="57"/>
      <c r="Z1023" s="57"/>
    </row>
    <row r="1024">
      <c r="A1024" s="57"/>
      <c r="B1024" s="57"/>
      <c r="C1024" s="57"/>
      <c r="D1024" s="57"/>
      <c r="E1024" s="57"/>
      <c r="F1024" s="57"/>
      <c r="G1024" s="57"/>
      <c r="H1024" s="57"/>
      <c r="I1024" s="57"/>
      <c r="J1024" s="57"/>
      <c r="L1024" s="57"/>
      <c r="M1024" s="57"/>
      <c r="N1024" s="57"/>
      <c r="O1024" s="57"/>
      <c r="P1024" s="57"/>
      <c r="Q1024" s="57"/>
      <c r="R1024" s="57"/>
      <c r="S1024" s="57"/>
      <c r="T1024" s="57"/>
      <c r="U1024" s="57"/>
      <c r="V1024" s="57"/>
      <c r="W1024" s="57"/>
      <c r="X1024" s="57"/>
      <c r="Y1024" s="57"/>
      <c r="Z1024" s="57"/>
    </row>
    <row r="1025">
      <c r="A1025" s="57"/>
      <c r="B1025" s="57"/>
      <c r="C1025" s="57"/>
      <c r="D1025" s="57"/>
      <c r="E1025" s="57"/>
      <c r="F1025" s="57"/>
      <c r="G1025" s="57"/>
      <c r="H1025" s="57"/>
      <c r="I1025" s="57"/>
      <c r="J1025" s="57"/>
      <c r="L1025" s="57"/>
      <c r="M1025" s="57"/>
      <c r="N1025" s="57"/>
      <c r="O1025" s="57"/>
      <c r="P1025" s="57"/>
      <c r="Q1025" s="57"/>
      <c r="R1025" s="57"/>
      <c r="S1025" s="57"/>
      <c r="T1025" s="57"/>
      <c r="U1025" s="57"/>
      <c r="V1025" s="57"/>
      <c r="W1025" s="57"/>
      <c r="X1025" s="57"/>
      <c r="Y1025" s="57"/>
      <c r="Z1025" s="57"/>
    </row>
    <row r="1026">
      <c r="A1026" s="57"/>
      <c r="B1026" s="57"/>
      <c r="C1026" s="57"/>
      <c r="D1026" s="57"/>
      <c r="E1026" s="57"/>
      <c r="F1026" s="57"/>
      <c r="G1026" s="57"/>
      <c r="H1026" s="57"/>
      <c r="I1026" s="57"/>
      <c r="J1026" s="57"/>
      <c r="L1026" s="57"/>
      <c r="M1026" s="57"/>
      <c r="N1026" s="57"/>
      <c r="O1026" s="57"/>
      <c r="P1026" s="57"/>
      <c r="Q1026" s="57"/>
      <c r="R1026" s="57"/>
      <c r="S1026" s="57"/>
      <c r="T1026" s="57"/>
      <c r="U1026" s="57"/>
      <c r="V1026" s="57"/>
      <c r="W1026" s="57"/>
      <c r="X1026" s="57"/>
      <c r="Y1026" s="57"/>
      <c r="Z1026" s="57"/>
    </row>
    <row r="1027">
      <c r="A1027" s="57"/>
      <c r="B1027" s="57"/>
      <c r="C1027" s="57"/>
      <c r="D1027" s="57"/>
      <c r="E1027" s="57"/>
      <c r="F1027" s="57"/>
      <c r="G1027" s="57"/>
      <c r="H1027" s="57"/>
      <c r="I1027" s="57"/>
      <c r="J1027" s="57"/>
      <c r="L1027" s="57"/>
      <c r="M1027" s="57"/>
      <c r="N1027" s="57"/>
      <c r="O1027" s="57"/>
      <c r="P1027" s="57"/>
      <c r="Q1027" s="57"/>
      <c r="R1027" s="57"/>
      <c r="S1027" s="57"/>
      <c r="T1027" s="57"/>
      <c r="U1027" s="57"/>
      <c r="V1027" s="57"/>
      <c r="W1027" s="57"/>
      <c r="X1027" s="57"/>
      <c r="Y1027" s="57"/>
      <c r="Z1027" s="57"/>
    </row>
    <row r="1028">
      <c r="A1028" s="57"/>
      <c r="B1028" s="57"/>
      <c r="C1028" s="57"/>
      <c r="D1028" s="57"/>
      <c r="E1028" s="57"/>
      <c r="F1028" s="57"/>
      <c r="G1028" s="57"/>
      <c r="H1028" s="57"/>
      <c r="I1028" s="57"/>
      <c r="J1028" s="57"/>
      <c r="L1028" s="57"/>
      <c r="M1028" s="57"/>
      <c r="N1028" s="57"/>
      <c r="O1028" s="57"/>
      <c r="P1028" s="57"/>
      <c r="Q1028" s="57"/>
      <c r="R1028" s="57"/>
      <c r="S1028" s="57"/>
      <c r="T1028" s="57"/>
      <c r="U1028" s="57"/>
      <c r="V1028" s="57"/>
      <c r="W1028" s="57"/>
      <c r="X1028" s="57"/>
      <c r="Y1028" s="57"/>
      <c r="Z1028" s="57"/>
    </row>
    <row r="1029">
      <c r="A1029" s="57"/>
      <c r="B1029" s="57"/>
      <c r="C1029" s="57"/>
      <c r="D1029" s="57"/>
      <c r="E1029" s="57"/>
      <c r="F1029" s="57"/>
      <c r="G1029" s="57"/>
      <c r="H1029" s="57"/>
      <c r="I1029" s="57"/>
      <c r="J1029" s="57"/>
      <c r="L1029" s="57"/>
      <c r="M1029" s="57"/>
      <c r="N1029" s="57"/>
      <c r="O1029" s="57"/>
      <c r="P1029" s="57"/>
      <c r="Q1029" s="57"/>
      <c r="R1029" s="57"/>
      <c r="S1029" s="57"/>
      <c r="T1029" s="57"/>
      <c r="U1029" s="57"/>
      <c r="V1029" s="57"/>
      <c r="W1029" s="57"/>
      <c r="X1029" s="57"/>
      <c r="Y1029" s="57"/>
      <c r="Z1029" s="57"/>
    </row>
    <row r="1030">
      <c r="A1030" s="57"/>
      <c r="B1030" s="57"/>
      <c r="C1030" s="57"/>
      <c r="D1030" s="57"/>
      <c r="E1030" s="57"/>
      <c r="F1030" s="57"/>
      <c r="G1030" s="57"/>
      <c r="H1030" s="57"/>
      <c r="I1030" s="57"/>
      <c r="J1030" s="57"/>
      <c r="L1030" s="57"/>
      <c r="M1030" s="57"/>
      <c r="N1030" s="57"/>
      <c r="O1030" s="57"/>
      <c r="P1030" s="57"/>
      <c r="Q1030" s="57"/>
      <c r="R1030" s="57"/>
      <c r="S1030" s="57"/>
      <c r="T1030" s="57"/>
      <c r="U1030" s="57"/>
      <c r="V1030" s="57"/>
      <c r="W1030" s="57"/>
      <c r="X1030" s="57"/>
      <c r="Y1030" s="57"/>
      <c r="Z1030" s="57"/>
    </row>
    <row r="1031">
      <c r="A1031" s="57"/>
      <c r="B1031" s="57"/>
      <c r="C1031" s="57"/>
      <c r="D1031" s="57"/>
      <c r="E1031" s="57"/>
      <c r="F1031" s="57"/>
      <c r="G1031" s="57"/>
      <c r="H1031" s="57"/>
      <c r="I1031" s="57"/>
      <c r="J1031" s="57"/>
      <c r="L1031" s="57"/>
      <c r="M1031" s="57"/>
      <c r="N1031" s="57"/>
      <c r="O1031" s="57"/>
      <c r="P1031" s="57"/>
      <c r="Q1031" s="57"/>
      <c r="R1031" s="57"/>
      <c r="S1031" s="57"/>
      <c r="T1031" s="57"/>
      <c r="U1031" s="57"/>
      <c r="V1031" s="57"/>
      <c r="W1031" s="57"/>
      <c r="X1031" s="57"/>
      <c r="Y1031" s="57"/>
      <c r="Z1031" s="57"/>
    </row>
    <row r="1032">
      <c r="A1032" s="57"/>
      <c r="B1032" s="57"/>
      <c r="C1032" s="57"/>
      <c r="D1032" s="57"/>
      <c r="E1032" s="57"/>
      <c r="F1032" s="57"/>
      <c r="G1032" s="57"/>
      <c r="H1032" s="57"/>
      <c r="I1032" s="57"/>
      <c r="J1032" s="57"/>
      <c r="L1032" s="57"/>
      <c r="M1032" s="57"/>
      <c r="N1032" s="57"/>
      <c r="O1032" s="57"/>
      <c r="P1032" s="57"/>
      <c r="Q1032" s="57"/>
      <c r="R1032" s="57"/>
      <c r="S1032" s="57"/>
      <c r="T1032" s="57"/>
      <c r="U1032" s="57"/>
      <c r="V1032" s="57"/>
      <c r="W1032" s="57"/>
      <c r="X1032" s="57"/>
      <c r="Y1032" s="57"/>
      <c r="Z1032" s="57"/>
    </row>
    <row r="1033">
      <c r="A1033" s="57"/>
      <c r="B1033" s="57"/>
      <c r="C1033" s="57"/>
      <c r="D1033" s="57"/>
      <c r="E1033" s="57"/>
      <c r="F1033" s="57"/>
      <c r="G1033" s="57"/>
      <c r="H1033" s="57"/>
      <c r="I1033" s="57"/>
      <c r="J1033" s="57"/>
      <c r="L1033" s="57"/>
      <c r="M1033" s="57"/>
      <c r="N1033" s="57"/>
      <c r="O1033" s="57"/>
      <c r="P1033" s="57"/>
      <c r="Q1033" s="57"/>
      <c r="R1033" s="57"/>
      <c r="S1033" s="57"/>
      <c r="T1033" s="57"/>
      <c r="U1033" s="57"/>
      <c r="V1033" s="57"/>
      <c r="W1033" s="57"/>
      <c r="X1033" s="57"/>
      <c r="Y1033" s="57"/>
      <c r="Z1033" s="57"/>
    </row>
    <row r="1034">
      <c r="A1034" s="57"/>
      <c r="B1034" s="57"/>
      <c r="C1034" s="57"/>
      <c r="D1034" s="57"/>
      <c r="E1034" s="57"/>
      <c r="F1034" s="57"/>
      <c r="G1034" s="57"/>
      <c r="H1034" s="57"/>
      <c r="I1034" s="57"/>
      <c r="J1034" s="57"/>
      <c r="L1034" s="57"/>
      <c r="M1034" s="57"/>
      <c r="N1034" s="57"/>
      <c r="O1034" s="57"/>
      <c r="P1034" s="57"/>
      <c r="Q1034" s="57"/>
      <c r="R1034" s="57"/>
      <c r="S1034" s="57"/>
      <c r="T1034" s="57"/>
      <c r="U1034" s="57"/>
      <c r="V1034" s="57"/>
      <c r="W1034" s="57"/>
      <c r="X1034" s="57"/>
      <c r="Y1034" s="57"/>
      <c r="Z1034" s="57"/>
    </row>
    <row r="1035">
      <c r="A1035" s="57"/>
      <c r="B1035" s="57"/>
      <c r="C1035" s="57"/>
      <c r="D1035" s="57"/>
      <c r="E1035" s="57"/>
      <c r="F1035" s="57"/>
      <c r="G1035" s="57"/>
      <c r="H1035" s="57"/>
      <c r="I1035" s="57"/>
      <c r="J1035" s="57"/>
      <c r="L1035" s="57"/>
      <c r="M1035" s="57"/>
      <c r="N1035" s="57"/>
      <c r="O1035" s="57"/>
      <c r="P1035" s="57"/>
      <c r="Q1035" s="57"/>
      <c r="R1035" s="57"/>
      <c r="S1035" s="57"/>
      <c r="T1035" s="57"/>
      <c r="U1035" s="57"/>
      <c r="V1035" s="57"/>
      <c r="W1035" s="57"/>
      <c r="X1035" s="57"/>
      <c r="Y1035" s="57"/>
      <c r="Z1035" s="57"/>
    </row>
    <row r="1036">
      <c r="A1036" s="57"/>
      <c r="B1036" s="57"/>
      <c r="C1036" s="57"/>
      <c r="D1036" s="57"/>
      <c r="E1036" s="57"/>
      <c r="F1036" s="57"/>
      <c r="G1036" s="57"/>
      <c r="H1036" s="57"/>
      <c r="I1036" s="57"/>
      <c r="J1036" s="57"/>
      <c r="L1036" s="57"/>
      <c r="M1036" s="57"/>
      <c r="N1036" s="57"/>
      <c r="O1036" s="57"/>
      <c r="P1036" s="57"/>
      <c r="Q1036" s="57"/>
      <c r="R1036" s="57"/>
      <c r="S1036" s="57"/>
      <c r="T1036" s="57"/>
      <c r="U1036" s="57"/>
      <c r="V1036" s="57"/>
      <c r="W1036" s="57"/>
      <c r="X1036" s="57"/>
      <c r="Y1036" s="57"/>
      <c r="Z1036" s="57"/>
    </row>
    <row r="1037">
      <c r="A1037" s="57"/>
      <c r="B1037" s="57"/>
      <c r="C1037" s="57"/>
      <c r="D1037" s="57"/>
      <c r="E1037" s="57"/>
      <c r="F1037" s="57"/>
      <c r="G1037" s="57"/>
      <c r="H1037" s="57"/>
      <c r="I1037" s="57"/>
      <c r="J1037" s="57"/>
      <c r="L1037" s="57"/>
      <c r="M1037" s="57"/>
      <c r="N1037" s="57"/>
      <c r="O1037" s="57"/>
      <c r="P1037" s="57"/>
      <c r="Q1037" s="57"/>
      <c r="R1037" s="57"/>
      <c r="S1037" s="57"/>
      <c r="T1037" s="57"/>
      <c r="U1037" s="57"/>
      <c r="V1037" s="57"/>
      <c r="W1037" s="57"/>
      <c r="X1037" s="57"/>
      <c r="Y1037" s="57"/>
      <c r="Z1037" s="57"/>
    </row>
    <row r="1038">
      <c r="A1038" s="57"/>
      <c r="B1038" s="57"/>
      <c r="C1038" s="57"/>
      <c r="D1038" s="57"/>
      <c r="E1038" s="57"/>
      <c r="F1038" s="57"/>
      <c r="G1038" s="57"/>
      <c r="H1038" s="57"/>
      <c r="I1038" s="57"/>
      <c r="J1038" s="57"/>
      <c r="L1038" s="57"/>
      <c r="M1038" s="57"/>
      <c r="N1038" s="57"/>
      <c r="O1038" s="57"/>
      <c r="P1038" s="57"/>
      <c r="Q1038" s="57"/>
      <c r="R1038" s="57"/>
      <c r="S1038" s="57"/>
      <c r="T1038" s="57"/>
      <c r="U1038" s="57"/>
      <c r="V1038" s="57"/>
      <c r="W1038" s="57"/>
      <c r="X1038" s="57"/>
      <c r="Y1038" s="57"/>
      <c r="Z1038" s="57"/>
    </row>
    <row r="1039">
      <c r="A1039" s="57"/>
      <c r="B1039" s="57"/>
      <c r="C1039" s="57"/>
      <c r="D1039" s="57"/>
      <c r="E1039" s="57"/>
      <c r="F1039" s="57"/>
      <c r="G1039" s="57"/>
      <c r="H1039" s="57"/>
      <c r="I1039" s="57"/>
      <c r="J1039" s="57"/>
      <c r="L1039" s="57"/>
      <c r="M1039" s="57"/>
      <c r="N1039" s="57"/>
      <c r="O1039" s="57"/>
      <c r="P1039" s="57"/>
      <c r="Q1039" s="57"/>
      <c r="R1039" s="57"/>
      <c r="S1039" s="57"/>
      <c r="T1039" s="57"/>
      <c r="U1039" s="57"/>
      <c r="V1039" s="57"/>
      <c r="W1039" s="57"/>
      <c r="X1039" s="57"/>
      <c r="Y1039" s="57"/>
      <c r="Z1039" s="57"/>
    </row>
    <row r="1040">
      <c r="A1040" s="57"/>
      <c r="B1040" s="57"/>
      <c r="C1040" s="57"/>
      <c r="D1040" s="57"/>
      <c r="E1040" s="57"/>
      <c r="F1040" s="57"/>
      <c r="G1040" s="57"/>
      <c r="H1040" s="57"/>
      <c r="I1040" s="57"/>
      <c r="J1040" s="57"/>
      <c r="L1040" s="57"/>
      <c r="M1040" s="57"/>
      <c r="N1040" s="57"/>
      <c r="O1040" s="57"/>
      <c r="P1040" s="57"/>
      <c r="Q1040" s="57"/>
      <c r="R1040" s="57"/>
      <c r="S1040" s="57"/>
      <c r="T1040" s="57"/>
      <c r="U1040" s="57"/>
      <c r="V1040" s="57"/>
      <c r="W1040" s="57"/>
      <c r="X1040" s="57"/>
      <c r="Y1040" s="57"/>
      <c r="Z1040" s="57"/>
    </row>
    <row r="1041">
      <c r="A1041" s="57"/>
      <c r="B1041" s="57"/>
      <c r="C1041" s="57"/>
      <c r="D1041" s="57"/>
      <c r="E1041" s="57"/>
      <c r="F1041" s="57"/>
      <c r="G1041" s="57"/>
      <c r="H1041" s="57"/>
      <c r="I1041" s="57"/>
      <c r="J1041" s="57"/>
      <c r="L1041" s="57"/>
      <c r="M1041" s="57"/>
      <c r="N1041" s="57"/>
      <c r="O1041" s="57"/>
      <c r="P1041" s="57"/>
      <c r="Q1041" s="57"/>
      <c r="R1041" s="57"/>
      <c r="S1041" s="57"/>
      <c r="T1041" s="57"/>
      <c r="U1041" s="57"/>
      <c r="V1041" s="57"/>
      <c r="W1041" s="57"/>
      <c r="X1041" s="57"/>
      <c r="Y1041" s="57"/>
      <c r="Z1041" s="57"/>
    </row>
    <row r="1042">
      <c r="A1042" s="57"/>
      <c r="B1042" s="57"/>
      <c r="C1042" s="57"/>
      <c r="D1042" s="57"/>
      <c r="E1042" s="57"/>
      <c r="F1042" s="57"/>
      <c r="G1042" s="57"/>
      <c r="H1042" s="57"/>
      <c r="I1042" s="57"/>
      <c r="J1042" s="57"/>
      <c r="L1042" s="57"/>
      <c r="M1042" s="57"/>
      <c r="N1042" s="57"/>
      <c r="O1042" s="57"/>
      <c r="P1042" s="57"/>
      <c r="Q1042" s="57"/>
      <c r="R1042" s="57"/>
      <c r="S1042" s="57"/>
      <c r="T1042" s="57"/>
      <c r="U1042" s="57"/>
      <c r="V1042" s="57"/>
      <c r="W1042" s="57"/>
      <c r="X1042" s="57"/>
      <c r="Y1042" s="57"/>
      <c r="Z1042" s="57"/>
    </row>
    <row r="1043">
      <c r="A1043" s="57"/>
      <c r="B1043" s="57"/>
      <c r="C1043" s="57"/>
      <c r="D1043" s="57"/>
      <c r="E1043" s="57"/>
      <c r="F1043" s="57"/>
      <c r="G1043" s="57"/>
      <c r="H1043" s="57"/>
      <c r="I1043" s="57"/>
      <c r="J1043" s="57"/>
      <c r="L1043" s="57"/>
      <c r="M1043" s="57"/>
      <c r="N1043" s="57"/>
      <c r="O1043" s="57"/>
      <c r="P1043" s="57"/>
      <c r="Q1043" s="57"/>
      <c r="R1043" s="57"/>
      <c r="S1043" s="57"/>
      <c r="T1043" s="57"/>
      <c r="U1043" s="57"/>
      <c r="V1043" s="57"/>
      <c r="W1043" s="57"/>
      <c r="X1043" s="57"/>
      <c r="Y1043" s="57"/>
      <c r="Z1043" s="57"/>
    </row>
    <row r="1044">
      <c r="A1044" s="57"/>
      <c r="B1044" s="57"/>
      <c r="C1044" s="57"/>
      <c r="D1044" s="57"/>
      <c r="E1044" s="57"/>
      <c r="F1044" s="57"/>
      <c r="G1044" s="57"/>
      <c r="H1044" s="57"/>
      <c r="I1044" s="57"/>
      <c r="J1044" s="57"/>
      <c r="L1044" s="57"/>
      <c r="M1044" s="57"/>
      <c r="N1044" s="57"/>
      <c r="O1044" s="57"/>
      <c r="P1044" s="57"/>
      <c r="Q1044" s="57"/>
      <c r="R1044" s="57"/>
      <c r="S1044" s="57"/>
      <c r="T1044" s="57"/>
      <c r="U1044" s="57"/>
      <c r="V1044" s="57"/>
      <c r="W1044" s="57"/>
      <c r="X1044" s="57"/>
      <c r="Y1044" s="57"/>
      <c r="Z1044" s="57"/>
    </row>
    <row r="1045">
      <c r="A1045" s="57"/>
      <c r="B1045" s="57"/>
      <c r="C1045" s="57"/>
      <c r="D1045" s="57"/>
      <c r="E1045" s="57"/>
      <c r="F1045" s="57"/>
      <c r="G1045" s="57"/>
      <c r="H1045" s="57"/>
      <c r="I1045" s="57"/>
      <c r="J1045" s="57"/>
      <c r="L1045" s="57"/>
      <c r="M1045" s="57"/>
      <c r="N1045" s="57"/>
      <c r="O1045" s="57"/>
      <c r="P1045" s="57"/>
      <c r="Q1045" s="57"/>
      <c r="R1045" s="57"/>
      <c r="S1045" s="57"/>
      <c r="T1045" s="57"/>
      <c r="U1045" s="57"/>
      <c r="V1045" s="57"/>
      <c r="W1045" s="57"/>
      <c r="X1045" s="57"/>
      <c r="Y1045" s="57"/>
      <c r="Z1045" s="57"/>
    </row>
    <row r="1046">
      <c r="A1046" s="57"/>
      <c r="B1046" s="57"/>
      <c r="C1046" s="57"/>
      <c r="D1046" s="57"/>
      <c r="E1046" s="57"/>
      <c r="F1046" s="57"/>
      <c r="G1046" s="57"/>
      <c r="H1046" s="57"/>
      <c r="I1046" s="57"/>
      <c r="J1046" s="57"/>
      <c r="L1046" s="57"/>
      <c r="M1046" s="57"/>
      <c r="N1046" s="57"/>
      <c r="O1046" s="57"/>
      <c r="P1046" s="57"/>
      <c r="Q1046" s="57"/>
      <c r="R1046" s="57"/>
      <c r="S1046" s="57"/>
      <c r="T1046" s="57"/>
      <c r="U1046" s="57"/>
      <c r="V1046" s="57"/>
      <c r="W1046" s="57"/>
      <c r="X1046" s="57"/>
      <c r="Y1046" s="57"/>
      <c r="Z1046" s="57"/>
    </row>
    <row r="1047">
      <c r="A1047" s="57"/>
      <c r="B1047" s="57"/>
      <c r="C1047" s="57"/>
      <c r="D1047" s="57"/>
      <c r="E1047" s="57"/>
      <c r="F1047" s="57"/>
      <c r="G1047" s="57"/>
      <c r="H1047" s="57"/>
      <c r="I1047" s="57"/>
      <c r="J1047" s="57"/>
      <c r="L1047" s="57"/>
      <c r="M1047" s="57"/>
      <c r="N1047" s="57"/>
      <c r="O1047" s="57"/>
      <c r="P1047" s="57"/>
      <c r="Q1047" s="57"/>
      <c r="R1047" s="57"/>
      <c r="S1047" s="57"/>
      <c r="T1047" s="57"/>
      <c r="U1047" s="57"/>
      <c r="V1047" s="57"/>
      <c r="W1047" s="57"/>
      <c r="X1047" s="57"/>
      <c r="Y1047" s="57"/>
      <c r="Z1047" s="57"/>
    </row>
    <row r="1048">
      <c r="A1048" s="57"/>
      <c r="B1048" s="57"/>
      <c r="C1048" s="57"/>
      <c r="D1048" s="57"/>
      <c r="E1048" s="57"/>
      <c r="F1048" s="57"/>
      <c r="G1048" s="57"/>
      <c r="H1048" s="57"/>
      <c r="I1048" s="57"/>
      <c r="J1048" s="57"/>
      <c r="L1048" s="57"/>
      <c r="M1048" s="57"/>
      <c r="N1048" s="57"/>
      <c r="O1048" s="57"/>
      <c r="P1048" s="57"/>
      <c r="Q1048" s="57"/>
      <c r="R1048" s="57"/>
      <c r="S1048" s="57"/>
      <c r="T1048" s="57"/>
      <c r="U1048" s="57"/>
      <c r="V1048" s="57"/>
      <c r="W1048" s="57"/>
      <c r="X1048" s="57"/>
      <c r="Y1048" s="57"/>
      <c r="Z1048" s="57"/>
    </row>
    <row r="1049">
      <c r="A1049" s="57"/>
      <c r="B1049" s="57"/>
      <c r="C1049" s="57"/>
      <c r="D1049" s="57"/>
      <c r="E1049" s="57"/>
      <c r="F1049" s="57"/>
      <c r="G1049" s="57"/>
      <c r="H1049" s="57"/>
      <c r="I1049" s="57"/>
      <c r="J1049" s="57"/>
      <c r="L1049" s="57"/>
      <c r="M1049" s="57"/>
      <c r="N1049" s="57"/>
      <c r="O1049" s="57"/>
      <c r="P1049" s="57"/>
      <c r="Q1049" s="57"/>
      <c r="R1049" s="57"/>
      <c r="S1049" s="57"/>
      <c r="T1049" s="57"/>
      <c r="U1049" s="57"/>
      <c r="V1049" s="57"/>
      <c r="W1049" s="57"/>
      <c r="X1049" s="57"/>
      <c r="Y1049" s="57"/>
      <c r="Z1049" s="57"/>
    </row>
    <row r="1050">
      <c r="A1050" s="57"/>
      <c r="B1050" s="57"/>
      <c r="C1050" s="57"/>
      <c r="D1050" s="57"/>
      <c r="E1050" s="57"/>
      <c r="F1050" s="57"/>
      <c r="G1050" s="57"/>
      <c r="H1050" s="57"/>
      <c r="I1050" s="57"/>
      <c r="J1050" s="57"/>
      <c r="L1050" s="57"/>
      <c r="M1050" s="57"/>
      <c r="N1050" s="57"/>
      <c r="O1050" s="57"/>
      <c r="P1050" s="57"/>
      <c r="Q1050" s="57"/>
      <c r="R1050" s="57"/>
      <c r="S1050" s="57"/>
      <c r="T1050" s="57"/>
      <c r="U1050" s="57"/>
      <c r="V1050" s="57"/>
      <c r="W1050" s="57"/>
      <c r="X1050" s="57"/>
      <c r="Y1050" s="57"/>
      <c r="Z1050" s="57"/>
    </row>
    <row r="1051">
      <c r="A1051" s="57"/>
      <c r="B1051" s="57"/>
      <c r="C1051" s="57"/>
      <c r="D1051" s="57"/>
      <c r="E1051" s="57"/>
      <c r="F1051" s="57"/>
      <c r="G1051" s="57"/>
      <c r="H1051" s="57"/>
      <c r="I1051" s="57"/>
      <c r="J1051" s="57"/>
      <c r="L1051" s="57"/>
      <c r="M1051" s="57"/>
      <c r="N1051" s="57"/>
      <c r="O1051" s="57"/>
      <c r="P1051" s="57"/>
      <c r="Q1051" s="57"/>
      <c r="R1051" s="57"/>
      <c r="S1051" s="57"/>
      <c r="T1051" s="57"/>
      <c r="U1051" s="57"/>
      <c r="V1051" s="57"/>
      <c r="W1051" s="57"/>
      <c r="X1051" s="57"/>
      <c r="Y1051" s="57"/>
      <c r="Z1051" s="57"/>
    </row>
    <row r="1052">
      <c r="A1052" s="57"/>
      <c r="B1052" s="57"/>
      <c r="C1052" s="57"/>
      <c r="D1052" s="57"/>
      <c r="E1052" s="57"/>
      <c r="F1052" s="57"/>
      <c r="G1052" s="57"/>
      <c r="H1052" s="57"/>
      <c r="I1052" s="57"/>
      <c r="J1052" s="57"/>
      <c r="L1052" s="57"/>
      <c r="M1052" s="57"/>
      <c r="N1052" s="57"/>
      <c r="O1052" s="57"/>
      <c r="P1052" s="57"/>
      <c r="Q1052" s="57"/>
      <c r="R1052" s="57"/>
      <c r="S1052" s="57"/>
      <c r="T1052" s="57"/>
      <c r="U1052" s="57"/>
      <c r="V1052" s="57"/>
      <c r="W1052" s="57"/>
      <c r="X1052" s="57"/>
      <c r="Y1052" s="57"/>
      <c r="Z1052" s="57"/>
    </row>
    <row r="1053">
      <c r="A1053" s="57"/>
      <c r="B1053" s="57"/>
      <c r="C1053" s="57"/>
      <c r="D1053" s="57"/>
      <c r="E1053" s="57"/>
      <c r="F1053" s="57"/>
      <c r="G1053" s="57"/>
      <c r="H1053" s="57"/>
      <c r="I1053" s="57"/>
      <c r="J1053" s="57"/>
      <c r="L1053" s="57"/>
      <c r="M1053" s="57"/>
      <c r="N1053" s="57"/>
      <c r="O1053" s="57"/>
      <c r="P1053" s="57"/>
      <c r="Q1053" s="57"/>
      <c r="R1053" s="57"/>
      <c r="S1053" s="57"/>
      <c r="T1053" s="57"/>
      <c r="U1053" s="57"/>
      <c r="V1053" s="57"/>
      <c r="W1053" s="57"/>
      <c r="X1053" s="57"/>
      <c r="Y1053" s="57"/>
      <c r="Z1053" s="57"/>
    </row>
    <row r="1054">
      <c r="A1054" s="57"/>
      <c r="B1054" s="57"/>
      <c r="C1054" s="57"/>
      <c r="D1054" s="57"/>
      <c r="E1054" s="57"/>
      <c r="F1054" s="57"/>
      <c r="G1054" s="57"/>
      <c r="H1054" s="57"/>
      <c r="I1054" s="57"/>
      <c r="J1054" s="57"/>
      <c r="L1054" s="57"/>
      <c r="M1054" s="57"/>
      <c r="N1054" s="57"/>
      <c r="O1054" s="57"/>
      <c r="P1054" s="57"/>
      <c r="Q1054" s="57"/>
      <c r="R1054" s="57"/>
      <c r="S1054" s="57"/>
      <c r="T1054" s="57"/>
      <c r="U1054" s="57"/>
      <c r="V1054" s="57"/>
      <c r="W1054" s="57"/>
      <c r="X1054" s="57"/>
      <c r="Y1054" s="57"/>
      <c r="Z1054" s="57"/>
    </row>
    <row r="1055">
      <c r="A1055" s="57"/>
      <c r="B1055" s="57"/>
      <c r="C1055" s="57"/>
      <c r="D1055" s="57"/>
      <c r="E1055" s="57"/>
      <c r="F1055" s="57"/>
      <c r="G1055" s="57"/>
      <c r="H1055" s="57"/>
      <c r="I1055" s="57"/>
      <c r="J1055" s="57"/>
      <c r="L1055" s="57"/>
      <c r="M1055" s="57"/>
      <c r="N1055" s="57"/>
      <c r="O1055" s="57"/>
      <c r="P1055" s="57"/>
      <c r="Q1055" s="57"/>
      <c r="R1055" s="57"/>
      <c r="S1055" s="57"/>
      <c r="T1055" s="57"/>
      <c r="U1055" s="57"/>
      <c r="V1055" s="57"/>
      <c r="W1055" s="57"/>
      <c r="X1055" s="57"/>
      <c r="Y1055" s="57"/>
      <c r="Z1055" s="57"/>
    </row>
    <row r="1056">
      <c r="A1056" s="57"/>
      <c r="B1056" s="57"/>
      <c r="C1056" s="57"/>
      <c r="D1056" s="57"/>
      <c r="E1056" s="57"/>
      <c r="F1056" s="57"/>
      <c r="G1056" s="57"/>
      <c r="H1056" s="57"/>
      <c r="I1056" s="57"/>
      <c r="J1056" s="57"/>
      <c r="L1056" s="57"/>
      <c r="M1056" s="57"/>
      <c r="N1056" s="57"/>
      <c r="O1056" s="57"/>
      <c r="P1056" s="57"/>
      <c r="Q1056" s="57"/>
      <c r="R1056" s="57"/>
      <c r="S1056" s="57"/>
      <c r="T1056" s="57"/>
      <c r="U1056" s="57"/>
      <c r="V1056" s="57"/>
      <c r="W1056" s="57"/>
      <c r="X1056" s="57"/>
      <c r="Y1056" s="57"/>
      <c r="Z1056" s="57"/>
    </row>
    <row r="1057">
      <c r="A1057" s="57"/>
      <c r="B1057" s="57"/>
      <c r="C1057" s="57"/>
      <c r="D1057" s="57"/>
      <c r="E1057" s="57"/>
      <c r="F1057" s="57"/>
      <c r="G1057" s="57"/>
      <c r="H1057" s="57"/>
      <c r="I1057" s="57"/>
      <c r="J1057" s="57"/>
      <c r="L1057" s="57"/>
      <c r="M1057" s="57"/>
      <c r="N1057" s="57"/>
      <c r="O1057" s="57"/>
      <c r="P1057" s="57"/>
      <c r="Q1057" s="57"/>
      <c r="R1057" s="57"/>
      <c r="S1057" s="57"/>
      <c r="T1057" s="57"/>
      <c r="U1057" s="57"/>
      <c r="V1057" s="57"/>
      <c r="W1057" s="57"/>
      <c r="X1057" s="57"/>
      <c r="Y1057" s="57"/>
      <c r="Z1057" s="57"/>
    </row>
    <row r="1058">
      <c r="A1058" s="57"/>
      <c r="B1058" s="57"/>
      <c r="C1058" s="57"/>
      <c r="D1058" s="57"/>
      <c r="E1058" s="57"/>
      <c r="F1058" s="57"/>
      <c r="G1058" s="57"/>
      <c r="H1058" s="57"/>
      <c r="I1058" s="57"/>
      <c r="J1058" s="57"/>
      <c r="L1058" s="57"/>
      <c r="M1058" s="57"/>
      <c r="N1058" s="57"/>
      <c r="O1058" s="57"/>
      <c r="P1058" s="57"/>
      <c r="Q1058" s="57"/>
      <c r="R1058" s="57"/>
      <c r="S1058" s="57"/>
      <c r="T1058" s="57"/>
      <c r="U1058" s="57"/>
      <c r="V1058" s="57"/>
      <c r="W1058" s="57"/>
      <c r="X1058" s="57"/>
      <c r="Y1058" s="57"/>
      <c r="Z1058" s="57"/>
    </row>
    <row r="1059">
      <c r="A1059" s="57"/>
      <c r="B1059" s="57"/>
      <c r="C1059" s="57"/>
      <c r="D1059" s="57"/>
      <c r="E1059" s="57"/>
      <c r="F1059" s="57"/>
      <c r="G1059" s="57"/>
      <c r="H1059" s="57"/>
      <c r="I1059" s="57"/>
      <c r="J1059" s="57"/>
      <c r="L1059" s="57"/>
      <c r="M1059" s="57"/>
      <c r="N1059" s="57"/>
      <c r="O1059" s="57"/>
      <c r="P1059" s="57"/>
      <c r="Q1059" s="57"/>
      <c r="R1059" s="57"/>
      <c r="S1059" s="57"/>
      <c r="T1059" s="57"/>
      <c r="U1059" s="57"/>
      <c r="V1059" s="57"/>
      <c r="W1059" s="57"/>
      <c r="X1059" s="57"/>
      <c r="Y1059" s="57"/>
      <c r="Z1059" s="57"/>
    </row>
    <row r="1060">
      <c r="A1060" s="57"/>
      <c r="B1060" s="57"/>
      <c r="C1060" s="57"/>
      <c r="D1060" s="57"/>
      <c r="E1060" s="57"/>
      <c r="F1060" s="57"/>
      <c r="G1060" s="57"/>
      <c r="H1060" s="57"/>
      <c r="I1060" s="57"/>
      <c r="J1060" s="57"/>
      <c r="L1060" s="57"/>
      <c r="M1060" s="57"/>
      <c r="N1060" s="57"/>
      <c r="O1060" s="57"/>
      <c r="P1060" s="57"/>
      <c r="Q1060" s="57"/>
      <c r="R1060" s="57"/>
      <c r="S1060" s="57"/>
      <c r="T1060" s="57"/>
      <c r="U1060" s="57"/>
      <c r="V1060" s="57"/>
      <c r="W1060" s="57"/>
      <c r="X1060" s="57"/>
      <c r="Y1060" s="57"/>
      <c r="Z1060" s="57"/>
    </row>
    <row r="1061">
      <c r="A1061" s="57"/>
      <c r="B1061" s="57"/>
      <c r="C1061" s="57"/>
      <c r="D1061" s="57"/>
      <c r="E1061" s="57"/>
      <c r="F1061" s="57"/>
      <c r="G1061" s="57"/>
      <c r="H1061" s="57"/>
      <c r="I1061" s="57"/>
      <c r="J1061" s="57"/>
      <c r="L1061" s="57"/>
      <c r="M1061" s="57"/>
      <c r="N1061" s="57"/>
      <c r="O1061" s="57"/>
      <c r="P1061" s="57"/>
      <c r="Q1061" s="57"/>
      <c r="R1061" s="57"/>
      <c r="S1061" s="57"/>
      <c r="T1061" s="57"/>
      <c r="U1061" s="57"/>
      <c r="V1061" s="57"/>
      <c r="W1061" s="57"/>
      <c r="X1061" s="57"/>
      <c r="Y1061" s="57"/>
      <c r="Z1061" s="57"/>
    </row>
    <row r="1062">
      <c r="A1062" s="57"/>
      <c r="B1062" s="57"/>
      <c r="C1062" s="57"/>
      <c r="D1062" s="57"/>
      <c r="E1062" s="57"/>
      <c r="F1062" s="57"/>
      <c r="G1062" s="57"/>
      <c r="H1062" s="57"/>
      <c r="I1062" s="57"/>
      <c r="J1062" s="57"/>
      <c r="L1062" s="57"/>
      <c r="M1062" s="57"/>
      <c r="N1062" s="57"/>
      <c r="O1062" s="57"/>
      <c r="P1062" s="57"/>
      <c r="Q1062" s="57"/>
      <c r="R1062" s="57"/>
      <c r="S1062" s="57"/>
      <c r="T1062" s="57"/>
      <c r="U1062" s="57"/>
      <c r="V1062" s="57"/>
      <c r="W1062" s="57"/>
      <c r="X1062" s="57"/>
      <c r="Y1062" s="57"/>
      <c r="Z1062" s="57"/>
    </row>
    <row r="1063">
      <c r="A1063" s="57"/>
      <c r="B1063" s="57"/>
      <c r="C1063" s="57"/>
      <c r="D1063" s="57"/>
      <c r="E1063" s="57"/>
      <c r="F1063" s="57"/>
      <c r="G1063" s="57"/>
      <c r="H1063" s="57"/>
      <c r="I1063" s="57"/>
      <c r="J1063" s="57"/>
      <c r="L1063" s="57"/>
      <c r="M1063" s="57"/>
      <c r="N1063" s="57"/>
      <c r="O1063" s="57"/>
      <c r="P1063" s="57"/>
      <c r="Q1063" s="57"/>
      <c r="R1063" s="57"/>
      <c r="S1063" s="57"/>
      <c r="T1063" s="57"/>
      <c r="U1063" s="57"/>
      <c r="V1063" s="57"/>
      <c r="W1063" s="57"/>
      <c r="X1063" s="57"/>
      <c r="Y1063" s="57"/>
      <c r="Z1063" s="57"/>
    </row>
    <row r="1064">
      <c r="A1064" s="57"/>
      <c r="B1064" s="57"/>
      <c r="C1064" s="57"/>
      <c r="D1064" s="57"/>
      <c r="E1064" s="57"/>
      <c r="F1064" s="57"/>
      <c r="G1064" s="57"/>
      <c r="H1064" s="57"/>
      <c r="I1064" s="57"/>
      <c r="J1064" s="57"/>
      <c r="L1064" s="57"/>
      <c r="M1064" s="57"/>
      <c r="N1064" s="57"/>
      <c r="O1064" s="57"/>
      <c r="P1064" s="57"/>
      <c r="Q1064" s="57"/>
      <c r="R1064" s="57"/>
      <c r="S1064" s="57"/>
      <c r="T1064" s="57"/>
      <c r="U1064" s="57"/>
      <c r="V1064" s="57"/>
      <c r="W1064" s="57"/>
      <c r="X1064" s="57"/>
      <c r="Y1064" s="57"/>
      <c r="Z1064" s="57"/>
    </row>
    <row r="1065">
      <c r="A1065" s="57"/>
      <c r="B1065" s="57"/>
      <c r="C1065" s="57"/>
      <c r="D1065" s="57"/>
      <c r="E1065" s="57"/>
      <c r="F1065" s="57"/>
      <c r="G1065" s="57"/>
      <c r="H1065" s="57"/>
      <c r="I1065" s="57"/>
      <c r="J1065" s="57"/>
      <c r="L1065" s="57"/>
      <c r="M1065" s="57"/>
      <c r="N1065" s="57"/>
      <c r="O1065" s="57"/>
      <c r="P1065" s="57"/>
      <c r="Q1065" s="57"/>
      <c r="R1065" s="57"/>
      <c r="S1065" s="57"/>
      <c r="T1065" s="57"/>
      <c r="U1065" s="57"/>
      <c r="V1065" s="57"/>
      <c r="W1065" s="57"/>
      <c r="X1065" s="57"/>
      <c r="Y1065" s="57"/>
      <c r="Z1065" s="57"/>
    </row>
    <row r="1066">
      <c r="A1066" s="57"/>
      <c r="B1066" s="57"/>
      <c r="C1066" s="57"/>
      <c r="D1066" s="57"/>
      <c r="E1066" s="57"/>
      <c r="F1066" s="57"/>
      <c r="G1066" s="57"/>
      <c r="H1066" s="57"/>
      <c r="I1066" s="57"/>
      <c r="J1066" s="57"/>
      <c r="L1066" s="57"/>
      <c r="M1066" s="57"/>
      <c r="N1066" s="57"/>
      <c r="O1066" s="57"/>
      <c r="P1066" s="57"/>
      <c r="Q1066" s="57"/>
      <c r="R1066" s="57"/>
      <c r="S1066" s="57"/>
      <c r="T1066" s="57"/>
      <c r="U1066" s="57"/>
      <c r="V1066" s="57"/>
      <c r="W1066" s="57"/>
      <c r="X1066" s="57"/>
      <c r="Y1066" s="57"/>
      <c r="Z1066" s="57"/>
    </row>
    <row r="1067">
      <c r="A1067" s="57"/>
      <c r="B1067" s="57"/>
      <c r="C1067" s="57"/>
      <c r="D1067" s="57"/>
      <c r="E1067" s="57"/>
      <c r="F1067" s="57"/>
      <c r="G1067" s="57"/>
      <c r="H1067" s="57"/>
      <c r="I1067" s="57"/>
      <c r="J1067" s="57"/>
      <c r="L1067" s="57"/>
      <c r="M1067" s="57"/>
      <c r="N1067" s="57"/>
      <c r="O1067" s="57"/>
      <c r="P1067" s="57"/>
      <c r="Q1067" s="57"/>
      <c r="R1067" s="57"/>
      <c r="S1067" s="57"/>
      <c r="T1067" s="57"/>
      <c r="U1067" s="57"/>
      <c r="V1067" s="57"/>
      <c r="W1067" s="57"/>
      <c r="X1067" s="57"/>
      <c r="Y1067" s="57"/>
      <c r="Z1067" s="57"/>
    </row>
    <row r="1068">
      <c r="A1068" s="57"/>
      <c r="B1068" s="57"/>
      <c r="C1068" s="57"/>
      <c r="D1068" s="57"/>
      <c r="E1068" s="57"/>
      <c r="F1068" s="57"/>
      <c r="G1068" s="57"/>
      <c r="H1068" s="57"/>
      <c r="I1068" s="57"/>
      <c r="J1068" s="57"/>
      <c r="L1068" s="57"/>
      <c r="M1068" s="57"/>
      <c r="N1068" s="57"/>
      <c r="O1068" s="57"/>
      <c r="P1068" s="57"/>
      <c r="Q1068" s="57"/>
      <c r="R1068" s="57"/>
      <c r="S1068" s="57"/>
      <c r="T1068" s="57"/>
      <c r="U1068" s="57"/>
      <c r="V1068" s="57"/>
      <c r="W1068" s="57"/>
      <c r="X1068" s="57"/>
      <c r="Y1068" s="57"/>
      <c r="Z1068" s="57"/>
    </row>
    <row r="1069">
      <c r="A1069" s="57"/>
      <c r="B1069" s="57"/>
      <c r="C1069" s="57"/>
      <c r="D1069" s="57"/>
      <c r="E1069" s="57"/>
      <c r="F1069" s="57"/>
      <c r="G1069" s="57"/>
      <c r="H1069" s="57"/>
      <c r="I1069" s="57"/>
      <c r="J1069" s="57"/>
      <c r="L1069" s="57"/>
      <c r="M1069" s="57"/>
      <c r="N1069" s="57"/>
      <c r="O1069" s="57"/>
      <c r="P1069" s="57"/>
      <c r="Q1069" s="57"/>
      <c r="R1069" s="57"/>
      <c r="S1069" s="57"/>
      <c r="T1069" s="57"/>
      <c r="U1069" s="57"/>
      <c r="V1069" s="57"/>
      <c r="W1069" s="57"/>
      <c r="X1069" s="57"/>
      <c r="Y1069" s="57"/>
      <c r="Z1069" s="57"/>
    </row>
    <row r="1070">
      <c r="A1070" s="57"/>
      <c r="B1070" s="57"/>
      <c r="C1070" s="57"/>
      <c r="D1070" s="57"/>
      <c r="E1070" s="57"/>
      <c r="F1070" s="57"/>
      <c r="G1070" s="57"/>
      <c r="H1070" s="57"/>
      <c r="I1070" s="57"/>
      <c r="J1070" s="57"/>
      <c r="L1070" s="57"/>
      <c r="M1070" s="57"/>
      <c r="N1070" s="57"/>
      <c r="O1070" s="57"/>
      <c r="P1070" s="57"/>
      <c r="Q1070" s="57"/>
      <c r="R1070" s="57"/>
      <c r="S1070" s="57"/>
      <c r="T1070" s="57"/>
      <c r="U1070" s="57"/>
      <c r="V1070" s="57"/>
      <c r="W1070" s="57"/>
      <c r="X1070" s="57"/>
      <c r="Y1070" s="57"/>
      <c r="Z1070" s="57"/>
    </row>
    <row r="1071">
      <c r="A1071" s="57"/>
      <c r="B1071" s="57"/>
      <c r="C1071" s="57"/>
      <c r="D1071" s="57"/>
      <c r="E1071" s="57"/>
      <c r="F1071" s="57"/>
      <c r="G1071" s="57"/>
      <c r="H1071" s="57"/>
      <c r="I1071" s="57"/>
      <c r="J1071" s="57"/>
      <c r="L1071" s="57"/>
      <c r="M1071" s="57"/>
      <c r="N1071" s="57"/>
      <c r="O1071" s="57"/>
      <c r="P1071" s="57"/>
      <c r="Q1071" s="57"/>
      <c r="R1071" s="57"/>
      <c r="S1071" s="57"/>
      <c r="T1071" s="57"/>
      <c r="U1071" s="57"/>
      <c r="V1071" s="57"/>
      <c r="W1071" s="57"/>
      <c r="X1071" s="57"/>
      <c r="Y1071" s="57"/>
      <c r="Z1071" s="57"/>
    </row>
    <row r="1072">
      <c r="A1072" s="57"/>
      <c r="B1072" s="57"/>
      <c r="C1072" s="57"/>
      <c r="D1072" s="57"/>
      <c r="E1072" s="57"/>
      <c r="F1072" s="57"/>
      <c r="G1072" s="57"/>
      <c r="H1072" s="57"/>
      <c r="I1072" s="57"/>
      <c r="J1072" s="57"/>
      <c r="L1072" s="57"/>
      <c r="M1072" s="57"/>
      <c r="N1072" s="57"/>
      <c r="O1072" s="57"/>
      <c r="P1072" s="57"/>
      <c r="Q1072" s="57"/>
      <c r="R1072" s="57"/>
      <c r="S1072" s="57"/>
      <c r="T1072" s="57"/>
      <c r="U1072" s="57"/>
      <c r="V1072" s="57"/>
      <c r="W1072" s="57"/>
      <c r="X1072" s="57"/>
      <c r="Y1072" s="57"/>
      <c r="Z1072" s="57"/>
    </row>
    <row r="1073">
      <c r="A1073" s="57"/>
      <c r="B1073" s="57"/>
      <c r="C1073" s="57"/>
      <c r="D1073" s="57"/>
      <c r="E1073" s="57"/>
      <c r="F1073" s="57"/>
      <c r="G1073" s="57"/>
      <c r="H1073" s="57"/>
      <c r="I1073" s="57"/>
      <c r="J1073" s="57"/>
      <c r="L1073" s="57"/>
      <c r="M1073" s="57"/>
      <c r="N1073" s="57"/>
      <c r="O1073" s="57"/>
      <c r="P1073" s="57"/>
      <c r="Q1073" s="57"/>
      <c r="R1073" s="57"/>
      <c r="S1073" s="57"/>
      <c r="T1073" s="57"/>
      <c r="U1073" s="57"/>
      <c r="V1073" s="57"/>
      <c r="W1073" s="57"/>
      <c r="X1073" s="57"/>
      <c r="Y1073" s="57"/>
      <c r="Z1073" s="57"/>
    </row>
    <row r="1074">
      <c r="A1074" s="57"/>
      <c r="B1074" s="57"/>
      <c r="C1074" s="57"/>
      <c r="D1074" s="57"/>
      <c r="E1074" s="57"/>
      <c r="F1074" s="57"/>
      <c r="G1074" s="57"/>
      <c r="H1074" s="57"/>
      <c r="I1074" s="57"/>
      <c r="J1074" s="57"/>
      <c r="L1074" s="57"/>
      <c r="M1074" s="57"/>
      <c r="N1074" s="57"/>
      <c r="O1074" s="57"/>
      <c r="P1074" s="57"/>
      <c r="Q1074" s="57"/>
      <c r="R1074" s="57"/>
      <c r="S1074" s="57"/>
      <c r="T1074" s="57"/>
      <c r="U1074" s="57"/>
      <c r="V1074" s="57"/>
      <c r="W1074" s="57"/>
      <c r="X1074" s="57"/>
      <c r="Y1074" s="57"/>
      <c r="Z1074" s="57"/>
    </row>
    <row r="1075">
      <c r="A1075" s="57"/>
      <c r="B1075" s="57"/>
      <c r="C1075" s="57"/>
      <c r="D1075" s="57"/>
      <c r="E1075" s="57"/>
      <c r="F1075" s="57"/>
      <c r="G1075" s="57"/>
      <c r="H1075" s="57"/>
      <c r="I1075" s="57"/>
      <c r="J1075" s="57"/>
      <c r="L1075" s="57"/>
      <c r="M1075" s="57"/>
      <c r="N1075" s="57"/>
      <c r="O1075" s="57"/>
      <c r="P1075" s="57"/>
      <c r="Q1075" s="57"/>
      <c r="R1075" s="57"/>
      <c r="S1075" s="57"/>
      <c r="T1075" s="57"/>
      <c r="U1075" s="57"/>
      <c r="V1075" s="57"/>
      <c r="W1075" s="57"/>
      <c r="X1075" s="57"/>
      <c r="Y1075" s="57"/>
      <c r="Z1075" s="57"/>
    </row>
    <row r="1076">
      <c r="A1076" s="57"/>
      <c r="B1076" s="57"/>
      <c r="C1076" s="57"/>
      <c r="D1076" s="57"/>
      <c r="E1076" s="57"/>
      <c r="F1076" s="57"/>
      <c r="G1076" s="57"/>
      <c r="H1076" s="57"/>
      <c r="I1076" s="57"/>
      <c r="J1076" s="57"/>
      <c r="L1076" s="57"/>
      <c r="M1076" s="57"/>
      <c r="N1076" s="57"/>
      <c r="O1076" s="57"/>
      <c r="P1076" s="57"/>
      <c r="Q1076" s="57"/>
      <c r="R1076" s="57"/>
      <c r="S1076" s="57"/>
      <c r="T1076" s="57"/>
      <c r="U1076" s="57"/>
      <c r="V1076" s="57"/>
      <c r="W1076" s="57"/>
      <c r="X1076" s="57"/>
      <c r="Y1076" s="57"/>
      <c r="Z1076" s="57"/>
    </row>
    <row r="1077">
      <c r="A1077" s="57"/>
      <c r="B1077" s="57"/>
      <c r="C1077" s="57"/>
      <c r="D1077" s="57"/>
      <c r="E1077" s="57"/>
      <c r="F1077" s="57"/>
      <c r="G1077" s="57"/>
      <c r="H1077" s="57"/>
      <c r="I1077" s="57"/>
      <c r="J1077" s="57"/>
      <c r="L1077" s="57"/>
      <c r="M1077" s="57"/>
      <c r="N1077" s="57"/>
      <c r="O1077" s="57"/>
      <c r="P1077" s="57"/>
      <c r="Q1077" s="57"/>
      <c r="R1077" s="57"/>
      <c r="S1077" s="57"/>
      <c r="T1077" s="57"/>
      <c r="U1077" s="57"/>
      <c r="V1077" s="57"/>
      <c r="W1077" s="57"/>
      <c r="X1077" s="57"/>
      <c r="Y1077" s="57"/>
      <c r="Z1077" s="57"/>
    </row>
    <row r="1078">
      <c r="A1078" s="57"/>
      <c r="B1078" s="57"/>
      <c r="C1078" s="57"/>
      <c r="D1078" s="57"/>
      <c r="E1078" s="57"/>
      <c r="F1078" s="57"/>
      <c r="G1078" s="57"/>
      <c r="H1078" s="57"/>
      <c r="I1078" s="57"/>
      <c r="J1078" s="57"/>
      <c r="L1078" s="57"/>
      <c r="M1078" s="57"/>
      <c r="N1078" s="57"/>
      <c r="O1078" s="57"/>
      <c r="P1078" s="57"/>
      <c r="Q1078" s="57"/>
      <c r="R1078" s="57"/>
      <c r="S1078" s="57"/>
      <c r="T1078" s="57"/>
      <c r="U1078" s="57"/>
      <c r="V1078" s="57"/>
      <c r="W1078" s="57"/>
      <c r="X1078" s="57"/>
      <c r="Y1078" s="57"/>
      <c r="Z1078" s="57"/>
    </row>
    <row r="1079">
      <c r="A1079" s="57"/>
      <c r="B1079" s="57"/>
      <c r="C1079" s="57"/>
      <c r="D1079" s="57"/>
      <c r="E1079" s="57"/>
      <c r="F1079" s="57"/>
      <c r="G1079" s="57"/>
      <c r="H1079" s="57"/>
      <c r="I1079" s="57"/>
      <c r="J1079" s="57"/>
      <c r="L1079" s="57"/>
      <c r="M1079" s="57"/>
      <c r="N1079" s="57"/>
      <c r="O1079" s="57"/>
      <c r="P1079" s="57"/>
      <c r="Q1079" s="57"/>
      <c r="R1079" s="57"/>
      <c r="S1079" s="57"/>
      <c r="T1079" s="57"/>
      <c r="U1079" s="57"/>
      <c r="V1079" s="57"/>
      <c r="W1079" s="57"/>
      <c r="X1079" s="57"/>
      <c r="Y1079" s="57"/>
      <c r="Z1079" s="57"/>
    </row>
    <row r="1080">
      <c r="A1080" s="57"/>
      <c r="B1080" s="57"/>
      <c r="C1080" s="57"/>
      <c r="D1080" s="57"/>
      <c r="E1080" s="57"/>
      <c r="F1080" s="57"/>
      <c r="G1080" s="57"/>
      <c r="H1080" s="57"/>
      <c r="I1080" s="57"/>
      <c r="J1080" s="57"/>
      <c r="L1080" s="57"/>
      <c r="M1080" s="57"/>
      <c r="N1080" s="57"/>
      <c r="O1080" s="57"/>
      <c r="P1080" s="57"/>
      <c r="Q1080" s="57"/>
      <c r="R1080" s="57"/>
      <c r="S1080" s="57"/>
      <c r="T1080" s="57"/>
      <c r="U1080" s="57"/>
      <c r="V1080" s="57"/>
      <c r="W1080" s="57"/>
      <c r="X1080" s="57"/>
      <c r="Y1080" s="57"/>
      <c r="Z1080" s="57"/>
    </row>
    <row r="1081">
      <c r="A1081" s="57"/>
      <c r="B1081" s="57"/>
      <c r="C1081" s="57"/>
      <c r="D1081" s="57"/>
      <c r="E1081" s="57"/>
      <c r="F1081" s="57"/>
      <c r="G1081" s="57"/>
      <c r="H1081" s="57"/>
      <c r="I1081" s="57"/>
      <c r="J1081" s="57"/>
      <c r="L1081" s="57"/>
      <c r="M1081" s="57"/>
      <c r="N1081" s="57"/>
      <c r="O1081" s="57"/>
      <c r="P1081" s="57"/>
      <c r="Q1081" s="57"/>
      <c r="R1081" s="57"/>
      <c r="S1081" s="57"/>
      <c r="T1081" s="57"/>
      <c r="U1081" s="57"/>
      <c r="V1081" s="57"/>
      <c r="W1081" s="57"/>
      <c r="X1081" s="57"/>
      <c r="Y1081" s="57"/>
      <c r="Z1081" s="57"/>
    </row>
    <row r="1082">
      <c r="A1082" s="57"/>
      <c r="B1082" s="57"/>
      <c r="C1082" s="57"/>
      <c r="D1082" s="57"/>
      <c r="E1082" s="57"/>
      <c r="F1082" s="57"/>
      <c r="G1082" s="57"/>
      <c r="H1082" s="57"/>
      <c r="I1082" s="57"/>
      <c r="J1082" s="57"/>
      <c r="L1082" s="57"/>
      <c r="M1082" s="57"/>
      <c r="N1082" s="57"/>
      <c r="O1082" s="57"/>
      <c r="P1082" s="57"/>
      <c r="Q1082" s="57"/>
      <c r="R1082" s="57"/>
      <c r="S1082" s="57"/>
      <c r="T1082" s="57"/>
      <c r="U1082" s="57"/>
      <c r="V1082" s="57"/>
      <c r="W1082" s="57"/>
      <c r="X1082" s="57"/>
      <c r="Y1082" s="57"/>
      <c r="Z1082" s="57"/>
    </row>
    <row r="1083">
      <c r="A1083" s="57"/>
      <c r="B1083" s="57"/>
      <c r="C1083" s="57"/>
      <c r="D1083" s="57"/>
      <c r="E1083" s="57"/>
      <c r="F1083" s="57"/>
      <c r="G1083" s="57"/>
      <c r="H1083" s="57"/>
      <c r="I1083" s="57"/>
      <c r="J1083" s="57"/>
      <c r="L1083" s="57"/>
      <c r="M1083" s="57"/>
      <c r="N1083" s="57"/>
      <c r="O1083" s="57"/>
      <c r="P1083" s="57"/>
      <c r="Q1083" s="57"/>
      <c r="R1083" s="57"/>
      <c r="S1083" s="57"/>
      <c r="T1083" s="57"/>
      <c r="U1083" s="57"/>
      <c r="V1083" s="57"/>
      <c r="W1083" s="57"/>
      <c r="X1083" s="57"/>
      <c r="Y1083" s="57"/>
      <c r="Z1083" s="57"/>
    </row>
    <row r="1084">
      <c r="A1084" s="57"/>
      <c r="B1084" s="57"/>
      <c r="C1084" s="57"/>
      <c r="D1084" s="57"/>
      <c r="E1084" s="57"/>
      <c r="F1084" s="57"/>
      <c r="G1084" s="57"/>
      <c r="H1084" s="57"/>
      <c r="I1084" s="57"/>
      <c r="J1084" s="57"/>
      <c r="L1084" s="57"/>
      <c r="M1084" s="57"/>
      <c r="N1084" s="57"/>
      <c r="O1084" s="57"/>
      <c r="P1084" s="57"/>
      <c r="Q1084" s="57"/>
      <c r="R1084" s="57"/>
      <c r="S1084" s="57"/>
      <c r="T1084" s="57"/>
      <c r="U1084" s="57"/>
      <c r="V1084" s="57"/>
      <c r="W1084" s="57"/>
      <c r="X1084" s="57"/>
      <c r="Y1084" s="57"/>
      <c r="Z1084" s="57"/>
    </row>
    <row r="1085">
      <c r="A1085" s="57"/>
      <c r="B1085" s="57"/>
      <c r="C1085" s="57"/>
      <c r="D1085" s="57"/>
      <c r="E1085" s="57"/>
      <c r="F1085" s="57"/>
      <c r="G1085" s="57"/>
      <c r="H1085" s="57"/>
      <c r="I1085" s="57"/>
      <c r="J1085" s="57"/>
      <c r="L1085" s="57"/>
      <c r="M1085" s="57"/>
      <c r="N1085" s="57"/>
      <c r="O1085" s="57"/>
      <c r="P1085" s="57"/>
      <c r="Q1085" s="57"/>
      <c r="R1085" s="57"/>
      <c r="S1085" s="57"/>
      <c r="T1085" s="57"/>
      <c r="U1085" s="57"/>
      <c r="V1085" s="57"/>
      <c r="W1085" s="57"/>
      <c r="X1085" s="57"/>
      <c r="Y1085" s="57"/>
      <c r="Z1085" s="57"/>
    </row>
    <row r="1086">
      <c r="A1086" s="57"/>
      <c r="B1086" s="57"/>
      <c r="C1086" s="57"/>
      <c r="D1086" s="57"/>
      <c r="E1086" s="57"/>
      <c r="F1086" s="57"/>
      <c r="G1086" s="57"/>
      <c r="H1086" s="57"/>
      <c r="I1086" s="57"/>
      <c r="J1086" s="57"/>
      <c r="L1086" s="57"/>
      <c r="M1086" s="57"/>
      <c r="N1086" s="57"/>
      <c r="O1086" s="57"/>
      <c r="P1086" s="57"/>
      <c r="Q1086" s="57"/>
      <c r="R1086" s="57"/>
      <c r="S1086" s="57"/>
      <c r="T1086" s="57"/>
      <c r="U1086" s="57"/>
      <c r="V1086" s="57"/>
      <c r="W1086" s="57"/>
      <c r="X1086" s="57"/>
      <c r="Y1086" s="57"/>
      <c r="Z1086" s="57"/>
    </row>
    <row r="1087">
      <c r="A1087" s="57"/>
      <c r="B1087" s="57"/>
      <c r="C1087" s="57"/>
      <c r="D1087" s="57"/>
      <c r="E1087" s="57"/>
      <c r="F1087" s="57"/>
      <c r="G1087" s="57"/>
      <c r="H1087" s="57"/>
      <c r="I1087" s="57"/>
      <c r="J1087" s="57"/>
      <c r="L1087" s="57"/>
      <c r="M1087" s="57"/>
      <c r="N1087" s="57"/>
      <c r="O1087" s="57"/>
      <c r="P1087" s="57"/>
      <c r="Q1087" s="57"/>
      <c r="R1087" s="57"/>
      <c r="S1087" s="57"/>
      <c r="T1087" s="57"/>
      <c r="U1087" s="57"/>
      <c r="V1087" s="57"/>
      <c r="W1087" s="57"/>
      <c r="X1087" s="57"/>
      <c r="Y1087" s="57"/>
      <c r="Z1087" s="57"/>
    </row>
    <row r="1088">
      <c r="A1088" s="57"/>
      <c r="B1088" s="57"/>
      <c r="C1088" s="57"/>
      <c r="D1088" s="57"/>
      <c r="E1088" s="57"/>
      <c r="F1088" s="57"/>
      <c r="G1088" s="57"/>
      <c r="H1088" s="57"/>
      <c r="I1088" s="57"/>
      <c r="J1088" s="57"/>
      <c r="L1088" s="57"/>
      <c r="M1088" s="57"/>
      <c r="N1088" s="57"/>
      <c r="O1088" s="57"/>
      <c r="P1088" s="57"/>
      <c r="Q1088" s="57"/>
      <c r="R1088" s="57"/>
      <c r="S1088" s="57"/>
      <c r="T1088" s="57"/>
      <c r="U1088" s="57"/>
      <c r="V1088" s="57"/>
      <c r="W1088" s="57"/>
      <c r="X1088" s="57"/>
      <c r="Y1088" s="57"/>
      <c r="Z1088" s="57"/>
    </row>
    <row r="1089">
      <c r="A1089" s="57"/>
      <c r="B1089" s="57"/>
      <c r="C1089" s="57"/>
      <c r="D1089" s="57"/>
      <c r="E1089" s="57"/>
      <c r="F1089" s="57"/>
      <c r="G1089" s="57"/>
      <c r="H1089" s="57"/>
      <c r="I1089" s="57"/>
      <c r="J1089" s="57"/>
      <c r="L1089" s="57"/>
      <c r="M1089" s="57"/>
      <c r="N1089" s="57"/>
      <c r="O1089" s="57"/>
      <c r="P1089" s="57"/>
      <c r="Q1089" s="57"/>
      <c r="R1089" s="57"/>
      <c r="S1089" s="57"/>
      <c r="T1089" s="57"/>
      <c r="U1089" s="57"/>
      <c r="V1089" s="57"/>
      <c r="W1089" s="57"/>
      <c r="X1089" s="57"/>
      <c r="Y1089" s="57"/>
      <c r="Z1089" s="57"/>
    </row>
    <row r="1090">
      <c r="A1090" s="57"/>
      <c r="B1090" s="57"/>
      <c r="C1090" s="57"/>
      <c r="D1090" s="57"/>
      <c r="E1090" s="57"/>
      <c r="F1090" s="57"/>
      <c r="G1090" s="57"/>
      <c r="H1090" s="57"/>
      <c r="I1090" s="57"/>
      <c r="J1090" s="57"/>
      <c r="L1090" s="57"/>
      <c r="M1090" s="57"/>
      <c r="N1090" s="57"/>
      <c r="O1090" s="57"/>
      <c r="P1090" s="57"/>
      <c r="Q1090" s="57"/>
      <c r="R1090" s="57"/>
      <c r="S1090" s="57"/>
      <c r="T1090" s="57"/>
      <c r="U1090" s="57"/>
      <c r="V1090" s="57"/>
      <c r="W1090" s="57"/>
      <c r="X1090" s="57"/>
      <c r="Y1090" s="57"/>
      <c r="Z1090" s="57"/>
    </row>
    <row r="1091">
      <c r="A1091" s="57"/>
      <c r="B1091" s="57"/>
      <c r="C1091" s="57"/>
      <c r="D1091" s="57"/>
      <c r="E1091" s="57"/>
      <c r="F1091" s="57"/>
      <c r="G1091" s="57"/>
      <c r="H1091" s="57"/>
      <c r="I1091" s="57"/>
      <c r="J1091" s="57"/>
      <c r="L1091" s="57"/>
      <c r="M1091" s="57"/>
      <c r="N1091" s="57"/>
      <c r="O1091" s="57"/>
      <c r="P1091" s="57"/>
      <c r="Q1091" s="57"/>
      <c r="R1091" s="57"/>
      <c r="S1091" s="57"/>
      <c r="T1091" s="57"/>
      <c r="U1091" s="57"/>
      <c r="V1091" s="57"/>
      <c r="W1091" s="57"/>
      <c r="X1091" s="57"/>
      <c r="Y1091" s="57"/>
      <c r="Z1091" s="57"/>
    </row>
    <row r="1092">
      <c r="A1092" s="57"/>
      <c r="B1092" s="57"/>
      <c r="C1092" s="57"/>
      <c r="D1092" s="57"/>
      <c r="E1092" s="57"/>
      <c r="F1092" s="57"/>
      <c r="G1092" s="57"/>
      <c r="H1092" s="57"/>
      <c r="I1092" s="57"/>
      <c r="J1092" s="57"/>
      <c r="L1092" s="57"/>
      <c r="M1092" s="57"/>
      <c r="N1092" s="57"/>
      <c r="O1092" s="57"/>
      <c r="P1092" s="57"/>
      <c r="Q1092" s="57"/>
      <c r="R1092" s="57"/>
      <c r="S1092" s="57"/>
      <c r="T1092" s="57"/>
      <c r="U1092" s="57"/>
      <c r="V1092" s="57"/>
      <c r="W1092" s="57"/>
      <c r="X1092" s="57"/>
      <c r="Y1092" s="57"/>
      <c r="Z1092" s="57"/>
    </row>
    <row r="1093">
      <c r="A1093" s="57"/>
      <c r="B1093" s="57"/>
      <c r="C1093" s="57"/>
      <c r="D1093" s="57"/>
      <c r="E1093" s="57"/>
      <c r="F1093" s="57"/>
      <c r="G1093" s="57"/>
      <c r="H1093" s="57"/>
      <c r="I1093" s="57"/>
      <c r="J1093" s="57"/>
      <c r="L1093" s="57"/>
      <c r="M1093" s="57"/>
      <c r="N1093" s="57"/>
      <c r="O1093" s="57"/>
      <c r="P1093" s="57"/>
      <c r="Q1093" s="57"/>
      <c r="R1093" s="57"/>
      <c r="S1093" s="57"/>
      <c r="T1093" s="57"/>
      <c r="U1093" s="57"/>
      <c r="V1093" s="57"/>
      <c r="W1093" s="57"/>
      <c r="X1093" s="57"/>
      <c r="Y1093" s="57"/>
      <c r="Z1093" s="57"/>
    </row>
    <row r="1094">
      <c r="A1094" s="57"/>
      <c r="B1094" s="57"/>
      <c r="C1094" s="57"/>
      <c r="D1094" s="57"/>
      <c r="E1094" s="57"/>
      <c r="F1094" s="57"/>
      <c r="G1094" s="57"/>
      <c r="H1094" s="57"/>
      <c r="I1094" s="57"/>
      <c r="J1094" s="57"/>
      <c r="L1094" s="57"/>
      <c r="M1094" s="57"/>
      <c r="N1094" s="57"/>
      <c r="O1094" s="57"/>
      <c r="P1094" s="57"/>
      <c r="Q1094" s="57"/>
      <c r="R1094" s="57"/>
      <c r="S1094" s="57"/>
      <c r="T1094" s="57"/>
      <c r="U1094" s="57"/>
      <c r="V1094" s="57"/>
      <c r="W1094" s="57"/>
      <c r="X1094" s="57"/>
      <c r="Y1094" s="57"/>
      <c r="Z1094" s="57"/>
    </row>
    <row r="1095">
      <c r="A1095" s="57"/>
      <c r="B1095" s="57"/>
      <c r="C1095" s="57"/>
      <c r="D1095" s="57"/>
      <c r="E1095" s="57"/>
      <c r="F1095" s="57"/>
      <c r="G1095" s="57"/>
      <c r="H1095" s="57"/>
      <c r="I1095" s="57"/>
      <c r="J1095" s="57"/>
      <c r="L1095" s="57"/>
      <c r="M1095" s="57"/>
      <c r="N1095" s="57"/>
      <c r="O1095" s="57"/>
      <c r="P1095" s="57"/>
      <c r="Q1095" s="57"/>
      <c r="R1095" s="57"/>
      <c r="S1095" s="57"/>
      <c r="T1095" s="57"/>
      <c r="U1095" s="57"/>
      <c r="V1095" s="57"/>
      <c r="W1095" s="57"/>
      <c r="X1095" s="57"/>
      <c r="Y1095" s="57"/>
      <c r="Z1095" s="57"/>
    </row>
    <row r="1096">
      <c r="A1096" s="57"/>
      <c r="B1096" s="57"/>
      <c r="C1096" s="57"/>
      <c r="D1096" s="57"/>
      <c r="E1096" s="57"/>
      <c r="F1096" s="57"/>
      <c r="G1096" s="57"/>
      <c r="H1096" s="57"/>
      <c r="I1096" s="57"/>
      <c r="J1096" s="57"/>
      <c r="L1096" s="57"/>
      <c r="M1096" s="57"/>
      <c r="N1096" s="57"/>
      <c r="O1096" s="57"/>
      <c r="P1096" s="57"/>
      <c r="Q1096" s="57"/>
      <c r="R1096" s="57"/>
      <c r="S1096" s="57"/>
      <c r="T1096" s="57"/>
      <c r="U1096" s="57"/>
      <c r="V1096" s="57"/>
      <c r="W1096" s="57"/>
      <c r="X1096" s="57"/>
      <c r="Y1096" s="57"/>
      <c r="Z1096" s="57"/>
    </row>
    <row r="1097">
      <c r="A1097" s="57"/>
      <c r="B1097" s="57"/>
      <c r="C1097" s="57"/>
      <c r="D1097" s="57"/>
      <c r="E1097" s="57"/>
      <c r="F1097" s="57"/>
      <c r="G1097" s="57"/>
      <c r="H1097" s="57"/>
      <c r="I1097" s="57"/>
      <c r="J1097" s="57"/>
      <c r="L1097" s="57"/>
      <c r="M1097" s="57"/>
      <c r="N1097" s="57"/>
      <c r="O1097" s="57"/>
      <c r="P1097" s="57"/>
      <c r="Q1097" s="57"/>
      <c r="R1097" s="57"/>
      <c r="S1097" s="57"/>
      <c r="T1097" s="57"/>
      <c r="U1097" s="57"/>
      <c r="V1097" s="57"/>
      <c r="W1097" s="57"/>
      <c r="X1097" s="57"/>
      <c r="Y1097" s="57"/>
      <c r="Z1097" s="57"/>
    </row>
    <row r="1098">
      <c r="A1098" s="57"/>
      <c r="B1098" s="57"/>
      <c r="C1098" s="57"/>
      <c r="D1098" s="57"/>
      <c r="E1098" s="57"/>
      <c r="F1098" s="57"/>
      <c r="G1098" s="57"/>
      <c r="H1098" s="57"/>
      <c r="I1098" s="57"/>
      <c r="J1098" s="57"/>
      <c r="L1098" s="57"/>
      <c r="M1098" s="57"/>
      <c r="N1098" s="57"/>
      <c r="O1098" s="57"/>
      <c r="P1098" s="57"/>
      <c r="Q1098" s="57"/>
      <c r="R1098" s="57"/>
      <c r="S1098" s="57"/>
      <c r="T1098" s="57"/>
      <c r="U1098" s="57"/>
      <c r="V1098" s="57"/>
      <c r="W1098" s="57"/>
      <c r="X1098" s="57"/>
      <c r="Y1098" s="57"/>
      <c r="Z1098" s="57"/>
    </row>
    <row r="1099">
      <c r="A1099" s="57"/>
      <c r="B1099" s="57"/>
      <c r="C1099" s="57"/>
      <c r="D1099" s="57"/>
      <c r="E1099" s="57"/>
      <c r="F1099" s="57"/>
      <c r="G1099" s="57"/>
      <c r="H1099" s="57"/>
      <c r="I1099" s="57"/>
      <c r="J1099" s="57"/>
      <c r="L1099" s="57"/>
      <c r="M1099" s="57"/>
      <c r="N1099" s="57"/>
      <c r="O1099" s="57"/>
      <c r="P1099" s="57"/>
      <c r="Q1099" s="57"/>
      <c r="R1099" s="57"/>
      <c r="S1099" s="57"/>
      <c r="T1099" s="57"/>
      <c r="U1099" s="57"/>
      <c r="V1099" s="57"/>
      <c r="W1099" s="57"/>
      <c r="X1099" s="57"/>
      <c r="Y1099" s="57"/>
      <c r="Z1099" s="57"/>
    </row>
    <row r="1100">
      <c r="A1100" s="57"/>
      <c r="B1100" s="57"/>
      <c r="C1100" s="57"/>
      <c r="D1100" s="57"/>
      <c r="E1100" s="57"/>
      <c r="F1100" s="57"/>
      <c r="G1100" s="57"/>
      <c r="H1100" s="57"/>
      <c r="I1100" s="57"/>
      <c r="J1100" s="57"/>
      <c r="L1100" s="57"/>
      <c r="M1100" s="57"/>
      <c r="N1100" s="57"/>
      <c r="O1100" s="57"/>
      <c r="P1100" s="57"/>
      <c r="Q1100" s="57"/>
      <c r="R1100" s="57"/>
      <c r="S1100" s="57"/>
      <c r="T1100" s="57"/>
      <c r="U1100" s="57"/>
      <c r="V1100" s="57"/>
      <c r="W1100" s="57"/>
      <c r="X1100" s="57"/>
      <c r="Y1100" s="57"/>
      <c r="Z1100" s="5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17.63"/>
    <col customWidth="1" min="3" max="3" width="5.13"/>
    <col customWidth="1" min="4" max="4" width="37.63"/>
    <col customWidth="1" min="5" max="5" width="4.38"/>
    <col customWidth="1" min="6" max="6" width="5.25"/>
    <col customWidth="1" min="7" max="7" width="3.88"/>
    <col customWidth="1" min="8" max="8" width="5.63"/>
    <col customWidth="1" min="9" max="9" width="5.5"/>
    <col customWidth="1" min="10" max="10" width="11.13"/>
    <col customWidth="1" min="11" max="11" width="9.5"/>
    <col customWidth="1" min="12" max="14" width="7.0"/>
  </cols>
  <sheetData>
    <row r="1">
      <c r="A1" s="53" t="s">
        <v>0</v>
      </c>
      <c r="B1" s="53" t="s">
        <v>1</v>
      </c>
      <c r="C1" s="54" t="s">
        <v>2</v>
      </c>
      <c r="D1" s="54" t="s">
        <v>3</v>
      </c>
      <c r="E1" s="53" t="s">
        <v>4</v>
      </c>
      <c r="F1" s="53" t="s">
        <v>5</v>
      </c>
      <c r="G1" s="53" t="s">
        <v>6</v>
      </c>
      <c r="H1" s="53" t="s">
        <v>7</v>
      </c>
      <c r="I1" s="53" t="s">
        <v>8</v>
      </c>
      <c r="J1" s="53" t="s">
        <v>9</v>
      </c>
      <c r="K1" s="53" t="s">
        <v>10</v>
      </c>
      <c r="L1" s="53" t="s">
        <v>11</v>
      </c>
      <c r="M1" s="53" t="s">
        <v>12</v>
      </c>
      <c r="N1" s="53" t="s">
        <v>12</v>
      </c>
      <c r="O1" s="55"/>
      <c r="P1" s="55"/>
      <c r="Q1" s="55"/>
      <c r="R1" s="55"/>
      <c r="S1" s="55"/>
      <c r="T1" s="55"/>
      <c r="U1" s="55"/>
      <c r="V1" s="55"/>
      <c r="W1" s="55"/>
      <c r="X1" s="55"/>
      <c r="Y1" s="55"/>
      <c r="Z1" s="55" t="str">
        <f>IFERROR(__xludf.DUMMYFUNCTION("IF('AYIRA MINI MART FINAL MENU - Pr'!A2="""", """", IF(LEN(TRIM(REGEXREPLACE(REGEXREPLACE('AYIRA MINI MART FINAL MENU - Pr'!A2, ""^[^\x{0600}-\x{06FF}]+"", """"), ""^[-–\s]+"", """")))&gt;0, TRIM(REGEXREPLACE(REGEXREPLACE('AYIRA MINI MART FINAL MENU - Pr'!A2"&amp;", ""^[^\x{0600}-\x{06FF}]+"", """"), ""^[-–\s]+"", """")), GOOGLETRANSLATE('AYIRA MINI MART FINAL MENU - Pr'!A2, ""en"", ""ar"")))"),"ماونتن ديو 2.25 لتر")</f>
        <v>ماونتن ديو 2.25 لتر</v>
      </c>
    </row>
    <row r="2">
      <c r="A2" s="56" t="str">
        <f>IFERROR(__xludf.DUMMYFUNCTION("IF('AYIRA MINI MART FINAL MENU - Pr'!A2="""", """", IF(LEN(TRIM(REGEXREPLACE(REGEXREPLACE('AYIRA MINI MART FINAL MENU - Pr'!A2, ""^[^\x{0600}-\x{06FF}]+"", """"), ""^[-–\s]+"", """")))&gt;0, TRIM(REGEXREPLACE(REGEXREPLACE('AYIRA MINI MART FINAL MENU - Pr'!A2"&amp;", ""^[^\x{0600}-\x{06FF}]+"", """"), ""^[-–\s]+"", """")), GOOGLETRANSLATE('AYIRA MINI MART FINAL MENU - Pr'!A2, ""en"", ""ar"")))"),"ماونتن ديو 2.25 لتر")</f>
        <v>ماونتن ديو 2.25 لتر</v>
      </c>
      <c r="B2" s="56" t="str">
        <f>IFERROR(__xludf.DUMMYFUNCTION("IF('AYIRA MINI MART FINAL MENU - Pr'!B2="""", """", IF(LEN(TRIM(REGEXREPLACE(REGEXREPLACE('AYIRA MINI MART FINAL MENU - Pr'!B2, ""^[^\x{0600}-\x{06FF}]+"", """"), ""^[-–\s]+"", """")))&gt;0, TRIM(REGEXREPLACE(REGEXREPLACE('AYIRA MINI MART FINAL MENU - Pr'!B2"&amp;", ""^[^\x{0600}-\x{06FF}]+"", """"), ""^[-–\s]+"", """")), GOOGLETRANSLATE('AYIRA MINI MART FINAL MENU - Pr'!B2, ""en"", ""ar"")))"),"المشروبات الغازية")</f>
        <v>المشروبات الغازية</v>
      </c>
      <c r="C2" s="56">
        <f>IF('AYIRA MINI MART FINAL MENU - Pr'!C2="", "", 'AYIRA MINI MART FINAL MENU - Pr'!C2)</f>
        <v>7.5</v>
      </c>
      <c r="D2" s="56" t="str">
        <f>IF('AYIRA MINI MART FINAL MENU - Pr'!D2="", "", 'AYIRA MINI MART FINAL MENU - Pr'!D2)</f>
        <v>استمتع بـ ماونتن ديو،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2" s="56" t="str">
        <f>IF('AYIRA MINI MART FINAL MENU - Pr'!E2="", "", 'AYIRA MINI MART FINAL MENU - Pr'!E2)</f>
        <v/>
      </c>
      <c r="F2" s="56" t="str">
        <f>IF('AYIRA MINI MART FINAL MENU - Pr'!F2="", "", 'AYIRA MINI MART FINAL MENU - Pr'!F2)</f>
        <v/>
      </c>
      <c r="G2" s="56" t="str">
        <f>IF('AYIRA MINI MART FINAL MENU - Pr'!G2="", "", 'AYIRA MINI MART FINAL MENU - Pr'!G2)</f>
        <v/>
      </c>
      <c r="H2" s="56" t="str">
        <f>IF('AYIRA MINI MART FINAL MENU - Pr'!H2="", "", 'AYIRA MINI MART FINAL MENU - Pr'!H2)</f>
        <v/>
      </c>
      <c r="I2" s="56" t="str">
        <f>IF('AYIRA MINI MART FINAL MENU - Pr'!I2="", "", 'AYIRA MINI MART FINAL MENU - Pr'!I2)</f>
        <v/>
      </c>
      <c r="J2" s="56" t="str">
        <f>IFERROR(__xludf.DUMMYFUNCTION("IF('AYIRA MINI MART FINAL MENU - Pr'!J2="""", """", GOOGLETRANSLATE('AYIRA MINI MART FINAL MENU - Pr'!J2, ""en"", ""ar""))"),"يعرض")</f>
        <v>يعرض</v>
      </c>
      <c r="K2" s="56" t="str">
        <f>IF('AYIRA MINI MART FINAL MENU - Pr'!K2="", "", 'AYIRA MINI MART FINAL MENU - Pr'!K2)</f>
        <v/>
      </c>
      <c r="L2" s="56" t="str">
        <f>IF('AYIRA MINI MART FINAL MENU - Pr'!L2="", "", 'AYIRA MINI MART FINAL MENU - Pr'!L2)</f>
        <v/>
      </c>
      <c r="M2" s="56" t="str">
        <f>IF('AYIRA MINI MART FINAL MENU - Pr'!M2="", "", 'AYIRA MINI MART FINAL MENU - Pr'!M2)</f>
        <v/>
      </c>
      <c r="N2" s="56" t="str">
        <f>IF('AYIRA MINI MART FINAL MENU - Pr'!N2="", "", 'AYIRA MINI MART FINAL MENU - Pr'!N2)</f>
        <v/>
      </c>
      <c r="O2" s="57"/>
      <c r="P2" s="57"/>
      <c r="Q2" s="57"/>
      <c r="R2" s="57"/>
      <c r="S2" s="57"/>
      <c r="T2" s="57"/>
      <c r="U2" s="57"/>
      <c r="V2" s="57"/>
      <c r="W2" s="57"/>
      <c r="X2" s="57"/>
      <c r="Y2" s="57"/>
      <c r="Z2" s="57" t="str">
        <f>IFERROR(__xludf.DUMMYFUNCTION("REGEXEXTRACT(""Mountain Dew 2.25L – ماونتن ديو 2.25 لتر"", ""^[^\\x{0600}-\\x{06FF}]+"")"),"#REF!")</f>
        <v>#REF!</v>
      </c>
    </row>
    <row r="3">
      <c r="A3" s="56" t="str">
        <f>IFERROR(__xludf.DUMMYFUNCTION("IF('AYIRA MINI MART FINAL MENU - Pr'!A3="""", """", IF(LEN(TRIM(REGEXREPLACE(REGEXREPLACE('AYIRA MINI MART FINAL MENU - Pr'!A3, ""^[^\x{0600}-\x{06FF}]+"", """"), ""^[-–\s]+"", """")))&gt;0, TRIM(REGEXREPLACE(REGEXREPLACE('AYIRA MINI MART FINAL MENU - Pr'!A3"&amp;", ""^[^\x{0600}-\x{06FF}]+"", """"), ""^[-–\s]+"", """")), GOOGLETRANSLATE('AYIRA MINI MART FINAL MENU - Pr'!A3, ""en"", ""ar"")))"),"بيبسي 1.25 لتر")</f>
        <v>بيبسي 1.25 لتر</v>
      </c>
      <c r="B3" s="56" t="str">
        <f>IFERROR(__xludf.DUMMYFUNCTION("IF('AYIRA MINI MART FINAL MENU - Pr'!B3="""", """", IF(LEN(TRIM(REGEXREPLACE(REGEXREPLACE('AYIRA MINI MART FINAL MENU - Pr'!B3, ""^[^\x{0600}-\x{06FF}]+"", """"), ""^[-–\s]+"", """")))&gt;0, TRIM(REGEXREPLACE(REGEXREPLACE('AYIRA MINI MART FINAL MENU - Pr'!B3"&amp;", ""^[^\x{0600}-\x{06FF}]+"", """"), ""^[-–\s]+"", """")), GOOGLETRANSLATE('AYIRA MINI MART FINAL MENU - Pr'!B3, ""en"", ""ar"")))"),"المشروبات الغازية")</f>
        <v>المشروبات الغازية</v>
      </c>
      <c r="C3" s="56">
        <f>IF('AYIRA MINI MART FINAL MENU - Pr'!C3="", "", 'AYIRA MINI MART FINAL MENU - Pr'!C3)</f>
        <v>4.5</v>
      </c>
      <c r="D3" s="56" t="str">
        <f>IF('AYIRA MINI MART FINAL MENU - Pr'!D3="", "", 'AYIRA MINI MART FINAL MENU - Pr'!D3)</f>
        <v>استمتع بـ بيبسي،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3" s="56" t="str">
        <f>IF('AYIRA MINI MART FINAL MENU - Pr'!E3="", "", 'AYIRA MINI MART FINAL MENU - Pr'!E3)</f>
        <v/>
      </c>
      <c r="F3" s="56" t="str">
        <f>IF('AYIRA MINI MART FINAL MENU - Pr'!F3="", "", 'AYIRA MINI MART FINAL MENU - Pr'!F3)</f>
        <v/>
      </c>
      <c r="G3" s="56" t="str">
        <f>IF('AYIRA MINI MART FINAL MENU - Pr'!G3="", "", 'AYIRA MINI MART FINAL MENU - Pr'!G3)</f>
        <v/>
      </c>
      <c r="H3" s="56" t="str">
        <f>IF('AYIRA MINI MART FINAL MENU - Pr'!H3="", "", 'AYIRA MINI MART FINAL MENU - Pr'!H3)</f>
        <v/>
      </c>
      <c r="I3" s="56" t="str">
        <f>IF('AYIRA MINI MART FINAL MENU - Pr'!I3="", "", 'AYIRA MINI MART FINAL MENU - Pr'!I3)</f>
        <v/>
      </c>
      <c r="J3" s="56" t="str">
        <f>IFERROR(__xludf.DUMMYFUNCTION("IF('AYIRA MINI MART FINAL MENU - Pr'!J3="""", """", GOOGLETRANSLATE('AYIRA MINI MART FINAL MENU - Pr'!J3, ""en"", ""ar""))"),"يعرض")</f>
        <v>يعرض</v>
      </c>
      <c r="K3" s="56" t="str">
        <f>IF('AYIRA MINI MART FINAL MENU - Pr'!K3="", "", 'AYIRA MINI MART FINAL MENU - Pr'!K3)</f>
        <v/>
      </c>
      <c r="L3" s="56" t="str">
        <f>IF('AYIRA MINI MART FINAL MENU - Pr'!L3="", "", 'AYIRA MINI MART FINAL MENU - Pr'!L3)</f>
        <v/>
      </c>
      <c r="M3" s="56" t="str">
        <f>IF('AYIRA MINI MART FINAL MENU - Pr'!M3="", "", 'AYIRA MINI MART FINAL MENU - Pr'!M3)</f>
        <v/>
      </c>
      <c r="N3" s="56" t="str">
        <f>IF('AYIRA MINI MART FINAL MENU - Pr'!N3="", "", 'AYIRA MINI MART FINAL MENU - Pr'!N3)</f>
        <v/>
      </c>
      <c r="O3" s="57"/>
      <c r="P3" s="57"/>
      <c r="Q3" s="57"/>
      <c r="R3" s="57"/>
      <c r="S3" s="57"/>
      <c r="T3" s="57"/>
      <c r="U3" s="57"/>
      <c r="V3" s="57"/>
      <c r="W3" s="57"/>
      <c r="X3" s="57"/>
      <c r="Y3" s="57"/>
      <c r="Z3" s="57" t="str">
        <f>IFERROR(__xludf.DUMMYFUNCTION("REGEXEXTRACT(""A"", ""^[^\x{0600}]+"")"),"A")</f>
        <v>A</v>
      </c>
    </row>
    <row r="4">
      <c r="A4" s="56" t="str">
        <f>IFERROR(__xludf.DUMMYFUNCTION("IF('AYIRA MINI MART FINAL MENU - Pr'!A4="""", """", IF(LEN(TRIM(REGEXREPLACE(REGEXREPLACE('AYIRA MINI MART FINAL MENU - Pr'!A4, ""^[^\x{0600}-\x{06FF}]+"", """"), ""^[-–\s]+"", """")))&gt;0, TRIM(REGEXREPLACE(REGEXREPLACE('AYIRA MINI MART FINAL MENU - Pr'!A4"&amp;", ""^[^\x{0600}-\x{06FF}]+"", """"), ""^[-–\s]+"", """")), GOOGLETRANSLATE('AYIRA MINI MART FINAL MENU - Pr'!A4, ""en"", ""ar"")))"),"ماونتن ديو 1.25 لتر")</f>
        <v>ماونتن ديو 1.25 لتر</v>
      </c>
      <c r="B4" s="56" t="str">
        <f>IFERROR(__xludf.DUMMYFUNCTION("IF('AYIRA MINI MART FINAL MENU - Pr'!B4="""", """", IF(LEN(TRIM(REGEXREPLACE(REGEXREPLACE('AYIRA MINI MART FINAL MENU - Pr'!B4, ""^[^\x{0600}-\x{06FF}]+"", """"), ""^[-–\s]+"", """")))&gt;0, TRIM(REGEXREPLACE(REGEXREPLACE('AYIRA MINI MART FINAL MENU - Pr'!B4"&amp;", ""^[^\x{0600}-\x{06FF}]+"", """"), ""^[-–\s]+"", """")), GOOGLETRANSLATE('AYIRA MINI MART FINAL MENU - Pr'!B4, ""en"", ""ar"")))"),"المشروبات الغازية")</f>
        <v>المشروبات الغازية</v>
      </c>
      <c r="C4" s="56">
        <f>IF('AYIRA MINI MART FINAL MENU - Pr'!C4="", "", 'AYIRA MINI MART FINAL MENU - Pr'!C4)</f>
        <v>4.5</v>
      </c>
      <c r="D4" s="56" t="str">
        <f>IF('AYIRA MINI MART FINAL MENU - Pr'!D4="", "", 'AYIRA MINI MART FINAL MENU - Pr'!D4)</f>
        <v>استمتع بـ ماونتن ديو،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4" s="56" t="str">
        <f>IF('AYIRA MINI MART FINAL MENU - Pr'!E4="", "", 'AYIRA MINI MART FINAL MENU - Pr'!E4)</f>
        <v/>
      </c>
      <c r="F4" s="56" t="str">
        <f>IF('AYIRA MINI MART FINAL MENU - Pr'!F4="", "", 'AYIRA MINI MART FINAL MENU - Pr'!F4)</f>
        <v/>
      </c>
      <c r="G4" s="56" t="str">
        <f>IF('AYIRA MINI MART FINAL MENU - Pr'!G4="", "", 'AYIRA MINI MART FINAL MENU - Pr'!G4)</f>
        <v/>
      </c>
      <c r="H4" s="56" t="str">
        <f>IF('AYIRA MINI MART FINAL MENU - Pr'!H4="", "", 'AYIRA MINI MART FINAL MENU - Pr'!H4)</f>
        <v/>
      </c>
      <c r="I4" s="56" t="str">
        <f>IF('AYIRA MINI MART FINAL MENU - Pr'!I4="", "", 'AYIRA MINI MART FINAL MENU - Pr'!I4)</f>
        <v/>
      </c>
      <c r="J4" s="56" t="str">
        <f>IFERROR(__xludf.DUMMYFUNCTION("IF('AYIRA MINI MART FINAL MENU - Pr'!J4="""", """", GOOGLETRANSLATE('AYIRA MINI MART FINAL MENU - Pr'!J4, ""en"", ""ar""))"),"يعرض")</f>
        <v>يعرض</v>
      </c>
      <c r="K4" s="56" t="str">
        <f>IF('AYIRA MINI MART FINAL MENU - Pr'!K4="", "", 'AYIRA MINI MART FINAL MENU - Pr'!K4)</f>
        <v/>
      </c>
      <c r="L4" s="56" t="str">
        <f>IF('AYIRA MINI MART FINAL MENU - Pr'!L4="", "", 'AYIRA MINI MART FINAL MENU - Pr'!L4)</f>
        <v/>
      </c>
      <c r="M4" s="56" t="str">
        <f>IF('AYIRA MINI MART FINAL MENU - Pr'!M4="", "", 'AYIRA MINI MART FINAL MENU - Pr'!M4)</f>
        <v/>
      </c>
      <c r="N4" s="56" t="str">
        <f>IF('AYIRA MINI MART FINAL MENU - Pr'!N4="", "", 'AYIRA MINI MART FINAL MENU - Pr'!N4)</f>
        <v/>
      </c>
      <c r="O4" s="57"/>
      <c r="P4" s="57"/>
      <c r="Q4" s="57"/>
      <c r="R4" s="57"/>
      <c r="S4" s="57"/>
      <c r="T4" s="57"/>
      <c r="U4" s="57"/>
      <c r="V4" s="57"/>
      <c r="W4" s="57"/>
      <c r="X4" s="57"/>
      <c r="Y4" s="57"/>
      <c r="Z4" s="57"/>
    </row>
    <row r="5">
      <c r="A5" s="56" t="str">
        <f>IFERROR(__xludf.DUMMYFUNCTION("IF('AYIRA MINI MART FINAL MENU - Pr'!A5="""", """", IF(LEN(TRIM(REGEXREPLACE(REGEXREPLACE('AYIRA MINI MART FINAL MENU - Pr'!A5, ""^[^\x{0600}-\x{06FF}]+"", """"), ""^[-–\s]+"", """")))&gt;0, TRIM(REGEXREPLACE(REGEXREPLACE('AYIRA MINI MART FINAL MENU - Pr'!A5"&amp;", ""^[^\x{0600}-\x{06FF}]+"", """"), ""^[-–\s]+"", """")), GOOGLETRANSLATE('AYIRA MINI MART FINAL MENU - Pr'!A5, ""en"", ""ar"")))"),"ماونتن ديو 330 مل")</f>
        <v>ماونتن ديو 330 مل</v>
      </c>
      <c r="B5" s="56" t="str">
        <f>IFERROR(__xludf.DUMMYFUNCTION("IF('AYIRA MINI MART FINAL MENU - Pr'!B5="""", """", IF(LEN(TRIM(REGEXREPLACE(REGEXREPLACE('AYIRA MINI MART FINAL MENU - Pr'!B5, ""^[^\x{0600}-\x{06FF}]+"", """"), ""^[-–\s]+"", """")))&gt;0, TRIM(REGEXREPLACE(REGEXREPLACE('AYIRA MINI MART FINAL MENU - Pr'!B5"&amp;", ""^[^\x{0600}-\x{06FF}]+"", """"), ""^[-–\s]+"", """")), GOOGLETRANSLATE('AYIRA MINI MART FINAL MENU - Pr'!B5, ""en"", ""ar"")))"),"المشروبات الغازية")</f>
        <v>المشروبات الغازية</v>
      </c>
      <c r="C5" s="56">
        <f>IF('AYIRA MINI MART FINAL MENU - Pr'!C5="", "", 'AYIRA MINI MART FINAL MENU - Pr'!C5)</f>
        <v>2.5</v>
      </c>
      <c r="D5" s="56" t="str">
        <f>IF('AYIRA MINI MART FINAL MENU - Pr'!D5="", "", 'AYIRA MINI MART FINAL MENU - Pr'!D5)</f>
        <v>استمتع بـ ماونتن ديو،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5" s="56" t="str">
        <f>IF('AYIRA MINI MART FINAL MENU - Pr'!E5="", "", 'AYIRA MINI MART FINAL MENU - Pr'!E5)</f>
        <v/>
      </c>
      <c r="F5" s="56" t="str">
        <f>IF('AYIRA MINI MART FINAL MENU - Pr'!F5="", "", 'AYIRA MINI MART FINAL MENU - Pr'!F5)</f>
        <v/>
      </c>
      <c r="G5" s="56" t="str">
        <f>IF('AYIRA MINI MART FINAL MENU - Pr'!G5="", "", 'AYIRA MINI MART FINAL MENU - Pr'!G5)</f>
        <v/>
      </c>
      <c r="H5" s="56" t="str">
        <f>IF('AYIRA MINI MART FINAL MENU - Pr'!H5="", "", 'AYIRA MINI MART FINAL MENU - Pr'!H5)</f>
        <v/>
      </c>
      <c r="I5" s="56" t="str">
        <f>IF('AYIRA MINI MART FINAL MENU - Pr'!I5="", "", 'AYIRA MINI MART FINAL MENU - Pr'!I5)</f>
        <v/>
      </c>
      <c r="J5" s="56" t="str">
        <f>IFERROR(__xludf.DUMMYFUNCTION("IF('AYIRA MINI MART FINAL MENU - Pr'!J5="""", """", GOOGLETRANSLATE('AYIRA MINI MART FINAL MENU - Pr'!J5, ""en"", ""ar""))"),"يعرض")</f>
        <v>يعرض</v>
      </c>
      <c r="K5" s="56" t="str">
        <f>IF('AYIRA MINI MART FINAL MENU - Pr'!K5="", "", 'AYIRA MINI MART FINAL MENU - Pr'!K5)</f>
        <v/>
      </c>
      <c r="L5" s="56" t="str">
        <f>IF('AYIRA MINI MART FINAL MENU - Pr'!L5="", "", 'AYIRA MINI MART FINAL MENU - Pr'!L5)</f>
        <v/>
      </c>
      <c r="M5" s="56" t="str">
        <f>IF('AYIRA MINI MART FINAL MENU - Pr'!M5="", "", 'AYIRA MINI MART FINAL MENU - Pr'!M5)</f>
        <v/>
      </c>
      <c r="N5" s="56" t="str">
        <f>IF('AYIRA MINI MART FINAL MENU - Pr'!N5="", "", 'AYIRA MINI MART FINAL MENU - Pr'!N5)</f>
        <v/>
      </c>
      <c r="O5" s="57"/>
      <c r="P5" s="57"/>
      <c r="Q5" s="57"/>
      <c r="R5" s="57"/>
      <c r="S5" s="57"/>
      <c r="T5" s="57"/>
      <c r="U5" s="57"/>
      <c r="V5" s="57"/>
      <c r="W5" s="57"/>
      <c r="X5" s="57"/>
      <c r="Y5" s="57"/>
      <c r="Z5" s="57"/>
    </row>
    <row r="6">
      <c r="A6" s="56" t="str">
        <f>IFERROR(__xludf.DUMMYFUNCTION("IF('AYIRA MINI MART FINAL MENU - Pr'!A6="""", """", IF(LEN(TRIM(REGEXREPLACE(REGEXREPLACE('AYIRA MINI MART FINAL MENU - Pr'!A6, ""^[^\x{0600}-\x{06FF}]+"", """"), ""^[-–\s]+"", """")))&gt;0, TRIM(REGEXREPLACE(REGEXREPLACE('AYIRA MINI MART FINAL MENU - Pr'!A6"&amp;", ""^[^\x{0600}-\x{06FF}]+"", """"), ""^[-–\s]+"", """")), GOOGLETRANSLATE('AYIRA MINI MART FINAL MENU - Pr'!A6, ""en"", ""ar"")))"),"شاني – علبة 330 مل")</f>
        <v>شاني – علبة 330 مل</v>
      </c>
      <c r="B6" s="56" t="str">
        <f>IFERROR(__xludf.DUMMYFUNCTION("IF('AYIRA MINI MART FINAL MENU - Pr'!B6="""", """", IF(LEN(TRIM(REGEXREPLACE(REGEXREPLACE('AYIRA MINI MART FINAL MENU - Pr'!B6, ""^[^\x{0600}-\x{06FF}]+"", """"), ""^[-–\s]+"", """")))&gt;0, TRIM(REGEXREPLACE(REGEXREPLACE('AYIRA MINI MART FINAL MENU - Pr'!B6"&amp;", ""^[^\x{0600}-\x{06FF}]+"", """"), ""^[-–\s]+"", """")), GOOGLETRANSLATE('AYIRA MINI MART FINAL MENU - Pr'!B6, ""en"", ""ar"")))"),"المشروبات الغازية")</f>
        <v>المشروبات الغازية</v>
      </c>
      <c r="C6" s="56">
        <f>IF('AYIRA MINI MART FINAL MENU - Pr'!C6="", "", 'AYIRA MINI MART FINAL MENU - Pr'!C6)</f>
        <v>2.5</v>
      </c>
      <c r="D6" s="56" t="str">
        <f>IF('AYIRA MINI MART FINAL MENU - Pr'!D6="", "", 'AYIRA MINI MART FINAL MENU - Pr'!D6)</f>
        <v>استمتع بـ شاني،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6" s="56" t="str">
        <f>IF('AYIRA MINI MART FINAL MENU - Pr'!E6="", "", 'AYIRA MINI MART FINAL MENU - Pr'!E6)</f>
        <v/>
      </c>
      <c r="F6" s="56" t="str">
        <f>IF('AYIRA MINI MART FINAL MENU - Pr'!F6="", "", 'AYIRA MINI MART FINAL MENU - Pr'!F6)</f>
        <v/>
      </c>
      <c r="G6" s="56" t="str">
        <f>IF('AYIRA MINI MART FINAL MENU - Pr'!G6="", "", 'AYIRA MINI MART FINAL MENU - Pr'!G6)</f>
        <v/>
      </c>
      <c r="H6" s="56" t="str">
        <f>IF('AYIRA MINI MART FINAL MENU - Pr'!H6="", "", 'AYIRA MINI MART FINAL MENU - Pr'!H6)</f>
        <v/>
      </c>
      <c r="I6" s="56" t="str">
        <f>IF('AYIRA MINI MART FINAL MENU - Pr'!I6="", "", 'AYIRA MINI MART FINAL MENU - Pr'!I6)</f>
        <v/>
      </c>
      <c r="J6" s="56" t="str">
        <f>IFERROR(__xludf.DUMMYFUNCTION("IF('AYIRA MINI MART FINAL MENU - Pr'!J6="""", """", GOOGLETRANSLATE('AYIRA MINI MART FINAL MENU - Pr'!J6, ""en"", ""ar""))"),"يعرض")</f>
        <v>يعرض</v>
      </c>
      <c r="K6" s="56" t="str">
        <f>IF('AYIRA MINI MART FINAL MENU - Pr'!K6="", "", 'AYIRA MINI MART FINAL MENU - Pr'!K6)</f>
        <v/>
      </c>
      <c r="L6" s="56" t="str">
        <f>IF('AYIRA MINI MART FINAL MENU - Pr'!L6="", "", 'AYIRA MINI MART FINAL MENU - Pr'!L6)</f>
        <v/>
      </c>
      <c r="M6" s="56" t="str">
        <f>IF('AYIRA MINI MART FINAL MENU - Pr'!M6="", "", 'AYIRA MINI MART FINAL MENU - Pr'!M6)</f>
        <v/>
      </c>
      <c r="N6" s="56" t="str">
        <f>IF('AYIRA MINI MART FINAL MENU - Pr'!N6="", "", 'AYIRA MINI MART FINAL MENU - Pr'!N6)</f>
        <v/>
      </c>
      <c r="O6" s="57"/>
      <c r="P6" s="57"/>
      <c r="Q6" s="57"/>
      <c r="R6" s="57"/>
      <c r="S6" s="57"/>
      <c r="T6" s="57"/>
      <c r="U6" s="57"/>
      <c r="V6" s="57"/>
      <c r="W6" s="57"/>
      <c r="X6" s="57"/>
      <c r="Y6" s="57"/>
      <c r="Z6" s="57"/>
    </row>
    <row r="7">
      <c r="A7" s="56" t="str">
        <f>IFERROR(__xludf.DUMMYFUNCTION("IF('AYIRA MINI MART FINAL MENU - Pr'!A7="""", """", IF(LEN(TRIM(REGEXREPLACE(REGEXREPLACE('AYIRA MINI MART FINAL MENU - Pr'!A7, ""^[^\x{0600}-\x{06FF}]+"", """"), ""^[-–\s]+"", """")))&gt;0, TRIM(REGEXREPLACE(REGEXREPLACE('AYIRA MINI MART FINAL MENU - Pr'!A7"&amp;", ""^[^\x{0600}-\x{06FF}]+"", """"), ""^[-–\s]+"", """")), GOOGLETRANSLATE('AYIRA MINI MART FINAL MENU - Pr'!A7, ""en"", ""ar"")))"),"سفن أب 330 مل")</f>
        <v>سفن أب 330 مل</v>
      </c>
      <c r="B7" s="56" t="str">
        <f>IFERROR(__xludf.DUMMYFUNCTION("IF('AYIRA MINI MART FINAL MENU - Pr'!B7="""", """", IF(LEN(TRIM(REGEXREPLACE(REGEXREPLACE('AYIRA MINI MART FINAL MENU - Pr'!B7, ""^[^\x{0600}-\x{06FF}]+"", """"), ""^[-–\s]+"", """")))&gt;0, TRIM(REGEXREPLACE(REGEXREPLACE('AYIRA MINI MART FINAL MENU - Pr'!B7"&amp;", ""^[^\x{0600}-\x{06FF}]+"", """"), ""^[-–\s]+"", """")), GOOGLETRANSLATE('AYIRA MINI MART FINAL MENU - Pr'!B7, ""en"", ""ar"")))"),"المشروبات الغازية")</f>
        <v>المشروبات الغازية</v>
      </c>
      <c r="C7" s="56">
        <f>IF('AYIRA MINI MART FINAL MENU - Pr'!C7="", "", 'AYIRA MINI MART FINAL MENU - Pr'!C7)</f>
        <v>2.5</v>
      </c>
      <c r="D7" s="56" t="str">
        <f>IF('AYIRA MINI MART FINAL MENU - Pr'!D7="", "", 'AYIRA MINI MART FINAL MENU - Pr'!D7)</f>
        <v>استمتع بـ سفن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7" s="56" t="str">
        <f>IF('AYIRA MINI MART FINAL MENU - Pr'!E7="", "", 'AYIRA MINI MART FINAL MENU - Pr'!E7)</f>
        <v/>
      </c>
      <c r="F7" s="56" t="str">
        <f>IF('AYIRA MINI MART FINAL MENU - Pr'!F7="", "", 'AYIRA MINI MART FINAL MENU - Pr'!F7)</f>
        <v/>
      </c>
      <c r="G7" s="56" t="str">
        <f>IF('AYIRA MINI MART FINAL MENU - Pr'!G7="", "", 'AYIRA MINI MART FINAL MENU - Pr'!G7)</f>
        <v/>
      </c>
      <c r="H7" s="56" t="str">
        <f>IF('AYIRA MINI MART FINAL MENU - Pr'!H7="", "", 'AYIRA MINI MART FINAL MENU - Pr'!H7)</f>
        <v/>
      </c>
      <c r="I7" s="56" t="str">
        <f>IF('AYIRA MINI MART FINAL MENU - Pr'!I7="", "", 'AYIRA MINI MART FINAL MENU - Pr'!I7)</f>
        <v/>
      </c>
      <c r="J7" s="56" t="str">
        <f>IFERROR(__xludf.DUMMYFUNCTION("IF('AYIRA MINI MART FINAL MENU - Pr'!J7="""", """", GOOGLETRANSLATE('AYIRA MINI MART FINAL MENU - Pr'!J7, ""en"", ""ar""))"),"يعرض")</f>
        <v>يعرض</v>
      </c>
      <c r="K7" s="56" t="str">
        <f>IF('AYIRA MINI MART FINAL MENU - Pr'!K7="", "", 'AYIRA MINI MART FINAL MENU - Pr'!K7)</f>
        <v/>
      </c>
      <c r="L7" s="56" t="str">
        <f>IF('AYIRA MINI MART FINAL MENU - Pr'!L7="", "", 'AYIRA MINI MART FINAL MENU - Pr'!L7)</f>
        <v/>
      </c>
      <c r="M7" s="56" t="str">
        <f>IF('AYIRA MINI MART FINAL MENU - Pr'!M7="", "", 'AYIRA MINI MART FINAL MENU - Pr'!M7)</f>
        <v/>
      </c>
      <c r="N7" s="56" t="str">
        <f>IF('AYIRA MINI MART FINAL MENU - Pr'!N7="", "", 'AYIRA MINI MART FINAL MENU - Pr'!N7)</f>
        <v/>
      </c>
      <c r="O7" s="57"/>
      <c r="P7" s="57"/>
      <c r="Q7" s="57"/>
      <c r="R7" s="57"/>
      <c r="S7" s="57"/>
      <c r="T7" s="57"/>
      <c r="U7" s="57"/>
      <c r="V7" s="57"/>
      <c r="W7" s="57"/>
      <c r="X7" s="57"/>
      <c r="Y7" s="57"/>
      <c r="Z7" s="57"/>
    </row>
    <row r="8">
      <c r="A8" s="56" t="str">
        <f>IFERROR(__xludf.DUMMYFUNCTION("IF('AYIRA MINI MART FINAL MENU - Pr'!A8="""", """", IF(LEN(TRIM(REGEXREPLACE(REGEXREPLACE('AYIRA MINI MART FINAL MENU - Pr'!A8, ""^[^\x{0600}-\x{06FF}]+"", """"), ""^[-–\s]+"", """")))&gt;0, TRIM(REGEXREPLACE(REGEXREPLACE('AYIRA MINI MART FINAL MENU - Pr'!A8"&amp;", ""^[^\x{0600}-\x{06FF}]+"", """"), ""^[-–\s]+"", """")), GOOGLETRANSLATE('AYIRA MINI MART FINAL MENU - Pr'!A8, ""en"", ""ar"")))"),"ميرندا برتقال 1.25 لتر")</f>
        <v>ميرندا برتقال 1.25 لتر</v>
      </c>
      <c r="B8" s="56" t="str">
        <f>IFERROR(__xludf.DUMMYFUNCTION("IF('AYIRA MINI MART FINAL MENU - Pr'!B8="""", """", IF(LEN(TRIM(REGEXREPLACE(REGEXREPLACE('AYIRA MINI MART FINAL MENU - Pr'!B8, ""^[^\x{0600}-\x{06FF}]+"", """"), ""^[-–\s]+"", """")))&gt;0, TRIM(REGEXREPLACE(REGEXREPLACE('AYIRA MINI MART FINAL MENU - Pr'!B8"&amp;", ""^[^\x{0600}-\x{06FF}]+"", """"), ""^[-–\s]+"", """")), GOOGLETRANSLATE('AYIRA MINI MART FINAL MENU - Pr'!B8, ""en"", ""ar"")))"),"المشروبات الغازية")</f>
        <v>المشروبات الغازية</v>
      </c>
      <c r="C8" s="56">
        <f>IF('AYIRA MINI MART FINAL MENU - Pr'!C8="", "", 'AYIRA MINI MART FINAL MENU - Pr'!C8)</f>
        <v>4.5</v>
      </c>
      <c r="D8" s="56" t="str">
        <f>IF('AYIRA MINI MART FINAL MENU - Pr'!D8="", "", 'AYIRA MINI MART FINAL MENU - Pr'!D8)</f>
        <v>استمتع بـ ميرندا،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 s="56" t="str">
        <f>IF('AYIRA MINI MART FINAL MENU - Pr'!E8="", "", 'AYIRA MINI MART FINAL MENU - Pr'!E8)</f>
        <v/>
      </c>
      <c r="F8" s="56" t="str">
        <f>IF('AYIRA MINI MART FINAL MENU - Pr'!F8="", "", 'AYIRA MINI MART FINAL MENU - Pr'!F8)</f>
        <v/>
      </c>
      <c r="G8" s="56" t="str">
        <f>IF('AYIRA MINI MART FINAL MENU - Pr'!G8="", "", 'AYIRA MINI MART FINAL MENU - Pr'!G8)</f>
        <v/>
      </c>
      <c r="H8" s="56" t="str">
        <f>IF('AYIRA MINI MART FINAL MENU - Pr'!H8="", "", 'AYIRA MINI MART FINAL MENU - Pr'!H8)</f>
        <v/>
      </c>
      <c r="I8" s="56" t="str">
        <f>IF('AYIRA MINI MART FINAL MENU - Pr'!I8="", "", 'AYIRA MINI MART FINAL MENU - Pr'!I8)</f>
        <v/>
      </c>
      <c r="J8" s="56" t="str">
        <f>IFERROR(__xludf.DUMMYFUNCTION("IF('AYIRA MINI MART FINAL MENU - Pr'!J8="""", """", GOOGLETRANSLATE('AYIRA MINI MART FINAL MENU - Pr'!J8, ""en"", ""ar""))"),"يعرض")</f>
        <v>يعرض</v>
      </c>
      <c r="K8" s="56" t="str">
        <f>IF('AYIRA MINI MART FINAL MENU - Pr'!K8="", "", 'AYIRA MINI MART FINAL MENU - Pr'!K8)</f>
        <v/>
      </c>
      <c r="L8" s="56" t="str">
        <f>IF('AYIRA MINI MART FINAL MENU - Pr'!L8="", "", 'AYIRA MINI MART FINAL MENU - Pr'!L8)</f>
        <v/>
      </c>
      <c r="M8" s="56" t="str">
        <f>IF('AYIRA MINI MART FINAL MENU - Pr'!M8="", "", 'AYIRA MINI MART FINAL MENU - Pr'!M8)</f>
        <v/>
      </c>
      <c r="N8" s="56" t="str">
        <f>IF('AYIRA MINI MART FINAL MENU - Pr'!N8="", "", 'AYIRA MINI MART FINAL MENU - Pr'!N8)</f>
        <v/>
      </c>
      <c r="O8" s="57"/>
      <c r="P8" s="57"/>
      <c r="Q8" s="57"/>
      <c r="R8" s="57"/>
      <c r="S8" s="57"/>
      <c r="T8" s="57"/>
      <c r="U8" s="57"/>
      <c r="V8" s="57"/>
      <c r="W8" s="57"/>
      <c r="X8" s="57"/>
      <c r="Y8" s="57"/>
      <c r="Z8" s="57"/>
    </row>
    <row r="9">
      <c r="A9" s="56" t="str">
        <f>IFERROR(__xludf.DUMMYFUNCTION("IF('AYIRA MINI MART FINAL MENU - Pr'!A9="""", """", IF(LEN(TRIM(REGEXREPLACE(REGEXREPLACE('AYIRA MINI MART FINAL MENU - Pr'!A9, ""^[^\x{0600}-\x{06FF}]+"", """"), ""^[-–\s]+"", """")))&gt;0, TRIM(REGEXREPLACE(REGEXREPLACE('AYIRA MINI MART FINAL MENU - Pr'!A9"&amp;", ""^[^\x{0600}-\x{06FF}]+"", """"), ""^[-–\s]+"", """")), GOOGLETRANSLATE('AYIRA MINI MART FINAL MENU - Pr'!A9, ""en"", ""ar"")))"),"ريد بول خالي من السكر 250 مل")</f>
        <v>ريد بول خالي من السكر 250 مل</v>
      </c>
      <c r="B9" s="56" t="str">
        <f>IFERROR(__xludf.DUMMYFUNCTION("IF('AYIRA MINI MART FINAL MENU - Pr'!B9="""", """", IF(LEN(TRIM(REGEXREPLACE(REGEXREPLACE('AYIRA MINI MART FINAL MENU - Pr'!B9, ""^[^\x{0600}-\x{06FF}]+"", """"), ""^[-–\s]+"", """")))&gt;0, TRIM(REGEXREPLACE(REGEXREPLACE('AYIRA MINI MART FINAL MENU - Pr'!B9"&amp;", ""^[^\x{0600}-\x{06FF}]+"", """"), ""^[-–\s]+"", """")), GOOGLETRANSLATE('AYIRA MINI MART FINAL MENU - Pr'!B9, ""en"", ""ar"")))"),"مشروبات الطاقة والرياضة")</f>
        <v>مشروبات الطاقة والرياضة</v>
      </c>
      <c r="C9" s="56">
        <f>IF('AYIRA MINI MART FINAL MENU - Pr'!C9="", "", 'AYIRA MINI MART FINAL MENU - Pr'!C9)</f>
        <v>10</v>
      </c>
      <c r="D9" s="56" t="str">
        <f>IF('AYIRA MINI MART FINAL MENU - Pr'!D9="", "", 'AYIRA MINI MART FINAL MENU - Pr'!D9)</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9" s="56" t="str">
        <f>IF('AYIRA MINI MART FINAL MENU - Pr'!E9="", "", 'AYIRA MINI MART FINAL MENU - Pr'!E9)</f>
        <v/>
      </c>
      <c r="F9" s="56" t="str">
        <f>IF('AYIRA MINI MART FINAL MENU - Pr'!F9="", "", 'AYIRA MINI MART FINAL MENU - Pr'!F9)</f>
        <v/>
      </c>
      <c r="G9" s="56" t="str">
        <f>IF('AYIRA MINI MART FINAL MENU - Pr'!G9="", "", 'AYIRA MINI MART FINAL MENU - Pr'!G9)</f>
        <v/>
      </c>
      <c r="H9" s="56" t="str">
        <f>IF('AYIRA MINI MART FINAL MENU - Pr'!H9="", "", 'AYIRA MINI MART FINAL MENU - Pr'!H9)</f>
        <v/>
      </c>
      <c r="I9" s="56" t="str">
        <f>IF('AYIRA MINI MART FINAL MENU - Pr'!I9="", "", 'AYIRA MINI MART FINAL MENU - Pr'!I9)</f>
        <v/>
      </c>
      <c r="J9" s="56" t="str">
        <f>IFERROR(__xludf.DUMMYFUNCTION("IF('AYIRA MINI MART FINAL MENU - Pr'!J9="""", """", GOOGLETRANSLATE('AYIRA MINI MART FINAL MENU - Pr'!J9, ""en"", ""ar""))"),"يعرض")</f>
        <v>يعرض</v>
      </c>
      <c r="K9" s="56" t="str">
        <f>IF('AYIRA MINI MART FINAL MENU - Pr'!K9="", "", 'AYIRA MINI MART FINAL MENU - Pr'!K9)</f>
        <v/>
      </c>
      <c r="L9" s="56" t="str">
        <f>IF('AYIRA MINI MART FINAL MENU - Pr'!L9="", "", 'AYIRA MINI MART FINAL MENU - Pr'!L9)</f>
        <v/>
      </c>
      <c r="M9" s="56" t="str">
        <f>IF('AYIRA MINI MART FINAL MENU - Pr'!M9="", "", 'AYIRA MINI MART FINAL MENU - Pr'!M9)</f>
        <v/>
      </c>
      <c r="N9" s="56" t="str">
        <f>IF('AYIRA MINI MART FINAL MENU - Pr'!N9="", "", 'AYIRA MINI MART FINAL MENU - Pr'!N9)</f>
        <v/>
      </c>
      <c r="O9" s="57"/>
      <c r="P9" s="57"/>
      <c r="Q9" s="57"/>
      <c r="R9" s="57"/>
      <c r="S9" s="57"/>
      <c r="T9" s="57"/>
      <c r="U9" s="57"/>
      <c r="V9" s="57"/>
      <c r="W9" s="57"/>
      <c r="X9" s="57"/>
      <c r="Y9" s="57"/>
      <c r="Z9" s="57"/>
    </row>
    <row r="10">
      <c r="A10" s="56" t="str">
        <f>IFERROR(__xludf.DUMMYFUNCTION("IF('AYIRA MINI MART FINAL MENU - Pr'!A10="""", """", IF(LEN(TRIM(REGEXREPLACE(REGEXREPLACE('AYIRA MINI MART FINAL MENU - Pr'!A10, ""^[^\x{0600}-\x{06FF}]+"", """"), ""^[-–\s]+"", """")))&gt;0, TRIM(REGEXREPLACE(REGEXREPLACE('AYIRA MINI MART FINAL MENU - Pr'!"&amp;"A10, ""^[^\x{0600}-\x{06FF}]+"", """"), ""^[-–\s]+"", """")), GOOGLETRANSLATE('AYIRA MINI MART FINAL MENU - Pr'!A10, ""en"", ""ar"")))"),"ريد بُل سي بلو إديشن 250 مل")</f>
        <v>ريد بُل سي بلو إديشن 250 مل</v>
      </c>
      <c r="B10" s="56" t="str">
        <f>IFERROR(__xludf.DUMMYFUNCTION("IF('AYIRA MINI MART FINAL MENU - Pr'!B10="""", """", IF(LEN(TRIM(REGEXREPLACE(REGEXREPLACE('AYIRA MINI MART FINAL MENU - Pr'!B10, ""^[^\x{0600}-\x{06FF}]+"", """"), ""^[-–\s]+"", """")))&gt;0, TRIM(REGEXREPLACE(REGEXREPLACE('AYIRA MINI MART FINAL MENU - Pr'!"&amp;"B10, ""^[^\x{0600}-\x{06FF}]+"", """"), ""^[-–\s]+"", """")), GOOGLETRANSLATE('AYIRA MINI MART FINAL MENU - Pr'!B10, ""en"", ""ar"")))"),"مشروبات الطاقة والرياضة")</f>
        <v>مشروبات الطاقة والرياضة</v>
      </c>
      <c r="C10" s="56">
        <f>IF('AYIRA MINI MART FINAL MENU - Pr'!C10="", "", 'AYIRA MINI MART FINAL MENU - Pr'!C10)</f>
        <v>10</v>
      </c>
      <c r="D10" s="56" t="str">
        <f>IF('AYIRA MINI MART FINAL MENU - Pr'!D10="", "", 'AYIRA MINI MART FINAL MENU - Pr'!D10)</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0" s="56" t="str">
        <f>IF('AYIRA MINI MART FINAL MENU - Pr'!E10="", "", 'AYIRA MINI MART FINAL MENU - Pr'!E10)</f>
        <v/>
      </c>
      <c r="F10" s="56" t="str">
        <f>IF('AYIRA MINI MART FINAL MENU - Pr'!F10="", "", 'AYIRA MINI MART FINAL MENU - Pr'!F10)</f>
        <v/>
      </c>
      <c r="G10" s="56" t="str">
        <f>IF('AYIRA MINI MART FINAL MENU - Pr'!G10="", "", 'AYIRA MINI MART FINAL MENU - Pr'!G10)</f>
        <v/>
      </c>
      <c r="H10" s="56" t="str">
        <f>IF('AYIRA MINI MART FINAL MENU - Pr'!H10="", "", 'AYIRA MINI MART FINAL MENU - Pr'!H10)</f>
        <v/>
      </c>
      <c r="I10" s="56" t="str">
        <f>IF('AYIRA MINI MART FINAL MENU - Pr'!I10="", "", 'AYIRA MINI MART FINAL MENU - Pr'!I10)</f>
        <v/>
      </c>
      <c r="J10" s="56" t="str">
        <f>IFERROR(__xludf.DUMMYFUNCTION("IF('AYIRA MINI MART FINAL MENU - Pr'!J10="""", """", GOOGLETRANSLATE('AYIRA MINI MART FINAL MENU - Pr'!J10, ""en"", ""ar""))"),"يعرض")</f>
        <v>يعرض</v>
      </c>
      <c r="K10" s="56" t="str">
        <f>IF('AYIRA MINI MART FINAL MENU - Pr'!K10="", "", 'AYIRA MINI MART FINAL MENU - Pr'!K10)</f>
        <v/>
      </c>
      <c r="L10" s="56" t="str">
        <f>IF('AYIRA MINI MART FINAL MENU - Pr'!L10="", "", 'AYIRA MINI MART FINAL MENU - Pr'!L10)</f>
        <v/>
      </c>
      <c r="M10" s="56" t="str">
        <f>IF('AYIRA MINI MART FINAL MENU - Pr'!M10="", "", 'AYIRA MINI MART FINAL MENU - Pr'!M10)</f>
        <v/>
      </c>
      <c r="N10" s="56" t="str">
        <f>IF('AYIRA MINI MART FINAL MENU - Pr'!N10="", "", 'AYIRA MINI MART FINAL MENU - Pr'!N10)</f>
        <v/>
      </c>
      <c r="O10" s="57"/>
      <c r="P10" s="57"/>
      <c r="Q10" s="57"/>
      <c r="R10" s="57"/>
      <c r="S10" s="57"/>
      <c r="T10" s="57"/>
      <c r="U10" s="57"/>
      <c r="V10" s="57"/>
      <c r="W10" s="57"/>
      <c r="X10" s="57"/>
      <c r="Y10" s="57"/>
      <c r="Z10" s="57"/>
    </row>
    <row r="11">
      <c r="A11" s="56" t="str">
        <f>IFERROR(__xludf.DUMMYFUNCTION("IF('AYIRA MINI MART FINAL MENU - Pr'!A11="""", """", IF(LEN(TRIM(REGEXREPLACE(REGEXREPLACE('AYIRA MINI MART FINAL MENU - Pr'!A11, ""^[^\x{0600}-\x{06FF}]+"", """"), ""^[-–\s]+"", """")))&gt;0, TRIM(REGEXREPLACE(REGEXREPLACE('AYIRA MINI MART FINAL MENU - Pr'!"&amp;"A11, ""^[^\x{0600}-\x{06FF}]+"", """"), ""^[-–\s]+"", """")), GOOGLETRANSLATE('AYIRA MINI MART FINAL MENU - Pr'!A11, ""en"", ""ar"")))"),"ريد بُل وايت إديشن بنكهة جوز الهند والتوت 250 مل")</f>
        <v>ريد بُل وايت إديشن بنكهة جوز الهند والتوت 250 مل</v>
      </c>
      <c r="B11" s="56" t="str">
        <f>IFERROR(__xludf.DUMMYFUNCTION("IF('AYIRA MINI MART FINAL MENU - Pr'!B11="""", """", IF(LEN(TRIM(REGEXREPLACE(REGEXREPLACE('AYIRA MINI MART FINAL MENU - Pr'!B11, ""^[^\x{0600}-\x{06FF}]+"", """"), ""^[-–\s]+"", """")))&gt;0, TRIM(REGEXREPLACE(REGEXREPLACE('AYIRA MINI MART FINAL MENU - Pr'!"&amp;"B11, ""^[^\x{0600}-\x{06FF}]+"", """"), ""^[-–\s]+"", """")), GOOGLETRANSLATE('AYIRA MINI MART FINAL MENU - Pr'!B11, ""en"", ""ar"")))"),"مشروبات الطاقة والرياضة")</f>
        <v>مشروبات الطاقة والرياضة</v>
      </c>
      <c r="C11" s="56">
        <f>IF('AYIRA MINI MART FINAL MENU - Pr'!C11="", "", 'AYIRA MINI MART FINAL MENU - Pr'!C11)</f>
        <v>10</v>
      </c>
      <c r="D11" s="56" t="str">
        <f>IF('AYIRA MINI MART FINAL MENU - Pr'!D11="", "", 'AYIRA MINI MART FINAL MENU - Pr'!D11)</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1" s="56" t="str">
        <f>IF('AYIRA MINI MART FINAL MENU - Pr'!E11="", "", 'AYIRA MINI MART FINAL MENU - Pr'!E11)</f>
        <v/>
      </c>
      <c r="F11" s="56" t="str">
        <f>IF('AYIRA MINI MART FINAL MENU - Pr'!F11="", "", 'AYIRA MINI MART FINAL MENU - Pr'!F11)</f>
        <v/>
      </c>
      <c r="G11" s="56" t="str">
        <f>IF('AYIRA MINI MART FINAL MENU - Pr'!G11="", "", 'AYIRA MINI MART FINAL MENU - Pr'!G11)</f>
        <v/>
      </c>
      <c r="H11" s="56" t="str">
        <f>IF('AYIRA MINI MART FINAL MENU - Pr'!H11="", "", 'AYIRA MINI MART FINAL MENU - Pr'!H11)</f>
        <v/>
      </c>
      <c r="I11" s="56" t="str">
        <f>IF('AYIRA MINI MART FINAL MENU - Pr'!I11="", "", 'AYIRA MINI MART FINAL MENU - Pr'!I11)</f>
        <v/>
      </c>
      <c r="J11" s="56" t="str">
        <f>IFERROR(__xludf.DUMMYFUNCTION("IF('AYIRA MINI MART FINAL MENU - Pr'!J11="""", """", GOOGLETRANSLATE('AYIRA MINI MART FINAL MENU - Pr'!J11, ""en"", ""ar""))"),"يعرض")</f>
        <v>يعرض</v>
      </c>
      <c r="K11" s="56" t="str">
        <f>IF('AYIRA MINI MART FINAL MENU - Pr'!K11="", "", 'AYIRA MINI MART FINAL MENU - Pr'!K11)</f>
        <v/>
      </c>
      <c r="L11" s="56" t="str">
        <f>IF('AYIRA MINI MART FINAL MENU - Pr'!L11="", "", 'AYIRA MINI MART FINAL MENU - Pr'!L11)</f>
        <v/>
      </c>
      <c r="M11" s="56" t="str">
        <f>IF('AYIRA MINI MART FINAL MENU - Pr'!M11="", "", 'AYIRA MINI MART FINAL MENU - Pr'!M11)</f>
        <v/>
      </c>
      <c r="N11" s="56" t="str">
        <f>IF('AYIRA MINI MART FINAL MENU - Pr'!N11="", "", 'AYIRA MINI MART FINAL MENU - Pr'!N11)</f>
        <v/>
      </c>
      <c r="O11" s="57"/>
      <c r="P11" s="57"/>
      <c r="Q11" s="57"/>
      <c r="R11" s="57"/>
      <c r="S11" s="57"/>
      <c r="T11" s="57"/>
      <c r="U11" s="57"/>
      <c r="V11" s="57"/>
      <c r="W11" s="57"/>
      <c r="X11" s="57"/>
      <c r="Y11" s="57"/>
      <c r="Z11" s="57"/>
    </row>
    <row r="12">
      <c r="A12" s="56" t="str">
        <f>IFERROR(__xludf.DUMMYFUNCTION("IF('AYIRA MINI MART FINAL MENU - Pr'!A12="""", """", IF(LEN(TRIM(REGEXREPLACE(REGEXREPLACE('AYIRA MINI MART FINAL MENU - Pr'!A12, ""^[^\x{0600}-\x{06FF}]+"", """"), ""^[-–\s]+"", """")))&gt;0, TRIM(REGEXREPLACE(REGEXREPLACE('AYIRA MINI MART FINAL MENU - Pr'!"&amp;"A12, ""^[^\x{0600}-\x{06FF}]+"", """"), ""^[-–\s]+"", """")), GOOGLETRANSLATE('AYIRA MINI MART FINAL MENU - Pr'!A12, ""en"", ""ar"")))"),"مشروب الطاقة ريد بُل 250 مل")</f>
        <v>مشروب الطاقة ريد بُل 250 مل</v>
      </c>
      <c r="B12" s="56" t="str">
        <f>IFERROR(__xludf.DUMMYFUNCTION("IF('AYIRA MINI MART FINAL MENU - Pr'!B12="""", """", IF(LEN(TRIM(REGEXREPLACE(REGEXREPLACE('AYIRA MINI MART FINAL MENU - Pr'!B12, ""^[^\x{0600}-\x{06FF}]+"", """"), ""^[-–\s]+"", """")))&gt;0, TRIM(REGEXREPLACE(REGEXREPLACE('AYIRA MINI MART FINAL MENU - Pr'!"&amp;"B12, ""^[^\x{0600}-\x{06FF}]+"", """"), ""^[-–\s]+"", """")), GOOGLETRANSLATE('AYIRA MINI MART FINAL MENU - Pr'!B12, ""en"", ""ar"")))"),"مشروبات الطاقة والرياضة")</f>
        <v>مشروبات الطاقة والرياضة</v>
      </c>
      <c r="C12" s="56">
        <f>IF('AYIRA MINI MART FINAL MENU - Pr'!C12="", "", 'AYIRA MINI MART FINAL MENU - Pr'!C12)</f>
        <v>10</v>
      </c>
      <c r="D12" s="56" t="str">
        <f>IF('AYIRA MINI MART FINAL MENU - Pr'!D12="", "", 'AYIRA MINI MART FINAL MENU - Pr'!D12)</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2" s="56" t="str">
        <f>IF('AYIRA MINI MART FINAL MENU - Pr'!E12="", "", 'AYIRA MINI MART FINAL MENU - Pr'!E12)</f>
        <v/>
      </c>
      <c r="F12" s="56" t="str">
        <f>IF('AYIRA MINI MART FINAL MENU - Pr'!F12="", "", 'AYIRA MINI MART FINAL MENU - Pr'!F12)</f>
        <v/>
      </c>
      <c r="G12" s="56" t="str">
        <f>IF('AYIRA MINI MART FINAL MENU - Pr'!G12="", "", 'AYIRA MINI MART FINAL MENU - Pr'!G12)</f>
        <v/>
      </c>
      <c r="H12" s="56" t="str">
        <f>IF('AYIRA MINI MART FINAL MENU - Pr'!H12="", "", 'AYIRA MINI MART FINAL MENU - Pr'!H12)</f>
        <v/>
      </c>
      <c r="I12" s="56" t="str">
        <f>IF('AYIRA MINI MART FINAL MENU - Pr'!I12="", "", 'AYIRA MINI MART FINAL MENU - Pr'!I12)</f>
        <v/>
      </c>
      <c r="J12" s="56" t="str">
        <f>IFERROR(__xludf.DUMMYFUNCTION("IF('AYIRA MINI MART FINAL MENU - Pr'!J12="""", """", GOOGLETRANSLATE('AYIRA MINI MART FINAL MENU - Pr'!J12, ""en"", ""ar""))"),"يعرض")</f>
        <v>يعرض</v>
      </c>
      <c r="K12" s="56" t="str">
        <f>IF('AYIRA MINI MART FINAL MENU - Pr'!K12="", "", 'AYIRA MINI MART FINAL MENU - Pr'!K12)</f>
        <v/>
      </c>
      <c r="L12" s="56" t="str">
        <f>IF('AYIRA MINI MART FINAL MENU - Pr'!L12="", "", 'AYIRA MINI MART FINAL MENU - Pr'!L12)</f>
        <v/>
      </c>
      <c r="M12" s="56" t="str">
        <f>IF('AYIRA MINI MART FINAL MENU - Pr'!M12="", "", 'AYIRA MINI MART FINAL MENU - Pr'!M12)</f>
        <v/>
      </c>
      <c r="N12" s="56" t="str">
        <f>IF('AYIRA MINI MART FINAL MENU - Pr'!N12="", "", 'AYIRA MINI MART FINAL MENU - Pr'!N12)</f>
        <v/>
      </c>
      <c r="O12" s="57"/>
      <c r="P12" s="57"/>
      <c r="Q12" s="57"/>
      <c r="R12" s="57"/>
      <c r="S12" s="57"/>
      <c r="T12" s="57"/>
      <c r="U12" s="57"/>
      <c r="V12" s="57"/>
      <c r="W12" s="57"/>
      <c r="X12" s="57"/>
      <c r="Y12" s="57"/>
      <c r="Z12" s="57"/>
    </row>
    <row r="13">
      <c r="A13" s="56" t="str">
        <f>IFERROR(__xludf.DUMMYFUNCTION("IF('AYIRA MINI MART FINAL MENU - Pr'!A13="""", """", IF(LEN(TRIM(REGEXREPLACE(REGEXREPLACE('AYIRA MINI MART FINAL MENU - Pr'!A13, ""^[^\x{0600}-\x{06FF}]+"", """"), ""^[-–\s]+"", """")))&gt;0, TRIM(REGEXREPLACE(REGEXREPLACE('AYIRA MINI MART FINAL MENU - Pr'!"&amp;"A13, ""^[^\x{0600}-\x{06FF}]+"", """"), ""^[-–\s]+"", """")), GOOGLETRANSLATE('AYIRA MINI MART FINAL MENU - Pr'!A13, ""en"", ""ar"")))"),"كوكاكولا – علبة نحيفة 330 مل")</f>
        <v>كوكاكولا – علبة نحيفة 330 مل</v>
      </c>
      <c r="B13" s="56" t="str">
        <f>IFERROR(__xludf.DUMMYFUNCTION("IF('AYIRA MINI MART FINAL MENU - Pr'!B13="""", """", IF(LEN(TRIM(REGEXREPLACE(REGEXREPLACE('AYIRA MINI MART FINAL MENU - Pr'!B13, ""^[^\x{0600}-\x{06FF}]+"", """"), ""^[-–\s]+"", """")))&gt;0, TRIM(REGEXREPLACE(REGEXREPLACE('AYIRA MINI MART FINAL MENU - Pr'!"&amp;"B13, ""^[^\x{0600}-\x{06FF}]+"", """"), ""^[-–\s]+"", """")), GOOGLETRANSLATE('AYIRA MINI MART FINAL MENU - Pr'!B13, ""en"", ""ar"")))"),"المشروبات الغازية")</f>
        <v>المشروبات الغازية</v>
      </c>
      <c r="C13" s="56">
        <f>IF('AYIRA MINI MART FINAL MENU - Pr'!C13="", "", 'AYIRA MINI MART FINAL MENU - Pr'!C13)</f>
        <v>2.5</v>
      </c>
      <c r="D13" s="56" t="str">
        <f>IF('AYIRA MINI MART FINAL MENU - Pr'!D13="", "", 'AYIRA MINI MART FINAL MENU - Pr'!D13)</f>
        <v>استمتع بـ كوكاكولا،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3" s="56" t="str">
        <f>IF('AYIRA MINI MART FINAL MENU - Pr'!E13="", "", 'AYIRA MINI MART FINAL MENU - Pr'!E13)</f>
        <v/>
      </c>
      <c r="F13" s="56" t="str">
        <f>IF('AYIRA MINI MART FINAL MENU - Pr'!F13="", "", 'AYIRA MINI MART FINAL MENU - Pr'!F13)</f>
        <v/>
      </c>
      <c r="G13" s="56" t="str">
        <f>IF('AYIRA MINI MART FINAL MENU - Pr'!G13="", "", 'AYIRA MINI MART FINAL MENU - Pr'!G13)</f>
        <v/>
      </c>
      <c r="H13" s="56" t="str">
        <f>IF('AYIRA MINI MART FINAL MENU - Pr'!H13="", "", 'AYIRA MINI MART FINAL MENU - Pr'!H13)</f>
        <v/>
      </c>
      <c r="I13" s="56" t="str">
        <f>IF('AYIRA MINI MART FINAL MENU - Pr'!I13="", "", 'AYIRA MINI MART FINAL MENU - Pr'!I13)</f>
        <v/>
      </c>
      <c r="J13" s="56" t="str">
        <f>IFERROR(__xludf.DUMMYFUNCTION("IF('AYIRA MINI MART FINAL MENU - Pr'!J13="""", """", GOOGLETRANSLATE('AYIRA MINI MART FINAL MENU - Pr'!J13, ""en"", ""ar""))"),"يعرض")</f>
        <v>يعرض</v>
      </c>
      <c r="K13" s="56" t="str">
        <f>IF('AYIRA MINI MART FINAL MENU - Pr'!K13="", "", 'AYIRA MINI MART FINAL MENU - Pr'!K13)</f>
        <v/>
      </c>
      <c r="L13" s="56" t="str">
        <f>IF('AYIRA MINI MART FINAL MENU - Pr'!L13="", "", 'AYIRA MINI MART FINAL MENU - Pr'!L13)</f>
        <v/>
      </c>
      <c r="M13" s="56" t="str">
        <f>IF('AYIRA MINI MART FINAL MENU - Pr'!M13="", "", 'AYIRA MINI MART FINAL MENU - Pr'!M13)</f>
        <v/>
      </c>
      <c r="N13" s="56" t="str">
        <f>IF('AYIRA MINI MART FINAL MENU - Pr'!N13="", "", 'AYIRA MINI MART FINAL MENU - Pr'!N13)</f>
        <v/>
      </c>
      <c r="O13" s="57"/>
      <c r="P13" s="57"/>
      <c r="Q13" s="57"/>
      <c r="R13" s="57"/>
      <c r="S13" s="57"/>
      <c r="T13" s="57"/>
      <c r="U13" s="57"/>
      <c r="V13" s="57"/>
      <c r="W13" s="57"/>
      <c r="X13" s="57"/>
      <c r="Y13" s="57"/>
      <c r="Z13" s="57"/>
    </row>
    <row r="14">
      <c r="A14" s="56" t="str">
        <f>IFERROR(__xludf.DUMMYFUNCTION("IF('AYIRA MINI MART FINAL MENU - Pr'!A14="""", """", IF(LEN(TRIM(REGEXREPLACE(REGEXREPLACE('AYIRA MINI MART FINAL MENU - Pr'!A14, ""^[^\x{0600}-\x{06FF}]+"", """"), ""^[-–\s]+"", """")))&gt;0, TRIM(REGEXREPLACE(REGEXREPLACE('AYIRA MINI MART FINAL MENU - Pr'!"&amp;"A14, ""^[^\x{0600}-\x{06FF}]+"", """"), ""^[-–\s]+"", """")), GOOGLETRANSLATE('AYIRA MINI MART FINAL MENU - Pr'!A14, ""en"", ""ar"")))"),"سفن أب 150 مل")</f>
        <v>سفن أب 150 مل</v>
      </c>
      <c r="B14" s="56" t="str">
        <f>IFERROR(__xludf.DUMMYFUNCTION("IF('AYIRA MINI MART FINAL MENU - Pr'!B14="""", """", IF(LEN(TRIM(REGEXREPLACE(REGEXREPLACE('AYIRA MINI MART FINAL MENU - Pr'!B14, ""^[^\x{0600}-\x{06FF}]+"", """"), ""^[-–\s]+"", """")))&gt;0, TRIM(REGEXREPLACE(REGEXREPLACE('AYIRA MINI MART FINAL MENU - Pr'!"&amp;"B14, ""^[^\x{0600}-\x{06FF}]+"", """"), ""^[-–\s]+"", """")), GOOGLETRANSLATE('AYIRA MINI MART FINAL MENU - Pr'!B14, ""en"", ""ar"")))"),"المشروبات الغازية")</f>
        <v>المشروبات الغازية</v>
      </c>
      <c r="C14" s="56">
        <f>IF('AYIRA MINI MART FINAL MENU - Pr'!C14="", "", 'AYIRA MINI MART FINAL MENU - Pr'!C14)</f>
        <v>2</v>
      </c>
      <c r="D14" s="56" t="str">
        <f>IF('AYIRA MINI MART FINAL MENU - Pr'!D14="", "", 'AYIRA MINI MART FINAL MENU - Pr'!D14)</f>
        <v>استمتع بـ سفن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4" s="56" t="str">
        <f>IF('AYIRA MINI MART FINAL MENU - Pr'!E14="", "", 'AYIRA MINI MART FINAL MENU - Pr'!E14)</f>
        <v/>
      </c>
      <c r="F14" s="56" t="str">
        <f>IF('AYIRA MINI MART FINAL MENU - Pr'!F14="", "", 'AYIRA MINI MART FINAL MENU - Pr'!F14)</f>
        <v/>
      </c>
      <c r="G14" s="56" t="str">
        <f>IF('AYIRA MINI MART FINAL MENU - Pr'!G14="", "", 'AYIRA MINI MART FINAL MENU - Pr'!G14)</f>
        <v/>
      </c>
      <c r="H14" s="56" t="str">
        <f>IF('AYIRA MINI MART FINAL MENU - Pr'!H14="", "", 'AYIRA MINI MART FINAL MENU - Pr'!H14)</f>
        <v/>
      </c>
      <c r="I14" s="56" t="str">
        <f>IF('AYIRA MINI MART FINAL MENU - Pr'!I14="", "", 'AYIRA MINI MART FINAL MENU - Pr'!I14)</f>
        <v/>
      </c>
      <c r="J14" s="56" t="str">
        <f>IFERROR(__xludf.DUMMYFUNCTION("IF('AYIRA MINI MART FINAL MENU - Pr'!J14="""", """", GOOGLETRANSLATE('AYIRA MINI MART FINAL MENU - Pr'!J14, ""en"", ""ar""))"),"يعرض")</f>
        <v>يعرض</v>
      </c>
      <c r="K14" s="56" t="str">
        <f>IF('AYIRA MINI MART FINAL MENU - Pr'!K14="", "", 'AYIRA MINI MART FINAL MENU - Pr'!K14)</f>
        <v/>
      </c>
      <c r="L14" s="56" t="str">
        <f>IF('AYIRA MINI MART FINAL MENU - Pr'!L14="", "", 'AYIRA MINI MART FINAL MENU - Pr'!L14)</f>
        <v/>
      </c>
      <c r="M14" s="56" t="str">
        <f>IF('AYIRA MINI MART FINAL MENU - Pr'!M14="", "", 'AYIRA MINI MART FINAL MENU - Pr'!M14)</f>
        <v/>
      </c>
      <c r="N14" s="56" t="str">
        <f>IF('AYIRA MINI MART FINAL MENU - Pr'!N14="", "", 'AYIRA MINI MART FINAL MENU - Pr'!N14)</f>
        <v/>
      </c>
      <c r="O14" s="57"/>
      <c r="P14" s="57"/>
      <c r="Q14" s="57"/>
      <c r="R14" s="57"/>
      <c r="S14" s="57"/>
      <c r="T14" s="57"/>
      <c r="U14" s="57"/>
      <c r="V14" s="57"/>
      <c r="W14" s="57"/>
      <c r="X14" s="57"/>
      <c r="Y14" s="57"/>
      <c r="Z14" s="57"/>
    </row>
    <row r="15">
      <c r="A15" s="56" t="str">
        <f>IFERROR(__xludf.DUMMYFUNCTION("IF('AYIRA MINI MART FINAL MENU - Pr'!A15="""", """", IF(LEN(TRIM(REGEXREPLACE(REGEXREPLACE('AYIRA MINI MART FINAL MENU - Pr'!A15, ""^[^\x{0600}-\x{06FF}]+"", """"), ""^[-–\s]+"", """")))&gt;0, TRIM(REGEXREPLACE(REGEXREPLACE('AYIRA MINI MART FINAL MENU - Pr'!"&amp;"A15, ""^[^\x{0600}-\x{06FF}]+"", """"), ""^[-–\s]+"", """")), GOOGLETRANSLATE('AYIRA MINI MART FINAL MENU - Pr'!A15, ""en"", ""ar"")))"),"ميرندا الحمضيات 330 مل")</f>
        <v>ميرندا الحمضيات 330 مل</v>
      </c>
      <c r="B15" s="56" t="str">
        <f>IFERROR(__xludf.DUMMYFUNCTION("IF('AYIRA MINI MART FINAL MENU - Pr'!B15="""", """", IF(LEN(TRIM(REGEXREPLACE(REGEXREPLACE('AYIRA MINI MART FINAL MENU - Pr'!B15, ""^[^\x{0600}-\x{06FF}]+"", """"), ""^[-–\s]+"", """")))&gt;0, TRIM(REGEXREPLACE(REGEXREPLACE('AYIRA MINI MART FINAL MENU - Pr'!"&amp;"B15, ""^[^\x{0600}-\x{06FF}]+"", """"), ""^[-–\s]+"", """")), GOOGLETRANSLATE('AYIRA MINI MART FINAL MENU - Pr'!B15, ""en"", ""ar"")))"),"المشروبات الغازية")</f>
        <v>المشروبات الغازية</v>
      </c>
      <c r="C15" s="56">
        <f>IF('AYIRA MINI MART FINAL MENU - Pr'!C15="", "", 'AYIRA MINI MART FINAL MENU - Pr'!C15)</f>
        <v>2.5</v>
      </c>
      <c r="D15" s="56" t="str">
        <f>IF('AYIRA MINI MART FINAL MENU - Pr'!D15="", "", 'AYIRA MINI MART FINAL MENU - Pr'!D15)</f>
        <v>استمتع بـ ميرندا،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5" s="56" t="str">
        <f>IF('AYIRA MINI MART FINAL MENU - Pr'!E15="", "", 'AYIRA MINI MART FINAL MENU - Pr'!E15)</f>
        <v/>
      </c>
      <c r="F15" s="56" t="str">
        <f>IF('AYIRA MINI MART FINAL MENU - Pr'!F15="", "", 'AYIRA MINI MART FINAL MENU - Pr'!F15)</f>
        <v/>
      </c>
      <c r="G15" s="56" t="str">
        <f>IF('AYIRA MINI MART FINAL MENU - Pr'!G15="", "", 'AYIRA MINI MART FINAL MENU - Pr'!G15)</f>
        <v/>
      </c>
      <c r="H15" s="56" t="str">
        <f>IF('AYIRA MINI MART FINAL MENU - Pr'!H15="", "", 'AYIRA MINI MART FINAL MENU - Pr'!H15)</f>
        <v/>
      </c>
      <c r="I15" s="56" t="str">
        <f>IF('AYIRA MINI MART FINAL MENU - Pr'!I15="", "", 'AYIRA MINI MART FINAL MENU - Pr'!I15)</f>
        <v/>
      </c>
      <c r="J15" s="56" t="str">
        <f>IFERROR(__xludf.DUMMYFUNCTION("IF('AYIRA MINI MART FINAL MENU - Pr'!J15="""", """", GOOGLETRANSLATE('AYIRA MINI MART FINAL MENU - Pr'!J15, ""en"", ""ar""))"),"يعرض")</f>
        <v>يعرض</v>
      </c>
      <c r="K15" s="56" t="str">
        <f>IF('AYIRA MINI MART FINAL MENU - Pr'!K15="", "", 'AYIRA MINI MART FINAL MENU - Pr'!K15)</f>
        <v/>
      </c>
      <c r="L15" s="56" t="str">
        <f>IF('AYIRA MINI MART FINAL MENU - Pr'!L15="", "", 'AYIRA MINI MART FINAL MENU - Pr'!L15)</f>
        <v/>
      </c>
      <c r="M15" s="56" t="str">
        <f>IF('AYIRA MINI MART FINAL MENU - Pr'!M15="", "", 'AYIRA MINI MART FINAL MENU - Pr'!M15)</f>
        <v/>
      </c>
      <c r="N15" s="56" t="str">
        <f>IF('AYIRA MINI MART FINAL MENU - Pr'!N15="", "", 'AYIRA MINI MART FINAL MENU - Pr'!N15)</f>
        <v/>
      </c>
      <c r="O15" s="57"/>
      <c r="P15" s="57"/>
      <c r="Q15" s="57"/>
      <c r="R15" s="57"/>
      <c r="S15" s="57"/>
      <c r="T15" s="57"/>
      <c r="U15" s="57"/>
      <c r="V15" s="57"/>
      <c r="W15" s="57"/>
      <c r="X15" s="57"/>
      <c r="Y15" s="57"/>
      <c r="Z15" s="57"/>
    </row>
    <row r="16">
      <c r="A16" s="56" t="str">
        <f>IFERROR(__xludf.DUMMYFUNCTION("IF('AYIRA MINI MART FINAL MENU - Pr'!A16="""", """", IF(LEN(TRIM(REGEXREPLACE(REGEXREPLACE('AYIRA MINI MART FINAL MENU - Pr'!A16, ""^[^\x{0600}-\x{06FF}]+"", """"), ""^[-–\s]+"", """")))&gt;0, TRIM(REGEXREPLACE(REGEXREPLACE('AYIRA MINI MART FINAL MENU - Pr'!"&amp;"A16, ""^[^\x{0600}-\x{06FF}]+"", """"), ""^[-–\s]+"", """")), GOOGLETRANSLATE('AYIRA MINI MART FINAL MENU - Pr'!A16, ""en"", ""ar"")))"),"ميرندا تفاح 330 مل")</f>
        <v>ميرندا تفاح 330 مل</v>
      </c>
      <c r="B16" s="56" t="str">
        <f>IFERROR(__xludf.DUMMYFUNCTION("IF('AYIRA MINI MART FINAL MENU - Pr'!B16="""", """", IF(LEN(TRIM(REGEXREPLACE(REGEXREPLACE('AYIRA MINI MART FINAL MENU - Pr'!B16, ""^[^\x{0600}-\x{06FF}]+"", """"), ""^[-–\s]+"", """")))&gt;0, TRIM(REGEXREPLACE(REGEXREPLACE('AYIRA MINI MART FINAL MENU - Pr'!"&amp;"B16, ""^[^\x{0600}-\x{06FF}]+"", """"), ""^[-–\s]+"", """")), GOOGLETRANSLATE('AYIRA MINI MART FINAL MENU - Pr'!B16, ""en"", ""ar"")))"),"المشروبات الغازية")</f>
        <v>المشروبات الغازية</v>
      </c>
      <c r="C16" s="56">
        <f>IF('AYIRA MINI MART FINAL MENU - Pr'!C16="", "", 'AYIRA MINI MART FINAL MENU - Pr'!C16)</f>
        <v>2.5</v>
      </c>
      <c r="D16" s="56" t="str">
        <f>IF('AYIRA MINI MART FINAL MENU - Pr'!D16="", "", 'AYIRA MINI MART FINAL MENU - Pr'!D16)</f>
        <v>استمتع بـ ميرندا،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6" s="56" t="str">
        <f>IF('AYIRA MINI MART FINAL MENU - Pr'!E16="", "", 'AYIRA MINI MART FINAL MENU - Pr'!E16)</f>
        <v/>
      </c>
      <c r="F16" s="56" t="str">
        <f>IF('AYIRA MINI MART FINAL MENU - Pr'!F16="", "", 'AYIRA MINI MART FINAL MENU - Pr'!F16)</f>
        <v/>
      </c>
      <c r="G16" s="56" t="str">
        <f>IF('AYIRA MINI MART FINAL MENU - Pr'!G16="", "", 'AYIRA MINI MART FINAL MENU - Pr'!G16)</f>
        <v/>
      </c>
      <c r="H16" s="56" t="str">
        <f>IF('AYIRA MINI MART FINAL MENU - Pr'!H16="", "", 'AYIRA MINI MART FINAL MENU - Pr'!H16)</f>
        <v/>
      </c>
      <c r="I16" s="56" t="str">
        <f>IF('AYIRA MINI MART FINAL MENU - Pr'!I16="", "", 'AYIRA MINI MART FINAL MENU - Pr'!I16)</f>
        <v/>
      </c>
      <c r="J16" s="56" t="str">
        <f>IFERROR(__xludf.DUMMYFUNCTION("IF('AYIRA MINI MART FINAL MENU - Pr'!J16="""", """", GOOGLETRANSLATE('AYIRA MINI MART FINAL MENU - Pr'!J16, ""en"", ""ar""))"),"يعرض")</f>
        <v>يعرض</v>
      </c>
      <c r="K16" s="56" t="str">
        <f>IF('AYIRA MINI MART FINAL MENU - Pr'!K16="", "", 'AYIRA MINI MART FINAL MENU - Pr'!K16)</f>
        <v/>
      </c>
      <c r="L16" s="56" t="str">
        <f>IF('AYIRA MINI MART FINAL MENU - Pr'!L16="", "", 'AYIRA MINI MART FINAL MENU - Pr'!L16)</f>
        <v/>
      </c>
      <c r="M16" s="56" t="str">
        <f>IF('AYIRA MINI MART FINAL MENU - Pr'!M16="", "", 'AYIRA MINI MART FINAL MENU - Pr'!M16)</f>
        <v/>
      </c>
      <c r="N16" s="56" t="str">
        <f>IF('AYIRA MINI MART FINAL MENU - Pr'!N16="", "", 'AYIRA MINI MART FINAL MENU - Pr'!N16)</f>
        <v/>
      </c>
      <c r="O16" s="57"/>
      <c r="P16" s="57"/>
      <c r="Q16" s="57"/>
      <c r="R16" s="57"/>
      <c r="S16" s="57"/>
      <c r="T16" s="57"/>
      <c r="U16" s="57"/>
      <c r="V16" s="57"/>
      <c r="W16" s="57"/>
      <c r="X16" s="57"/>
      <c r="Y16" s="57"/>
      <c r="Z16" s="57"/>
    </row>
    <row r="17">
      <c r="A17" s="56" t="str">
        <f>IFERROR(__xludf.DUMMYFUNCTION("IF('AYIRA MINI MART FINAL MENU - Pr'!A17="""", """", IF(LEN(TRIM(REGEXREPLACE(REGEXREPLACE('AYIRA MINI MART FINAL MENU - Pr'!A17, ""^[^\x{0600}-\x{06FF}]+"", """"), ""^[-–\s]+"", """")))&gt;0, TRIM(REGEXREPLACE(REGEXREPLACE('AYIRA MINI MART FINAL MENU - Pr'!"&amp;"A17, ""^[^\x{0600}-\x{06FF}]+"", """"), ""^[-–\s]+"", """")), GOOGLETRANSLATE('AYIRA MINI MART FINAL MENU - Pr'!A17, ""en"", ""ar"")))"),"موهيتو دبل أب نسيم منعش 350 مل")</f>
        <v>موهيتو دبل أب نسيم منعش 350 مل</v>
      </c>
      <c r="B17" s="56" t="str">
        <f>IFERROR(__xludf.DUMMYFUNCTION("IF('AYIRA MINI MART FINAL MENU - Pr'!B17="""", """", IF(LEN(TRIM(REGEXREPLACE(REGEXREPLACE('AYIRA MINI MART FINAL MENU - Pr'!B17, ""^[^\x{0600}-\x{06FF}]+"", """"), ""^[-–\s]+"", """")))&gt;0, TRIM(REGEXREPLACE(REGEXREPLACE('AYIRA MINI MART FINAL MENU - Pr'!"&amp;"B17, ""^[^\x{0600}-\x{06FF}]+"", """"), ""^[-–\s]+"", """")), GOOGLETRANSLATE('AYIRA MINI MART FINAL MENU - Pr'!B17, ""en"", ""ar"")))"),"المشروبات الغازية")</f>
        <v>المشروبات الغازية</v>
      </c>
      <c r="C17" s="56">
        <f>IF('AYIRA MINI MART FINAL MENU - Pr'!C17="", "", 'AYIRA MINI MART FINAL MENU - Pr'!C17)</f>
        <v>3.5</v>
      </c>
      <c r="D17" s="56" t="str">
        <f>IF('AYIRA MINI MART FINAL MENU - Pr'!D17="", "", 'AYIRA MINI MART FINAL MENU - Pr'!D17)</f>
        <v>استمتع بـ دبل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7" s="56" t="str">
        <f>IF('AYIRA MINI MART FINAL MENU - Pr'!E17="", "", 'AYIRA MINI MART FINAL MENU - Pr'!E17)</f>
        <v/>
      </c>
      <c r="F17" s="56" t="str">
        <f>IF('AYIRA MINI MART FINAL MENU - Pr'!F17="", "", 'AYIRA MINI MART FINAL MENU - Pr'!F17)</f>
        <v/>
      </c>
      <c r="G17" s="56" t="str">
        <f>IF('AYIRA MINI MART FINAL MENU - Pr'!G17="", "", 'AYIRA MINI MART FINAL MENU - Pr'!G17)</f>
        <v/>
      </c>
      <c r="H17" s="56" t="str">
        <f>IF('AYIRA MINI MART FINAL MENU - Pr'!H17="", "", 'AYIRA MINI MART FINAL MENU - Pr'!H17)</f>
        <v/>
      </c>
      <c r="I17" s="56" t="str">
        <f>IF('AYIRA MINI MART FINAL MENU - Pr'!I17="", "", 'AYIRA MINI MART FINAL MENU - Pr'!I17)</f>
        <v/>
      </c>
      <c r="J17" s="56" t="str">
        <f>IFERROR(__xludf.DUMMYFUNCTION("IF('AYIRA MINI MART FINAL MENU - Pr'!J17="""", """", GOOGLETRANSLATE('AYIRA MINI MART FINAL MENU - Pr'!J17, ""en"", ""ar""))"),"إنتهى من المخزن")</f>
        <v>إنتهى من المخزن</v>
      </c>
      <c r="K17" s="56" t="str">
        <f>IF('AYIRA MINI MART FINAL MENU - Pr'!K17="", "", 'AYIRA MINI MART FINAL MENU - Pr'!K17)</f>
        <v/>
      </c>
      <c r="L17" s="56" t="str">
        <f>IF('AYIRA MINI MART FINAL MENU - Pr'!L17="", "", 'AYIRA MINI MART FINAL MENU - Pr'!L17)</f>
        <v/>
      </c>
      <c r="M17" s="56" t="str">
        <f>IF('AYIRA MINI MART FINAL MENU - Pr'!M17="", "", 'AYIRA MINI MART FINAL MENU - Pr'!M17)</f>
        <v/>
      </c>
      <c r="N17" s="56" t="str">
        <f>IF('AYIRA MINI MART FINAL MENU - Pr'!N17="", "", 'AYIRA MINI MART FINAL MENU - Pr'!N17)</f>
        <v/>
      </c>
      <c r="O17" s="57"/>
      <c r="P17" s="57"/>
      <c r="Q17" s="57"/>
      <c r="R17" s="57"/>
      <c r="S17" s="57"/>
      <c r="T17" s="57"/>
      <c r="U17" s="57"/>
      <c r="V17" s="57"/>
      <c r="W17" s="57"/>
      <c r="X17" s="57"/>
      <c r="Y17" s="57"/>
      <c r="Z17" s="57"/>
    </row>
    <row r="18">
      <c r="A18" s="56" t="str">
        <f>IFERROR(__xludf.DUMMYFUNCTION("IF('AYIRA MINI MART FINAL MENU - Pr'!A18="""", """", IF(LEN(TRIM(REGEXREPLACE(REGEXREPLACE('AYIRA MINI MART FINAL MENU - Pr'!A18, ""^[^\x{0600}-\x{06FF}]+"", """"), ""^[-–\s]+"", """")))&gt;0, TRIM(REGEXREPLACE(REGEXREPLACE('AYIRA MINI MART FINAL MENU - Pr'!"&amp;"A18, ""^[^\x{0600}-\x{06FF}]+"", """"), ""^[-–\s]+"", """")), GOOGLETRANSLATE('AYIRA MINI MART FINAL MENU - Pr'!A18, ""en"", ""ar"")))"),"دبل أب نسيم منعش بنكهة التفاح الأحمر 350 مل")</f>
        <v>دبل أب نسيم منعش بنكهة التفاح الأحمر 350 مل</v>
      </c>
      <c r="B18" s="56" t="str">
        <f>IFERROR(__xludf.DUMMYFUNCTION("IF('AYIRA MINI MART FINAL MENU - Pr'!B18="""", """", IF(LEN(TRIM(REGEXREPLACE(REGEXREPLACE('AYIRA MINI MART FINAL MENU - Pr'!B18, ""^[^\x{0600}-\x{06FF}]+"", """"), ""^[-–\s]+"", """")))&gt;0, TRIM(REGEXREPLACE(REGEXREPLACE('AYIRA MINI MART FINAL MENU - Pr'!"&amp;"B18, ""^[^\x{0600}-\x{06FF}]+"", """"), ""^[-–\s]+"", """")), GOOGLETRANSLATE('AYIRA MINI MART FINAL MENU - Pr'!B18, ""en"", ""ar"")))"),"المشروبات الغازية")</f>
        <v>المشروبات الغازية</v>
      </c>
      <c r="C18" s="56">
        <f>IF('AYIRA MINI MART FINAL MENU - Pr'!C18="", "", 'AYIRA MINI MART FINAL MENU - Pr'!C18)</f>
        <v>3.5</v>
      </c>
      <c r="D18" s="56" t="str">
        <f>IF('AYIRA MINI MART FINAL MENU - Pr'!D18="", "", 'AYIRA MINI MART FINAL MENU - Pr'!D18)</f>
        <v>استمتع بـ دبل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8" s="56" t="str">
        <f>IF('AYIRA MINI MART FINAL MENU - Pr'!E18="", "", 'AYIRA MINI MART FINAL MENU - Pr'!E18)</f>
        <v/>
      </c>
      <c r="F18" s="56" t="str">
        <f>IF('AYIRA MINI MART FINAL MENU - Pr'!F18="", "", 'AYIRA MINI MART FINAL MENU - Pr'!F18)</f>
        <v/>
      </c>
      <c r="G18" s="56" t="str">
        <f>IF('AYIRA MINI MART FINAL MENU - Pr'!G18="", "", 'AYIRA MINI MART FINAL MENU - Pr'!G18)</f>
        <v/>
      </c>
      <c r="H18" s="56" t="str">
        <f>IF('AYIRA MINI MART FINAL MENU - Pr'!H18="", "", 'AYIRA MINI MART FINAL MENU - Pr'!H18)</f>
        <v/>
      </c>
      <c r="I18" s="56" t="str">
        <f>IF('AYIRA MINI MART FINAL MENU - Pr'!I18="", "", 'AYIRA MINI MART FINAL MENU - Pr'!I18)</f>
        <v/>
      </c>
      <c r="J18" s="56" t="str">
        <f>IFERROR(__xludf.DUMMYFUNCTION("IF('AYIRA MINI MART FINAL MENU - Pr'!J18="""", """", GOOGLETRANSLATE('AYIRA MINI MART FINAL MENU - Pr'!J18, ""en"", ""ar""))"),"إنتهى من المخزن")</f>
        <v>إنتهى من المخزن</v>
      </c>
      <c r="K18" s="56" t="str">
        <f>IF('AYIRA MINI MART FINAL MENU - Pr'!K18="", "", 'AYIRA MINI MART FINAL MENU - Pr'!K18)</f>
        <v/>
      </c>
      <c r="L18" s="56" t="str">
        <f>IF('AYIRA MINI MART FINAL MENU - Pr'!L18="", "", 'AYIRA MINI MART FINAL MENU - Pr'!L18)</f>
        <v/>
      </c>
      <c r="M18" s="56" t="str">
        <f>IF('AYIRA MINI MART FINAL MENU - Pr'!M18="", "", 'AYIRA MINI MART FINAL MENU - Pr'!M18)</f>
        <v/>
      </c>
      <c r="N18" s="56" t="str">
        <f>IF('AYIRA MINI MART FINAL MENU - Pr'!N18="", "", 'AYIRA MINI MART FINAL MENU - Pr'!N18)</f>
        <v/>
      </c>
      <c r="O18" s="57"/>
      <c r="P18" s="57"/>
      <c r="Q18" s="57"/>
      <c r="R18" s="57"/>
      <c r="S18" s="57"/>
      <c r="T18" s="57"/>
      <c r="U18" s="57"/>
      <c r="V18" s="57"/>
      <c r="W18" s="57"/>
      <c r="X18" s="57"/>
      <c r="Y18" s="57"/>
      <c r="Z18" s="57"/>
    </row>
    <row r="19">
      <c r="A19" s="56" t="str">
        <f>IFERROR(__xludf.DUMMYFUNCTION("IF('AYIRA MINI MART FINAL MENU - Pr'!A19="""", """", IF(LEN(TRIM(REGEXREPLACE(REGEXREPLACE('AYIRA MINI MART FINAL MENU - Pr'!A19, ""^[^\x{0600}-\x{06FF}]+"", """"), ""^[-–\s]+"", """")))&gt;0, TRIM(REGEXREPLACE(REGEXREPLACE('AYIRA MINI MART FINAL MENU - Pr'!"&amp;"A19, ""^[^\x{0600}-\x{06FF}]+"", """"), ""^[-–\s]+"", """")), GOOGLETRANSLATE('AYIRA MINI MART FINAL MENU - Pr'!A19, ""en"", ""ar"")))"),"مياه ريان طبيعية 330 مل × 12")</f>
        <v>مياه ريان طبيعية 330 مل × 12</v>
      </c>
      <c r="B19" s="56" t="str">
        <f>IFERROR(__xludf.DUMMYFUNCTION("IF('AYIRA MINI MART FINAL MENU - Pr'!B19="""", """", IF(LEN(TRIM(REGEXREPLACE(REGEXREPLACE('AYIRA MINI MART FINAL MENU - Pr'!B19, ""^[^\x{0600}-\x{06FF}]+"", """"), ""^[-–\s]+"", """")))&gt;0, TRIM(REGEXREPLACE(REGEXREPLACE('AYIRA MINI MART FINAL MENU - Pr'!"&amp;"B19, ""^[^\x{0600}-\x{06FF}]+"", """"), ""^[-–\s]+"", """")), GOOGLETRANSLATE('AYIRA MINI MART FINAL MENU - Pr'!B19, ""en"", ""ar"")))"),"المياه")</f>
        <v>المياه</v>
      </c>
      <c r="C19" s="56">
        <f>IF('AYIRA MINI MART FINAL MENU - Pr'!C19="", "", 'AYIRA MINI MART FINAL MENU - Pr'!C19)</f>
        <v>8</v>
      </c>
      <c r="D19" s="56" t="str">
        <f>IF('AYIRA MINI MART FINAL MENU - Pr'!D19="", "", 'AYIRA MINI MART FINAL MENU - Pr'!D19)</f>
        <v>اشرب ريان،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19" s="56" t="str">
        <f>IF('AYIRA MINI MART FINAL MENU - Pr'!E19="", "", 'AYIRA MINI MART FINAL MENU - Pr'!E19)</f>
        <v/>
      </c>
      <c r="F19" s="56" t="str">
        <f>IF('AYIRA MINI MART FINAL MENU - Pr'!F19="", "", 'AYIRA MINI MART FINAL MENU - Pr'!F19)</f>
        <v/>
      </c>
      <c r="G19" s="56" t="str">
        <f>IF('AYIRA MINI MART FINAL MENU - Pr'!G19="", "", 'AYIRA MINI MART FINAL MENU - Pr'!G19)</f>
        <v/>
      </c>
      <c r="H19" s="56" t="str">
        <f>IF('AYIRA MINI MART FINAL MENU - Pr'!H19="", "", 'AYIRA MINI MART FINAL MENU - Pr'!H19)</f>
        <v/>
      </c>
      <c r="I19" s="56" t="str">
        <f>IF('AYIRA MINI MART FINAL MENU - Pr'!I19="", "", 'AYIRA MINI MART FINAL MENU - Pr'!I19)</f>
        <v/>
      </c>
      <c r="J19" s="56" t="str">
        <f>IFERROR(__xludf.DUMMYFUNCTION("IF('AYIRA MINI MART FINAL MENU - Pr'!J19="""", """", GOOGLETRANSLATE('AYIRA MINI MART FINAL MENU - Pr'!J19, ""en"", ""ar""))"),"يعرض")</f>
        <v>يعرض</v>
      </c>
      <c r="K19" s="56" t="str">
        <f>IF('AYIRA MINI MART FINAL MENU - Pr'!K19="", "", 'AYIRA MINI MART FINAL MENU - Pr'!K19)</f>
        <v/>
      </c>
      <c r="L19" s="56" t="str">
        <f>IF('AYIRA MINI MART FINAL MENU - Pr'!L19="", "", 'AYIRA MINI MART FINAL MENU - Pr'!L19)</f>
        <v/>
      </c>
      <c r="M19" s="56" t="str">
        <f>IF('AYIRA MINI MART FINAL MENU - Pr'!M19="", "", 'AYIRA MINI MART FINAL MENU - Pr'!M19)</f>
        <v/>
      </c>
      <c r="N19" s="56" t="str">
        <f>IF('AYIRA MINI MART FINAL MENU - Pr'!N19="", "", 'AYIRA MINI MART FINAL MENU - Pr'!N19)</f>
        <v/>
      </c>
      <c r="O19" s="57"/>
      <c r="P19" s="57"/>
      <c r="Q19" s="57"/>
      <c r="R19" s="57"/>
      <c r="S19" s="57"/>
      <c r="T19" s="57"/>
      <c r="U19" s="57"/>
      <c r="V19" s="57"/>
      <c r="W19" s="57"/>
      <c r="X19" s="57"/>
      <c r="Y19" s="57"/>
      <c r="Z19" s="57"/>
    </row>
    <row r="20">
      <c r="A20" s="56" t="str">
        <f>IFERROR(__xludf.DUMMYFUNCTION("IF('AYIRA MINI MART FINAL MENU - Pr'!A20="""", """", IF(LEN(TRIM(REGEXREPLACE(REGEXREPLACE('AYIRA MINI MART FINAL MENU - Pr'!A20, ""^[^\x{0600}-\x{06FF}]+"", """"), ""^[-–\s]+"", """")))&gt;0, TRIM(REGEXREPLACE(REGEXREPLACE('AYIRA MINI MART FINAL MENU - Pr'!"&amp;"A20, ""^[^\x{0600}-\x{06FF}]+"", """"), ""^[-–\s]+"", """")), GOOGLETRANSLATE('AYIRA MINI MART FINAL MENU - Pr'!A20, ""en"", ""ar"")))"),"مياه ريان طبيعية 1.5 لتر × 6")</f>
        <v>مياه ريان طبيعية 1.5 لتر × 6</v>
      </c>
      <c r="B20" s="56" t="str">
        <f>IFERROR(__xludf.DUMMYFUNCTION("IF('AYIRA MINI MART FINAL MENU - Pr'!B20="""", """", IF(LEN(TRIM(REGEXREPLACE(REGEXREPLACE('AYIRA MINI MART FINAL MENU - Pr'!B20, ""^[^\x{0600}-\x{06FF}]+"", """"), ""^[-–\s]+"", """")))&gt;0, TRIM(REGEXREPLACE(REGEXREPLACE('AYIRA MINI MART FINAL MENU - Pr'!"&amp;"B20, ""^[^\x{0600}-\x{06FF}]+"", """"), ""^[-–\s]+"", """")), GOOGLETRANSLATE('AYIRA MINI MART FINAL MENU - Pr'!B20, ""en"", ""ar"")))"),"المياه")</f>
        <v>المياه</v>
      </c>
      <c r="C20" s="56">
        <f>IF('AYIRA MINI MART FINAL MENU - Pr'!C20="", "", 'AYIRA MINI MART FINAL MENU - Pr'!C20)</f>
        <v>7</v>
      </c>
      <c r="D20" s="56" t="str">
        <f>IF('AYIRA MINI MART FINAL MENU - Pr'!D20="", "", 'AYIRA MINI MART FINAL MENU - Pr'!D20)</f>
        <v>اشرب ريان،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20" s="56" t="str">
        <f>IF('AYIRA MINI MART FINAL MENU - Pr'!E20="", "", 'AYIRA MINI MART FINAL MENU - Pr'!E20)</f>
        <v/>
      </c>
      <c r="F20" s="56" t="str">
        <f>IF('AYIRA MINI MART FINAL MENU - Pr'!F20="", "", 'AYIRA MINI MART FINAL MENU - Pr'!F20)</f>
        <v/>
      </c>
      <c r="G20" s="56" t="str">
        <f>IF('AYIRA MINI MART FINAL MENU - Pr'!G20="", "", 'AYIRA MINI MART FINAL MENU - Pr'!G20)</f>
        <v/>
      </c>
      <c r="H20" s="56" t="str">
        <f>IF('AYIRA MINI MART FINAL MENU - Pr'!H20="", "", 'AYIRA MINI MART FINAL MENU - Pr'!H20)</f>
        <v/>
      </c>
      <c r="I20" s="56" t="str">
        <f>IF('AYIRA MINI MART FINAL MENU - Pr'!I20="", "", 'AYIRA MINI MART FINAL MENU - Pr'!I20)</f>
        <v/>
      </c>
      <c r="J20" s="56" t="str">
        <f>IFERROR(__xludf.DUMMYFUNCTION("IF('AYIRA MINI MART FINAL MENU - Pr'!J20="""", """", GOOGLETRANSLATE('AYIRA MINI MART FINAL MENU - Pr'!J20, ""en"", ""ar""))"),"يعرض")</f>
        <v>يعرض</v>
      </c>
      <c r="K20" s="56" t="str">
        <f>IF('AYIRA MINI MART FINAL MENU - Pr'!K20="", "", 'AYIRA MINI MART FINAL MENU - Pr'!K20)</f>
        <v/>
      </c>
      <c r="L20" s="56" t="str">
        <f>IF('AYIRA MINI MART FINAL MENU - Pr'!L20="", "", 'AYIRA MINI MART FINAL MENU - Pr'!L20)</f>
        <v/>
      </c>
      <c r="M20" s="56" t="str">
        <f>IF('AYIRA MINI MART FINAL MENU - Pr'!M20="", "", 'AYIRA MINI MART FINAL MENU - Pr'!M20)</f>
        <v/>
      </c>
      <c r="N20" s="56" t="str">
        <f>IF('AYIRA MINI MART FINAL MENU - Pr'!N20="", "", 'AYIRA MINI MART FINAL MENU - Pr'!N20)</f>
        <v/>
      </c>
      <c r="O20" s="57"/>
      <c r="P20" s="57"/>
      <c r="Q20" s="57"/>
      <c r="R20" s="57"/>
      <c r="S20" s="57"/>
      <c r="T20" s="57"/>
      <c r="U20" s="57"/>
      <c r="V20" s="57"/>
      <c r="W20" s="57"/>
      <c r="X20" s="57"/>
      <c r="Y20" s="57"/>
      <c r="Z20" s="57"/>
    </row>
    <row r="21">
      <c r="A21" s="56" t="str">
        <f>IFERROR(__xludf.DUMMYFUNCTION("IF('AYIRA MINI MART FINAL MENU - Pr'!A21="""", """", IF(LEN(TRIM(REGEXREPLACE(REGEXREPLACE('AYIRA MINI MART FINAL MENU - Pr'!A21, ""^[^\x{0600}-\x{06FF}]+"", """"), ""^[-–\s]+"", """")))&gt;0, TRIM(REGEXREPLACE(REGEXREPLACE('AYIRA MINI MART FINAL MENU - Pr'!"&amp;"A21, ""^[^\x{0600}-\x{06FF}]+"", """"), ""^[-–\s]+"", """")), GOOGLETRANSLATE('AYIRA MINI MART FINAL MENU - Pr'!A21, ""en"", ""ar"")))"),"مياه قطر واحة الطبيعية – ١.٥ لتر × ٦ زجاجات")</f>
        <v>مياه قطر واحة الطبيعية – ١.٥ لتر × ٦ زجاجات</v>
      </c>
      <c r="B21" s="56" t="str">
        <f>IFERROR(__xludf.DUMMYFUNCTION("IF('AYIRA MINI MART FINAL MENU - Pr'!B21="""", """", IF(LEN(TRIM(REGEXREPLACE(REGEXREPLACE('AYIRA MINI MART FINAL MENU - Pr'!B21, ""^[^\x{0600}-\x{06FF}]+"", """"), ""^[-–\s]+"", """")))&gt;0, TRIM(REGEXREPLACE(REGEXREPLACE('AYIRA MINI MART FINAL MENU - Pr'!"&amp;"B21, ""^[^\x{0600}-\x{06FF}]+"", """"), ""^[-–\s]+"", """")), GOOGLETRANSLATE('AYIRA MINI MART FINAL MENU - Pr'!B21, ""en"", ""ar"")))"),"المياه")</f>
        <v>المياه</v>
      </c>
      <c r="C21" s="56">
        <f>IF('AYIRA MINI MART FINAL MENU - Pr'!C21="", "", 'AYIRA MINI MART FINAL MENU - Pr'!C21)</f>
        <v>6</v>
      </c>
      <c r="D21" s="56" t="str">
        <f>IF('AYIRA MINI MART FINAL MENU - Pr'!D21="", "", 'AYIRA MINI MART FINAL MENU - Pr'!D21)</f>
        <v>اشرب Qatar Oasis Natural Water 1.5L x 6 مياه قطر واحة الطبيعية – ١.٥ لتر × ٦ زجاجات،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21" s="56" t="str">
        <f>IF('AYIRA MINI MART FINAL MENU - Pr'!E21="", "", 'AYIRA MINI MART FINAL MENU - Pr'!E21)</f>
        <v/>
      </c>
      <c r="F21" s="56" t="str">
        <f>IF('AYIRA MINI MART FINAL MENU - Pr'!F21="", "", 'AYIRA MINI MART FINAL MENU - Pr'!F21)</f>
        <v/>
      </c>
      <c r="G21" s="56" t="str">
        <f>IF('AYIRA MINI MART FINAL MENU - Pr'!G21="", "", 'AYIRA MINI MART FINAL MENU - Pr'!G21)</f>
        <v/>
      </c>
      <c r="H21" s="56" t="str">
        <f>IF('AYIRA MINI MART FINAL MENU - Pr'!H21="", "", 'AYIRA MINI MART FINAL MENU - Pr'!H21)</f>
        <v/>
      </c>
      <c r="I21" s="56" t="str">
        <f>IF('AYIRA MINI MART FINAL MENU - Pr'!I21="", "", 'AYIRA MINI MART FINAL MENU - Pr'!I21)</f>
        <v/>
      </c>
      <c r="J21" s="56" t="str">
        <f>IFERROR(__xludf.DUMMYFUNCTION("IF('AYIRA MINI MART FINAL MENU - Pr'!J21="""", """", GOOGLETRANSLATE('AYIRA MINI MART FINAL MENU - Pr'!J21, ""en"", ""ar""))"),"يعرض")</f>
        <v>يعرض</v>
      </c>
      <c r="K21" s="56" t="str">
        <f>IF('AYIRA MINI MART FINAL MENU - Pr'!K21="", "", 'AYIRA MINI MART FINAL MENU - Pr'!K21)</f>
        <v/>
      </c>
      <c r="L21" s="56" t="str">
        <f>IF('AYIRA MINI MART FINAL MENU - Pr'!L21="", "", 'AYIRA MINI MART FINAL MENU - Pr'!L21)</f>
        <v/>
      </c>
      <c r="M21" s="56" t="str">
        <f>IF('AYIRA MINI MART FINAL MENU - Pr'!M21="", "", 'AYIRA MINI MART FINAL MENU - Pr'!M21)</f>
        <v/>
      </c>
      <c r="N21" s="56" t="str">
        <f>IF('AYIRA MINI MART FINAL MENU - Pr'!N21="", "", 'AYIRA MINI MART FINAL MENU - Pr'!N21)</f>
        <v/>
      </c>
      <c r="O21" s="57"/>
      <c r="P21" s="57"/>
      <c r="Q21" s="57"/>
      <c r="R21" s="57"/>
      <c r="S21" s="57"/>
      <c r="T21" s="57"/>
      <c r="U21" s="57"/>
      <c r="V21" s="57"/>
      <c r="W21" s="57"/>
      <c r="X21" s="57"/>
      <c r="Y21" s="57"/>
      <c r="Z21" s="57"/>
    </row>
    <row r="22">
      <c r="A22" s="56" t="str">
        <f>IFERROR(__xludf.DUMMYFUNCTION("IF('AYIRA MINI MART FINAL MENU - Pr'!A22="""", """", IF(LEN(TRIM(REGEXREPLACE(REGEXREPLACE('AYIRA MINI MART FINAL MENU - Pr'!A22, ""^[^\x{0600}-\x{06FF}]+"", """"), ""^[-–\s]+"", """")))&gt;0, TRIM(REGEXREPLACE(REGEXREPLACE('AYIRA MINI MART FINAL MENU - Pr'!"&amp;"A22, ""^[^\x{0600}-\x{06FF}]+"", """"), ""^[-–\s]+"", """")), GOOGLETRANSLATE('AYIRA MINI MART FINAL MENU - Pr'!A22, ""en"", ""ar"")))"),"مياه أمواج المعدنية 1.5 لتر × 6")</f>
        <v>مياه أمواج المعدنية 1.5 لتر × 6</v>
      </c>
      <c r="B22" s="56" t="str">
        <f>IFERROR(__xludf.DUMMYFUNCTION("IF('AYIRA MINI MART FINAL MENU - Pr'!B22="""", """", IF(LEN(TRIM(REGEXREPLACE(REGEXREPLACE('AYIRA MINI MART FINAL MENU - Pr'!B22, ""^[^\x{0600}-\x{06FF}]+"", """"), ""^[-–\s]+"", """")))&gt;0, TRIM(REGEXREPLACE(REGEXREPLACE('AYIRA MINI MART FINAL MENU - Pr'!"&amp;"B22, ""^[^\x{0600}-\x{06FF}]+"", """"), ""^[-–\s]+"", """")), GOOGLETRANSLATE('AYIRA MINI MART FINAL MENU - Pr'!B22, ""en"", ""ar"")))"),"المياه")</f>
        <v>المياه</v>
      </c>
      <c r="C22" s="56">
        <f>IF('AYIRA MINI MART FINAL MENU - Pr'!C22="", "", 'AYIRA MINI MART FINAL MENU - Pr'!C22)</f>
        <v>12</v>
      </c>
      <c r="D22" s="56" t="str">
        <f>IF('AYIRA MINI MART FINAL MENU - Pr'!D22="", "", 'AYIRA MINI MART FINAL MENU - Pr'!D22)</f>
        <v>اشرب Amwaj Mineral Water 1.5L x 6 مياه أمواج المعدنية 1.5 لتر × 6،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22" s="56" t="str">
        <f>IF('AYIRA MINI MART FINAL MENU - Pr'!E22="", "", 'AYIRA MINI MART FINAL MENU - Pr'!E22)</f>
        <v/>
      </c>
      <c r="F22" s="56" t="str">
        <f>IF('AYIRA MINI MART FINAL MENU - Pr'!F22="", "", 'AYIRA MINI MART FINAL MENU - Pr'!F22)</f>
        <v/>
      </c>
      <c r="G22" s="56" t="str">
        <f>IF('AYIRA MINI MART FINAL MENU - Pr'!G22="", "", 'AYIRA MINI MART FINAL MENU - Pr'!G22)</f>
        <v/>
      </c>
      <c r="H22" s="56" t="str">
        <f>IF('AYIRA MINI MART FINAL MENU - Pr'!H22="", "", 'AYIRA MINI MART FINAL MENU - Pr'!H22)</f>
        <v/>
      </c>
      <c r="I22" s="56" t="str">
        <f>IF('AYIRA MINI MART FINAL MENU - Pr'!I22="", "", 'AYIRA MINI MART FINAL MENU - Pr'!I22)</f>
        <v/>
      </c>
      <c r="J22" s="56" t="str">
        <f>IFERROR(__xludf.DUMMYFUNCTION("IF('AYIRA MINI MART FINAL MENU - Pr'!J22="""", """", GOOGLETRANSLATE('AYIRA MINI MART FINAL MENU - Pr'!J22, ""en"", ""ar""))"),"يخفي")</f>
        <v>يخفي</v>
      </c>
      <c r="K22" s="56" t="str">
        <f>IF('AYIRA MINI MART FINAL MENU - Pr'!K22="", "", 'AYIRA MINI MART FINAL MENU - Pr'!K22)</f>
        <v/>
      </c>
      <c r="L22" s="56" t="str">
        <f>IF('AYIRA MINI MART FINAL MENU - Pr'!L22="", "", 'AYIRA MINI MART FINAL MENU - Pr'!L22)</f>
        <v/>
      </c>
      <c r="M22" s="56" t="str">
        <f>IF('AYIRA MINI MART FINAL MENU - Pr'!M22="", "", 'AYIRA MINI MART FINAL MENU - Pr'!M22)</f>
        <v/>
      </c>
      <c r="N22" s="56" t="str">
        <f>IF('AYIRA MINI MART FINAL MENU - Pr'!N22="", "", 'AYIRA MINI MART FINAL MENU - Pr'!N22)</f>
        <v/>
      </c>
      <c r="O22" s="57"/>
      <c r="P22" s="57"/>
      <c r="Q22" s="57"/>
      <c r="R22" s="57"/>
      <c r="S22" s="57"/>
      <c r="T22" s="57"/>
      <c r="U22" s="57"/>
      <c r="V22" s="57"/>
      <c r="W22" s="57"/>
      <c r="X22" s="57"/>
      <c r="Y22" s="57"/>
      <c r="Z22" s="57"/>
    </row>
    <row r="23">
      <c r="A23" s="56" t="str">
        <f>IFERROR(__xludf.DUMMYFUNCTION("IF('AYIRA MINI MART FINAL MENU - Pr'!A23="""", """", IF(LEN(TRIM(REGEXREPLACE(REGEXREPLACE('AYIRA MINI MART FINAL MENU - Pr'!A23, ""^[^\x{0600}-\x{06FF}]+"", """"), ""^[-–\s]+"", """")))&gt;0, TRIM(REGEXREPLACE(REGEXREPLACE('AYIRA MINI MART FINAL MENU - Pr'!"&amp;"A23, ""^[^\x{0600}-\x{06FF}]+"", """"), ""^[-–\s]+"", """")), GOOGLETRANSLATE('AYIRA MINI MART FINAL MENU - Pr'!A23, ""en"", ""ar"")))"),"مياه أمواج المع30 مل × 30")</f>
        <v>مياه أمواج المع30 مل × 30</v>
      </c>
      <c r="B23" s="56" t="str">
        <f>IFERROR(__xludf.DUMMYFUNCTION("IF('AYIRA MINI MART FINAL MENU - Pr'!B23="""", """", IF(LEN(TRIM(REGEXREPLACE(REGEXREPLACE('AYIRA MINI MART FINAL MENU - Pr'!B23, ""^[^\x{0600}-\x{06FF}]+"", """"), ""^[-–\s]+"", """")))&gt;0, TRIM(REGEXREPLACE(REGEXREPLACE('AYIRA MINI MART FINAL MENU - Pr'!"&amp;"B23, ""^[^\x{0600}-\x{06FF}]+"", """"), ""^[-–\s]+"", """")), GOOGLETRANSLATE('AYIRA MINI MART FINAL MENU - Pr'!B23, ""en"", ""ar"")))"),"المياه")</f>
        <v>المياه</v>
      </c>
      <c r="C23" s="56">
        <f>IF('AYIRA MINI MART FINAL MENU - Pr'!C23="", "", 'AYIRA MINI MART FINAL MENU - Pr'!C23)</f>
        <v>12</v>
      </c>
      <c r="D23" s="56" t="str">
        <f>IF('AYIRA MINI MART FINAL MENU - Pr'!D23="", "", 'AYIRA MINI MART FINAL MENU - Pr'!D23)</f>
        <v>اشرب Amwaj Mineral Water 330ml x 300 مياه أمواج المعدنية 330 مل × 30،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23" s="56" t="str">
        <f>IF('AYIRA MINI MART FINAL MENU - Pr'!E23="", "", 'AYIRA MINI MART FINAL MENU - Pr'!E23)</f>
        <v/>
      </c>
      <c r="F23" s="56" t="str">
        <f>IF('AYIRA MINI MART FINAL MENU - Pr'!F23="", "", 'AYIRA MINI MART FINAL MENU - Pr'!F23)</f>
        <v/>
      </c>
      <c r="G23" s="56" t="str">
        <f>IF('AYIRA MINI MART FINAL MENU - Pr'!G23="", "", 'AYIRA MINI MART FINAL MENU - Pr'!G23)</f>
        <v/>
      </c>
      <c r="H23" s="56" t="str">
        <f>IF('AYIRA MINI MART FINAL MENU - Pr'!H23="", "", 'AYIRA MINI MART FINAL MENU - Pr'!H23)</f>
        <v/>
      </c>
      <c r="I23" s="56" t="str">
        <f>IF('AYIRA MINI MART FINAL MENU - Pr'!I23="", "", 'AYIRA MINI MART FINAL MENU - Pr'!I23)</f>
        <v/>
      </c>
      <c r="J23" s="56" t="str">
        <f>IFERROR(__xludf.DUMMYFUNCTION("IF('AYIRA MINI MART FINAL MENU - Pr'!J23="""", """", GOOGLETRANSLATE('AYIRA MINI MART FINAL MENU - Pr'!J23, ""en"", ""ar""))"),"يعرض")</f>
        <v>يعرض</v>
      </c>
      <c r="K23" s="56" t="str">
        <f>IF('AYIRA MINI MART FINAL MENU - Pr'!K23="", "", 'AYIRA MINI MART FINAL MENU - Pr'!K23)</f>
        <v/>
      </c>
      <c r="L23" s="56" t="str">
        <f>IF('AYIRA MINI MART FINAL MENU - Pr'!L23="", "", 'AYIRA MINI MART FINAL MENU - Pr'!L23)</f>
        <v/>
      </c>
      <c r="M23" s="56" t="str">
        <f>IF('AYIRA MINI MART FINAL MENU - Pr'!M23="", "", 'AYIRA MINI MART FINAL MENU - Pr'!M23)</f>
        <v/>
      </c>
      <c r="N23" s="56" t="str">
        <f>IF('AYIRA MINI MART FINAL MENU - Pr'!N23="", "", 'AYIRA MINI MART FINAL MENU - Pr'!N23)</f>
        <v/>
      </c>
      <c r="O23" s="57"/>
      <c r="P23" s="57"/>
      <c r="Q23" s="57"/>
      <c r="R23" s="57"/>
      <c r="S23" s="57"/>
      <c r="T23" s="57"/>
      <c r="U23" s="57"/>
      <c r="V23" s="57"/>
      <c r="W23" s="57"/>
      <c r="X23" s="57"/>
      <c r="Y23" s="57"/>
      <c r="Z23" s="57"/>
    </row>
    <row r="24">
      <c r="A24" s="56" t="str">
        <f>IFERROR(__xludf.DUMMYFUNCTION("IF('AYIRA MINI MART FINAL MENU - Pr'!A24="""", """", IF(LEN(TRIM(REGEXREPLACE(REGEXREPLACE('AYIRA MINI MART FINAL MENU - Pr'!A24, ""^[^\x{0600}-\x{06FF}]+"", """"), ""^[-–\s]+"", """")))&gt;0, TRIM(REGEXREPLACE(REGEXREPLACE('AYIRA MINI MART FINAL MENU - Pr'!"&amp;"A24, ""^[^\x{0600}-\x{06FF}]+"", """"), ""^[-–\s]+"", """")), GOOGLETRANSLATE('AYIRA MINI MART FINAL MENU - Pr'!A24, ""en"", ""ar"")))"),"مياه ريان المعدنية 330 مل × 30")</f>
        <v>مياه ريان المعدنية 330 مل × 30</v>
      </c>
      <c r="B24" s="56" t="str">
        <f>IFERROR(__xludf.DUMMYFUNCTION("IF('AYIRA MINI MART FINAL MENU - Pr'!B24="""", """", IF(LEN(TRIM(REGEXREPLACE(REGEXREPLACE('AYIRA MINI MART FINAL MENU - Pr'!B24, ""^[^\x{0600}-\x{06FF}]+"", """"), ""^[-–\s]+"", """")))&gt;0, TRIM(REGEXREPLACE(REGEXREPLACE('AYIRA MINI MART FINAL MENU - Pr'!"&amp;"B24, ""^[^\x{0600}-\x{06FF}]+"", """"), ""^[-–\s]+"", """")), GOOGLETRANSLATE('AYIRA MINI MART FINAL MENU - Pr'!B24, ""en"", ""ar"")))"),"المياه")</f>
        <v>المياه</v>
      </c>
      <c r="C24" s="56">
        <f>IF('AYIRA MINI MART FINAL MENU - Pr'!C24="", "", 'AYIRA MINI MART FINAL MENU - Pr'!C24)</f>
        <v>15</v>
      </c>
      <c r="D24" s="56" t="str">
        <f>IF('AYIRA MINI MART FINAL MENU - Pr'!D24="", "", 'AYIRA MINI MART FINAL MENU - Pr'!D24)</f>
        <v>اشرب ريان،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24" s="56" t="str">
        <f>IF('AYIRA MINI MART FINAL MENU - Pr'!E24="", "", 'AYIRA MINI MART FINAL MENU - Pr'!E24)</f>
        <v/>
      </c>
      <c r="F24" s="56" t="str">
        <f>IF('AYIRA MINI MART FINAL MENU - Pr'!F24="", "", 'AYIRA MINI MART FINAL MENU - Pr'!F24)</f>
        <v/>
      </c>
      <c r="G24" s="56" t="str">
        <f>IF('AYIRA MINI MART FINAL MENU - Pr'!G24="", "", 'AYIRA MINI MART FINAL MENU - Pr'!G24)</f>
        <v/>
      </c>
      <c r="H24" s="56" t="str">
        <f>IF('AYIRA MINI MART FINAL MENU - Pr'!H24="", "", 'AYIRA MINI MART FINAL MENU - Pr'!H24)</f>
        <v/>
      </c>
      <c r="I24" s="56" t="str">
        <f>IF('AYIRA MINI MART FINAL MENU - Pr'!I24="", "", 'AYIRA MINI MART FINAL MENU - Pr'!I24)</f>
        <v/>
      </c>
      <c r="J24" s="56" t="str">
        <f>IFERROR(__xludf.DUMMYFUNCTION("IF('AYIRA MINI MART FINAL MENU - Pr'!J24="""", """", GOOGLETRANSLATE('AYIRA MINI MART FINAL MENU - Pr'!J24, ""en"", ""ar""))"),"يعرض")</f>
        <v>يعرض</v>
      </c>
      <c r="K24" s="56" t="str">
        <f>IF('AYIRA MINI MART FINAL MENU - Pr'!K24="", "", 'AYIRA MINI MART FINAL MENU - Pr'!K24)</f>
        <v/>
      </c>
      <c r="L24" s="56" t="str">
        <f>IF('AYIRA MINI MART FINAL MENU - Pr'!L24="", "", 'AYIRA MINI MART FINAL MENU - Pr'!L24)</f>
        <v/>
      </c>
      <c r="M24" s="56" t="str">
        <f>IF('AYIRA MINI MART FINAL MENU - Pr'!M24="", "", 'AYIRA MINI MART FINAL MENU - Pr'!M24)</f>
        <v/>
      </c>
      <c r="N24" s="56" t="str">
        <f>IF('AYIRA MINI MART FINAL MENU - Pr'!N24="", "", 'AYIRA MINI MART FINAL MENU - Pr'!N24)</f>
        <v/>
      </c>
      <c r="O24" s="57"/>
      <c r="P24" s="57"/>
      <c r="Q24" s="57"/>
      <c r="R24" s="57"/>
      <c r="S24" s="57"/>
      <c r="T24" s="57"/>
      <c r="U24" s="57"/>
      <c r="V24" s="57"/>
      <c r="W24" s="57"/>
      <c r="X24" s="57"/>
      <c r="Y24" s="57"/>
      <c r="Z24" s="57"/>
    </row>
    <row r="25">
      <c r="A25" s="56" t="str">
        <f>IFERROR(__xludf.DUMMYFUNCTION("IF('AYIRA MINI MART FINAL MENU - Pr'!A25="""", """", IF(LEN(TRIM(REGEXREPLACE(REGEXREPLACE('AYIRA MINI MART FINAL MENU - Pr'!A25, ""^[^\x{0600}-\x{06FF}]+"", """"), ""^[-–\s]+"", """")))&gt;0, TRIM(REGEXREPLACE(REGEXREPLACE('AYIRA MINI MART FINAL MENU - Pr'!"&amp;"A25, ""^[^\x{0600}-\x{06FF}]+"", """"), ""^[-–\s]+"", """")), GOOGLETRANSLATE('AYIRA MINI MART FINAL MENU - Pr'!A25, ""en"", ""ar"")))"),"مياه ريان المعدنية 200 مل × 30")</f>
        <v>مياه ريان المعدنية 200 مل × 30</v>
      </c>
      <c r="B25" s="56" t="str">
        <f>IFERROR(__xludf.DUMMYFUNCTION("IF('AYIRA MINI MART FINAL MENU - Pr'!B25="""", """", IF(LEN(TRIM(REGEXREPLACE(REGEXREPLACE('AYIRA MINI MART FINAL MENU - Pr'!B25, ""^[^\x{0600}-\x{06FF}]+"", """"), ""^[-–\s]+"", """")))&gt;0, TRIM(REGEXREPLACE(REGEXREPLACE('AYIRA MINI MART FINAL MENU - Pr'!"&amp;"B25, ""^[^\x{0600}-\x{06FF}]+"", """"), ""^[-–\s]+"", """")), GOOGLETRANSLATE('AYIRA MINI MART FINAL MENU - Pr'!B25, ""en"", ""ar"")))"),"المياه")</f>
        <v>المياه</v>
      </c>
      <c r="C25" s="56">
        <f>IF('AYIRA MINI MART FINAL MENU - Pr'!C25="", "", 'AYIRA MINI MART FINAL MENU - Pr'!C25)</f>
        <v>14</v>
      </c>
      <c r="D25" s="56" t="str">
        <f>IF('AYIRA MINI MART FINAL MENU - Pr'!D25="", "", 'AYIRA MINI MART FINAL MENU - Pr'!D25)</f>
        <v>اشرب ريان،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25" s="56" t="str">
        <f>IF('AYIRA MINI MART FINAL MENU - Pr'!E25="", "", 'AYIRA MINI MART FINAL MENU - Pr'!E25)</f>
        <v/>
      </c>
      <c r="F25" s="56" t="str">
        <f>IF('AYIRA MINI MART FINAL MENU - Pr'!F25="", "", 'AYIRA MINI MART FINAL MENU - Pr'!F25)</f>
        <v/>
      </c>
      <c r="G25" s="56" t="str">
        <f>IF('AYIRA MINI MART FINAL MENU - Pr'!G25="", "", 'AYIRA MINI MART FINAL MENU - Pr'!G25)</f>
        <v/>
      </c>
      <c r="H25" s="56" t="str">
        <f>IF('AYIRA MINI MART FINAL MENU - Pr'!H25="", "", 'AYIRA MINI MART FINAL MENU - Pr'!H25)</f>
        <v/>
      </c>
      <c r="I25" s="56" t="str">
        <f>IF('AYIRA MINI MART FINAL MENU - Pr'!I25="", "", 'AYIRA MINI MART FINAL MENU - Pr'!I25)</f>
        <v/>
      </c>
      <c r="J25" s="56" t="str">
        <f>IFERROR(__xludf.DUMMYFUNCTION("IF('AYIRA MINI MART FINAL MENU - Pr'!J25="""", """", GOOGLETRANSLATE('AYIRA MINI MART FINAL MENU - Pr'!J25, ""en"", ""ar""))"),"يعرض")</f>
        <v>يعرض</v>
      </c>
      <c r="K25" s="56" t="str">
        <f>IF('AYIRA MINI MART FINAL MENU - Pr'!K25="", "", 'AYIRA MINI MART FINAL MENU - Pr'!K25)</f>
        <v/>
      </c>
      <c r="L25" s="56" t="str">
        <f>IF('AYIRA MINI MART FINAL MENU - Pr'!L25="", "", 'AYIRA MINI MART FINAL MENU - Pr'!L25)</f>
        <v/>
      </c>
      <c r="M25" s="56" t="str">
        <f>IF('AYIRA MINI MART FINAL MENU - Pr'!M25="", "", 'AYIRA MINI MART FINAL MENU - Pr'!M25)</f>
        <v/>
      </c>
      <c r="N25" s="56" t="str">
        <f>IF('AYIRA MINI MART FINAL MENU - Pr'!N25="", "", 'AYIRA MINI MART FINAL MENU - Pr'!N25)</f>
        <v/>
      </c>
      <c r="O25" s="57"/>
      <c r="P25" s="57"/>
      <c r="Q25" s="57"/>
      <c r="R25" s="57"/>
      <c r="S25" s="57"/>
      <c r="T25" s="57"/>
      <c r="U25" s="57"/>
      <c r="V25" s="57"/>
      <c r="W25" s="57"/>
      <c r="X25" s="57"/>
      <c r="Y25" s="57"/>
      <c r="Z25" s="57"/>
    </row>
    <row r="26">
      <c r="A26" s="56" t="str">
        <f>IFERROR(__xludf.DUMMYFUNCTION("IF('AYIRA MINI MART FINAL MENU - Pr'!A26="""", """", IF(LEN(TRIM(REGEXREPLACE(REGEXREPLACE('AYIRA MINI MART FINAL MENU - Pr'!A26, ""^[^\x{0600}-\x{06FF}]+"", """"), ""^[-–\s]+"", """")))&gt;0, TRIM(REGEXREPLACE(REGEXREPLACE('AYIRA MINI MART FINAL MENU - Pr'!"&amp;"A26, ""^[^\x{0600}-\x{06FF}]+"", """"), ""^[-–\s]+"", """")), GOOGLETRANSLATE('AYIRA MINI MART FINAL MENU - Pr'!A26, ""en"", ""ar"")))"),"مياه ريان طبيعية 330 مل × 12")</f>
        <v>مياه ريان طبيعية 330 مل × 12</v>
      </c>
      <c r="B26" s="56" t="str">
        <f>IFERROR(__xludf.DUMMYFUNCTION("IF('AYIRA MINI MART FINAL MENU - Pr'!B26="""", """", IF(LEN(TRIM(REGEXREPLACE(REGEXREPLACE('AYIRA MINI MART FINAL MENU - Pr'!B26, ""^[^\x{0600}-\x{06FF}]+"", """"), ""^[-–\s]+"", """")))&gt;0, TRIM(REGEXREPLACE(REGEXREPLACE('AYIRA MINI MART FINAL MENU - Pr'!"&amp;"B26, ""^[^\x{0600}-\x{06FF}]+"", """"), ""^[-–\s]+"", """")), GOOGLETRANSLATE('AYIRA MINI MART FINAL MENU - Pr'!B26, ""en"", ""ar"")))"),"المياه")</f>
        <v>المياه</v>
      </c>
      <c r="C26" s="56">
        <f>IF('AYIRA MINI MART FINAL MENU - Pr'!C26="", "", 'AYIRA MINI MART FINAL MENU - Pr'!C26)</f>
        <v>8</v>
      </c>
      <c r="D26" s="56" t="str">
        <f>IF('AYIRA MINI MART FINAL MENU - Pr'!D26="", "", 'AYIRA MINI MART FINAL MENU - Pr'!D26)</f>
        <v>اشرب ريان،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26" s="56" t="str">
        <f>IF('AYIRA MINI MART FINAL MENU - Pr'!E26="", "", 'AYIRA MINI MART FINAL MENU - Pr'!E26)</f>
        <v/>
      </c>
      <c r="F26" s="56" t="str">
        <f>IF('AYIRA MINI MART FINAL MENU - Pr'!F26="", "", 'AYIRA MINI MART FINAL MENU - Pr'!F26)</f>
        <v/>
      </c>
      <c r="G26" s="56" t="str">
        <f>IF('AYIRA MINI MART FINAL MENU - Pr'!G26="", "", 'AYIRA MINI MART FINAL MENU - Pr'!G26)</f>
        <v/>
      </c>
      <c r="H26" s="56" t="str">
        <f>IF('AYIRA MINI MART FINAL MENU - Pr'!H26="", "", 'AYIRA MINI MART FINAL MENU - Pr'!H26)</f>
        <v/>
      </c>
      <c r="I26" s="56" t="str">
        <f>IF('AYIRA MINI MART FINAL MENU - Pr'!I26="", "", 'AYIRA MINI MART FINAL MENU - Pr'!I26)</f>
        <v/>
      </c>
      <c r="J26" s="56" t="str">
        <f>IFERROR(__xludf.DUMMYFUNCTION("IF('AYIRA MINI MART FINAL MENU - Pr'!J26="""", """", GOOGLETRANSLATE('AYIRA MINI MART FINAL MENU - Pr'!J26, ""en"", ""ar""))"),"يعرض")</f>
        <v>يعرض</v>
      </c>
      <c r="K26" s="56" t="str">
        <f>IF('AYIRA MINI MART FINAL MENU - Pr'!K26="", "", 'AYIRA MINI MART FINAL MENU - Pr'!K26)</f>
        <v/>
      </c>
      <c r="L26" s="56" t="str">
        <f>IF('AYIRA MINI MART FINAL MENU - Pr'!L26="", "", 'AYIRA MINI MART FINAL MENU - Pr'!L26)</f>
        <v/>
      </c>
      <c r="M26" s="56" t="str">
        <f>IF('AYIRA MINI MART FINAL MENU - Pr'!M26="", "", 'AYIRA MINI MART FINAL MENU - Pr'!M26)</f>
        <v/>
      </c>
      <c r="N26" s="56" t="str">
        <f>IF('AYIRA MINI MART FINAL MENU - Pr'!N26="", "", 'AYIRA MINI MART FINAL MENU - Pr'!N26)</f>
        <v/>
      </c>
      <c r="O26" s="57"/>
      <c r="P26" s="57"/>
      <c r="Q26" s="57"/>
      <c r="R26" s="57"/>
      <c r="S26" s="57"/>
      <c r="T26" s="57"/>
      <c r="U26" s="57"/>
      <c r="V26" s="57"/>
      <c r="W26" s="57"/>
      <c r="X26" s="57"/>
      <c r="Y26" s="57"/>
      <c r="Z26" s="57"/>
    </row>
    <row r="27">
      <c r="A27" s="56" t="str">
        <f>IFERROR(__xludf.DUMMYFUNCTION("IF('AYIRA MINI MART FINAL MENU - Pr'!A27="""", """", IF(LEN(TRIM(REGEXREPLACE(REGEXREPLACE('AYIRA MINI MART FINAL MENU - Pr'!A27, ""^[^\x{0600}-\x{06FF}]+"", """"), ""^[-–\s]+"", """")))&gt;0, TRIM(REGEXREPLACE(REGEXREPLACE('AYIRA MINI MART FINAL MENU - Pr'!"&amp;"A27, ""^[^\x{0600}-\x{06FF}]+"", """"), ""^[-–\s]+"", """")), GOOGLETRANSLATE('AYIRA MINI MART FINAL MENU - Pr'!A27, ""en"", ""ar"")))"),"مياه ريان القلوية المعدنية 1.5 لتر × 6")</f>
        <v>مياه ريان القلوية المعدنية 1.5 لتر × 6</v>
      </c>
      <c r="B27" s="56" t="str">
        <f>IFERROR(__xludf.DUMMYFUNCTION("IF('AYIRA MINI MART FINAL MENU - Pr'!B27="""", """", IF(LEN(TRIM(REGEXREPLACE(REGEXREPLACE('AYIRA MINI MART FINAL MENU - Pr'!B27, ""^[^\x{0600}-\x{06FF}]+"", """"), ""^[-–\s]+"", """")))&gt;0, TRIM(REGEXREPLACE(REGEXREPLACE('AYIRA MINI MART FINAL MENU - Pr'!"&amp;"B27, ""^[^\x{0600}-\x{06FF}]+"", """"), ""^[-–\s]+"", """")), GOOGLETRANSLATE('AYIRA MINI MART FINAL MENU - Pr'!B27, ""en"", ""ar"")))"),"المياه")</f>
        <v>المياه</v>
      </c>
      <c r="C27" s="56">
        <f>IF('AYIRA MINI MART FINAL MENU - Pr'!C27="", "", 'AYIRA MINI MART FINAL MENU - Pr'!C27)</f>
        <v>9</v>
      </c>
      <c r="D27" s="56" t="str">
        <f>IF('AYIRA MINI MART FINAL MENU - Pr'!D27="", "", 'AYIRA MINI MART FINAL MENU - Pr'!D27)</f>
        <v>اشرب ريان،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27" s="56" t="str">
        <f>IF('AYIRA MINI MART FINAL MENU - Pr'!E27="", "", 'AYIRA MINI MART FINAL MENU - Pr'!E27)</f>
        <v/>
      </c>
      <c r="F27" s="56" t="str">
        <f>IF('AYIRA MINI MART FINAL MENU - Pr'!F27="", "", 'AYIRA MINI MART FINAL MENU - Pr'!F27)</f>
        <v/>
      </c>
      <c r="G27" s="56" t="str">
        <f>IF('AYIRA MINI MART FINAL MENU - Pr'!G27="", "", 'AYIRA MINI MART FINAL MENU - Pr'!G27)</f>
        <v/>
      </c>
      <c r="H27" s="56" t="str">
        <f>IF('AYIRA MINI MART FINAL MENU - Pr'!H27="", "", 'AYIRA MINI MART FINAL MENU - Pr'!H27)</f>
        <v/>
      </c>
      <c r="I27" s="56" t="str">
        <f>IF('AYIRA MINI MART FINAL MENU - Pr'!I27="", "", 'AYIRA MINI MART FINAL MENU - Pr'!I27)</f>
        <v/>
      </c>
      <c r="J27" s="56" t="str">
        <f>IFERROR(__xludf.DUMMYFUNCTION("IF('AYIRA MINI MART FINAL MENU - Pr'!J27="""", """", GOOGLETRANSLATE('AYIRA MINI MART FINAL MENU - Pr'!J27, ""en"", ""ar""))"),"يعرض")</f>
        <v>يعرض</v>
      </c>
      <c r="K27" s="56" t="str">
        <f>IF('AYIRA MINI MART FINAL MENU - Pr'!K27="", "", 'AYIRA MINI MART FINAL MENU - Pr'!K27)</f>
        <v/>
      </c>
      <c r="L27" s="56" t="str">
        <f>IF('AYIRA MINI MART FINAL MENU - Pr'!L27="", "", 'AYIRA MINI MART FINAL MENU - Pr'!L27)</f>
        <v/>
      </c>
      <c r="M27" s="56" t="str">
        <f>IF('AYIRA MINI MART FINAL MENU - Pr'!M27="", "", 'AYIRA MINI MART FINAL MENU - Pr'!M27)</f>
        <v/>
      </c>
      <c r="N27" s="56" t="str">
        <f>IF('AYIRA MINI MART FINAL MENU - Pr'!N27="", "", 'AYIRA MINI MART FINAL MENU - Pr'!N27)</f>
        <v/>
      </c>
      <c r="O27" s="57"/>
      <c r="P27" s="57"/>
      <c r="Q27" s="57"/>
      <c r="R27" s="57"/>
      <c r="S27" s="57"/>
      <c r="T27" s="57"/>
      <c r="U27" s="57"/>
      <c r="V27" s="57"/>
      <c r="W27" s="57"/>
      <c r="X27" s="57"/>
      <c r="Y27" s="57"/>
      <c r="Z27" s="57"/>
    </row>
    <row r="28">
      <c r="A28" s="56" t="str">
        <f>IFERROR(__xludf.DUMMYFUNCTION("IF('AYIRA MINI MART FINAL MENU - Pr'!A28="""", """", IF(LEN(TRIM(REGEXREPLACE(REGEXREPLACE('AYIRA MINI MART FINAL MENU - Pr'!A28, ""^[^\x{0600}-\x{06FF}]+"", """"), ""^[-–\s]+"", """")))&gt;0, TRIM(REGEXREPLACE(REGEXREPLACE('AYIRA MINI MART FINAL MENU - Pr'!"&amp;"A28, ""^[^\x{0600}-\x{06FF}]+"", """"), ""^[-–\s]+"", """")), GOOGLETRANSLATE('AYIRA MINI MART FINAL MENU - Pr'!A28, ""en"", ""ar"")))"),"مياه أروى 12 قطعة")</f>
        <v>مياه أروى 12 قطعة</v>
      </c>
      <c r="B28" s="56" t="str">
        <f>IFERROR(__xludf.DUMMYFUNCTION("IF('AYIRA MINI MART FINAL MENU - Pr'!B28="""", """", IF(LEN(TRIM(REGEXREPLACE(REGEXREPLACE('AYIRA MINI MART FINAL MENU - Pr'!B28, ""^[^\x{0600}-\x{06FF}]+"", """"), ""^[-–\s]+"", """")))&gt;0, TRIM(REGEXREPLACE(REGEXREPLACE('AYIRA MINI MART FINAL MENU - Pr'!"&amp;"B28, ""^[^\x{0600}-\x{06FF}]+"", """"), ""^[-–\s]+"", """")), GOOGLETRANSLATE('AYIRA MINI MART FINAL MENU - Pr'!B28, ""en"", ""ar"")))"),"المياه")</f>
        <v>المياه</v>
      </c>
      <c r="C28" s="56">
        <f>IF('AYIRA MINI MART FINAL MENU - Pr'!C28="", "", 'AYIRA MINI MART FINAL MENU - Pr'!C28)</f>
        <v>9</v>
      </c>
      <c r="D28" s="56" t="str">
        <f>IF('AYIRA MINI MART FINAL MENU - Pr'!D28="", "", 'AYIRA MINI MART FINAL MENU - Pr'!D28)</f>
        <v/>
      </c>
      <c r="E28" s="56" t="str">
        <f>IF('AYIRA MINI MART FINAL MENU - Pr'!E28="", "", 'AYIRA MINI MART FINAL MENU - Pr'!E28)</f>
        <v/>
      </c>
      <c r="F28" s="56" t="str">
        <f>IF('AYIRA MINI MART FINAL MENU - Pr'!F28="", "", 'AYIRA MINI MART FINAL MENU - Pr'!F28)</f>
        <v/>
      </c>
      <c r="G28" s="56" t="str">
        <f>IF('AYIRA MINI MART FINAL MENU - Pr'!G28="", "", 'AYIRA MINI MART FINAL MENU - Pr'!G28)</f>
        <v/>
      </c>
      <c r="H28" s="56" t="str">
        <f>IF('AYIRA MINI MART FINAL MENU - Pr'!H28="", "", 'AYIRA MINI MART FINAL MENU - Pr'!H28)</f>
        <v/>
      </c>
      <c r="I28" s="56" t="str">
        <f>IF('AYIRA MINI MART FINAL MENU - Pr'!I28="", "", 'AYIRA MINI MART FINAL MENU - Pr'!I28)</f>
        <v/>
      </c>
      <c r="J28" s="56" t="str">
        <f>IFERROR(__xludf.DUMMYFUNCTION("IF('AYIRA MINI MART FINAL MENU - Pr'!J28="""", """", GOOGLETRANSLATE('AYIRA MINI MART FINAL MENU - Pr'!J28, ""en"", ""ar""))"),"يعرض")</f>
        <v>يعرض</v>
      </c>
      <c r="K28" s="56" t="str">
        <f>IF('AYIRA MINI MART FINAL MENU - Pr'!K28="", "", 'AYIRA MINI MART FINAL MENU - Pr'!K28)</f>
        <v/>
      </c>
      <c r="L28" s="56" t="str">
        <f>IF('AYIRA MINI MART FINAL MENU - Pr'!L28="", "", 'AYIRA MINI MART FINAL MENU - Pr'!L28)</f>
        <v/>
      </c>
      <c r="M28" s="56" t="str">
        <f>IF('AYIRA MINI MART FINAL MENU - Pr'!M28="", "", 'AYIRA MINI MART FINAL MENU - Pr'!M28)</f>
        <v/>
      </c>
      <c r="N28" s="56" t="str">
        <f>IF('AYIRA MINI MART FINAL MENU - Pr'!N28="", "", 'AYIRA MINI MART FINAL MENU - Pr'!N28)</f>
        <v/>
      </c>
      <c r="O28" s="57"/>
      <c r="P28" s="57"/>
      <c r="Q28" s="57"/>
      <c r="R28" s="57"/>
      <c r="S28" s="57"/>
      <c r="T28" s="57"/>
      <c r="U28" s="57"/>
      <c r="V28" s="57"/>
      <c r="W28" s="57"/>
      <c r="X28" s="57"/>
      <c r="Y28" s="57"/>
      <c r="Z28" s="57"/>
    </row>
    <row r="29">
      <c r="A29" s="56" t="str">
        <f>IFERROR(__xludf.DUMMYFUNCTION("IF('AYIRA MINI MART FINAL MENU - Pr'!A29="""", """", IF(LEN(TRIM(REGEXREPLACE(REGEXREPLACE('AYIRA MINI MART FINAL MENU - Pr'!A29, ""^[^\x{0600}-\x{06FF}]+"", """"), ""^[-–\s]+"", """")))&gt;0, TRIM(REGEXREPLACE(REGEXREPLACE('AYIRA MINI MART FINAL MENU - Pr'!"&amp;"A29, ""^[^\x{0600}-\x{06FF}]+"", """"), ""^[-–\s]+"", """")), GOOGLETRANSLATE('AYIRA MINI MART FINAL MENU - Pr'!A29, ""en"", ""ar"")))"),"بران بذور الريحان بنكهة الليتشي بحجم 250 مل")</f>
        <v>بران بذور الريحان بنكهة الليتشي بحجم 250 مل</v>
      </c>
      <c r="B29" s="56" t="str">
        <f>IFERROR(__xludf.DUMMYFUNCTION("IF('AYIRA MINI MART FINAL MENU - Pr'!B29="""", """", IF(LEN(TRIM(REGEXREPLACE(REGEXREPLACE('AYIRA MINI MART FINAL MENU - Pr'!B29, ""^[^\x{0600}-\x{06FF}]+"", """"), ""^[-–\s]+"", """")))&gt;0, TRIM(REGEXREPLACE(REGEXREPLACE('AYIRA MINI MART FINAL MENU - Pr'!"&amp;"B29, ""^[^\x{0600}-\x{06FF}]+"", """"), ""^[-–\s]+"", """")), GOOGLETRANSLATE('AYIRA MINI MART FINAL MENU - Pr'!B29, ""en"", ""ar"")))"),"العصائر ومشروبات الفاكهة")</f>
        <v>العصائر ومشروبات الفاكهة</v>
      </c>
      <c r="C29" s="56">
        <f>IF('AYIRA MINI MART FINAL MENU - Pr'!C29="", "", 'AYIRA MINI MART FINAL MENU - Pr'!C29)</f>
        <v>2</v>
      </c>
      <c r="D29" s="56" t="str">
        <f>IF('AYIRA MINI MART FINAL MENU - Pr'!D29="", "", 'AYIRA MINI MART FINAL MENU - Pr'!D29)</f>
        <v>اكتشف Pran Basil Seed Lychee 250 ml بران بذور الريحان بنكهة الليتشي بحجم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9" s="56" t="str">
        <f>IF('AYIRA MINI MART FINAL MENU - Pr'!E29="", "", 'AYIRA MINI MART FINAL MENU - Pr'!E29)</f>
        <v/>
      </c>
      <c r="F29" s="56" t="str">
        <f>IF('AYIRA MINI MART FINAL MENU - Pr'!F29="", "", 'AYIRA MINI MART FINAL MENU - Pr'!F29)</f>
        <v/>
      </c>
      <c r="G29" s="56" t="str">
        <f>IF('AYIRA MINI MART FINAL MENU - Pr'!G29="", "", 'AYIRA MINI MART FINAL MENU - Pr'!G29)</f>
        <v/>
      </c>
      <c r="H29" s="56" t="str">
        <f>IF('AYIRA MINI MART FINAL MENU - Pr'!H29="", "", 'AYIRA MINI MART FINAL MENU - Pr'!H29)</f>
        <v/>
      </c>
      <c r="I29" s="56" t="str">
        <f>IF('AYIRA MINI MART FINAL MENU - Pr'!I29="", "", 'AYIRA MINI MART FINAL MENU - Pr'!I29)</f>
        <v/>
      </c>
      <c r="J29" s="56" t="str">
        <f>IFERROR(__xludf.DUMMYFUNCTION("IF('AYIRA MINI MART FINAL MENU - Pr'!J29="""", """", GOOGLETRANSLATE('AYIRA MINI MART FINAL MENU - Pr'!J29, ""en"", ""ar""))"),"يعرض")</f>
        <v>يعرض</v>
      </c>
      <c r="K29" s="56" t="str">
        <f>IF('AYIRA MINI MART FINAL MENU - Pr'!K29="", "", 'AYIRA MINI MART FINAL MENU - Pr'!K29)</f>
        <v/>
      </c>
      <c r="L29" s="56" t="str">
        <f>IF('AYIRA MINI MART FINAL MENU - Pr'!L29="", "", 'AYIRA MINI MART FINAL MENU - Pr'!L29)</f>
        <v/>
      </c>
      <c r="M29" s="56" t="str">
        <f>IF('AYIRA MINI MART FINAL MENU - Pr'!M29="", "", 'AYIRA MINI MART FINAL MENU - Pr'!M29)</f>
        <v/>
      </c>
      <c r="N29" s="56" t="str">
        <f>IF('AYIRA MINI MART FINAL MENU - Pr'!N29="", "", 'AYIRA MINI MART FINAL MENU - Pr'!N29)</f>
        <v/>
      </c>
      <c r="O29" s="57"/>
      <c r="P29" s="57"/>
      <c r="Q29" s="57"/>
      <c r="R29" s="57"/>
      <c r="S29" s="57"/>
      <c r="T29" s="57"/>
      <c r="U29" s="57"/>
      <c r="V29" s="57"/>
      <c r="W29" s="57"/>
      <c r="X29" s="57"/>
      <c r="Y29" s="57"/>
      <c r="Z29" s="57"/>
    </row>
    <row r="30">
      <c r="A30" s="56" t="str">
        <f>IFERROR(__xludf.DUMMYFUNCTION("IF('AYIRA MINI MART FINAL MENU - Pr'!A30="""", """", IF(LEN(TRIM(REGEXREPLACE(REGEXREPLACE('AYIRA MINI MART FINAL MENU - Pr'!A30, ""^[^\x{0600}-\x{06FF}]+"", """"), ""^[-–\s]+"", """")))&gt;0, TRIM(REGEXREPLACE(REGEXREPLACE('AYIRA MINI MART FINAL MENU - Pr'!"&amp;"A30, ""^[^\x{0600}-\x{06FF}]+"", """"), ""^[-–\s]+"", """")), GOOGLETRANSLATE('AYIRA MINI MART FINAL MENU - Pr'!A30, ""en"", ""ar"")))"),"مشروب كوكتيل فواكه كي دي دي 250 مل")</f>
        <v>مشروب كوكتيل فواكه كي دي دي 250 مل</v>
      </c>
      <c r="B30" s="56" t="str">
        <f>IFERROR(__xludf.DUMMYFUNCTION("IF('AYIRA MINI MART FINAL MENU - Pr'!B30="""", """", IF(LEN(TRIM(REGEXREPLACE(REGEXREPLACE('AYIRA MINI MART FINAL MENU - Pr'!B30, ""^[^\x{0600}-\x{06FF}]+"", """"), ""^[-–\s]+"", """")))&gt;0, TRIM(REGEXREPLACE(REGEXREPLACE('AYIRA MINI MART FINAL MENU - Pr'!"&amp;"B30, ""^[^\x{0600}-\x{06FF}]+"", """"), ""^[-–\s]+"", """")), GOOGLETRANSLATE('AYIRA MINI MART FINAL MENU - Pr'!B30, ""en"", ""ar"")))"),"العصائر ومشروبات الفاكهة")</f>
        <v>العصائر ومشروبات الفاكهة</v>
      </c>
      <c r="C30" s="56">
        <f>IF('AYIRA MINI MART FINAL MENU - Pr'!C30="", "", 'AYIRA MINI MART FINAL MENU - Pr'!C30)</f>
        <v>2</v>
      </c>
      <c r="D30" s="56" t="str">
        <f>IF('AYIRA MINI MART FINAL MENU - Pr'!D30="", "", 'AYIRA MINI MART FINAL MENU - Pr'!D30)</f>
        <v>استمتع بـ كي دي دي،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30" s="56" t="str">
        <f>IF('AYIRA MINI MART FINAL MENU - Pr'!E30="", "", 'AYIRA MINI MART FINAL MENU - Pr'!E30)</f>
        <v/>
      </c>
      <c r="F30" s="56" t="str">
        <f>IF('AYIRA MINI MART FINAL MENU - Pr'!F30="", "", 'AYIRA MINI MART FINAL MENU - Pr'!F30)</f>
        <v/>
      </c>
      <c r="G30" s="56" t="str">
        <f>IF('AYIRA MINI MART FINAL MENU - Pr'!G30="", "", 'AYIRA MINI MART FINAL MENU - Pr'!G30)</f>
        <v/>
      </c>
      <c r="H30" s="56" t="str">
        <f>IF('AYIRA MINI MART FINAL MENU - Pr'!H30="", "", 'AYIRA MINI MART FINAL MENU - Pr'!H30)</f>
        <v/>
      </c>
      <c r="I30" s="56" t="str">
        <f>IF('AYIRA MINI MART FINAL MENU - Pr'!I30="", "", 'AYIRA MINI MART FINAL MENU - Pr'!I30)</f>
        <v/>
      </c>
      <c r="J30" s="56" t="str">
        <f>IFERROR(__xludf.DUMMYFUNCTION("IF('AYIRA MINI MART FINAL MENU - Pr'!J30="""", """", GOOGLETRANSLATE('AYIRA MINI MART FINAL MENU - Pr'!J30, ""en"", ""ar""))"),"يعرض")</f>
        <v>يعرض</v>
      </c>
      <c r="K30" s="56" t="str">
        <f>IF('AYIRA MINI MART FINAL MENU - Pr'!K30="", "", 'AYIRA MINI MART FINAL MENU - Pr'!K30)</f>
        <v/>
      </c>
      <c r="L30" s="56" t="str">
        <f>IF('AYIRA MINI MART FINAL MENU - Pr'!L30="", "", 'AYIRA MINI MART FINAL MENU - Pr'!L30)</f>
        <v/>
      </c>
      <c r="M30" s="56" t="str">
        <f>IF('AYIRA MINI MART FINAL MENU - Pr'!M30="", "", 'AYIRA MINI MART FINAL MENU - Pr'!M30)</f>
        <v/>
      </c>
      <c r="N30" s="56" t="str">
        <f>IF('AYIRA MINI MART FINAL MENU - Pr'!N30="", "", 'AYIRA MINI MART FINAL MENU - Pr'!N30)</f>
        <v/>
      </c>
      <c r="O30" s="57"/>
      <c r="P30" s="57"/>
      <c r="Q30" s="57"/>
      <c r="R30" s="57"/>
      <c r="S30" s="57"/>
      <c r="T30" s="57"/>
      <c r="U30" s="57"/>
      <c r="V30" s="57"/>
      <c r="W30" s="57"/>
      <c r="X30" s="57"/>
      <c r="Y30" s="57"/>
      <c r="Z30" s="57"/>
    </row>
    <row r="31">
      <c r="A31" s="56" t="str">
        <f>IFERROR(__xludf.DUMMYFUNCTION("IF('AYIRA MINI MART FINAL MENU - Pr'!A31="""", """", IF(LEN(TRIM(REGEXREPLACE(REGEXREPLACE('AYIRA MINI MART FINAL MENU - Pr'!A31, ""^[^\x{0600}-\x{06FF}]+"", """"), ""^[-–\s]+"", """")))&gt;0, TRIM(REGEXREPLACE(REGEXREPLACE('AYIRA MINI MART FINAL MENU - Pr'!"&amp;"A31, ""^[^\x{0600}-\x{06FF}]+"", """"), ""^[-–\s]+"", """")), GOOGLETRANSLATE('AYIRA MINI MART FINAL MENU - Pr'!A31, ""en"", ""ar"")))"),"كي دي دي كرز مشروب 250 مل")</f>
        <v>كي دي دي كرز مشروب 250 مل</v>
      </c>
      <c r="B31" s="56" t="str">
        <f>IFERROR(__xludf.DUMMYFUNCTION("IF('AYIRA MINI MART FINAL MENU - Pr'!B31="""", """", IF(LEN(TRIM(REGEXREPLACE(REGEXREPLACE('AYIRA MINI MART FINAL MENU - Pr'!B31, ""^[^\x{0600}-\x{06FF}]+"", """"), ""^[-–\s]+"", """")))&gt;0, TRIM(REGEXREPLACE(REGEXREPLACE('AYIRA MINI MART FINAL MENU - Pr'!"&amp;"B31, ""^[^\x{0600}-\x{06FF}]+"", """"), ""^[-–\s]+"", """")), GOOGLETRANSLATE('AYIRA MINI MART FINAL MENU - Pr'!B31, ""en"", ""ar"")))"),"العصائر ومشروبات الفاكهة")</f>
        <v>العصائر ومشروبات الفاكهة</v>
      </c>
      <c r="C31" s="56">
        <f>IF('AYIRA MINI MART FINAL MENU - Pr'!C31="", "", 'AYIRA MINI MART FINAL MENU - Pr'!C31)</f>
        <v>2.5</v>
      </c>
      <c r="D31" s="56" t="str">
        <f>IF('AYIRA MINI MART FINAL MENU - Pr'!D31="", "", 'AYIRA MINI MART FINAL MENU - Pr'!D31)</f>
        <v>استمتع بـ كي دي دي،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31" s="56" t="str">
        <f>IF('AYIRA MINI MART FINAL MENU - Pr'!E31="", "", 'AYIRA MINI MART FINAL MENU - Pr'!E31)</f>
        <v/>
      </c>
      <c r="F31" s="56" t="str">
        <f>IF('AYIRA MINI MART FINAL MENU - Pr'!F31="", "", 'AYIRA MINI MART FINAL MENU - Pr'!F31)</f>
        <v/>
      </c>
      <c r="G31" s="56" t="str">
        <f>IF('AYIRA MINI MART FINAL MENU - Pr'!G31="", "", 'AYIRA MINI MART FINAL MENU - Pr'!G31)</f>
        <v/>
      </c>
      <c r="H31" s="56" t="str">
        <f>IF('AYIRA MINI MART FINAL MENU - Pr'!H31="", "", 'AYIRA MINI MART FINAL MENU - Pr'!H31)</f>
        <v/>
      </c>
      <c r="I31" s="56" t="str">
        <f>IF('AYIRA MINI MART FINAL MENU - Pr'!I31="", "", 'AYIRA MINI MART FINAL MENU - Pr'!I31)</f>
        <v/>
      </c>
      <c r="J31" s="56" t="str">
        <f>IFERROR(__xludf.DUMMYFUNCTION("IF('AYIRA MINI MART FINAL MENU - Pr'!J31="""", """", GOOGLETRANSLATE('AYIRA MINI MART FINAL MENU - Pr'!J31, ""en"", ""ar""))"),"يعرض")</f>
        <v>يعرض</v>
      </c>
      <c r="K31" s="56" t="str">
        <f>IF('AYIRA MINI MART FINAL MENU - Pr'!K31="", "", 'AYIRA MINI MART FINAL MENU - Pr'!K31)</f>
        <v/>
      </c>
      <c r="L31" s="56" t="str">
        <f>IF('AYIRA MINI MART FINAL MENU - Pr'!L31="", "", 'AYIRA MINI MART FINAL MENU - Pr'!L31)</f>
        <v/>
      </c>
      <c r="M31" s="56" t="str">
        <f>IF('AYIRA MINI MART FINAL MENU - Pr'!M31="", "", 'AYIRA MINI MART FINAL MENU - Pr'!M31)</f>
        <v/>
      </c>
      <c r="N31" s="56" t="str">
        <f>IF('AYIRA MINI MART FINAL MENU - Pr'!N31="", "", 'AYIRA MINI MART FINAL MENU - Pr'!N31)</f>
        <v/>
      </c>
      <c r="O31" s="57"/>
      <c r="P31" s="57"/>
      <c r="Q31" s="57"/>
      <c r="R31" s="57"/>
      <c r="S31" s="57"/>
      <c r="T31" s="57"/>
      <c r="U31" s="57"/>
      <c r="V31" s="57"/>
      <c r="W31" s="57"/>
      <c r="X31" s="57"/>
      <c r="Y31" s="57"/>
      <c r="Z31" s="57"/>
    </row>
    <row r="32">
      <c r="A32" s="56" t="str">
        <f>IFERROR(__xludf.DUMMYFUNCTION("IF('AYIRA MINI MART FINAL MENU - Pr'!A32="""", """", IF(LEN(TRIM(REGEXREPLACE(REGEXREPLACE('AYIRA MINI MART FINAL MENU - Pr'!A32, ""^[^\x{0600}-\x{06FF}]+"", """"), ""^[-–\s]+"", """")))&gt;0, TRIM(REGEXREPLACE(REGEXREPLACE('AYIRA MINI MART FINAL MENU - Pr'!"&amp;"A32, ""^[^\x{0600}-\x{06FF}]+"", """"), ""^[-–\s]+"", """")), GOOGLETRANSLATE('AYIRA MINI MART FINAL MENU - Pr'!A32, ""en"", ""ar"")))"),"كي دي دي جوافة نكتار 250 مل")</f>
        <v>كي دي دي جوافة نكتار 250 مل</v>
      </c>
      <c r="B32" s="56" t="str">
        <f>IFERROR(__xludf.DUMMYFUNCTION("IF('AYIRA MINI MART FINAL MENU - Pr'!B32="""", """", IF(LEN(TRIM(REGEXREPLACE(REGEXREPLACE('AYIRA MINI MART FINAL MENU - Pr'!B32, ""^[^\x{0600}-\x{06FF}]+"", """"), ""^[-–\s]+"", """")))&gt;0, TRIM(REGEXREPLACE(REGEXREPLACE('AYIRA MINI MART FINAL MENU - Pr'!"&amp;"B32, ""^[^\x{0600}-\x{06FF}]+"", """"), ""^[-–\s]+"", """")), GOOGLETRANSLATE('AYIRA MINI MART FINAL MENU - Pr'!B32, ""en"", ""ar"")))"),"العصائر ومشروبات الفاكهة")</f>
        <v>العصائر ومشروبات الفاكهة</v>
      </c>
      <c r="C32" s="56">
        <f>IF('AYIRA MINI MART FINAL MENU - Pr'!C32="", "", 'AYIRA MINI MART FINAL MENU - Pr'!C32)</f>
        <v>2.5</v>
      </c>
      <c r="D32" s="56" t="str">
        <f>IF('AYIRA MINI MART FINAL MENU - Pr'!D32="", "", 'AYIRA MINI MART FINAL MENU - Pr'!D32)</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2" s="56" t="str">
        <f>IF('AYIRA MINI MART FINAL MENU - Pr'!E32="", "", 'AYIRA MINI MART FINAL MENU - Pr'!E32)</f>
        <v/>
      </c>
      <c r="F32" s="56" t="str">
        <f>IF('AYIRA MINI MART FINAL MENU - Pr'!F32="", "", 'AYIRA MINI MART FINAL MENU - Pr'!F32)</f>
        <v/>
      </c>
      <c r="G32" s="56" t="str">
        <f>IF('AYIRA MINI MART FINAL MENU - Pr'!G32="", "", 'AYIRA MINI MART FINAL MENU - Pr'!G32)</f>
        <v/>
      </c>
      <c r="H32" s="56" t="str">
        <f>IF('AYIRA MINI MART FINAL MENU - Pr'!H32="", "", 'AYIRA MINI MART FINAL MENU - Pr'!H32)</f>
        <v/>
      </c>
      <c r="I32" s="56" t="str">
        <f>IF('AYIRA MINI MART FINAL MENU - Pr'!I32="", "", 'AYIRA MINI MART FINAL MENU - Pr'!I32)</f>
        <v/>
      </c>
      <c r="J32" s="56" t="str">
        <f>IFERROR(__xludf.DUMMYFUNCTION("IF('AYIRA MINI MART FINAL MENU - Pr'!J32="""", """", GOOGLETRANSLATE('AYIRA MINI MART FINAL MENU - Pr'!J32, ""en"", ""ar""))"),"يعرض")</f>
        <v>يعرض</v>
      </c>
      <c r="K32" s="56" t="str">
        <f>IF('AYIRA MINI MART FINAL MENU - Pr'!K32="", "", 'AYIRA MINI MART FINAL MENU - Pr'!K32)</f>
        <v/>
      </c>
      <c r="L32" s="56" t="str">
        <f>IF('AYIRA MINI MART FINAL MENU - Pr'!L32="", "", 'AYIRA MINI MART FINAL MENU - Pr'!L32)</f>
        <v/>
      </c>
      <c r="M32" s="56" t="str">
        <f>IF('AYIRA MINI MART FINAL MENU - Pr'!M32="", "", 'AYIRA MINI MART FINAL MENU - Pr'!M32)</f>
        <v/>
      </c>
      <c r="N32" s="56" t="str">
        <f>IF('AYIRA MINI MART FINAL MENU - Pr'!N32="", "", 'AYIRA MINI MART FINAL MENU - Pr'!N32)</f>
        <v/>
      </c>
      <c r="O32" s="57"/>
      <c r="P32" s="57"/>
      <c r="Q32" s="57"/>
      <c r="R32" s="57"/>
      <c r="S32" s="57"/>
      <c r="T32" s="57"/>
      <c r="U32" s="57"/>
      <c r="V32" s="57"/>
      <c r="W32" s="57"/>
      <c r="X32" s="57"/>
      <c r="Y32" s="57"/>
      <c r="Z32" s="57"/>
    </row>
    <row r="33">
      <c r="A33" s="56" t="str">
        <f>IFERROR(__xludf.DUMMYFUNCTION("IF('AYIRA MINI MART FINAL MENU - Pr'!A33="""", """", IF(LEN(TRIM(REGEXREPLACE(REGEXREPLACE('AYIRA MINI MART FINAL MENU - Pr'!A33, ""^[^\x{0600}-\x{06FF}]+"", """"), ""^[-–\s]+"", """")))&gt;0, TRIM(REGEXREPLACE(REGEXREPLACE('AYIRA MINI MART FINAL MENU - Pr'!"&amp;"A33, ""^[^\x{0600}-\x{06FF}]+"", """"), ""^[-–\s]+"", """")), GOOGLETRANSLATE('AYIRA MINI MART FINAL MENU - Pr'!A33, ""en"", ""ar"")))"),"كي دي دي مانجو نكتار 250 مل")</f>
        <v>كي دي دي مانجو نكتار 250 مل</v>
      </c>
      <c r="B33" s="56" t="str">
        <f>IFERROR(__xludf.DUMMYFUNCTION("IF('AYIRA MINI MART FINAL MENU - Pr'!B33="""", """", IF(LEN(TRIM(REGEXREPLACE(REGEXREPLACE('AYIRA MINI MART FINAL MENU - Pr'!B33, ""^[^\x{0600}-\x{06FF}]+"", """"), ""^[-–\s]+"", """")))&gt;0, TRIM(REGEXREPLACE(REGEXREPLACE('AYIRA MINI MART FINAL MENU - Pr'!"&amp;"B33, ""^[^\x{0600}-\x{06FF}]+"", """"), ""^[-–\s]+"", """")), GOOGLETRANSLATE('AYIRA MINI MART FINAL MENU - Pr'!B33, ""en"", ""ar"")))"),"العصائر ومشروبات الفاكهة")</f>
        <v>العصائر ومشروبات الفاكهة</v>
      </c>
      <c r="C33" s="56">
        <f>IF('AYIRA MINI MART FINAL MENU - Pr'!C33="", "", 'AYIRA MINI MART FINAL MENU - Pr'!C33)</f>
        <v>2.5</v>
      </c>
      <c r="D33" s="56" t="str">
        <f>IF('AYIRA MINI MART FINAL MENU - Pr'!D33="", "", 'AYIRA MINI MART FINAL MENU - Pr'!D33)</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3" s="56" t="str">
        <f>IF('AYIRA MINI MART FINAL MENU - Pr'!E33="", "", 'AYIRA MINI MART FINAL MENU - Pr'!E33)</f>
        <v/>
      </c>
      <c r="F33" s="56" t="str">
        <f>IF('AYIRA MINI MART FINAL MENU - Pr'!F33="", "", 'AYIRA MINI MART FINAL MENU - Pr'!F33)</f>
        <v/>
      </c>
      <c r="G33" s="56" t="str">
        <f>IF('AYIRA MINI MART FINAL MENU - Pr'!G33="", "", 'AYIRA MINI MART FINAL MENU - Pr'!G33)</f>
        <v/>
      </c>
      <c r="H33" s="56" t="str">
        <f>IF('AYIRA MINI MART FINAL MENU - Pr'!H33="", "", 'AYIRA MINI MART FINAL MENU - Pr'!H33)</f>
        <v/>
      </c>
      <c r="I33" s="56" t="str">
        <f>IF('AYIRA MINI MART FINAL MENU - Pr'!I33="", "", 'AYIRA MINI MART FINAL MENU - Pr'!I33)</f>
        <v/>
      </c>
      <c r="J33" s="56" t="str">
        <f>IFERROR(__xludf.DUMMYFUNCTION("IF('AYIRA MINI MART FINAL MENU - Pr'!J33="""", """", GOOGLETRANSLATE('AYIRA MINI MART FINAL MENU - Pr'!J33, ""en"", ""ar""))"),"يعرض")</f>
        <v>يعرض</v>
      </c>
      <c r="K33" s="56" t="str">
        <f>IF('AYIRA MINI MART FINAL MENU - Pr'!K33="", "", 'AYIRA MINI MART FINAL MENU - Pr'!K33)</f>
        <v/>
      </c>
      <c r="L33" s="56" t="str">
        <f>IF('AYIRA MINI MART FINAL MENU - Pr'!L33="", "", 'AYIRA MINI MART FINAL MENU - Pr'!L33)</f>
        <v/>
      </c>
      <c r="M33" s="56" t="str">
        <f>IF('AYIRA MINI MART FINAL MENU - Pr'!M33="", "", 'AYIRA MINI MART FINAL MENU - Pr'!M33)</f>
        <v/>
      </c>
      <c r="N33" s="56" t="str">
        <f>IF('AYIRA MINI MART FINAL MENU - Pr'!N33="", "", 'AYIRA MINI MART FINAL MENU - Pr'!N33)</f>
        <v/>
      </c>
      <c r="O33" s="57"/>
      <c r="P33" s="57"/>
      <c r="Q33" s="57"/>
      <c r="R33" s="57"/>
      <c r="S33" s="57"/>
      <c r="T33" s="57"/>
      <c r="U33" s="57"/>
      <c r="V33" s="57"/>
      <c r="W33" s="57"/>
      <c r="X33" s="57"/>
      <c r="Y33" s="57"/>
      <c r="Z33" s="57"/>
    </row>
    <row r="34">
      <c r="A34" s="56" t="str">
        <f>IFERROR(__xludf.DUMMYFUNCTION("IF('AYIRA MINI MART FINAL MENU - Pr'!A34="""", """", IF(LEN(TRIM(REGEXREPLACE(REGEXREPLACE('AYIRA MINI MART FINAL MENU - Pr'!A34, ""^[^\x{0600}-\x{06FF}]+"", """"), ""^[-–\s]+"", """")))&gt;0, TRIM(REGEXREPLACE(REGEXREPLACE('AYIRA MINI MART FINAL MENU - Pr'!"&amp;"A34, ""^[^\x{0600}-\x{06FF}]+"", """"), ""^[-–\s]+"", """")), GOOGLETRANSLATE('AYIRA MINI MART FINAL MENU - Pr'!A34, ""en"", ""ar"")))"),"كي دي دي 100% أناناس عصير 250 مل")</f>
        <v>كي دي دي 100% أناناس عصير 250 مل</v>
      </c>
      <c r="B34" s="56" t="str">
        <f>IFERROR(__xludf.DUMMYFUNCTION("IF('AYIRA MINI MART FINAL MENU - Pr'!B34="""", """", IF(LEN(TRIM(REGEXREPLACE(REGEXREPLACE('AYIRA MINI MART FINAL MENU - Pr'!B34, ""^[^\x{0600}-\x{06FF}]+"", """"), ""^[-–\s]+"", """")))&gt;0, TRIM(REGEXREPLACE(REGEXREPLACE('AYIRA MINI MART FINAL MENU - Pr'!"&amp;"B34, ""^[^\x{0600}-\x{06FF}]+"", """"), ""^[-–\s]+"", """")), GOOGLETRANSLATE('AYIRA MINI MART FINAL MENU - Pr'!B34, ""en"", ""ar"")))"),"العصائر ومشروبات الفاكهة")</f>
        <v>العصائر ومشروبات الفاكهة</v>
      </c>
      <c r="C34" s="56">
        <f>IF('AYIRA MINI MART FINAL MENU - Pr'!C34="", "", 'AYIRA MINI MART FINAL MENU - Pr'!C34)</f>
        <v>2.5</v>
      </c>
      <c r="D34" s="56" t="str">
        <f>IF('AYIRA MINI MART FINAL MENU - Pr'!D34="", "", 'AYIRA MINI MART FINAL MENU - Pr'!D34)</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4" s="56" t="str">
        <f>IF('AYIRA MINI MART FINAL MENU - Pr'!E34="", "", 'AYIRA MINI MART FINAL MENU - Pr'!E34)</f>
        <v/>
      </c>
      <c r="F34" s="56" t="str">
        <f>IF('AYIRA MINI MART FINAL MENU - Pr'!F34="", "", 'AYIRA MINI MART FINAL MENU - Pr'!F34)</f>
        <v/>
      </c>
      <c r="G34" s="56" t="str">
        <f>IF('AYIRA MINI MART FINAL MENU - Pr'!G34="", "", 'AYIRA MINI MART FINAL MENU - Pr'!G34)</f>
        <v/>
      </c>
      <c r="H34" s="56" t="str">
        <f>IF('AYIRA MINI MART FINAL MENU - Pr'!H34="", "", 'AYIRA MINI MART FINAL MENU - Pr'!H34)</f>
        <v/>
      </c>
      <c r="I34" s="56" t="str">
        <f>IF('AYIRA MINI MART FINAL MENU - Pr'!I34="", "", 'AYIRA MINI MART FINAL MENU - Pr'!I34)</f>
        <v/>
      </c>
      <c r="J34" s="56" t="str">
        <f>IFERROR(__xludf.DUMMYFUNCTION("IF('AYIRA MINI MART FINAL MENU - Pr'!J34="""", """", GOOGLETRANSLATE('AYIRA MINI MART FINAL MENU - Pr'!J34, ""en"", ""ar""))"),"يعرض")</f>
        <v>يعرض</v>
      </c>
      <c r="K34" s="56" t="str">
        <f>IF('AYIRA MINI MART FINAL MENU - Pr'!K34="", "", 'AYIRA MINI MART FINAL MENU - Pr'!K34)</f>
        <v/>
      </c>
      <c r="L34" s="56" t="str">
        <f>IF('AYIRA MINI MART FINAL MENU - Pr'!L34="", "", 'AYIRA MINI MART FINAL MENU - Pr'!L34)</f>
        <v/>
      </c>
      <c r="M34" s="56" t="str">
        <f>IF('AYIRA MINI MART FINAL MENU - Pr'!M34="", "", 'AYIRA MINI MART FINAL MENU - Pr'!M34)</f>
        <v/>
      </c>
      <c r="N34" s="56" t="str">
        <f>IF('AYIRA MINI MART FINAL MENU - Pr'!N34="", "", 'AYIRA MINI MART FINAL MENU - Pr'!N34)</f>
        <v/>
      </c>
      <c r="O34" s="57"/>
      <c r="P34" s="57"/>
      <c r="Q34" s="57"/>
      <c r="R34" s="57"/>
      <c r="S34" s="57"/>
      <c r="T34" s="57"/>
      <c r="U34" s="57"/>
      <c r="V34" s="57"/>
      <c r="W34" s="57"/>
      <c r="X34" s="57"/>
      <c r="Y34" s="57"/>
      <c r="Z34" s="57"/>
    </row>
    <row r="35">
      <c r="A35" s="56" t="str">
        <f>IFERROR(__xludf.DUMMYFUNCTION("IF('AYIRA MINI MART FINAL MENU - Pr'!A35="""", """", IF(LEN(TRIM(REGEXREPLACE(REGEXREPLACE('AYIRA MINI MART FINAL MENU - Pr'!A35, ""^[^\x{0600}-\x{06FF}]+"", """"), ""^[-–\s]+"", """")))&gt;0, TRIM(REGEXREPLACE(REGEXREPLACE('AYIRA MINI MART FINAL MENU - Pr'!"&amp;"A35, ""^[^\x{0600}-\x{06FF}]+"", """"), ""^[-–\s]+"", """")), GOOGLETRANSLATE('AYIRA MINI MART FINAL MENU - Pr'!A35, ""en"", ""ar"")))"),"كي دي دي 100% تفاح عصير 250 مل")</f>
        <v>كي دي دي 100% تفاح عصير 250 مل</v>
      </c>
      <c r="B35" s="56" t="str">
        <f>IFERROR(__xludf.DUMMYFUNCTION("IF('AYIRA MINI MART FINAL MENU - Pr'!B35="""", """", IF(LEN(TRIM(REGEXREPLACE(REGEXREPLACE('AYIRA MINI MART FINAL MENU - Pr'!B35, ""^[^\x{0600}-\x{06FF}]+"", """"), ""^[-–\s]+"", """")))&gt;0, TRIM(REGEXREPLACE(REGEXREPLACE('AYIRA MINI MART FINAL MENU - Pr'!"&amp;"B35, ""^[^\x{0600}-\x{06FF}]+"", """"), ""^[-–\s]+"", """")), GOOGLETRANSLATE('AYIRA MINI MART FINAL MENU - Pr'!B35, ""en"", ""ar"")))"),"العصائر ومشروبات الفاكهة")</f>
        <v>العصائر ومشروبات الفاكهة</v>
      </c>
      <c r="C35" s="56">
        <f>IF('AYIRA MINI MART FINAL MENU - Pr'!C35="", "", 'AYIRA MINI MART FINAL MENU - Pr'!C35)</f>
        <v>2.5</v>
      </c>
      <c r="D35" s="56" t="str">
        <f>IF('AYIRA MINI MART FINAL MENU - Pr'!D35="", "", 'AYIRA MINI MART FINAL MENU - Pr'!D35)</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5" s="56" t="str">
        <f>IF('AYIRA MINI MART FINAL MENU - Pr'!E35="", "", 'AYIRA MINI MART FINAL MENU - Pr'!E35)</f>
        <v/>
      </c>
      <c r="F35" s="56" t="str">
        <f>IF('AYIRA MINI MART FINAL MENU - Pr'!F35="", "", 'AYIRA MINI MART FINAL MENU - Pr'!F35)</f>
        <v/>
      </c>
      <c r="G35" s="56" t="str">
        <f>IF('AYIRA MINI MART FINAL MENU - Pr'!G35="", "", 'AYIRA MINI MART FINAL MENU - Pr'!G35)</f>
        <v/>
      </c>
      <c r="H35" s="56" t="str">
        <f>IF('AYIRA MINI MART FINAL MENU - Pr'!H35="", "", 'AYIRA MINI MART FINAL MENU - Pr'!H35)</f>
        <v/>
      </c>
      <c r="I35" s="56" t="str">
        <f>IF('AYIRA MINI MART FINAL MENU - Pr'!I35="", "", 'AYIRA MINI MART FINAL MENU - Pr'!I35)</f>
        <v/>
      </c>
      <c r="J35" s="56" t="str">
        <f>IFERROR(__xludf.DUMMYFUNCTION("IF('AYIRA MINI MART FINAL MENU - Pr'!J35="""", """", GOOGLETRANSLATE('AYIRA MINI MART FINAL MENU - Pr'!J35, ""en"", ""ar""))"),"يعرض")</f>
        <v>يعرض</v>
      </c>
      <c r="K35" s="56" t="str">
        <f>IF('AYIRA MINI MART FINAL MENU - Pr'!K35="", "", 'AYIRA MINI MART FINAL MENU - Pr'!K35)</f>
        <v/>
      </c>
      <c r="L35" s="56" t="str">
        <f>IF('AYIRA MINI MART FINAL MENU - Pr'!L35="", "", 'AYIRA MINI MART FINAL MENU - Pr'!L35)</f>
        <v/>
      </c>
      <c r="M35" s="56" t="str">
        <f>IF('AYIRA MINI MART FINAL MENU - Pr'!M35="", "", 'AYIRA MINI MART FINAL MENU - Pr'!M35)</f>
        <v/>
      </c>
      <c r="N35" s="56" t="str">
        <f>IF('AYIRA MINI MART FINAL MENU - Pr'!N35="", "", 'AYIRA MINI MART FINAL MENU - Pr'!N35)</f>
        <v/>
      </c>
      <c r="O35" s="57"/>
      <c r="P35" s="57"/>
      <c r="Q35" s="57"/>
      <c r="R35" s="57"/>
      <c r="S35" s="57"/>
      <c r="T35" s="57"/>
      <c r="U35" s="57"/>
      <c r="V35" s="57"/>
      <c r="W35" s="57"/>
      <c r="X35" s="57"/>
      <c r="Y35" s="57"/>
      <c r="Z35" s="57"/>
    </row>
    <row r="36">
      <c r="A36" s="56" t="str">
        <f>IFERROR(__xludf.DUMMYFUNCTION("IF('AYIRA MINI MART FINAL MENU - Pr'!A36="""", """", IF(LEN(TRIM(REGEXREPLACE(REGEXREPLACE('AYIRA MINI MART FINAL MENU - Pr'!A36, ""^[^\x{0600}-\x{06FF}]+"", """"), ""^[-–\s]+"", """")))&gt;0, TRIM(REGEXREPLACE(REGEXREPLACE('AYIRA MINI MART FINAL MENU - Pr'!"&amp;"A36, ""^[^\x{0600}-\x{06FF}]+"", """"), ""^[-–\s]+"", """")), GOOGLETRANSLATE('AYIRA MINI MART FINAL MENU - Pr'!A36, ""en"", ""ar"")))"),"كي دي دي 100% برتقال عصير 250 مل")</f>
        <v>كي دي دي 100% برتقال عصير 250 مل</v>
      </c>
      <c r="B36" s="56" t="str">
        <f>IFERROR(__xludf.DUMMYFUNCTION("IF('AYIRA MINI MART FINAL MENU - Pr'!B36="""", """", IF(LEN(TRIM(REGEXREPLACE(REGEXREPLACE('AYIRA MINI MART FINAL MENU - Pr'!B36, ""^[^\x{0600}-\x{06FF}]+"", """"), ""^[-–\s]+"", """")))&gt;0, TRIM(REGEXREPLACE(REGEXREPLACE('AYIRA MINI MART FINAL MENU - Pr'!"&amp;"B36, ""^[^\x{0600}-\x{06FF}]+"", """"), ""^[-–\s]+"", """")), GOOGLETRANSLATE('AYIRA MINI MART FINAL MENU - Pr'!B36, ""en"", ""ar"")))"),"العصائر ومشروبات الفاكهة")</f>
        <v>العصائر ومشروبات الفاكهة</v>
      </c>
      <c r="C36" s="56">
        <f>IF('AYIRA MINI MART FINAL MENU - Pr'!C36="", "", 'AYIRA MINI MART FINAL MENU - Pr'!C36)</f>
        <v>2.5</v>
      </c>
      <c r="D36" s="56" t="str">
        <f>IF('AYIRA MINI MART FINAL MENU - Pr'!D36="", "", 'AYIRA MINI MART FINAL MENU - Pr'!D36)</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6" s="56" t="str">
        <f>IF('AYIRA MINI MART FINAL MENU - Pr'!E36="", "", 'AYIRA MINI MART FINAL MENU - Pr'!E36)</f>
        <v/>
      </c>
      <c r="F36" s="56" t="str">
        <f>IF('AYIRA MINI MART FINAL MENU - Pr'!F36="", "", 'AYIRA MINI MART FINAL MENU - Pr'!F36)</f>
        <v/>
      </c>
      <c r="G36" s="56" t="str">
        <f>IF('AYIRA MINI MART FINAL MENU - Pr'!G36="", "", 'AYIRA MINI MART FINAL MENU - Pr'!G36)</f>
        <v/>
      </c>
      <c r="H36" s="56" t="str">
        <f>IF('AYIRA MINI MART FINAL MENU - Pr'!H36="", "", 'AYIRA MINI MART FINAL MENU - Pr'!H36)</f>
        <v/>
      </c>
      <c r="I36" s="56" t="str">
        <f>IF('AYIRA MINI MART FINAL MENU - Pr'!I36="", "", 'AYIRA MINI MART FINAL MENU - Pr'!I36)</f>
        <v/>
      </c>
      <c r="J36" s="56" t="str">
        <f>IFERROR(__xludf.DUMMYFUNCTION("IF('AYIRA MINI MART FINAL MENU - Pr'!J36="""", """", GOOGLETRANSLATE('AYIRA MINI MART FINAL MENU - Pr'!J36, ""en"", ""ar""))"),"يعرض")</f>
        <v>يعرض</v>
      </c>
      <c r="K36" s="56" t="str">
        <f>IF('AYIRA MINI MART FINAL MENU - Pr'!K36="", "", 'AYIRA MINI MART FINAL MENU - Pr'!K36)</f>
        <v/>
      </c>
      <c r="L36" s="56" t="str">
        <f>IF('AYIRA MINI MART FINAL MENU - Pr'!L36="", "", 'AYIRA MINI MART FINAL MENU - Pr'!L36)</f>
        <v/>
      </c>
      <c r="M36" s="56" t="str">
        <f>IF('AYIRA MINI MART FINAL MENU - Pr'!M36="", "", 'AYIRA MINI MART FINAL MENU - Pr'!M36)</f>
        <v/>
      </c>
      <c r="N36" s="56" t="str">
        <f>IF('AYIRA MINI MART FINAL MENU - Pr'!N36="", "", 'AYIRA MINI MART FINAL MENU - Pr'!N36)</f>
        <v/>
      </c>
      <c r="O36" s="57"/>
      <c r="P36" s="57"/>
      <c r="Q36" s="57"/>
      <c r="R36" s="57"/>
      <c r="S36" s="57"/>
      <c r="T36" s="57"/>
      <c r="U36" s="57"/>
      <c r="V36" s="57"/>
      <c r="W36" s="57"/>
      <c r="X36" s="57"/>
      <c r="Y36" s="57"/>
      <c r="Z36" s="57"/>
    </row>
    <row r="37">
      <c r="A37" s="56" t="str">
        <f>IFERROR(__xludf.DUMMYFUNCTION("IF('AYIRA MINI MART FINAL MENU - Pr'!A37="""", """", IF(LEN(TRIM(REGEXREPLACE(REGEXREPLACE('AYIRA MINI MART FINAL MENU - Pr'!A37, ""^[^\x{0600}-\x{06FF}]+"", """"), ""^[-–\s]+"", """")))&gt;0, TRIM(REGEXREPLACE(REGEXREPLACE('AYIRA MINI MART FINAL MENU - Pr'!"&amp;"A37, ""^[^\x{0600}-\x{06FF}]+"", """"), ""^[-–\s]+"", """")), GOOGLETRANSLATE('AYIRA MINI MART FINAL MENU - Pr'!A37, ""en"", ""ar"")))"),"كي دي دي خوخ نكتار 250 مل")</f>
        <v>كي دي دي خوخ نكتار 250 مل</v>
      </c>
      <c r="B37" s="56" t="str">
        <f>IFERROR(__xludf.DUMMYFUNCTION("IF('AYIRA MINI MART FINAL MENU - Pr'!B37="""", """", IF(LEN(TRIM(REGEXREPLACE(REGEXREPLACE('AYIRA MINI MART FINAL MENU - Pr'!B37, ""^[^\x{0600}-\x{06FF}]+"", """"), ""^[-–\s]+"", """")))&gt;0, TRIM(REGEXREPLACE(REGEXREPLACE('AYIRA MINI MART FINAL MENU - Pr'!"&amp;"B37, ""^[^\x{0600}-\x{06FF}]+"", """"), ""^[-–\s]+"", """")), GOOGLETRANSLATE('AYIRA MINI MART FINAL MENU - Pr'!B37, ""en"", ""ar"")))"),"العصائر ومشروبات الفاكهة")</f>
        <v>العصائر ومشروبات الفاكهة</v>
      </c>
      <c r="C37" s="56">
        <f>IF('AYIRA MINI MART FINAL MENU - Pr'!C37="", "", 'AYIRA MINI MART FINAL MENU - Pr'!C37)</f>
        <v>2.5</v>
      </c>
      <c r="D37" s="56" t="str">
        <f>IF('AYIRA MINI MART FINAL MENU - Pr'!D37="", "", 'AYIRA MINI MART FINAL MENU - Pr'!D37)</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7" s="56" t="str">
        <f>IF('AYIRA MINI MART FINAL MENU - Pr'!E37="", "", 'AYIRA MINI MART FINAL MENU - Pr'!E37)</f>
        <v/>
      </c>
      <c r="F37" s="56" t="str">
        <f>IF('AYIRA MINI MART FINAL MENU - Pr'!F37="", "", 'AYIRA MINI MART FINAL MENU - Pr'!F37)</f>
        <v/>
      </c>
      <c r="G37" s="56" t="str">
        <f>IF('AYIRA MINI MART FINAL MENU - Pr'!G37="", "", 'AYIRA MINI MART FINAL MENU - Pr'!G37)</f>
        <v/>
      </c>
      <c r="H37" s="56" t="str">
        <f>IF('AYIRA MINI MART FINAL MENU - Pr'!H37="", "", 'AYIRA MINI MART FINAL MENU - Pr'!H37)</f>
        <v/>
      </c>
      <c r="I37" s="56" t="str">
        <f>IF('AYIRA MINI MART FINAL MENU - Pr'!I37="", "", 'AYIRA MINI MART FINAL MENU - Pr'!I37)</f>
        <v/>
      </c>
      <c r="J37" s="56" t="str">
        <f>IFERROR(__xludf.DUMMYFUNCTION("IF('AYIRA MINI MART FINAL MENU - Pr'!J37="""", """", GOOGLETRANSLATE('AYIRA MINI MART FINAL MENU - Pr'!J37, ""en"", ""ar""))"),"يعرض")</f>
        <v>يعرض</v>
      </c>
      <c r="K37" s="56" t="str">
        <f>IF('AYIRA MINI MART FINAL MENU - Pr'!K37="", "", 'AYIRA MINI MART FINAL MENU - Pr'!K37)</f>
        <v/>
      </c>
      <c r="L37" s="56" t="str">
        <f>IF('AYIRA MINI MART FINAL MENU - Pr'!L37="", "", 'AYIRA MINI MART FINAL MENU - Pr'!L37)</f>
        <v/>
      </c>
      <c r="M37" s="56" t="str">
        <f>IF('AYIRA MINI MART FINAL MENU - Pr'!M37="", "", 'AYIRA MINI MART FINAL MENU - Pr'!M37)</f>
        <v/>
      </c>
      <c r="N37" s="56" t="str">
        <f>IF('AYIRA MINI MART FINAL MENU - Pr'!N37="", "", 'AYIRA MINI MART FINAL MENU - Pr'!N37)</f>
        <v/>
      </c>
      <c r="O37" s="57"/>
      <c r="P37" s="57"/>
      <c r="Q37" s="57"/>
      <c r="R37" s="57"/>
      <c r="S37" s="57"/>
      <c r="T37" s="57"/>
      <c r="U37" s="57"/>
      <c r="V37" s="57"/>
      <c r="W37" s="57"/>
      <c r="X37" s="57"/>
      <c r="Y37" s="57"/>
      <c r="Z37" s="57"/>
    </row>
    <row r="38">
      <c r="A38" s="56" t="str">
        <f>IFERROR(__xludf.DUMMYFUNCTION("IF('AYIRA MINI MART FINAL MENU - Pr'!A38="""", """", IF(LEN(TRIM(REGEXREPLACE(REGEXREPLACE('AYIRA MINI MART FINAL MENU - Pr'!A38, ""^[^\x{0600}-\x{06FF}]+"", """"), ""^[-–\s]+"", """")))&gt;0, TRIM(REGEXREPLACE(REGEXREPLACE('AYIRA MINI MART FINAL MENU - Pr'!"&amp;"A38, ""^[^\x{0600}-\x{06FF}]+"", """"), ""^[-–\s]+"", """")), GOOGLETRANSLATE('AYIRA MINI MART FINAL MENU - Pr'!A38, ""en"", ""ar"")))"),"كي دي دي Cocktail Fruit مشروب 180 مل")</f>
        <v>كي دي دي Cocktail Fruit مشروب 180 مل</v>
      </c>
      <c r="B38" s="56" t="str">
        <f>IFERROR(__xludf.DUMMYFUNCTION("IF('AYIRA MINI MART FINAL MENU - Pr'!B38="""", """", IF(LEN(TRIM(REGEXREPLACE(REGEXREPLACE('AYIRA MINI MART FINAL MENU - Pr'!B38, ""^[^\x{0600}-\x{06FF}]+"", """"), ""^[-–\s]+"", """")))&gt;0, TRIM(REGEXREPLACE(REGEXREPLACE('AYIRA MINI MART FINAL MENU - Pr'!"&amp;"B38, ""^[^\x{0600}-\x{06FF}]+"", """"), ""^[-–\s]+"", """")), GOOGLETRANSLATE('AYIRA MINI MART FINAL MENU - Pr'!B38, ""en"", ""ar"")))"),"العصائر ومشروبات الفاكهة")</f>
        <v>العصائر ومشروبات الفاكهة</v>
      </c>
      <c r="C38" s="56">
        <f>IF('AYIRA MINI MART FINAL MENU - Pr'!C38="", "", 'AYIRA MINI MART FINAL MENU - Pr'!C38)</f>
        <v>2</v>
      </c>
      <c r="D38" s="56" t="str">
        <f>IF('AYIRA MINI MART FINAL MENU - Pr'!D38="", "", 'AYIRA MINI MART FINAL MENU - Pr'!D38)</f>
        <v>استمتع بـ كي دي دي،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38" s="56" t="str">
        <f>IF('AYIRA MINI MART FINAL MENU - Pr'!E38="", "", 'AYIRA MINI MART FINAL MENU - Pr'!E38)</f>
        <v/>
      </c>
      <c r="F38" s="56" t="str">
        <f>IF('AYIRA MINI MART FINAL MENU - Pr'!F38="", "", 'AYIRA MINI MART FINAL MENU - Pr'!F38)</f>
        <v/>
      </c>
      <c r="G38" s="56" t="str">
        <f>IF('AYIRA MINI MART FINAL MENU - Pr'!G38="", "", 'AYIRA MINI MART FINAL MENU - Pr'!G38)</f>
        <v/>
      </c>
      <c r="H38" s="56" t="str">
        <f>IF('AYIRA MINI MART FINAL MENU - Pr'!H38="", "", 'AYIRA MINI MART FINAL MENU - Pr'!H38)</f>
        <v/>
      </c>
      <c r="I38" s="56" t="str">
        <f>IF('AYIRA MINI MART FINAL MENU - Pr'!I38="", "", 'AYIRA MINI MART FINAL MENU - Pr'!I38)</f>
        <v/>
      </c>
      <c r="J38" s="56" t="str">
        <f>IFERROR(__xludf.DUMMYFUNCTION("IF('AYIRA MINI MART FINAL MENU - Pr'!J38="""", """", GOOGLETRANSLATE('AYIRA MINI MART FINAL MENU - Pr'!J38, ""en"", ""ar""))"),"يعرض")</f>
        <v>يعرض</v>
      </c>
      <c r="K38" s="56" t="str">
        <f>IF('AYIRA MINI MART FINAL MENU - Pr'!K38="", "", 'AYIRA MINI MART FINAL MENU - Pr'!K38)</f>
        <v/>
      </c>
      <c r="L38" s="56" t="str">
        <f>IF('AYIRA MINI MART FINAL MENU - Pr'!L38="", "", 'AYIRA MINI MART FINAL MENU - Pr'!L38)</f>
        <v/>
      </c>
      <c r="M38" s="56" t="str">
        <f>IF('AYIRA MINI MART FINAL MENU - Pr'!M38="", "", 'AYIRA MINI MART FINAL MENU - Pr'!M38)</f>
        <v/>
      </c>
      <c r="N38" s="56" t="str">
        <f>IF('AYIRA MINI MART FINAL MENU - Pr'!N38="", "", 'AYIRA MINI MART FINAL MENU - Pr'!N38)</f>
        <v/>
      </c>
      <c r="O38" s="57"/>
      <c r="P38" s="57"/>
      <c r="Q38" s="57"/>
      <c r="R38" s="57"/>
      <c r="S38" s="57"/>
      <c r="T38" s="57"/>
      <c r="U38" s="57"/>
      <c r="V38" s="57"/>
      <c r="W38" s="57"/>
      <c r="X38" s="57"/>
      <c r="Y38" s="57"/>
      <c r="Z38" s="57"/>
    </row>
    <row r="39">
      <c r="A39" s="56" t="str">
        <f>IFERROR(__xludf.DUMMYFUNCTION("IF('AYIRA MINI MART FINAL MENU - Pr'!A39="""", """", IF(LEN(TRIM(REGEXREPLACE(REGEXREPLACE('AYIRA MINI MART FINAL MENU - Pr'!A39, ""^[^\x{0600}-\x{06FF}]+"", """"), ""^[-–\s]+"", """")))&gt;0, TRIM(REGEXREPLACE(REGEXREPLACE('AYIRA MINI MART FINAL MENU - Pr'!"&amp;"A39, ""^[^\x{0600}-\x{06FF}]+"", """"), ""^[-–\s]+"", """")), GOOGLETRANSLATE('AYIRA MINI MART FINAL MENU - Pr'!A39, ""en"", ""ar"")))"),"كي دي دي 100% برتقال عصير 180 مل")</f>
        <v>كي دي دي 100% برتقال عصير 180 مل</v>
      </c>
      <c r="B39" s="56" t="str">
        <f>IFERROR(__xludf.DUMMYFUNCTION("IF('AYIRA MINI MART FINAL MENU - Pr'!B39="""", """", IF(LEN(TRIM(REGEXREPLACE(REGEXREPLACE('AYIRA MINI MART FINAL MENU - Pr'!B39, ""^[^\x{0600}-\x{06FF}]+"", """"), ""^[-–\s]+"", """")))&gt;0, TRIM(REGEXREPLACE(REGEXREPLACE('AYIRA MINI MART FINAL MENU - Pr'!"&amp;"B39, ""^[^\x{0600}-\x{06FF}]+"", """"), ""^[-–\s]+"", """")), GOOGLETRANSLATE('AYIRA MINI MART FINAL MENU - Pr'!B39, ""en"", ""ar"")))"),"العصائر ومشروبات الفاكهة")</f>
        <v>العصائر ومشروبات الفاكهة</v>
      </c>
      <c r="C39" s="56">
        <f>IF('AYIRA MINI MART FINAL MENU - Pr'!C39="", "", 'AYIRA MINI MART FINAL MENU - Pr'!C39)</f>
        <v>2</v>
      </c>
      <c r="D39" s="56" t="str">
        <f>IF('AYIRA MINI MART FINAL MENU - Pr'!D39="", "", 'AYIRA MINI MART FINAL MENU - Pr'!D39)</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9" s="56" t="str">
        <f>IF('AYIRA MINI MART FINAL MENU - Pr'!E39="", "", 'AYIRA MINI MART FINAL MENU - Pr'!E39)</f>
        <v/>
      </c>
      <c r="F39" s="56" t="str">
        <f>IF('AYIRA MINI MART FINAL MENU - Pr'!F39="", "", 'AYIRA MINI MART FINAL MENU - Pr'!F39)</f>
        <v/>
      </c>
      <c r="G39" s="56" t="str">
        <f>IF('AYIRA MINI MART FINAL MENU - Pr'!G39="", "", 'AYIRA MINI MART FINAL MENU - Pr'!G39)</f>
        <v/>
      </c>
      <c r="H39" s="56" t="str">
        <f>IF('AYIRA MINI MART FINAL MENU - Pr'!H39="", "", 'AYIRA MINI MART FINAL MENU - Pr'!H39)</f>
        <v/>
      </c>
      <c r="I39" s="56" t="str">
        <f>IF('AYIRA MINI MART FINAL MENU - Pr'!I39="", "", 'AYIRA MINI MART FINAL MENU - Pr'!I39)</f>
        <v/>
      </c>
      <c r="J39" s="56" t="str">
        <f>IFERROR(__xludf.DUMMYFUNCTION("IF('AYIRA MINI MART FINAL MENU - Pr'!J39="""", """", GOOGLETRANSLATE('AYIRA MINI MART FINAL MENU - Pr'!J39, ""en"", ""ar""))"),"يعرض")</f>
        <v>يعرض</v>
      </c>
      <c r="K39" s="56" t="str">
        <f>IF('AYIRA MINI MART FINAL MENU - Pr'!K39="", "", 'AYIRA MINI MART FINAL MENU - Pr'!K39)</f>
        <v/>
      </c>
      <c r="L39" s="56" t="str">
        <f>IF('AYIRA MINI MART FINAL MENU - Pr'!L39="", "", 'AYIRA MINI MART FINAL MENU - Pr'!L39)</f>
        <v/>
      </c>
      <c r="M39" s="56" t="str">
        <f>IF('AYIRA MINI MART FINAL MENU - Pr'!M39="", "", 'AYIRA MINI MART FINAL MENU - Pr'!M39)</f>
        <v/>
      </c>
      <c r="N39" s="56" t="str">
        <f>IF('AYIRA MINI MART FINAL MENU - Pr'!N39="", "", 'AYIRA MINI MART FINAL MENU - Pr'!N39)</f>
        <v/>
      </c>
      <c r="O39" s="57"/>
      <c r="P39" s="57"/>
      <c r="Q39" s="57"/>
      <c r="R39" s="57"/>
      <c r="S39" s="57"/>
      <c r="T39" s="57"/>
      <c r="U39" s="57"/>
      <c r="V39" s="57"/>
      <c r="W39" s="57"/>
      <c r="X39" s="57"/>
      <c r="Y39" s="57"/>
      <c r="Z39" s="57"/>
    </row>
    <row r="40">
      <c r="A40" s="56" t="str">
        <f>IFERROR(__xludf.DUMMYFUNCTION("IF('AYIRA MINI MART FINAL MENU - Pr'!A40="""", """", IF(LEN(TRIM(REGEXREPLACE(REGEXREPLACE('AYIRA MINI MART FINAL MENU - Pr'!A40, ""^[^\x{0600}-\x{06FF}]+"", """"), ""^[-–\s]+"", """")))&gt;0, TRIM(REGEXREPLACE(REGEXREPLACE('AYIRA MINI MART FINAL MENU - Pr'!"&amp;"A40, ""^[^\x{0600}-\x{06FF}]+"", """"), ""^[-–\s]+"", """")), GOOGLETRANSLATE('AYIRA MINI MART FINAL MENU - Pr'!A40, ""en"", ""ar"")))"),"كي دي دي جوافة نكتار 180 مل")</f>
        <v>كي دي دي جوافة نكتار 180 مل</v>
      </c>
      <c r="B40" s="56" t="str">
        <f>IFERROR(__xludf.DUMMYFUNCTION("IF('AYIRA MINI MART FINAL MENU - Pr'!B40="""", """", IF(LEN(TRIM(REGEXREPLACE(REGEXREPLACE('AYIRA MINI MART FINAL MENU - Pr'!B40, ""^[^\x{0600}-\x{06FF}]+"", """"), ""^[-–\s]+"", """")))&gt;0, TRIM(REGEXREPLACE(REGEXREPLACE('AYIRA MINI MART FINAL MENU - Pr'!"&amp;"B40, ""^[^\x{0600}-\x{06FF}]+"", """"), ""^[-–\s]+"", """")), GOOGLETRANSLATE('AYIRA MINI MART FINAL MENU - Pr'!B40, ""en"", ""ar"")))"),"العصائر ومشروبات الفاكهة")</f>
        <v>العصائر ومشروبات الفاكهة</v>
      </c>
      <c r="C40" s="56">
        <f>IF('AYIRA MINI MART FINAL MENU - Pr'!C40="", "", 'AYIRA MINI MART FINAL MENU - Pr'!C40)</f>
        <v>2</v>
      </c>
      <c r="D40" s="56" t="str">
        <f>IF('AYIRA MINI MART FINAL MENU - Pr'!D40="", "", 'AYIRA MINI MART FINAL MENU - Pr'!D40)</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40" s="56" t="str">
        <f>IF('AYIRA MINI MART FINAL MENU - Pr'!E40="", "", 'AYIRA MINI MART FINAL MENU - Pr'!E40)</f>
        <v/>
      </c>
      <c r="F40" s="56" t="str">
        <f>IF('AYIRA MINI MART FINAL MENU - Pr'!F40="", "", 'AYIRA MINI MART FINAL MENU - Pr'!F40)</f>
        <v/>
      </c>
      <c r="G40" s="56" t="str">
        <f>IF('AYIRA MINI MART FINAL MENU - Pr'!G40="", "", 'AYIRA MINI MART FINAL MENU - Pr'!G40)</f>
        <v/>
      </c>
      <c r="H40" s="56" t="str">
        <f>IF('AYIRA MINI MART FINAL MENU - Pr'!H40="", "", 'AYIRA MINI MART FINAL MENU - Pr'!H40)</f>
        <v/>
      </c>
      <c r="I40" s="56" t="str">
        <f>IF('AYIRA MINI MART FINAL MENU - Pr'!I40="", "", 'AYIRA MINI MART FINAL MENU - Pr'!I40)</f>
        <v/>
      </c>
      <c r="J40" s="56" t="str">
        <f>IFERROR(__xludf.DUMMYFUNCTION("IF('AYIRA MINI MART FINAL MENU - Pr'!J40="""", """", GOOGLETRANSLATE('AYIRA MINI MART FINAL MENU - Pr'!J40, ""en"", ""ar""))"),"يعرض")</f>
        <v>يعرض</v>
      </c>
      <c r="K40" s="56" t="str">
        <f>IF('AYIRA MINI MART FINAL MENU - Pr'!K40="", "", 'AYIRA MINI MART FINAL MENU - Pr'!K40)</f>
        <v/>
      </c>
      <c r="L40" s="56" t="str">
        <f>IF('AYIRA MINI MART FINAL MENU - Pr'!L40="", "", 'AYIRA MINI MART FINAL MENU - Pr'!L40)</f>
        <v/>
      </c>
      <c r="M40" s="56" t="str">
        <f>IF('AYIRA MINI MART FINAL MENU - Pr'!M40="", "", 'AYIRA MINI MART FINAL MENU - Pr'!M40)</f>
        <v/>
      </c>
      <c r="N40" s="56" t="str">
        <f>IF('AYIRA MINI MART FINAL MENU - Pr'!N40="", "", 'AYIRA MINI MART FINAL MENU - Pr'!N40)</f>
        <v/>
      </c>
      <c r="O40" s="57"/>
      <c r="P40" s="57"/>
      <c r="Q40" s="57"/>
      <c r="R40" s="57"/>
      <c r="S40" s="57"/>
      <c r="T40" s="57"/>
      <c r="U40" s="57"/>
      <c r="V40" s="57"/>
      <c r="W40" s="57"/>
      <c r="X40" s="57"/>
      <c r="Y40" s="57"/>
      <c r="Z40" s="57"/>
    </row>
    <row r="41">
      <c r="A41" s="56" t="str">
        <f>IFERROR(__xludf.DUMMYFUNCTION("IF('AYIRA MINI MART FINAL MENU - Pr'!A41="""", """", IF(LEN(TRIM(REGEXREPLACE(REGEXREPLACE('AYIRA MINI MART FINAL MENU - Pr'!A41, ""^[^\x{0600}-\x{06FF}]+"", """"), ""^[-–\s]+"", """")))&gt;0, TRIM(REGEXREPLACE(REGEXREPLACE('AYIRA MINI MART FINAL MENU - Pr'!"&amp;"A41, ""^[^\x{0600}-\x{06FF}]+"", """"), ""^[-–\s]+"", """")), GOOGLETRANSLATE('AYIRA MINI MART FINAL MENU - Pr'!A41, ""en"", ""ar"")))"),"كي دي دي 100% تفاح عصير 180 مل")</f>
        <v>كي دي دي 100% تفاح عصير 180 مل</v>
      </c>
      <c r="B41" s="56" t="str">
        <f>IFERROR(__xludf.DUMMYFUNCTION("IF('AYIRA MINI MART FINAL MENU - Pr'!B41="""", """", IF(LEN(TRIM(REGEXREPLACE(REGEXREPLACE('AYIRA MINI MART FINAL MENU - Pr'!B41, ""^[^\x{0600}-\x{06FF}]+"", """"), ""^[-–\s]+"", """")))&gt;0, TRIM(REGEXREPLACE(REGEXREPLACE('AYIRA MINI MART FINAL MENU - Pr'!"&amp;"B41, ""^[^\x{0600}-\x{06FF}]+"", """"), ""^[-–\s]+"", """")), GOOGLETRANSLATE('AYIRA MINI MART FINAL MENU - Pr'!B41, ""en"", ""ar"")))"),"العصائر ومشروبات الفاكهة")</f>
        <v>العصائر ومشروبات الفاكهة</v>
      </c>
      <c r="C41" s="56">
        <f>IF('AYIRA MINI MART FINAL MENU - Pr'!C41="", "", 'AYIRA MINI MART FINAL MENU - Pr'!C41)</f>
        <v>2</v>
      </c>
      <c r="D41" s="56" t="str">
        <f>IF('AYIRA MINI MART FINAL MENU - Pr'!D41="", "", 'AYIRA MINI MART FINAL MENU - Pr'!D41)</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41" s="56" t="str">
        <f>IF('AYIRA MINI MART FINAL MENU - Pr'!E41="", "", 'AYIRA MINI MART FINAL MENU - Pr'!E41)</f>
        <v/>
      </c>
      <c r="F41" s="56" t="str">
        <f>IF('AYIRA MINI MART FINAL MENU - Pr'!F41="", "", 'AYIRA MINI MART FINAL MENU - Pr'!F41)</f>
        <v/>
      </c>
      <c r="G41" s="56" t="str">
        <f>IF('AYIRA MINI MART FINAL MENU - Pr'!G41="", "", 'AYIRA MINI MART FINAL MENU - Pr'!G41)</f>
        <v/>
      </c>
      <c r="H41" s="56" t="str">
        <f>IF('AYIRA MINI MART FINAL MENU - Pr'!H41="", "", 'AYIRA MINI MART FINAL MENU - Pr'!H41)</f>
        <v/>
      </c>
      <c r="I41" s="56" t="str">
        <f>IF('AYIRA MINI MART FINAL MENU - Pr'!I41="", "", 'AYIRA MINI MART FINAL MENU - Pr'!I41)</f>
        <v/>
      </c>
      <c r="J41" s="56" t="str">
        <f>IFERROR(__xludf.DUMMYFUNCTION("IF('AYIRA MINI MART FINAL MENU - Pr'!J41="""", """", GOOGLETRANSLATE('AYIRA MINI MART FINAL MENU - Pr'!J41, ""en"", ""ar""))"),"يعرض")</f>
        <v>يعرض</v>
      </c>
      <c r="K41" s="56" t="str">
        <f>IF('AYIRA MINI MART FINAL MENU - Pr'!K41="", "", 'AYIRA MINI MART FINAL MENU - Pr'!K41)</f>
        <v/>
      </c>
      <c r="L41" s="56" t="str">
        <f>IF('AYIRA MINI MART FINAL MENU - Pr'!L41="", "", 'AYIRA MINI MART FINAL MENU - Pr'!L41)</f>
        <v/>
      </c>
      <c r="M41" s="56" t="str">
        <f>IF('AYIRA MINI MART FINAL MENU - Pr'!M41="", "", 'AYIRA MINI MART FINAL MENU - Pr'!M41)</f>
        <v/>
      </c>
      <c r="N41" s="56" t="str">
        <f>IF('AYIRA MINI MART FINAL MENU - Pr'!N41="", "", 'AYIRA MINI MART FINAL MENU - Pr'!N41)</f>
        <v/>
      </c>
      <c r="O41" s="57"/>
      <c r="P41" s="57"/>
      <c r="Q41" s="57"/>
      <c r="R41" s="57"/>
      <c r="S41" s="57"/>
      <c r="T41" s="57"/>
      <c r="U41" s="57"/>
      <c r="V41" s="57"/>
      <c r="W41" s="57"/>
      <c r="X41" s="57"/>
      <c r="Y41" s="57"/>
      <c r="Z41" s="57"/>
    </row>
    <row r="42">
      <c r="A42" s="56" t="str">
        <f>IFERROR(__xludf.DUMMYFUNCTION("IF('AYIRA MINI MART FINAL MENU - Pr'!A42="""", """", IF(LEN(TRIM(REGEXREPLACE(REGEXREPLACE('AYIRA MINI MART FINAL MENU - Pr'!A42, ""^[^\x{0600}-\x{06FF}]+"", """"), ""^[-–\s]+"", """")))&gt;0, TRIM(REGEXREPLACE(REGEXREPLACE('AYIRA MINI MART FINAL MENU - Pr'!"&amp;"A42, ""^[^\x{0600}-\x{06FF}]+"", """"), ""^[-–\s]+"", """")), GOOGLETRANSLATE('AYIRA MINI MART FINAL MENU - Pr'!A42, ""en"", ""ar"")))"),"كي دي دي شوكولاتة حليب مدعم with فيتامينات A &amp; D 125 مل")</f>
        <v>كي دي دي شوكولاتة حليب مدعم with فيتامينات A &amp; D 125 مل</v>
      </c>
      <c r="B42" s="56" t="str">
        <f>IFERROR(__xludf.DUMMYFUNCTION("IF('AYIRA MINI MART FINAL MENU - Pr'!B42="""", """", IF(LEN(TRIM(REGEXREPLACE(REGEXREPLACE('AYIRA MINI MART FINAL MENU - Pr'!B42, ""^[^\x{0600}-\x{06FF}]+"", """"), ""^[-–\s]+"", """")))&gt;0, TRIM(REGEXREPLACE(REGEXREPLACE('AYIRA MINI MART FINAL MENU - Pr'!"&amp;"B42, ""^[^\x{0600}-\x{06FF}]+"", """"), ""^[-–\s]+"", """")), GOOGLETRANSLATE('AYIRA MINI MART FINAL MENU - Pr'!B42, ""en"", ""ar"")))"),"العصائر ومشروبات الفاكهة")</f>
        <v>العصائر ومشروبات الفاكهة</v>
      </c>
      <c r="C42" s="56">
        <f>IF('AYIRA MINI MART FINAL MENU - Pr'!C42="", "", 'AYIRA MINI MART FINAL MENU - Pr'!C42)</f>
        <v>2</v>
      </c>
      <c r="D42" s="56" t="str">
        <f>IF('AYIRA MINI MART FINAL MENU - Pr'!D42="", "", 'AYIRA MINI MART FINAL MENU - Pr'!D42)</f>
        <v>دلّل حواسك مع كي دي دي،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2" s="56" t="str">
        <f>IF('AYIRA MINI MART FINAL MENU - Pr'!E42="", "", 'AYIRA MINI MART FINAL MENU - Pr'!E42)</f>
        <v/>
      </c>
      <c r="F42" s="56" t="str">
        <f>IF('AYIRA MINI MART FINAL MENU - Pr'!F42="", "", 'AYIRA MINI MART FINAL MENU - Pr'!F42)</f>
        <v/>
      </c>
      <c r="G42" s="56" t="str">
        <f>IF('AYIRA MINI MART FINAL MENU - Pr'!G42="", "", 'AYIRA MINI MART FINAL MENU - Pr'!G42)</f>
        <v/>
      </c>
      <c r="H42" s="56" t="str">
        <f>IF('AYIRA MINI MART FINAL MENU - Pr'!H42="", "", 'AYIRA MINI MART FINAL MENU - Pr'!H42)</f>
        <v/>
      </c>
      <c r="I42" s="56" t="str">
        <f>IF('AYIRA MINI MART FINAL MENU - Pr'!I42="", "", 'AYIRA MINI MART FINAL MENU - Pr'!I42)</f>
        <v/>
      </c>
      <c r="J42" s="56" t="str">
        <f>IFERROR(__xludf.DUMMYFUNCTION("IF('AYIRA MINI MART FINAL MENU - Pr'!J42="""", """", GOOGLETRANSLATE('AYIRA MINI MART FINAL MENU - Pr'!J42, ""en"", ""ar""))"),"يعرض")</f>
        <v>يعرض</v>
      </c>
      <c r="K42" s="56" t="str">
        <f>IF('AYIRA MINI MART FINAL MENU - Pr'!K42="", "", 'AYIRA MINI MART FINAL MENU - Pr'!K42)</f>
        <v/>
      </c>
      <c r="L42" s="56" t="str">
        <f>IF('AYIRA MINI MART FINAL MENU - Pr'!L42="", "", 'AYIRA MINI MART FINAL MENU - Pr'!L42)</f>
        <v/>
      </c>
      <c r="M42" s="56" t="str">
        <f>IF('AYIRA MINI MART FINAL MENU - Pr'!M42="", "", 'AYIRA MINI MART FINAL MENU - Pr'!M42)</f>
        <v/>
      </c>
      <c r="N42" s="56" t="str">
        <f>IF('AYIRA MINI MART FINAL MENU - Pr'!N42="", "", 'AYIRA MINI MART FINAL MENU - Pr'!N42)</f>
        <v/>
      </c>
      <c r="O42" s="57"/>
      <c r="P42" s="57"/>
      <c r="Q42" s="57"/>
      <c r="R42" s="57"/>
      <c r="S42" s="57"/>
      <c r="T42" s="57"/>
      <c r="U42" s="57"/>
      <c r="V42" s="57"/>
      <c r="W42" s="57"/>
      <c r="X42" s="57"/>
      <c r="Y42" s="57"/>
      <c r="Z42" s="57"/>
    </row>
    <row r="43">
      <c r="A43" s="56" t="str">
        <f>IFERROR(__xludf.DUMMYFUNCTION("IF('AYIRA MINI MART FINAL MENU - Pr'!A43="""", """", IF(LEN(TRIM(REGEXREPLACE(REGEXREPLACE('AYIRA MINI MART FINAL MENU - Pr'!A43, ""^[^\x{0600}-\x{06FF}]+"", """"), ""^[-–\s]+"", """")))&gt;0, TRIM(REGEXREPLACE(REGEXREPLACE('AYIRA MINI MART FINAL MENU - Pr'!"&amp;"A43, ""^[^\x{0600}-\x{06FF}]+"", """"), ""^[-–\s]+"", """")), GOOGLETRANSLATE('AYIRA MINI MART FINAL MENU - Pr'!A43, ""en"", ""ar"")))"),"كي دي دي تفاح عصير 125 مل")</f>
        <v>كي دي دي تفاح عصير 125 مل</v>
      </c>
      <c r="B43" s="56" t="str">
        <f>IFERROR(__xludf.DUMMYFUNCTION("IF('AYIRA MINI MART FINAL MENU - Pr'!B43="""", """", IF(LEN(TRIM(REGEXREPLACE(REGEXREPLACE('AYIRA MINI MART FINAL MENU - Pr'!B43, ""^[^\x{0600}-\x{06FF}]+"", """"), ""^[-–\s]+"", """")))&gt;0, TRIM(REGEXREPLACE(REGEXREPLACE('AYIRA MINI MART FINAL MENU - Pr'!"&amp;"B43, ""^[^\x{0600}-\x{06FF}]+"", """"), ""^[-–\s]+"", """")), GOOGLETRANSLATE('AYIRA MINI MART FINAL MENU - Pr'!B43, ""en"", ""ar"")))"),"العصائر ومشروبات الفاكهة")</f>
        <v>العصائر ومشروبات الفاكهة</v>
      </c>
      <c r="C43" s="56">
        <f>IF('AYIRA MINI MART FINAL MENU - Pr'!C43="", "", 'AYIRA MINI MART FINAL MENU - Pr'!C43)</f>
        <v>2</v>
      </c>
      <c r="D43" s="56" t="str">
        <f>IF('AYIRA MINI MART FINAL MENU - Pr'!D43="", "", 'AYIRA MINI MART FINAL MENU - Pr'!D43)</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43" s="56" t="str">
        <f>IF('AYIRA MINI MART FINAL MENU - Pr'!E43="", "", 'AYIRA MINI MART FINAL MENU - Pr'!E43)</f>
        <v/>
      </c>
      <c r="F43" s="56" t="str">
        <f>IF('AYIRA MINI MART FINAL MENU - Pr'!F43="", "", 'AYIRA MINI MART FINAL MENU - Pr'!F43)</f>
        <v/>
      </c>
      <c r="G43" s="56" t="str">
        <f>IF('AYIRA MINI MART FINAL MENU - Pr'!G43="", "", 'AYIRA MINI MART FINAL MENU - Pr'!G43)</f>
        <v/>
      </c>
      <c r="H43" s="56" t="str">
        <f>IF('AYIRA MINI MART FINAL MENU - Pr'!H43="", "", 'AYIRA MINI MART FINAL MENU - Pr'!H43)</f>
        <v/>
      </c>
      <c r="I43" s="56" t="str">
        <f>IF('AYIRA MINI MART FINAL MENU - Pr'!I43="", "", 'AYIRA MINI MART FINAL MENU - Pr'!I43)</f>
        <v/>
      </c>
      <c r="J43" s="56" t="str">
        <f>IFERROR(__xludf.DUMMYFUNCTION("IF('AYIRA MINI MART FINAL MENU - Pr'!J43="""", """", GOOGLETRANSLATE('AYIRA MINI MART FINAL MENU - Pr'!J43, ""en"", ""ar""))"),"يعرض")</f>
        <v>يعرض</v>
      </c>
      <c r="K43" s="56" t="str">
        <f>IF('AYIRA MINI MART FINAL MENU - Pr'!K43="", "", 'AYIRA MINI MART FINAL MENU - Pr'!K43)</f>
        <v/>
      </c>
      <c r="L43" s="56" t="str">
        <f>IF('AYIRA MINI MART FINAL MENU - Pr'!L43="", "", 'AYIRA MINI MART FINAL MENU - Pr'!L43)</f>
        <v/>
      </c>
      <c r="M43" s="56" t="str">
        <f>IF('AYIRA MINI MART FINAL MENU - Pr'!M43="", "", 'AYIRA MINI MART FINAL MENU - Pr'!M43)</f>
        <v/>
      </c>
      <c r="N43" s="56" t="str">
        <f>IF('AYIRA MINI MART FINAL MENU - Pr'!N43="", "", 'AYIRA MINI MART FINAL MENU - Pr'!N43)</f>
        <v/>
      </c>
      <c r="O43" s="57"/>
      <c r="P43" s="57"/>
      <c r="Q43" s="57"/>
      <c r="R43" s="57"/>
      <c r="S43" s="57"/>
      <c r="T43" s="57"/>
      <c r="U43" s="57"/>
      <c r="V43" s="57"/>
      <c r="W43" s="57"/>
      <c r="X43" s="57"/>
      <c r="Y43" s="57"/>
      <c r="Z43" s="57"/>
    </row>
    <row r="44">
      <c r="A44" s="56" t="str">
        <f>IFERROR(__xludf.DUMMYFUNCTION("IF('AYIRA MINI MART FINAL MENU - Pr'!A44="""", """", IF(LEN(TRIM(REGEXREPLACE(REGEXREPLACE('AYIRA MINI MART FINAL MENU - Pr'!A44, ""^[^\x{0600}-\x{06FF}]+"", """"), ""^[-–\s]+"", """")))&gt;0, TRIM(REGEXREPLACE(REGEXREPLACE('AYIRA MINI MART FINAL MENU - Pr'!"&amp;"A44, ""^[^\x{0600}-\x{06FF}]+"", """"), ""^[-–\s]+"", """")), GOOGLETRANSLATE('AYIRA MINI MART FINAL MENU - Pr'!A44, ""en"", ""ar"")))"),"كي دي دي مانجو نكتار 125 مل")</f>
        <v>كي دي دي مانجو نكتار 125 مل</v>
      </c>
      <c r="B44" s="56" t="str">
        <f>IFERROR(__xludf.DUMMYFUNCTION("IF('AYIRA MINI MART FINAL MENU - Pr'!B44="""", """", IF(LEN(TRIM(REGEXREPLACE(REGEXREPLACE('AYIRA MINI MART FINAL MENU - Pr'!B44, ""^[^\x{0600}-\x{06FF}]+"", """"), ""^[-–\s]+"", """")))&gt;0, TRIM(REGEXREPLACE(REGEXREPLACE('AYIRA MINI MART FINAL MENU - Pr'!"&amp;"B44, ""^[^\x{0600}-\x{06FF}]+"", """"), ""^[-–\s]+"", """")), GOOGLETRANSLATE('AYIRA MINI MART FINAL MENU - Pr'!B44, ""en"", ""ar"")))"),"العصائر ومشروبات الفاكهة")</f>
        <v>العصائر ومشروبات الفاكهة</v>
      </c>
      <c r="C44" s="56">
        <f>IF('AYIRA MINI MART FINAL MENU - Pr'!C44="", "", 'AYIRA MINI MART FINAL MENU - Pr'!C44)</f>
        <v>1.25</v>
      </c>
      <c r="D44" s="56" t="str">
        <f>IF('AYIRA MINI MART FINAL MENU - Pr'!D44="", "", 'AYIRA MINI MART FINAL MENU - Pr'!D44)</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44" s="56" t="str">
        <f>IF('AYIRA MINI MART FINAL MENU - Pr'!E44="", "", 'AYIRA MINI MART FINAL MENU - Pr'!E44)</f>
        <v/>
      </c>
      <c r="F44" s="56" t="str">
        <f>IF('AYIRA MINI MART FINAL MENU - Pr'!F44="", "", 'AYIRA MINI MART FINAL MENU - Pr'!F44)</f>
        <v/>
      </c>
      <c r="G44" s="56" t="str">
        <f>IF('AYIRA MINI MART FINAL MENU - Pr'!G44="", "", 'AYIRA MINI MART FINAL MENU - Pr'!G44)</f>
        <v/>
      </c>
      <c r="H44" s="56" t="str">
        <f>IF('AYIRA MINI MART FINAL MENU - Pr'!H44="", "", 'AYIRA MINI MART FINAL MENU - Pr'!H44)</f>
        <v/>
      </c>
      <c r="I44" s="56" t="str">
        <f>IF('AYIRA MINI MART FINAL MENU - Pr'!I44="", "", 'AYIRA MINI MART FINAL MENU - Pr'!I44)</f>
        <v/>
      </c>
      <c r="J44" s="56" t="str">
        <f>IFERROR(__xludf.DUMMYFUNCTION("IF('AYIRA MINI MART FINAL MENU - Pr'!J44="""", """", GOOGLETRANSLATE('AYIRA MINI MART FINAL MENU - Pr'!J44, ""en"", ""ar""))"),"يعرض")</f>
        <v>يعرض</v>
      </c>
      <c r="K44" s="56" t="str">
        <f>IF('AYIRA MINI MART FINAL MENU - Pr'!K44="", "", 'AYIRA MINI MART FINAL MENU - Pr'!K44)</f>
        <v/>
      </c>
      <c r="L44" s="56" t="str">
        <f>IF('AYIRA MINI MART FINAL MENU - Pr'!L44="", "", 'AYIRA MINI MART FINAL MENU - Pr'!L44)</f>
        <v/>
      </c>
      <c r="M44" s="56" t="str">
        <f>IF('AYIRA MINI MART FINAL MENU - Pr'!M44="", "", 'AYIRA MINI MART FINAL MENU - Pr'!M44)</f>
        <v/>
      </c>
      <c r="N44" s="56" t="str">
        <f>IF('AYIRA MINI MART FINAL MENU - Pr'!N44="", "", 'AYIRA MINI MART FINAL MENU - Pr'!N44)</f>
        <v/>
      </c>
      <c r="O44" s="57"/>
      <c r="P44" s="57"/>
      <c r="Q44" s="57"/>
      <c r="R44" s="57"/>
      <c r="S44" s="57"/>
      <c r="T44" s="57"/>
      <c r="U44" s="57"/>
      <c r="V44" s="57"/>
      <c r="W44" s="57"/>
      <c r="X44" s="57"/>
      <c r="Y44" s="57"/>
      <c r="Z44" s="57"/>
    </row>
    <row r="45">
      <c r="A45" s="56" t="str">
        <f>IFERROR(__xludf.DUMMYFUNCTION("IF('AYIRA MINI MART FINAL MENU - Pr'!A45="""", """", IF(LEN(TRIM(REGEXREPLACE(REGEXREPLACE('AYIRA MINI MART FINAL MENU - Pr'!A45, ""^[^\x{0600}-\x{06FF}]+"", """"), ""^[-–\s]+"", """")))&gt;0, TRIM(REGEXREPLACE(REGEXREPLACE('AYIRA MINI MART FINAL MENU - Pr'!"&amp;"A45, ""^[^\x{0600}-\x{06FF}]+"", """"), ""^[-–\s]+"", """")), GOOGLETRANSLATE('AYIRA MINI MART FINAL MENU - Pr'!A45, ""en"", ""ar"")))"),"كي دي دي Cocktail Fruit مشروب 125 مل")</f>
        <v>كي دي دي Cocktail Fruit مشروب 125 مل</v>
      </c>
      <c r="B45" s="56" t="str">
        <f>IFERROR(__xludf.DUMMYFUNCTION("IF('AYIRA MINI MART FINAL MENU - Pr'!B45="""", """", IF(LEN(TRIM(REGEXREPLACE(REGEXREPLACE('AYIRA MINI MART FINAL MENU - Pr'!B45, ""^[^\x{0600}-\x{06FF}]+"", """"), ""^[-–\s]+"", """")))&gt;0, TRIM(REGEXREPLACE(REGEXREPLACE('AYIRA MINI MART FINAL MENU - Pr'!"&amp;"B45, ""^[^\x{0600}-\x{06FF}]+"", """"), ""^[-–\s]+"", """")), GOOGLETRANSLATE('AYIRA MINI MART FINAL MENU - Pr'!B45, ""en"", ""ar"")))"),"العصائر ومشروبات الفاكهة")</f>
        <v>العصائر ومشروبات الفاكهة</v>
      </c>
      <c r="C45" s="56">
        <f>IF('AYIRA MINI MART FINAL MENU - Pr'!C45="", "", 'AYIRA MINI MART FINAL MENU - Pr'!C45)</f>
        <v>1.25</v>
      </c>
      <c r="D45" s="56" t="str">
        <f>IF('AYIRA MINI MART FINAL MENU - Pr'!D45="", "", 'AYIRA MINI MART FINAL MENU - Pr'!D45)</f>
        <v>استمتع بـ كي دي دي،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45" s="56" t="str">
        <f>IF('AYIRA MINI MART FINAL MENU - Pr'!E45="", "", 'AYIRA MINI MART FINAL MENU - Pr'!E45)</f>
        <v/>
      </c>
      <c r="F45" s="56" t="str">
        <f>IF('AYIRA MINI MART FINAL MENU - Pr'!F45="", "", 'AYIRA MINI MART FINAL MENU - Pr'!F45)</f>
        <v/>
      </c>
      <c r="G45" s="56" t="str">
        <f>IF('AYIRA MINI MART FINAL MENU - Pr'!G45="", "", 'AYIRA MINI MART FINAL MENU - Pr'!G45)</f>
        <v/>
      </c>
      <c r="H45" s="56" t="str">
        <f>IF('AYIRA MINI MART FINAL MENU - Pr'!H45="", "", 'AYIRA MINI MART FINAL MENU - Pr'!H45)</f>
        <v/>
      </c>
      <c r="I45" s="56" t="str">
        <f>IF('AYIRA MINI MART FINAL MENU - Pr'!I45="", "", 'AYIRA MINI MART FINAL MENU - Pr'!I45)</f>
        <v/>
      </c>
      <c r="J45" s="56" t="str">
        <f>IFERROR(__xludf.DUMMYFUNCTION("IF('AYIRA MINI MART FINAL MENU - Pr'!J45="""", """", GOOGLETRANSLATE('AYIRA MINI MART FINAL MENU - Pr'!J45, ""en"", ""ar""))"),"يعرض")</f>
        <v>يعرض</v>
      </c>
      <c r="K45" s="56" t="str">
        <f>IF('AYIRA MINI MART FINAL MENU - Pr'!K45="", "", 'AYIRA MINI MART FINAL MENU - Pr'!K45)</f>
        <v/>
      </c>
      <c r="L45" s="56" t="str">
        <f>IF('AYIRA MINI MART FINAL MENU - Pr'!L45="", "", 'AYIRA MINI MART FINAL MENU - Pr'!L45)</f>
        <v/>
      </c>
      <c r="M45" s="56" t="str">
        <f>IF('AYIRA MINI MART FINAL MENU - Pr'!M45="", "", 'AYIRA MINI MART FINAL MENU - Pr'!M45)</f>
        <v/>
      </c>
      <c r="N45" s="56" t="str">
        <f>IF('AYIRA MINI MART FINAL MENU - Pr'!N45="", "", 'AYIRA MINI MART FINAL MENU - Pr'!N45)</f>
        <v/>
      </c>
      <c r="O45" s="57"/>
      <c r="P45" s="57"/>
      <c r="Q45" s="57"/>
      <c r="R45" s="57"/>
      <c r="S45" s="57"/>
      <c r="T45" s="57"/>
      <c r="U45" s="57"/>
      <c r="V45" s="57"/>
      <c r="W45" s="57"/>
      <c r="X45" s="57"/>
      <c r="Y45" s="57"/>
      <c r="Z45" s="57"/>
    </row>
    <row r="46">
      <c r="A46" s="56" t="str">
        <f>IFERROR(__xludf.DUMMYFUNCTION("IF('AYIRA MINI MART FINAL MENU - Pr'!A46="""", """", IF(LEN(TRIM(REGEXREPLACE(REGEXREPLACE('AYIRA MINI MART FINAL MENU - Pr'!A46, ""^[^\x{0600}-\x{06FF}]+"", """"), ""^[-–\s]+"", """")))&gt;0, TRIM(REGEXREPLACE(REGEXREPLACE('AYIRA MINI MART FINAL MENU - Pr'!"&amp;"A46, ""^[^\x{0600}-\x{06FF}]+"", """"), ""^[-–\s]+"", """")), GOOGLETRANSLATE('AYIRA MINI MART FINAL MENU - Pr'!A46, ""en"", ""ar"")))"),"كي دي دي برتقال with عنب عصير 125 مل")</f>
        <v>كي دي دي برتقال with عنب عصير 125 مل</v>
      </c>
      <c r="B46" s="56" t="str">
        <f>IFERROR(__xludf.DUMMYFUNCTION("IF('AYIRA MINI MART FINAL MENU - Pr'!B46="""", """", IF(LEN(TRIM(REGEXREPLACE(REGEXREPLACE('AYIRA MINI MART FINAL MENU - Pr'!B46, ""^[^\x{0600}-\x{06FF}]+"", """"), ""^[-–\s]+"", """")))&gt;0, TRIM(REGEXREPLACE(REGEXREPLACE('AYIRA MINI MART FINAL MENU - Pr'!"&amp;"B46, ""^[^\x{0600}-\x{06FF}]+"", """"), ""^[-–\s]+"", """")), GOOGLETRANSLATE('AYIRA MINI MART FINAL MENU - Pr'!B46, ""en"", ""ar"")))"),"العصائر ومشروبات الفاكهة")</f>
        <v>العصائر ومشروبات الفاكهة</v>
      </c>
      <c r="C46" s="56">
        <f>IF('AYIRA MINI MART FINAL MENU - Pr'!C46="", "", 'AYIRA MINI MART FINAL MENU - Pr'!C46)</f>
        <v>1.25</v>
      </c>
      <c r="D46" s="56" t="str">
        <f>IF('AYIRA MINI MART FINAL MENU - Pr'!D46="", "", 'AYIRA MINI MART FINAL MENU - Pr'!D46)</f>
        <v>احرص على صحتك مع كي دي دي،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46" s="56" t="str">
        <f>IF('AYIRA MINI MART FINAL MENU - Pr'!E46="", "", 'AYIRA MINI MART FINAL MENU - Pr'!E46)</f>
        <v/>
      </c>
      <c r="F46" s="56" t="str">
        <f>IF('AYIRA MINI MART FINAL MENU - Pr'!F46="", "", 'AYIRA MINI MART FINAL MENU - Pr'!F46)</f>
        <v/>
      </c>
      <c r="G46" s="56" t="str">
        <f>IF('AYIRA MINI MART FINAL MENU - Pr'!G46="", "", 'AYIRA MINI MART FINAL MENU - Pr'!G46)</f>
        <v/>
      </c>
      <c r="H46" s="56" t="str">
        <f>IF('AYIRA MINI MART FINAL MENU - Pr'!H46="", "", 'AYIRA MINI MART FINAL MENU - Pr'!H46)</f>
        <v/>
      </c>
      <c r="I46" s="56" t="str">
        <f>IF('AYIRA MINI MART FINAL MENU - Pr'!I46="", "", 'AYIRA MINI MART FINAL MENU - Pr'!I46)</f>
        <v/>
      </c>
      <c r="J46" s="56" t="str">
        <f>IFERROR(__xludf.DUMMYFUNCTION("IF('AYIRA MINI MART FINAL MENU - Pr'!J46="""", """", GOOGLETRANSLATE('AYIRA MINI MART FINAL MENU - Pr'!J46, ""en"", ""ar""))"),"يعرض")</f>
        <v>يعرض</v>
      </c>
      <c r="K46" s="56" t="str">
        <f>IF('AYIRA MINI MART FINAL MENU - Pr'!K46="", "", 'AYIRA MINI MART FINAL MENU - Pr'!K46)</f>
        <v/>
      </c>
      <c r="L46" s="56" t="str">
        <f>IF('AYIRA MINI MART FINAL MENU - Pr'!L46="", "", 'AYIRA MINI MART FINAL MENU - Pr'!L46)</f>
        <v/>
      </c>
      <c r="M46" s="56" t="str">
        <f>IF('AYIRA MINI MART FINAL MENU - Pr'!M46="", "", 'AYIRA MINI MART FINAL MENU - Pr'!M46)</f>
        <v/>
      </c>
      <c r="N46" s="56" t="str">
        <f>IF('AYIRA MINI MART FINAL MENU - Pr'!N46="", "", 'AYIRA MINI MART FINAL MENU - Pr'!N46)</f>
        <v/>
      </c>
      <c r="O46" s="57"/>
      <c r="P46" s="57"/>
      <c r="Q46" s="57"/>
      <c r="R46" s="57"/>
      <c r="S46" s="57"/>
      <c r="T46" s="57"/>
      <c r="U46" s="57"/>
      <c r="V46" s="57"/>
      <c r="W46" s="57"/>
      <c r="X46" s="57"/>
      <c r="Y46" s="57"/>
      <c r="Z46" s="57"/>
    </row>
    <row r="47">
      <c r="A47" s="56" t="str">
        <f>IFERROR(__xludf.DUMMYFUNCTION("IF('AYIRA MINI MART FINAL MENU - Pr'!A47="""", """", IF(LEN(TRIM(REGEXREPLACE(REGEXREPLACE('AYIRA MINI MART FINAL MENU - Pr'!A47, ""^[^\x{0600}-\x{06FF}]+"", """"), ""^[-–\s]+"", """")))&gt;0, TRIM(REGEXREPLACE(REGEXREPLACE('AYIRA MINI MART FINAL MENU - Pr'!"&amp;"A47, ""^[^\x{0600}-\x{06FF}]+"", """"), ""^[-–\s]+"", """")), GOOGLETRANSLATE('AYIRA MINI MART FINAL MENU - Pr'!A47, ""en"", ""ar"")))"),"دبل أب Cola 200 مل")</f>
        <v>دبل أب Cola 200 مل</v>
      </c>
      <c r="B47" s="56" t="str">
        <f>IFERROR(__xludf.DUMMYFUNCTION("IF('AYIRA MINI MART FINAL MENU - Pr'!B47="""", """", IF(LEN(TRIM(REGEXREPLACE(REGEXREPLACE('AYIRA MINI MART FINAL MENU - Pr'!B47, ""^[^\x{0600}-\x{06FF}]+"", """"), ""^[-–\s]+"", """")))&gt;0, TRIM(REGEXREPLACE(REGEXREPLACE('AYIRA MINI MART FINAL MENU - Pr'!"&amp;"B47, ""^[^\x{0600}-\x{06FF}]+"", """"), ""^[-–\s]+"", """")), GOOGLETRANSLATE('AYIRA MINI MART FINAL MENU - Pr'!B47, ""en"", ""ar"")))"),"المشروبات الغازية")</f>
        <v>المشروبات الغازية</v>
      </c>
      <c r="C47" s="56">
        <f>IF('AYIRA MINI MART FINAL MENU - Pr'!C47="", "", 'AYIRA MINI MART FINAL MENU - Pr'!C47)</f>
        <v>1.5</v>
      </c>
      <c r="D47" s="56" t="str">
        <f>IF('AYIRA MINI MART FINAL MENU - Pr'!D47="", "", 'AYIRA MINI MART FINAL MENU - Pr'!D47)</f>
        <v>استمتع بـ دبل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47" s="56" t="str">
        <f>IF('AYIRA MINI MART FINAL MENU - Pr'!E47="", "", 'AYIRA MINI MART FINAL MENU - Pr'!E47)</f>
        <v/>
      </c>
      <c r="F47" s="56" t="str">
        <f>IF('AYIRA MINI MART FINAL MENU - Pr'!F47="", "", 'AYIRA MINI MART FINAL MENU - Pr'!F47)</f>
        <v/>
      </c>
      <c r="G47" s="56" t="str">
        <f>IF('AYIRA MINI MART FINAL MENU - Pr'!G47="", "", 'AYIRA MINI MART FINAL MENU - Pr'!G47)</f>
        <v/>
      </c>
      <c r="H47" s="56" t="str">
        <f>IF('AYIRA MINI MART FINAL MENU - Pr'!H47="", "", 'AYIRA MINI MART FINAL MENU - Pr'!H47)</f>
        <v/>
      </c>
      <c r="I47" s="56" t="str">
        <f>IF('AYIRA MINI MART FINAL MENU - Pr'!I47="", "", 'AYIRA MINI MART FINAL MENU - Pr'!I47)</f>
        <v/>
      </c>
      <c r="J47" s="56" t="str">
        <f>IFERROR(__xludf.DUMMYFUNCTION("IF('AYIRA MINI MART FINAL MENU - Pr'!J47="""", """", GOOGLETRANSLATE('AYIRA MINI MART FINAL MENU - Pr'!J47, ""en"", ""ar""))"),"يعرض")</f>
        <v>يعرض</v>
      </c>
      <c r="K47" s="56" t="str">
        <f>IF('AYIRA MINI MART FINAL MENU - Pr'!K47="", "", 'AYIRA MINI MART FINAL MENU - Pr'!K47)</f>
        <v/>
      </c>
      <c r="L47" s="56" t="str">
        <f>IF('AYIRA MINI MART FINAL MENU - Pr'!L47="", "", 'AYIRA MINI MART FINAL MENU - Pr'!L47)</f>
        <v/>
      </c>
      <c r="M47" s="56" t="str">
        <f>IF('AYIRA MINI MART FINAL MENU - Pr'!M47="", "", 'AYIRA MINI MART FINAL MENU - Pr'!M47)</f>
        <v/>
      </c>
      <c r="N47" s="56" t="str">
        <f>IF('AYIRA MINI MART FINAL MENU - Pr'!N47="", "", 'AYIRA MINI MART FINAL MENU - Pr'!N47)</f>
        <v/>
      </c>
      <c r="O47" s="57"/>
      <c r="P47" s="57"/>
      <c r="Q47" s="57"/>
      <c r="R47" s="57"/>
      <c r="S47" s="57"/>
      <c r="T47" s="57"/>
      <c r="U47" s="57"/>
      <c r="V47" s="57"/>
      <c r="W47" s="57"/>
      <c r="X47" s="57"/>
      <c r="Y47" s="57"/>
      <c r="Z47" s="57"/>
    </row>
    <row r="48">
      <c r="A48" s="56" t="str">
        <f>IFERROR(__xludf.DUMMYFUNCTION("IF('AYIRA MINI MART FINAL MENU - Pr'!A48="""", """", IF(LEN(TRIM(REGEXREPLACE(REGEXREPLACE('AYIRA MINI MART FINAL MENU - Pr'!A48, ""^[^\x{0600}-\x{06FF}]+"", """"), ""^[-–\s]+"", """")))&gt;0, TRIM(REGEXREPLACE(REGEXREPLACE('AYIRA MINI MART FINAL MENU - Pr'!"&amp;"A48, ""^[^\x{0600}-\x{06FF}]+"", """"), ""^[-–\s]+"", """")), GOOGLETRANSLATE('AYIRA MINI MART FINAL MENU - Pr'!A48, ""en"", ""ar"")))"),"دبل أب ليمون 200 مل")</f>
        <v>دبل أب ليمون 200 مل</v>
      </c>
      <c r="B48" s="56" t="str">
        <f>IFERROR(__xludf.DUMMYFUNCTION("IF('AYIRA MINI MART FINAL MENU - Pr'!B48="""", """", IF(LEN(TRIM(REGEXREPLACE(REGEXREPLACE('AYIRA MINI MART FINAL MENU - Pr'!B48, ""^[^\x{0600}-\x{06FF}]+"", """"), ""^[-–\s]+"", """")))&gt;0, TRIM(REGEXREPLACE(REGEXREPLACE('AYIRA MINI MART FINAL MENU - Pr'!"&amp;"B48, ""^[^\x{0600}-\x{06FF}]+"", """"), ""^[-–\s]+"", """")), GOOGLETRANSLATE('AYIRA MINI MART FINAL MENU - Pr'!B48, ""en"", ""ar"")))"),"المشروبات الغازية")</f>
        <v>المشروبات الغازية</v>
      </c>
      <c r="C48" s="56">
        <f>IF('AYIRA MINI MART FINAL MENU - Pr'!C48="", "", 'AYIRA MINI MART FINAL MENU - Pr'!C48)</f>
        <v>1.5</v>
      </c>
      <c r="D48" s="56" t="str">
        <f>IF('AYIRA MINI MART FINAL MENU - Pr'!D48="", "", 'AYIRA MINI MART FINAL MENU - Pr'!D48)</f>
        <v>استمتع بـ دبل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48" s="56" t="str">
        <f>IF('AYIRA MINI MART FINAL MENU - Pr'!E48="", "", 'AYIRA MINI MART FINAL MENU - Pr'!E48)</f>
        <v/>
      </c>
      <c r="F48" s="56" t="str">
        <f>IF('AYIRA MINI MART FINAL MENU - Pr'!F48="", "", 'AYIRA MINI MART FINAL MENU - Pr'!F48)</f>
        <v/>
      </c>
      <c r="G48" s="56" t="str">
        <f>IF('AYIRA MINI MART FINAL MENU - Pr'!G48="", "", 'AYIRA MINI MART FINAL MENU - Pr'!G48)</f>
        <v/>
      </c>
      <c r="H48" s="56" t="str">
        <f>IF('AYIRA MINI MART FINAL MENU - Pr'!H48="", "", 'AYIRA MINI MART FINAL MENU - Pr'!H48)</f>
        <v/>
      </c>
      <c r="I48" s="56" t="str">
        <f>IF('AYIRA MINI MART FINAL MENU - Pr'!I48="", "", 'AYIRA MINI MART FINAL MENU - Pr'!I48)</f>
        <v/>
      </c>
      <c r="J48" s="56" t="str">
        <f>IFERROR(__xludf.DUMMYFUNCTION("IF('AYIRA MINI MART FINAL MENU - Pr'!J48="""", """", GOOGLETRANSLATE('AYIRA MINI MART FINAL MENU - Pr'!J48, ""en"", ""ar""))"),"يعرض")</f>
        <v>يعرض</v>
      </c>
      <c r="K48" s="56" t="str">
        <f>IF('AYIRA MINI MART FINAL MENU - Pr'!K48="", "", 'AYIRA MINI MART FINAL MENU - Pr'!K48)</f>
        <v/>
      </c>
      <c r="L48" s="56" t="str">
        <f>IF('AYIRA MINI MART FINAL MENU - Pr'!L48="", "", 'AYIRA MINI MART FINAL MENU - Pr'!L48)</f>
        <v/>
      </c>
      <c r="M48" s="56" t="str">
        <f>IF('AYIRA MINI MART FINAL MENU - Pr'!M48="", "", 'AYIRA MINI MART FINAL MENU - Pr'!M48)</f>
        <v/>
      </c>
      <c r="N48" s="56" t="str">
        <f>IF('AYIRA MINI MART FINAL MENU - Pr'!N48="", "", 'AYIRA MINI MART FINAL MENU - Pr'!N48)</f>
        <v/>
      </c>
      <c r="O48" s="57"/>
      <c r="P48" s="57"/>
      <c r="Q48" s="57"/>
      <c r="R48" s="57"/>
      <c r="S48" s="57"/>
      <c r="T48" s="57"/>
      <c r="U48" s="57"/>
      <c r="V48" s="57"/>
      <c r="W48" s="57"/>
      <c r="X48" s="57"/>
      <c r="Y48" s="57"/>
      <c r="Z48" s="57"/>
    </row>
    <row r="49">
      <c r="A49" s="56" t="str">
        <f>IFERROR(__xludf.DUMMYFUNCTION("IF('AYIRA MINI MART FINAL MENU - Pr'!A49="""", """", IF(LEN(TRIM(REGEXREPLACE(REGEXREPLACE('AYIRA MINI MART FINAL MENU - Pr'!A49, ""^[^\x{0600}-\x{06FF}]+"", """"), ""^[-–\s]+"", """")))&gt;0, TRIM(REGEXREPLACE(REGEXREPLACE('AYIRA MINI MART FINAL MENU - Pr'!"&amp;"A49, ""^[^\x{0600}-\x{06FF}]+"", """"), ""^[-–\s]+"", """")), GOOGLETRANSLATE('AYIRA MINI MART FINAL MENU - Pr'!A49, ""en"", ""ar"")))"),"جوافة نكتار (Contains 35% Juice) 250 مل")</f>
        <v>جوافة نكتار (Contains 35% Juice) 250 مل</v>
      </c>
      <c r="B49" s="56" t="str">
        <f>IFERROR(__xludf.DUMMYFUNCTION("IF('AYIRA MINI MART FINAL MENU - Pr'!B49="""", """", IF(LEN(TRIM(REGEXREPLACE(REGEXREPLACE('AYIRA MINI MART FINAL MENU - Pr'!B49, ""^[^\x{0600}-\x{06FF}]+"", """"), ""^[-–\s]+"", """")))&gt;0, TRIM(REGEXREPLACE(REGEXREPLACE('AYIRA MINI MART FINAL MENU - Pr'!"&amp;"B49, ""^[^\x{0600}-\x{06FF}]+"", """"), ""^[-–\s]+"", """")), GOOGLETRANSLATE('AYIRA MINI MART FINAL MENU - Pr'!B49, ""en"", ""ar"")))"),"العصائر ومشروبات الفاكهة")</f>
        <v>العصائر ومشروبات الفاكهة</v>
      </c>
      <c r="C49" s="56">
        <f>IF('AYIRA MINI MART FINAL MENU - Pr'!C49="", "", 'AYIRA MINI MART FINAL MENU - Pr'!C49)</f>
        <v>2</v>
      </c>
      <c r="D49" s="56" t="str">
        <f>IF('AYIRA MINI MART FINAL MENU - Pr'!D49="", "", 'AYIRA MINI MART FINAL MENU - Pr'!D49)</f>
        <v>احرص على صحتك مع Guava Nectar (Contains 35% Juice) 250 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49" s="56" t="str">
        <f>IF('AYIRA MINI MART FINAL MENU - Pr'!E49="", "", 'AYIRA MINI MART FINAL MENU - Pr'!E49)</f>
        <v/>
      </c>
      <c r="F49" s="56" t="str">
        <f>IF('AYIRA MINI MART FINAL MENU - Pr'!F49="", "", 'AYIRA MINI MART FINAL MENU - Pr'!F49)</f>
        <v/>
      </c>
      <c r="G49" s="56" t="str">
        <f>IF('AYIRA MINI MART FINAL MENU - Pr'!G49="", "", 'AYIRA MINI MART FINAL MENU - Pr'!G49)</f>
        <v/>
      </c>
      <c r="H49" s="56" t="str">
        <f>IF('AYIRA MINI MART FINAL MENU - Pr'!H49="", "", 'AYIRA MINI MART FINAL MENU - Pr'!H49)</f>
        <v/>
      </c>
      <c r="I49" s="56" t="str">
        <f>IF('AYIRA MINI MART FINAL MENU - Pr'!I49="", "", 'AYIRA MINI MART FINAL MENU - Pr'!I49)</f>
        <v/>
      </c>
      <c r="J49" s="56" t="str">
        <f>IFERROR(__xludf.DUMMYFUNCTION("IF('AYIRA MINI MART FINAL MENU - Pr'!J49="""", """", GOOGLETRANSLATE('AYIRA MINI MART FINAL MENU - Pr'!J49, ""en"", ""ar""))"),"يخفي")</f>
        <v>يخفي</v>
      </c>
      <c r="K49" s="56" t="str">
        <f>IF('AYIRA MINI MART FINAL MENU - Pr'!K49="", "", 'AYIRA MINI MART FINAL MENU - Pr'!K49)</f>
        <v/>
      </c>
      <c r="L49" s="56" t="str">
        <f>IF('AYIRA MINI MART FINAL MENU - Pr'!L49="", "", 'AYIRA MINI MART FINAL MENU - Pr'!L49)</f>
        <v/>
      </c>
      <c r="M49" s="56" t="str">
        <f>IF('AYIRA MINI MART FINAL MENU - Pr'!M49="", "", 'AYIRA MINI MART FINAL MENU - Pr'!M49)</f>
        <v/>
      </c>
      <c r="N49" s="56" t="str">
        <f>IF('AYIRA MINI MART FINAL MENU - Pr'!N49="", "", 'AYIRA MINI MART FINAL MENU - Pr'!N49)</f>
        <v/>
      </c>
      <c r="O49" s="57"/>
      <c r="P49" s="57"/>
      <c r="Q49" s="57"/>
      <c r="R49" s="57"/>
      <c r="S49" s="57"/>
      <c r="T49" s="57"/>
      <c r="U49" s="57"/>
      <c r="V49" s="57"/>
      <c r="W49" s="57"/>
      <c r="X49" s="57"/>
      <c r="Y49" s="57"/>
      <c r="Z49" s="57"/>
    </row>
    <row r="50">
      <c r="A50" s="56" t="str">
        <f>IFERROR(__xludf.DUMMYFUNCTION("IF('AYIRA MINI MART FINAL MENU - Pr'!A50="""", """", IF(LEN(TRIM(REGEXREPLACE(REGEXREPLACE('AYIRA MINI MART FINAL MENU - Pr'!A50, ""^[^\x{0600}-\x{06FF}]+"", """"), ""^[-–\s]+"", """")))&gt;0, TRIM(REGEXREPLACE(REGEXREPLACE('AYIRA MINI MART FINAL MENU - Pr'!"&amp;"A50, ""^[^\x{0600}-\x{06FF}]+"", """"), ""^[-–\s]+"", """")), GOOGLETRANSLATE('AYIRA MINI MART FINAL MENU - Pr'!A50, ""en"", ""ar"")))"),"نكتار الرمان بحجم 250 مل")</f>
        <v>نكتار الرمان بحجم 250 مل</v>
      </c>
      <c r="B50" s="56" t="str">
        <f>IFERROR(__xludf.DUMMYFUNCTION("IF('AYIRA MINI MART FINAL MENU - Pr'!B50="""", """", IF(LEN(TRIM(REGEXREPLACE(REGEXREPLACE('AYIRA MINI MART FINAL MENU - Pr'!B50, ""^[^\x{0600}-\x{06FF}]+"", """"), ""^[-–\s]+"", """")))&gt;0, TRIM(REGEXREPLACE(REGEXREPLACE('AYIRA MINI MART FINAL MENU - Pr'!"&amp;"B50, ""^[^\x{0600}-\x{06FF}]+"", """"), ""^[-–\s]+"", """")), GOOGLETRANSLATE('AYIRA MINI MART FINAL MENU - Pr'!B50, ""en"", ""ar"")))"),"العصائر ومشروبات الفاكهة")</f>
        <v>العصائر ومشروبات الفاكهة</v>
      </c>
      <c r="C50" s="56">
        <f>IF('AYIRA MINI MART FINAL MENU - Pr'!C50="", "", 'AYIRA MINI MART FINAL MENU - Pr'!C50)</f>
        <v>2</v>
      </c>
      <c r="D50" s="56" t="str">
        <f>IF('AYIRA MINI MART FINAL MENU - Pr'!D50="", "", 'AYIRA MINI MART FINAL MENU - Pr'!D50)</f>
        <v>احرص على صحتك مع Pomegranate Nectar 250ml – نكتار الرمان بحجم 250 مل،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50" s="56" t="str">
        <f>IF('AYIRA MINI MART FINAL MENU - Pr'!E50="", "", 'AYIRA MINI MART FINAL MENU - Pr'!E50)</f>
        <v/>
      </c>
      <c r="F50" s="56" t="str">
        <f>IF('AYIRA MINI MART FINAL MENU - Pr'!F50="", "", 'AYIRA MINI MART FINAL MENU - Pr'!F50)</f>
        <v/>
      </c>
      <c r="G50" s="56" t="str">
        <f>IF('AYIRA MINI MART FINAL MENU - Pr'!G50="", "", 'AYIRA MINI MART FINAL MENU - Pr'!G50)</f>
        <v/>
      </c>
      <c r="H50" s="56" t="str">
        <f>IF('AYIRA MINI MART FINAL MENU - Pr'!H50="", "", 'AYIRA MINI MART FINAL MENU - Pr'!H50)</f>
        <v/>
      </c>
      <c r="I50" s="56" t="str">
        <f>IF('AYIRA MINI MART FINAL MENU - Pr'!I50="", "", 'AYIRA MINI MART FINAL MENU - Pr'!I50)</f>
        <v/>
      </c>
      <c r="J50" s="56" t="str">
        <f>IFERROR(__xludf.DUMMYFUNCTION("IF('AYIRA MINI MART FINAL MENU - Pr'!J50="""", """", GOOGLETRANSLATE('AYIRA MINI MART FINAL MENU - Pr'!J50, ""en"", ""ar""))"),"يعرض")</f>
        <v>يعرض</v>
      </c>
      <c r="K50" s="56" t="str">
        <f>IF('AYIRA MINI MART FINAL MENU - Pr'!K50="", "", 'AYIRA MINI MART FINAL MENU - Pr'!K50)</f>
        <v/>
      </c>
      <c r="L50" s="56" t="str">
        <f>IF('AYIRA MINI MART FINAL MENU - Pr'!L50="", "", 'AYIRA MINI MART FINAL MENU - Pr'!L50)</f>
        <v/>
      </c>
      <c r="M50" s="56" t="str">
        <f>IF('AYIRA MINI MART FINAL MENU - Pr'!M50="", "", 'AYIRA MINI MART FINAL MENU - Pr'!M50)</f>
        <v/>
      </c>
      <c r="N50" s="56" t="str">
        <f>IF('AYIRA MINI MART FINAL MENU - Pr'!N50="", "", 'AYIRA MINI MART FINAL MENU - Pr'!N50)</f>
        <v/>
      </c>
      <c r="O50" s="57"/>
      <c r="P50" s="57"/>
      <c r="Q50" s="57"/>
      <c r="R50" s="57"/>
      <c r="S50" s="57"/>
      <c r="T50" s="57"/>
      <c r="U50" s="57"/>
      <c r="V50" s="57"/>
      <c r="W50" s="57"/>
      <c r="X50" s="57"/>
      <c r="Y50" s="57"/>
      <c r="Z50" s="57"/>
    </row>
    <row r="51">
      <c r="A51" s="56" t="str">
        <f>IFERROR(__xludf.DUMMYFUNCTION("IF('AYIRA MINI MART FINAL MENU - Pr'!A51="""", """", IF(LEN(TRIM(REGEXREPLACE(REGEXREPLACE('AYIRA MINI MART FINAL MENU - Pr'!A51, ""^[^\x{0600}-\x{06FF}]+"", """"), ""^[-–\s]+"", """")))&gt;0, TRIM(REGEXREPLACE(REGEXREPLACE('AYIRA MINI MART FINAL MENU - Pr'!"&amp;"A51, ""^[^\x{0600}-\x{06FF}]+"", """"), ""^[-–\s]+"", """")), GOOGLETRANSLATE('AYIRA MINI MART FINAL MENU - Pr'!A51, ""en"", ""ar"")))"),"نكتار المانجو بحجم 250 مل")</f>
        <v>نكتار المانجو بحجم 250 مل</v>
      </c>
      <c r="B51" s="56" t="str">
        <f>IFERROR(__xludf.DUMMYFUNCTION("IF('AYIRA MINI MART FINAL MENU - Pr'!B51="""", """", IF(LEN(TRIM(REGEXREPLACE(REGEXREPLACE('AYIRA MINI MART FINAL MENU - Pr'!B51, ""^[^\x{0600}-\x{06FF}]+"", """"), ""^[-–\s]+"", """")))&gt;0, TRIM(REGEXREPLACE(REGEXREPLACE('AYIRA MINI MART FINAL MENU - Pr'!"&amp;"B51, ""^[^\x{0600}-\x{06FF}]+"", """"), ""^[-–\s]+"", """")), GOOGLETRANSLATE('AYIRA MINI MART FINAL MENU - Pr'!B51, ""en"", ""ar"")))"),"العصائر ومشروبات الفاكهة")</f>
        <v>العصائر ومشروبات الفاكهة</v>
      </c>
      <c r="C51" s="56">
        <f>IF('AYIRA MINI MART FINAL MENU - Pr'!C51="", "", 'AYIRA MINI MART FINAL MENU - Pr'!C51)</f>
        <v>2.5</v>
      </c>
      <c r="D51" s="56" t="str">
        <f>IF('AYIRA MINI MART FINAL MENU - Pr'!D51="", "", 'AYIRA MINI MART FINAL MENU - Pr'!D51)</f>
        <v>احرص على صحتك مع Mango Nectar 250ml – نكتار المانجو بحجم 250 مل،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51" s="56" t="str">
        <f>IF('AYIRA MINI MART FINAL MENU - Pr'!E51="", "", 'AYIRA MINI MART FINAL MENU - Pr'!E51)</f>
        <v/>
      </c>
      <c r="F51" s="56" t="str">
        <f>IF('AYIRA MINI MART FINAL MENU - Pr'!F51="", "", 'AYIRA MINI MART FINAL MENU - Pr'!F51)</f>
        <v/>
      </c>
      <c r="G51" s="56" t="str">
        <f>IF('AYIRA MINI MART FINAL MENU - Pr'!G51="", "", 'AYIRA MINI MART FINAL MENU - Pr'!G51)</f>
        <v/>
      </c>
      <c r="H51" s="56" t="str">
        <f>IF('AYIRA MINI MART FINAL MENU - Pr'!H51="", "", 'AYIRA MINI MART FINAL MENU - Pr'!H51)</f>
        <v/>
      </c>
      <c r="I51" s="56" t="str">
        <f>IF('AYIRA MINI MART FINAL MENU - Pr'!I51="", "", 'AYIRA MINI MART FINAL MENU - Pr'!I51)</f>
        <v/>
      </c>
      <c r="J51" s="56" t="str">
        <f>IFERROR(__xludf.DUMMYFUNCTION("IF('AYIRA MINI MART FINAL MENU - Pr'!J51="""", """", GOOGLETRANSLATE('AYIRA MINI MART FINAL MENU - Pr'!J51, ""en"", ""ar""))"),"يعرض")</f>
        <v>يعرض</v>
      </c>
      <c r="K51" s="56" t="str">
        <f>IF('AYIRA MINI MART FINAL MENU - Pr'!K51="", "", 'AYIRA MINI MART FINAL MENU - Pr'!K51)</f>
        <v/>
      </c>
      <c r="L51" s="56" t="str">
        <f>IF('AYIRA MINI MART FINAL MENU - Pr'!L51="", "", 'AYIRA MINI MART FINAL MENU - Pr'!L51)</f>
        <v/>
      </c>
      <c r="M51" s="56" t="str">
        <f>IF('AYIRA MINI MART FINAL MENU - Pr'!M51="", "", 'AYIRA MINI MART FINAL MENU - Pr'!M51)</f>
        <v/>
      </c>
      <c r="N51" s="56" t="str">
        <f>IF('AYIRA MINI MART FINAL MENU - Pr'!N51="", "", 'AYIRA MINI MART FINAL MENU - Pr'!N51)</f>
        <v/>
      </c>
      <c r="O51" s="57"/>
      <c r="P51" s="57"/>
      <c r="Q51" s="57"/>
      <c r="R51" s="57"/>
      <c r="S51" s="57"/>
      <c r="T51" s="57"/>
      <c r="U51" s="57"/>
      <c r="V51" s="57"/>
      <c r="W51" s="57"/>
      <c r="X51" s="57"/>
      <c r="Y51" s="57"/>
      <c r="Z51" s="57"/>
    </row>
    <row r="52">
      <c r="A52" s="56" t="str">
        <f>IFERROR(__xludf.DUMMYFUNCTION("IF('AYIRA MINI MART FINAL MENU - Pr'!A52="""", """", IF(LEN(TRIM(REGEXREPLACE(REGEXREPLACE('AYIRA MINI MART FINAL MENU - Pr'!A52, ""^[^\x{0600}-\x{06FF}]+"", """"), ""^[-–\s]+"", """")))&gt;0, TRIM(REGEXREPLACE(REGEXREPLACE('AYIRA MINI MART FINAL MENU - Pr'!"&amp;"A52, ""^[^\x{0600}-\x{06FF}]+"", """"), ""^[-–\s]+"", """")), GOOGLETRANSLATE('AYIRA MINI MART FINAL MENU - Pr'!A52, ""en"", ""ar"")))"),"مشروب فاكهة فيمتو بنكهة التوت الأزرق 250 مل")</f>
        <v>مشروب فاكهة فيمتو بنكهة التوت الأزرق 250 مل</v>
      </c>
      <c r="B52" s="56" t="str">
        <f>IFERROR(__xludf.DUMMYFUNCTION("IF('AYIRA MINI MART FINAL MENU - Pr'!B52="""", """", IF(LEN(TRIM(REGEXREPLACE(REGEXREPLACE('AYIRA MINI MART FINAL MENU - Pr'!B52, ""^[^\x{0600}-\x{06FF}]+"", """"), ""^[-–\s]+"", """")))&gt;0, TRIM(REGEXREPLACE(REGEXREPLACE('AYIRA MINI MART FINAL MENU - Pr'!"&amp;"B52, ""^[^\x{0600}-\x{06FF}]+"", """"), ""^[-–\s]+"", """")), GOOGLETRANSLATE('AYIRA MINI MART FINAL MENU - Pr'!B52, ""en"", ""ar"")))"),"العصائر ومشروبات الفاكهة")</f>
        <v>العصائر ومشروبات الفاكهة</v>
      </c>
      <c r="C52" s="56">
        <f>IF('AYIRA MINI MART FINAL MENU - Pr'!C52="", "", 'AYIRA MINI MART FINAL MENU - Pr'!C52)</f>
        <v>2</v>
      </c>
      <c r="D52" s="56" t="str">
        <f>IF('AYIRA MINI MART FINAL MENU - Pr'!D52="", "", 'AYIRA MINI MART FINAL MENU - Pr'!D52)</f>
        <v>اكتشف Vimto Blue Raspberry Fruit Flavoured Drink 250ml – مشروب فاكهة فيمتو بنكهة التوت الأزرق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52" s="56" t="str">
        <f>IF('AYIRA MINI MART FINAL MENU - Pr'!E52="", "", 'AYIRA MINI MART FINAL MENU - Pr'!E52)</f>
        <v/>
      </c>
      <c r="F52" s="56" t="str">
        <f>IF('AYIRA MINI MART FINAL MENU - Pr'!F52="", "", 'AYIRA MINI MART FINAL MENU - Pr'!F52)</f>
        <v/>
      </c>
      <c r="G52" s="56" t="str">
        <f>IF('AYIRA MINI MART FINAL MENU - Pr'!G52="", "", 'AYIRA MINI MART FINAL MENU - Pr'!G52)</f>
        <v/>
      </c>
      <c r="H52" s="56" t="str">
        <f>IF('AYIRA MINI MART FINAL MENU - Pr'!H52="", "", 'AYIRA MINI MART FINAL MENU - Pr'!H52)</f>
        <v/>
      </c>
      <c r="I52" s="56" t="str">
        <f>IF('AYIRA MINI MART FINAL MENU - Pr'!I52="", "", 'AYIRA MINI MART FINAL MENU - Pr'!I52)</f>
        <v/>
      </c>
      <c r="J52" s="56" t="str">
        <f>IFERROR(__xludf.DUMMYFUNCTION("IF('AYIRA MINI MART FINAL MENU - Pr'!J52="""", """", GOOGLETRANSLATE('AYIRA MINI MART FINAL MENU - Pr'!J52, ""en"", ""ar""))"),"يعرض")</f>
        <v>يعرض</v>
      </c>
      <c r="K52" s="56" t="str">
        <f>IF('AYIRA MINI MART FINAL MENU - Pr'!K52="", "", 'AYIRA MINI MART FINAL MENU - Pr'!K52)</f>
        <v/>
      </c>
      <c r="L52" s="56" t="str">
        <f>IF('AYIRA MINI MART FINAL MENU - Pr'!L52="", "", 'AYIRA MINI MART FINAL MENU - Pr'!L52)</f>
        <v/>
      </c>
      <c r="M52" s="56" t="str">
        <f>IF('AYIRA MINI MART FINAL MENU - Pr'!M52="", "", 'AYIRA MINI MART FINAL MENU - Pr'!M52)</f>
        <v/>
      </c>
      <c r="N52" s="56" t="str">
        <f>IF('AYIRA MINI MART FINAL MENU - Pr'!N52="", "", 'AYIRA MINI MART FINAL MENU - Pr'!N52)</f>
        <v/>
      </c>
      <c r="O52" s="57"/>
      <c r="P52" s="57"/>
      <c r="Q52" s="57"/>
      <c r="R52" s="57"/>
      <c r="S52" s="57"/>
      <c r="T52" s="57"/>
      <c r="U52" s="57"/>
      <c r="V52" s="57"/>
      <c r="W52" s="57"/>
      <c r="X52" s="57"/>
      <c r="Y52" s="57"/>
      <c r="Z52" s="57"/>
    </row>
    <row r="53">
      <c r="A53" s="56" t="str">
        <f>IFERROR(__xludf.DUMMYFUNCTION("IF('AYIRA MINI MART FINAL MENU - Pr'!A53="""", """", IF(LEN(TRIM(REGEXREPLACE(REGEXREPLACE('AYIRA MINI MART FINAL MENU - Pr'!A53, ""^[^\x{0600}-\x{06FF}]+"", """"), ""^[-–\s]+"", """")))&gt;0, TRIM(REGEXREPLACE(REGEXREPLACE('AYIRA MINI MART FINAL MENU - Pr'!"&amp;"A53, ""^[^\x{0600}-\x{06FF}]+"", """"), ""^[-–\s]+"", """")), GOOGLETRANSLATE('AYIRA MINI MART FINAL MENU - Pr'!A53, ""en"", ""ar"")))"),"مشروب فاكهة فيمتو 250 مل")</f>
        <v>مشروب فاكهة فيمتو 250 مل</v>
      </c>
      <c r="B53" s="56" t="str">
        <f>IFERROR(__xludf.DUMMYFUNCTION("IF('AYIRA MINI MART FINAL MENU - Pr'!B53="""", """", IF(LEN(TRIM(REGEXREPLACE(REGEXREPLACE('AYIRA MINI MART FINAL MENU - Pr'!B53, ""^[^\x{0600}-\x{06FF}]+"", """"), ""^[-–\s]+"", """")))&gt;0, TRIM(REGEXREPLACE(REGEXREPLACE('AYIRA MINI MART FINAL MENU - Pr'!"&amp;"B53, ""^[^\x{0600}-\x{06FF}]+"", """"), ""^[-–\s]+"", """")), GOOGLETRANSLATE('AYIRA MINI MART FINAL MENU - Pr'!B53, ""en"", ""ar"")))"),"العصائر ومشروبات الفاكهة")</f>
        <v>العصائر ومشروبات الفاكهة</v>
      </c>
      <c r="C53" s="56">
        <f>IF('AYIRA MINI MART FINAL MENU - Pr'!C53="", "", 'AYIRA MINI MART FINAL MENU - Pr'!C53)</f>
        <v>2</v>
      </c>
      <c r="D53" s="56" t="str">
        <f>IF('AYIRA MINI MART FINAL MENU - Pr'!D53="", "", 'AYIRA MINI MART FINAL MENU - Pr'!D53)</f>
        <v>اكتشف Vimto Fruit Flavoured Drink 250ml – مشروب فاكهة فيمتو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53" s="56" t="str">
        <f>IF('AYIRA MINI MART FINAL MENU - Pr'!E53="", "", 'AYIRA MINI MART FINAL MENU - Pr'!E53)</f>
        <v/>
      </c>
      <c r="F53" s="56" t="str">
        <f>IF('AYIRA MINI MART FINAL MENU - Pr'!F53="", "", 'AYIRA MINI MART FINAL MENU - Pr'!F53)</f>
        <v/>
      </c>
      <c r="G53" s="56" t="str">
        <f>IF('AYIRA MINI MART FINAL MENU - Pr'!G53="", "", 'AYIRA MINI MART FINAL MENU - Pr'!G53)</f>
        <v/>
      </c>
      <c r="H53" s="56" t="str">
        <f>IF('AYIRA MINI MART FINAL MENU - Pr'!H53="", "", 'AYIRA MINI MART FINAL MENU - Pr'!H53)</f>
        <v/>
      </c>
      <c r="I53" s="56" t="str">
        <f>IF('AYIRA MINI MART FINAL MENU - Pr'!I53="", "", 'AYIRA MINI MART FINAL MENU - Pr'!I53)</f>
        <v/>
      </c>
      <c r="J53" s="56" t="str">
        <f>IFERROR(__xludf.DUMMYFUNCTION("IF('AYIRA MINI MART FINAL MENU - Pr'!J53="""", """", GOOGLETRANSLATE('AYIRA MINI MART FINAL MENU - Pr'!J53, ""en"", ""ar""))"),"يعرض")</f>
        <v>يعرض</v>
      </c>
      <c r="K53" s="56" t="str">
        <f>IF('AYIRA MINI MART FINAL MENU - Pr'!K53="", "", 'AYIRA MINI MART FINAL MENU - Pr'!K53)</f>
        <v/>
      </c>
      <c r="L53" s="56" t="str">
        <f>IF('AYIRA MINI MART FINAL MENU - Pr'!L53="", "", 'AYIRA MINI MART FINAL MENU - Pr'!L53)</f>
        <v/>
      </c>
      <c r="M53" s="56" t="str">
        <f>IF('AYIRA MINI MART FINAL MENU - Pr'!M53="", "", 'AYIRA MINI MART FINAL MENU - Pr'!M53)</f>
        <v/>
      </c>
      <c r="N53" s="56" t="str">
        <f>IF('AYIRA MINI MART FINAL MENU - Pr'!N53="", "", 'AYIRA MINI MART FINAL MENU - Pr'!N53)</f>
        <v/>
      </c>
      <c r="O53" s="57"/>
      <c r="P53" s="57"/>
      <c r="Q53" s="57"/>
      <c r="R53" s="57"/>
      <c r="S53" s="57"/>
      <c r="T53" s="57"/>
      <c r="U53" s="57"/>
      <c r="V53" s="57"/>
      <c r="W53" s="57"/>
      <c r="X53" s="57"/>
      <c r="Y53" s="57"/>
      <c r="Z53" s="57"/>
    </row>
    <row r="54">
      <c r="A54" s="56" t="str">
        <f>IFERROR(__xludf.DUMMYFUNCTION("IF('AYIRA MINI MART FINAL MENU - Pr'!A54="""", """", IF(LEN(TRIM(REGEXREPLACE(REGEXREPLACE('AYIRA MINI MART FINAL MENU - Pr'!A54, ""^[^\x{0600}-\x{06FF}]+"", """"), ""^[-–\s]+"", """")))&gt;0, TRIM(REGEXREPLACE(REGEXREPLACE('AYIRA MINI MART FINAL MENU - Pr'!"&amp;"A54, ""^[^\x{0600}-\x{06FF}]+"", """"), ""^[-–\s]+"", """")), GOOGLETRANSLATE('AYIRA MINI MART FINAL MENU - Pr'!A54, ""en"", ""ar"")))"),"مشروب فاكهة فيمتو بنكهة الفراولة 250 مل")</f>
        <v>مشروب فاكهة فيمتو بنكهة الفراولة 250 مل</v>
      </c>
      <c r="B54" s="56" t="str">
        <f>IFERROR(__xludf.DUMMYFUNCTION("IF('AYIRA MINI MART FINAL MENU - Pr'!B54="""", """", IF(LEN(TRIM(REGEXREPLACE(REGEXREPLACE('AYIRA MINI MART FINAL MENU - Pr'!B54, ""^[^\x{0600}-\x{06FF}]+"", """"), ""^[-–\s]+"", """")))&gt;0, TRIM(REGEXREPLACE(REGEXREPLACE('AYIRA MINI MART FINAL MENU - Pr'!"&amp;"B54, ""^[^\x{0600}-\x{06FF}]+"", """"), ""^[-–\s]+"", """")), GOOGLETRANSLATE('AYIRA MINI MART FINAL MENU - Pr'!B54, ""en"", ""ar"")))"),"العصائر ومشروبات الفاكهة")</f>
        <v>العصائر ومشروبات الفاكهة</v>
      </c>
      <c r="C54" s="56">
        <f>IF('AYIRA MINI MART FINAL MENU - Pr'!C54="", "", 'AYIRA MINI MART FINAL MENU - Pr'!C54)</f>
        <v>2</v>
      </c>
      <c r="D54" s="56" t="str">
        <f>IF('AYIRA MINI MART FINAL MENU - Pr'!D54="", "", 'AYIRA MINI MART FINAL MENU - Pr'!D54)</f>
        <v>اكتشف Vimto Strawberry Fruit Flavoured Drink 250ml – مشروب فاكهة فيمتو بنكهة الفراولة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54" s="56" t="str">
        <f>IF('AYIRA MINI MART FINAL MENU - Pr'!E54="", "", 'AYIRA MINI MART FINAL MENU - Pr'!E54)</f>
        <v/>
      </c>
      <c r="F54" s="56" t="str">
        <f>IF('AYIRA MINI MART FINAL MENU - Pr'!F54="", "", 'AYIRA MINI MART FINAL MENU - Pr'!F54)</f>
        <v/>
      </c>
      <c r="G54" s="56" t="str">
        <f>IF('AYIRA MINI MART FINAL MENU - Pr'!G54="", "", 'AYIRA MINI MART FINAL MENU - Pr'!G54)</f>
        <v/>
      </c>
      <c r="H54" s="56" t="str">
        <f>IF('AYIRA MINI MART FINAL MENU - Pr'!H54="", "", 'AYIRA MINI MART FINAL MENU - Pr'!H54)</f>
        <v/>
      </c>
      <c r="I54" s="56" t="str">
        <f>IF('AYIRA MINI MART FINAL MENU - Pr'!I54="", "", 'AYIRA MINI MART FINAL MENU - Pr'!I54)</f>
        <v/>
      </c>
      <c r="J54" s="56" t="str">
        <f>IFERROR(__xludf.DUMMYFUNCTION("IF('AYIRA MINI MART FINAL MENU - Pr'!J54="""", """", GOOGLETRANSLATE('AYIRA MINI MART FINAL MENU - Pr'!J54, ""en"", ""ar""))"),"يعرض")</f>
        <v>يعرض</v>
      </c>
      <c r="K54" s="56" t="str">
        <f>IF('AYIRA MINI MART FINAL MENU - Pr'!K54="", "", 'AYIRA MINI MART FINAL MENU - Pr'!K54)</f>
        <v/>
      </c>
      <c r="L54" s="56" t="str">
        <f>IF('AYIRA MINI MART FINAL MENU - Pr'!L54="", "", 'AYIRA MINI MART FINAL MENU - Pr'!L54)</f>
        <v/>
      </c>
      <c r="M54" s="56" t="str">
        <f>IF('AYIRA MINI MART FINAL MENU - Pr'!M54="", "", 'AYIRA MINI MART FINAL MENU - Pr'!M54)</f>
        <v/>
      </c>
      <c r="N54" s="56" t="str">
        <f>IF('AYIRA MINI MART FINAL MENU - Pr'!N54="", "", 'AYIRA MINI MART FINAL MENU - Pr'!N54)</f>
        <v/>
      </c>
      <c r="O54" s="57"/>
      <c r="P54" s="57"/>
      <c r="Q54" s="57"/>
      <c r="R54" s="57"/>
      <c r="S54" s="57"/>
      <c r="T54" s="57"/>
      <c r="U54" s="57"/>
      <c r="V54" s="57"/>
      <c r="W54" s="57"/>
      <c r="X54" s="57"/>
      <c r="Y54" s="57"/>
      <c r="Z54" s="57"/>
    </row>
    <row r="55">
      <c r="A55" s="56" t="str">
        <f>IFERROR(__xludf.DUMMYFUNCTION("IF('AYIRA MINI MART FINAL MENU - Pr'!A55="""", """", IF(LEN(TRIM(REGEXREPLACE(REGEXREPLACE('AYIRA MINI MART FINAL MENU - Pr'!A55, ""^[^\x{0600}-\x{06FF}]+"", """"), ""^[-–\s]+"", """")))&gt;0, TRIM(REGEXREPLACE(REGEXREPLACE('AYIRA MINI MART FINAL MENU - Pr'!"&amp;"A55, ""^[^\x{0600}-\x{06FF}]+"", """"), ""^[-–\s]+"", """")), GOOGLETRANSLATE('AYIRA MINI MART FINAL MENU - Pr'!A55, ""en"", ""ar"")))"),"مشروب التفاح بست 250 مل")</f>
        <v>مشروب التفاح بست 250 مل</v>
      </c>
      <c r="B55" s="56" t="str">
        <f>IFERROR(__xludf.DUMMYFUNCTION("IF('AYIRA MINI MART FINAL MENU - Pr'!B55="""", """", IF(LEN(TRIM(REGEXREPLACE(REGEXREPLACE('AYIRA MINI MART FINAL MENU - Pr'!B55, ""^[^\x{0600}-\x{06FF}]+"", """"), ""^[-–\s]+"", """")))&gt;0, TRIM(REGEXREPLACE(REGEXREPLACE('AYIRA MINI MART FINAL MENU - Pr'!"&amp;"B55, ""^[^\x{0600}-\x{06FF}]+"", """"), ""^[-–\s]+"", """")), GOOGLETRANSLATE('AYIRA MINI MART FINAL MENU - Pr'!B55, ""en"", ""ar"")))"),"العصائر ومشروبات الفاكهة")</f>
        <v>العصائر ومشروبات الفاكهة</v>
      </c>
      <c r="C55" s="56">
        <f>IF('AYIRA MINI MART FINAL MENU - Pr'!C55="", "", 'AYIRA MINI MART FINAL MENU - Pr'!C55)</f>
        <v>2</v>
      </c>
      <c r="D55" s="56" t="str">
        <f>IF('AYIRA MINI MART FINAL MENU - Pr'!D55="", "", 'AYIRA MINI MART FINAL MENU - Pr'!D55)</f>
        <v>اكتشف Best Apple Drink 250ml – مشروب التفاح بست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55" s="56" t="str">
        <f>IF('AYIRA MINI MART FINAL MENU - Pr'!E55="", "", 'AYIRA MINI MART FINAL MENU - Pr'!E55)</f>
        <v/>
      </c>
      <c r="F55" s="56" t="str">
        <f>IF('AYIRA MINI MART FINAL MENU - Pr'!F55="", "", 'AYIRA MINI MART FINAL MENU - Pr'!F55)</f>
        <v/>
      </c>
      <c r="G55" s="56" t="str">
        <f>IF('AYIRA MINI MART FINAL MENU - Pr'!G55="", "", 'AYIRA MINI MART FINAL MENU - Pr'!G55)</f>
        <v/>
      </c>
      <c r="H55" s="56" t="str">
        <f>IF('AYIRA MINI MART FINAL MENU - Pr'!H55="", "", 'AYIRA MINI MART FINAL MENU - Pr'!H55)</f>
        <v/>
      </c>
      <c r="I55" s="56" t="str">
        <f>IF('AYIRA MINI MART FINAL MENU - Pr'!I55="", "", 'AYIRA MINI MART FINAL MENU - Pr'!I55)</f>
        <v/>
      </c>
      <c r="J55" s="56" t="str">
        <f>IFERROR(__xludf.DUMMYFUNCTION("IF('AYIRA MINI MART FINAL MENU - Pr'!J55="""", """", GOOGLETRANSLATE('AYIRA MINI MART FINAL MENU - Pr'!J55, ""en"", ""ar""))"),"يخفي")</f>
        <v>يخفي</v>
      </c>
      <c r="K55" s="56" t="str">
        <f>IF('AYIRA MINI MART FINAL MENU - Pr'!K55="", "", 'AYIRA MINI MART FINAL MENU - Pr'!K55)</f>
        <v/>
      </c>
      <c r="L55" s="56" t="str">
        <f>IF('AYIRA MINI MART FINAL MENU - Pr'!L55="", "", 'AYIRA MINI MART FINAL MENU - Pr'!L55)</f>
        <v/>
      </c>
      <c r="M55" s="56" t="str">
        <f>IF('AYIRA MINI MART FINAL MENU - Pr'!M55="", "", 'AYIRA MINI MART FINAL MENU - Pr'!M55)</f>
        <v/>
      </c>
      <c r="N55" s="56" t="str">
        <f>IF('AYIRA MINI MART FINAL MENU - Pr'!N55="", "", 'AYIRA MINI MART FINAL MENU - Pr'!N55)</f>
        <v/>
      </c>
      <c r="O55" s="57"/>
      <c r="P55" s="57"/>
      <c r="Q55" s="57"/>
      <c r="R55" s="57"/>
      <c r="S55" s="57"/>
      <c r="T55" s="57"/>
      <c r="U55" s="57"/>
      <c r="V55" s="57"/>
      <c r="W55" s="57"/>
      <c r="X55" s="57"/>
      <c r="Y55" s="57"/>
      <c r="Z55" s="57"/>
    </row>
    <row r="56">
      <c r="A56" s="56" t="str">
        <f>IFERROR(__xludf.DUMMYFUNCTION("IF('AYIRA MINI MART FINAL MENU - Pr'!A56="""", """", IF(LEN(TRIM(REGEXREPLACE(REGEXREPLACE('AYIRA MINI MART FINAL MENU - Pr'!A56, ""^[^\x{0600}-\x{06FF}]+"", """"), ""^[-–\s]+"", """")))&gt;0, TRIM(REGEXREPLACE(REGEXREPLACE('AYIRA MINI MART FINAL MENU - Pr'!"&amp;"A56, ""^[^\x{0600}-\x{06FF}]+"", """"), ""^[-–\s]+"", """")), GOOGLETRANSLATE('AYIRA MINI MART FINAL MENU - Pr'!A56, ""en"", ""ar"")))"),"عصير مانجو بران فروتو 200 مل")</f>
        <v>عصير مانجو بران فروتو 200 مل</v>
      </c>
      <c r="B56" s="56" t="str">
        <f>IFERROR(__xludf.DUMMYFUNCTION("IF('AYIRA MINI MART FINAL MENU - Pr'!B56="""", """", IF(LEN(TRIM(REGEXREPLACE(REGEXREPLACE('AYIRA MINI MART FINAL MENU - Pr'!B56, ""^[^\x{0600}-\x{06FF}]+"", """"), ""^[-–\s]+"", """")))&gt;0, TRIM(REGEXREPLACE(REGEXREPLACE('AYIRA MINI MART FINAL MENU - Pr'!"&amp;"B56, ""^[^\x{0600}-\x{06FF}]+"", """"), ""^[-–\s]+"", """")), GOOGLETRANSLATE('AYIRA MINI MART FINAL MENU - Pr'!B56, ""en"", ""ar"")))"),"العصائر ومشروبات الفاكهة")</f>
        <v>العصائر ومشروبات الفاكهة</v>
      </c>
      <c r="C56" s="56">
        <f>IF('AYIRA MINI MART FINAL MENU - Pr'!C56="", "", 'AYIRA MINI MART FINAL MENU - Pr'!C56)</f>
        <v>1</v>
      </c>
      <c r="D56" s="56" t="str">
        <f>IF('AYIRA MINI MART FINAL MENU - Pr'!D56="", "", 'AYIRA MINI MART FINAL MENU - Pr'!D56)</f>
        <v>احرص على صحتك مع Pran Frooto Mango Juice 200ml – عصير مانجو بران فروتو 200 مل،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56" s="56" t="str">
        <f>IF('AYIRA MINI MART FINAL MENU - Pr'!E56="", "", 'AYIRA MINI MART FINAL MENU - Pr'!E56)</f>
        <v/>
      </c>
      <c r="F56" s="56" t="str">
        <f>IF('AYIRA MINI MART FINAL MENU - Pr'!F56="", "", 'AYIRA MINI MART FINAL MENU - Pr'!F56)</f>
        <v/>
      </c>
      <c r="G56" s="56" t="str">
        <f>IF('AYIRA MINI MART FINAL MENU - Pr'!G56="", "", 'AYIRA MINI MART FINAL MENU - Pr'!G56)</f>
        <v/>
      </c>
      <c r="H56" s="56" t="str">
        <f>IF('AYIRA MINI MART FINAL MENU - Pr'!H56="", "", 'AYIRA MINI MART FINAL MENU - Pr'!H56)</f>
        <v/>
      </c>
      <c r="I56" s="56" t="str">
        <f>IF('AYIRA MINI MART FINAL MENU - Pr'!I56="", "", 'AYIRA MINI MART FINAL MENU - Pr'!I56)</f>
        <v/>
      </c>
      <c r="J56" s="56" t="str">
        <f>IFERROR(__xludf.DUMMYFUNCTION("IF('AYIRA MINI MART FINAL MENU - Pr'!J56="""", """", GOOGLETRANSLATE('AYIRA MINI MART FINAL MENU - Pr'!J56, ""en"", ""ar""))"),"يعرض")</f>
        <v>يعرض</v>
      </c>
      <c r="K56" s="56" t="str">
        <f>IF('AYIRA MINI MART FINAL MENU - Pr'!K56="", "", 'AYIRA MINI MART FINAL MENU - Pr'!K56)</f>
        <v/>
      </c>
      <c r="L56" s="56" t="str">
        <f>IF('AYIRA MINI MART FINAL MENU - Pr'!L56="", "", 'AYIRA MINI MART FINAL MENU - Pr'!L56)</f>
        <v/>
      </c>
      <c r="M56" s="56" t="str">
        <f>IF('AYIRA MINI MART FINAL MENU - Pr'!M56="", "", 'AYIRA MINI MART FINAL MENU - Pr'!M56)</f>
        <v/>
      </c>
      <c r="N56" s="56" t="str">
        <f>IF('AYIRA MINI MART FINAL MENU - Pr'!N56="", "", 'AYIRA MINI MART FINAL MENU - Pr'!N56)</f>
        <v/>
      </c>
      <c r="O56" s="57"/>
      <c r="P56" s="57"/>
      <c r="Q56" s="57"/>
      <c r="R56" s="57"/>
      <c r="S56" s="57"/>
      <c r="T56" s="57"/>
      <c r="U56" s="57"/>
      <c r="V56" s="57"/>
      <c r="W56" s="57"/>
      <c r="X56" s="57"/>
      <c r="Y56" s="57"/>
      <c r="Z56" s="57"/>
    </row>
    <row r="57">
      <c r="A57" s="56" t="str">
        <f>IFERROR(__xludf.DUMMYFUNCTION("IF('AYIRA MINI MART FINAL MENU - Pr'!A57="""", """", IF(LEN(TRIM(REGEXREPLACE(REGEXREPLACE('AYIRA MINI MART FINAL MENU - Pr'!A57, ""^[^\x{0600}-\x{06FF}]+"", """"), ""^[-–\s]+"", """")))&gt;0, TRIM(REGEXREPLACE(REGEXREPLACE('AYIRA MINI MART FINAL MENU - Pr'!"&amp;"A57, ""^[^\x{0600}-\x{06FF}]+"", """"), ""^[-–\s]+"", """")), GOOGLETRANSLATE('AYIRA MINI MART FINAL MENU - Pr'!A57, ""en"", ""ar"")))"),"كابري صن فواكه مشكلة 200 مل")</f>
        <v>كابري صن فواكه مشكلة 200 مل</v>
      </c>
      <c r="B57" s="56" t="str">
        <f>IFERROR(__xludf.DUMMYFUNCTION("IF('AYIRA MINI MART FINAL MENU - Pr'!B57="""", """", IF(LEN(TRIM(REGEXREPLACE(REGEXREPLACE('AYIRA MINI MART FINAL MENU - Pr'!B57, ""^[^\x{0600}-\x{06FF}]+"", """"), ""^[-–\s]+"", """")))&gt;0, TRIM(REGEXREPLACE(REGEXREPLACE('AYIRA MINI MART FINAL MENU - Pr'!"&amp;"B57, ""^[^\x{0600}-\x{06FF}]+"", """"), ""^[-–\s]+"", """")), GOOGLETRANSLATE('AYIRA MINI MART FINAL MENU - Pr'!B57, ""en"", ""ar"")))"),"العصائر ومشروبات الفاكهة")</f>
        <v>العصائر ومشروبات الفاكهة</v>
      </c>
      <c r="C57" s="56">
        <f>IF('AYIRA MINI MART FINAL MENU - Pr'!C57="", "", 'AYIRA MINI MART FINAL MENU - Pr'!C57)</f>
        <v>2.5</v>
      </c>
      <c r="D57" s="56" t="str">
        <f>IF('AYIRA MINI MART FINAL MENU - Pr'!D57="", "", 'AYIRA MINI MART FINAL MENU - Pr'!D57)</f>
        <v>اكتشف Capri-Sun Mixed Fruit 200ml – كابري صن فواكه مشكلة 200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57" s="56" t="str">
        <f>IF('AYIRA MINI MART FINAL MENU - Pr'!E57="", "", 'AYIRA MINI MART FINAL MENU - Pr'!E57)</f>
        <v/>
      </c>
      <c r="F57" s="56" t="str">
        <f>IF('AYIRA MINI MART FINAL MENU - Pr'!F57="", "", 'AYIRA MINI MART FINAL MENU - Pr'!F57)</f>
        <v/>
      </c>
      <c r="G57" s="56" t="str">
        <f>IF('AYIRA MINI MART FINAL MENU - Pr'!G57="", "", 'AYIRA MINI MART FINAL MENU - Pr'!G57)</f>
        <v/>
      </c>
      <c r="H57" s="56" t="str">
        <f>IF('AYIRA MINI MART FINAL MENU - Pr'!H57="", "", 'AYIRA MINI MART FINAL MENU - Pr'!H57)</f>
        <v/>
      </c>
      <c r="I57" s="56" t="str">
        <f>IF('AYIRA MINI MART FINAL MENU - Pr'!I57="", "", 'AYIRA MINI MART FINAL MENU - Pr'!I57)</f>
        <v/>
      </c>
      <c r="J57" s="56" t="str">
        <f>IFERROR(__xludf.DUMMYFUNCTION("IF('AYIRA MINI MART FINAL MENU - Pr'!J57="""", """", GOOGLETRANSLATE('AYIRA MINI MART FINAL MENU - Pr'!J57, ""en"", ""ar""))"),"يعرض")</f>
        <v>يعرض</v>
      </c>
      <c r="K57" s="56" t="str">
        <f>IF('AYIRA MINI MART FINAL MENU - Pr'!K57="", "", 'AYIRA MINI MART FINAL MENU - Pr'!K57)</f>
        <v/>
      </c>
      <c r="L57" s="56" t="str">
        <f>IF('AYIRA MINI MART FINAL MENU - Pr'!L57="", "", 'AYIRA MINI MART FINAL MENU - Pr'!L57)</f>
        <v/>
      </c>
      <c r="M57" s="56" t="str">
        <f>IF('AYIRA MINI MART FINAL MENU - Pr'!M57="", "", 'AYIRA MINI MART FINAL MENU - Pr'!M57)</f>
        <v/>
      </c>
      <c r="N57" s="56" t="str">
        <f>IF('AYIRA MINI MART FINAL MENU - Pr'!N57="", "", 'AYIRA MINI MART FINAL MENU - Pr'!N57)</f>
        <v/>
      </c>
      <c r="O57" s="57"/>
      <c r="P57" s="57"/>
      <c r="Q57" s="57"/>
      <c r="R57" s="57"/>
      <c r="S57" s="57"/>
      <c r="T57" s="57"/>
      <c r="U57" s="57"/>
      <c r="V57" s="57"/>
      <c r="W57" s="57"/>
      <c r="X57" s="57"/>
      <c r="Y57" s="57"/>
      <c r="Z57" s="57"/>
    </row>
    <row r="58">
      <c r="A58" s="56" t="str">
        <f>IFERROR(__xludf.DUMMYFUNCTION("IF('AYIRA MINI MART FINAL MENU - Pr'!A58="""", """", IF(LEN(TRIM(REGEXREPLACE(REGEXREPLACE('AYIRA MINI MART FINAL MENU - Pr'!A58, ""^[^\x{0600}-\x{06FF}]+"", """"), ""^[-–\s]+"", """")))&gt;0, TRIM(REGEXREPLACE(REGEXREPLACE('AYIRA MINI MART FINAL MENU - Pr'!"&amp;"A58, ""^[^\x{0600}-\x{06FF}]+"", """"), ""^[-–\s]+"", """")), GOOGLETRANSLATE('AYIRA MINI MART FINAL MENU - Pr'!A58, ""en"", ""ar"")))"),"كابري صن مانجو 200 مل")</f>
        <v>كابري صن مانجو 200 مل</v>
      </c>
      <c r="B58" s="56" t="str">
        <f>IFERROR(__xludf.DUMMYFUNCTION("IF('AYIRA MINI MART FINAL MENU - Pr'!B58="""", """", IF(LEN(TRIM(REGEXREPLACE(REGEXREPLACE('AYIRA MINI MART FINAL MENU - Pr'!B58, ""^[^\x{0600}-\x{06FF}]+"", """"), ""^[-–\s]+"", """")))&gt;0, TRIM(REGEXREPLACE(REGEXREPLACE('AYIRA MINI MART FINAL MENU - Pr'!"&amp;"B58, ""^[^\x{0600}-\x{06FF}]+"", """"), ""^[-–\s]+"", """")), GOOGLETRANSLATE('AYIRA MINI MART FINAL MENU - Pr'!B58, ""en"", ""ar"")))"),"العصائر ومشروبات الفاكهة")</f>
        <v>العصائر ومشروبات الفاكهة</v>
      </c>
      <c r="C58" s="56">
        <f>IF('AYIRA MINI MART FINAL MENU - Pr'!C58="", "", 'AYIRA MINI MART FINAL MENU - Pr'!C58)</f>
        <v>2.5</v>
      </c>
      <c r="D58" s="56" t="str">
        <f>IF('AYIRA MINI MART FINAL MENU - Pr'!D58="", "", 'AYIRA MINI MART FINAL MENU - Pr'!D58)</f>
        <v>اكتشف Capri-Sun Mango 200ml – كابري صن مانجو 200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58" s="56" t="str">
        <f>IF('AYIRA MINI MART FINAL MENU - Pr'!E58="", "", 'AYIRA MINI MART FINAL MENU - Pr'!E58)</f>
        <v/>
      </c>
      <c r="F58" s="56" t="str">
        <f>IF('AYIRA MINI MART FINAL MENU - Pr'!F58="", "", 'AYIRA MINI MART FINAL MENU - Pr'!F58)</f>
        <v/>
      </c>
      <c r="G58" s="56" t="str">
        <f>IF('AYIRA MINI MART FINAL MENU - Pr'!G58="", "", 'AYIRA MINI MART FINAL MENU - Pr'!G58)</f>
        <v/>
      </c>
      <c r="H58" s="56" t="str">
        <f>IF('AYIRA MINI MART FINAL MENU - Pr'!H58="", "", 'AYIRA MINI MART FINAL MENU - Pr'!H58)</f>
        <v/>
      </c>
      <c r="I58" s="56" t="str">
        <f>IF('AYIRA MINI MART FINAL MENU - Pr'!I58="", "", 'AYIRA MINI MART FINAL MENU - Pr'!I58)</f>
        <v/>
      </c>
      <c r="J58" s="56" t="str">
        <f>IFERROR(__xludf.DUMMYFUNCTION("IF('AYIRA MINI MART FINAL MENU - Pr'!J58="""", """", GOOGLETRANSLATE('AYIRA MINI MART FINAL MENU - Pr'!J58, ""en"", ""ar""))"),"يعرض")</f>
        <v>يعرض</v>
      </c>
      <c r="K58" s="56" t="str">
        <f>IF('AYIRA MINI MART FINAL MENU - Pr'!K58="", "", 'AYIRA MINI MART FINAL MENU - Pr'!K58)</f>
        <v/>
      </c>
      <c r="L58" s="56" t="str">
        <f>IF('AYIRA MINI MART FINAL MENU - Pr'!L58="", "", 'AYIRA MINI MART FINAL MENU - Pr'!L58)</f>
        <v/>
      </c>
      <c r="M58" s="56" t="str">
        <f>IF('AYIRA MINI MART FINAL MENU - Pr'!M58="", "", 'AYIRA MINI MART FINAL MENU - Pr'!M58)</f>
        <v/>
      </c>
      <c r="N58" s="56" t="str">
        <f>IF('AYIRA MINI MART FINAL MENU - Pr'!N58="", "", 'AYIRA MINI MART FINAL MENU - Pr'!N58)</f>
        <v/>
      </c>
      <c r="O58" s="57"/>
      <c r="P58" s="57"/>
      <c r="Q58" s="57"/>
      <c r="R58" s="57"/>
      <c r="S58" s="57"/>
      <c r="T58" s="57"/>
      <c r="U58" s="57"/>
      <c r="V58" s="57"/>
      <c r="W58" s="57"/>
      <c r="X58" s="57"/>
      <c r="Y58" s="57"/>
      <c r="Z58" s="57"/>
    </row>
    <row r="59">
      <c r="A59" s="56" t="str">
        <f>IFERROR(__xludf.DUMMYFUNCTION("IF('AYIRA MINI MART FINAL MENU - Pr'!A59="""", """", IF(LEN(TRIM(REGEXREPLACE(REGEXREPLACE('AYIRA MINI MART FINAL MENU - Pr'!A59, ""^[^\x{0600}-\x{06FF}]+"", """"), ""^[-–\s]+"", """")))&gt;0, TRIM(REGEXREPLACE(REGEXREPLACE('AYIRA MINI MART FINAL MENU - Pr'!"&amp;"A59, ""^[^\x{0600}-\x{06FF}]+"", """"), ""^[-–\s]+"", """")), GOOGLETRANSLATE('AYIRA MINI MART FINAL MENU - Pr'!A59, ""en"", ""ar"")))"),"فيتاميلك بنكهة الفراولة 300 مل")</f>
        <v>فيتاميلك بنكهة الفراولة 300 مل</v>
      </c>
      <c r="B59" s="56" t="str">
        <f>IFERROR(__xludf.DUMMYFUNCTION("IF('AYIRA MINI MART FINAL MENU - Pr'!B59="""", """", IF(LEN(TRIM(REGEXREPLACE(REGEXREPLACE('AYIRA MINI MART FINAL MENU - Pr'!B59, ""^[^\x{0600}-\x{06FF}]+"", """"), ""^[-–\s]+"", """")))&gt;0, TRIM(REGEXREPLACE(REGEXREPLACE('AYIRA MINI MART FINAL MENU - Pr'!"&amp;"B59, ""^[^\x{0600}-\x{06FF}]+"", """"), ""^[-–\s]+"", """")), GOOGLETRANSLATE('AYIRA MINI MART FINAL MENU - Pr'!B59, ""en"", ""ar"")))"),"العصائر ومشروبات الفاكهة")</f>
        <v>العصائر ومشروبات الفاكهة</v>
      </c>
      <c r="C59" s="56">
        <f>IF('AYIRA MINI MART FINAL MENU - Pr'!C59="", "", 'AYIRA MINI MART FINAL MENU - Pr'!C59)</f>
        <v>5</v>
      </c>
      <c r="D59" s="56" t="str">
        <f>IF('AYIRA MINI MART FINAL MENU - Pr'!D59="", "", 'AYIRA MINI MART FINAL MENU - Pr'!D59)</f>
        <v>اكتشف Vitamilk Strawberry 300ml – فيتاميلك بنكهة الفراولة 300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59" s="56" t="str">
        <f>IF('AYIRA MINI MART FINAL MENU - Pr'!E59="", "", 'AYIRA MINI MART FINAL MENU - Pr'!E59)</f>
        <v/>
      </c>
      <c r="F59" s="56" t="str">
        <f>IF('AYIRA MINI MART FINAL MENU - Pr'!F59="", "", 'AYIRA MINI MART FINAL MENU - Pr'!F59)</f>
        <v/>
      </c>
      <c r="G59" s="56" t="str">
        <f>IF('AYIRA MINI MART FINAL MENU - Pr'!G59="", "", 'AYIRA MINI MART FINAL MENU - Pr'!G59)</f>
        <v/>
      </c>
      <c r="H59" s="56" t="str">
        <f>IF('AYIRA MINI MART FINAL MENU - Pr'!H59="", "", 'AYIRA MINI MART FINAL MENU - Pr'!H59)</f>
        <v/>
      </c>
      <c r="I59" s="56" t="str">
        <f>IF('AYIRA MINI MART FINAL MENU - Pr'!I59="", "", 'AYIRA MINI MART FINAL MENU - Pr'!I59)</f>
        <v/>
      </c>
      <c r="J59" s="56" t="str">
        <f>IFERROR(__xludf.DUMMYFUNCTION("IF('AYIRA MINI MART FINAL MENU - Pr'!J59="""", """", GOOGLETRANSLATE('AYIRA MINI MART FINAL MENU - Pr'!J59, ""en"", ""ar""))"),"يعرض")</f>
        <v>يعرض</v>
      </c>
      <c r="K59" s="56" t="str">
        <f>IF('AYIRA MINI MART FINAL MENU - Pr'!K59="", "", 'AYIRA MINI MART FINAL MENU - Pr'!K59)</f>
        <v/>
      </c>
      <c r="L59" s="56" t="str">
        <f>IF('AYIRA MINI MART FINAL MENU - Pr'!L59="", "", 'AYIRA MINI MART FINAL MENU - Pr'!L59)</f>
        <v/>
      </c>
      <c r="M59" s="56" t="str">
        <f>IF('AYIRA MINI MART FINAL MENU - Pr'!M59="", "", 'AYIRA MINI MART FINAL MENU - Pr'!M59)</f>
        <v/>
      </c>
      <c r="N59" s="56" t="str">
        <f>IF('AYIRA MINI MART FINAL MENU - Pr'!N59="", "", 'AYIRA MINI MART FINAL MENU - Pr'!N59)</f>
        <v/>
      </c>
      <c r="O59" s="57"/>
      <c r="P59" s="57"/>
      <c r="Q59" s="57"/>
      <c r="R59" s="57"/>
      <c r="S59" s="57"/>
      <c r="T59" s="57"/>
      <c r="U59" s="57"/>
      <c r="V59" s="57"/>
      <c r="W59" s="57"/>
      <c r="X59" s="57"/>
      <c r="Y59" s="57"/>
      <c r="Z59" s="57"/>
    </row>
    <row r="60">
      <c r="A60" s="56" t="str">
        <f>IFERROR(__xludf.DUMMYFUNCTION("IF('AYIRA MINI MART FINAL MENU - Pr'!A60="""", """", IF(LEN(TRIM(REGEXREPLACE(REGEXREPLACE('AYIRA MINI MART FINAL MENU - Pr'!A60, ""^[^\x{0600}-\x{06FF}]+"", """"), ""^[-–\s]+"", """")))&gt;0, TRIM(REGEXREPLACE(REGEXREPLACE('AYIRA MINI MART FINAL MENU - Pr'!"&amp;"A60, ""^[^\x{0600}-\x{06FF}]+"", """"), ""^[-–\s]+"", """")), GOOGLETRANSLATE('AYIRA MINI MART FINAL MENU - Pr'!A60, ""en"", ""ar"")))"),"فيتامينلك دبل شوكو شيك بحجم 300 مل")</f>
        <v>فيتامينلك دبل شوكو شيك بحجم 300 مل</v>
      </c>
      <c r="B60" s="56" t="str">
        <f>IFERROR(__xludf.DUMMYFUNCTION("IF('AYIRA MINI MART FINAL MENU - Pr'!B60="""", """", IF(LEN(TRIM(REGEXREPLACE(REGEXREPLACE('AYIRA MINI MART FINAL MENU - Pr'!B60, ""^[^\x{0600}-\x{06FF}]+"", """"), ""^[-–\s]+"", """")))&gt;0, TRIM(REGEXREPLACE(REGEXREPLACE('AYIRA MINI MART FINAL MENU - Pr'!"&amp;"B60, ""^[^\x{0600}-\x{06FF}]+"", """"), ""^[-–\s]+"", """")), GOOGLETRANSLATE('AYIRA MINI MART FINAL MENU - Pr'!B60, ""en"", ""ar"")))"),"العصائر ومشروبات الفاكهة")</f>
        <v>العصائر ومشروبات الفاكهة</v>
      </c>
      <c r="C60" s="56">
        <f>IF('AYIRA MINI MART FINAL MENU - Pr'!C60="", "", 'AYIRA MINI MART FINAL MENU - Pr'!C60)</f>
        <v>5</v>
      </c>
      <c r="D60" s="56" t="str">
        <f>IF('AYIRA MINI MART FINAL MENU - Pr'!D60="", "", 'AYIRA MINI MART FINAL MENU - Pr'!D60)</f>
        <v>اكتشف Vitamilk Double Choco Shake 300 ml فيتامينلك دبل شوكو شيك بحجم 300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60" s="56" t="str">
        <f>IF('AYIRA MINI MART FINAL MENU - Pr'!E60="", "", 'AYIRA MINI MART FINAL MENU - Pr'!E60)</f>
        <v/>
      </c>
      <c r="F60" s="56" t="str">
        <f>IF('AYIRA MINI MART FINAL MENU - Pr'!F60="", "", 'AYIRA MINI MART FINAL MENU - Pr'!F60)</f>
        <v/>
      </c>
      <c r="G60" s="56" t="str">
        <f>IF('AYIRA MINI MART FINAL MENU - Pr'!G60="", "", 'AYIRA MINI MART FINAL MENU - Pr'!G60)</f>
        <v/>
      </c>
      <c r="H60" s="56" t="str">
        <f>IF('AYIRA MINI MART FINAL MENU - Pr'!H60="", "", 'AYIRA MINI MART FINAL MENU - Pr'!H60)</f>
        <v/>
      </c>
      <c r="I60" s="56" t="str">
        <f>IF('AYIRA MINI MART FINAL MENU - Pr'!I60="", "", 'AYIRA MINI MART FINAL MENU - Pr'!I60)</f>
        <v/>
      </c>
      <c r="J60" s="56" t="str">
        <f>IFERROR(__xludf.DUMMYFUNCTION("IF('AYIRA MINI MART FINAL MENU - Pr'!J60="""", """", GOOGLETRANSLATE('AYIRA MINI MART FINAL MENU - Pr'!J60, ""en"", ""ar""))"),"يعرض")</f>
        <v>يعرض</v>
      </c>
      <c r="K60" s="56" t="str">
        <f>IF('AYIRA MINI MART FINAL MENU - Pr'!K60="", "", 'AYIRA MINI MART FINAL MENU - Pr'!K60)</f>
        <v/>
      </c>
      <c r="L60" s="56" t="str">
        <f>IF('AYIRA MINI MART FINAL MENU - Pr'!L60="", "", 'AYIRA MINI MART FINAL MENU - Pr'!L60)</f>
        <v/>
      </c>
      <c r="M60" s="56" t="str">
        <f>IF('AYIRA MINI MART FINAL MENU - Pr'!M60="", "", 'AYIRA MINI MART FINAL MENU - Pr'!M60)</f>
        <v/>
      </c>
      <c r="N60" s="56" t="str">
        <f>IF('AYIRA MINI MART FINAL MENU - Pr'!N60="", "", 'AYIRA MINI MART FINAL MENU - Pr'!N60)</f>
        <v/>
      </c>
      <c r="O60" s="57"/>
      <c r="P60" s="57"/>
      <c r="Q60" s="57"/>
      <c r="R60" s="57"/>
      <c r="S60" s="57"/>
      <c r="T60" s="57"/>
      <c r="U60" s="57"/>
      <c r="V60" s="57"/>
      <c r="W60" s="57"/>
      <c r="X60" s="57"/>
      <c r="Y60" s="57"/>
      <c r="Z60" s="57"/>
    </row>
    <row r="61">
      <c r="A61" s="56" t="str">
        <f>IFERROR(__xludf.DUMMYFUNCTION("IF('AYIRA MINI MART FINAL MENU - Pr'!A61="""", """", IF(LEN(TRIM(REGEXREPLACE(REGEXREPLACE('AYIRA MINI MART FINAL MENU - Pr'!A61, ""^[^\x{0600}-\x{06FF}]+"", """"), ""^[-–\s]+"", """")))&gt;0, TRIM(REGEXREPLACE(REGEXREPLACE('AYIRA MINI MART FINAL MENU - Pr'!"&amp;"A61, ""^[^\x{0600}-\x{06FF}]+"", """"), ""^[-–\s]+"", """")), GOOGLETRANSLATE('AYIRA MINI MART FINAL MENU - Pr'!A61, ""en"", ""ar"")))"),"فيتامينلك إنرجي بحجم 300 مل")</f>
        <v>فيتامينلك إنرجي بحجم 300 مل</v>
      </c>
      <c r="B61" s="56" t="str">
        <f>IFERROR(__xludf.DUMMYFUNCTION("IF('AYIRA MINI MART FINAL MENU - Pr'!B61="""", """", IF(LEN(TRIM(REGEXREPLACE(REGEXREPLACE('AYIRA MINI MART FINAL MENU - Pr'!B61, ""^[^\x{0600}-\x{06FF}]+"", """"), ""^[-–\s]+"", """")))&gt;0, TRIM(REGEXREPLACE(REGEXREPLACE('AYIRA MINI MART FINAL MENU - Pr'!"&amp;"B61, ""^[^\x{0600}-\x{06FF}]+"", """"), ""^[-–\s]+"", """")), GOOGLETRANSLATE('AYIRA MINI MART FINAL MENU - Pr'!B61, ""en"", ""ar"")))"),"العصائر ومشروبات الفاكهة")</f>
        <v>العصائر ومشروبات الفاكهة</v>
      </c>
      <c r="C61" s="56">
        <f>IF('AYIRA MINI MART FINAL MENU - Pr'!C61="", "", 'AYIRA MINI MART FINAL MENU - Pr'!C61)</f>
        <v>5</v>
      </c>
      <c r="D61" s="56" t="str">
        <f>IF('AYIRA MINI MART FINAL MENU - Pr'!D61="", "", 'AYIRA MINI MART FINAL MENU - Pr'!D61)</f>
        <v>اكتشف Vitamilk Energy 300 ml فيتامينلك إنرجي بحجم 300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61" s="56" t="str">
        <f>IF('AYIRA MINI MART FINAL MENU - Pr'!E61="", "", 'AYIRA MINI MART FINAL MENU - Pr'!E61)</f>
        <v/>
      </c>
      <c r="F61" s="56" t="str">
        <f>IF('AYIRA MINI MART FINAL MENU - Pr'!F61="", "", 'AYIRA MINI MART FINAL MENU - Pr'!F61)</f>
        <v/>
      </c>
      <c r="G61" s="56" t="str">
        <f>IF('AYIRA MINI MART FINAL MENU - Pr'!G61="", "", 'AYIRA MINI MART FINAL MENU - Pr'!G61)</f>
        <v/>
      </c>
      <c r="H61" s="56" t="str">
        <f>IF('AYIRA MINI MART FINAL MENU - Pr'!H61="", "", 'AYIRA MINI MART FINAL MENU - Pr'!H61)</f>
        <v/>
      </c>
      <c r="I61" s="56" t="str">
        <f>IF('AYIRA MINI MART FINAL MENU - Pr'!I61="", "", 'AYIRA MINI MART FINAL MENU - Pr'!I61)</f>
        <v/>
      </c>
      <c r="J61" s="56" t="str">
        <f>IFERROR(__xludf.DUMMYFUNCTION("IF('AYIRA MINI MART FINAL MENU - Pr'!J61="""", """", GOOGLETRANSLATE('AYIRA MINI MART FINAL MENU - Pr'!J61, ""en"", ""ar""))"),"يعرض")</f>
        <v>يعرض</v>
      </c>
      <c r="K61" s="56" t="str">
        <f>IF('AYIRA MINI MART FINAL MENU - Pr'!K61="", "", 'AYIRA MINI MART FINAL MENU - Pr'!K61)</f>
        <v/>
      </c>
      <c r="L61" s="56" t="str">
        <f>IF('AYIRA MINI MART FINAL MENU - Pr'!L61="", "", 'AYIRA MINI MART FINAL MENU - Pr'!L61)</f>
        <v/>
      </c>
      <c r="M61" s="56" t="str">
        <f>IF('AYIRA MINI MART FINAL MENU - Pr'!M61="", "", 'AYIRA MINI MART FINAL MENU - Pr'!M61)</f>
        <v/>
      </c>
      <c r="N61" s="56" t="str">
        <f>IF('AYIRA MINI MART FINAL MENU - Pr'!N61="", "", 'AYIRA MINI MART FINAL MENU - Pr'!N61)</f>
        <v/>
      </c>
      <c r="O61" s="57"/>
      <c r="P61" s="57"/>
      <c r="Q61" s="57"/>
      <c r="R61" s="57"/>
      <c r="S61" s="57"/>
      <c r="T61" s="57"/>
      <c r="U61" s="57"/>
      <c r="V61" s="57"/>
      <c r="W61" s="57"/>
      <c r="X61" s="57"/>
      <c r="Y61" s="57"/>
      <c r="Z61" s="57"/>
    </row>
    <row r="62">
      <c r="A62" s="56" t="str">
        <f>IFERROR(__xludf.DUMMYFUNCTION("IF('AYIRA MINI MART FINAL MENU - Pr'!A62="""", """", IF(LEN(TRIM(REGEXREPLACE(REGEXREPLACE('AYIRA MINI MART FINAL MENU - Pr'!A62, ""^[^\x{0600}-\x{06FF}]+"", """"), ""^[-–\s]+"", """")))&gt;0, TRIM(REGEXREPLACE(REGEXREPLACE('AYIRA MINI MART FINAL MENU - Pr'!"&amp;"A62, ""^[^\x{0600}-\x{06FF}]+"", """"), ""^[-–\s]+"", """")), GOOGLETRANSLATE('AYIRA MINI MART FINAL MENU - Pr'!A62, ""en"", ""ar"")))"),"دبل أب برتقال سعة 1 لتر")</f>
        <v>دبل أب برتقال سعة 1 لتر</v>
      </c>
      <c r="B62" s="56" t="str">
        <f>IFERROR(__xludf.DUMMYFUNCTION("IF('AYIRA MINI MART FINAL MENU - Pr'!B62="""", """", IF(LEN(TRIM(REGEXREPLACE(REGEXREPLACE('AYIRA MINI MART FINAL MENU - Pr'!B62, ""^[^\x{0600}-\x{06FF}]+"", """"), ""^[-–\s]+"", """")))&gt;0, TRIM(REGEXREPLACE(REGEXREPLACE('AYIRA MINI MART FINAL MENU - Pr'!"&amp;"B62, ""^[^\x{0600}-\x{06FF}]+"", """"), ""^[-–\s]+"", """")), GOOGLETRANSLATE('AYIRA MINI MART FINAL MENU - Pr'!B62, ""en"", ""ar"")))"),"المشروبات الغازية")</f>
        <v>المشروبات الغازية</v>
      </c>
      <c r="C62" s="56">
        <f>IF('AYIRA MINI MART FINAL MENU - Pr'!C62="", "", 'AYIRA MINI MART FINAL MENU - Pr'!C62)</f>
        <v>3.5</v>
      </c>
      <c r="D62" s="56" t="str">
        <f>IF('AYIRA MINI MART FINAL MENU - Pr'!D62="", "", 'AYIRA MINI MART FINAL MENU - Pr'!D62)</f>
        <v>استمتع بـ دبل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62" s="56" t="str">
        <f>IF('AYIRA MINI MART FINAL MENU - Pr'!E62="", "", 'AYIRA MINI MART FINAL MENU - Pr'!E62)</f>
        <v/>
      </c>
      <c r="F62" s="56" t="str">
        <f>IF('AYIRA MINI MART FINAL MENU - Pr'!F62="", "", 'AYIRA MINI MART FINAL MENU - Pr'!F62)</f>
        <v/>
      </c>
      <c r="G62" s="56" t="str">
        <f>IF('AYIRA MINI MART FINAL MENU - Pr'!G62="", "", 'AYIRA MINI MART FINAL MENU - Pr'!G62)</f>
        <v/>
      </c>
      <c r="H62" s="56" t="str">
        <f>IF('AYIRA MINI MART FINAL MENU - Pr'!H62="", "", 'AYIRA MINI MART FINAL MENU - Pr'!H62)</f>
        <v/>
      </c>
      <c r="I62" s="56" t="str">
        <f>IF('AYIRA MINI MART FINAL MENU - Pr'!I62="", "", 'AYIRA MINI MART FINAL MENU - Pr'!I62)</f>
        <v/>
      </c>
      <c r="J62" s="56" t="str">
        <f>IFERROR(__xludf.DUMMYFUNCTION("IF('AYIRA MINI MART FINAL MENU - Pr'!J62="""", """", GOOGLETRANSLATE('AYIRA MINI MART FINAL MENU - Pr'!J62, ""en"", ""ar""))"),"يعرض")</f>
        <v>يعرض</v>
      </c>
      <c r="K62" s="56" t="str">
        <f>IF('AYIRA MINI MART FINAL MENU - Pr'!K62="", "", 'AYIRA MINI MART FINAL MENU - Pr'!K62)</f>
        <v/>
      </c>
      <c r="L62" s="56" t="str">
        <f>IF('AYIRA MINI MART FINAL MENU - Pr'!L62="", "", 'AYIRA MINI MART FINAL MENU - Pr'!L62)</f>
        <v/>
      </c>
      <c r="M62" s="56" t="str">
        <f>IF('AYIRA MINI MART FINAL MENU - Pr'!M62="", "", 'AYIRA MINI MART FINAL MENU - Pr'!M62)</f>
        <v/>
      </c>
      <c r="N62" s="56" t="str">
        <f>IF('AYIRA MINI MART FINAL MENU - Pr'!N62="", "", 'AYIRA MINI MART FINAL MENU - Pr'!N62)</f>
        <v/>
      </c>
      <c r="O62" s="57"/>
      <c r="P62" s="57"/>
      <c r="Q62" s="57"/>
      <c r="R62" s="57"/>
      <c r="S62" s="57"/>
      <c r="T62" s="57"/>
      <c r="U62" s="57"/>
      <c r="V62" s="57"/>
      <c r="W62" s="57"/>
      <c r="X62" s="57"/>
      <c r="Y62" s="57"/>
      <c r="Z62" s="57"/>
    </row>
    <row r="63">
      <c r="A63" s="56" t="str">
        <f>IFERROR(__xludf.DUMMYFUNCTION("IF('AYIRA MINI MART FINAL MENU - Pr'!A63="""", """", IF(LEN(TRIM(REGEXREPLACE(REGEXREPLACE('AYIRA MINI MART FINAL MENU - Pr'!A63, ""^[^\x{0600}-\x{06FF}]+"", """"), ""^[-–\s]+"", """")))&gt;0, TRIM(REGEXREPLACE(REGEXREPLACE('AYIRA MINI MART FINAL MENU - Pr'!"&amp;"A63, ""^[^\x{0600}-\x{06FF}]+"", """"), ""^[-–\s]+"", """")), GOOGLETRANSLATE('AYIRA MINI MART FINAL MENU - Pr'!A63, ""en"", ""ar"")))"),"مياه صودا دبل أب بحجم 500 مل")</f>
        <v>مياه صودا دبل أب بحجم 500 مل</v>
      </c>
      <c r="B63" s="56" t="str">
        <f>IFERROR(__xludf.DUMMYFUNCTION("IF('AYIRA MINI MART FINAL MENU - Pr'!B63="""", """", IF(LEN(TRIM(REGEXREPLACE(REGEXREPLACE('AYIRA MINI MART FINAL MENU - Pr'!B63, ""^[^\x{0600}-\x{06FF}]+"", """"), ""^[-–\s]+"", """")))&gt;0, TRIM(REGEXREPLACE(REGEXREPLACE('AYIRA MINI MART FINAL MENU - Pr'!"&amp;"B63, ""^[^\x{0600}-\x{06FF}]+"", """"), ""^[-–\s]+"", """")), GOOGLETRANSLATE('AYIRA MINI MART FINAL MENU - Pr'!B63, ""en"", ""ar"")))"),"المشروبات الغازية")</f>
        <v>المشروبات الغازية</v>
      </c>
      <c r="C63" s="56">
        <f>IF('AYIRA MINI MART FINAL MENU - Pr'!C63="", "", 'AYIRA MINI MART FINAL MENU - Pr'!C63)</f>
        <v>1.5</v>
      </c>
      <c r="D63" s="56" t="str">
        <f>IF('AYIRA MINI MART FINAL MENU - Pr'!D63="", "", 'AYIRA MINI MART FINAL MENU - Pr'!D63)</f>
        <v>اشرب دبل أب،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63" s="56" t="str">
        <f>IF('AYIRA MINI MART FINAL MENU - Pr'!E63="", "", 'AYIRA MINI MART FINAL MENU - Pr'!E63)</f>
        <v/>
      </c>
      <c r="F63" s="56" t="str">
        <f>IF('AYIRA MINI MART FINAL MENU - Pr'!F63="", "", 'AYIRA MINI MART FINAL MENU - Pr'!F63)</f>
        <v/>
      </c>
      <c r="G63" s="56" t="str">
        <f>IF('AYIRA MINI MART FINAL MENU - Pr'!G63="", "", 'AYIRA MINI MART FINAL MENU - Pr'!G63)</f>
        <v/>
      </c>
      <c r="H63" s="56" t="str">
        <f>IF('AYIRA MINI MART FINAL MENU - Pr'!H63="", "", 'AYIRA MINI MART FINAL MENU - Pr'!H63)</f>
        <v/>
      </c>
      <c r="I63" s="56" t="str">
        <f>IF('AYIRA MINI MART FINAL MENU - Pr'!I63="", "", 'AYIRA MINI MART FINAL MENU - Pr'!I63)</f>
        <v/>
      </c>
      <c r="J63" s="56" t="str">
        <f>IFERROR(__xludf.DUMMYFUNCTION("IF('AYIRA MINI MART FINAL MENU - Pr'!J63="""", """", GOOGLETRANSLATE('AYIRA MINI MART FINAL MENU - Pr'!J63, ""en"", ""ar""))"),"يعرض")</f>
        <v>يعرض</v>
      </c>
      <c r="K63" s="56" t="str">
        <f>IF('AYIRA MINI MART FINAL MENU - Pr'!K63="", "", 'AYIRA MINI MART FINAL MENU - Pr'!K63)</f>
        <v/>
      </c>
      <c r="L63" s="56" t="str">
        <f>IF('AYIRA MINI MART FINAL MENU - Pr'!L63="", "", 'AYIRA MINI MART FINAL MENU - Pr'!L63)</f>
        <v/>
      </c>
      <c r="M63" s="56" t="str">
        <f>IF('AYIRA MINI MART FINAL MENU - Pr'!M63="", "", 'AYIRA MINI MART FINAL MENU - Pr'!M63)</f>
        <v/>
      </c>
      <c r="N63" s="56" t="str">
        <f>IF('AYIRA MINI MART FINAL MENU - Pr'!N63="", "", 'AYIRA MINI MART FINAL MENU - Pr'!N63)</f>
        <v/>
      </c>
      <c r="O63" s="57"/>
      <c r="P63" s="57"/>
      <c r="Q63" s="57"/>
      <c r="R63" s="57"/>
      <c r="S63" s="57"/>
      <c r="T63" s="57"/>
      <c r="U63" s="57"/>
      <c r="V63" s="57"/>
      <c r="W63" s="57"/>
      <c r="X63" s="57"/>
      <c r="Y63" s="57"/>
      <c r="Z63" s="57"/>
    </row>
    <row r="64">
      <c r="A64" s="56" t="str">
        <f>IFERROR(__xludf.DUMMYFUNCTION("IF('AYIRA MINI MART FINAL MENU - Pr'!A64="""", """", IF(LEN(TRIM(REGEXREPLACE(REGEXREPLACE('AYIRA MINI MART FINAL MENU - Pr'!A64, ""^[^\x{0600}-\x{06FF}]+"", """"), ""^[-–\s]+"", """")))&gt;0, TRIM(REGEXREPLACE(REGEXREPLACE('AYIRA MINI MART FINAL MENU - Pr'!"&amp;"A64, ""^[^\x{0600}-\x{06FF}]+"", """"), ""^[-–\s]+"", """")), GOOGLETRANSLATE('AYIRA MINI MART FINAL MENU - Pr'!A64, ""en"", ""ar"")))"),"مشروب هاي سبيد بحجم 250 مل")</f>
        <v>مشروب هاي سبيد بحجم 250 مل</v>
      </c>
      <c r="B64" s="56" t="str">
        <f>IFERROR(__xludf.DUMMYFUNCTION("IF('AYIRA MINI MART FINAL MENU - Pr'!B64="""", """", IF(LEN(TRIM(REGEXREPLACE(REGEXREPLACE('AYIRA MINI MART FINAL MENU - Pr'!B64, ""^[^\x{0600}-\x{06FF}]+"", """"), ""^[-–\s]+"", """")))&gt;0, TRIM(REGEXREPLACE(REGEXREPLACE('AYIRA MINI MART FINAL MENU - Pr'!"&amp;"B64, ""^[^\x{0600}-\x{06FF}]+"", """"), ""^[-–\s]+"", """")), GOOGLETRANSLATE('AYIRA MINI MART FINAL MENU - Pr'!B64, ""en"", ""ar"")))"),"المشروبات الغازية")</f>
        <v>المشروبات الغازية</v>
      </c>
      <c r="C64" s="56">
        <f>IF('AYIRA MINI MART FINAL MENU - Pr'!C64="", "", 'AYIRA MINI MART FINAL MENU - Pr'!C64)</f>
        <v>3</v>
      </c>
      <c r="D64" s="56" t="str">
        <f>IF('AYIRA MINI MART FINAL MENU - Pr'!D64="", "", 'AYIRA MINI MART FINAL MENU - Pr'!D64)</f>
        <v>اكتشف High Speed Drink 250 ml مشروب هاي سبيد بحجم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64" s="56" t="str">
        <f>IF('AYIRA MINI MART FINAL MENU - Pr'!E64="", "", 'AYIRA MINI MART FINAL MENU - Pr'!E64)</f>
        <v/>
      </c>
      <c r="F64" s="56" t="str">
        <f>IF('AYIRA MINI MART FINAL MENU - Pr'!F64="", "", 'AYIRA MINI MART FINAL MENU - Pr'!F64)</f>
        <v/>
      </c>
      <c r="G64" s="56" t="str">
        <f>IF('AYIRA MINI MART FINAL MENU - Pr'!G64="", "", 'AYIRA MINI MART FINAL MENU - Pr'!G64)</f>
        <v/>
      </c>
      <c r="H64" s="56" t="str">
        <f>IF('AYIRA MINI MART FINAL MENU - Pr'!H64="", "", 'AYIRA MINI MART FINAL MENU - Pr'!H64)</f>
        <v/>
      </c>
      <c r="I64" s="56" t="str">
        <f>IF('AYIRA MINI MART FINAL MENU - Pr'!I64="", "", 'AYIRA MINI MART FINAL MENU - Pr'!I64)</f>
        <v/>
      </c>
      <c r="J64" s="56" t="str">
        <f>IFERROR(__xludf.DUMMYFUNCTION("IF('AYIRA MINI MART FINAL MENU - Pr'!J64="""", """", GOOGLETRANSLATE('AYIRA MINI MART FINAL MENU - Pr'!J64, ""en"", ""ar""))"),"يعرض")</f>
        <v>يعرض</v>
      </c>
      <c r="K64" s="56" t="str">
        <f>IF('AYIRA MINI MART FINAL MENU - Pr'!K64="", "", 'AYIRA MINI MART FINAL MENU - Pr'!K64)</f>
        <v/>
      </c>
      <c r="L64" s="56" t="str">
        <f>IF('AYIRA MINI MART FINAL MENU - Pr'!L64="", "", 'AYIRA MINI MART FINAL MENU - Pr'!L64)</f>
        <v/>
      </c>
      <c r="M64" s="56" t="str">
        <f>IF('AYIRA MINI MART FINAL MENU - Pr'!M64="", "", 'AYIRA MINI MART FINAL MENU - Pr'!M64)</f>
        <v/>
      </c>
      <c r="N64" s="56" t="str">
        <f>IF('AYIRA MINI MART FINAL MENU - Pr'!N64="", "", 'AYIRA MINI MART FINAL MENU - Pr'!N64)</f>
        <v/>
      </c>
      <c r="O64" s="57"/>
      <c r="P64" s="57"/>
      <c r="Q64" s="57"/>
      <c r="R64" s="57"/>
      <c r="S64" s="57"/>
      <c r="T64" s="57"/>
      <c r="U64" s="57"/>
      <c r="V64" s="57"/>
      <c r="W64" s="57"/>
      <c r="X64" s="57"/>
      <c r="Y64" s="57"/>
      <c r="Z64" s="57"/>
    </row>
    <row r="65">
      <c r="A65" s="56" t="str">
        <f>IFERROR(__xludf.DUMMYFUNCTION("IF('AYIRA MINI MART FINAL MENU - Pr'!A65="""", """", IF(LEN(TRIM(REGEXREPLACE(REGEXREPLACE('AYIRA MINI MART FINAL MENU - Pr'!A65, ""^[^\x{0600}-\x{06FF}]+"", """"), ""^[-–\s]+"", """")))&gt;0, TRIM(REGEXREPLACE(REGEXREPLACE('AYIRA MINI MART FINAL MENU - Pr'!"&amp;"A65, ""^[^\x{0600}-\x{06FF}]+"", """"), ""^[-–\s]+"", """")), GOOGLETRANSLATE('AYIRA MINI MART FINAL MENU - Pr'!A65, ""en"", ""ar"")))"),"دبل أب برتقال بحجم 200 مل")</f>
        <v>دبل أب برتقال بحجم 200 مل</v>
      </c>
      <c r="B65" s="56" t="str">
        <f>IFERROR(__xludf.DUMMYFUNCTION("IF('AYIRA MINI MART FINAL MENU - Pr'!B65="""", """", IF(LEN(TRIM(REGEXREPLACE(REGEXREPLACE('AYIRA MINI MART FINAL MENU - Pr'!B65, ""^[^\x{0600}-\x{06FF}]+"", """"), ""^[-–\s]+"", """")))&gt;0, TRIM(REGEXREPLACE(REGEXREPLACE('AYIRA MINI MART FINAL MENU - Pr'!"&amp;"B65, ""^[^\x{0600}-\x{06FF}]+"", """"), ""^[-–\s]+"", """")), GOOGLETRANSLATE('AYIRA MINI MART FINAL MENU - Pr'!B65, ""en"", ""ar"")))"),"المشروبات الغازية")</f>
        <v>المشروبات الغازية</v>
      </c>
      <c r="C65" s="56">
        <f>IF('AYIRA MINI MART FINAL MENU - Pr'!C65="", "", 'AYIRA MINI MART FINAL MENU - Pr'!C65)</f>
        <v>1.5</v>
      </c>
      <c r="D65" s="56" t="str">
        <f>IF('AYIRA MINI MART FINAL MENU - Pr'!D65="", "", 'AYIRA MINI MART FINAL MENU - Pr'!D65)</f>
        <v>استمتع بـ دبل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65" s="56" t="str">
        <f>IF('AYIRA MINI MART FINAL MENU - Pr'!E65="", "", 'AYIRA MINI MART FINAL MENU - Pr'!E65)</f>
        <v/>
      </c>
      <c r="F65" s="56" t="str">
        <f>IF('AYIRA MINI MART FINAL MENU - Pr'!F65="", "", 'AYIRA MINI MART FINAL MENU - Pr'!F65)</f>
        <v/>
      </c>
      <c r="G65" s="56" t="str">
        <f>IF('AYIRA MINI MART FINAL MENU - Pr'!G65="", "", 'AYIRA MINI MART FINAL MENU - Pr'!G65)</f>
        <v/>
      </c>
      <c r="H65" s="56" t="str">
        <f>IF('AYIRA MINI MART FINAL MENU - Pr'!H65="", "", 'AYIRA MINI MART FINAL MENU - Pr'!H65)</f>
        <v/>
      </c>
      <c r="I65" s="56" t="str">
        <f>IF('AYIRA MINI MART FINAL MENU - Pr'!I65="", "", 'AYIRA MINI MART FINAL MENU - Pr'!I65)</f>
        <v/>
      </c>
      <c r="J65" s="56" t="str">
        <f>IFERROR(__xludf.DUMMYFUNCTION("IF('AYIRA MINI MART FINAL MENU - Pr'!J65="""", """", GOOGLETRANSLATE('AYIRA MINI MART FINAL MENU - Pr'!J65, ""en"", ""ar""))"),"يعرض")</f>
        <v>يعرض</v>
      </c>
      <c r="K65" s="56" t="str">
        <f>IF('AYIRA MINI MART FINAL MENU - Pr'!K65="", "", 'AYIRA MINI MART FINAL MENU - Pr'!K65)</f>
        <v/>
      </c>
      <c r="L65" s="56" t="str">
        <f>IF('AYIRA MINI MART FINAL MENU - Pr'!L65="", "", 'AYIRA MINI MART FINAL MENU - Pr'!L65)</f>
        <v/>
      </c>
      <c r="M65" s="56" t="str">
        <f>IF('AYIRA MINI MART FINAL MENU - Pr'!M65="", "", 'AYIRA MINI MART FINAL MENU - Pr'!M65)</f>
        <v/>
      </c>
      <c r="N65" s="56" t="str">
        <f>IF('AYIRA MINI MART FINAL MENU - Pr'!N65="", "", 'AYIRA MINI MART FINAL MENU - Pr'!N65)</f>
        <v/>
      </c>
      <c r="O65" s="57"/>
      <c r="P65" s="57"/>
      <c r="Q65" s="57"/>
      <c r="R65" s="57"/>
      <c r="S65" s="57"/>
      <c r="T65" s="57"/>
      <c r="U65" s="57"/>
      <c r="V65" s="57"/>
      <c r="W65" s="57"/>
      <c r="X65" s="57"/>
      <c r="Y65" s="57"/>
      <c r="Z65" s="57"/>
    </row>
    <row r="66">
      <c r="A66" s="56" t="str">
        <f>IFERROR(__xludf.DUMMYFUNCTION("IF('AYIRA MINI MART FINAL MENU - Pr'!A66="""", """", IF(LEN(TRIM(REGEXREPLACE(REGEXREPLACE('AYIRA MINI MART FINAL MENU - Pr'!A66, ""^[^\x{0600}-\x{06FF}]+"", """"), ""^[-–\s]+"", """")))&gt;0, TRIM(REGEXREPLACE(REGEXREPLACE('AYIRA MINI MART FINAL MENU - Pr'!"&amp;"A66, ""^[^\x{0600}-\x{06FF}]+"", """"), ""^[-–\s]+"", """")), GOOGLETRANSLATE('AYIRA MINI MART FINAL MENU - Pr'!A66, ""en"", ""ar"")))"),"دبل أب توت أحمر بحجم 200 مل")</f>
        <v>دبل أب توت أحمر بحجم 200 مل</v>
      </c>
      <c r="B66" s="56" t="str">
        <f>IFERROR(__xludf.DUMMYFUNCTION("IF('AYIRA MINI MART FINAL MENU - Pr'!B66="""", """", IF(LEN(TRIM(REGEXREPLACE(REGEXREPLACE('AYIRA MINI MART FINAL MENU - Pr'!B66, ""^[^\x{0600}-\x{06FF}]+"", """"), ""^[-–\s]+"", """")))&gt;0, TRIM(REGEXREPLACE(REGEXREPLACE('AYIRA MINI MART FINAL MENU - Pr'!"&amp;"B66, ""^[^\x{0600}-\x{06FF}]+"", """"), ""^[-–\s]+"", """")), GOOGLETRANSLATE('AYIRA MINI MART FINAL MENU - Pr'!B66, ""en"", ""ar"")))"),"المشروبات الغازية")</f>
        <v>المشروبات الغازية</v>
      </c>
      <c r="C66" s="56">
        <f>IF('AYIRA MINI MART FINAL MENU - Pr'!C66="", "", 'AYIRA MINI MART FINAL MENU - Pr'!C66)</f>
        <v>1.5</v>
      </c>
      <c r="D66" s="56" t="str">
        <f>IF('AYIRA MINI MART FINAL MENU - Pr'!D66="", "", 'AYIRA MINI MART FINAL MENU - Pr'!D66)</f>
        <v>استمتع بـ دبل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66" s="56" t="str">
        <f>IF('AYIRA MINI MART FINAL MENU - Pr'!E66="", "", 'AYIRA MINI MART FINAL MENU - Pr'!E66)</f>
        <v/>
      </c>
      <c r="F66" s="56" t="str">
        <f>IF('AYIRA MINI MART FINAL MENU - Pr'!F66="", "", 'AYIRA MINI MART FINAL MENU - Pr'!F66)</f>
        <v/>
      </c>
      <c r="G66" s="56" t="str">
        <f>IF('AYIRA MINI MART FINAL MENU - Pr'!G66="", "", 'AYIRA MINI MART FINAL MENU - Pr'!G66)</f>
        <v/>
      </c>
      <c r="H66" s="56" t="str">
        <f>IF('AYIRA MINI MART FINAL MENU - Pr'!H66="", "", 'AYIRA MINI MART FINAL MENU - Pr'!H66)</f>
        <v/>
      </c>
      <c r="I66" s="56" t="str">
        <f>IF('AYIRA MINI MART FINAL MENU - Pr'!I66="", "", 'AYIRA MINI MART FINAL MENU - Pr'!I66)</f>
        <v/>
      </c>
      <c r="J66" s="56" t="str">
        <f>IFERROR(__xludf.DUMMYFUNCTION("IF('AYIRA MINI MART FINAL MENU - Pr'!J66="""", """", GOOGLETRANSLATE('AYIRA MINI MART FINAL MENU - Pr'!J66, ""en"", ""ar""))"),"إنتهى من المخزن")</f>
        <v>إنتهى من المخزن</v>
      </c>
      <c r="K66" s="56" t="str">
        <f>IF('AYIRA MINI MART FINAL MENU - Pr'!K66="", "", 'AYIRA MINI MART FINAL MENU - Pr'!K66)</f>
        <v/>
      </c>
      <c r="L66" s="56" t="str">
        <f>IF('AYIRA MINI MART FINAL MENU - Pr'!L66="", "", 'AYIRA MINI MART FINAL MENU - Pr'!L66)</f>
        <v/>
      </c>
      <c r="M66" s="56" t="str">
        <f>IF('AYIRA MINI MART FINAL MENU - Pr'!M66="", "", 'AYIRA MINI MART FINAL MENU - Pr'!M66)</f>
        <v/>
      </c>
      <c r="N66" s="56" t="str">
        <f>IF('AYIRA MINI MART FINAL MENU - Pr'!N66="", "", 'AYIRA MINI MART FINAL MENU - Pr'!N66)</f>
        <v/>
      </c>
      <c r="O66" s="57"/>
      <c r="P66" s="57"/>
      <c r="Q66" s="57"/>
      <c r="R66" s="57"/>
      <c r="S66" s="57"/>
      <c r="T66" s="57"/>
      <c r="U66" s="57"/>
      <c r="V66" s="57"/>
      <c r="W66" s="57"/>
      <c r="X66" s="57"/>
      <c r="Y66" s="57"/>
      <c r="Z66" s="57"/>
    </row>
    <row r="67">
      <c r="A67" s="56" t="str">
        <f>IFERROR(__xludf.DUMMYFUNCTION("IF('AYIRA MINI MART FINAL MENU - Pr'!A67="""", """", IF(LEN(TRIM(REGEXREPLACE(REGEXREPLACE('AYIRA MINI MART FINAL MENU - Pr'!A67, ""^[^\x{0600}-\x{06FF}]+"", """"), ""^[-–\s]+"", """")))&gt;0, TRIM(REGEXREPLACE(REGEXREPLACE('AYIRA MINI MART FINAL MENU - Pr'!"&amp;"A67, ""^[^\x{0600}-\x{06FF}]+"", """"), ""^[-–\s]+"", """")), GOOGLETRANSLATE('AYIRA MINI MART FINAL MENU - Pr'!A67, ""en"", ""ar"")))"),"مشروب الليتشي من بران بحجم 250 مل")</f>
        <v>مشروب الليتشي من بران بحجم 250 مل</v>
      </c>
      <c r="B67" s="56" t="str">
        <f>IFERROR(__xludf.DUMMYFUNCTION("IF('AYIRA MINI MART FINAL MENU - Pr'!B67="""", """", IF(LEN(TRIM(REGEXREPLACE(REGEXREPLACE('AYIRA MINI MART FINAL MENU - Pr'!B67, ""^[^\x{0600}-\x{06FF}]+"", """"), ""^[-–\s]+"", """")))&gt;0, TRIM(REGEXREPLACE(REGEXREPLACE('AYIRA MINI MART FINAL MENU - Pr'!"&amp;"B67, ""^[^\x{0600}-\x{06FF}]+"", """"), ""^[-–\s]+"", """")), GOOGLETRANSLATE('AYIRA MINI MART FINAL MENU - Pr'!B67, ""en"", ""ar"")))"),"العصائر ومشروبات الفاكهة")</f>
        <v>العصائر ومشروبات الفاكهة</v>
      </c>
      <c r="C67" s="56">
        <f>IF('AYIRA MINI MART FINAL MENU - Pr'!C67="", "", 'AYIRA MINI MART FINAL MENU - Pr'!C67)</f>
        <v>1</v>
      </c>
      <c r="D67" s="56" t="str">
        <f>IF('AYIRA MINI MART FINAL MENU - Pr'!D67="", "", 'AYIRA MINI MART FINAL MENU - Pr'!D67)</f>
        <v>اكتشف Pran Litchi Drink 250 ml مشروب الليتشي من بران بحجم 250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67" s="56" t="str">
        <f>IF('AYIRA MINI MART FINAL MENU - Pr'!E67="", "", 'AYIRA MINI MART FINAL MENU - Pr'!E67)</f>
        <v/>
      </c>
      <c r="F67" s="56" t="str">
        <f>IF('AYIRA MINI MART FINAL MENU - Pr'!F67="", "", 'AYIRA MINI MART FINAL MENU - Pr'!F67)</f>
        <v/>
      </c>
      <c r="G67" s="56" t="str">
        <f>IF('AYIRA MINI MART FINAL MENU - Pr'!G67="", "", 'AYIRA MINI MART FINAL MENU - Pr'!G67)</f>
        <v/>
      </c>
      <c r="H67" s="56" t="str">
        <f>IF('AYIRA MINI MART FINAL MENU - Pr'!H67="", "", 'AYIRA MINI MART FINAL MENU - Pr'!H67)</f>
        <v/>
      </c>
      <c r="I67" s="56" t="str">
        <f>IF('AYIRA MINI MART FINAL MENU - Pr'!I67="", "", 'AYIRA MINI MART FINAL MENU - Pr'!I67)</f>
        <v/>
      </c>
      <c r="J67" s="56" t="str">
        <f>IFERROR(__xludf.DUMMYFUNCTION("IF('AYIRA MINI MART FINAL MENU - Pr'!J67="""", """", GOOGLETRANSLATE('AYIRA MINI MART FINAL MENU - Pr'!J67, ""en"", ""ar""))"),"يعرض")</f>
        <v>يعرض</v>
      </c>
      <c r="K67" s="56" t="str">
        <f>IF('AYIRA MINI MART FINAL MENU - Pr'!K67="", "", 'AYIRA MINI MART FINAL MENU - Pr'!K67)</f>
        <v/>
      </c>
      <c r="L67" s="56" t="str">
        <f>IF('AYIRA MINI MART FINAL MENU - Pr'!L67="", "", 'AYIRA MINI MART FINAL MENU - Pr'!L67)</f>
        <v/>
      </c>
      <c r="M67" s="56" t="str">
        <f>IF('AYIRA MINI MART FINAL MENU - Pr'!M67="", "", 'AYIRA MINI MART FINAL MENU - Pr'!M67)</f>
        <v/>
      </c>
      <c r="N67" s="56" t="str">
        <f>IF('AYIRA MINI MART FINAL MENU - Pr'!N67="", "", 'AYIRA MINI MART FINAL MENU - Pr'!N67)</f>
        <v/>
      </c>
      <c r="O67" s="57"/>
      <c r="P67" s="57"/>
      <c r="Q67" s="57"/>
      <c r="R67" s="57"/>
      <c r="S67" s="57"/>
      <c r="T67" s="57"/>
      <c r="U67" s="57"/>
      <c r="V67" s="57"/>
      <c r="W67" s="57"/>
      <c r="X67" s="57"/>
      <c r="Y67" s="57"/>
      <c r="Z67" s="57"/>
    </row>
    <row r="68">
      <c r="A68" s="56" t="str">
        <f>IFERROR(__xludf.DUMMYFUNCTION("IF('AYIRA MINI MART FINAL MENU - Pr'!A68="""", """", IF(LEN(TRIM(REGEXREPLACE(REGEXREPLACE('AYIRA MINI MART FINAL MENU - Pr'!A68, ""^[^\x{0600}-\x{06FF}]+"", """"), ""^[-–\s]+"", """")))&gt;0, TRIM(REGEXREPLACE(REGEXREPLACE('AYIRA MINI MART FINAL MENU - Pr'!"&amp;"A68, ""^[^\x{0600}-\x{06FF}]+"", """"), ""^[-–\s]+"", """")), GOOGLETRANSLATE('AYIRA MINI MART FINAL MENU - Pr'!A68, ""en"", ""ar"")))"),"مشروب الفراولة شامي بحجم 200 مل")</f>
        <v>مشروب الفراولة شامي بحجم 200 مل</v>
      </c>
      <c r="B68" s="56" t="str">
        <f>IFERROR(__xludf.DUMMYFUNCTION("IF('AYIRA MINI MART FINAL MENU - Pr'!B68="""", """", IF(LEN(TRIM(REGEXREPLACE(REGEXREPLACE('AYIRA MINI MART FINAL MENU - Pr'!B68, ""^[^\x{0600}-\x{06FF}]+"", """"), ""^[-–\s]+"", """")))&gt;0, TRIM(REGEXREPLACE(REGEXREPLACE('AYIRA MINI MART FINAL MENU - Pr'!"&amp;"B68, ""^[^\x{0600}-\x{06FF}]+"", """"), ""^[-–\s]+"", """")), GOOGLETRANSLATE('AYIRA MINI MART FINAL MENU - Pr'!B68, ""en"", ""ar"")))"),"العصائر ومشروبات الفاكهة")</f>
        <v>العصائر ومشروبات الفاكهة</v>
      </c>
      <c r="C68" s="56">
        <f>IF('AYIRA MINI MART FINAL MENU - Pr'!C68="", "", 'AYIRA MINI MART FINAL MENU - Pr'!C68)</f>
        <v>2.5</v>
      </c>
      <c r="D68" s="56" t="str">
        <f>IF('AYIRA MINI MART FINAL MENU - Pr'!D68="", "", 'AYIRA MINI MART FINAL MENU - Pr'!D68)</f>
        <v>اكتشف Shami Strawberry Drink 200 ml مشروب الفراولة شامي بحجم 200 مل،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68" s="56" t="str">
        <f>IF('AYIRA MINI MART FINAL MENU - Pr'!E68="", "", 'AYIRA MINI MART FINAL MENU - Pr'!E68)</f>
        <v/>
      </c>
      <c r="F68" s="56" t="str">
        <f>IF('AYIRA MINI MART FINAL MENU - Pr'!F68="", "", 'AYIRA MINI MART FINAL MENU - Pr'!F68)</f>
        <v/>
      </c>
      <c r="G68" s="56" t="str">
        <f>IF('AYIRA MINI MART FINAL MENU - Pr'!G68="", "", 'AYIRA MINI MART FINAL MENU - Pr'!G68)</f>
        <v/>
      </c>
      <c r="H68" s="56" t="str">
        <f>IF('AYIRA MINI MART FINAL MENU - Pr'!H68="", "", 'AYIRA MINI MART FINAL MENU - Pr'!H68)</f>
        <v/>
      </c>
      <c r="I68" s="56" t="str">
        <f>IF('AYIRA MINI MART FINAL MENU - Pr'!I68="", "", 'AYIRA MINI MART FINAL MENU - Pr'!I68)</f>
        <v/>
      </c>
      <c r="J68" s="56" t="str">
        <f>IFERROR(__xludf.DUMMYFUNCTION("IF('AYIRA MINI MART FINAL MENU - Pr'!J68="""", """", GOOGLETRANSLATE('AYIRA MINI MART FINAL MENU - Pr'!J68, ""en"", ""ar""))"),"يعرض")</f>
        <v>يعرض</v>
      </c>
      <c r="K68" s="56" t="str">
        <f>IF('AYIRA MINI MART FINAL MENU - Pr'!K68="", "", 'AYIRA MINI MART FINAL MENU - Pr'!K68)</f>
        <v/>
      </c>
      <c r="L68" s="56" t="str">
        <f>IF('AYIRA MINI MART FINAL MENU - Pr'!L68="", "", 'AYIRA MINI MART FINAL MENU - Pr'!L68)</f>
        <v/>
      </c>
      <c r="M68" s="56" t="str">
        <f>IF('AYIRA MINI MART FINAL MENU - Pr'!M68="", "", 'AYIRA MINI MART FINAL MENU - Pr'!M68)</f>
        <v/>
      </c>
      <c r="N68" s="56" t="str">
        <f>IF('AYIRA MINI MART FINAL MENU - Pr'!N68="", "", 'AYIRA MINI MART FINAL MENU - Pr'!N68)</f>
        <v/>
      </c>
      <c r="O68" s="57"/>
      <c r="P68" s="57"/>
      <c r="Q68" s="57"/>
      <c r="R68" s="57"/>
      <c r="S68" s="57"/>
      <c r="T68" s="57"/>
      <c r="U68" s="57"/>
      <c r="V68" s="57"/>
      <c r="W68" s="57"/>
      <c r="X68" s="57"/>
      <c r="Y68" s="57"/>
      <c r="Z68" s="57"/>
    </row>
    <row r="69">
      <c r="A69" s="56" t="str">
        <f>IFERROR(__xludf.DUMMYFUNCTION("IF('AYIRA MINI MART FINAL MENU - Pr'!A69="""", """", IF(LEN(TRIM(REGEXREPLACE(REGEXREPLACE('AYIRA MINI MART FINAL MENU - Pr'!A69, ""^[^\x{0600}-\x{06FF}]+"", """"), ""^[-–\s]+"", """")))&gt;0, TRIM(REGEXREPLACE(REGEXREPLACE('AYIRA MINI MART FINAL MENU - Pr'!"&amp;"A69, ""^[^\x{0600}-\x{06FF}]+"", """"), ""^[-–\s]+"", """")), GOOGLETRANSLATE('AYIRA MINI MART FINAL MENU - Pr'!A69, ""en"", ""ar"")))"),"الربيع أصلي برتقال مشروب 200 مل")</f>
        <v>الربيع أصلي برتقال مشروب 200 مل</v>
      </c>
      <c r="B69" s="56" t="str">
        <f>IFERROR(__xludf.DUMMYFUNCTION("IF('AYIRA MINI MART FINAL MENU - Pr'!B69="""", """", IF(LEN(TRIM(REGEXREPLACE(REGEXREPLACE('AYIRA MINI MART FINAL MENU - Pr'!B69, ""^[^\x{0600}-\x{06FF}]+"", """"), ""^[-–\s]+"", """")))&gt;0, TRIM(REGEXREPLACE(REGEXREPLACE('AYIRA MINI MART FINAL MENU - Pr'!"&amp;"B69, ""^[^\x{0600}-\x{06FF}]+"", """"), ""^[-–\s]+"", """")), GOOGLETRANSLATE('AYIRA MINI MART FINAL MENU - Pr'!B69, ""en"", ""ar"")))"),"العصائر ومشروبات الفاكهة")</f>
        <v>العصائر ومشروبات الفاكهة</v>
      </c>
      <c r="C69" s="58">
        <f>IF('AYIRA MINI MART FINAL MENU - Pr'!C69="", "", 'AYIRA MINI MART FINAL MENU - Pr'!C69)</f>
        <v>2</v>
      </c>
      <c r="D69" s="58" t="str">
        <f>IF('AYIRA MINI MART FINAL MENU - Pr'!D69="", "", 'AYIRA MINI MART FINAL MENU - Pr'!D69)</f>
        <v>اكتشف Al Rabie Original Orange Drink 200ml،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69" s="56" t="str">
        <f>IF('AYIRA MINI MART FINAL MENU - Pr'!E69="", "", 'AYIRA MINI MART FINAL MENU - Pr'!E69)</f>
        <v/>
      </c>
      <c r="F69" s="56" t="str">
        <f>IF('AYIRA MINI MART FINAL MENU - Pr'!F69="", "", 'AYIRA MINI MART FINAL MENU - Pr'!F69)</f>
        <v/>
      </c>
      <c r="G69" s="56" t="str">
        <f>IF('AYIRA MINI MART FINAL MENU - Pr'!G69="", "", 'AYIRA MINI MART FINAL MENU - Pr'!G69)</f>
        <v/>
      </c>
      <c r="H69" s="56" t="str">
        <f>IF('AYIRA MINI MART FINAL MENU - Pr'!H69="", "", 'AYIRA MINI MART FINAL MENU - Pr'!H69)</f>
        <v/>
      </c>
      <c r="I69" s="56" t="str">
        <f>IF('AYIRA MINI MART FINAL MENU - Pr'!I69="", "", 'AYIRA MINI MART FINAL MENU - Pr'!I69)</f>
        <v/>
      </c>
      <c r="J69" s="56" t="str">
        <f>IFERROR(__xludf.DUMMYFUNCTION("IF('AYIRA MINI MART FINAL MENU - Pr'!J69="""", """", GOOGLETRANSLATE('AYIRA MINI MART FINAL MENU - Pr'!J69, ""en"", ""ar""))"),"يعرض")</f>
        <v>يعرض</v>
      </c>
      <c r="K69" s="56" t="str">
        <f>IF('AYIRA MINI MART FINAL MENU - Pr'!K69="", "", 'AYIRA MINI MART FINAL MENU - Pr'!K69)</f>
        <v/>
      </c>
      <c r="L69" s="56" t="str">
        <f>IF('AYIRA MINI MART FINAL MENU - Pr'!L69="", "", 'AYIRA MINI MART FINAL MENU - Pr'!L69)</f>
        <v/>
      </c>
      <c r="M69" s="56" t="str">
        <f>IF('AYIRA MINI MART FINAL MENU - Pr'!M69="", "", 'AYIRA MINI MART FINAL MENU - Pr'!M69)</f>
        <v/>
      </c>
      <c r="N69" s="56" t="str">
        <f>IF('AYIRA MINI MART FINAL MENU - Pr'!N69="", "", 'AYIRA MINI MART FINAL MENU - Pr'!N69)</f>
        <v/>
      </c>
      <c r="O69" s="57"/>
      <c r="P69" s="57"/>
      <c r="Q69" s="57"/>
      <c r="R69" s="57"/>
      <c r="S69" s="57"/>
      <c r="T69" s="57"/>
      <c r="U69" s="57"/>
      <c r="V69" s="57"/>
      <c r="W69" s="57"/>
      <c r="X69" s="57"/>
      <c r="Y69" s="57"/>
      <c r="Z69" s="57"/>
    </row>
    <row r="70">
      <c r="A70" s="56" t="str">
        <f>IFERROR(__xludf.DUMMYFUNCTION("IF('AYIRA MINI MART FINAL MENU - Pr'!A70="""", """", IF(LEN(TRIM(REGEXREPLACE(REGEXREPLACE('AYIRA MINI MART FINAL MENU - Pr'!A70, ""^[^\x{0600}-\x{06FF}]+"", """"), ""^[-–\s]+"", """")))&gt;0, TRIM(REGEXREPLACE(REGEXREPLACE('AYIRA MINI MART FINAL MENU - Pr'!"&amp;"A70, ""^[^\x{0600}-\x{06FF}]+"", """"), ""^[-–\s]+"", """")), GOOGLETRANSLATE('AYIRA MINI MART FINAL MENU - Pr'!A70, ""en"", ""ar"")))"),"الربيع أصلي برتقال مشروب 250 مل")</f>
        <v>الربيع أصلي برتقال مشروب 250 مل</v>
      </c>
      <c r="B70" s="56" t="str">
        <f>IFERROR(__xludf.DUMMYFUNCTION("IF('AYIRA MINI MART FINAL MENU - Pr'!B70="""", """", IF(LEN(TRIM(REGEXREPLACE(REGEXREPLACE('AYIRA MINI MART FINAL MENU - Pr'!B70, ""^[^\x{0600}-\x{06FF}]+"", """"), ""^[-–\s]+"", """")))&gt;0, TRIM(REGEXREPLACE(REGEXREPLACE('AYIRA MINI MART FINAL MENU - Pr'!"&amp;"B70, ""^[^\x{0600}-\x{06FF}]+"", """"), ""^[-–\s]+"", """")), GOOGLETRANSLATE('AYIRA MINI MART FINAL MENU - Pr'!B70, ""en"", ""ar"")))"),"العصائر ومشروبات الفاكهة")</f>
        <v>العصائر ومشروبات الفاكهة</v>
      </c>
      <c r="C70" s="58">
        <f>IF('AYIRA MINI MART FINAL MENU - Pr'!C70="", "", 'AYIRA MINI MART FINAL MENU - Pr'!C70)</f>
        <v>2</v>
      </c>
      <c r="D70" s="58" t="str">
        <f>IF('AYIRA MINI MART FINAL MENU - Pr'!D70="", "", 'AYIRA MINI MART FINAL MENU - Pr'!D70)</f>
        <v>اكتشف Al Rabie Original Orange Drink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70" s="56" t="str">
        <f>IF('AYIRA MINI MART FINAL MENU - Pr'!E70="", "", 'AYIRA MINI MART FINAL MENU - Pr'!E70)</f>
        <v/>
      </c>
      <c r="F70" s="56" t="str">
        <f>IF('AYIRA MINI MART FINAL MENU - Pr'!F70="", "", 'AYIRA MINI MART FINAL MENU - Pr'!F70)</f>
        <v/>
      </c>
      <c r="G70" s="56" t="str">
        <f>IF('AYIRA MINI MART FINAL MENU - Pr'!G70="", "", 'AYIRA MINI MART FINAL MENU - Pr'!G70)</f>
        <v/>
      </c>
      <c r="H70" s="56" t="str">
        <f>IF('AYIRA MINI MART FINAL MENU - Pr'!H70="", "", 'AYIRA MINI MART FINAL MENU - Pr'!H70)</f>
        <v/>
      </c>
      <c r="I70" s="56" t="str">
        <f>IF('AYIRA MINI MART FINAL MENU - Pr'!I70="", "", 'AYIRA MINI MART FINAL MENU - Pr'!I70)</f>
        <v/>
      </c>
      <c r="J70" s="56" t="str">
        <f>IFERROR(__xludf.DUMMYFUNCTION("IF('AYIRA MINI MART FINAL MENU - Pr'!J70="""", """", GOOGLETRANSLATE('AYIRA MINI MART FINAL MENU - Pr'!J70, ""en"", ""ar""))"),"يعرض")</f>
        <v>يعرض</v>
      </c>
      <c r="K70" s="56" t="str">
        <f>IF('AYIRA MINI MART FINAL MENU - Pr'!K70="", "", 'AYIRA MINI MART FINAL MENU - Pr'!K70)</f>
        <v/>
      </c>
      <c r="L70" s="56" t="str">
        <f>IF('AYIRA MINI MART FINAL MENU - Pr'!L70="", "", 'AYIRA MINI MART FINAL MENU - Pr'!L70)</f>
        <v/>
      </c>
      <c r="M70" s="56" t="str">
        <f>IF('AYIRA MINI MART FINAL MENU - Pr'!M70="", "", 'AYIRA MINI MART FINAL MENU - Pr'!M70)</f>
        <v/>
      </c>
      <c r="N70" s="56" t="str">
        <f>IF('AYIRA MINI MART FINAL MENU - Pr'!N70="", "", 'AYIRA MINI MART FINAL MENU - Pr'!N70)</f>
        <v/>
      </c>
      <c r="O70" s="57"/>
      <c r="P70" s="57"/>
      <c r="Q70" s="57"/>
      <c r="R70" s="57"/>
      <c r="S70" s="57"/>
      <c r="T70" s="57"/>
      <c r="U70" s="57"/>
      <c r="V70" s="57"/>
      <c r="W70" s="57"/>
      <c r="X70" s="57"/>
      <c r="Y70" s="57"/>
      <c r="Z70" s="57"/>
    </row>
    <row r="71">
      <c r="A71" s="56" t="str">
        <f>IFERROR(__xludf.DUMMYFUNCTION("IF('AYIRA MINI MART FINAL MENU - Pr'!A71="""", """", IF(LEN(TRIM(REGEXREPLACE(REGEXREPLACE('AYIRA MINI MART FINAL MENU - Pr'!A71, ""^[^\x{0600}-\x{06FF}]+"", """"), ""^[-–\s]+"", """")))&gt;0, TRIM(REGEXREPLACE(REGEXREPLACE('AYIRA MINI MART FINAL MENU - Pr'!"&amp;"A71, ""^[^\x{0600}-\x{06FF}]+"", """"), ""^[-–\s]+"", """")), GOOGLETRANSLATE('AYIRA MINI MART FINAL MENU - Pr'!A71, ""en"", ""ar"")))"),"مشروب الطاقة 250 مل")</f>
        <v>مشروب الطاقة 250 مل</v>
      </c>
      <c r="B71" s="56" t="str">
        <f>IFERROR(__xludf.DUMMYFUNCTION("IF('AYIRA MINI MART FINAL MENU - Pr'!B71="""", """", IF(LEN(TRIM(REGEXREPLACE(REGEXREPLACE('AYIRA MINI MART FINAL MENU - Pr'!B71, ""^[^\x{0600}-\x{06FF}]+"", """"), ""^[-–\s]+"", """")))&gt;0, TRIM(REGEXREPLACE(REGEXREPLACE('AYIRA MINI MART FINAL MENU - Pr'!"&amp;"B71, ""^[^\x{0600}-\x{06FF}]+"", """"), ""^[-–\s]+"", """")), GOOGLETRANSLATE('AYIRA MINI MART FINAL MENU - Pr'!B71, ""en"", ""ar"")))"),"المشروبات الغازية")</f>
        <v>المشروبات الغازية</v>
      </c>
      <c r="C71" s="58">
        <f>IF('AYIRA MINI MART FINAL MENU - Pr'!C71="", "", 'AYIRA MINI MART FINAL MENU - Pr'!C71)</f>
        <v>3</v>
      </c>
      <c r="D71" s="58" t="str">
        <f>IF('AYIRA MINI MART FINAL MENU - Pr'!D71="", "", 'AYIRA MINI MART FINAL MENU - Pr'!D71)</f>
        <v>اشحن طاقتك مع Royal Tiger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71" s="56" t="str">
        <f>IF('AYIRA MINI MART FINAL MENU - Pr'!E71="", "", 'AYIRA MINI MART FINAL MENU - Pr'!E71)</f>
        <v/>
      </c>
      <c r="F71" s="56" t="str">
        <f>IF('AYIRA MINI MART FINAL MENU - Pr'!F71="", "", 'AYIRA MINI MART FINAL MENU - Pr'!F71)</f>
        <v/>
      </c>
      <c r="G71" s="56" t="str">
        <f>IF('AYIRA MINI MART FINAL MENU - Pr'!G71="", "", 'AYIRA MINI MART FINAL MENU - Pr'!G71)</f>
        <v/>
      </c>
      <c r="H71" s="56" t="str">
        <f>IF('AYIRA MINI MART FINAL MENU - Pr'!H71="", "", 'AYIRA MINI MART FINAL MENU - Pr'!H71)</f>
        <v/>
      </c>
      <c r="I71" s="56" t="str">
        <f>IF('AYIRA MINI MART FINAL MENU - Pr'!I71="", "", 'AYIRA MINI MART FINAL MENU - Pr'!I71)</f>
        <v/>
      </c>
      <c r="J71" s="56" t="str">
        <f>IFERROR(__xludf.DUMMYFUNCTION("IF('AYIRA MINI MART FINAL MENU - Pr'!J71="""", """", GOOGLETRANSLATE('AYIRA MINI MART FINAL MENU - Pr'!J71, ""en"", ""ar""))"),"يعرض")</f>
        <v>يعرض</v>
      </c>
      <c r="K71" s="56" t="str">
        <f>IF('AYIRA MINI MART FINAL MENU - Pr'!K71="", "", 'AYIRA MINI MART FINAL MENU - Pr'!K71)</f>
        <v/>
      </c>
      <c r="L71" s="56" t="str">
        <f>IF('AYIRA MINI MART FINAL MENU - Pr'!L71="", "", 'AYIRA MINI MART FINAL MENU - Pr'!L71)</f>
        <v/>
      </c>
      <c r="M71" s="56" t="str">
        <f>IF('AYIRA MINI MART FINAL MENU - Pr'!M71="", "", 'AYIRA MINI MART FINAL MENU - Pr'!M71)</f>
        <v/>
      </c>
      <c r="N71" s="56" t="str">
        <f>IF('AYIRA MINI MART FINAL MENU - Pr'!N71="", "", 'AYIRA MINI MART FINAL MENU - Pr'!N71)</f>
        <v/>
      </c>
      <c r="O71" s="57"/>
      <c r="P71" s="57"/>
      <c r="Q71" s="57"/>
      <c r="R71" s="57"/>
      <c r="S71" s="57"/>
      <c r="T71" s="57"/>
      <c r="U71" s="57"/>
      <c r="V71" s="57"/>
      <c r="W71" s="57"/>
      <c r="X71" s="57"/>
      <c r="Y71" s="57"/>
      <c r="Z71" s="57"/>
    </row>
    <row r="72">
      <c r="A72" s="56" t="str">
        <f>IFERROR(__xludf.DUMMYFUNCTION("IF('AYIRA MINI MART FINAL MENU - Pr'!A72="""", """", IF(LEN(TRIM(REGEXREPLACE(REGEXREPLACE('AYIRA MINI MART FINAL MENU - Pr'!A72, ""^[^\x{0600}-\x{06FF}]+"", """"), ""^[-–\s]+"", """")))&gt;0, TRIM(REGEXREPLACE(REGEXREPLACE('AYIRA MINI MART FINAL MENU - Pr'!"&amp;"A72, ""^[^\x{0600}-\x{06FF}]+"", """"), ""^[-–\s]+"", """")), GOOGLETRANSLATE('AYIRA MINI MART FINAL MENU - Pr'!A72, ""en"", ""ar"")))"),"مشروب 250 مل")</f>
        <v>مشروب 250 مل</v>
      </c>
      <c r="B72" s="56" t="str">
        <f>IFERROR(__xludf.DUMMYFUNCTION("IF('AYIRA MINI MART FINAL MENU - Pr'!B72="""", """", IF(LEN(TRIM(REGEXREPLACE(REGEXREPLACE('AYIRA MINI MART FINAL MENU - Pr'!B72, ""^[^\x{0600}-\x{06FF}]+"", """"), ""^[-–\s]+"", """")))&gt;0, TRIM(REGEXREPLACE(REGEXREPLACE('AYIRA MINI MART FINAL MENU - Pr'!"&amp;"B72, ""^[^\x{0600}-\x{06FF}]+"", """"), ""^[-–\s]+"", """")), GOOGLETRANSLATE('AYIRA MINI MART FINAL MENU - Pr'!B72, ""en"", ""ar"")))"),"المشروبات الغازية")</f>
        <v>المشروبات الغازية</v>
      </c>
      <c r="C72" s="58">
        <f>IF('AYIRA MINI MART FINAL MENU - Pr'!C72="", "", 'AYIRA MINI MART FINAL MENU - Pr'!C72)</f>
        <v>2.5</v>
      </c>
      <c r="D72" s="58" t="str">
        <f>IF('AYIRA MINI MART FINAL MENU - Pr'!D72="", "", 'AYIRA MINI MART FINAL MENU - Pr'!D72)</f>
        <v>استمتع بـ Power X Carbonated Drink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72" s="56" t="str">
        <f>IF('AYIRA MINI MART FINAL MENU - Pr'!E72="", "", 'AYIRA MINI MART FINAL MENU - Pr'!E72)</f>
        <v/>
      </c>
      <c r="F72" s="56" t="str">
        <f>IF('AYIRA MINI MART FINAL MENU - Pr'!F72="", "", 'AYIRA MINI MART FINAL MENU - Pr'!F72)</f>
        <v/>
      </c>
      <c r="G72" s="56" t="str">
        <f>IF('AYIRA MINI MART FINAL MENU - Pr'!G72="", "", 'AYIRA MINI MART FINAL MENU - Pr'!G72)</f>
        <v/>
      </c>
      <c r="H72" s="56" t="str">
        <f>IF('AYIRA MINI MART FINAL MENU - Pr'!H72="", "", 'AYIRA MINI MART FINAL MENU - Pr'!H72)</f>
        <v/>
      </c>
      <c r="I72" s="56" t="str">
        <f>IF('AYIRA MINI MART FINAL MENU - Pr'!I72="", "", 'AYIRA MINI MART FINAL MENU - Pr'!I72)</f>
        <v/>
      </c>
      <c r="J72" s="56" t="str">
        <f>IFERROR(__xludf.DUMMYFUNCTION("IF('AYIRA MINI MART FINAL MENU - Pr'!J72="""", """", GOOGLETRANSLATE('AYIRA MINI MART FINAL MENU - Pr'!J72, ""en"", ""ar""))"),"يعرض")</f>
        <v>يعرض</v>
      </c>
      <c r="K72" s="56" t="str">
        <f>IF('AYIRA MINI MART FINAL MENU - Pr'!K72="", "", 'AYIRA MINI MART FINAL MENU - Pr'!K72)</f>
        <v/>
      </c>
      <c r="L72" s="56" t="str">
        <f>IF('AYIRA MINI MART FINAL MENU - Pr'!L72="", "", 'AYIRA MINI MART FINAL MENU - Pr'!L72)</f>
        <v/>
      </c>
      <c r="M72" s="56" t="str">
        <f>IF('AYIRA MINI MART FINAL MENU - Pr'!M72="", "", 'AYIRA MINI MART FINAL MENU - Pr'!M72)</f>
        <v/>
      </c>
      <c r="N72" s="56" t="str">
        <f>IF('AYIRA MINI MART FINAL MENU - Pr'!N72="", "", 'AYIRA MINI MART FINAL MENU - Pr'!N72)</f>
        <v/>
      </c>
      <c r="O72" s="57"/>
      <c r="P72" s="57"/>
      <c r="Q72" s="57"/>
      <c r="R72" s="57"/>
      <c r="S72" s="57"/>
      <c r="T72" s="57"/>
      <c r="U72" s="57"/>
      <c r="V72" s="57"/>
      <c r="W72" s="57"/>
      <c r="X72" s="57"/>
      <c r="Y72" s="57"/>
      <c r="Z72" s="57"/>
    </row>
    <row r="73">
      <c r="A73" s="56" t="str">
        <f>IFERROR(__xludf.DUMMYFUNCTION("IF('AYIRA MINI MART FINAL MENU - Pr'!A73="""", """", IF(LEN(TRIM(REGEXREPLACE(REGEXREPLACE('AYIRA MINI MART FINAL MENU - Pr'!A73, ""^[^\x{0600}-\x{06FF}]+"", """"), ""^[-–\s]+"", """")))&gt;0, TRIM(REGEXREPLACE(REGEXREPLACE('AYIRA MINI MART FINAL MENU - Pr'!"&amp;"A73, ""^[^\x{0600}-\x{06FF}]+"", """"), ""^[-–\s]+"", """")), GOOGLETRANSLATE('AYIRA MINI MART FINAL MENU - Pr'!A73, ""en"", ""ar"")))"),"مانجو عصير 500 مل")</f>
        <v>مانجو عصير 500 مل</v>
      </c>
      <c r="B73" s="56" t="str">
        <f>IFERROR(__xludf.DUMMYFUNCTION("IF('AYIRA MINI MART FINAL MENU - Pr'!B73="""", """", IF(LEN(TRIM(REGEXREPLACE(REGEXREPLACE('AYIRA MINI MART FINAL MENU - Pr'!B73, ""^[^\x{0600}-\x{06FF}]+"", """"), ""^[-–\s]+"", """")))&gt;0, TRIM(REGEXREPLACE(REGEXREPLACE('AYIRA MINI MART FINAL MENU - Pr'!"&amp;"B73, ""^[^\x{0600}-\x{06FF}]+"", """"), ""^[-–\s]+"", """")), GOOGLETRANSLATE('AYIRA MINI MART FINAL MENU - Pr'!B73, ""en"", ""ar"")))"),"العصائر ومشروبات الفاكهة")</f>
        <v>العصائر ومشروبات الفاكهة</v>
      </c>
      <c r="C73" s="58">
        <f>IF('AYIRA MINI MART FINAL MENU - Pr'!C73="", "", 'AYIRA MINI MART FINAL MENU - Pr'!C73)</f>
        <v>3</v>
      </c>
      <c r="D73" s="58" t="str">
        <f>IF('AYIRA MINI MART FINAL MENU - Pr'!D73="", "", 'AYIRA MINI MART FINAL MENU - Pr'!D73)</f>
        <v>احرص على صحتك مع Pran Frooto Mango Juice 500ml،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73" s="56" t="str">
        <f>IF('AYIRA MINI MART FINAL MENU - Pr'!E73="", "", 'AYIRA MINI MART FINAL MENU - Pr'!E73)</f>
        <v/>
      </c>
      <c r="F73" s="56" t="str">
        <f>IF('AYIRA MINI MART FINAL MENU - Pr'!F73="", "", 'AYIRA MINI MART FINAL MENU - Pr'!F73)</f>
        <v/>
      </c>
      <c r="G73" s="56" t="str">
        <f>IF('AYIRA MINI MART FINAL MENU - Pr'!G73="", "", 'AYIRA MINI MART FINAL MENU - Pr'!G73)</f>
        <v/>
      </c>
      <c r="H73" s="56" t="str">
        <f>IF('AYIRA MINI MART FINAL MENU - Pr'!H73="", "", 'AYIRA MINI MART FINAL MENU - Pr'!H73)</f>
        <v/>
      </c>
      <c r="I73" s="56" t="str">
        <f>IF('AYIRA MINI MART FINAL MENU - Pr'!I73="", "", 'AYIRA MINI MART FINAL MENU - Pr'!I73)</f>
        <v/>
      </c>
      <c r="J73" s="56" t="str">
        <f>IFERROR(__xludf.DUMMYFUNCTION("IF('AYIRA MINI MART FINAL MENU - Pr'!J73="""", """", GOOGLETRANSLATE('AYIRA MINI MART FINAL MENU - Pr'!J73, ""en"", ""ar""))"),"يعرض")</f>
        <v>يعرض</v>
      </c>
      <c r="K73" s="56" t="str">
        <f>IF('AYIRA MINI MART FINAL MENU - Pr'!K73="", "", 'AYIRA MINI MART FINAL MENU - Pr'!K73)</f>
        <v/>
      </c>
      <c r="L73" s="56" t="str">
        <f>IF('AYIRA MINI MART FINAL MENU - Pr'!L73="", "", 'AYIRA MINI MART FINAL MENU - Pr'!L73)</f>
        <v/>
      </c>
      <c r="M73" s="56" t="str">
        <f>IF('AYIRA MINI MART FINAL MENU - Pr'!M73="", "", 'AYIRA MINI MART FINAL MENU - Pr'!M73)</f>
        <v/>
      </c>
      <c r="N73" s="56" t="str">
        <f>IF('AYIRA MINI MART FINAL MENU - Pr'!N73="", "", 'AYIRA MINI MART FINAL MENU - Pr'!N73)</f>
        <v/>
      </c>
      <c r="O73" s="57"/>
      <c r="P73" s="57"/>
      <c r="Q73" s="57"/>
      <c r="R73" s="57"/>
      <c r="S73" s="57"/>
      <c r="T73" s="57"/>
      <c r="U73" s="57"/>
      <c r="V73" s="57"/>
      <c r="W73" s="57"/>
      <c r="X73" s="57"/>
      <c r="Y73" s="57"/>
      <c r="Z73" s="57"/>
    </row>
    <row r="74">
      <c r="A74" s="56" t="str">
        <f>IFERROR(__xludf.DUMMYFUNCTION("IF('AYIRA MINI MART FINAL MENU - Pr'!A74="""", """", IF(LEN(TRIM(REGEXREPLACE(REGEXREPLACE('AYIRA MINI MART FINAL MENU - Pr'!A74, ""^[^\x{0600}-\x{06FF}]+"", """"), ""^[-–\s]+"", """")))&gt;0, TRIM(REGEXREPLACE(REGEXREPLACE('AYIRA MINI MART FINAL MENU - Pr'!"&amp;"A74, ""^[^\x{0600}-\x{06FF}]+"", """"), ""^[-–\s]+"", """")), GOOGLETRANSLATE('AYIRA MINI MART FINAL MENU - Pr'!A74, ""en"", ""ar"")))"),"دبل أب Cola 1 Litre")</f>
        <v>دبل أب Cola 1 Litre</v>
      </c>
      <c r="B74" s="56" t="str">
        <f>IFERROR(__xludf.DUMMYFUNCTION("IF('AYIRA MINI MART FINAL MENU - Pr'!B74="""", """", IF(LEN(TRIM(REGEXREPLACE(REGEXREPLACE('AYIRA MINI MART FINAL MENU - Pr'!B74, ""^[^\x{0600}-\x{06FF}]+"", """"), ""^[-–\s]+"", """")))&gt;0, TRIM(REGEXREPLACE(REGEXREPLACE('AYIRA MINI MART FINAL MENU - Pr'!"&amp;"B74, ""^[^\x{0600}-\x{06FF}]+"", """"), ""^[-–\s]+"", """")), GOOGLETRANSLATE('AYIRA MINI MART FINAL MENU - Pr'!B74, ""en"", ""ar"")))"),"المشروبات الغازية")</f>
        <v>المشروبات الغازية</v>
      </c>
      <c r="C74" s="58">
        <f>IF('AYIRA MINI MART FINAL MENU - Pr'!C74="", "", 'AYIRA MINI MART FINAL MENU - Pr'!C74)</f>
        <v>3.5</v>
      </c>
      <c r="D74" s="58" t="str">
        <f>IF('AYIRA MINI MART FINAL MENU - Pr'!D74="", "", 'AYIRA MINI MART FINAL MENU - Pr'!D74)</f>
        <v>استمتع بـ دبل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74" s="56" t="str">
        <f>IF('AYIRA MINI MART FINAL MENU - Pr'!E74="", "", 'AYIRA MINI MART FINAL MENU - Pr'!E74)</f>
        <v/>
      </c>
      <c r="F74" s="56" t="str">
        <f>IF('AYIRA MINI MART FINAL MENU - Pr'!F74="", "", 'AYIRA MINI MART FINAL MENU - Pr'!F74)</f>
        <v/>
      </c>
      <c r="G74" s="56" t="str">
        <f>IF('AYIRA MINI MART FINAL MENU - Pr'!G74="", "", 'AYIRA MINI MART FINAL MENU - Pr'!G74)</f>
        <v/>
      </c>
      <c r="H74" s="56" t="str">
        <f>IF('AYIRA MINI MART FINAL MENU - Pr'!H74="", "", 'AYIRA MINI MART FINAL MENU - Pr'!H74)</f>
        <v/>
      </c>
      <c r="I74" s="56" t="str">
        <f>IF('AYIRA MINI MART FINAL MENU - Pr'!I74="", "", 'AYIRA MINI MART FINAL MENU - Pr'!I74)</f>
        <v/>
      </c>
      <c r="J74" s="56" t="str">
        <f>IFERROR(__xludf.DUMMYFUNCTION("IF('AYIRA MINI MART FINAL MENU - Pr'!J74="""", """", GOOGLETRANSLATE('AYIRA MINI MART FINAL MENU - Pr'!J74, ""en"", ""ar""))"),"يعرض")</f>
        <v>يعرض</v>
      </c>
      <c r="K74" s="56" t="str">
        <f>IF('AYIRA MINI MART FINAL MENU - Pr'!K74="", "", 'AYIRA MINI MART FINAL MENU - Pr'!K74)</f>
        <v/>
      </c>
      <c r="L74" s="56" t="str">
        <f>IF('AYIRA MINI MART FINAL MENU - Pr'!L74="", "", 'AYIRA MINI MART FINAL MENU - Pr'!L74)</f>
        <v/>
      </c>
      <c r="M74" s="56" t="str">
        <f>IF('AYIRA MINI MART FINAL MENU - Pr'!M74="", "", 'AYIRA MINI MART FINAL MENU - Pr'!M74)</f>
        <v/>
      </c>
      <c r="N74" s="56" t="str">
        <f>IF('AYIRA MINI MART FINAL MENU - Pr'!N74="", "", 'AYIRA MINI MART FINAL MENU - Pr'!N74)</f>
        <v/>
      </c>
      <c r="O74" s="57"/>
      <c r="P74" s="57"/>
      <c r="Q74" s="57"/>
      <c r="R74" s="57"/>
      <c r="S74" s="57"/>
      <c r="T74" s="57"/>
      <c r="U74" s="57"/>
      <c r="V74" s="57"/>
      <c r="W74" s="57"/>
      <c r="X74" s="57"/>
      <c r="Y74" s="57"/>
      <c r="Z74" s="57"/>
    </row>
    <row r="75">
      <c r="A75" s="56" t="str">
        <f>IFERROR(__xludf.DUMMYFUNCTION("IF('AYIRA MINI MART FINAL MENU - Pr'!A75="""", """", IF(LEN(TRIM(REGEXREPLACE(REGEXREPLACE('AYIRA MINI MART FINAL MENU - Pr'!A75, ""^[^\x{0600}-\x{06FF}]+"", """"), ""^[-–\s]+"", """")))&gt;0, TRIM(REGEXREPLACE(REGEXREPLACE('AYIRA MINI MART FINAL MENU - Pr'!"&amp;"A75, ""^[^\x{0600}-\x{06FF}]+"", """"), ""^[-–\s]+"", """")), GOOGLETRANSLATE('AYIRA MINI MART FINAL MENU - Pr'!A75, ""en"", ""ar"")))"),"أصلي Taste Berries مشكل Flavour 1 Litre")</f>
        <v>أصلي Taste Berries مشكل Flavour 1 Litre</v>
      </c>
      <c r="B75" s="56" t="str">
        <f>IFERROR(__xludf.DUMMYFUNCTION("IF('AYIRA MINI MART FINAL MENU - Pr'!B75="""", """", IF(LEN(TRIM(REGEXREPLACE(REGEXREPLACE('AYIRA MINI MART FINAL MENU - Pr'!B75, ""^[^\x{0600}-\x{06FF}]+"", """"), ""^[-–\s]+"", """")))&gt;0, TRIM(REGEXREPLACE(REGEXREPLACE('AYIRA MINI MART FINAL MENU - Pr'!"&amp;"B75, ""^[^\x{0600}-\x{06FF}]+"", """"), ""^[-–\s]+"", """")), GOOGLETRANSLATE('AYIRA MINI MART FINAL MENU - Pr'!B75, ""en"", ""ar"")))"),"العصائر ومشروبات الفاكهة")</f>
        <v>العصائر ومشروبات الفاكهة</v>
      </c>
      <c r="C75" s="58">
        <f>IF('AYIRA MINI MART FINAL MENU - Pr'!C75="", "", 'AYIRA MINI MART FINAL MENU - Pr'!C75)</f>
        <v>8</v>
      </c>
      <c r="D75" s="58" t="str">
        <f>IF('AYIRA MINI MART FINAL MENU - Pr'!D75="", "", 'AYIRA MINI MART FINAL MENU - Pr'!D75)</f>
        <v>اكتشف Fruitoo Original Taste Berries Mixed Flavour 1 Litre،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75" s="56" t="str">
        <f>IF('AYIRA MINI MART FINAL MENU - Pr'!E75="", "", 'AYIRA MINI MART FINAL MENU - Pr'!E75)</f>
        <v/>
      </c>
      <c r="F75" s="56" t="str">
        <f>IF('AYIRA MINI MART FINAL MENU - Pr'!F75="", "", 'AYIRA MINI MART FINAL MENU - Pr'!F75)</f>
        <v/>
      </c>
      <c r="G75" s="56" t="str">
        <f>IF('AYIRA MINI MART FINAL MENU - Pr'!G75="", "", 'AYIRA MINI MART FINAL MENU - Pr'!G75)</f>
        <v/>
      </c>
      <c r="H75" s="56" t="str">
        <f>IF('AYIRA MINI MART FINAL MENU - Pr'!H75="", "", 'AYIRA MINI MART FINAL MENU - Pr'!H75)</f>
        <v/>
      </c>
      <c r="I75" s="56" t="str">
        <f>IF('AYIRA MINI MART FINAL MENU - Pr'!I75="", "", 'AYIRA MINI MART FINAL MENU - Pr'!I75)</f>
        <v/>
      </c>
      <c r="J75" s="56" t="str">
        <f>IFERROR(__xludf.DUMMYFUNCTION("IF('AYIRA MINI MART FINAL MENU - Pr'!J75="""", """", GOOGLETRANSLATE('AYIRA MINI MART FINAL MENU - Pr'!J75, ""en"", ""ar""))"),"يعرض")</f>
        <v>يعرض</v>
      </c>
      <c r="K75" s="56" t="str">
        <f>IF('AYIRA MINI MART FINAL MENU - Pr'!K75="", "", 'AYIRA MINI MART FINAL MENU - Pr'!K75)</f>
        <v/>
      </c>
      <c r="L75" s="56" t="str">
        <f>IF('AYIRA MINI MART FINAL MENU - Pr'!L75="", "", 'AYIRA MINI MART FINAL MENU - Pr'!L75)</f>
        <v/>
      </c>
      <c r="M75" s="56" t="str">
        <f>IF('AYIRA MINI MART FINAL MENU - Pr'!M75="", "", 'AYIRA MINI MART FINAL MENU - Pr'!M75)</f>
        <v/>
      </c>
      <c r="N75" s="56" t="str">
        <f>IF('AYIRA MINI MART FINAL MENU - Pr'!N75="", "", 'AYIRA MINI MART FINAL MENU - Pr'!N75)</f>
        <v/>
      </c>
      <c r="O75" s="57"/>
      <c r="P75" s="57"/>
      <c r="Q75" s="57"/>
      <c r="R75" s="57"/>
      <c r="S75" s="57"/>
      <c r="T75" s="57"/>
      <c r="U75" s="57"/>
      <c r="V75" s="57"/>
      <c r="W75" s="57"/>
      <c r="X75" s="57"/>
      <c r="Y75" s="57"/>
      <c r="Z75" s="57"/>
    </row>
    <row r="76">
      <c r="A76" s="56" t="str">
        <f>IFERROR(__xludf.DUMMYFUNCTION("IF('AYIRA MINI MART FINAL MENU - Pr'!A76="""", """", IF(LEN(TRIM(REGEXREPLACE(REGEXREPLACE('AYIRA MINI MART FINAL MENU - Pr'!A76, ""^[^\x{0600}-\x{06FF}]+"", """"), ""^[-–\s]+"", """")))&gt;0, TRIM(REGEXREPLACE(REGEXREPLACE('AYIRA MINI MART FINAL MENU - Pr'!"&amp;"A76, ""^[^\x{0600}-\x{06FF}]+"", """"), ""^[-–\s]+"", """")), GOOGLETRANSLATE('AYIRA MINI MART FINAL MENU - Pr'!A76, ""en"", ""ar"")))"),"مشروب 750 مل")</f>
        <v>مشروب 750 مل</v>
      </c>
      <c r="B76" s="56" t="str">
        <f>IFERROR(__xludf.DUMMYFUNCTION("IF('AYIRA MINI MART FINAL MENU - Pr'!B76="""", """", IF(LEN(TRIM(REGEXREPLACE(REGEXREPLACE('AYIRA MINI MART FINAL MENU - Pr'!B76, ""^[^\x{0600}-\x{06FF}]+"", """"), ""^[-–\s]+"", """")))&gt;0, TRIM(REGEXREPLACE(REGEXREPLACE('AYIRA MINI MART FINAL MENU - Pr'!"&amp;"B76, ""^[^\x{0600}-\x{06FF}]+"", """"), ""^[-–\s]+"", """")), GOOGLETRANSLATE('AYIRA MINI MART FINAL MENU - Pr'!B76, ""en"", ""ar"")))"),"مشروبات الطاقة والرياضة")</f>
        <v>مشروبات الطاقة والرياضة</v>
      </c>
      <c r="C76" s="58">
        <f>IF('AYIRA MINI MART FINAL MENU - Pr'!C76="", "", 'AYIRA MINI MART FINAL MENU - Pr'!C76)</f>
        <v>7</v>
      </c>
      <c r="D76" s="58" t="str">
        <f>IF('AYIRA MINI MART FINAL MENU - Pr'!D76="", "", 'AYIRA MINI MART FINAL MENU - Pr'!D76)</f>
        <v>اكتشف Oshee Isotonic Drink 750ml،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76" s="56" t="str">
        <f>IF('AYIRA MINI MART FINAL MENU - Pr'!E76="", "", 'AYIRA MINI MART FINAL MENU - Pr'!E76)</f>
        <v/>
      </c>
      <c r="F76" s="56" t="str">
        <f>IF('AYIRA MINI MART FINAL MENU - Pr'!F76="", "", 'AYIRA MINI MART FINAL MENU - Pr'!F76)</f>
        <v/>
      </c>
      <c r="G76" s="56" t="str">
        <f>IF('AYIRA MINI MART FINAL MENU - Pr'!G76="", "", 'AYIRA MINI MART FINAL MENU - Pr'!G76)</f>
        <v/>
      </c>
      <c r="H76" s="56" t="str">
        <f>IF('AYIRA MINI MART FINAL MENU - Pr'!H76="", "", 'AYIRA MINI MART FINAL MENU - Pr'!H76)</f>
        <v/>
      </c>
      <c r="I76" s="56" t="str">
        <f>IF('AYIRA MINI MART FINAL MENU - Pr'!I76="", "", 'AYIRA MINI MART FINAL MENU - Pr'!I76)</f>
        <v/>
      </c>
      <c r="J76" s="56" t="str">
        <f>IFERROR(__xludf.DUMMYFUNCTION("IF('AYIRA MINI MART FINAL MENU - Pr'!J76="""", """", GOOGLETRANSLATE('AYIRA MINI MART FINAL MENU - Pr'!J76, ""en"", ""ar""))"),"يعرض")</f>
        <v>يعرض</v>
      </c>
      <c r="K76" s="56" t="str">
        <f>IF('AYIRA MINI MART FINAL MENU - Pr'!K76="", "", 'AYIRA MINI MART FINAL MENU - Pr'!K76)</f>
        <v/>
      </c>
      <c r="L76" s="56" t="str">
        <f>IF('AYIRA MINI MART FINAL MENU - Pr'!L76="", "", 'AYIRA MINI MART FINAL MENU - Pr'!L76)</f>
        <v/>
      </c>
      <c r="M76" s="56" t="str">
        <f>IF('AYIRA MINI MART FINAL MENU - Pr'!M76="", "", 'AYIRA MINI MART FINAL MENU - Pr'!M76)</f>
        <v/>
      </c>
      <c r="N76" s="56" t="str">
        <f>IF('AYIRA MINI MART FINAL MENU - Pr'!N76="", "", 'AYIRA MINI MART FINAL MENU - Pr'!N76)</f>
        <v/>
      </c>
      <c r="O76" s="57"/>
      <c r="P76" s="57"/>
      <c r="Q76" s="57"/>
      <c r="R76" s="57"/>
      <c r="S76" s="57"/>
      <c r="T76" s="57"/>
      <c r="U76" s="57"/>
      <c r="V76" s="57"/>
      <c r="W76" s="57"/>
      <c r="X76" s="57"/>
      <c r="Y76" s="57"/>
      <c r="Z76" s="57"/>
    </row>
    <row r="77">
      <c r="A77" s="56" t="str">
        <f>IFERROR(__xludf.DUMMYFUNCTION("IF('AYIRA MINI MART FINAL MENU - Pr'!A77="""", """", IF(LEN(TRIM(REGEXREPLACE(REGEXREPLACE('AYIRA MINI MART FINAL MENU - Pr'!A77, ""^[^\x{0600}-\x{06FF}]+"", """"), ""^[-–\s]+"", """")))&gt;0, TRIM(REGEXREPLACE(REGEXREPLACE('AYIRA MINI MART FINAL MENU - Pr'!"&amp;"A77, ""^[^\x{0600}-\x{06FF}]+"", """"), ""^[-–\s]+"", """")), GOOGLETRANSLATE('AYIRA MINI MART FINAL MENU - Pr'!A77, ""en"", ""ar"")))"),"مانجو عصير 1 Litre")</f>
        <v>مانجو عصير 1 Litre</v>
      </c>
      <c r="B77" s="56" t="str">
        <f>IFERROR(__xludf.DUMMYFUNCTION("IF('AYIRA MINI MART FINAL MENU - Pr'!B77="""", """", IF(LEN(TRIM(REGEXREPLACE(REGEXREPLACE('AYIRA MINI MART FINAL MENU - Pr'!B77, ""^[^\x{0600}-\x{06FF}]+"", """"), ""^[-–\s]+"", """")))&gt;0, TRIM(REGEXREPLACE(REGEXREPLACE('AYIRA MINI MART FINAL MENU - Pr'!"&amp;"B77, ""^[^\x{0600}-\x{06FF}]+"", """"), ""^[-–\s]+"", """")), GOOGLETRANSLATE('AYIRA MINI MART FINAL MENU - Pr'!B77, ""en"", ""ar"")))"),"العصائر ومشروبات الفاكهة")</f>
        <v>العصائر ومشروبات الفاكهة</v>
      </c>
      <c r="C77" s="58">
        <f>IF('AYIRA MINI MART FINAL MENU - Pr'!C77="", "", 'AYIRA MINI MART FINAL MENU - Pr'!C77)</f>
        <v>5</v>
      </c>
      <c r="D77" s="58" t="str">
        <f>IF('AYIRA MINI MART FINAL MENU - Pr'!D77="", "", 'AYIRA MINI MART FINAL MENU - Pr'!D77)</f>
        <v>احرص على صحتك مع Pran Frooto Mango Juice 1 Litre،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77" s="56" t="str">
        <f>IF('AYIRA MINI MART FINAL MENU - Pr'!E77="", "", 'AYIRA MINI MART FINAL MENU - Pr'!E77)</f>
        <v/>
      </c>
      <c r="F77" s="56" t="str">
        <f>IF('AYIRA MINI MART FINAL MENU - Pr'!F77="", "", 'AYIRA MINI MART FINAL MENU - Pr'!F77)</f>
        <v/>
      </c>
      <c r="G77" s="56" t="str">
        <f>IF('AYIRA MINI MART FINAL MENU - Pr'!G77="", "", 'AYIRA MINI MART FINAL MENU - Pr'!G77)</f>
        <v/>
      </c>
      <c r="H77" s="56" t="str">
        <f>IF('AYIRA MINI MART FINAL MENU - Pr'!H77="", "", 'AYIRA MINI MART FINAL MENU - Pr'!H77)</f>
        <v/>
      </c>
      <c r="I77" s="56" t="str">
        <f>IF('AYIRA MINI MART FINAL MENU - Pr'!I77="", "", 'AYIRA MINI MART FINAL MENU - Pr'!I77)</f>
        <v/>
      </c>
      <c r="J77" s="56" t="str">
        <f>IFERROR(__xludf.DUMMYFUNCTION("IF('AYIRA MINI MART FINAL MENU - Pr'!J77="""", """", GOOGLETRANSLATE('AYIRA MINI MART FINAL MENU - Pr'!J77, ""en"", ""ar""))"),"يعرض")</f>
        <v>يعرض</v>
      </c>
      <c r="K77" s="56" t="str">
        <f>IF('AYIRA MINI MART FINAL MENU - Pr'!K77="", "", 'AYIRA MINI MART FINAL MENU - Pr'!K77)</f>
        <v/>
      </c>
      <c r="L77" s="56" t="str">
        <f>IF('AYIRA MINI MART FINAL MENU - Pr'!L77="", "", 'AYIRA MINI MART FINAL MENU - Pr'!L77)</f>
        <v/>
      </c>
      <c r="M77" s="56" t="str">
        <f>IF('AYIRA MINI MART FINAL MENU - Pr'!M77="", "", 'AYIRA MINI MART FINAL MENU - Pr'!M77)</f>
        <v/>
      </c>
      <c r="N77" s="56" t="str">
        <f>IF('AYIRA MINI MART FINAL MENU - Pr'!N77="", "", 'AYIRA MINI MART FINAL MENU - Pr'!N77)</f>
        <v/>
      </c>
      <c r="O77" s="57"/>
      <c r="P77" s="57"/>
      <c r="Q77" s="57"/>
      <c r="R77" s="57"/>
      <c r="S77" s="57"/>
      <c r="T77" s="57"/>
      <c r="U77" s="57"/>
      <c r="V77" s="57"/>
      <c r="W77" s="57"/>
      <c r="X77" s="57"/>
      <c r="Y77" s="57"/>
      <c r="Z77" s="57"/>
    </row>
    <row r="78">
      <c r="A78" s="56" t="str">
        <f>IFERROR(__xludf.DUMMYFUNCTION("IF('AYIRA MINI MART FINAL MENU - Pr'!A78="""", """", IF(LEN(TRIM(REGEXREPLACE(REGEXREPLACE('AYIRA MINI MART FINAL MENU - Pr'!A78, ""^[^\x{0600}-\x{06FF}]+"", """"), ""^[-–\s]+"", """")))&gt;0, TRIM(REGEXREPLACE(REGEXREPLACE('AYIRA MINI MART FINAL MENU - Pr'!"&amp;"A78, ""^[^\x{0600}-\x{06FF}]+"", """"), ""^[-–\s]+"", """")), GOOGLETRANSLATE('AYIRA MINI MART FINAL MENU - Pr'!A78, ""en"", ""ar"")))"),"برتقال &amp; Carrot مشروب 1.35 Litre")</f>
        <v>برتقال &amp; Carrot مشروب 1.35 Litre</v>
      </c>
      <c r="B78" s="56" t="str">
        <f>IFERROR(__xludf.DUMMYFUNCTION("IF('AYIRA MINI MART FINAL MENU - Pr'!B78="""", """", IF(LEN(TRIM(REGEXREPLACE(REGEXREPLACE('AYIRA MINI MART FINAL MENU - Pr'!B78, ""^[^\x{0600}-\x{06FF}]+"", """"), ""^[-–\s]+"", """")))&gt;0, TRIM(REGEXREPLACE(REGEXREPLACE('AYIRA MINI MART FINAL MENU - Pr'!"&amp;"B78, ""^[^\x{0600}-\x{06FF}]+"", """"), ""^[-–\s]+"", """")), GOOGLETRANSLATE('AYIRA MINI MART FINAL MENU - Pr'!B78, ""en"", ""ar"")))"),"العصائر ومشروبات الفاكهة")</f>
        <v>العصائر ومشروبات الفاكهة</v>
      </c>
      <c r="C78" s="58">
        <f>IF('AYIRA MINI MART FINAL MENU - Pr'!C78="", "", 'AYIRA MINI MART FINAL MENU - Pr'!C78)</f>
        <v>6</v>
      </c>
      <c r="D78" s="58" t="str">
        <f>IF('AYIRA MINI MART FINAL MENU - Pr'!D78="", "", 'AYIRA MINI MART FINAL MENU - Pr'!D78)</f>
        <v>اكتشف Mizo Orange &amp; Carrot Drink 1.35 Litre،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78" s="56" t="str">
        <f>IF('AYIRA MINI MART FINAL MENU - Pr'!E78="", "", 'AYIRA MINI MART FINAL MENU - Pr'!E78)</f>
        <v/>
      </c>
      <c r="F78" s="56" t="str">
        <f>IF('AYIRA MINI MART FINAL MENU - Pr'!F78="", "", 'AYIRA MINI MART FINAL MENU - Pr'!F78)</f>
        <v/>
      </c>
      <c r="G78" s="56" t="str">
        <f>IF('AYIRA MINI MART FINAL MENU - Pr'!G78="", "", 'AYIRA MINI MART FINAL MENU - Pr'!G78)</f>
        <v/>
      </c>
      <c r="H78" s="56" t="str">
        <f>IF('AYIRA MINI MART FINAL MENU - Pr'!H78="", "", 'AYIRA MINI MART FINAL MENU - Pr'!H78)</f>
        <v/>
      </c>
      <c r="I78" s="56" t="str">
        <f>IF('AYIRA MINI MART FINAL MENU - Pr'!I78="", "", 'AYIRA MINI MART FINAL MENU - Pr'!I78)</f>
        <v/>
      </c>
      <c r="J78" s="56" t="str">
        <f>IFERROR(__xludf.DUMMYFUNCTION("IF('AYIRA MINI MART FINAL MENU - Pr'!J78="""", """", GOOGLETRANSLATE('AYIRA MINI MART FINAL MENU - Pr'!J78, ""en"", ""ar""))"),"يعرض")</f>
        <v>يعرض</v>
      </c>
      <c r="K78" s="56" t="str">
        <f>IF('AYIRA MINI MART FINAL MENU - Pr'!K78="", "", 'AYIRA MINI MART FINAL MENU - Pr'!K78)</f>
        <v/>
      </c>
      <c r="L78" s="56" t="str">
        <f>IF('AYIRA MINI MART FINAL MENU - Pr'!L78="", "", 'AYIRA MINI MART FINAL MENU - Pr'!L78)</f>
        <v/>
      </c>
      <c r="M78" s="56" t="str">
        <f>IF('AYIRA MINI MART FINAL MENU - Pr'!M78="", "", 'AYIRA MINI MART FINAL MENU - Pr'!M78)</f>
        <v/>
      </c>
      <c r="N78" s="56" t="str">
        <f>IF('AYIRA MINI MART FINAL MENU - Pr'!N78="", "", 'AYIRA MINI MART FINAL MENU - Pr'!N78)</f>
        <v/>
      </c>
      <c r="O78" s="57"/>
      <c r="P78" s="57"/>
      <c r="Q78" s="57"/>
      <c r="R78" s="57"/>
      <c r="S78" s="57"/>
      <c r="T78" s="57"/>
      <c r="U78" s="57"/>
      <c r="V78" s="57"/>
      <c r="W78" s="57"/>
      <c r="X78" s="57"/>
      <c r="Y78" s="57"/>
      <c r="Z78" s="57"/>
    </row>
    <row r="79">
      <c r="A79" s="56" t="str">
        <f>IFERROR(__xludf.DUMMYFUNCTION("IF('AYIRA MINI MART FINAL MENU - Pr'!A79="""", """", IF(LEN(TRIM(REGEXREPLACE(REGEXREPLACE('AYIRA MINI MART FINAL MENU - Pr'!A79, ""^[^\x{0600}-\x{06FF}]+"", """"), ""^[-–\s]+"", """")))&gt;0, TRIM(REGEXREPLACE(REGEXREPLACE('AYIRA MINI MART FINAL MENU - Pr'!"&amp;"A79, ""^[^\x{0600}-\x{06FF}]+"", """"), ""^[-–\s]+"", """")), GOOGLETRANSLATE('AYIRA MINI MART FINAL MENU - Pr'!A79, ""en"", ""ar"")))"),"سفن أب زيرو سكر 330 مل")</f>
        <v>سفن أب زيرو سكر 330 مل</v>
      </c>
      <c r="B79" s="56" t="str">
        <f>IFERROR(__xludf.DUMMYFUNCTION("IF('AYIRA MINI MART FINAL MENU - Pr'!B79="""", """", IF(LEN(TRIM(REGEXREPLACE(REGEXREPLACE('AYIRA MINI MART FINAL MENU - Pr'!B79, ""^[^\x{0600}-\x{06FF}]+"", """"), ""^[-–\s]+"", """")))&gt;0, TRIM(REGEXREPLACE(REGEXREPLACE('AYIRA MINI MART FINAL MENU - Pr'!"&amp;"B79, ""^[^\x{0600}-\x{06FF}]+"", """"), ""^[-–\s]+"", """")), GOOGLETRANSLATE('AYIRA MINI MART FINAL MENU - Pr'!B79, ""en"", ""ar"")))"),"المشروبات الغازية")</f>
        <v>المشروبات الغازية</v>
      </c>
      <c r="C79" s="58">
        <f>IF('AYIRA MINI MART FINAL MENU - Pr'!C79="", "", 'AYIRA MINI MART FINAL MENU - Pr'!C79)</f>
        <v>2.5</v>
      </c>
      <c r="D79" s="58" t="str">
        <f>IF('AYIRA MINI MART FINAL MENU - Pr'!D79="", "", 'AYIRA MINI MART FINAL MENU - Pr'!D79)</f>
        <v>استمتع بـ إكسترا،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79" s="56" t="str">
        <f>IF('AYIRA MINI MART FINAL MENU - Pr'!E79="", "", 'AYIRA MINI MART FINAL MENU - Pr'!E79)</f>
        <v/>
      </c>
      <c r="F79" s="56" t="str">
        <f>IF('AYIRA MINI MART FINAL MENU - Pr'!F79="", "", 'AYIRA MINI MART FINAL MENU - Pr'!F79)</f>
        <v/>
      </c>
      <c r="G79" s="56" t="str">
        <f>IF('AYIRA MINI MART FINAL MENU - Pr'!G79="", "", 'AYIRA MINI MART FINAL MENU - Pr'!G79)</f>
        <v/>
      </c>
      <c r="H79" s="56" t="str">
        <f>IF('AYIRA MINI MART FINAL MENU - Pr'!H79="", "", 'AYIRA MINI MART FINAL MENU - Pr'!H79)</f>
        <v/>
      </c>
      <c r="I79" s="56" t="str">
        <f>IF('AYIRA MINI MART FINAL MENU - Pr'!I79="", "", 'AYIRA MINI MART FINAL MENU - Pr'!I79)</f>
        <v/>
      </c>
      <c r="J79" s="56" t="str">
        <f>IFERROR(__xludf.DUMMYFUNCTION("IF('AYIRA MINI MART FINAL MENU - Pr'!J79="""", """", GOOGLETRANSLATE('AYIRA MINI MART FINAL MENU - Pr'!J79, ""en"", ""ar""))"),"يعرض")</f>
        <v>يعرض</v>
      </c>
      <c r="K79" s="56" t="str">
        <f>IF('AYIRA MINI MART FINAL MENU - Pr'!K79="", "", 'AYIRA MINI MART FINAL MENU - Pr'!K79)</f>
        <v/>
      </c>
      <c r="L79" s="56" t="str">
        <f>IF('AYIRA MINI MART FINAL MENU - Pr'!L79="", "", 'AYIRA MINI MART FINAL MENU - Pr'!L79)</f>
        <v/>
      </c>
      <c r="M79" s="56" t="str">
        <f>IF('AYIRA MINI MART FINAL MENU - Pr'!M79="", "", 'AYIRA MINI MART FINAL MENU - Pr'!M79)</f>
        <v/>
      </c>
      <c r="N79" s="56" t="str">
        <f>IF('AYIRA MINI MART FINAL MENU - Pr'!N79="", "", 'AYIRA MINI MART FINAL MENU - Pr'!N79)</f>
        <v/>
      </c>
      <c r="O79" s="57"/>
      <c r="P79" s="57"/>
      <c r="Q79" s="57"/>
      <c r="R79" s="57"/>
      <c r="S79" s="57"/>
      <c r="T79" s="57"/>
      <c r="U79" s="57"/>
      <c r="V79" s="57"/>
      <c r="W79" s="57"/>
      <c r="X79" s="57"/>
      <c r="Y79" s="57"/>
      <c r="Z79" s="57"/>
    </row>
    <row r="80">
      <c r="A80" s="56" t="str">
        <f>IFERROR(__xludf.DUMMYFUNCTION("IF('AYIRA MINI MART FINAL MENU - Pr'!A80="""", """", IF(LEN(TRIM(REGEXREPLACE(REGEXREPLACE('AYIRA MINI MART FINAL MENU - Pr'!A80, ""^[^\x{0600}-\x{06FF}]+"", """"), ""^[-–\s]+"", """")))&gt;0, TRIM(REGEXREPLACE(REGEXREPLACE('AYIRA MINI MART FINAL MENU - Pr'!"&amp;"A80, ""^[^\x{0600}-\x{06FF}]+"", """"), ""^[-–\s]+"", """")), GOOGLETRANSLATE('AYIRA MINI MART FINAL MENU - Pr'!A80, ""en"", ""ar"")))"),"بيبسي 330 مل")</f>
        <v>بيبسي 330 مل</v>
      </c>
      <c r="B80" s="56" t="str">
        <f>IFERROR(__xludf.DUMMYFUNCTION("IF('AYIRA MINI MART FINAL MENU - Pr'!B80="""", """", IF(LEN(TRIM(REGEXREPLACE(REGEXREPLACE('AYIRA MINI MART FINAL MENU - Pr'!B80, ""^[^\x{0600}-\x{06FF}]+"", """"), ""^[-–\s]+"", """")))&gt;0, TRIM(REGEXREPLACE(REGEXREPLACE('AYIRA MINI MART FINAL MENU - Pr'!"&amp;"B80, ""^[^\x{0600}-\x{06FF}]+"", """"), ""^[-–\s]+"", """")), GOOGLETRANSLATE('AYIRA MINI MART FINAL MENU - Pr'!B80, ""en"", ""ar"")))"),"المشروبات الغازية")</f>
        <v>المشروبات الغازية</v>
      </c>
      <c r="C80" s="58">
        <f>IF('AYIRA MINI MART FINAL MENU - Pr'!C80="", "", 'AYIRA MINI MART FINAL MENU - Pr'!C80)</f>
        <v>2.5</v>
      </c>
      <c r="D80" s="58" t="str">
        <f>IF('AYIRA MINI MART FINAL MENU - Pr'!D80="", "", 'AYIRA MINI MART FINAL MENU - Pr'!D80)</f>
        <v>استمتع بـ بيبسي،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0" s="56" t="str">
        <f>IF('AYIRA MINI MART FINAL MENU - Pr'!E80="", "", 'AYIRA MINI MART FINAL MENU - Pr'!E80)</f>
        <v/>
      </c>
      <c r="F80" s="56" t="str">
        <f>IF('AYIRA MINI MART FINAL MENU - Pr'!F80="", "", 'AYIRA MINI MART FINAL MENU - Pr'!F80)</f>
        <v/>
      </c>
      <c r="G80" s="56" t="str">
        <f>IF('AYIRA MINI MART FINAL MENU - Pr'!G80="", "", 'AYIRA MINI MART FINAL MENU - Pr'!G80)</f>
        <v/>
      </c>
      <c r="H80" s="56" t="str">
        <f>IF('AYIRA MINI MART FINAL MENU - Pr'!H80="", "", 'AYIRA MINI MART FINAL MENU - Pr'!H80)</f>
        <v/>
      </c>
      <c r="I80" s="56" t="str">
        <f>IF('AYIRA MINI MART FINAL MENU - Pr'!I80="", "", 'AYIRA MINI MART FINAL MENU - Pr'!I80)</f>
        <v/>
      </c>
      <c r="J80" s="56" t="str">
        <f>IFERROR(__xludf.DUMMYFUNCTION("IF('AYIRA MINI MART FINAL MENU - Pr'!J80="""", """", GOOGLETRANSLATE('AYIRA MINI MART FINAL MENU - Pr'!J80, ""en"", ""ar""))"),"يعرض")</f>
        <v>يعرض</v>
      </c>
      <c r="K80" s="56" t="str">
        <f>IF('AYIRA MINI MART FINAL MENU - Pr'!K80="", "", 'AYIRA MINI MART FINAL MENU - Pr'!K80)</f>
        <v/>
      </c>
      <c r="L80" s="56" t="str">
        <f>IF('AYIRA MINI MART FINAL MENU - Pr'!L80="", "", 'AYIRA MINI MART FINAL MENU - Pr'!L80)</f>
        <v/>
      </c>
      <c r="M80" s="56" t="str">
        <f>IF('AYIRA MINI MART FINAL MENU - Pr'!M80="", "", 'AYIRA MINI MART FINAL MENU - Pr'!M80)</f>
        <v/>
      </c>
      <c r="N80" s="56" t="str">
        <f>IF('AYIRA MINI MART FINAL MENU - Pr'!N80="", "", 'AYIRA MINI MART FINAL MENU - Pr'!N80)</f>
        <v/>
      </c>
      <c r="O80" s="57"/>
      <c r="P80" s="57"/>
      <c r="Q80" s="57"/>
      <c r="R80" s="57"/>
      <c r="S80" s="57"/>
      <c r="T80" s="57"/>
      <c r="U80" s="57"/>
      <c r="V80" s="57"/>
      <c r="W80" s="57"/>
      <c r="X80" s="57"/>
      <c r="Y80" s="57"/>
      <c r="Z80" s="57"/>
    </row>
    <row r="81">
      <c r="A81" s="56" t="str">
        <f>IFERROR(__xludf.DUMMYFUNCTION("IF('AYIRA MINI MART FINAL MENU - Pr'!A81="""", """", IF(LEN(TRIM(REGEXREPLACE(REGEXREPLACE('AYIRA MINI MART FINAL MENU - Pr'!A81, ""^[^\x{0600}-\x{06FF}]+"", """"), ""^[-–\s]+"", """")))&gt;0, TRIM(REGEXREPLACE(REGEXREPLACE('AYIRA MINI MART FINAL MENU - Pr'!"&amp;"A81, ""^[^\x{0600}-\x{06FF}]+"", """"), ""^[-–\s]+"", """")), GOOGLETRANSLATE('AYIRA MINI MART FINAL MENU - Pr'!A81, ""en"", ""ar"")))"),"ميرندا برتقال 330 مل")</f>
        <v>ميرندا برتقال 330 مل</v>
      </c>
      <c r="B81" s="56" t="str">
        <f>IFERROR(__xludf.DUMMYFUNCTION("IF('AYIRA MINI MART FINAL MENU - Pr'!B81="""", """", IF(LEN(TRIM(REGEXREPLACE(REGEXREPLACE('AYIRA MINI MART FINAL MENU - Pr'!B81, ""^[^\x{0600}-\x{06FF}]+"", """"), ""^[-–\s]+"", """")))&gt;0, TRIM(REGEXREPLACE(REGEXREPLACE('AYIRA MINI MART FINAL MENU - Pr'!"&amp;"B81, ""^[^\x{0600}-\x{06FF}]+"", """"), ""^[-–\s]+"", """")), GOOGLETRANSLATE('AYIRA MINI MART FINAL MENU - Pr'!B81, ""en"", ""ar"")))"),"المشروبات الغازية")</f>
        <v>المشروبات الغازية</v>
      </c>
      <c r="C81" s="58">
        <f>IF('AYIRA MINI MART FINAL MENU - Pr'!C81="", "", 'AYIRA MINI MART FINAL MENU - Pr'!C81)</f>
        <v>2.5</v>
      </c>
      <c r="D81" s="58" t="str">
        <f>IF('AYIRA MINI MART FINAL MENU - Pr'!D81="", "", 'AYIRA MINI MART FINAL MENU - Pr'!D81)</f>
        <v>استمتع بـ ميرندا،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1" s="56" t="str">
        <f>IF('AYIRA MINI MART FINAL MENU - Pr'!E81="", "", 'AYIRA MINI MART FINAL MENU - Pr'!E81)</f>
        <v/>
      </c>
      <c r="F81" s="56" t="str">
        <f>IF('AYIRA MINI MART FINAL MENU - Pr'!F81="", "", 'AYIRA MINI MART FINAL MENU - Pr'!F81)</f>
        <v/>
      </c>
      <c r="G81" s="56" t="str">
        <f>IF('AYIRA MINI MART FINAL MENU - Pr'!G81="", "", 'AYIRA MINI MART FINAL MENU - Pr'!G81)</f>
        <v/>
      </c>
      <c r="H81" s="56" t="str">
        <f>IF('AYIRA MINI MART FINAL MENU - Pr'!H81="", "", 'AYIRA MINI MART FINAL MENU - Pr'!H81)</f>
        <v/>
      </c>
      <c r="I81" s="56" t="str">
        <f>IF('AYIRA MINI MART FINAL MENU - Pr'!I81="", "", 'AYIRA MINI MART FINAL MENU - Pr'!I81)</f>
        <v/>
      </c>
      <c r="J81" s="56" t="str">
        <f>IFERROR(__xludf.DUMMYFUNCTION("IF('AYIRA MINI MART FINAL MENU - Pr'!J81="""", """", GOOGLETRANSLATE('AYIRA MINI MART FINAL MENU - Pr'!J81, ""en"", ""ar""))"),"يعرض")</f>
        <v>يعرض</v>
      </c>
      <c r="K81" s="56" t="str">
        <f>IF('AYIRA MINI MART FINAL MENU - Pr'!K81="", "", 'AYIRA MINI MART FINAL MENU - Pr'!K81)</f>
        <v/>
      </c>
      <c r="L81" s="56" t="str">
        <f>IF('AYIRA MINI MART FINAL MENU - Pr'!L81="", "", 'AYIRA MINI MART FINAL MENU - Pr'!L81)</f>
        <v/>
      </c>
      <c r="M81" s="56" t="str">
        <f>IF('AYIRA MINI MART FINAL MENU - Pr'!M81="", "", 'AYIRA MINI MART FINAL MENU - Pr'!M81)</f>
        <v/>
      </c>
      <c r="N81" s="56" t="str">
        <f>IF('AYIRA MINI MART FINAL MENU - Pr'!N81="", "", 'AYIRA MINI MART FINAL MENU - Pr'!N81)</f>
        <v/>
      </c>
      <c r="O81" s="57"/>
      <c r="P81" s="57"/>
      <c r="Q81" s="57"/>
      <c r="R81" s="57"/>
      <c r="S81" s="57"/>
      <c r="T81" s="57"/>
      <c r="U81" s="57"/>
      <c r="V81" s="57"/>
      <c r="W81" s="57"/>
      <c r="X81" s="57"/>
      <c r="Y81" s="57"/>
      <c r="Z81" s="57"/>
    </row>
    <row r="82">
      <c r="A82" s="56" t="str">
        <f>IFERROR(__xludf.DUMMYFUNCTION("IF('AYIRA MINI MART FINAL MENU - Pr'!A82="""", """", IF(LEN(TRIM(REGEXREPLACE(REGEXREPLACE('AYIRA MINI MART FINAL MENU - Pr'!A82, ""^[^\x{0600}-\x{06FF}]+"", """"), ""^[-–\s]+"", """")))&gt;0, TRIM(REGEXREPLACE(REGEXREPLACE('AYIRA MINI MART FINAL MENU - Pr'!"&amp;"A82, ""^[^\x{0600}-\x{06FF}]+"", """"), ""^[-–\s]+"", """")), GOOGLETRANSLATE('AYIRA MINI MART FINAL MENU - Pr'!A82, ""en"", ""ar"")))"),"ميرندا فراولة 330 مل")</f>
        <v>ميرندا فراولة 330 مل</v>
      </c>
      <c r="B82" s="56" t="str">
        <f>IFERROR(__xludf.DUMMYFUNCTION("IF('AYIRA MINI MART FINAL MENU - Pr'!B82="""", """", IF(LEN(TRIM(REGEXREPLACE(REGEXREPLACE('AYIRA MINI MART FINAL MENU - Pr'!B82, ""^[^\x{0600}-\x{06FF}]+"", """"), ""^[-–\s]+"", """")))&gt;0, TRIM(REGEXREPLACE(REGEXREPLACE('AYIRA MINI MART FINAL MENU - Pr'!"&amp;"B82, ""^[^\x{0600}-\x{06FF}]+"", """"), ""^[-–\s]+"", """")), GOOGLETRANSLATE('AYIRA MINI MART FINAL MENU - Pr'!B82, ""en"", ""ar"")))"),"المشروبات الغازية")</f>
        <v>المشروبات الغازية</v>
      </c>
      <c r="C82" s="58">
        <f>IF('AYIRA MINI MART FINAL MENU - Pr'!C82="", "", 'AYIRA MINI MART FINAL MENU - Pr'!C82)</f>
        <v>2.5</v>
      </c>
      <c r="D82" s="58" t="str">
        <f>IF('AYIRA MINI MART FINAL MENU - Pr'!D82="", "", 'AYIRA MINI MART FINAL MENU - Pr'!D82)</f>
        <v>استمتع بـ ميرندا،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2" s="56" t="str">
        <f>IF('AYIRA MINI MART FINAL MENU - Pr'!E82="", "", 'AYIRA MINI MART FINAL MENU - Pr'!E82)</f>
        <v/>
      </c>
      <c r="F82" s="56" t="str">
        <f>IF('AYIRA MINI MART FINAL MENU - Pr'!F82="", "", 'AYIRA MINI MART FINAL MENU - Pr'!F82)</f>
        <v/>
      </c>
      <c r="G82" s="56" t="str">
        <f>IF('AYIRA MINI MART FINAL MENU - Pr'!G82="", "", 'AYIRA MINI MART FINAL MENU - Pr'!G82)</f>
        <v/>
      </c>
      <c r="H82" s="56" t="str">
        <f>IF('AYIRA MINI MART FINAL MENU - Pr'!H82="", "", 'AYIRA MINI MART FINAL MENU - Pr'!H82)</f>
        <v/>
      </c>
      <c r="I82" s="56" t="str">
        <f>IF('AYIRA MINI MART FINAL MENU - Pr'!I82="", "", 'AYIRA MINI MART FINAL MENU - Pr'!I82)</f>
        <v/>
      </c>
      <c r="J82" s="56" t="str">
        <f>IFERROR(__xludf.DUMMYFUNCTION("IF('AYIRA MINI MART FINAL MENU - Pr'!J82="""", """", GOOGLETRANSLATE('AYIRA MINI MART FINAL MENU - Pr'!J82, ""en"", ""ar""))"),"يعرض")</f>
        <v>يعرض</v>
      </c>
      <c r="K82" s="56" t="str">
        <f>IF('AYIRA MINI MART FINAL MENU - Pr'!K82="", "", 'AYIRA MINI MART FINAL MENU - Pr'!K82)</f>
        <v/>
      </c>
      <c r="L82" s="56" t="str">
        <f>IF('AYIRA MINI MART FINAL MENU - Pr'!L82="", "", 'AYIRA MINI MART FINAL MENU - Pr'!L82)</f>
        <v/>
      </c>
      <c r="M82" s="56" t="str">
        <f>IF('AYIRA MINI MART FINAL MENU - Pr'!M82="", "", 'AYIRA MINI MART FINAL MENU - Pr'!M82)</f>
        <v/>
      </c>
      <c r="N82" s="56" t="str">
        <f>IF('AYIRA MINI MART FINAL MENU - Pr'!N82="", "", 'AYIRA MINI MART FINAL MENU - Pr'!N82)</f>
        <v/>
      </c>
      <c r="O82" s="57"/>
      <c r="P82" s="57"/>
      <c r="Q82" s="57"/>
      <c r="R82" s="57"/>
      <c r="S82" s="57"/>
      <c r="T82" s="57"/>
      <c r="U82" s="57"/>
      <c r="V82" s="57"/>
      <c r="W82" s="57"/>
      <c r="X82" s="57"/>
      <c r="Y82" s="57"/>
      <c r="Z82" s="57"/>
    </row>
    <row r="83">
      <c r="A83" s="56" t="str">
        <f>IFERROR(__xludf.DUMMYFUNCTION("IF('AYIRA MINI MART FINAL MENU - Pr'!A83="""", """", IF(LEN(TRIM(REGEXREPLACE(REGEXREPLACE('AYIRA MINI MART FINAL MENU - Pr'!A83, ""^[^\x{0600}-\x{06FF}]+"", """"), ""^[-–\s]+"", """")))&gt;0, TRIM(REGEXREPLACE(REGEXREPLACE('AYIRA MINI MART FINAL MENU - Pr'!"&amp;"A83, ""^[^\x{0600}-\x{06FF}]+"", """"), ""^[-–\s]+"", """")), GOOGLETRANSLATE('AYIRA MINI MART FINAL MENU - Pr'!A83, ""en"", ""ar"")))"),"ماونتن ديو 330 مل")</f>
        <v>ماونتن ديو 330 مل</v>
      </c>
      <c r="B83" s="56" t="str">
        <f>IFERROR(__xludf.DUMMYFUNCTION("IF('AYIRA MINI MART FINAL MENU - Pr'!B83="""", """", IF(LEN(TRIM(REGEXREPLACE(REGEXREPLACE('AYIRA MINI MART FINAL MENU - Pr'!B83, ""^[^\x{0600}-\x{06FF}]+"", """"), ""^[-–\s]+"", """")))&gt;0, TRIM(REGEXREPLACE(REGEXREPLACE('AYIRA MINI MART FINAL MENU - Pr'!"&amp;"B83, ""^[^\x{0600}-\x{06FF}]+"", """"), ""^[-–\s]+"", """")), GOOGLETRANSLATE('AYIRA MINI MART FINAL MENU - Pr'!B83, ""en"", ""ar"")))"),"المشروبات الغازية")</f>
        <v>المشروبات الغازية</v>
      </c>
      <c r="C83" s="58">
        <f>IF('AYIRA MINI MART FINAL MENU - Pr'!C83="", "", 'AYIRA MINI MART FINAL MENU - Pr'!C83)</f>
        <v>2.5</v>
      </c>
      <c r="D83" s="58" t="str">
        <f>IF('AYIRA MINI MART FINAL MENU - Pr'!D83="", "", 'AYIRA MINI MART FINAL MENU - Pr'!D83)</f>
        <v>استمتع بـ ماونتن ديو،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3" s="56" t="str">
        <f>IF('AYIRA MINI MART FINAL MENU - Pr'!E83="", "", 'AYIRA MINI MART FINAL MENU - Pr'!E83)</f>
        <v/>
      </c>
      <c r="F83" s="56" t="str">
        <f>IF('AYIRA MINI MART FINAL MENU - Pr'!F83="", "", 'AYIRA MINI MART FINAL MENU - Pr'!F83)</f>
        <v/>
      </c>
      <c r="G83" s="56" t="str">
        <f>IF('AYIRA MINI MART FINAL MENU - Pr'!G83="", "", 'AYIRA MINI MART FINAL MENU - Pr'!G83)</f>
        <v/>
      </c>
      <c r="H83" s="56" t="str">
        <f>IF('AYIRA MINI MART FINAL MENU - Pr'!H83="", "", 'AYIRA MINI MART FINAL MENU - Pr'!H83)</f>
        <v/>
      </c>
      <c r="I83" s="56" t="str">
        <f>IF('AYIRA MINI MART FINAL MENU - Pr'!I83="", "", 'AYIRA MINI MART FINAL MENU - Pr'!I83)</f>
        <v/>
      </c>
      <c r="J83" s="56" t="str">
        <f>IFERROR(__xludf.DUMMYFUNCTION("IF('AYIRA MINI MART FINAL MENU - Pr'!J83="""", """", GOOGLETRANSLATE('AYIRA MINI MART FINAL MENU - Pr'!J83, ""en"", ""ar""))"),"يعرض")</f>
        <v>يعرض</v>
      </c>
      <c r="K83" s="56" t="str">
        <f>IF('AYIRA MINI MART FINAL MENU - Pr'!K83="", "", 'AYIRA MINI MART FINAL MENU - Pr'!K83)</f>
        <v/>
      </c>
      <c r="L83" s="56" t="str">
        <f>IF('AYIRA MINI MART FINAL MENU - Pr'!L83="", "", 'AYIRA MINI MART FINAL MENU - Pr'!L83)</f>
        <v/>
      </c>
      <c r="M83" s="56" t="str">
        <f>IF('AYIRA MINI MART FINAL MENU - Pr'!M83="", "", 'AYIRA MINI MART FINAL MENU - Pr'!M83)</f>
        <v/>
      </c>
      <c r="N83" s="56" t="str">
        <f>IF('AYIRA MINI MART FINAL MENU - Pr'!N83="", "", 'AYIRA MINI MART FINAL MENU - Pr'!N83)</f>
        <v/>
      </c>
      <c r="O83" s="57"/>
      <c r="P83" s="57"/>
      <c r="Q83" s="57"/>
      <c r="R83" s="57"/>
      <c r="S83" s="57"/>
      <c r="T83" s="57"/>
      <c r="U83" s="57"/>
      <c r="V83" s="57"/>
      <c r="W83" s="57"/>
      <c r="X83" s="57"/>
      <c r="Y83" s="57"/>
      <c r="Z83" s="57"/>
    </row>
    <row r="84">
      <c r="A84" s="56" t="str">
        <f>IFERROR(__xludf.DUMMYFUNCTION("IF('AYIRA MINI MART FINAL MENU - Pr'!A84="""", """", IF(LEN(TRIM(REGEXREPLACE(REGEXREPLACE('AYIRA MINI MART FINAL MENU - Pr'!A84, ""^[^\x{0600}-\x{06FF}]+"", """"), ""^[-–\s]+"", """")))&gt;0, TRIM(REGEXREPLACE(REGEXREPLACE('AYIRA MINI MART FINAL MENU - Pr'!"&amp;"A84, ""^[^\x{0600}-\x{06FF}]+"", """"), ""^[-–\s]+"", """")), GOOGLETRANSLATE('AYIRA MINI MART FINAL MENU - Pr'!A84, ""en"", ""ar"")))"),"مل")</f>
        <v>مل</v>
      </c>
      <c r="B84" s="56" t="str">
        <f>IFERROR(__xludf.DUMMYFUNCTION("IF('AYIRA MINI MART FINAL MENU - Pr'!B84="""", """", IF(LEN(TRIM(REGEXREPLACE(REGEXREPLACE('AYIRA MINI MART FINAL MENU - Pr'!B84, ""^[^\x{0600}-\x{06FF}]+"", """"), ""^[-–\s]+"", """")))&gt;0, TRIM(REGEXREPLACE(REGEXREPLACE('AYIRA MINI MART FINAL MENU - Pr'!"&amp;"B84, ""^[^\x{0600}-\x{06FF}]+"", """"), ""^[-–\s]+"", """")), GOOGLETRANSLATE('AYIRA MINI MART FINAL MENU - Pr'!B84, ""en"", ""ar"")))"),"المياه")</f>
        <v>المياه</v>
      </c>
      <c r="C84" s="58">
        <f>IF('AYIRA MINI MART FINAL MENU - Pr'!C84="", "", 'AYIRA MINI MART FINAL MENU - Pr'!C84)</f>
        <v>2</v>
      </c>
      <c r="D84" s="58" t="str">
        <f>IF('AYIRA MINI MART FINAL MENU - Pr'!D84="", "", 'AYIRA MINI MART FINAL MENU - Pr'!D84)</f>
        <v>استمتع بـ Evervess Club Soda 330ml،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4" s="56" t="str">
        <f>IF('AYIRA MINI MART FINAL MENU - Pr'!E84="", "", 'AYIRA MINI MART FINAL MENU - Pr'!E84)</f>
        <v/>
      </c>
      <c r="F84" s="56" t="str">
        <f>IF('AYIRA MINI MART FINAL MENU - Pr'!F84="", "", 'AYIRA MINI MART FINAL MENU - Pr'!F84)</f>
        <v/>
      </c>
      <c r="G84" s="56" t="str">
        <f>IF('AYIRA MINI MART FINAL MENU - Pr'!G84="", "", 'AYIRA MINI MART FINAL MENU - Pr'!G84)</f>
        <v/>
      </c>
      <c r="H84" s="56" t="str">
        <f>IF('AYIRA MINI MART FINAL MENU - Pr'!H84="", "", 'AYIRA MINI MART FINAL MENU - Pr'!H84)</f>
        <v/>
      </c>
      <c r="I84" s="56" t="str">
        <f>IF('AYIRA MINI MART FINAL MENU - Pr'!I84="", "", 'AYIRA MINI MART FINAL MENU - Pr'!I84)</f>
        <v/>
      </c>
      <c r="J84" s="56" t="str">
        <f>IFERROR(__xludf.DUMMYFUNCTION("IF('AYIRA MINI MART FINAL MENU - Pr'!J84="""", """", GOOGLETRANSLATE('AYIRA MINI MART FINAL MENU - Pr'!J84, ""en"", ""ar""))"),"يعرض")</f>
        <v>يعرض</v>
      </c>
      <c r="K84" s="56" t="str">
        <f>IF('AYIRA MINI MART FINAL MENU - Pr'!K84="", "", 'AYIRA MINI MART FINAL MENU - Pr'!K84)</f>
        <v/>
      </c>
      <c r="L84" s="56" t="str">
        <f>IF('AYIRA MINI MART FINAL MENU - Pr'!L84="", "", 'AYIRA MINI MART FINAL MENU - Pr'!L84)</f>
        <v/>
      </c>
      <c r="M84" s="56" t="str">
        <f>IF('AYIRA MINI MART FINAL MENU - Pr'!M84="", "", 'AYIRA MINI MART FINAL MENU - Pr'!M84)</f>
        <v/>
      </c>
      <c r="N84" s="56" t="str">
        <f>IF('AYIRA MINI MART FINAL MENU - Pr'!N84="", "", 'AYIRA MINI MART FINAL MENU - Pr'!N84)</f>
        <v/>
      </c>
      <c r="O84" s="57"/>
      <c r="P84" s="57"/>
      <c r="Q84" s="57"/>
      <c r="R84" s="57"/>
      <c r="S84" s="57"/>
      <c r="T84" s="57"/>
      <c r="U84" s="57"/>
      <c r="V84" s="57"/>
      <c r="W84" s="57"/>
      <c r="X84" s="57"/>
      <c r="Y84" s="57"/>
      <c r="Z84" s="57"/>
    </row>
    <row r="85">
      <c r="A85" s="56" t="str">
        <f>IFERROR(__xludf.DUMMYFUNCTION("IF('AYIRA MINI MART FINAL MENU - Pr'!A85="""", """", IF(LEN(TRIM(REGEXREPLACE(REGEXREPLACE('AYIRA MINI MART FINAL MENU - Pr'!A85, ""^[^\x{0600}-\x{06FF}]+"", """"), ""^[-–\s]+"", """")))&gt;0, TRIM(REGEXREPLACE(REGEXREPLACE('AYIRA MINI MART FINAL MENU - Pr'!"&amp;"A85, ""^[^\x{0600}-\x{06FF}]+"", """"), ""^[-–\s]+"", """")), GOOGLETRANSLATE('AYIRA MINI MART FINAL MENU - Pr'!A85, ""en"", ""ar"")))"),"بيبسي زيرو سكر 330 مل")</f>
        <v>بيبسي زيرو سكر 330 مل</v>
      </c>
      <c r="B85" s="56" t="str">
        <f>IFERROR(__xludf.DUMMYFUNCTION("IF('AYIRA MINI MART FINAL MENU - Pr'!B85="""", """", IF(LEN(TRIM(REGEXREPLACE(REGEXREPLACE('AYIRA MINI MART FINAL MENU - Pr'!B85, ""^[^\x{0600}-\x{06FF}]+"", """"), ""^[-–\s]+"", """")))&gt;0, TRIM(REGEXREPLACE(REGEXREPLACE('AYIRA MINI MART FINAL MENU - Pr'!"&amp;"B85, ""^[^\x{0600}-\x{06FF}]+"", """"), ""^[-–\s]+"", """")), GOOGLETRANSLATE('AYIRA MINI MART FINAL MENU - Pr'!B85, ""en"", ""ar"")))"),"المشروبات الغازية")</f>
        <v>المشروبات الغازية</v>
      </c>
      <c r="C85" s="58">
        <f>IF('AYIRA MINI MART FINAL MENU - Pr'!C85="", "", 'AYIRA MINI MART FINAL MENU - Pr'!C85)</f>
        <v>2.5</v>
      </c>
      <c r="D85" s="58" t="str">
        <f>IF('AYIRA MINI MART FINAL MENU - Pr'!D85="", "", 'AYIRA MINI MART FINAL MENU - Pr'!D85)</f>
        <v>استمتع بـ بيبسي،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5" s="56" t="str">
        <f>IF('AYIRA MINI MART FINAL MENU - Pr'!E85="", "", 'AYIRA MINI MART FINAL MENU - Pr'!E85)</f>
        <v/>
      </c>
      <c r="F85" s="56" t="str">
        <f>IF('AYIRA MINI MART FINAL MENU - Pr'!F85="", "", 'AYIRA MINI MART FINAL MENU - Pr'!F85)</f>
        <v/>
      </c>
      <c r="G85" s="56" t="str">
        <f>IF('AYIRA MINI MART FINAL MENU - Pr'!G85="", "", 'AYIRA MINI MART FINAL MENU - Pr'!G85)</f>
        <v/>
      </c>
      <c r="H85" s="56" t="str">
        <f>IF('AYIRA MINI MART FINAL MENU - Pr'!H85="", "", 'AYIRA MINI MART FINAL MENU - Pr'!H85)</f>
        <v/>
      </c>
      <c r="I85" s="56" t="str">
        <f>IF('AYIRA MINI MART FINAL MENU - Pr'!I85="", "", 'AYIRA MINI MART FINAL MENU - Pr'!I85)</f>
        <v/>
      </c>
      <c r="J85" s="56" t="str">
        <f>IFERROR(__xludf.DUMMYFUNCTION("IF('AYIRA MINI MART FINAL MENU - Pr'!J85="""", """", GOOGLETRANSLATE('AYIRA MINI MART FINAL MENU - Pr'!J85, ""en"", ""ar""))"),"يعرض")</f>
        <v>يعرض</v>
      </c>
      <c r="K85" s="56" t="str">
        <f>IF('AYIRA MINI MART FINAL MENU - Pr'!K85="", "", 'AYIRA MINI MART FINAL MENU - Pr'!K85)</f>
        <v/>
      </c>
      <c r="L85" s="56" t="str">
        <f>IF('AYIRA MINI MART FINAL MENU - Pr'!L85="", "", 'AYIRA MINI MART FINAL MENU - Pr'!L85)</f>
        <v/>
      </c>
      <c r="M85" s="56" t="str">
        <f>IF('AYIRA MINI MART FINAL MENU - Pr'!M85="", "", 'AYIRA MINI MART FINAL MENU - Pr'!M85)</f>
        <v/>
      </c>
      <c r="N85" s="56" t="str">
        <f>IF('AYIRA MINI MART FINAL MENU - Pr'!N85="", "", 'AYIRA MINI MART FINAL MENU - Pr'!N85)</f>
        <v/>
      </c>
      <c r="O85" s="57"/>
      <c r="P85" s="57"/>
      <c r="Q85" s="57"/>
      <c r="R85" s="57"/>
      <c r="S85" s="57"/>
      <c r="T85" s="57"/>
      <c r="U85" s="57"/>
      <c r="V85" s="57"/>
      <c r="W85" s="57"/>
      <c r="X85" s="57"/>
      <c r="Y85" s="57"/>
      <c r="Z85" s="57"/>
    </row>
    <row r="86">
      <c r="A86" s="56" t="str">
        <f>IFERROR(__xludf.DUMMYFUNCTION("IF('AYIRA MINI MART FINAL MENU - Pr'!A86="""", """", IF(LEN(TRIM(REGEXREPLACE(REGEXREPLACE('AYIRA MINI MART FINAL MENU - Pr'!A86, ""^[^\x{0600}-\x{06FF}]+"", """"), ""^[-–\s]+"", """")))&gt;0, TRIM(REGEXREPLACE(REGEXREPLACE('AYIRA MINI MART FINAL MENU - Pr'!"&amp;"A86, ""^[^\x{0600}-\x{06FF}]+"", """"), ""^[-–\s]+"", """")), GOOGLETRANSLATE('AYIRA MINI MART FINAL MENU - Pr'!A86, ""en"", ""ar"")))"),"شاني Fruit Flavoured مشروب 330 مل")</f>
        <v>شاني Fruit Flavoured مشروب 330 مل</v>
      </c>
      <c r="B86" s="56" t="str">
        <f>IFERROR(__xludf.DUMMYFUNCTION("IF('AYIRA MINI MART FINAL MENU - Pr'!B86="""", """", IF(LEN(TRIM(REGEXREPLACE(REGEXREPLACE('AYIRA MINI MART FINAL MENU - Pr'!B86, ""^[^\x{0600}-\x{06FF}]+"", """"), ""^[-–\s]+"", """")))&gt;0, TRIM(REGEXREPLACE(REGEXREPLACE('AYIRA MINI MART FINAL MENU - Pr'!"&amp;"B86, ""^[^\x{0600}-\x{06FF}]+"", """"), ""^[-–\s]+"", """")), GOOGLETRANSLATE('AYIRA MINI MART FINAL MENU - Pr'!B86, ""en"", ""ar"")))"),"المشروبات الغازية")</f>
        <v>المشروبات الغازية</v>
      </c>
      <c r="C86" s="58">
        <f>IF('AYIRA MINI MART FINAL MENU - Pr'!C86="", "", 'AYIRA MINI MART FINAL MENU - Pr'!C86)</f>
        <v>2.5</v>
      </c>
      <c r="D86" s="58" t="str">
        <f>IF('AYIRA MINI MART FINAL MENU - Pr'!D86="", "", 'AYIRA MINI MART FINAL MENU - Pr'!D86)</f>
        <v>استمتع بـ شاني،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6" s="56" t="str">
        <f>IF('AYIRA MINI MART FINAL MENU - Pr'!E86="", "", 'AYIRA MINI MART FINAL MENU - Pr'!E86)</f>
        <v/>
      </c>
      <c r="F86" s="56" t="str">
        <f>IF('AYIRA MINI MART FINAL MENU - Pr'!F86="", "", 'AYIRA MINI MART FINAL MENU - Pr'!F86)</f>
        <v/>
      </c>
      <c r="G86" s="56" t="str">
        <f>IF('AYIRA MINI MART FINAL MENU - Pr'!G86="", "", 'AYIRA MINI MART FINAL MENU - Pr'!G86)</f>
        <v/>
      </c>
      <c r="H86" s="56" t="str">
        <f>IF('AYIRA MINI MART FINAL MENU - Pr'!H86="", "", 'AYIRA MINI MART FINAL MENU - Pr'!H86)</f>
        <v/>
      </c>
      <c r="I86" s="56" t="str">
        <f>IF('AYIRA MINI MART FINAL MENU - Pr'!I86="", "", 'AYIRA MINI MART FINAL MENU - Pr'!I86)</f>
        <v/>
      </c>
      <c r="J86" s="56" t="str">
        <f>IFERROR(__xludf.DUMMYFUNCTION("IF('AYIRA MINI MART FINAL MENU - Pr'!J86="""", """", GOOGLETRANSLATE('AYIRA MINI MART FINAL MENU - Pr'!J86, ""en"", ""ar""))"),"يعرض")</f>
        <v>يعرض</v>
      </c>
      <c r="K86" s="56" t="str">
        <f>IF('AYIRA MINI MART FINAL MENU - Pr'!K86="", "", 'AYIRA MINI MART FINAL MENU - Pr'!K86)</f>
        <v/>
      </c>
      <c r="L86" s="56" t="str">
        <f>IF('AYIRA MINI MART FINAL MENU - Pr'!L86="", "", 'AYIRA MINI MART FINAL MENU - Pr'!L86)</f>
        <v/>
      </c>
      <c r="M86" s="56" t="str">
        <f>IF('AYIRA MINI MART FINAL MENU - Pr'!M86="", "", 'AYIRA MINI MART FINAL MENU - Pr'!M86)</f>
        <v/>
      </c>
      <c r="N86" s="56" t="str">
        <f>IF('AYIRA MINI MART FINAL MENU - Pr'!N86="", "", 'AYIRA MINI MART FINAL MENU - Pr'!N86)</f>
        <v/>
      </c>
      <c r="O86" s="57"/>
      <c r="P86" s="57"/>
      <c r="Q86" s="57"/>
      <c r="R86" s="57"/>
      <c r="S86" s="57"/>
      <c r="T86" s="57"/>
      <c r="U86" s="57"/>
      <c r="V86" s="57"/>
      <c r="W86" s="57"/>
      <c r="X86" s="57"/>
      <c r="Y86" s="57"/>
      <c r="Z86" s="57"/>
    </row>
    <row r="87">
      <c r="A87" s="56" t="str">
        <f>IFERROR(__xludf.DUMMYFUNCTION("IF('AYIRA MINI MART FINAL MENU - Pr'!A87="""", """", IF(LEN(TRIM(REGEXREPLACE(REGEXREPLACE('AYIRA MINI MART FINAL MENU - Pr'!A87, ""^[^\x{0600}-\x{06FF}]+"", """"), ""^[-–\s]+"", """")))&gt;0, TRIM(REGEXREPLACE(REGEXREPLACE('AYIRA MINI MART FINAL MENU - Pr'!"&amp;"A87, ""^[^\x{0600}-\x{06FF}]+"", """"), ""^[-–\s]+"", """")), GOOGLETRANSLATE('AYIRA MINI MART FINAL MENU - Pr'!A87, ""en"", ""ar"")))"),"ماونتن ديو زيرو سكر 330 مل")</f>
        <v>ماونتن ديو زيرو سكر 330 مل</v>
      </c>
      <c r="B87" s="56" t="str">
        <f>IFERROR(__xludf.DUMMYFUNCTION("IF('AYIRA MINI MART FINAL MENU - Pr'!B87="""", """", IF(LEN(TRIM(REGEXREPLACE(REGEXREPLACE('AYIRA MINI MART FINAL MENU - Pr'!B87, ""^[^\x{0600}-\x{06FF}]+"", """"), ""^[-–\s]+"", """")))&gt;0, TRIM(REGEXREPLACE(REGEXREPLACE('AYIRA MINI MART FINAL MENU - Pr'!"&amp;"B87, ""^[^\x{0600}-\x{06FF}]+"", """"), ""^[-–\s]+"", """")), GOOGLETRANSLATE('AYIRA MINI MART FINAL MENU - Pr'!B87, ""en"", ""ar"")))"),"المشروبات الغازية")</f>
        <v>المشروبات الغازية</v>
      </c>
      <c r="C87" s="58">
        <f>IF('AYIRA MINI MART FINAL MENU - Pr'!C87="", "", 'AYIRA MINI MART FINAL MENU - Pr'!C87)</f>
        <v>2.5</v>
      </c>
      <c r="D87" s="58" t="str">
        <f>IF('AYIRA MINI MART FINAL MENU - Pr'!D87="", "", 'AYIRA MINI MART FINAL MENU - Pr'!D87)</f>
        <v>استمتع بـ ماونتن ديو،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7" s="56" t="str">
        <f>IF('AYIRA MINI MART FINAL MENU - Pr'!E87="", "", 'AYIRA MINI MART FINAL MENU - Pr'!E87)</f>
        <v/>
      </c>
      <c r="F87" s="56" t="str">
        <f>IF('AYIRA MINI MART FINAL MENU - Pr'!F87="", "", 'AYIRA MINI MART FINAL MENU - Pr'!F87)</f>
        <v/>
      </c>
      <c r="G87" s="56" t="str">
        <f>IF('AYIRA MINI MART FINAL MENU - Pr'!G87="", "", 'AYIRA MINI MART FINAL MENU - Pr'!G87)</f>
        <v/>
      </c>
      <c r="H87" s="56" t="str">
        <f>IF('AYIRA MINI MART FINAL MENU - Pr'!H87="", "", 'AYIRA MINI MART FINAL MENU - Pr'!H87)</f>
        <v/>
      </c>
      <c r="I87" s="56" t="str">
        <f>IF('AYIRA MINI MART FINAL MENU - Pr'!I87="", "", 'AYIRA MINI MART FINAL MENU - Pr'!I87)</f>
        <v/>
      </c>
      <c r="J87" s="56" t="str">
        <f>IFERROR(__xludf.DUMMYFUNCTION("IF('AYIRA MINI MART FINAL MENU - Pr'!J87="""", """", GOOGLETRANSLATE('AYIRA MINI MART FINAL MENU - Pr'!J87, ""en"", ""ar""))"),"يعرض")</f>
        <v>يعرض</v>
      </c>
      <c r="K87" s="56" t="str">
        <f>IF('AYIRA MINI MART FINAL MENU - Pr'!K87="", "", 'AYIRA MINI MART FINAL MENU - Pr'!K87)</f>
        <v/>
      </c>
      <c r="L87" s="56" t="str">
        <f>IF('AYIRA MINI MART FINAL MENU - Pr'!L87="", "", 'AYIRA MINI MART FINAL MENU - Pr'!L87)</f>
        <v/>
      </c>
      <c r="M87" s="56" t="str">
        <f>IF('AYIRA MINI MART FINAL MENU - Pr'!M87="", "", 'AYIRA MINI MART FINAL MENU - Pr'!M87)</f>
        <v/>
      </c>
      <c r="N87" s="56" t="str">
        <f>IF('AYIRA MINI MART FINAL MENU - Pr'!N87="", "", 'AYIRA MINI MART FINAL MENU - Pr'!N87)</f>
        <v/>
      </c>
      <c r="O87" s="57"/>
      <c r="P87" s="57"/>
      <c r="Q87" s="57"/>
      <c r="R87" s="57"/>
      <c r="S87" s="57"/>
      <c r="T87" s="57"/>
      <c r="U87" s="57"/>
      <c r="V87" s="57"/>
      <c r="W87" s="57"/>
      <c r="X87" s="57"/>
      <c r="Y87" s="57"/>
      <c r="Z87" s="57"/>
    </row>
    <row r="88">
      <c r="A88" s="56" t="str">
        <f>IFERROR(__xludf.DUMMYFUNCTION("IF('AYIRA MINI MART FINAL MENU - Pr'!A88="""", """", IF(LEN(TRIM(REGEXREPLACE(REGEXREPLACE('AYIRA MINI MART FINAL MENU - Pr'!A88, ""^[^\x{0600}-\x{06FF}]+"", """"), ""^[-–\s]+"", """")))&gt;0, TRIM(REGEXREPLACE(REGEXREPLACE('AYIRA MINI MART FINAL MENU - Pr'!"&amp;"A88, ""^[^\x{0600}-\x{06FF}]+"", """"), ""^[-–\s]+"", """")), GOOGLETRANSLATE('AYIRA MINI MART FINAL MENU - Pr'!A88, ""en"", ""ar"")))"),"سفن أب زيرو سكر 330 مل")</f>
        <v>سفن أب زيرو سكر 330 مل</v>
      </c>
      <c r="B88" s="56" t="str">
        <f>IFERROR(__xludf.DUMMYFUNCTION("IF('AYIRA MINI MART FINAL MENU - Pr'!B88="""", """", IF(LEN(TRIM(REGEXREPLACE(REGEXREPLACE('AYIRA MINI MART FINAL MENU - Pr'!B88, ""^[^\x{0600}-\x{06FF}]+"", """"), ""^[-–\s]+"", """")))&gt;0, TRIM(REGEXREPLACE(REGEXREPLACE('AYIRA MINI MART FINAL MENU - Pr'!"&amp;"B88, ""^[^\x{0600}-\x{06FF}]+"", """"), ""^[-–\s]+"", """")), GOOGLETRANSLATE('AYIRA MINI MART FINAL MENU - Pr'!B88, ""en"", ""ar"")))"),"المشروبات الغازية")</f>
        <v>المشروبات الغازية</v>
      </c>
      <c r="C88" s="58">
        <f>IF('AYIRA MINI MART FINAL MENU - Pr'!C88="", "", 'AYIRA MINI MART FINAL MENU - Pr'!C88)</f>
        <v>2.5</v>
      </c>
      <c r="D88" s="58" t="str">
        <f>IF('AYIRA MINI MART FINAL MENU - Pr'!D88="", "", 'AYIRA MINI MART FINAL MENU - Pr'!D88)</f>
        <v>استمتع بـ إكسترا،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8" s="56" t="str">
        <f>IF('AYIRA MINI MART FINAL MENU - Pr'!E88="", "", 'AYIRA MINI MART FINAL MENU - Pr'!E88)</f>
        <v/>
      </c>
      <c r="F88" s="56" t="str">
        <f>IF('AYIRA MINI MART FINAL MENU - Pr'!F88="", "", 'AYIRA MINI MART FINAL MENU - Pr'!F88)</f>
        <v/>
      </c>
      <c r="G88" s="56" t="str">
        <f>IF('AYIRA MINI MART FINAL MENU - Pr'!G88="", "", 'AYIRA MINI MART FINAL MENU - Pr'!G88)</f>
        <v/>
      </c>
      <c r="H88" s="56" t="str">
        <f>IF('AYIRA MINI MART FINAL MENU - Pr'!H88="", "", 'AYIRA MINI MART FINAL MENU - Pr'!H88)</f>
        <v/>
      </c>
      <c r="I88" s="56" t="str">
        <f>IF('AYIRA MINI MART FINAL MENU - Pr'!I88="", "", 'AYIRA MINI MART FINAL MENU - Pr'!I88)</f>
        <v/>
      </c>
      <c r="J88" s="56" t="str">
        <f>IFERROR(__xludf.DUMMYFUNCTION("IF('AYIRA MINI MART FINAL MENU - Pr'!J88="""", """", GOOGLETRANSLATE('AYIRA MINI MART FINAL MENU - Pr'!J88, ""en"", ""ar""))"),"يعرض")</f>
        <v>يعرض</v>
      </c>
      <c r="K88" s="56" t="str">
        <f>IF('AYIRA MINI MART FINAL MENU - Pr'!K88="", "", 'AYIRA MINI MART FINAL MENU - Pr'!K88)</f>
        <v/>
      </c>
      <c r="L88" s="56" t="str">
        <f>IF('AYIRA MINI MART FINAL MENU - Pr'!L88="", "", 'AYIRA MINI MART FINAL MENU - Pr'!L88)</f>
        <v/>
      </c>
      <c r="M88" s="56" t="str">
        <f>IF('AYIRA MINI MART FINAL MENU - Pr'!M88="", "", 'AYIRA MINI MART FINAL MENU - Pr'!M88)</f>
        <v/>
      </c>
      <c r="N88" s="56" t="str">
        <f>IF('AYIRA MINI MART FINAL MENU - Pr'!N88="", "", 'AYIRA MINI MART FINAL MENU - Pr'!N88)</f>
        <v/>
      </c>
      <c r="O88" s="57"/>
      <c r="P88" s="57"/>
      <c r="Q88" s="57"/>
      <c r="R88" s="57"/>
      <c r="S88" s="57"/>
      <c r="T88" s="57"/>
      <c r="U88" s="57"/>
      <c r="V88" s="57"/>
      <c r="W88" s="57"/>
      <c r="X88" s="57"/>
      <c r="Y88" s="57"/>
      <c r="Z88" s="57"/>
    </row>
    <row r="89">
      <c r="A89" s="56" t="str">
        <f>IFERROR(__xludf.DUMMYFUNCTION("IF('AYIRA MINI MART FINAL MENU - Pr'!A89="""", """", IF(LEN(TRIM(REGEXREPLACE(REGEXREPLACE('AYIRA MINI MART FINAL MENU - Pr'!A89, ""^[^\x{0600}-\x{06FF}]+"", """"), ""^[-–\s]+"", """")))&gt;0, TRIM(REGEXREPLACE(REGEXREPLACE('AYIRA MINI MART FINAL MENU - Pr'!"&amp;"A89, ""^[^\x{0600}-\x{06FF}]+"", """"), ""^[-–\s]+"", """")), GOOGLETRANSLATE('AYIRA MINI MART FINAL MENU - Pr'!A89, ""en"", ""ar"")))"),"بيبسي 330 مل")</f>
        <v>بيبسي 330 مل</v>
      </c>
      <c r="B89" s="56" t="str">
        <f>IFERROR(__xludf.DUMMYFUNCTION("IF('AYIRA MINI MART FINAL MENU - Pr'!B89="""", """", IF(LEN(TRIM(REGEXREPLACE(REGEXREPLACE('AYIRA MINI MART FINAL MENU - Pr'!B89, ""^[^\x{0600}-\x{06FF}]+"", """"), ""^[-–\s]+"", """")))&gt;0, TRIM(REGEXREPLACE(REGEXREPLACE('AYIRA MINI MART FINAL MENU - Pr'!"&amp;"B89, ""^[^\x{0600}-\x{06FF}]+"", """"), ""^[-–\s]+"", """")), GOOGLETRANSLATE('AYIRA MINI MART FINAL MENU - Pr'!B89, ""en"", ""ar"")))"),"المشروبات الغازية")</f>
        <v>المشروبات الغازية</v>
      </c>
      <c r="C89" s="58">
        <f>IF('AYIRA MINI MART FINAL MENU - Pr'!C89="", "", 'AYIRA MINI MART FINAL MENU - Pr'!C89)</f>
        <v>2</v>
      </c>
      <c r="D89" s="58" t="str">
        <f>IF('AYIRA MINI MART FINAL MENU - Pr'!D89="", "", 'AYIRA MINI MART FINAL MENU - Pr'!D89)</f>
        <v>استمتع بـ بيبسي،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9" s="56" t="str">
        <f>IF('AYIRA MINI MART FINAL MENU - Pr'!E89="", "", 'AYIRA MINI MART FINAL MENU - Pr'!E89)</f>
        <v/>
      </c>
      <c r="F89" s="56" t="str">
        <f>IF('AYIRA MINI MART FINAL MENU - Pr'!F89="", "", 'AYIRA MINI MART FINAL MENU - Pr'!F89)</f>
        <v/>
      </c>
      <c r="G89" s="56" t="str">
        <f>IF('AYIRA MINI MART FINAL MENU - Pr'!G89="", "", 'AYIRA MINI MART FINAL MENU - Pr'!G89)</f>
        <v/>
      </c>
      <c r="H89" s="56" t="str">
        <f>IF('AYIRA MINI MART FINAL MENU - Pr'!H89="", "", 'AYIRA MINI MART FINAL MENU - Pr'!H89)</f>
        <v/>
      </c>
      <c r="I89" s="56" t="str">
        <f>IF('AYIRA MINI MART FINAL MENU - Pr'!I89="", "", 'AYIRA MINI MART FINAL MENU - Pr'!I89)</f>
        <v/>
      </c>
      <c r="J89" s="56" t="str">
        <f>IFERROR(__xludf.DUMMYFUNCTION("IF('AYIRA MINI MART FINAL MENU - Pr'!J89="""", """", GOOGLETRANSLATE('AYIRA MINI MART FINAL MENU - Pr'!J89, ""en"", ""ar""))"),"يعرض")</f>
        <v>يعرض</v>
      </c>
      <c r="K89" s="56" t="str">
        <f>IF('AYIRA MINI MART FINAL MENU - Pr'!K89="", "", 'AYIRA MINI MART FINAL MENU - Pr'!K89)</f>
        <v/>
      </c>
      <c r="L89" s="56" t="str">
        <f>IF('AYIRA MINI MART FINAL MENU - Pr'!L89="", "", 'AYIRA MINI MART FINAL MENU - Pr'!L89)</f>
        <v/>
      </c>
      <c r="M89" s="56" t="str">
        <f>IF('AYIRA MINI MART FINAL MENU - Pr'!M89="", "", 'AYIRA MINI MART FINAL MENU - Pr'!M89)</f>
        <v/>
      </c>
      <c r="N89" s="56" t="str">
        <f>IF('AYIRA MINI MART FINAL MENU - Pr'!N89="", "", 'AYIRA MINI MART FINAL MENU - Pr'!N89)</f>
        <v/>
      </c>
      <c r="O89" s="57"/>
      <c r="P89" s="57"/>
      <c r="Q89" s="57"/>
      <c r="R89" s="57"/>
      <c r="S89" s="57"/>
      <c r="T89" s="57"/>
      <c r="U89" s="57"/>
      <c r="V89" s="57"/>
      <c r="W89" s="57"/>
      <c r="X89" s="57"/>
      <c r="Y89" s="57"/>
      <c r="Z89" s="57"/>
    </row>
    <row r="90">
      <c r="A90" s="56" t="str">
        <f>IFERROR(__xludf.DUMMYFUNCTION("IF('AYIRA MINI MART FINAL MENU - Pr'!A90="""", """", IF(LEN(TRIM(REGEXREPLACE(REGEXREPLACE('AYIRA MINI MART FINAL MENU - Pr'!A90, ""^[^\x{0600}-\x{06FF}]+"", """"), ""^[-–\s]+"", """")))&gt;0, TRIM(REGEXREPLACE(REGEXREPLACE('AYIRA MINI MART FINAL MENU - Pr'!"&amp;"A90, ""^[^\x{0600}-\x{06FF}]+"", """"), ""^[-–\s]+"", """")), GOOGLETRANSLATE('AYIRA MINI MART FINAL MENU - Pr'!A90, ""en"", ""ar"")))"),"ريان 40 Years Together 250 مل")</f>
        <v>ريان 40 Years Together 250 مل</v>
      </c>
      <c r="B90" s="56" t="str">
        <f>IFERROR(__xludf.DUMMYFUNCTION("IF('AYIRA MINI MART FINAL MENU - Pr'!B90="""", """", IF(LEN(TRIM(REGEXREPLACE(REGEXREPLACE('AYIRA MINI MART FINAL MENU - Pr'!B90, ""^[^\x{0600}-\x{06FF}]+"", """"), ""^[-–\s]+"", """")))&gt;0, TRIM(REGEXREPLACE(REGEXREPLACE('AYIRA MINI MART FINAL MENU - Pr'!"&amp;"B90, ""^[^\x{0600}-\x{06FF}]+"", """"), ""^[-–\s]+"", """")), GOOGLETRANSLATE('AYIRA MINI MART FINAL MENU - Pr'!B90, ""en"", ""ar"")))"),"المياه")</f>
        <v>المياه</v>
      </c>
      <c r="C90" s="58">
        <f>IF('AYIRA MINI MART FINAL MENU - Pr'!C90="", "", 'AYIRA MINI MART FINAL MENU - Pr'!C90)</f>
        <v>4.5</v>
      </c>
      <c r="D90" s="58" t="str">
        <f>IF('AYIRA MINI MART FINAL MENU - Pr'!D90="", "", 'AYIRA MINI MART FINAL MENU - Pr'!D90)</f>
        <v>اشرب ريان،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90" s="56" t="str">
        <f>IF('AYIRA MINI MART FINAL MENU - Pr'!E90="", "", 'AYIRA MINI MART FINAL MENU - Pr'!E90)</f>
        <v/>
      </c>
      <c r="F90" s="56" t="str">
        <f>IF('AYIRA MINI MART FINAL MENU - Pr'!F90="", "", 'AYIRA MINI MART FINAL MENU - Pr'!F90)</f>
        <v/>
      </c>
      <c r="G90" s="56" t="str">
        <f>IF('AYIRA MINI MART FINAL MENU - Pr'!G90="", "", 'AYIRA MINI MART FINAL MENU - Pr'!G90)</f>
        <v/>
      </c>
      <c r="H90" s="56" t="str">
        <f>IF('AYIRA MINI MART FINAL MENU - Pr'!H90="", "", 'AYIRA MINI MART FINAL MENU - Pr'!H90)</f>
        <v/>
      </c>
      <c r="I90" s="56" t="str">
        <f>IF('AYIRA MINI MART FINAL MENU - Pr'!I90="", "", 'AYIRA MINI MART FINAL MENU - Pr'!I90)</f>
        <v/>
      </c>
      <c r="J90" s="56" t="str">
        <f>IFERROR(__xludf.DUMMYFUNCTION("IF('AYIRA MINI MART FINAL MENU - Pr'!J90="""", """", GOOGLETRANSLATE('AYIRA MINI MART FINAL MENU - Pr'!J90, ""en"", ""ar""))"),"يعرض")</f>
        <v>يعرض</v>
      </c>
      <c r="K90" s="56" t="str">
        <f>IF('AYIRA MINI MART FINAL MENU - Pr'!K90="", "", 'AYIRA MINI MART FINAL MENU - Pr'!K90)</f>
        <v/>
      </c>
      <c r="L90" s="56" t="str">
        <f>IF('AYIRA MINI MART FINAL MENU - Pr'!L90="", "", 'AYIRA MINI MART FINAL MENU - Pr'!L90)</f>
        <v/>
      </c>
      <c r="M90" s="56" t="str">
        <f>IF('AYIRA MINI MART FINAL MENU - Pr'!M90="", "", 'AYIRA MINI MART FINAL MENU - Pr'!M90)</f>
        <v/>
      </c>
      <c r="N90" s="56" t="str">
        <f>IF('AYIRA MINI MART FINAL MENU - Pr'!N90="", "", 'AYIRA MINI MART FINAL MENU - Pr'!N90)</f>
        <v/>
      </c>
      <c r="O90" s="57"/>
      <c r="P90" s="57"/>
      <c r="Q90" s="57"/>
      <c r="R90" s="57"/>
      <c r="S90" s="57"/>
      <c r="T90" s="57"/>
      <c r="U90" s="57"/>
      <c r="V90" s="57"/>
      <c r="W90" s="57"/>
      <c r="X90" s="57"/>
      <c r="Y90" s="57"/>
      <c r="Z90" s="57"/>
    </row>
    <row r="91">
      <c r="A91" s="56" t="str">
        <f>IFERROR(__xludf.DUMMYFUNCTION("IF('AYIRA MINI MART FINAL MENU - Pr'!A91="""", """", IF(LEN(TRIM(REGEXREPLACE(REGEXREPLACE('AYIRA MINI MART FINAL MENU - Pr'!A91, ""^[^\x{0600}-\x{06FF}]+"", """"), ""^[-–\s]+"", """")))&gt;0, TRIM(REGEXREPLACE(REGEXREPLACE('AYIRA MINI MART FINAL MENU - Pr'!"&amp;"A91, ""^[^\x{0600}-\x{06FF}]+"", """"), ""^[-–\s]+"", """")), GOOGLETRANSLATE('AYIRA MINI MART FINAL MENU - Pr'!A91, ""en"", ""ar"")))"),"طبيعي غازي مياه 200 مل")</f>
        <v>طبيعي غازي مياه 200 مل</v>
      </c>
      <c r="B91" s="56" t="str">
        <f>IFERROR(__xludf.DUMMYFUNCTION("IF('AYIRA MINI MART FINAL MENU - Pr'!B91="""", """", IF(LEN(TRIM(REGEXREPLACE(REGEXREPLACE('AYIRA MINI MART FINAL MENU - Pr'!B91, ""^[^\x{0600}-\x{06FF}]+"", """"), ""^[-–\s]+"", """")))&gt;0, TRIM(REGEXREPLACE(REGEXREPLACE('AYIRA MINI MART FINAL MENU - Pr'!"&amp;"B91, ""^[^\x{0600}-\x{06FF}]+"", """"), ""^[-–\s]+"", """")), GOOGLETRANSLATE('AYIRA MINI MART FINAL MENU - Pr'!B91, ""en"", ""ar"")))"),"المياه")</f>
        <v>المياه</v>
      </c>
      <c r="C91" s="58">
        <f>IF('AYIRA MINI MART FINAL MENU - Pr'!C91="", "", 'AYIRA MINI MART FINAL MENU - Pr'!C91)</f>
        <v>5</v>
      </c>
      <c r="D91" s="58" t="str">
        <f>IF('AYIRA MINI MART FINAL MENU - Pr'!D91="", "", 'AYIRA MINI MART FINAL MENU - Pr'!D91)</f>
        <v>اشرب Perrier Natural Sparkling Water 200ml،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91" s="56" t="str">
        <f>IF('AYIRA MINI MART FINAL MENU - Pr'!E91="", "", 'AYIRA MINI MART FINAL MENU - Pr'!E91)</f>
        <v/>
      </c>
      <c r="F91" s="56" t="str">
        <f>IF('AYIRA MINI MART FINAL MENU - Pr'!F91="", "", 'AYIRA MINI MART FINAL MENU - Pr'!F91)</f>
        <v/>
      </c>
      <c r="G91" s="56" t="str">
        <f>IF('AYIRA MINI MART FINAL MENU - Pr'!G91="", "", 'AYIRA MINI MART FINAL MENU - Pr'!G91)</f>
        <v/>
      </c>
      <c r="H91" s="56" t="str">
        <f>IF('AYIRA MINI MART FINAL MENU - Pr'!H91="", "", 'AYIRA MINI MART FINAL MENU - Pr'!H91)</f>
        <v/>
      </c>
      <c r="I91" s="56" t="str">
        <f>IF('AYIRA MINI MART FINAL MENU - Pr'!I91="", "", 'AYIRA MINI MART FINAL MENU - Pr'!I91)</f>
        <v/>
      </c>
      <c r="J91" s="56" t="str">
        <f>IFERROR(__xludf.DUMMYFUNCTION("IF('AYIRA MINI MART FINAL MENU - Pr'!J91="""", """", GOOGLETRANSLATE('AYIRA MINI MART FINAL MENU - Pr'!J91, ""en"", ""ar""))"),"يعرض")</f>
        <v>يعرض</v>
      </c>
      <c r="K91" s="56" t="str">
        <f>IF('AYIRA MINI MART FINAL MENU - Pr'!K91="", "", 'AYIRA MINI MART FINAL MENU - Pr'!K91)</f>
        <v/>
      </c>
      <c r="L91" s="56" t="str">
        <f>IF('AYIRA MINI MART FINAL MENU - Pr'!L91="", "", 'AYIRA MINI MART FINAL MENU - Pr'!L91)</f>
        <v/>
      </c>
      <c r="M91" s="56" t="str">
        <f>IF('AYIRA MINI MART FINAL MENU - Pr'!M91="", "", 'AYIRA MINI MART FINAL MENU - Pr'!M91)</f>
        <v/>
      </c>
      <c r="N91" s="56" t="str">
        <f>IF('AYIRA MINI MART FINAL MENU - Pr'!N91="", "", 'AYIRA MINI MART FINAL MENU - Pr'!N91)</f>
        <v/>
      </c>
      <c r="O91" s="57"/>
      <c r="P91" s="57"/>
      <c r="Q91" s="57"/>
      <c r="R91" s="57"/>
      <c r="S91" s="57"/>
      <c r="T91" s="57"/>
      <c r="U91" s="57"/>
      <c r="V91" s="57"/>
      <c r="W91" s="57"/>
      <c r="X91" s="57"/>
      <c r="Y91" s="57"/>
      <c r="Z91" s="57"/>
    </row>
    <row r="92">
      <c r="A92" s="56" t="str">
        <f>IFERROR(__xludf.DUMMYFUNCTION("IF('AYIRA MINI MART FINAL MENU - Pr'!A92="""", """", IF(LEN(TRIM(REGEXREPLACE(REGEXREPLACE('AYIRA MINI MART FINAL MENU - Pr'!A92, ""^[^\x{0600}-\x{06FF}]+"", """"), ""^[-–\s]+"", """")))&gt;0, TRIM(REGEXREPLACE(REGEXREPLACE('AYIRA MINI MART FINAL MENU - Pr'!"&amp;"A92, ""^[^\x{0600}-\x{06FF}]+"", """"), ""^[-–\s]+"", """")), GOOGLETRANSLATE('AYIRA MINI MART FINAL MENU - Pr'!A92, ""en"", ""ar"")))"),"فراولة Flavour 250 مل")</f>
        <v>فراولة Flavour 250 مل</v>
      </c>
      <c r="B92" s="56" t="str">
        <f>IFERROR(__xludf.DUMMYFUNCTION("IF('AYIRA MINI MART FINAL MENU - Pr'!B92="""", """", IF(LEN(TRIM(REGEXREPLACE(REGEXREPLACE('AYIRA MINI MART FINAL MENU - Pr'!B92, ""^[^\x{0600}-\x{06FF}]+"", """"), ""^[-–\s]+"", """")))&gt;0, TRIM(REGEXREPLACE(REGEXREPLACE('AYIRA MINI MART FINAL MENU - Pr'!"&amp;"B92, ""^[^\x{0600}-\x{06FF}]+"", """"), ""^[-–\s]+"", """")), GOOGLETRANSLATE('AYIRA MINI MART FINAL MENU - Pr'!B92, ""en"", ""ar"")))"),"المشروبات الغازية")</f>
        <v>المشروبات الغازية</v>
      </c>
      <c r="C92" s="58">
        <f>IF('AYIRA MINI MART FINAL MENU - Pr'!C92="", "", 'AYIRA MINI MART FINAL MENU - Pr'!C92)</f>
        <v>3</v>
      </c>
      <c r="D92" s="58" t="str">
        <f>IF('AYIRA MINI MART FINAL MENU - Pr'!D92="", "", 'AYIRA MINI MART FINAL MENU - Pr'!D92)</f>
        <v>اكتشف Barbican Strawberry Flavour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2" s="56" t="str">
        <f>IF('AYIRA MINI MART FINAL MENU - Pr'!E92="", "", 'AYIRA MINI MART FINAL MENU - Pr'!E92)</f>
        <v/>
      </c>
      <c r="F92" s="56" t="str">
        <f>IF('AYIRA MINI MART FINAL MENU - Pr'!F92="", "", 'AYIRA MINI MART FINAL MENU - Pr'!F92)</f>
        <v/>
      </c>
      <c r="G92" s="56" t="str">
        <f>IF('AYIRA MINI MART FINAL MENU - Pr'!G92="", "", 'AYIRA MINI MART FINAL MENU - Pr'!G92)</f>
        <v/>
      </c>
      <c r="H92" s="56" t="str">
        <f>IF('AYIRA MINI MART FINAL MENU - Pr'!H92="", "", 'AYIRA MINI MART FINAL MENU - Pr'!H92)</f>
        <v/>
      </c>
      <c r="I92" s="56" t="str">
        <f>IF('AYIRA MINI MART FINAL MENU - Pr'!I92="", "", 'AYIRA MINI MART FINAL MENU - Pr'!I92)</f>
        <v/>
      </c>
      <c r="J92" s="56" t="str">
        <f>IFERROR(__xludf.DUMMYFUNCTION("IF('AYIRA MINI MART FINAL MENU - Pr'!J92="""", """", GOOGLETRANSLATE('AYIRA MINI MART FINAL MENU - Pr'!J92, ""en"", ""ar""))"),"يعرض")</f>
        <v>يعرض</v>
      </c>
      <c r="K92" s="56" t="str">
        <f>IF('AYIRA MINI MART FINAL MENU - Pr'!K92="", "", 'AYIRA MINI MART FINAL MENU - Pr'!K92)</f>
        <v/>
      </c>
      <c r="L92" s="56" t="str">
        <f>IF('AYIRA MINI MART FINAL MENU - Pr'!L92="", "", 'AYIRA MINI MART FINAL MENU - Pr'!L92)</f>
        <v/>
      </c>
      <c r="M92" s="56" t="str">
        <f>IF('AYIRA MINI MART FINAL MENU - Pr'!M92="", "", 'AYIRA MINI MART FINAL MENU - Pr'!M92)</f>
        <v/>
      </c>
      <c r="N92" s="56" t="str">
        <f>IF('AYIRA MINI MART FINAL MENU - Pr'!N92="", "", 'AYIRA MINI MART FINAL MENU - Pr'!N92)</f>
        <v/>
      </c>
      <c r="O92" s="57"/>
      <c r="P92" s="57"/>
      <c r="Q92" s="57"/>
      <c r="R92" s="57"/>
      <c r="S92" s="57"/>
      <c r="T92" s="57"/>
      <c r="U92" s="57"/>
      <c r="V92" s="57"/>
      <c r="W92" s="57"/>
      <c r="X92" s="57"/>
      <c r="Y92" s="57"/>
      <c r="Z92" s="57"/>
    </row>
    <row r="93">
      <c r="A93" s="56" t="str">
        <f>IFERROR(__xludf.DUMMYFUNCTION("IF('AYIRA MINI MART FINAL MENU - Pr'!A93="""", """", IF(LEN(TRIM(REGEXREPLACE(REGEXREPLACE('AYIRA MINI MART FINAL MENU - Pr'!A93, ""^[^\x{0600}-\x{06FF}]+"", """"), ""^[-–\s]+"", """")))&gt;0, TRIM(REGEXREPLACE(REGEXREPLACE('AYIRA MINI MART FINAL MENU - Pr'!"&amp;"A93, ""^[^\x{0600}-\x{06FF}]+"", """"), ""^[-–\s]+"", """")), GOOGLETRANSLATE('AYIRA MINI MART FINAL MENU - Pr'!A93, ""en"", ""ar"")))"),"مل")</f>
        <v>مل</v>
      </c>
      <c r="B93" s="56" t="str">
        <f>IFERROR(__xludf.DUMMYFUNCTION("IF('AYIRA MINI MART FINAL MENU - Pr'!B93="""", """", IF(LEN(TRIM(REGEXREPLACE(REGEXREPLACE('AYIRA MINI MART FINAL MENU - Pr'!B93, ""^[^\x{0600}-\x{06FF}]+"", """"), ""^[-–\s]+"", """")))&gt;0, TRIM(REGEXREPLACE(REGEXREPLACE('AYIRA MINI MART FINAL MENU - Pr'!"&amp;"B93, ""^[^\x{0600}-\x{06FF}]+"", """"), ""^[-–\s]+"", """")), GOOGLETRANSLATE('AYIRA MINI MART FINAL MENU - Pr'!B93, ""en"", ""ar"")))"),"المشروبات الغازية")</f>
        <v>المشروبات الغازية</v>
      </c>
      <c r="C93" s="58">
        <f>IF('AYIRA MINI MART FINAL MENU - Pr'!C93="", "", 'AYIRA MINI MART FINAL MENU - Pr'!C93)</f>
        <v>4.5</v>
      </c>
      <c r="D93" s="58" t="str">
        <f>IF('AYIRA MINI MART FINAL MENU - Pr'!D93="", "", 'AYIRA MINI MART FINAL MENU - Pr'!D93)</f>
        <v>اكتشف Barbican Pomegranate Flavour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3" s="56" t="str">
        <f>IF('AYIRA MINI MART FINAL MENU - Pr'!E93="", "", 'AYIRA MINI MART FINAL MENU - Pr'!E93)</f>
        <v/>
      </c>
      <c r="F93" s="56" t="str">
        <f>IF('AYIRA MINI MART FINAL MENU - Pr'!F93="", "", 'AYIRA MINI MART FINAL MENU - Pr'!F93)</f>
        <v/>
      </c>
      <c r="G93" s="56" t="str">
        <f>IF('AYIRA MINI MART FINAL MENU - Pr'!G93="", "", 'AYIRA MINI MART FINAL MENU - Pr'!G93)</f>
        <v/>
      </c>
      <c r="H93" s="56" t="str">
        <f>IF('AYIRA MINI MART FINAL MENU - Pr'!H93="", "", 'AYIRA MINI MART FINAL MENU - Pr'!H93)</f>
        <v/>
      </c>
      <c r="I93" s="56" t="str">
        <f>IF('AYIRA MINI MART FINAL MENU - Pr'!I93="", "", 'AYIRA MINI MART FINAL MENU - Pr'!I93)</f>
        <v/>
      </c>
      <c r="J93" s="56" t="str">
        <f>IFERROR(__xludf.DUMMYFUNCTION("IF('AYIRA MINI MART FINAL MENU - Pr'!J93="""", """", GOOGLETRANSLATE('AYIRA MINI MART FINAL MENU - Pr'!J93, ""en"", ""ar""))"),"يعرض")</f>
        <v>يعرض</v>
      </c>
      <c r="K93" s="56" t="str">
        <f>IF('AYIRA MINI MART FINAL MENU - Pr'!K93="", "", 'AYIRA MINI MART FINAL MENU - Pr'!K93)</f>
        <v/>
      </c>
      <c r="L93" s="56" t="str">
        <f>IF('AYIRA MINI MART FINAL MENU - Pr'!L93="", "", 'AYIRA MINI MART FINAL MENU - Pr'!L93)</f>
        <v/>
      </c>
      <c r="M93" s="56" t="str">
        <f>IF('AYIRA MINI MART FINAL MENU - Pr'!M93="", "", 'AYIRA MINI MART FINAL MENU - Pr'!M93)</f>
        <v/>
      </c>
      <c r="N93" s="56" t="str">
        <f>IF('AYIRA MINI MART FINAL MENU - Pr'!N93="", "", 'AYIRA MINI MART FINAL MENU - Pr'!N93)</f>
        <v/>
      </c>
      <c r="O93" s="57"/>
      <c r="P93" s="57"/>
      <c r="Q93" s="57"/>
      <c r="R93" s="57"/>
      <c r="S93" s="57"/>
      <c r="T93" s="57"/>
      <c r="U93" s="57"/>
      <c r="V93" s="57"/>
      <c r="W93" s="57"/>
      <c r="X93" s="57"/>
      <c r="Y93" s="57"/>
      <c r="Z93" s="57"/>
    </row>
    <row r="94">
      <c r="A94" s="56" t="str">
        <f>IFERROR(__xludf.DUMMYFUNCTION("IF('AYIRA MINI MART FINAL MENU - Pr'!A94="""", """", IF(LEN(TRIM(REGEXREPLACE(REGEXREPLACE('AYIRA MINI MART FINAL MENU - Pr'!A94, ""^[^\x{0600}-\x{06FF}]+"", """"), ""^[-–\s]+"", """")))&gt;0, TRIM(REGEXREPLACE(REGEXREPLACE('AYIRA MINI MART FINAL MENU - Pr'!"&amp;"A94, ""^[^\x{0600}-\x{06FF}]+"", """"), ""^[-–\s]+"", """")), GOOGLETRANSLATE('AYIRA MINI MART FINAL MENU - Pr'!A94, ""en"", ""ar"")))"),"تفاح Flavour 250 مل")</f>
        <v>تفاح Flavour 250 مل</v>
      </c>
      <c r="B94" s="56" t="str">
        <f>IFERROR(__xludf.DUMMYFUNCTION("IF('AYIRA MINI MART FINAL MENU - Pr'!B94="""", """", IF(LEN(TRIM(REGEXREPLACE(REGEXREPLACE('AYIRA MINI MART FINAL MENU - Pr'!B94, ""^[^\x{0600}-\x{06FF}]+"", """"), ""^[-–\s]+"", """")))&gt;0, TRIM(REGEXREPLACE(REGEXREPLACE('AYIRA MINI MART FINAL MENU - Pr'!"&amp;"B94, ""^[^\x{0600}-\x{06FF}]+"", """"), ""^[-–\s]+"", """")), GOOGLETRANSLATE('AYIRA MINI MART FINAL MENU - Pr'!B94, ""en"", ""ar"")))"),"المشروبات الغازية")</f>
        <v>المشروبات الغازية</v>
      </c>
      <c r="C94" s="58">
        <f>IF('AYIRA MINI MART FINAL MENU - Pr'!C94="", "", 'AYIRA MINI MART FINAL MENU - Pr'!C94)</f>
        <v>3</v>
      </c>
      <c r="D94" s="58" t="str">
        <f>IF('AYIRA MINI MART FINAL MENU - Pr'!D94="", "", 'AYIRA MINI MART FINAL MENU - Pr'!D94)</f>
        <v>اكتشف Barbican Apple Flavour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4" s="56" t="str">
        <f>IF('AYIRA MINI MART FINAL MENU - Pr'!E94="", "", 'AYIRA MINI MART FINAL MENU - Pr'!E94)</f>
        <v/>
      </c>
      <c r="F94" s="56" t="str">
        <f>IF('AYIRA MINI MART FINAL MENU - Pr'!F94="", "", 'AYIRA MINI MART FINAL MENU - Pr'!F94)</f>
        <v/>
      </c>
      <c r="G94" s="56" t="str">
        <f>IF('AYIRA MINI MART FINAL MENU - Pr'!G94="", "", 'AYIRA MINI MART FINAL MENU - Pr'!G94)</f>
        <v/>
      </c>
      <c r="H94" s="56" t="str">
        <f>IF('AYIRA MINI MART FINAL MENU - Pr'!H94="", "", 'AYIRA MINI MART FINAL MENU - Pr'!H94)</f>
        <v/>
      </c>
      <c r="I94" s="56" t="str">
        <f>IF('AYIRA MINI MART FINAL MENU - Pr'!I94="", "", 'AYIRA MINI MART FINAL MENU - Pr'!I94)</f>
        <v/>
      </c>
      <c r="J94" s="56" t="str">
        <f>IFERROR(__xludf.DUMMYFUNCTION("IF('AYIRA MINI MART FINAL MENU - Pr'!J94="""", """", GOOGLETRANSLATE('AYIRA MINI MART FINAL MENU - Pr'!J94, ""en"", ""ar""))"),"يعرض")</f>
        <v>يعرض</v>
      </c>
      <c r="K94" s="56" t="str">
        <f>IF('AYIRA MINI MART FINAL MENU - Pr'!K94="", "", 'AYIRA MINI MART FINAL MENU - Pr'!K94)</f>
        <v/>
      </c>
      <c r="L94" s="56" t="str">
        <f>IF('AYIRA MINI MART FINAL MENU - Pr'!L94="", "", 'AYIRA MINI MART FINAL MENU - Pr'!L94)</f>
        <v/>
      </c>
      <c r="M94" s="56" t="str">
        <f>IF('AYIRA MINI MART FINAL MENU - Pr'!M94="", "", 'AYIRA MINI MART FINAL MENU - Pr'!M94)</f>
        <v/>
      </c>
      <c r="N94" s="56" t="str">
        <f>IF('AYIRA MINI MART FINAL MENU - Pr'!N94="", "", 'AYIRA MINI MART FINAL MENU - Pr'!N94)</f>
        <v/>
      </c>
      <c r="O94" s="57"/>
      <c r="P94" s="57"/>
      <c r="Q94" s="57"/>
      <c r="R94" s="57"/>
      <c r="S94" s="57"/>
      <c r="T94" s="57"/>
      <c r="U94" s="57"/>
      <c r="V94" s="57"/>
      <c r="W94" s="57"/>
      <c r="X94" s="57"/>
      <c r="Y94" s="57"/>
      <c r="Z94" s="57"/>
    </row>
    <row r="95">
      <c r="A95" s="56" t="str">
        <f>IFERROR(__xludf.DUMMYFUNCTION("IF('AYIRA MINI MART FINAL MENU - Pr'!A95="""", """", IF(LEN(TRIM(REGEXREPLACE(REGEXREPLACE('AYIRA MINI MART FINAL MENU - Pr'!A95, ""^[^\x{0600}-\x{06FF}]+"", """"), ""^[-–\s]+"", """")))&gt;0, TRIM(REGEXREPLACE(REGEXREPLACE('AYIRA MINI MART FINAL MENU - Pr'!"&amp;"A95, ""^[^\x{0600}-\x{06FF}]+"", """"), ""^[-–\s]+"", """")), GOOGLETRANSLATE('AYIRA MINI MART FINAL MENU - Pr'!A95, ""en"", ""ar"")))"),"كلاسيك Malt 250 مل")</f>
        <v>كلاسيك Malt 250 مل</v>
      </c>
      <c r="B95" s="56" t="str">
        <f>IFERROR(__xludf.DUMMYFUNCTION("IF('AYIRA MINI MART FINAL MENU - Pr'!B95="""", """", IF(LEN(TRIM(REGEXREPLACE(REGEXREPLACE('AYIRA MINI MART FINAL MENU - Pr'!B95, ""^[^\x{0600}-\x{06FF}]+"", """"), ""^[-–\s]+"", """")))&gt;0, TRIM(REGEXREPLACE(REGEXREPLACE('AYIRA MINI MART FINAL MENU - Pr'!"&amp;"B95, ""^[^\x{0600}-\x{06FF}]+"", """"), ""^[-–\s]+"", """")), GOOGLETRANSLATE('AYIRA MINI MART FINAL MENU - Pr'!B95, ""en"", ""ar"")))"),"المشروبات الغازية")</f>
        <v>المشروبات الغازية</v>
      </c>
      <c r="C95" s="58">
        <f>IF('AYIRA MINI MART FINAL MENU - Pr'!C95="", "", 'AYIRA MINI MART FINAL MENU - Pr'!C95)</f>
        <v>3</v>
      </c>
      <c r="D95" s="58" t="str">
        <f>IF('AYIRA MINI MART FINAL MENU - Pr'!D95="", "", 'AYIRA MINI MART FINAL MENU - Pr'!D95)</f>
        <v>اكتشف Barbican Classic Malt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5" s="56" t="str">
        <f>IF('AYIRA MINI MART FINAL MENU - Pr'!E95="", "", 'AYIRA MINI MART FINAL MENU - Pr'!E95)</f>
        <v/>
      </c>
      <c r="F95" s="56" t="str">
        <f>IF('AYIRA MINI MART FINAL MENU - Pr'!F95="", "", 'AYIRA MINI MART FINAL MENU - Pr'!F95)</f>
        <v/>
      </c>
      <c r="G95" s="56" t="str">
        <f>IF('AYIRA MINI MART FINAL MENU - Pr'!G95="", "", 'AYIRA MINI MART FINAL MENU - Pr'!G95)</f>
        <v/>
      </c>
      <c r="H95" s="56" t="str">
        <f>IF('AYIRA MINI MART FINAL MENU - Pr'!H95="", "", 'AYIRA MINI MART FINAL MENU - Pr'!H95)</f>
        <v/>
      </c>
      <c r="I95" s="56" t="str">
        <f>IF('AYIRA MINI MART FINAL MENU - Pr'!I95="", "", 'AYIRA MINI MART FINAL MENU - Pr'!I95)</f>
        <v/>
      </c>
      <c r="J95" s="56" t="str">
        <f>IFERROR(__xludf.DUMMYFUNCTION("IF('AYIRA MINI MART FINAL MENU - Pr'!J95="""", """", GOOGLETRANSLATE('AYIRA MINI MART FINAL MENU - Pr'!J95, ""en"", ""ar""))"),"يعرض")</f>
        <v>يعرض</v>
      </c>
      <c r="K95" s="56" t="str">
        <f>IF('AYIRA MINI MART FINAL MENU - Pr'!K95="", "", 'AYIRA MINI MART FINAL MENU - Pr'!K95)</f>
        <v/>
      </c>
      <c r="L95" s="56" t="str">
        <f>IF('AYIRA MINI MART FINAL MENU - Pr'!L95="", "", 'AYIRA MINI MART FINAL MENU - Pr'!L95)</f>
        <v/>
      </c>
      <c r="M95" s="56" t="str">
        <f>IF('AYIRA MINI MART FINAL MENU - Pr'!M95="", "", 'AYIRA MINI MART FINAL MENU - Pr'!M95)</f>
        <v/>
      </c>
      <c r="N95" s="56" t="str">
        <f>IF('AYIRA MINI MART FINAL MENU - Pr'!N95="", "", 'AYIRA MINI MART FINAL MENU - Pr'!N95)</f>
        <v/>
      </c>
      <c r="O95" s="57"/>
      <c r="P95" s="57"/>
      <c r="Q95" s="57"/>
      <c r="R95" s="57"/>
      <c r="S95" s="57"/>
      <c r="T95" s="57"/>
      <c r="U95" s="57"/>
      <c r="V95" s="57"/>
      <c r="W95" s="57"/>
      <c r="X95" s="57"/>
      <c r="Y95" s="57"/>
      <c r="Z95" s="57"/>
    </row>
    <row r="96">
      <c r="A96" s="56" t="str">
        <f>IFERROR(__xludf.DUMMYFUNCTION("IF('AYIRA MINI MART FINAL MENU - Pr'!A96="""", """", IF(LEN(TRIM(REGEXREPLACE(REGEXREPLACE('AYIRA MINI MART FINAL MENU - Pr'!A96, ""^[^\x{0600}-\x{06FF}]+"", """"), ""^[-–\s]+"", """")))&gt;0, TRIM(REGEXREPLACE(REGEXREPLACE('AYIRA MINI MART FINAL MENU - Pr'!"&amp;"A96, ""^[^\x{0600}-\x{06FF}]+"", """"), ""^[-–\s]+"", """")), GOOGLETRANSLATE('AYIRA MINI MART FINAL MENU - Pr'!A96, ""en"", ""ar"")))"),"مل")</f>
        <v>مل</v>
      </c>
      <c r="B96" s="56" t="str">
        <f>IFERROR(__xludf.DUMMYFUNCTION("IF('AYIRA MINI MART FINAL MENU - Pr'!B96="""", """", IF(LEN(TRIM(REGEXREPLACE(REGEXREPLACE('AYIRA MINI MART FINAL MENU - Pr'!B96, ""^[^\x{0600}-\x{06FF}]+"", """"), ""^[-–\s]+"", """")))&gt;0, TRIM(REGEXREPLACE(REGEXREPLACE('AYIRA MINI MART FINAL MENU - Pr'!"&amp;"B96, ""^[^\x{0600}-\x{06FF}]+"", """"), ""^[-–\s]+"", """")), GOOGLETRANSLATE('AYIRA MINI MART FINAL MENU - Pr'!B96, ""en"", ""ar"")))"),"المشروبات الغازية")</f>
        <v>المشروبات الغازية</v>
      </c>
      <c r="C96" s="58">
        <f>IF('AYIRA MINI MART FINAL MENU - Pr'!C96="", "", 'AYIRA MINI MART FINAL MENU - Pr'!C96)</f>
        <v>2.5</v>
      </c>
      <c r="D96" s="58" t="str">
        <f>IF('AYIRA MINI MART FINAL MENU - Pr'!D96="", "", 'AYIRA MINI MART FINAL MENU - Pr'!D96)</f>
        <v>استمتع بـ Double Cola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96" s="56" t="str">
        <f>IF('AYIRA MINI MART FINAL MENU - Pr'!E96="", "", 'AYIRA MINI MART FINAL MENU - Pr'!E96)</f>
        <v/>
      </c>
      <c r="F96" s="56" t="str">
        <f>IF('AYIRA MINI MART FINAL MENU - Pr'!F96="", "", 'AYIRA MINI MART FINAL MENU - Pr'!F96)</f>
        <v/>
      </c>
      <c r="G96" s="56" t="str">
        <f>IF('AYIRA MINI MART FINAL MENU - Pr'!G96="", "", 'AYIRA MINI MART FINAL MENU - Pr'!G96)</f>
        <v/>
      </c>
      <c r="H96" s="56" t="str">
        <f>IF('AYIRA MINI MART FINAL MENU - Pr'!H96="", "", 'AYIRA MINI MART FINAL MENU - Pr'!H96)</f>
        <v/>
      </c>
      <c r="I96" s="56" t="str">
        <f>IF('AYIRA MINI MART FINAL MENU - Pr'!I96="", "", 'AYIRA MINI MART FINAL MENU - Pr'!I96)</f>
        <v/>
      </c>
      <c r="J96" s="56" t="str">
        <f>IFERROR(__xludf.DUMMYFUNCTION("IF('AYIRA MINI MART FINAL MENU - Pr'!J96="""", """", GOOGLETRANSLATE('AYIRA MINI MART FINAL MENU - Pr'!J96, ""en"", ""ar""))"),"يعرض")</f>
        <v>يعرض</v>
      </c>
      <c r="K96" s="56" t="str">
        <f>IF('AYIRA MINI MART FINAL MENU - Pr'!K96="", "", 'AYIRA MINI MART FINAL MENU - Pr'!K96)</f>
        <v/>
      </c>
      <c r="L96" s="56" t="str">
        <f>IF('AYIRA MINI MART FINAL MENU - Pr'!L96="", "", 'AYIRA MINI MART FINAL MENU - Pr'!L96)</f>
        <v/>
      </c>
      <c r="M96" s="56" t="str">
        <f>IF('AYIRA MINI MART FINAL MENU - Pr'!M96="", "", 'AYIRA MINI MART FINAL MENU - Pr'!M96)</f>
        <v/>
      </c>
      <c r="N96" s="56" t="str">
        <f>IF('AYIRA MINI MART FINAL MENU - Pr'!N96="", "", 'AYIRA MINI MART FINAL MENU - Pr'!N96)</f>
        <v/>
      </c>
      <c r="O96" s="57"/>
      <c r="P96" s="57"/>
      <c r="Q96" s="57"/>
      <c r="R96" s="57"/>
      <c r="S96" s="57"/>
      <c r="T96" s="57"/>
      <c r="U96" s="57"/>
      <c r="V96" s="57"/>
      <c r="W96" s="57"/>
      <c r="X96" s="57"/>
      <c r="Y96" s="57"/>
      <c r="Z96" s="57"/>
    </row>
    <row r="97">
      <c r="A97" s="56" t="str">
        <f>IFERROR(__xludf.DUMMYFUNCTION("IF('AYIRA MINI MART FINAL MENU - Pr'!A97="""", """", IF(LEN(TRIM(REGEXREPLACE(REGEXREPLACE('AYIRA MINI MART FINAL MENU - Pr'!A97, ""^[^\x{0600}-\x{06FF}]+"", """"), ""^[-–\s]+"", """")))&gt;0, TRIM(REGEXREPLACE(REGEXREPLACE('AYIRA MINI MART FINAL MENU - Pr'!"&amp;"A97, ""^[^\x{0600}-\x{06FF}]+"", """"), ""^[-–\s]+"", """")), GOOGLETRANSLATE('AYIRA MINI MART FINAL MENU - Pr'!A97, ""en"", ""ar"")))"),"مشروب 250 مل")</f>
        <v>مشروب 250 مل</v>
      </c>
      <c r="B97" s="56" t="str">
        <f>IFERROR(__xludf.DUMMYFUNCTION("IF('AYIRA MINI MART FINAL MENU - Pr'!B97="""", """", IF(LEN(TRIM(REGEXREPLACE(REGEXREPLACE('AYIRA MINI MART FINAL MENU - Pr'!B97, ""^[^\x{0600}-\x{06FF}]+"", """"), ""^[-–\s]+"", """")))&gt;0, TRIM(REGEXREPLACE(REGEXREPLACE('AYIRA MINI MART FINAL MENU - Pr'!"&amp;"B97, ""^[^\x{0600}-\x{06FF}]+"", """"), ""^[-–\s]+"", """")), GOOGLETRANSLATE('AYIRA MINI MART FINAL MENU - Pr'!B97, ""en"", ""ar"")))"),"المشروبات الغازية")</f>
        <v>المشروبات الغازية</v>
      </c>
      <c r="C97" s="58">
        <f>IF('AYIRA MINI MART FINAL MENU - Pr'!C97="", "", 'AYIRA MINI MART FINAL MENU - Pr'!C97)</f>
        <v>5</v>
      </c>
      <c r="D97" s="58" t="str">
        <f>IF('AYIRA MINI MART FINAL MENU - Pr'!D97="", "", 'AYIRA MINI MART FINAL MENU - Pr'!D97)</f>
        <v>استمتع بـ Flash Carbonated Soft Drink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97" s="56" t="str">
        <f>IF('AYIRA MINI MART FINAL MENU - Pr'!E97="", "", 'AYIRA MINI MART FINAL MENU - Pr'!E97)</f>
        <v/>
      </c>
      <c r="F97" s="56" t="str">
        <f>IF('AYIRA MINI MART FINAL MENU - Pr'!F97="", "", 'AYIRA MINI MART FINAL MENU - Pr'!F97)</f>
        <v/>
      </c>
      <c r="G97" s="56" t="str">
        <f>IF('AYIRA MINI MART FINAL MENU - Pr'!G97="", "", 'AYIRA MINI MART FINAL MENU - Pr'!G97)</f>
        <v/>
      </c>
      <c r="H97" s="56" t="str">
        <f>IF('AYIRA MINI MART FINAL MENU - Pr'!H97="", "", 'AYIRA MINI MART FINAL MENU - Pr'!H97)</f>
        <v/>
      </c>
      <c r="I97" s="56" t="str">
        <f>IF('AYIRA MINI MART FINAL MENU - Pr'!I97="", "", 'AYIRA MINI MART FINAL MENU - Pr'!I97)</f>
        <v/>
      </c>
      <c r="J97" s="56" t="str">
        <f>IFERROR(__xludf.DUMMYFUNCTION("IF('AYIRA MINI MART FINAL MENU - Pr'!J97="""", """", GOOGLETRANSLATE('AYIRA MINI MART FINAL MENU - Pr'!J97, ""en"", ""ar""))"),"يعرض")</f>
        <v>يعرض</v>
      </c>
      <c r="K97" s="56" t="str">
        <f>IF('AYIRA MINI MART FINAL MENU - Pr'!K97="", "", 'AYIRA MINI MART FINAL MENU - Pr'!K97)</f>
        <v/>
      </c>
      <c r="L97" s="56" t="str">
        <f>IF('AYIRA MINI MART FINAL MENU - Pr'!L97="", "", 'AYIRA MINI MART FINAL MENU - Pr'!L97)</f>
        <v/>
      </c>
      <c r="M97" s="56" t="str">
        <f>IF('AYIRA MINI MART FINAL MENU - Pr'!M97="", "", 'AYIRA MINI MART FINAL MENU - Pr'!M97)</f>
        <v/>
      </c>
      <c r="N97" s="56" t="str">
        <f>IF('AYIRA MINI MART FINAL MENU - Pr'!N97="", "", 'AYIRA MINI MART FINAL MENU - Pr'!N97)</f>
        <v/>
      </c>
      <c r="O97" s="57"/>
      <c r="P97" s="57"/>
      <c r="Q97" s="57"/>
      <c r="R97" s="57"/>
      <c r="S97" s="57"/>
      <c r="T97" s="57"/>
      <c r="U97" s="57"/>
      <c r="V97" s="57"/>
      <c r="W97" s="57"/>
      <c r="X97" s="57"/>
      <c r="Y97" s="57"/>
      <c r="Z97" s="57"/>
    </row>
    <row r="98">
      <c r="A98" s="56" t="str">
        <f>IFERROR(__xludf.DUMMYFUNCTION("IF('AYIRA MINI MART FINAL MENU - Pr'!A98="""", """", IF(LEN(TRIM(REGEXREPLACE(REGEXREPLACE('AYIRA MINI MART FINAL MENU - Pr'!A98, ""^[^\x{0600}-\x{06FF}]+"", """"), ""^[-–\s]+"", """")))&gt;0, TRIM(REGEXREPLACE(REGEXREPLACE('AYIRA MINI MART FINAL MENU - Pr'!"&amp;"A98, ""^[^\x{0600}-\x{06FF}]+"", """"), ""^[-–\s]+"", """")), GOOGLETRANSLATE('AYIRA MINI MART FINAL MENU - Pr'!A98, ""en"", ""ar"")))"),"استوائي Fruit Carbonated مشروب 275 مل")</f>
        <v>استوائي Fruit Carbonated مشروب 275 مل</v>
      </c>
      <c r="B98" s="56" t="str">
        <f>IFERROR(__xludf.DUMMYFUNCTION("IF('AYIRA MINI MART FINAL MENU - Pr'!B98="""", """", IF(LEN(TRIM(REGEXREPLACE(REGEXREPLACE('AYIRA MINI MART FINAL MENU - Pr'!B98, ""^[^\x{0600}-\x{06FF}]+"", """"), ""^[-–\s]+"", """")))&gt;0, TRIM(REGEXREPLACE(REGEXREPLACE('AYIRA MINI MART FINAL MENU - Pr'!"&amp;"B98, ""^[^\x{0600}-\x{06FF}]+"", """"), ""^[-–\s]+"", """")), GOOGLETRANSLATE('AYIRA MINI MART FINAL MENU - Pr'!B98, ""en"", ""ar"")))"),"المشروبات الغازية")</f>
        <v>المشروبات الغازية</v>
      </c>
      <c r="C98" s="58">
        <f>IF('AYIRA MINI MART FINAL MENU - Pr'!C98="", "", 'AYIRA MINI MART FINAL MENU - Pr'!C98)</f>
        <v>5</v>
      </c>
      <c r="D98" s="58" t="str">
        <f>IF('AYIRA MINI MART FINAL MENU - Pr'!D98="", "", 'AYIRA MINI MART FINAL MENU - Pr'!D98)</f>
        <v>استمتع بـ Freez Mix Blue Hawaii Tropical Fruit Carbonated Drink 275ml،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98" s="56" t="str">
        <f>IF('AYIRA MINI MART FINAL MENU - Pr'!E98="", "", 'AYIRA MINI MART FINAL MENU - Pr'!E98)</f>
        <v/>
      </c>
      <c r="F98" s="56" t="str">
        <f>IF('AYIRA MINI MART FINAL MENU - Pr'!F98="", "", 'AYIRA MINI MART FINAL MENU - Pr'!F98)</f>
        <v/>
      </c>
      <c r="G98" s="56" t="str">
        <f>IF('AYIRA MINI MART FINAL MENU - Pr'!G98="", "", 'AYIRA MINI MART FINAL MENU - Pr'!G98)</f>
        <v/>
      </c>
      <c r="H98" s="56" t="str">
        <f>IF('AYIRA MINI MART FINAL MENU - Pr'!H98="", "", 'AYIRA MINI MART FINAL MENU - Pr'!H98)</f>
        <v/>
      </c>
      <c r="I98" s="56" t="str">
        <f>IF('AYIRA MINI MART FINAL MENU - Pr'!I98="", "", 'AYIRA MINI MART FINAL MENU - Pr'!I98)</f>
        <v/>
      </c>
      <c r="J98" s="56" t="str">
        <f>IFERROR(__xludf.DUMMYFUNCTION("IF('AYIRA MINI MART FINAL MENU - Pr'!J98="""", """", GOOGLETRANSLATE('AYIRA MINI MART FINAL MENU - Pr'!J98, ""en"", ""ar""))"),"يعرض")</f>
        <v>يعرض</v>
      </c>
      <c r="K98" s="56" t="str">
        <f>IF('AYIRA MINI MART FINAL MENU - Pr'!K98="", "", 'AYIRA MINI MART FINAL MENU - Pr'!K98)</f>
        <v/>
      </c>
      <c r="L98" s="56" t="str">
        <f>IF('AYIRA MINI MART FINAL MENU - Pr'!L98="", "", 'AYIRA MINI MART FINAL MENU - Pr'!L98)</f>
        <v/>
      </c>
      <c r="M98" s="56" t="str">
        <f>IF('AYIRA MINI MART FINAL MENU - Pr'!M98="", "", 'AYIRA MINI MART FINAL MENU - Pr'!M98)</f>
        <v/>
      </c>
      <c r="N98" s="56" t="str">
        <f>IF('AYIRA MINI MART FINAL MENU - Pr'!N98="", "", 'AYIRA MINI MART FINAL MENU - Pr'!N98)</f>
        <v/>
      </c>
      <c r="O98" s="57"/>
      <c r="P98" s="57"/>
      <c r="Q98" s="57"/>
      <c r="R98" s="57"/>
      <c r="S98" s="57"/>
      <c r="T98" s="57"/>
      <c r="U98" s="57"/>
      <c r="V98" s="57"/>
      <c r="W98" s="57"/>
      <c r="X98" s="57"/>
      <c r="Y98" s="57"/>
      <c r="Z98" s="57"/>
    </row>
    <row r="99">
      <c r="A99" s="56" t="str">
        <f>IFERROR(__xludf.DUMMYFUNCTION("IF('AYIRA MINI MART FINAL MENU - Pr'!A99="""", """", IF(LEN(TRIM(REGEXREPLACE(REGEXREPLACE('AYIRA MINI MART FINAL MENU - Pr'!A99, ""^[^\x{0600}-\x{06FF}]+"", """"), ""^[-–\s]+"", """")))&gt;0, TRIM(REGEXREPLACE(REGEXREPLACE('AYIRA MINI MART FINAL MENU - Pr'!"&amp;"A99, ""^[^\x{0600}-\x{06FF}]+"", """"), ""^[-–\s]+"", """")), GOOGLETRANSLATE('AYIRA MINI MART FINAL MENU - Pr'!A99, ""en"", ""ar"")))"),"فراولة Carbonated مشروب 275 مل")</f>
        <v>فراولة Carbonated مشروب 275 مل</v>
      </c>
      <c r="B99" s="56" t="str">
        <f>IFERROR(__xludf.DUMMYFUNCTION("IF('AYIRA MINI MART FINAL MENU - Pr'!B99="""", """", IF(LEN(TRIM(REGEXREPLACE(REGEXREPLACE('AYIRA MINI MART FINAL MENU - Pr'!B99, ""^[^\x{0600}-\x{06FF}]+"", """"), ""^[-–\s]+"", """")))&gt;0, TRIM(REGEXREPLACE(REGEXREPLACE('AYIRA MINI MART FINAL MENU - Pr'!"&amp;"B99, ""^[^\x{0600}-\x{06FF}]+"", """"), ""^[-–\s]+"", """")), GOOGLETRANSLATE('AYIRA MINI MART FINAL MENU - Pr'!B99, ""en"", ""ar"")))"),"المشروبات الغازية")</f>
        <v>المشروبات الغازية</v>
      </c>
      <c r="C99" s="58">
        <f>IF('AYIRA MINI MART FINAL MENU - Pr'!C99="", "", 'AYIRA MINI MART FINAL MENU - Pr'!C99)</f>
        <v>5</v>
      </c>
      <c r="D99" s="58" t="str">
        <f>IF('AYIRA MINI MART FINAL MENU - Pr'!D99="", "", 'AYIRA MINI MART FINAL MENU - Pr'!D99)</f>
        <v>استمتع بـ Freez Mix Strawberry Carbonated Drink 275ml،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99" s="56" t="str">
        <f>IF('AYIRA MINI MART FINAL MENU - Pr'!E99="", "", 'AYIRA MINI MART FINAL MENU - Pr'!E99)</f>
        <v/>
      </c>
      <c r="F99" s="56" t="str">
        <f>IF('AYIRA MINI MART FINAL MENU - Pr'!F99="", "", 'AYIRA MINI MART FINAL MENU - Pr'!F99)</f>
        <v/>
      </c>
      <c r="G99" s="56" t="str">
        <f>IF('AYIRA MINI MART FINAL MENU - Pr'!G99="", "", 'AYIRA MINI MART FINAL MENU - Pr'!G99)</f>
        <v/>
      </c>
      <c r="H99" s="56" t="str">
        <f>IF('AYIRA MINI MART FINAL MENU - Pr'!H99="", "", 'AYIRA MINI MART FINAL MENU - Pr'!H99)</f>
        <v/>
      </c>
      <c r="I99" s="56" t="str">
        <f>IF('AYIRA MINI MART FINAL MENU - Pr'!I99="", "", 'AYIRA MINI MART FINAL MENU - Pr'!I99)</f>
        <v/>
      </c>
      <c r="J99" s="56" t="str">
        <f>IFERROR(__xludf.DUMMYFUNCTION("IF('AYIRA MINI MART FINAL MENU - Pr'!J99="""", """", GOOGLETRANSLATE('AYIRA MINI MART FINAL MENU - Pr'!J99, ""en"", ""ar""))"),"يعرض")</f>
        <v>يعرض</v>
      </c>
      <c r="K99" s="56" t="str">
        <f>IF('AYIRA MINI MART FINAL MENU - Pr'!K99="", "", 'AYIRA MINI MART FINAL MENU - Pr'!K99)</f>
        <v/>
      </c>
      <c r="L99" s="56" t="str">
        <f>IF('AYIRA MINI MART FINAL MENU - Pr'!L99="", "", 'AYIRA MINI MART FINAL MENU - Pr'!L99)</f>
        <v/>
      </c>
      <c r="M99" s="56" t="str">
        <f>IF('AYIRA MINI MART FINAL MENU - Pr'!M99="", "", 'AYIRA MINI MART FINAL MENU - Pr'!M99)</f>
        <v/>
      </c>
      <c r="N99" s="56" t="str">
        <f>IF('AYIRA MINI MART FINAL MENU - Pr'!N99="", "", 'AYIRA MINI MART FINAL MENU - Pr'!N99)</f>
        <v/>
      </c>
      <c r="O99" s="57"/>
      <c r="P99" s="57"/>
      <c r="Q99" s="57"/>
      <c r="R99" s="57"/>
      <c r="S99" s="57"/>
      <c r="T99" s="57"/>
      <c r="U99" s="57"/>
      <c r="V99" s="57"/>
      <c r="W99" s="57"/>
      <c r="X99" s="57"/>
      <c r="Y99" s="57"/>
      <c r="Z99" s="57"/>
    </row>
    <row r="100">
      <c r="A100" s="56" t="str">
        <f>IFERROR(__xludf.DUMMYFUNCTION("IF('AYIRA MINI MART FINAL MENU - Pr'!A100="""", """", IF(LEN(TRIM(REGEXREPLACE(REGEXREPLACE('AYIRA MINI MART FINAL MENU - Pr'!A100, ""^[^\x{0600}-\x{06FF}]+"", """"), ""^[-–\s]+"", """")))&gt;0, TRIM(REGEXREPLACE(REGEXREPLACE('AYIRA MINI MART FINAL MENU - Pr"&amp;"'!A100, ""^[^\x{0600}-\x{06FF}]+"", """"), ""^[-–\s]+"", """")), GOOGLETRANSLATE('AYIRA MINI MART FINAL MENU - Pr'!A100, ""en"", ""ar"")))"),"ليمون &amp; نعناع Carbonated مشروب 275 مل")</f>
        <v>ليمون &amp; نعناع Carbonated مشروب 275 مل</v>
      </c>
      <c r="B100" s="56" t="str">
        <f>IFERROR(__xludf.DUMMYFUNCTION("IF('AYIRA MINI MART FINAL MENU - Pr'!B100="""", """", IF(LEN(TRIM(REGEXREPLACE(REGEXREPLACE('AYIRA MINI MART FINAL MENU - Pr'!B100, ""^[^\x{0600}-\x{06FF}]+"", """"), ""^[-–\s]+"", """")))&gt;0, TRIM(REGEXREPLACE(REGEXREPLACE('AYIRA MINI MART FINAL MENU - Pr"&amp;"'!B100, ""^[^\x{0600}-\x{06FF}]+"", """"), ""^[-–\s]+"", """")), GOOGLETRANSLATE('AYIRA MINI MART FINAL MENU - Pr'!B100, ""en"", ""ar"")))"),"المشروبات الغازية")</f>
        <v>المشروبات الغازية</v>
      </c>
      <c r="C100" s="58">
        <f>IF('AYIRA MINI MART FINAL MENU - Pr'!C100="", "", 'AYIRA MINI MART FINAL MENU - Pr'!C100)</f>
        <v>5</v>
      </c>
      <c r="D100" s="58" t="str">
        <f>IF('AYIRA MINI MART FINAL MENU - Pr'!D100="", "", 'AYIRA MINI MART FINAL MENU - Pr'!D100)</f>
        <v>أضف لحظة حلوة إلى يومك مع Freez Mix Lemon &amp; Mint Carbonated Drink 275ml،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100" s="56" t="str">
        <f>IF('AYIRA MINI MART FINAL MENU - Pr'!E100="", "", 'AYIRA MINI MART FINAL MENU - Pr'!E100)</f>
        <v/>
      </c>
      <c r="F100" s="56" t="str">
        <f>IF('AYIRA MINI MART FINAL MENU - Pr'!F100="", "", 'AYIRA MINI MART FINAL MENU - Pr'!F100)</f>
        <v/>
      </c>
      <c r="G100" s="56" t="str">
        <f>IF('AYIRA MINI MART FINAL MENU - Pr'!G100="", "", 'AYIRA MINI MART FINAL MENU - Pr'!G100)</f>
        <v/>
      </c>
      <c r="H100" s="56" t="str">
        <f>IF('AYIRA MINI MART FINAL MENU - Pr'!H100="", "", 'AYIRA MINI MART FINAL MENU - Pr'!H100)</f>
        <v/>
      </c>
      <c r="I100" s="56" t="str">
        <f>IF('AYIRA MINI MART FINAL MENU - Pr'!I100="", "", 'AYIRA MINI MART FINAL MENU - Pr'!I100)</f>
        <v/>
      </c>
      <c r="J100" s="56" t="str">
        <f>IFERROR(__xludf.DUMMYFUNCTION("IF('AYIRA MINI MART FINAL MENU - Pr'!J100="""", """", GOOGLETRANSLATE('AYIRA MINI MART FINAL MENU - Pr'!J100, ""en"", ""ar""))"),"يعرض")</f>
        <v>يعرض</v>
      </c>
      <c r="K100" s="56" t="str">
        <f>IF('AYIRA MINI MART FINAL MENU - Pr'!K100="", "", 'AYIRA MINI MART FINAL MENU - Pr'!K100)</f>
        <v/>
      </c>
      <c r="L100" s="56" t="str">
        <f>IF('AYIRA MINI MART FINAL MENU - Pr'!L100="", "", 'AYIRA MINI MART FINAL MENU - Pr'!L100)</f>
        <v/>
      </c>
      <c r="M100" s="56" t="str">
        <f>IF('AYIRA MINI MART FINAL MENU - Pr'!M100="", "", 'AYIRA MINI MART FINAL MENU - Pr'!M100)</f>
        <v/>
      </c>
      <c r="N100" s="56" t="str">
        <f>IF('AYIRA MINI MART FINAL MENU - Pr'!N100="", "", 'AYIRA MINI MART FINAL MENU - Pr'!N100)</f>
        <v/>
      </c>
      <c r="O100" s="57"/>
      <c r="P100" s="57"/>
      <c r="Q100" s="57"/>
      <c r="R100" s="57"/>
      <c r="S100" s="57"/>
      <c r="T100" s="57"/>
      <c r="U100" s="57"/>
      <c r="V100" s="57"/>
      <c r="W100" s="57"/>
      <c r="X100" s="57"/>
      <c r="Y100" s="57"/>
      <c r="Z100" s="57"/>
    </row>
    <row r="101">
      <c r="A101" s="56" t="str">
        <f>IFERROR(__xludf.DUMMYFUNCTION("IF('AYIRA MINI MART FINAL MENU - Pr'!A101="""", """", IF(LEN(TRIM(REGEXREPLACE(REGEXREPLACE('AYIRA MINI MART FINAL MENU - Pr'!A101, ""^[^\x{0600}-\x{06FF}]+"", """"), ""^[-–\s]+"", """")))&gt;0, TRIM(REGEXREPLACE(REGEXREPLACE('AYIRA MINI MART FINAL MENU - Pr"&amp;"'!A101, ""^[^\x{0600}-\x{06FF}]+"", """"), ""^[-–\s]+"", """")), GOOGLETRANSLATE('AYIRA MINI MART FINAL MENU - Pr'!A101, ""en"", ""ar"")))"),"أناناس &amp; جوز الهند Carbonated مشروب 275 مل")</f>
        <v>أناناس &amp; جوز الهند Carbonated مشروب 275 مل</v>
      </c>
      <c r="B101" s="56" t="str">
        <f>IFERROR(__xludf.DUMMYFUNCTION("IF('AYIRA MINI MART FINAL MENU - Pr'!B101="""", """", IF(LEN(TRIM(REGEXREPLACE(REGEXREPLACE('AYIRA MINI MART FINAL MENU - Pr'!B101, ""^[^\x{0600}-\x{06FF}]+"", """"), ""^[-–\s]+"", """")))&gt;0, TRIM(REGEXREPLACE(REGEXREPLACE('AYIRA MINI MART FINAL MENU - Pr"&amp;"'!B101, ""^[^\x{0600}-\x{06FF}]+"", """"), ""^[-–\s]+"", """")), GOOGLETRANSLATE('AYIRA MINI MART FINAL MENU - Pr'!B101, ""en"", ""ar"")))"),"المشروبات الغازية")</f>
        <v>المشروبات الغازية</v>
      </c>
      <c r="C101" s="58">
        <f>IF('AYIRA MINI MART FINAL MENU - Pr'!C101="", "", 'AYIRA MINI MART FINAL MENU - Pr'!C101)</f>
        <v>5</v>
      </c>
      <c r="D101" s="58" t="str">
        <f>IF('AYIRA MINI MART FINAL MENU - Pr'!D101="", "", 'AYIRA MINI MART FINAL MENU - Pr'!D101)</f>
        <v>اختر Freez Mix Pineapple &amp; Coconut Carbonated Drink 275ml،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101" s="56" t="str">
        <f>IF('AYIRA MINI MART FINAL MENU - Pr'!E101="", "", 'AYIRA MINI MART FINAL MENU - Pr'!E101)</f>
        <v/>
      </c>
      <c r="F101" s="56" t="str">
        <f>IF('AYIRA MINI MART FINAL MENU - Pr'!F101="", "", 'AYIRA MINI MART FINAL MENU - Pr'!F101)</f>
        <v/>
      </c>
      <c r="G101" s="56" t="str">
        <f>IF('AYIRA MINI MART FINAL MENU - Pr'!G101="", "", 'AYIRA MINI MART FINAL MENU - Pr'!G101)</f>
        <v/>
      </c>
      <c r="H101" s="56" t="str">
        <f>IF('AYIRA MINI MART FINAL MENU - Pr'!H101="", "", 'AYIRA MINI MART FINAL MENU - Pr'!H101)</f>
        <v/>
      </c>
      <c r="I101" s="56" t="str">
        <f>IF('AYIRA MINI MART FINAL MENU - Pr'!I101="", "", 'AYIRA MINI MART FINAL MENU - Pr'!I101)</f>
        <v/>
      </c>
      <c r="J101" s="56" t="str">
        <f>IFERROR(__xludf.DUMMYFUNCTION("IF('AYIRA MINI MART FINAL MENU - Pr'!J101="""", """", GOOGLETRANSLATE('AYIRA MINI MART FINAL MENU - Pr'!J101, ""en"", ""ar""))"),"يعرض")</f>
        <v>يعرض</v>
      </c>
      <c r="K101" s="56" t="str">
        <f>IF('AYIRA MINI MART FINAL MENU - Pr'!K101="", "", 'AYIRA MINI MART FINAL MENU - Pr'!K101)</f>
        <v/>
      </c>
      <c r="L101" s="56" t="str">
        <f>IF('AYIRA MINI MART FINAL MENU - Pr'!L101="", "", 'AYIRA MINI MART FINAL MENU - Pr'!L101)</f>
        <v/>
      </c>
      <c r="M101" s="56" t="str">
        <f>IF('AYIRA MINI MART FINAL MENU - Pr'!M101="", "", 'AYIRA MINI MART FINAL MENU - Pr'!M101)</f>
        <v/>
      </c>
      <c r="N101" s="56" t="str">
        <f>IF('AYIRA MINI MART FINAL MENU - Pr'!N101="", "", 'AYIRA MINI MART FINAL MENU - Pr'!N101)</f>
        <v/>
      </c>
      <c r="O101" s="57"/>
      <c r="P101" s="57"/>
      <c r="Q101" s="57"/>
      <c r="R101" s="57"/>
      <c r="S101" s="57"/>
      <c r="T101" s="57"/>
      <c r="U101" s="57"/>
      <c r="V101" s="57"/>
      <c r="W101" s="57"/>
      <c r="X101" s="57"/>
      <c r="Y101" s="57"/>
      <c r="Z101" s="57"/>
    </row>
    <row r="102">
      <c r="A102" s="56" t="str">
        <f>IFERROR(__xludf.DUMMYFUNCTION("IF('AYIRA MINI MART FINAL MENU - Pr'!A102="""", """", IF(LEN(TRIM(REGEXREPLACE(REGEXREPLACE('AYIRA MINI MART FINAL MENU - Pr'!A102, ""^[^\x{0600}-\x{06FF}]+"", """"), ""^[-–\s]+"", """")))&gt;0, TRIM(REGEXREPLACE(REGEXREPLACE('AYIRA MINI MART FINAL MENU - Pr"&amp;"'!A102, ""^[^\x{0600}-\x{06FF}]+"", """"), ""^[-–\s]+"", """")), GOOGLETRANSLATE('AYIRA MINI MART FINAL MENU - Pr'!A102, ""en"", ""ar"")))"),"مشروب Lychee 275 مل")</f>
        <v>مشروب Lychee 275 مل</v>
      </c>
      <c r="B102" s="56" t="str">
        <f>IFERROR(__xludf.DUMMYFUNCTION("IF('AYIRA MINI MART FINAL MENU - Pr'!B102="""", """", IF(LEN(TRIM(REGEXREPLACE(REGEXREPLACE('AYIRA MINI MART FINAL MENU - Pr'!B102, ""^[^\x{0600}-\x{06FF}]+"", """"), ""^[-–\s]+"", """")))&gt;0, TRIM(REGEXREPLACE(REGEXREPLACE('AYIRA MINI MART FINAL MENU - Pr"&amp;"'!B102, ""^[^\x{0600}-\x{06FF}]+"", """"), ""^[-–\s]+"", """")), GOOGLETRANSLATE('AYIRA MINI MART FINAL MENU - Pr'!B102, ""en"", ""ar"")))"),"المشروبات الغازية")</f>
        <v>المشروبات الغازية</v>
      </c>
      <c r="C102" s="58">
        <f>IF('AYIRA MINI MART FINAL MENU - Pr'!C102="", "", 'AYIRA MINI MART FINAL MENU - Pr'!C102)</f>
        <v>5</v>
      </c>
      <c r="D102" s="58" t="str">
        <f>IF('AYIRA MINI MART FINAL MENU - Pr'!D102="", "", 'AYIRA MINI MART FINAL MENU - Pr'!D102)</f>
        <v>استمتع بـ Freez Mix Carbonated Flavored Drink Lychee 275ml،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02" s="56" t="str">
        <f>IF('AYIRA MINI MART FINAL MENU - Pr'!E102="", "", 'AYIRA MINI MART FINAL MENU - Pr'!E102)</f>
        <v/>
      </c>
      <c r="F102" s="56" t="str">
        <f>IF('AYIRA MINI MART FINAL MENU - Pr'!F102="", "", 'AYIRA MINI MART FINAL MENU - Pr'!F102)</f>
        <v/>
      </c>
      <c r="G102" s="56" t="str">
        <f>IF('AYIRA MINI MART FINAL MENU - Pr'!G102="", "", 'AYIRA MINI MART FINAL MENU - Pr'!G102)</f>
        <v/>
      </c>
      <c r="H102" s="56" t="str">
        <f>IF('AYIRA MINI MART FINAL MENU - Pr'!H102="", "", 'AYIRA MINI MART FINAL MENU - Pr'!H102)</f>
        <v/>
      </c>
      <c r="I102" s="56" t="str">
        <f>IF('AYIRA MINI MART FINAL MENU - Pr'!I102="", "", 'AYIRA MINI MART FINAL MENU - Pr'!I102)</f>
        <v/>
      </c>
      <c r="J102" s="56" t="str">
        <f>IFERROR(__xludf.DUMMYFUNCTION("IF('AYIRA MINI MART FINAL MENU - Pr'!J102="""", """", GOOGLETRANSLATE('AYIRA MINI MART FINAL MENU - Pr'!J102, ""en"", ""ar""))"),"يعرض")</f>
        <v>يعرض</v>
      </c>
      <c r="K102" s="56" t="str">
        <f>IF('AYIRA MINI MART FINAL MENU - Pr'!K102="", "", 'AYIRA MINI MART FINAL MENU - Pr'!K102)</f>
        <v/>
      </c>
      <c r="L102" s="56" t="str">
        <f>IF('AYIRA MINI MART FINAL MENU - Pr'!L102="", "", 'AYIRA MINI MART FINAL MENU - Pr'!L102)</f>
        <v/>
      </c>
      <c r="M102" s="56" t="str">
        <f>IF('AYIRA MINI MART FINAL MENU - Pr'!M102="", "", 'AYIRA MINI MART FINAL MENU - Pr'!M102)</f>
        <v/>
      </c>
      <c r="N102" s="56" t="str">
        <f>IF('AYIRA MINI MART FINAL MENU - Pr'!N102="", "", 'AYIRA MINI MART FINAL MENU - Pr'!N102)</f>
        <v/>
      </c>
      <c r="O102" s="57"/>
      <c r="P102" s="57"/>
      <c r="Q102" s="57"/>
      <c r="R102" s="57"/>
      <c r="S102" s="57"/>
      <c r="T102" s="57"/>
      <c r="U102" s="57"/>
      <c r="V102" s="57"/>
      <c r="W102" s="57"/>
      <c r="X102" s="57"/>
      <c r="Y102" s="57"/>
      <c r="Z102" s="57"/>
    </row>
    <row r="103">
      <c r="A103" s="56" t="str">
        <f>IFERROR(__xludf.DUMMYFUNCTION("IF('AYIRA MINI MART FINAL MENU - Pr'!A103="""", """", IF(LEN(TRIM(REGEXREPLACE(REGEXREPLACE('AYIRA MINI MART FINAL MENU - Pr'!A103, ""^[^\x{0600}-\x{06FF}]+"", """"), ""^[-–\s]+"", """")))&gt;0, TRIM(REGEXREPLACE(REGEXREPLACE('AYIRA MINI MART FINAL MENU - Pr"&amp;"'!A103, ""^[^\x{0600}-\x{06FF}]+"", """"), ""^[-–\s]+"", """")), GOOGLETRANSLATE('AYIRA MINI MART FINAL MENU - Pr'!A103, ""en"", ""ar"")))"),"مشروب Pomegranate Mix 275 مل")</f>
        <v>مشروب Pomegranate Mix 275 مل</v>
      </c>
      <c r="B103" s="56" t="str">
        <f>IFERROR(__xludf.DUMMYFUNCTION("IF('AYIRA MINI MART FINAL MENU - Pr'!B103="""", """", IF(LEN(TRIM(REGEXREPLACE(REGEXREPLACE('AYIRA MINI MART FINAL MENU - Pr'!B103, ""^[^\x{0600}-\x{06FF}]+"", """"), ""^[-–\s]+"", """")))&gt;0, TRIM(REGEXREPLACE(REGEXREPLACE('AYIRA MINI MART FINAL MENU - Pr"&amp;"'!B103, ""^[^\x{0600}-\x{06FF}]+"", """"), ""^[-–\s]+"", """")), GOOGLETRANSLATE('AYIRA MINI MART FINAL MENU - Pr'!B103, ""en"", ""ar"")))"),"المشروبات الغازية")</f>
        <v>المشروبات الغازية</v>
      </c>
      <c r="C103" s="58">
        <f>IF('AYIRA MINI MART FINAL MENU - Pr'!C103="", "", 'AYIRA MINI MART FINAL MENU - Pr'!C103)</f>
        <v>5</v>
      </c>
      <c r="D103" s="58" t="str">
        <f>IF('AYIRA MINI MART FINAL MENU - Pr'!D103="", "", 'AYIRA MINI MART FINAL MENU - Pr'!D103)</f>
        <v>استمتع بـ Freez Mix Carbonated Flavored Drink Pomegranate Mix 275ml،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03" s="56" t="str">
        <f>IF('AYIRA MINI MART FINAL MENU - Pr'!E103="", "", 'AYIRA MINI MART FINAL MENU - Pr'!E103)</f>
        <v/>
      </c>
      <c r="F103" s="56" t="str">
        <f>IF('AYIRA MINI MART FINAL MENU - Pr'!F103="", "", 'AYIRA MINI MART FINAL MENU - Pr'!F103)</f>
        <v/>
      </c>
      <c r="G103" s="56" t="str">
        <f>IF('AYIRA MINI MART FINAL MENU - Pr'!G103="", "", 'AYIRA MINI MART FINAL MENU - Pr'!G103)</f>
        <v/>
      </c>
      <c r="H103" s="56" t="str">
        <f>IF('AYIRA MINI MART FINAL MENU - Pr'!H103="", "", 'AYIRA MINI MART FINAL MENU - Pr'!H103)</f>
        <v/>
      </c>
      <c r="I103" s="56" t="str">
        <f>IF('AYIRA MINI MART FINAL MENU - Pr'!I103="", "", 'AYIRA MINI MART FINAL MENU - Pr'!I103)</f>
        <v/>
      </c>
      <c r="J103" s="56" t="str">
        <f>IFERROR(__xludf.DUMMYFUNCTION("IF('AYIRA MINI MART FINAL MENU - Pr'!J103="""", """", GOOGLETRANSLATE('AYIRA MINI MART FINAL MENU - Pr'!J103, ""en"", ""ar""))"),"يعرض")</f>
        <v>يعرض</v>
      </c>
      <c r="K103" s="56" t="str">
        <f>IF('AYIRA MINI MART FINAL MENU - Pr'!K103="", "", 'AYIRA MINI MART FINAL MENU - Pr'!K103)</f>
        <v/>
      </c>
      <c r="L103" s="56" t="str">
        <f>IF('AYIRA MINI MART FINAL MENU - Pr'!L103="", "", 'AYIRA MINI MART FINAL MENU - Pr'!L103)</f>
        <v/>
      </c>
      <c r="M103" s="56" t="str">
        <f>IF('AYIRA MINI MART FINAL MENU - Pr'!M103="", "", 'AYIRA MINI MART FINAL MENU - Pr'!M103)</f>
        <v/>
      </c>
      <c r="N103" s="56" t="str">
        <f>IF('AYIRA MINI MART FINAL MENU - Pr'!N103="", "", 'AYIRA MINI MART FINAL MENU - Pr'!N103)</f>
        <v/>
      </c>
      <c r="O103" s="57"/>
      <c r="P103" s="57"/>
      <c r="Q103" s="57"/>
      <c r="R103" s="57"/>
      <c r="S103" s="57"/>
      <c r="T103" s="57"/>
      <c r="U103" s="57"/>
      <c r="V103" s="57"/>
      <c r="W103" s="57"/>
      <c r="X103" s="57"/>
      <c r="Y103" s="57"/>
      <c r="Z103" s="57"/>
    </row>
    <row r="104">
      <c r="A104" s="56" t="str">
        <f>IFERROR(__xludf.DUMMYFUNCTION("IF('AYIRA MINI MART FINAL MENU - Pr'!A104="""", """", IF(LEN(TRIM(REGEXREPLACE(REGEXREPLACE('AYIRA MINI MART FINAL MENU - Pr'!A104, ""^[^\x{0600}-\x{06FF}]+"", """"), ""^[-–\s]+"", """")))&gt;0, TRIM(REGEXREPLACE(REGEXREPLACE('AYIRA MINI MART FINAL MENU - Pr"&amp;"'!A104, ""^[^\x{0600}-\x{06FF}]+"", """"), ""^[-–\s]+"", """")), GOOGLETRANSLATE('AYIRA MINI MART FINAL MENU - Pr'!A104, ""en"", ""ar"")))"),"مل")</f>
        <v>مل</v>
      </c>
      <c r="B104" s="56" t="str">
        <f>IFERROR(__xludf.DUMMYFUNCTION("IF('AYIRA MINI MART FINAL MENU - Pr'!B104="""", """", IF(LEN(TRIM(REGEXREPLACE(REGEXREPLACE('AYIRA MINI MART FINAL MENU - Pr'!B104, ""^[^\x{0600}-\x{06FF}]+"", """"), ""^[-–\s]+"", """")))&gt;0, TRIM(REGEXREPLACE(REGEXREPLACE('AYIRA MINI MART FINAL MENU - Pr"&amp;"'!B104, ""^[^\x{0600}-\x{06FF}]+"", """"), ""^[-–\s]+"", """")), GOOGLETRANSLATE('AYIRA MINI MART FINAL MENU - Pr'!B104, ""en"", ""ar"")))"),"المشروبات الغازية")</f>
        <v>المشروبات الغازية</v>
      </c>
      <c r="C104" s="58">
        <f>IF('AYIRA MINI MART FINAL MENU - Pr'!C104="", "", 'AYIRA MINI MART FINAL MENU - Pr'!C104)</f>
        <v>4.5</v>
      </c>
      <c r="D104" s="58" t="str">
        <f>IF('AYIRA MINI MART FINAL MENU - Pr'!D104="", "", 'AYIRA MINI MART FINAL MENU - Pr'!D104)</f>
        <v>اكتشف Barbican English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4" s="56" t="str">
        <f>IF('AYIRA MINI MART FINAL MENU - Pr'!E104="", "", 'AYIRA MINI MART FINAL MENU - Pr'!E104)</f>
        <v/>
      </c>
      <c r="F104" s="56" t="str">
        <f>IF('AYIRA MINI MART FINAL MENU - Pr'!F104="", "", 'AYIRA MINI MART FINAL MENU - Pr'!F104)</f>
        <v/>
      </c>
      <c r="G104" s="56" t="str">
        <f>IF('AYIRA MINI MART FINAL MENU - Pr'!G104="", "", 'AYIRA MINI MART FINAL MENU - Pr'!G104)</f>
        <v/>
      </c>
      <c r="H104" s="56" t="str">
        <f>IF('AYIRA MINI MART FINAL MENU - Pr'!H104="", "", 'AYIRA MINI MART FINAL MENU - Pr'!H104)</f>
        <v/>
      </c>
      <c r="I104" s="56" t="str">
        <f>IF('AYIRA MINI MART FINAL MENU - Pr'!I104="", "", 'AYIRA MINI MART FINAL MENU - Pr'!I104)</f>
        <v/>
      </c>
      <c r="J104" s="56" t="str">
        <f>IFERROR(__xludf.DUMMYFUNCTION("IF('AYIRA MINI MART FINAL MENU - Pr'!J104="""", """", GOOGLETRANSLATE('AYIRA MINI MART FINAL MENU - Pr'!J104, ""en"", ""ar""))"),"يعرض")</f>
        <v>يعرض</v>
      </c>
      <c r="K104" s="56" t="str">
        <f>IF('AYIRA MINI MART FINAL MENU - Pr'!K104="", "", 'AYIRA MINI MART FINAL MENU - Pr'!K104)</f>
        <v/>
      </c>
      <c r="L104" s="56" t="str">
        <f>IF('AYIRA MINI MART FINAL MENU - Pr'!L104="", "", 'AYIRA MINI MART FINAL MENU - Pr'!L104)</f>
        <v/>
      </c>
      <c r="M104" s="56" t="str">
        <f>IF('AYIRA MINI MART FINAL MENU - Pr'!M104="", "", 'AYIRA MINI MART FINAL MENU - Pr'!M104)</f>
        <v/>
      </c>
      <c r="N104" s="56" t="str">
        <f>IF('AYIRA MINI MART FINAL MENU - Pr'!N104="", "", 'AYIRA MINI MART FINAL MENU - Pr'!N104)</f>
        <v/>
      </c>
      <c r="O104" s="57"/>
      <c r="P104" s="57"/>
      <c r="Q104" s="57"/>
      <c r="R104" s="57"/>
      <c r="S104" s="57"/>
      <c r="T104" s="57"/>
      <c r="U104" s="57"/>
      <c r="V104" s="57"/>
      <c r="W104" s="57"/>
      <c r="X104" s="57"/>
      <c r="Y104" s="57"/>
      <c r="Z104" s="57"/>
    </row>
    <row r="105">
      <c r="A105" s="56" t="str">
        <f>IFERROR(__xludf.DUMMYFUNCTION("IF('AYIRA MINI MART FINAL MENU - Pr'!A105="""", """", IF(LEN(TRIM(REGEXREPLACE(REGEXREPLACE('AYIRA MINI MART FINAL MENU - Pr'!A105, ""^[^\x{0600}-\x{06FF}]+"", """"), ""^[-–\s]+"", """")))&gt;0, TRIM(REGEXREPLACE(REGEXREPLACE('AYIRA MINI MART FINAL MENU - Pr"&amp;"'!A105, ""^[^\x{0600}-\x{06FF}]+"", """"), ""^[-–\s]+"", """")), GOOGLETRANSLATE('AYIRA MINI MART FINAL MENU - Pr'!A105, ""en"", ""ar"")))"),"فراولة Flavour 330 مل")</f>
        <v>فراولة Flavour 330 مل</v>
      </c>
      <c r="B105" s="56" t="str">
        <f>IFERROR(__xludf.DUMMYFUNCTION("IF('AYIRA MINI MART FINAL MENU - Pr'!B105="""", """", IF(LEN(TRIM(REGEXREPLACE(REGEXREPLACE('AYIRA MINI MART FINAL MENU - Pr'!B105, ""^[^\x{0600}-\x{06FF}]+"", """"), ""^[-–\s]+"", """")))&gt;0, TRIM(REGEXREPLACE(REGEXREPLACE('AYIRA MINI MART FINAL MENU - Pr"&amp;"'!B105, ""^[^\x{0600}-\x{06FF}]+"", """"), ""^[-–\s]+"", """")), GOOGLETRANSLATE('AYIRA MINI MART FINAL MENU - Pr'!B105, ""en"", ""ar"")))"),"المشروبات الغازية")</f>
        <v>المشروبات الغازية</v>
      </c>
      <c r="C105" s="58">
        <f>IF('AYIRA MINI MART FINAL MENU - Pr'!C105="", "", 'AYIRA MINI MART FINAL MENU - Pr'!C105)</f>
        <v>4.5</v>
      </c>
      <c r="D105" s="58" t="str">
        <f>IF('AYIRA MINI MART FINAL MENU - Pr'!D105="", "", 'AYIRA MINI MART FINAL MENU - Pr'!D105)</f>
        <v>اكتشف Barbican Strawberry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5" s="56" t="str">
        <f>IF('AYIRA MINI MART FINAL MENU - Pr'!E105="", "", 'AYIRA MINI MART FINAL MENU - Pr'!E105)</f>
        <v/>
      </c>
      <c r="F105" s="56" t="str">
        <f>IF('AYIRA MINI MART FINAL MENU - Pr'!F105="", "", 'AYIRA MINI MART FINAL MENU - Pr'!F105)</f>
        <v/>
      </c>
      <c r="G105" s="56" t="str">
        <f>IF('AYIRA MINI MART FINAL MENU - Pr'!G105="", "", 'AYIRA MINI MART FINAL MENU - Pr'!G105)</f>
        <v/>
      </c>
      <c r="H105" s="56" t="str">
        <f>IF('AYIRA MINI MART FINAL MENU - Pr'!H105="", "", 'AYIRA MINI MART FINAL MENU - Pr'!H105)</f>
        <v/>
      </c>
      <c r="I105" s="56" t="str">
        <f>IF('AYIRA MINI MART FINAL MENU - Pr'!I105="", "", 'AYIRA MINI MART FINAL MENU - Pr'!I105)</f>
        <v/>
      </c>
      <c r="J105" s="56" t="str">
        <f>IFERROR(__xludf.DUMMYFUNCTION("IF('AYIRA MINI MART FINAL MENU - Pr'!J105="""", """", GOOGLETRANSLATE('AYIRA MINI MART FINAL MENU - Pr'!J105, ""en"", ""ar""))"),"يعرض")</f>
        <v>يعرض</v>
      </c>
      <c r="K105" s="56" t="str">
        <f>IF('AYIRA MINI MART FINAL MENU - Pr'!K105="", "", 'AYIRA MINI MART FINAL MENU - Pr'!K105)</f>
        <v/>
      </c>
      <c r="L105" s="56" t="str">
        <f>IF('AYIRA MINI MART FINAL MENU - Pr'!L105="", "", 'AYIRA MINI MART FINAL MENU - Pr'!L105)</f>
        <v/>
      </c>
      <c r="M105" s="56" t="str">
        <f>IF('AYIRA MINI MART FINAL MENU - Pr'!M105="", "", 'AYIRA MINI MART FINAL MENU - Pr'!M105)</f>
        <v/>
      </c>
      <c r="N105" s="56" t="str">
        <f>IF('AYIRA MINI MART FINAL MENU - Pr'!N105="", "", 'AYIRA MINI MART FINAL MENU - Pr'!N105)</f>
        <v/>
      </c>
      <c r="O105" s="57"/>
      <c r="P105" s="57"/>
      <c r="Q105" s="57"/>
      <c r="R105" s="57"/>
      <c r="S105" s="57"/>
      <c r="T105" s="57"/>
      <c r="U105" s="57"/>
      <c r="V105" s="57"/>
      <c r="W105" s="57"/>
      <c r="X105" s="57"/>
      <c r="Y105" s="57"/>
      <c r="Z105" s="57"/>
    </row>
    <row r="106">
      <c r="A106" s="56" t="str">
        <f>IFERROR(__xludf.DUMMYFUNCTION("IF('AYIRA MINI MART FINAL MENU - Pr'!A106="""", """", IF(LEN(TRIM(REGEXREPLACE(REGEXREPLACE('AYIRA MINI MART FINAL MENU - Pr'!A106, ""^[^\x{0600}-\x{06FF}]+"", """"), ""^[-–\s]+"", """")))&gt;0, TRIM(REGEXREPLACE(REGEXREPLACE('AYIRA MINI MART FINAL MENU - Pr"&amp;"'!A106, ""^[^\x{0600}-\x{06FF}]+"", """"), ""^[-–\s]+"", """")), GOOGLETRANSLATE('AYIRA MINI MART FINAL MENU - Pr'!A106, ""en"", ""ar"")))"),"مل")</f>
        <v>مل</v>
      </c>
      <c r="B106" s="56" t="str">
        <f>IFERROR(__xludf.DUMMYFUNCTION("IF('AYIRA MINI MART FINAL MENU - Pr'!B106="""", """", IF(LEN(TRIM(REGEXREPLACE(REGEXREPLACE('AYIRA MINI MART FINAL MENU - Pr'!B106, ""^[^\x{0600}-\x{06FF}]+"", """"), ""^[-–\s]+"", """")))&gt;0, TRIM(REGEXREPLACE(REGEXREPLACE('AYIRA MINI MART FINAL MENU - Pr"&amp;"'!B106, ""^[^\x{0600}-\x{06FF}]+"", """"), ""^[-–\s]+"", """")), GOOGLETRANSLATE('AYIRA MINI MART FINAL MENU - Pr'!B106, ""en"", ""ar"")))"),"المشروبات الغازية")</f>
        <v>المشروبات الغازية</v>
      </c>
      <c r="C106" s="58">
        <f>IF('AYIRA MINI MART FINAL MENU - Pr'!C106="", "", 'AYIRA MINI MART FINAL MENU - Pr'!C106)</f>
        <v>4.5</v>
      </c>
      <c r="D106" s="58" t="str">
        <f>IF('AYIRA MINI MART FINAL MENU - Pr'!D106="", "", 'AYIRA MINI MART FINAL MENU - Pr'!D106)</f>
        <v>اكتشف Barbican Pomegranate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6" s="56" t="str">
        <f>IF('AYIRA MINI MART FINAL MENU - Pr'!E106="", "", 'AYIRA MINI MART FINAL MENU - Pr'!E106)</f>
        <v/>
      </c>
      <c r="F106" s="56" t="str">
        <f>IF('AYIRA MINI MART FINAL MENU - Pr'!F106="", "", 'AYIRA MINI MART FINAL MENU - Pr'!F106)</f>
        <v/>
      </c>
      <c r="G106" s="56" t="str">
        <f>IF('AYIRA MINI MART FINAL MENU - Pr'!G106="", "", 'AYIRA MINI MART FINAL MENU - Pr'!G106)</f>
        <v/>
      </c>
      <c r="H106" s="56" t="str">
        <f>IF('AYIRA MINI MART FINAL MENU - Pr'!H106="", "", 'AYIRA MINI MART FINAL MENU - Pr'!H106)</f>
        <v/>
      </c>
      <c r="I106" s="56" t="str">
        <f>IF('AYIRA MINI MART FINAL MENU - Pr'!I106="", "", 'AYIRA MINI MART FINAL MENU - Pr'!I106)</f>
        <v/>
      </c>
      <c r="J106" s="56" t="str">
        <f>IFERROR(__xludf.DUMMYFUNCTION("IF('AYIRA MINI MART FINAL MENU - Pr'!J106="""", """", GOOGLETRANSLATE('AYIRA MINI MART FINAL MENU - Pr'!J106, ""en"", ""ar""))"),"يعرض")</f>
        <v>يعرض</v>
      </c>
      <c r="K106" s="56" t="str">
        <f>IF('AYIRA MINI MART FINAL MENU - Pr'!K106="", "", 'AYIRA MINI MART FINAL MENU - Pr'!K106)</f>
        <v/>
      </c>
      <c r="L106" s="56" t="str">
        <f>IF('AYIRA MINI MART FINAL MENU - Pr'!L106="", "", 'AYIRA MINI MART FINAL MENU - Pr'!L106)</f>
        <v/>
      </c>
      <c r="M106" s="56" t="str">
        <f>IF('AYIRA MINI MART FINAL MENU - Pr'!M106="", "", 'AYIRA MINI MART FINAL MENU - Pr'!M106)</f>
        <v/>
      </c>
      <c r="N106" s="56" t="str">
        <f>IF('AYIRA MINI MART FINAL MENU - Pr'!N106="", "", 'AYIRA MINI MART FINAL MENU - Pr'!N106)</f>
        <v/>
      </c>
      <c r="O106" s="57"/>
      <c r="P106" s="57"/>
      <c r="Q106" s="57"/>
      <c r="R106" s="57"/>
      <c r="S106" s="57"/>
      <c r="T106" s="57"/>
      <c r="U106" s="57"/>
      <c r="V106" s="57"/>
      <c r="W106" s="57"/>
      <c r="X106" s="57"/>
      <c r="Y106" s="57"/>
      <c r="Z106" s="57"/>
    </row>
    <row r="107">
      <c r="A107" s="56" t="str">
        <f>IFERROR(__xludf.DUMMYFUNCTION("IF('AYIRA MINI MART FINAL MENU - Pr'!A107="""", """", IF(LEN(TRIM(REGEXREPLACE(REGEXREPLACE('AYIRA MINI MART FINAL MENU - Pr'!A107, ""^[^\x{0600}-\x{06FF}]+"", """"), ""^[-–\s]+"", """")))&gt;0, TRIM(REGEXREPLACE(REGEXREPLACE('AYIRA MINI MART FINAL MENU - Pr"&amp;"'!A107, ""^[^\x{0600}-\x{06FF}]+"", """"), ""^[-–\s]+"", """")), GOOGLETRANSLATE('AYIRA MINI MART FINAL MENU - Pr'!A107, ""en"", ""ar"")))"),"تفاح Flavour 330 مل")</f>
        <v>تفاح Flavour 330 مل</v>
      </c>
      <c r="B107" s="56" t="str">
        <f>IFERROR(__xludf.DUMMYFUNCTION("IF('AYIRA MINI MART FINAL MENU - Pr'!B107="""", """", IF(LEN(TRIM(REGEXREPLACE(REGEXREPLACE('AYIRA MINI MART FINAL MENU - Pr'!B107, ""^[^\x{0600}-\x{06FF}]+"", """"), ""^[-–\s]+"", """")))&gt;0, TRIM(REGEXREPLACE(REGEXREPLACE('AYIRA MINI MART FINAL MENU - Pr"&amp;"'!B107, ""^[^\x{0600}-\x{06FF}]+"", """"), ""^[-–\s]+"", """")), GOOGLETRANSLATE('AYIRA MINI MART FINAL MENU - Pr'!B107, ""en"", ""ar"")))"),"المشروبات الغازية")</f>
        <v>المشروبات الغازية</v>
      </c>
      <c r="C107" s="58">
        <f>IF('AYIRA MINI MART FINAL MENU - Pr'!C107="", "", 'AYIRA MINI MART FINAL MENU - Pr'!C107)</f>
        <v>4.5</v>
      </c>
      <c r="D107" s="58" t="str">
        <f>IF('AYIRA MINI MART FINAL MENU - Pr'!D107="", "", 'AYIRA MINI MART FINAL MENU - Pr'!D107)</f>
        <v>اكتشف Barbican Apple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7" s="56" t="str">
        <f>IF('AYIRA MINI MART FINAL MENU - Pr'!E107="", "", 'AYIRA MINI MART FINAL MENU - Pr'!E107)</f>
        <v/>
      </c>
      <c r="F107" s="56" t="str">
        <f>IF('AYIRA MINI MART FINAL MENU - Pr'!F107="", "", 'AYIRA MINI MART FINAL MENU - Pr'!F107)</f>
        <v/>
      </c>
      <c r="G107" s="56" t="str">
        <f>IF('AYIRA MINI MART FINAL MENU - Pr'!G107="", "", 'AYIRA MINI MART FINAL MENU - Pr'!G107)</f>
        <v/>
      </c>
      <c r="H107" s="56" t="str">
        <f>IF('AYIRA MINI MART FINAL MENU - Pr'!H107="", "", 'AYIRA MINI MART FINAL MENU - Pr'!H107)</f>
        <v/>
      </c>
      <c r="I107" s="56" t="str">
        <f>IF('AYIRA MINI MART FINAL MENU - Pr'!I107="", "", 'AYIRA MINI MART FINAL MENU - Pr'!I107)</f>
        <v/>
      </c>
      <c r="J107" s="56" t="str">
        <f>IFERROR(__xludf.DUMMYFUNCTION("IF('AYIRA MINI MART FINAL MENU - Pr'!J107="""", """", GOOGLETRANSLATE('AYIRA MINI MART FINAL MENU - Pr'!J107, ""en"", ""ar""))"),"يعرض")</f>
        <v>يعرض</v>
      </c>
      <c r="K107" s="56" t="str">
        <f>IF('AYIRA MINI MART FINAL MENU - Pr'!K107="", "", 'AYIRA MINI MART FINAL MENU - Pr'!K107)</f>
        <v/>
      </c>
      <c r="L107" s="56" t="str">
        <f>IF('AYIRA MINI MART FINAL MENU - Pr'!L107="", "", 'AYIRA MINI MART FINAL MENU - Pr'!L107)</f>
        <v/>
      </c>
      <c r="M107" s="56" t="str">
        <f>IF('AYIRA MINI MART FINAL MENU - Pr'!M107="", "", 'AYIRA MINI MART FINAL MENU - Pr'!M107)</f>
        <v/>
      </c>
      <c r="N107" s="56" t="str">
        <f>IF('AYIRA MINI MART FINAL MENU - Pr'!N107="", "", 'AYIRA MINI MART FINAL MENU - Pr'!N107)</f>
        <v/>
      </c>
      <c r="O107" s="57"/>
      <c r="P107" s="57"/>
      <c r="Q107" s="57"/>
      <c r="R107" s="57"/>
      <c r="S107" s="57"/>
      <c r="T107" s="57"/>
      <c r="U107" s="57"/>
      <c r="V107" s="57"/>
      <c r="W107" s="57"/>
      <c r="X107" s="57"/>
      <c r="Y107" s="57"/>
      <c r="Z107" s="57"/>
    </row>
    <row r="108">
      <c r="A108" s="56" t="str">
        <f>IFERROR(__xludf.DUMMYFUNCTION("IF('AYIRA MINI MART FINAL MENU - Pr'!A108="""", """", IF(LEN(TRIM(REGEXREPLACE(REGEXREPLACE('AYIRA MINI MART FINAL MENU - Pr'!A108, ""^[^\x{0600}-\x{06FF}]+"", """"), ""^[-–\s]+"", """")))&gt;0, TRIM(REGEXREPLACE(REGEXREPLACE('AYIRA MINI MART FINAL MENU - Pr"&amp;"'!A108, ""^[^\x{0600}-\x{06FF}]+"", """"), ""^[-–\s]+"", """")), GOOGLETRANSLATE('AYIRA MINI MART FINAL MENU - Pr'!A108, ""en"", ""ar"")))"),"خوخ Flavour 330 مل")</f>
        <v>خوخ Flavour 330 مل</v>
      </c>
      <c r="B108" s="56" t="str">
        <f>IFERROR(__xludf.DUMMYFUNCTION("IF('AYIRA MINI MART FINAL MENU - Pr'!B108="""", """", IF(LEN(TRIM(REGEXREPLACE(REGEXREPLACE('AYIRA MINI MART FINAL MENU - Pr'!B108, ""^[^\x{0600}-\x{06FF}]+"", """"), ""^[-–\s]+"", """")))&gt;0, TRIM(REGEXREPLACE(REGEXREPLACE('AYIRA MINI MART FINAL MENU - Pr"&amp;"'!B108, ""^[^\x{0600}-\x{06FF}]+"", """"), ""^[-–\s]+"", """")), GOOGLETRANSLATE('AYIRA MINI MART FINAL MENU - Pr'!B108, ""en"", ""ar"")))"),"المشروبات الغازية")</f>
        <v>المشروبات الغازية</v>
      </c>
      <c r="C108" s="58">
        <f>IF('AYIRA MINI MART FINAL MENU - Pr'!C108="", "", 'AYIRA MINI MART FINAL MENU - Pr'!C108)</f>
        <v>4.5</v>
      </c>
      <c r="D108" s="58" t="str">
        <f>IF('AYIRA MINI MART FINAL MENU - Pr'!D108="", "", 'AYIRA MINI MART FINAL MENU - Pr'!D108)</f>
        <v>اكتشف Barbican Peach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8" s="56" t="str">
        <f>IF('AYIRA MINI MART FINAL MENU - Pr'!E108="", "", 'AYIRA MINI MART FINAL MENU - Pr'!E108)</f>
        <v/>
      </c>
      <c r="F108" s="56" t="str">
        <f>IF('AYIRA MINI MART FINAL MENU - Pr'!F108="", "", 'AYIRA MINI MART FINAL MENU - Pr'!F108)</f>
        <v/>
      </c>
      <c r="G108" s="56" t="str">
        <f>IF('AYIRA MINI MART FINAL MENU - Pr'!G108="", "", 'AYIRA MINI MART FINAL MENU - Pr'!G108)</f>
        <v/>
      </c>
      <c r="H108" s="56" t="str">
        <f>IF('AYIRA MINI MART FINAL MENU - Pr'!H108="", "", 'AYIRA MINI MART FINAL MENU - Pr'!H108)</f>
        <v/>
      </c>
      <c r="I108" s="56" t="str">
        <f>IF('AYIRA MINI MART FINAL MENU - Pr'!I108="", "", 'AYIRA MINI MART FINAL MENU - Pr'!I108)</f>
        <v/>
      </c>
      <c r="J108" s="56" t="str">
        <f>IFERROR(__xludf.DUMMYFUNCTION("IF('AYIRA MINI MART FINAL MENU - Pr'!J108="""", """", GOOGLETRANSLATE('AYIRA MINI MART FINAL MENU - Pr'!J108, ""en"", ""ar""))"),"يعرض")</f>
        <v>يعرض</v>
      </c>
      <c r="K108" s="56" t="str">
        <f>IF('AYIRA MINI MART FINAL MENU - Pr'!K108="", "", 'AYIRA MINI MART FINAL MENU - Pr'!K108)</f>
        <v/>
      </c>
      <c r="L108" s="56" t="str">
        <f>IF('AYIRA MINI MART FINAL MENU - Pr'!L108="", "", 'AYIRA MINI MART FINAL MENU - Pr'!L108)</f>
        <v/>
      </c>
      <c r="M108" s="56" t="str">
        <f>IF('AYIRA MINI MART FINAL MENU - Pr'!M108="", "", 'AYIRA MINI MART FINAL MENU - Pr'!M108)</f>
        <v/>
      </c>
      <c r="N108" s="56" t="str">
        <f>IF('AYIRA MINI MART FINAL MENU - Pr'!N108="", "", 'AYIRA MINI MART FINAL MENU - Pr'!N108)</f>
        <v/>
      </c>
      <c r="O108" s="57"/>
      <c r="P108" s="57"/>
      <c r="Q108" s="57"/>
      <c r="R108" s="57"/>
      <c r="S108" s="57"/>
      <c r="T108" s="57"/>
      <c r="U108" s="57"/>
      <c r="V108" s="57"/>
      <c r="W108" s="57"/>
      <c r="X108" s="57"/>
      <c r="Y108" s="57"/>
      <c r="Z108" s="57"/>
    </row>
    <row r="109">
      <c r="A109" s="56" t="str">
        <f>IFERROR(__xludf.DUMMYFUNCTION("IF('AYIRA MINI MART FINAL MENU - Pr'!A109="""", """", IF(LEN(TRIM(REGEXREPLACE(REGEXREPLACE('AYIRA MINI MART FINAL MENU - Pr'!A109, ""^[^\x{0600}-\x{06FF}]+"", """"), ""^[-–\s]+"", """")))&gt;0, TRIM(REGEXREPLACE(REGEXREPLACE('AYIRA MINI MART FINAL MENU - Pr"&amp;"'!A109, ""^[^\x{0600}-\x{06FF}]+"", """"), ""^[-–\s]+"", """")), GOOGLETRANSLATE('AYIRA MINI MART FINAL MENU - Pr'!A109, ""en"", ""ar"")))"),"أناناس Flavour 330 مل")</f>
        <v>أناناس Flavour 330 مل</v>
      </c>
      <c r="B109" s="56" t="str">
        <f>IFERROR(__xludf.DUMMYFUNCTION("IF('AYIRA MINI MART FINAL MENU - Pr'!B109="""", """", IF(LEN(TRIM(REGEXREPLACE(REGEXREPLACE('AYIRA MINI MART FINAL MENU - Pr'!B109, ""^[^\x{0600}-\x{06FF}]+"", """"), ""^[-–\s]+"", """")))&gt;0, TRIM(REGEXREPLACE(REGEXREPLACE('AYIRA MINI MART FINAL MENU - Pr"&amp;"'!B109, ""^[^\x{0600}-\x{06FF}]+"", """"), ""^[-–\s]+"", """")), GOOGLETRANSLATE('AYIRA MINI MART FINAL MENU - Pr'!B109, ""en"", ""ar"")))"),"المشروبات الغازية")</f>
        <v>المشروبات الغازية</v>
      </c>
      <c r="C109" s="58">
        <f>IF('AYIRA MINI MART FINAL MENU - Pr'!C109="", "", 'AYIRA MINI MART FINAL MENU - Pr'!C109)</f>
        <v>4.5</v>
      </c>
      <c r="D109" s="58" t="str">
        <f>IF('AYIRA MINI MART FINAL MENU - Pr'!D109="", "", 'AYIRA MINI MART FINAL MENU - Pr'!D109)</f>
        <v>اكتشف Barbican Pineapple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9" s="56" t="str">
        <f>IF('AYIRA MINI MART FINAL MENU - Pr'!E109="", "", 'AYIRA MINI MART FINAL MENU - Pr'!E109)</f>
        <v/>
      </c>
      <c r="F109" s="56" t="str">
        <f>IF('AYIRA MINI MART FINAL MENU - Pr'!F109="", "", 'AYIRA MINI MART FINAL MENU - Pr'!F109)</f>
        <v/>
      </c>
      <c r="G109" s="56" t="str">
        <f>IF('AYIRA MINI MART FINAL MENU - Pr'!G109="", "", 'AYIRA MINI MART FINAL MENU - Pr'!G109)</f>
        <v/>
      </c>
      <c r="H109" s="56" t="str">
        <f>IF('AYIRA MINI MART FINAL MENU - Pr'!H109="", "", 'AYIRA MINI MART FINAL MENU - Pr'!H109)</f>
        <v/>
      </c>
      <c r="I109" s="56" t="str">
        <f>IF('AYIRA MINI MART FINAL MENU - Pr'!I109="", "", 'AYIRA MINI MART FINAL MENU - Pr'!I109)</f>
        <v/>
      </c>
      <c r="J109" s="56" t="str">
        <f>IFERROR(__xludf.DUMMYFUNCTION("IF('AYIRA MINI MART FINAL MENU - Pr'!J109="""", """", GOOGLETRANSLATE('AYIRA MINI MART FINAL MENU - Pr'!J109, ""en"", ""ar""))"),"يعرض")</f>
        <v>يعرض</v>
      </c>
      <c r="K109" s="56" t="str">
        <f>IF('AYIRA MINI MART FINAL MENU - Pr'!K109="", "", 'AYIRA MINI MART FINAL MENU - Pr'!K109)</f>
        <v/>
      </c>
      <c r="L109" s="56" t="str">
        <f>IF('AYIRA MINI MART FINAL MENU - Pr'!L109="", "", 'AYIRA MINI MART FINAL MENU - Pr'!L109)</f>
        <v/>
      </c>
      <c r="M109" s="56" t="str">
        <f>IF('AYIRA MINI MART FINAL MENU - Pr'!M109="", "", 'AYIRA MINI MART FINAL MENU - Pr'!M109)</f>
        <v/>
      </c>
      <c r="N109" s="56" t="str">
        <f>IF('AYIRA MINI MART FINAL MENU - Pr'!N109="", "", 'AYIRA MINI MART FINAL MENU - Pr'!N109)</f>
        <v/>
      </c>
      <c r="O109" s="57"/>
      <c r="P109" s="57"/>
      <c r="Q109" s="57"/>
      <c r="R109" s="57"/>
      <c r="S109" s="57"/>
      <c r="T109" s="57"/>
      <c r="U109" s="57"/>
      <c r="V109" s="57"/>
      <c r="W109" s="57"/>
      <c r="X109" s="57"/>
      <c r="Y109" s="57"/>
      <c r="Z109" s="57"/>
    </row>
    <row r="110">
      <c r="A110" s="56" t="str">
        <f>IFERROR(__xludf.DUMMYFUNCTION("IF('AYIRA MINI MART FINAL MENU - Pr'!A110="""", """", IF(LEN(TRIM(REGEXREPLACE(REGEXREPLACE('AYIRA MINI MART FINAL MENU - Pr'!A110, ""^[^\x{0600}-\x{06FF}]+"", """"), ""^[-–\s]+"", """")))&gt;0, TRIM(REGEXREPLACE(REGEXREPLACE('AYIRA MINI MART FINAL MENU - Pr"&amp;"'!A110, ""^[^\x{0600}-\x{06FF}]+"", """"), ""^[-–\s]+"", """")), GOOGLETRANSLATE('AYIRA MINI MART FINAL MENU - Pr'!A110, ""en"", ""ar"")))"),"خوخ Flavour 330 مل")</f>
        <v>خوخ Flavour 330 مل</v>
      </c>
      <c r="B110" s="56" t="str">
        <f>IFERROR(__xludf.DUMMYFUNCTION("IF('AYIRA MINI MART FINAL MENU - Pr'!B110="""", """", IF(LEN(TRIM(REGEXREPLACE(REGEXREPLACE('AYIRA MINI MART FINAL MENU - Pr'!B110, ""^[^\x{0600}-\x{06FF}]+"", """"), ""^[-–\s]+"", """")))&gt;0, TRIM(REGEXREPLACE(REGEXREPLACE('AYIRA MINI MART FINAL MENU - Pr"&amp;"'!B110, ""^[^\x{0600}-\x{06FF}]+"", """"), ""^[-–\s]+"", """")), GOOGLETRANSLATE('AYIRA MINI MART FINAL MENU - Pr'!B110, ""en"", ""ar"")))"),"المشروبات الغازية")</f>
        <v>المشروبات الغازية</v>
      </c>
      <c r="C110" s="58">
        <f>IF('AYIRA MINI MART FINAL MENU - Pr'!C110="", "", 'AYIRA MINI MART FINAL MENU - Pr'!C110)</f>
        <v>5.5</v>
      </c>
      <c r="D110" s="58" t="str">
        <f>IF('AYIRA MINI MART FINAL MENU - Pr'!D110="", "", 'AYIRA MINI MART FINAL MENU - Pr'!D110)</f>
        <v>اكتشف Moussy Peach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10" s="56" t="str">
        <f>IF('AYIRA MINI MART FINAL MENU - Pr'!E110="", "", 'AYIRA MINI MART FINAL MENU - Pr'!E110)</f>
        <v/>
      </c>
      <c r="F110" s="56" t="str">
        <f>IF('AYIRA MINI MART FINAL MENU - Pr'!F110="", "", 'AYIRA MINI MART FINAL MENU - Pr'!F110)</f>
        <v/>
      </c>
      <c r="G110" s="56" t="str">
        <f>IF('AYIRA MINI MART FINAL MENU - Pr'!G110="", "", 'AYIRA MINI MART FINAL MENU - Pr'!G110)</f>
        <v/>
      </c>
      <c r="H110" s="56" t="str">
        <f>IF('AYIRA MINI MART FINAL MENU - Pr'!H110="", "", 'AYIRA MINI MART FINAL MENU - Pr'!H110)</f>
        <v/>
      </c>
      <c r="I110" s="56" t="str">
        <f>IF('AYIRA MINI MART FINAL MENU - Pr'!I110="", "", 'AYIRA MINI MART FINAL MENU - Pr'!I110)</f>
        <v/>
      </c>
      <c r="J110" s="56" t="str">
        <f>IFERROR(__xludf.DUMMYFUNCTION("IF('AYIRA MINI MART FINAL MENU - Pr'!J110="""", """", GOOGLETRANSLATE('AYIRA MINI MART FINAL MENU - Pr'!J110, ""en"", ""ar""))"),"يعرض")</f>
        <v>يعرض</v>
      </c>
      <c r="K110" s="56" t="str">
        <f>IF('AYIRA MINI MART FINAL MENU - Pr'!K110="", "", 'AYIRA MINI MART FINAL MENU - Pr'!K110)</f>
        <v/>
      </c>
      <c r="L110" s="56" t="str">
        <f>IF('AYIRA MINI MART FINAL MENU - Pr'!L110="", "", 'AYIRA MINI MART FINAL MENU - Pr'!L110)</f>
        <v/>
      </c>
      <c r="M110" s="56" t="str">
        <f>IF('AYIRA MINI MART FINAL MENU - Pr'!M110="", "", 'AYIRA MINI MART FINAL MENU - Pr'!M110)</f>
        <v/>
      </c>
      <c r="N110" s="56" t="str">
        <f>IF('AYIRA MINI MART FINAL MENU - Pr'!N110="", "", 'AYIRA MINI MART FINAL MENU - Pr'!N110)</f>
        <v/>
      </c>
      <c r="O110" s="57"/>
      <c r="P110" s="57"/>
      <c r="Q110" s="57"/>
      <c r="R110" s="57"/>
      <c r="S110" s="57"/>
      <c r="T110" s="57"/>
      <c r="U110" s="57"/>
      <c r="V110" s="57"/>
      <c r="W110" s="57"/>
      <c r="X110" s="57"/>
      <c r="Y110" s="57"/>
      <c r="Z110" s="57"/>
    </row>
    <row r="111">
      <c r="A111" s="56" t="str">
        <f>IFERROR(__xludf.DUMMYFUNCTION("IF('AYIRA MINI MART FINAL MENU - Pr'!A111="""", """", IF(LEN(TRIM(REGEXREPLACE(REGEXREPLACE('AYIRA MINI MART FINAL MENU - Pr'!A111, ""^[^\x{0600}-\x{06FF}]+"", """"), ""^[-–\s]+"", """")))&gt;0, TRIM(REGEXREPLACE(REGEXREPLACE('AYIRA MINI MART FINAL MENU - Pr"&amp;"'!A111, ""^[^\x{0600}-\x{06FF}]+"", """"), ""^[-–\s]+"", """")), GOOGLETRANSLATE('AYIRA MINI MART FINAL MENU - Pr'!A111, ""en"", ""ar"")))"),"مل")</f>
        <v>مل</v>
      </c>
      <c r="B111" s="56" t="str">
        <f>IFERROR(__xludf.DUMMYFUNCTION("IF('AYIRA MINI MART FINAL MENU - Pr'!B111="""", """", IF(LEN(TRIM(REGEXREPLACE(REGEXREPLACE('AYIRA MINI MART FINAL MENU - Pr'!B111, ""^[^\x{0600}-\x{06FF}]+"", """"), ""^[-–\s]+"", """")))&gt;0, TRIM(REGEXREPLACE(REGEXREPLACE('AYIRA MINI MART FINAL MENU - Pr"&amp;"'!B111, ""^[^\x{0600}-\x{06FF}]+"", """"), ""^[-–\s]+"", """")), GOOGLETRANSLATE('AYIRA MINI MART FINAL MENU - Pr'!B111, ""en"", ""ar"")))"),"المشروبات الغازية")</f>
        <v>المشروبات الغازية</v>
      </c>
      <c r="C111" s="58">
        <f>IF('AYIRA MINI MART FINAL MENU - Pr'!C111="", "", 'AYIRA MINI MART FINAL MENU - Pr'!C111)</f>
        <v>5.5</v>
      </c>
      <c r="D111" s="58" t="str">
        <f>IF('AYIRA MINI MART FINAL MENU - Pr'!D111="", "", 'AYIRA MINI MART FINAL MENU - Pr'!D111)</f>
        <v>اكتشف Moussy Raspberry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11" s="56" t="str">
        <f>IF('AYIRA MINI MART FINAL MENU - Pr'!E111="", "", 'AYIRA MINI MART FINAL MENU - Pr'!E111)</f>
        <v/>
      </c>
      <c r="F111" s="56" t="str">
        <f>IF('AYIRA MINI MART FINAL MENU - Pr'!F111="", "", 'AYIRA MINI MART FINAL MENU - Pr'!F111)</f>
        <v/>
      </c>
      <c r="G111" s="56" t="str">
        <f>IF('AYIRA MINI MART FINAL MENU - Pr'!G111="", "", 'AYIRA MINI MART FINAL MENU - Pr'!G111)</f>
        <v/>
      </c>
      <c r="H111" s="56" t="str">
        <f>IF('AYIRA MINI MART FINAL MENU - Pr'!H111="", "", 'AYIRA MINI MART FINAL MENU - Pr'!H111)</f>
        <v/>
      </c>
      <c r="I111" s="56" t="str">
        <f>IF('AYIRA MINI MART FINAL MENU - Pr'!I111="", "", 'AYIRA MINI MART FINAL MENU - Pr'!I111)</f>
        <v/>
      </c>
      <c r="J111" s="56" t="str">
        <f>IFERROR(__xludf.DUMMYFUNCTION("IF('AYIRA MINI MART FINAL MENU - Pr'!J111="""", """", GOOGLETRANSLATE('AYIRA MINI MART FINAL MENU - Pr'!J111, ""en"", ""ar""))"),"يعرض")</f>
        <v>يعرض</v>
      </c>
      <c r="K111" s="56" t="str">
        <f>IF('AYIRA MINI MART FINAL MENU - Pr'!K111="", "", 'AYIRA MINI MART FINAL MENU - Pr'!K111)</f>
        <v/>
      </c>
      <c r="L111" s="56" t="str">
        <f>IF('AYIRA MINI MART FINAL MENU - Pr'!L111="", "", 'AYIRA MINI MART FINAL MENU - Pr'!L111)</f>
        <v/>
      </c>
      <c r="M111" s="56" t="str">
        <f>IF('AYIRA MINI MART FINAL MENU - Pr'!M111="", "", 'AYIRA MINI MART FINAL MENU - Pr'!M111)</f>
        <v/>
      </c>
      <c r="N111" s="56" t="str">
        <f>IF('AYIRA MINI MART FINAL MENU - Pr'!N111="", "", 'AYIRA MINI MART FINAL MENU - Pr'!N111)</f>
        <v/>
      </c>
      <c r="O111" s="57"/>
      <c r="P111" s="57"/>
      <c r="Q111" s="57"/>
      <c r="R111" s="57"/>
      <c r="S111" s="57"/>
      <c r="T111" s="57"/>
      <c r="U111" s="57"/>
      <c r="V111" s="57"/>
      <c r="W111" s="57"/>
      <c r="X111" s="57"/>
      <c r="Y111" s="57"/>
      <c r="Z111" s="57"/>
    </row>
    <row r="112">
      <c r="A112" s="56" t="str">
        <f>IFERROR(__xludf.DUMMYFUNCTION("IF('AYIRA MINI MART FINAL MENU - Pr'!A112="""", """", IF(LEN(TRIM(REGEXREPLACE(REGEXREPLACE('AYIRA MINI MART FINAL MENU - Pr'!A112, ""^[^\x{0600}-\x{06FF}]+"", """"), ""^[-–\s]+"", """")))&gt;0, TRIM(REGEXREPLACE(REGEXREPLACE('AYIRA MINI MART FINAL MENU - Pr"&amp;"'!A112, ""^[^\x{0600}-\x{06FF}]+"", """"), ""^[-–\s]+"", """")), GOOGLETRANSLATE('AYIRA MINI MART FINAL MENU - Pr'!A112, ""en"", ""ar"")))"),"فراولة Flavour 330 مل")</f>
        <v>فراولة Flavour 330 مل</v>
      </c>
      <c r="B112" s="56" t="str">
        <f>IFERROR(__xludf.DUMMYFUNCTION("IF('AYIRA MINI MART FINAL MENU - Pr'!B112="""", """", IF(LEN(TRIM(REGEXREPLACE(REGEXREPLACE('AYIRA MINI MART FINAL MENU - Pr'!B112, ""^[^\x{0600}-\x{06FF}]+"", """"), ""^[-–\s]+"", """")))&gt;0, TRIM(REGEXREPLACE(REGEXREPLACE('AYIRA MINI MART FINAL MENU - Pr"&amp;"'!B112, ""^[^\x{0600}-\x{06FF}]+"", """"), ""^[-–\s]+"", """")), GOOGLETRANSLATE('AYIRA MINI MART FINAL MENU - Pr'!B112, ""en"", ""ar"")))"),"المشروبات الغازية")</f>
        <v>المشروبات الغازية</v>
      </c>
      <c r="C112" s="58">
        <f>IF('AYIRA MINI MART FINAL MENU - Pr'!C112="", "", 'AYIRA MINI MART FINAL MENU - Pr'!C112)</f>
        <v>5.5</v>
      </c>
      <c r="D112" s="58" t="str">
        <f>IF('AYIRA MINI MART FINAL MENU - Pr'!D112="", "", 'AYIRA MINI MART FINAL MENU - Pr'!D112)</f>
        <v>اكتشف Moussy Strawberry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12" s="56" t="str">
        <f>IF('AYIRA MINI MART FINAL MENU - Pr'!E112="", "", 'AYIRA MINI MART FINAL MENU - Pr'!E112)</f>
        <v/>
      </c>
      <c r="F112" s="56" t="str">
        <f>IF('AYIRA MINI MART FINAL MENU - Pr'!F112="", "", 'AYIRA MINI MART FINAL MENU - Pr'!F112)</f>
        <v/>
      </c>
      <c r="G112" s="56" t="str">
        <f>IF('AYIRA MINI MART FINAL MENU - Pr'!G112="", "", 'AYIRA MINI MART FINAL MENU - Pr'!G112)</f>
        <v/>
      </c>
      <c r="H112" s="56" t="str">
        <f>IF('AYIRA MINI MART FINAL MENU - Pr'!H112="", "", 'AYIRA MINI MART FINAL MENU - Pr'!H112)</f>
        <v/>
      </c>
      <c r="I112" s="56" t="str">
        <f>IF('AYIRA MINI MART FINAL MENU - Pr'!I112="", "", 'AYIRA MINI MART FINAL MENU - Pr'!I112)</f>
        <v/>
      </c>
      <c r="J112" s="56" t="str">
        <f>IFERROR(__xludf.DUMMYFUNCTION("IF('AYIRA MINI MART FINAL MENU - Pr'!J112="""", """", GOOGLETRANSLATE('AYIRA MINI MART FINAL MENU - Pr'!J112, ""en"", ""ar""))"),"يعرض")</f>
        <v>يعرض</v>
      </c>
      <c r="K112" s="56" t="str">
        <f>IF('AYIRA MINI MART FINAL MENU - Pr'!K112="", "", 'AYIRA MINI MART FINAL MENU - Pr'!K112)</f>
        <v/>
      </c>
      <c r="L112" s="56" t="str">
        <f>IF('AYIRA MINI MART FINAL MENU - Pr'!L112="", "", 'AYIRA MINI MART FINAL MENU - Pr'!L112)</f>
        <v/>
      </c>
      <c r="M112" s="56" t="str">
        <f>IF('AYIRA MINI MART FINAL MENU - Pr'!M112="", "", 'AYIRA MINI MART FINAL MENU - Pr'!M112)</f>
        <v/>
      </c>
      <c r="N112" s="56" t="str">
        <f>IF('AYIRA MINI MART FINAL MENU - Pr'!N112="", "", 'AYIRA MINI MART FINAL MENU - Pr'!N112)</f>
        <v/>
      </c>
      <c r="O112" s="57"/>
      <c r="P112" s="57"/>
      <c r="Q112" s="57"/>
      <c r="R112" s="57"/>
      <c r="S112" s="57"/>
      <c r="T112" s="57"/>
      <c r="U112" s="57"/>
      <c r="V112" s="57"/>
      <c r="W112" s="57"/>
      <c r="X112" s="57"/>
      <c r="Y112" s="57"/>
      <c r="Z112" s="57"/>
    </row>
    <row r="113">
      <c r="A113" s="56" t="str">
        <f>IFERROR(__xludf.DUMMYFUNCTION("IF('AYIRA MINI MART FINAL MENU - Pr'!A113="""", """", IF(LEN(TRIM(REGEXREPLACE(REGEXREPLACE('AYIRA MINI MART FINAL MENU - Pr'!A113, ""^[^\x{0600}-\x{06FF}]+"", """"), ""^[-–\s]+"", """")))&gt;0, TRIM(REGEXREPLACE(REGEXREPLACE('AYIRA MINI MART FINAL MENU - Pr"&amp;"'!A113, ""^[^\x{0600}-\x{06FF}]+"", """"), ""^[-–\s]+"", """")), GOOGLETRANSLATE('AYIRA MINI MART FINAL MENU - Pr'!A113, ""en"", ""ar"")))"),"تفاح Flavour 330 مل")</f>
        <v>تفاح Flavour 330 مل</v>
      </c>
      <c r="B113" s="56" t="str">
        <f>IFERROR(__xludf.DUMMYFUNCTION("IF('AYIRA MINI MART FINAL MENU - Pr'!B113="""", """", IF(LEN(TRIM(REGEXREPLACE(REGEXREPLACE('AYIRA MINI MART FINAL MENU - Pr'!B113, ""^[^\x{0600}-\x{06FF}]+"", """"), ""^[-–\s]+"", """")))&gt;0, TRIM(REGEXREPLACE(REGEXREPLACE('AYIRA MINI MART FINAL MENU - Pr"&amp;"'!B113, ""^[^\x{0600}-\x{06FF}]+"", """"), ""^[-–\s]+"", """")), GOOGLETRANSLATE('AYIRA MINI MART FINAL MENU - Pr'!B113, ""en"", ""ar"")))"),"المشروبات الغازية")</f>
        <v>المشروبات الغازية</v>
      </c>
      <c r="C113" s="58">
        <f>IF('AYIRA MINI MART FINAL MENU - Pr'!C113="", "", 'AYIRA MINI MART FINAL MENU - Pr'!C113)</f>
        <v>5.5</v>
      </c>
      <c r="D113" s="58" t="str">
        <f>IF('AYIRA MINI MART FINAL MENU - Pr'!D113="", "", 'AYIRA MINI MART FINAL MENU - Pr'!D113)</f>
        <v>اكتشف Moussy Apple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13" s="56" t="str">
        <f>IF('AYIRA MINI MART FINAL MENU - Pr'!E113="", "", 'AYIRA MINI MART FINAL MENU - Pr'!E113)</f>
        <v/>
      </c>
      <c r="F113" s="56" t="str">
        <f>IF('AYIRA MINI MART FINAL MENU - Pr'!F113="", "", 'AYIRA MINI MART FINAL MENU - Pr'!F113)</f>
        <v/>
      </c>
      <c r="G113" s="56" t="str">
        <f>IF('AYIRA MINI MART FINAL MENU - Pr'!G113="", "", 'AYIRA MINI MART FINAL MENU - Pr'!G113)</f>
        <v/>
      </c>
      <c r="H113" s="56" t="str">
        <f>IF('AYIRA MINI MART FINAL MENU - Pr'!H113="", "", 'AYIRA MINI MART FINAL MENU - Pr'!H113)</f>
        <v/>
      </c>
      <c r="I113" s="56" t="str">
        <f>IF('AYIRA MINI MART FINAL MENU - Pr'!I113="", "", 'AYIRA MINI MART FINAL MENU - Pr'!I113)</f>
        <v/>
      </c>
      <c r="J113" s="56" t="str">
        <f>IFERROR(__xludf.DUMMYFUNCTION("IF('AYIRA MINI MART FINAL MENU - Pr'!J113="""", """", GOOGLETRANSLATE('AYIRA MINI MART FINAL MENU - Pr'!J113, ""en"", ""ar""))"),"يعرض")</f>
        <v>يعرض</v>
      </c>
      <c r="K113" s="56" t="str">
        <f>IF('AYIRA MINI MART FINAL MENU - Pr'!K113="", "", 'AYIRA MINI MART FINAL MENU - Pr'!K113)</f>
        <v/>
      </c>
      <c r="L113" s="56" t="str">
        <f>IF('AYIRA MINI MART FINAL MENU - Pr'!L113="", "", 'AYIRA MINI MART FINAL MENU - Pr'!L113)</f>
        <v/>
      </c>
      <c r="M113" s="56" t="str">
        <f>IF('AYIRA MINI MART FINAL MENU - Pr'!M113="", "", 'AYIRA MINI MART FINAL MENU - Pr'!M113)</f>
        <v/>
      </c>
      <c r="N113" s="56" t="str">
        <f>IF('AYIRA MINI MART FINAL MENU - Pr'!N113="", "", 'AYIRA MINI MART FINAL MENU - Pr'!N113)</f>
        <v/>
      </c>
      <c r="O113" s="57"/>
      <c r="P113" s="57"/>
      <c r="Q113" s="57"/>
      <c r="R113" s="57"/>
      <c r="S113" s="57"/>
      <c r="T113" s="57"/>
      <c r="U113" s="57"/>
      <c r="V113" s="57"/>
      <c r="W113" s="57"/>
      <c r="X113" s="57"/>
      <c r="Y113" s="57"/>
      <c r="Z113" s="57"/>
    </row>
    <row r="114">
      <c r="A114" s="56" t="str">
        <f>IFERROR(__xludf.DUMMYFUNCTION("IF('AYIRA MINI MART FINAL MENU - Pr'!A114="""", """", IF(LEN(TRIM(REGEXREPLACE(REGEXREPLACE('AYIRA MINI MART FINAL MENU - Pr'!A114, ""^[^\x{0600}-\x{06FF}]+"", """"), ""^[-–\s]+"", """")))&gt;0, TRIM(REGEXREPLACE(REGEXREPLACE('AYIRA MINI MART FINAL MENU - Pr"&amp;"'!A114, ""^[^\x{0600}-\x{06FF}]+"", """"), ""^[-–\s]+"", """")), GOOGLETRANSLATE('AYIRA MINI MART FINAL MENU - Pr'!A114, ""en"", ""ar"")))"),"ليمون نعناع Flavour 330 مل")</f>
        <v>ليمون نعناع Flavour 330 مل</v>
      </c>
      <c r="B114" s="56" t="str">
        <f>IFERROR(__xludf.DUMMYFUNCTION("IF('AYIRA MINI MART FINAL MENU - Pr'!B114="""", """", IF(LEN(TRIM(REGEXREPLACE(REGEXREPLACE('AYIRA MINI MART FINAL MENU - Pr'!B114, ""^[^\x{0600}-\x{06FF}]+"", """"), ""^[-–\s]+"", """")))&gt;0, TRIM(REGEXREPLACE(REGEXREPLACE('AYIRA MINI MART FINAL MENU - Pr"&amp;"'!B114, ""^[^\x{0600}-\x{06FF}]+"", """"), ""^[-–\s]+"", """")), GOOGLETRANSLATE('AYIRA MINI MART FINAL MENU - Pr'!B114, ""en"", ""ar"")))"),"المشروبات الغازية")</f>
        <v>المشروبات الغازية</v>
      </c>
      <c r="C114" s="58">
        <f>IF('AYIRA MINI MART FINAL MENU - Pr'!C114="", "", 'AYIRA MINI MART FINAL MENU - Pr'!C114)</f>
        <v>5.5</v>
      </c>
      <c r="D114" s="58" t="str">
        <f>IF('AYIRA MINI MART FINAL MENU - Pr'!D114="", "", 'AYIRA MINI MART FINAL MENU - Pr'!D114)</f>
        <v>أضف لحظة حلوة إلى يومك مع Moussy Lemon Mint Flavour 330ml،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114" s="56" t="str">
        <f>IF('AYIRA MINI MART FINAL MENU - Pr'!E114="", "", 'AYIRA MINI MART FINAL MENU - Pr'!E114)</f>
        <v/>
      </c>
      <c r="F114" s="56" t="str">
        <f>IF('AYIRA MINI MART FINAL MENU - Pr'!F114="", "", 'AYIRA MINI MART FINAL MENU - Pr'!F114)</f>
        <v/>
      </c>
      <c r="G114" s="56" t="str">
        <f>IF('AYIRA MINI MART FINAL MENU - Pr'!G114="", "", 'AYIRA MINI MART FINAL MENU - Pr'!G114)</f>
        <v/>
      </c>
      <c r="H114" s="56" t="str">
        <f>IF('AYIRA MINI MART FINAL MENU - Pr'!H114="", "", 'AYIRA MINI MART FINAL MENU - Pr'!H114)</f>
        <v/>
      </c>
      <c r="I114" s="56" t="str">
        <f>IF('AYIRA MINI MART FINAL MENU - Pr'!I114="", "", 'AYIRA MINI MART FINAL MENU - Pr'!I114)</f>
        <v/>
      </c>
      <c r="J114" s="56" t="str">
        <f>IFERROR(__xludf.DUMMYFUNCTION("IF('AYIRA MINI MART FINAL MENU - Pr'!J114="""", """", GOOGLETRANSLATE('AYIRA MINI MART FINAL MENU - Pr'!J114, ""en"", ""ar""))"),"يعرض")</f>
        <v>يعرض</v>
      </c>
      <c r="K114" s="56" t="str">
        <f>IF('AYIRA MINI MART FINAL MENU - Pr'!K114="", "", 'AYIRA MINI MART FINAL MENU - Pr'!K114)</f>
        <v/>
      </c>
      <c r="L114" s="56" t="str">
        <f>IF('AYIRA MINI MART FINAL MENU - Pr'!L114="", "", 'AYIRA MINI MART FINAL MENU - Pr'!L114)</f>
        <v/>
      </c>
      <c r="M114" s="56" t="str">
        <f>IF('AYIRA MINI MART FINAL MENU - Pr'!M114="", "", 'AYIRA MINI MART FINAL MENU - Pr'!M114)</f>
        <v/>
      </c>
      <c r="N114" s="56" t="str">
        <f>IF('AYIRA MINI MART FINAL MENU - Pr'!N114="", "", 'AYIRA MINI MART FINAL MENU - Pr'!N114)</f>
        <v/>
      </c>
      <c r="O114" s="57"/>
      <c r="P114" s="57"/>
      <c r="Q114" s="57"/>
      <c r="R114" s="57"/>
      <c r="S114" s="57"/>
      <c r="T114" s="57"/>
      <c r="U114" s="57"/>
      <c r="V114" s="57"/>
      <c r="W114" s="57"/>
      <c r="X114" s="57"/>
      <c r="Y114" s="57"/>
      <c r="Z114" s="57"/>
    </row>
    <row r="115">
      <c r="A115" s="56" t="str">
        <f>IFERROR(__xludf.DUMMYFUNCTION("IF('AYIRA MINI MART FINAL MENU - Pr'!A115="""", """", IF(LEN(TRIM(REGEXREPLACE(REGEXREPLACE('AYIRA MINI MART FINAL MENU - Pr'!A115, ""^[^\x{0600}-\x{06FF}]+"", """"), ""^[-–\s]+"", """")))&gt;0, TRIM(REGEXREPLACE(REGEXREPLACE('AYIRA MINI MART FINAL MENU - Pr"&amp;"'!A115, ""^[^\x{0600}-\x{06FF}]+"", """"), ""^[-–\s]+"", """")), GOOGLETRANSLATE('AYIRA MINI MART FINAL MENU - Pr'!A115, ""en"", ""ar"")))"),"كلاسيك Flavour 330 مل")</f>
        <v>كلاسيك Flavour 330 مل</v>
      </c>
      <c r="B115" s="56" t="str">
        <f>IFERROR(__xludf.DUMMYFUNCTION("IF('AYIRA MINI MART FINAL MENU - Pr'!B115="""", """", IF(LEN(TRIM(REGEXREPLACE(REGEXREPLACE('AYIRA MINI MART FINAL MENU - Pr'!B115, ""^[^\x{0600}-\x{06FF}]+"", """"), ""^[-–\s]+"", """")))&gt;0, TRIM(REGEXREPLACE(REGEXREPLACE('AYIRA MINI MART FINAL MENU - Pr"&amp;"'!B115, ""^[^\x{0600}-\x{06FF}]+"", """"), ""^[-–\s]+"", """")), GOOGLETRANSLATE('AYIRA MINI MART FINAL MENU - Pr'!B115, ""en"", ""ar"")))"),"المشروبات الغازية")</f>
        <v>المشروبات الغازية</v>
      </c>
      <c r="C115" s="58">
        <f>IF('AYIRA MINI MART FINAL MENU - Pr'!C115="", "", 'AYIRA MINI MART FINAL MENU - Pr'!C115)</f>
        <v>5.5</v>
      </c>
      <c r="D115" s="58" t="str">
        <f>IF('AYIRA MINI MART FINAL MENU - Pr'!D115="", "", 'AYIRA MINI MART FINAL MENU - Pr'!D115)</f>
        <v>اكتشف Moussy Classic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15" s="56" t="str">
        <f>IF('AYIRA MINI MART FINAL MENU - Pr'!E115="", "", 'AYIRA MINI MART FINAL MENU - Pr'!E115)</f>
        <v/>
      </c>
      <c r="F115" s="56" t="str">
        <f>IF('AYIRA MINI MART FINAL MENU - Pr'!F115="", "", 'AYIRA MINI MART FINAL MENU - Pr'!F115)</f>
        <v/>
      </c>
      <c r="G115" s="56" t="str">
        <f>IF('AYIRA MINI MART FINAL MENU - Pr'!G115="", "", 'AYIRA MINI MART FINAL MENU - Pr'!G115)</f>
        <v/>
      </c>
      <c r="H115" s="56" t="str">
        <f>IF('AYIRA MINI MART FINAL MENU - Pr'!H115="", "", 'AYIRA MINI MART FINAL MENU - Pr'!H115)</f>
        <v/>
      </c>
      <c r="I115" s="56" t="str">
        <f>IF('AYIRA MINI MART FINAL MENU - Pr'!I115="", "", 'AYIRA MINI MART FINAL MENU - Pr'!I115)</f>
        <v/>
      </c>
      <c r="J115" s="56" t="str">
        <f>IFERROR(__xludf.DUMMYFUNCTION("IF('AYIRA MINI MART FINAL MENU - Pr'!J115="""", """", GOOGLETRANSLATE('AYIRA MINI MART FINAL MENU - Pr'!J115, ""en"", ""ar""))"),"يعرض")</f>
        <v>يعرض</v>
      </c>
      <c r="K115" s="56" t="str">
        <f>IF('AYIRA MINI MART FINAL MENU - Pr'!K115="", "", 'AYIRA MINI MART FINAL MENU - Pr'!K115)</f>
        <v/>
      </c>
      <c r="L115" s="56" t="str">
        <f>IF('AYIRA MINI MART FINAL MENU - Pr'!L115="", "", 'AYIRA MINI MART FINAL MENU - Pr'!L115)</f>
        <v/>
      </c>
      <c r="M115" s="56" t="str">
        <f>IF('AYIRA MINI MART FINAL MENU - Pr'!M115="", "", 'AYIRA MINI MART FINAL MENU - Pr'!M115)</f>
        <v/>
      </c>
      <c r="N115" s="56" t="str">
        <f>IF('AYIRA MINI MART FINAL MENU - Pr'!N115="", "", 'AYIRA MINI MART FINAL MENU - Pr'!N115)</f>
        <v/>
      </c>
      <c r="O115" s="57"/>
      <c r="P115" s="57"/>
      <c r="Q115" s="57"/>
      <c r="R115" s="57"/>
      <c r="S115" s="57"/>
      <c r="T115" s="57"/>
      <c r="U115" s="57"/>
      <c r="V115" s="57"/>
      <c r="W115" s="57"/>
      <c r="X115" s="57"/>
      <c r="Y115" s="57"/>
      <c r="Z115" s="57"/>
    </row>
    <row r="116">
      <c r="A116" s="56" t="str">
        <f>IFERROR(__xludf.DUMMYFUNCTION("IF('AYIRA MINI MART FINAL MENU - Pr'!A116="""", """", IF(LEN(TRIM(REGEXREPLACE(REGEXREPLACE('AYIRA MINI MART FINAL MENU - Pr'!A116, ""^[^\x{0600}-\x{06FF}]+"", """"), ""^[-–\s]+"", """")))&gt;0, TRIM(REGEXREPLACE(REGEXREPLACE('AYIRA MINI MART FINAL MENU - Pr"&amp;"'!A116, ""^[^\x{0600}-\x{06FF}]+"", """"), ""^[-–\s]+"", """")), GOOGLETRANSLATE('AYIRA MINI MART FINAL MENU - Pr'!A116, ""en"", ""ar"")))"),"مل")</f>
        <v>مل</v>
      </c>
      <c r="B116" s="56" t="str">
        <f>IFERROR(__xludf.DUMMYFUNCTION("IF('AYIRA MINI MART FINAL MENU - Pr'!B116="""", """", IF(LEN(TRIM(REGEXREPLACE(REGEXREPLACE('AYIRA MINI MART FINAL MENU - Pr'!B116, ""^[^\x{0600}-\x{06FF}]+"", """"), ""^[-–\s]+"", """")))&gt;0, TRIM(REGEXREPLACE(REGEXREPLACE('AYIRA MINI MART FINAL MENU - Pr"&amp;"'!B116, ""^[^\x{0600}-\x{06FF}]+"", """"), ""^[-–\s]+"", """")), GOOGLETRANSLATE('AYIRA MINI MART FINAL MENU - Pr'!B116, ""en"", ""ar"")))"),"المشروبات الغازية")</f>
        <v>المشروبات الغازية</v>
      </c>
      <c r="C116" s="58">
        <f>IF('AYIRA MINI MART FINAL MENU - Pr'!C116="", "", 'AYIRA MINI MART FINAL MENU - Pr'!C116)</f>
        <v>5.5</v>
      </c>
      <c r="D116" s="58" t="str">
        <f>IF('AYIRA MINI MART FINAL MENU - Pr'!D116="", "", 'AYIRA MINI MART FINAL MENU - Pr'!D116)</f>
        <v>اكتشف Moussy Ice Berry Flavour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16" s="56" t="str">
        <f>IF('AYIRA MINI MART FINAL MENU - Pr'!E116="", "", 'AYIRA MINI MART FINAL MENU - Pr'!E116)</f>
        <v/>
      </c>
      <c r="F116" s="56" t="str">
        <f>IF('AYIRA MINI MART FINAL MENU - Pr'!F116="", "", 'AYIRA MINI MART FINAL MENU - Pr'!F116)</f>
        <v/>
      </c>
      <c r="G116" s="56" t="str">
        <f>IF('AYIRA MINI MART FINAL MENU - Pr'!G116="", "", 'AYIRA MINI MART FINAL MENU - Pr'!G116)</f>
        <v/>
      </c>
      <c r="H116" s="56" t="str">
        <f>IF('AYIRA MINI MART FINAL MENU - Pr'!H116="", "", 'AYIRA MINI MART FINAL MENU - Pr'!H116)</f>
        <v/>
      </c>
      <c r="I116" s="56" t="str">
        <f>IF('AYIRA MINI MART FINAL MENU - Pr'!I116="", "", 'AYIRA MINI MART FINAL MENU - Pr'!I116)</f>
        <v/>
      </c>
      <c r="J116" s="56" t="str">
        <f>IFERROR(__xludf.DUMMYFUNCTION("IF('AYIRA MINI MART FINAL MENU - Pr'!J116="""", """", GOOGLETRANSLATE('AYIRA MINI MART FINAL MENU - Pr'!J116, ""en"", ""ar""))"),"يعرض")</f>
        <v>يعرض</v>
      </c>
      <c r="K116" s="56" t="str">
        <f>IF('AYIRA MINI MART FINAL MENU - Pr'!K116="", "", 'AYIRA MINI MART FINAL MENU - Pr'!K116)</f>
        <v/>
      </c>
      <c r="L116" s="56" t="str">
        <f>IF('AYIRA MINI MART FINAL MENU - Pr'!L116="", "", 'AYIRA MINI MART FINAL MENU - Pr'!L116)</f>
        <v/>
      </c>
      <c r="M116" s="56" t="str">
        <f>IF('AYIRA MINI MART FINAL MENU - Pr'!M116="", "", 'AYIRA MINI MART FINAL MENU - Pr'!M116)</f>
        <v/>
      </c>
      <c r="N116" s="56" t="str">
        <f>IF('AYIRA MINI MART FINAL MENU - Pr'!N116="", "", 'AYIRA MINI MART FINAL MENU - Pr'!N116)</f>
        <v/>
      </c>
      <c r="O116" s="57"/>
      <c r="P116" s="57"/>
      <c r="Q116" s="57"/>
      <c r="R116" s="57"/>
      <c r="S116" s="57"/>
      <c r="T116" s="57"/>
      <c r="U116" s="57"/>
      <c r="V116" s="57"/>
      <c r="W116" s="57"/>
      <c r="X116" s="57"/>
      <c r="Y116" s="57"/>
      <c r="Z116" s="57"/>
    </row>
    <row r="117">
      <c r="A117" s="56" t="str">
        <f>IFERROR(__xludf.DUMMYFUNCTION("IF('AYIRA MINI MART FINAL MENU - Pr'!A117="""", """", IF(LEN(TRIM(REGEXREPLACE(REGEXREPLACE('AYIRA MINI MART FINAL MENU - Pr'!A117, ""^[^\x{0600}-\x{06FF}]+"", """"), ""^[-–\s]+"", """")))&gt;0, TRIM(REGEXREPLACE(REGEXREPLACE('AYIRA MINI MART FINAL MENU - Pr"&amp;"'!A117, ""^[^\x{0600}-\x{06FF}]+"", """"), ""^[-–\s]+"", """")), GOOGLETRANSLATE('AYIRA MINI MART FINAL MENU - Pr'!A117, ""en"", ""ar"")))"),"مل")</f>
        <v>مل</v>
      </c>
      <c r="B117" s="56" t="str">
        <f>IFERROR(__xludf.DUMMYFUNCTION("IF('AYIRA MINI MART FINAL MENU - Pr'!B117="""", """", IF(LEN(TRIM(REGEXREPLACE(REGEXREPLACE('AYIRA MINI MART FINAL MENU - Pr'!B117, ""^[^\x{0600}-\x{06FF}]+"", """"), ""^[-–\s]+"", """")))&gt;0, TRIM(REGEXREPLACE(REGEXREPLACE('AYIRA MINI MART FINAL MENU - Pr"&amp;"'!B117, ""^[^\x{0600}-\x{06FF}]+"", """"), ""^[-–\s]+"", """")), GOOGLETRANSLATE('AYIRA MINI MART FINAL MENU - Pr'!B117, ""en"", ""ar"")))"),"المشروبات الغازية")</f>
        <v>المشروبات الغازية</v>
      </c>
      <c r="C117" s="58">
        <f>IF('AYIRA MINI MART FINAL MENU - Pr'!C117="", "", 'AYIRA MINI MART FINAL MENU - Pr'!C117)</f>
        <v>2.5</v>
      </c>
      <c r="D117" s="58" t="str">
        <f>IF('AYIRA MINI MART FINAL MENU - Pr'!D117="", "", 'AYIRA MINI MART FINAL MENU - Pr'!D117)</f>
        <v>اكتشف Kinza Citrus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17" s="56" t="str">
        <f>IF('AYIRA MINI MART FINAL MENU - Pr'!E117="", "", 'AYIRA MINI MART FINAL MENU - Pr'!E117)</f>
        <v/>
      </c>
      <c r="F117" s="56" t="str">
        <f>IF('AYIRA MINI MART FINAL MENU - Pr'!F117="", "", 'AYIRA MINI MART FINAL MENU - Pr'!F117)</f>
        <v/>
      </c>
      <c r="G117" s="56" t="str">
        <f>IF('AYIRA MINI MART FINAL MENU - Pr'!G117="", "", 'AYIRA MINI MART FINAL MENU - Pr'!G117)</f>
        <v/>
      </c>
      <c r="H117" s="56" t="str">
        <f>IF('AYIRA MINI MART FINAL MENU - Pr'!H117="", "", 'AYIRA MINI MART FINAL MENU - Pr'!H117)</f>
        <v/>
      </c>
      <c r="I117" s="56" t="str">
        <f>IF('AYIRA MINI MART FINAL MENU - Pr'!I117="", "", 'AYIRA MINI MART FINAL MENU - Pr'!I117)</f>
        <v/>
      </c>
      <c r="J117" s="56" t="str">
        <f>IFERROR(__xludf.DUMMYFUNCTION("IF('AYIRA MINI MART FINAL MENU - Pr'!J117="""", """", GOOGLETRANSLATE('AYIRA MINI MART FINAL MENU - Pr'!J117, ""en"", ""ar""))"),"يعرض")</f>
        <v>يعرض</v>
      </c>
      <c r="K117" s="56" t="str">
        <f>IF('AYIRA MINI MART FINAL MENU - Pr'!K117="", "", 'AYIRA MINI MART FINAL MENU - Pr'!K117)</f>
        <v/>
      </c>
      <c r="L117" s="56" t="str">
        <f>IF('AYIRA MINI MART FINAL MENU - Pr'!L117="", "", 'AYIRA MINI MART FINAL MENU - Pr'!L117)</f>
        <v/>
      </c>
      <c r="M117" s="56" t="str">
        <f>IF('AYIRA MINI MART FINAL MENU - Pr'!M117="", "", 'AYIRA MINI MART FINAL MENU - Pr'!M117)</f>
        <v/>
      </c>
      <c r="N117" s="56" t="str">
        <f>IF('AYIRA MINI MART FINAL MENU - Pr'!N117="", "", 'AYIRA MINI MART FINAL MENU - Pr'!N117)</f>
        <v/>
      </c>
      <c r="O117" s="57"/>
      <c r="P117" s="57"/>
      <c r="Q117" s="57"/>
      <c r="R117" s="57"/>
      <c r="S117" s="57"/>
      <c r="T117" s="57"/>
      <c r="U117" s="57"/>
      <c r="V117" s="57"/>
      <c r="W117" s="57"/>
      <c r="X117" s="57"/>
      <c r="Y117" s="57"/>
      <c r="Z117" s="57"/>
    </row>
    <row r="118">
      <c r="A118" s="56" t="str">
        <f>IFERROR(__xludf.DUMMYFUNCTION("IF('AYIRA MINI MART FINAL MENU - Pr'!A118="""", """", IF(LEN(TRIM(REGEXREPLACE(REGEXREPLACE('AYIRA MINI MART FINAL MENU - Pr'!A118, ""^[^\x{0600}-\x{06FF}]+"", """"), ""^[-–\s]+"", """")))&gt;0, TRIM(REGEXREPLACE(REGEXREPLACE('AYIRA MINI MART FINAL MENU - Pr"&amp;"'!A118, ""^[^\x{0600}-\x{06FF}]+"", """"), ""^[-–\s]+"", """")), GOOGLETRANSLATE('AYIRA MINI MART FINAL MENU - Pr'!A118, ""en"", ""ar"")))"),"مل")</f>
        <v>مل</v>
      </c>
      <c r="B118" s="56" t="str">
        <f>IFERROR(__xludf.DUMMYFUNCTION("IF('AYIRA MINI MART FINAL MENU - Pr'!B118="""", """", IF(LEN(TRIM(REGEXREPLACE(REGEXREPLACE('AYIRA MINI MART FINAL MENU - Pr'!B118, ""^[^\x{0600}-\x{06FF}]+"", """"), ""^[-–\s]+"", """")))&gt;0, TRIM(REGEXREPLACE(REGEXREPLACE('AYIRA MINI MART FINAL MENU - Pr"&amp;"'!B118, ""^[^\x{0600}-\x{06FF}]+"", """"), ""^[-–\s]+"", """")), GOOGLETRANSLATE('AYIRA MINI MART FINAL MENU - Pr'!B118, ""en"", ""ar"")))"),"المشروبات الغازية")</f>
        <v>المشروبات الغازية</v>
      </c>
      <c r="C118" s="58">
        <f>IF('AYIRA MINI MART FINAL MENU - Pr'!C118="", "", 'AYIRA MINI MART FINAL MENU - Pr'!C118)</f>
        <v>2.5</v>
      </c>
      <c r="D118" s="58" t="str">
        <f>IF('AYIRA MINI MART FINAL MENU - Pr'!D118="", "", 'AYIRA MINI MART FINAL MENU - Pr'!D118)</f>
        <v>اكتشف Kinza Pomegranate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18" s="56" t="str">
        <f>IF('AYIRA MINI MART FINAL MENU - Pr'!E118="", "", 'AYIRA MINI MART FINAL MENU - Pr'!E118)</f>
        <v/>
      </c>
      <c r="F118" s="56" t="str">
        <f>IF('AYIRA MINI MART FINAL MENU - Pr'!F118="", "", 'AYIRA MINI MART FINAL MENU - Pr'!F118)</f>
        <v/>
      </c>
      <c r="G118" s="56" t="str">
        <f>IF('AYIRA MINI MART FINAL MENU - Pr'!G118="", "", 'AYIRA MINI MART FINAL MENU - Pr'!G118)</f>
        <v/>
      </c>
      <c r="H118" s="56" t="str">
        <f>IF('AYIRA MINI MART FINAL MENU - Pr'!H118="", "", 'AYIRA MINI MART FINAL MENU - Pr'!H118)</f>
        <v/>
      </c>
      <c r="I118" s="56" t="str">
        <f>IF('AYIRA MINI MART FINAL MENU - Pr'!I118="", "", 'AYIRA MINI MART FINAL MENU - Pr'!I118)</f>
        <v/>
      </c>
      <c r="J118" s="56" t="str">
        <f>IFERROR(__xludf.DUMMYFUNCTION("IF('AYIRA MINI MART FINAL MENU - Pr'!J118="""", """", GOOGLETRANSLATE('AYIRA MINI MART FINAL MENU - Pr'!J118, ""en"", ""ar""))"),"يعرض")</f>
        <v>يعرض</v>
      </c>
      <c r="K118" s="56" t="str">
        <f>IF('AYIRA MINI MART FINAL MENU - Pr'!K118="", "", 'AYIRA MINI MART FINAL MENU - Pr'!K118)</f>
        <v/>
      </c>
      <c r="L118" s="56" t="str">
        <f>IF('AYIRA MINI MART FINAL MENU - Pr'!L118="", "", 'AYIRA MINI MART FINAL MENU - Pr'!L118)</f>
        <v/>
      </c>
      <c r="M118" s="56" t="str">
        <f>IF('AYIRA MINI MART FINAL MENU - Pr'!M118="", "", 'AYIRA MINI MART FINAL MENU - Pr'!M118)</f>
        <v/>
      </c>
      <c r="N118" s="56" t="str">
        <f>IF('AYIRA MINI MART FINAL MENU - Pr'!N118="", "", 'AYIRA MINI MART FINAL MENU - Pr'!N118)</f>
        <v/>
      </c>
      <c r="O118" s="57"/>
      <c r="P118" s="57"/>
      <c r="Q118" s="57"/>
      <c r="R118" s="57"/>
      <c r="S118" s="57"/>
      <c r="T118" s="57"/>
      <c r="U118" s="57"/>
      <c r="V118" s="57"/>
      <c r="W118" s="57"/>
      <c r="X118" s="57"/>
      <c r="Y118" s="57"/>
      <c r="Z118" s="57"/>
    </row>
    <row r="119">
      <c r="A119" s="56" t="str">
        <f>IFERROR(__xludf.DUMMYFUNCTION("IF('AYIRA MINI MART FINAL MENU - Pr'!A119="""", """", IF(LEN(TRIM(REGEXREPLACE(REGEXREPLACE('AYIRA MINI MART FINAL MENU - Pr'!A119, ""^[^\x{0600}-\x{06FF}]+"", """"), ""^[-–\s]+"", """")))&gt;0, TRIM(REGEXREPLACE(REGEXREPLACE('AYIRA MINI MART FINAL MENU - Pr"&amp;"'!A119, ""^[^\x{0600}-\x{06FF}]+"", """"), ""^[-–\s]+"", """")), GOOGLETRANSLATE('AYIRA MINI MART FINAL MENU - Pr'!A119, ""en"", ""ar"")))"),"برتقال 250 مل")</f>
        <v>برتقال 250 مل</v>
      </c>
      <c r="B119" s="56" t="str">
        <f>IFERROR(__xludf.DUMMYFUNCTION("IF('AYIRA MINI MART FINAL MENU - Pr'!B119="""", """", IF(LEN(TRIM(REGEXREPLACE(REGEXREPLACE('AYIRA MINI MART FINAL MENU - Pr'!B119, ""^[^\x{0600}-\x{06FF}]+"", """"), ""^[-–\s]+"", """")))&gt;0, TRIM(REGEXREPLACE(REGEXREPLACE('AYIRA MINI MART FINAL MENU - Pr"&amp;"'!B119, ""^[^\x{0600}-\x{06FF}]+"", """"), ""^[-–\s]+"", """")), GOOGLETRANSLATE('AYIRA MINI MART FINAL MENU - Pr'!B119, ""en"", ""ar"")))"),"المشروبات الغازية")</f>
        <v>المشروبات الغازية</v>
      </c>
      <c r="C119" s="58">
        <f>IF('AYIRA MINI MART FINAL MENU - Pr'!C119="", "", 'AYIRA MINI MART FINAL MENU - Pr'!C119)</f>
        <v>2.5</v>
      </c>
      <c r="D119" s="58" t="str">
        <f>IF('AYIRA MINI MART FINAL MENU - Pr'!D119="", "", 'AYIRA MINI MART FINAL MENU - Pr'!D119)</f>
        <v>اكتشف Kinza Orange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19" s="56" t="str">
        <f>IF('AYIRA MINI MART FINAL MENU - Pr'!E119="", "", 'AYIRA MINI MART FINAL MENU - Pr'!E119)</f>
        <v/>
      </c>
      <c r="F119" s="56" t="str">
        <f>IF('AYIRA MINI MART FINAL MENU - Pr'!F119="", "", 'AYIRA MINI MART FINAL MENU - Pr'!F119)</f>
        <v/>
      </c>
      <c r="G119" s="56" t="str">
        <f>IF('AYIRA MINI MART FINAL MENU - Pr'!G119="", "", 'AYIRA MINI MART FINAL MENU - Pr'!G119)</f>
        <v/>
      </c>
      <c r="H119" s="56" t="str">
        <f>IF('AYIRA MINI MART FINAL MENU - Pr'!H119="", "", 'AYIRA MINI MART FINAL MENU - Pr'!H119)</f>
        <v/>
      </c>
      <c r="I119" s="56" t="str">
        <f>IF('AYIRA MINI MART FINAL MENU - Pr'!I119="", "", 'AYIRA MINI MART FINAL MENU - Pr'!I119)</f>
        <v/>
      </c>
      <c r="J119" s="56" t="str">
        <f>IFERROR(__xludf.DUMMYFUNCTION("IF('AYIRA MINI MART FINAL MENU - Pr'!J119="""", """", GOOGLETRANSLATE('AYIRA MINI MART FINAL MENU - Pr'!J119, ""en"", ""ar""))"),"يعرض")</f>
        <v>يعرض</v>
      </c>
      <c r="K119" s="56" t="str">
        <f>IF('AYIRA MINI MART FINAL MENU - Pr'!K119="", "", 'AYIRA MINI MART FINAL MENU - Pr'!K119)</f>
        <v/>
      </c>
      <c r="L119" s="56" t="str">
        <f>IF('AYIRA MINI MART FINAL MENU - Pr'!L119="", "", 'AYIRA MINI MART FINAL MENU - Pr'!L119)</f>
        <v/>
      </c>
      <c r="M119" s="56" t="str">
        <f>IF('AYIRA MINI MART FINAL MENU - Pr'!M119="", "", 'AYIRA MINI MART FINAL MENU - Pr'!M119)</f>
        <v/>
      </c>
      <c r="N119" s="56" t="str">
        <f>IF('AYIRA MINI MART FINAL MENU - Pr'!N119="", "", 'AYIRA MINI MART FINAL MENU - Pr'!N119)</f>
        <v/>
      </c>
      <c r="O119" s="57"/>
      <c r="P119" s="57"/>
      <c r="Q119" s="57"/>
      <c r="R119" s="57"/>
      <c r="S119" s="57"/>
      <c r="T119" s="57"/>
      <c r="U119" s="57"/>
      <c r="V119" s="57"/>
      <c r="W119" s="57"/>
      <c r="X119" s="57"/>
      <c r="Y119" s="57"/>
      <c r="Z119" s="57"/>
    </row>
    <row r="120">
      <c r="A120" s="56" t="str">
        <f>IFERROR(__xludf.DUMMYFUNCTION("IF('AYIRA MINI MART FINAL MENU - Pr'!A120="""", """", IF(LEN(TRIM(REGEXREPLACE(REGEXREPLACE('AYIRA MINI MART FINAL MENU - Pr'!A120, ""^[^\x{0600}-\x{06FF}]+"", """"), ""^[-–\s]+"", """")))&gt;0, TRIM(REGEXREPLACE(REGEXREPLACE('AYIRA MINI MART FINAL MENU - Pr"&amp;"'!A120, ""^[^\x{0600}-\x{06FF}]+"", """"), ""^[-–\s]+"", """")), GOOGLETRANSLATE('AYIRA MINI MART FINAL MENU - Pr'!A120, ""en"", ""ar"")))"),"مل")</f>
        <v>مل</v>
      </c>
      <c r="B120" s="56" t="str">
        <f>IFERROR(__xludf.DUMMYFUNCTION("IF('AYIRA MINI MART FINAL MENU - Pr'!B120="""", """", IF(LEN(TRIM(REGEXREPLACE(REGEXREPLACE('AYIRA MINI MART FINAL MENU - Pr'!B120, ""^[^\x{0600}-\x{06FF}]+"", """"), ""^[-–\s]+"", """")))&gt;0, TRIM(REGEXREPLACE(REGEXREPLACE('AYIRA MINI MART FINAL MENU - Pr"&amp;"'!B120, ""^[^\x{0600}-\x{06FF}]+"", """"), ""^[-–\s]+"", """")), GOOGLETRANSLATE('AYIRA MINI MART FINAL MENU - Pr'!B120, ""en"", ""ar"")))"),"المشروبات الغازية")</f>
        <v>المشروبات الغازية</v>
      </c>
      <c r="C120" s="58">
        <f>IF('AYIRA MINI MART FINAL MENU - Pr'!C120="", "", 'AYIRA MINI MART FINAL MENU - Pr'!C120)</f>
        <v>2.5</v>
      </c>
      <c r="D120" s="58" t="str">
        <f>IF('AYIRA MINI MART FINAL MENU - Pr'!D120="", "", 'AYIRA MINI MART FINAL MENU - Pr'!D120)</f>
        <v>استمتع بـ Kinza Cola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20" s="56" t="str">
        <f>IF('AYIRA MINI MART FINAL MENU - Pr'!E120="", "", 'AYIRA MINI MART FINAL MENU - Pr'!E120)</f>
        <v/>
      </c>
      <c r="F120" s="56" t="str">
        <f>IF('AYIRA MINI MART FINAL MENU - Pr'!F120="", "", 'AYIRA MINI MART FINAL MENU - Pr'!F120)</f>
        <v/>
      </c>
      <c r="G120" s="56" t="str">
        <f>IF('AYIRA MINI MART FINAL MENU - Pr'!G120="", "", 'AYIRA MINI MART FINAL MENU - Pr'!G120)</f>
        <v/>
      </c>
      <c r="H120" s="56" t="str">
        <f>IF('AYIRA MINI MART FINAL MENU - Pr'!H120="", "", 'AYIRA MINI MART FINAL MENU - Pr'!H120)</f>
        <v/>
      </c>
      <c r="I120" s="56" t="str">
        <f>IF('AYIRA MINI MART FINAL MENU - Pr'!I120="", "", 'AYIRA MINI MART FINAL MENU - Pr'!I120)</f>
        <v/>
      </c>
      <c r="J120" s="56" t="str">
        <f>IFERROR(__xludf.DUMMYFUNCTION("IF('AYIRA MINI MART FINAL MENU - Pr'!J120="""", """", GOOGLETRANSLATE('AYIRA MINI MART FINAL MENU - Pr'!J120, ""en"", ""ar""))"),"يعرض")</f>
        <v>يعرض</v>
      </c>
      <c r="K120" s="56" t="str">
        <f>IF('AYIRA MINI MART FINAL MENU - Pr'!K120="", "", 'AYIRA MINI MART FINAL MENU - Pr'!K120)</f>
        <v/>
      </c>
      <c r="L120" s="56" t="str">
        <f>IF('AYIRA MINI MART FINAL MENU - Pr'!L120="", "", 'AYIRA MINI MART FINAL MENU - Pr'!L120)</f>
        <v/>
      </c>
      <c r="M120" s="56" t="str">
        <f>IF('AYIRA MINI MART FINAL MENU - Pr'!M120="", "", 'AYIRA MINI MART FINAL MENU - Pr'!M120)</f>
        <v/>
      </c>
      <c r="N120" s="56" t="str">
        <f>IF('AYIRA MINI MART FINAL MENU - Pr'!N120="", "", 'AYIRA MINI MART FINAL MENU - Pr'!N120)</f>
        <v/>
      </c>
      <c r="O120" s="57"/>
      <c r="P120" s="57"/>
      <c r="Q120" s="57"/>
      <c r="R120" s="57"/>
      <c r="S120" s="57"/>
      <c r="T120" s="57"/>
      <c r="U120" s="57"/>
      <c r="V120" s="57"/>
      <c r="W120" s="57"/>
      <c r="X120" s="57"/>
      <c r="Y120" s="57"/>
      <c r="Z120" s="57"/>
    </row>
    <row r="121">
      <c r="A121" s="56" t="str">
        <f>IFERROR(__xludf.DUMMYFUNCTION("IF('AYIRA MINI MART FINAL MENU - Pr'!A121="""", """", IF(LEN(TRIM(REGEXREPLACE(REGEXREPLACE('AYIRA MINI MART FINAL MENU - Pr'!A121, ""^[^\x{0600}-\x{06FF}]+"", """"), ""^[-–\s]+"", """")))&gt;0, TRIM(REGEXREPLACE(REGEXREPLACE('AYIRA MINI MART FINAL MENU - Pr"&amp;"'!A121, ""^[^\x{0600}-\x{06FF}]+"", """"), ""^[-–\s]+"", """")), GOOGLETRANSLATE('AYIRA MINI MART FINAL MENU - Pr'!A121, ""en"", ""ar"")))"),"ليمون 250 مل")</f>
        <v>ليمون 250 مل</v>
      </c>
      <c r="B121" s="56" t="str">
        <f>IFERROR(__xludf.DUMMYFUNCTION("IF('AYIRA MINI MART FINAL MENU - Pr'!B121="""", """", IF(LEN(TRIM(REGEXREPLACE(REGEXREPLACE('AYIRA MINI MART FINAL MENU - Pr'!B121, ""^[^\x{0600}-\x{06FF}]+"", """"), ""^[-–\s]+"", """")))&gt;0, TRIM(REGEXREPLACE(REGEXREPLACE('AYIRA MINI MART FINAL MENU - Pr"&amp;"'!B121, ""^[^\x{0600}-\x{06FF}]+"", """"), ""^[-–\s]+"", """")), GOOGLETRANSLATE('AYIRA MINI MART FINAL MENU - Pr'!B121, ""en"", ""ar"")))"),"المشروبات الغازية")</f>
        <v>المشروبات الغازية</v>
      </c>
      <c r="C121" s="58">
        <f>IF('AYIRA MINI MART FINAL MENU - Pr'!C121="", "", 'AYIRA MINI MART FINAL MENU - Pr'!C121)</f>
        <v>2.5</v>
      </c>
      <c r="D121" s="58" t="str">
        <f>IF('AYIRA MINI MART FINAL MENU - Pr'!D121="", "", 'AYIRA MINI MART FINAL MENU - Pr'!D121)</f>
        <v>اكتشف Kinza Lemon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21" s="56" t="str">
        <f>IF('AYIRA MINI MART FINAL MENU - Pr'!E121="", "", 'AYIRA MINI MART FINAL MENU - Pr'!E121)</f>
        <v/>
      </c>
      <c r="F121" s="56" t="str">
        <f>IF('AYIRA MINI MART FINAL MENU - Pr'!F121="", "", 'AYIRA MINI MART FINAL MENU - Pr'!F121)</f>
        <v/>
      </c>
      <c r="G121" s="56" t="str">
        <f>IF('AYIRA MINI MART FINAL MENU - Pr'!G121="", "", 'AYIRA MINI MART FINAL MENU - Pr'!G121)</f>
        <v/>
      </c>
      <c r="H121" s="56" t="str">
        <f>IF('AYIRA MINI MART FINAL MENU - Pr'!H121="", "", 'AYIRA MINI MART FINAL MENU - Pr'!H121)</f>
        <v/>
      </c>
      <c r="I121" s="56" t="str">
        <f>IF('AYIRA MINI MART FINAL MENU - Pr'!I121="", "", 'AYIRA MINI MART FINAL MENU - Pr'!I121)</f>
        <v/>
      </c>
      <c r="J121" s="56" t="str">
        <f>IFERROR(__xludf.DUMMYFUNCTION("IF('AYIRA MINI MART FINAL MENU - Pr'!J121="""", """", GOOGLETRANSLATE('AYIRA MINI MART FINAL MENU - Pr'!J121, ""en"", ""ar""))"),"يعرض")</f>
        <v>يعرض</v>
      </c>
      <c r="K121" s="56" t="str">
        <f>IF('AYIRA MINI MART FINAL MENU - Pr'!K121="", "", 'AYIRA MINI MART FINAL MENU - Pr'!K121)</f>
        <v/>
      </c>
      <c r="L121" s="56" t="str">
        <f>IF('AYIRA MINI MART FINAL MENU - Pr'!L121="", "", 'AYIRA MINI MART FINAL MENU - Pr'!L121)</f>
        <v/>
      </c>
      <c r="M121" s="56" t="str">
        <f>IF('AYIRA MINI MART FINAL MENU - Pr'!M121="", "", 'AYIRA MINI MART FINAL MENU - Pr'!M121)</f>
        <v/>
      </c>
      <c r="N121" s="56" t="str">
        <f>IF('AYIRA MINI MART FINAL MENU - Pr'!N121="", "", 'AYIRA MINI MART FINAL MENU - Pr'!N121)</f>
        <v/>
      </c>
      <c r="O121" s="57"/>
      <c r="P121" s="57"/>
      <c r="Q121" s="57"/>
      <c r="R121" s="57"/>
      <c r="S121" s="57"/>
      <c r="T121" s="57"/>
      <c r="U121" s="57"/>
      <c r="V121" s="57"/>
      <c r="W121" s="57"/>
      <c r="X121" s="57"/>
      <c r="Y121" s="57"/>
      <c r="Z121" s="57"/>
    </row>
    <row r="122">
      <c r="A122" s="56" t="str">
        <f>IFERROR(__xludf.DUMMYFUNCTION("IF('AYIRA MINI MART FINAL MENU - Pr'!A122="""", """", IF(LEN(TRIM(REGEXREPLACE(REGEXREPLACE('AYIRA MINI MART FINAL MENU - Pr'!A122, ""^[^\x{0600}-\x{06FF}]+"", """"), ""^[-–\s]+"", """")))&gt;0, TRIM(REGEXREPLACE(REGEXREPLACE('AYIRA MINI MART FINAL MENU - Pr"&amp;"'!A122, ""^[^\x{0600}-\x{06FF}]+"", """"), ""^[-–\s]+"", """")), GOOGLETRANSLATE('AYIRA MINI MART FINAL MENU - Pr'!A122, ""en"", ""ar"")))"),"مل")</f>
        <v>مل</v>
      </c>
      <c r="B122" s="56" t="str">
        <f>IFERROR(__xludf.DUMMYFUNCTION("IF('AYIRA MINI MART FINAL MENU - Pr'!B122="""", """", IF(LEN(TRIM(REGEXREPLACE(REGEXREPLACE('AYIRA MINI MART FINAL MENU - Pr'!B122, ""^[^\x{0600}-\x{06FF}]+"", """"), ""^[-–\s]+"", """")))&gt;0, TRIM(REGEXREPLACE(REGEXREPLACE('AYIRA MINI MART FINAL MENU - Pr"&amp;"'!B122, ""^[^\x{0600}-\x{06FF}]+"", """"), ""^[-–\s]+"", """")), GOOGLETRANSLATE('AYIRA MINI MART FINAL MENU - Pr'!B122, ""en"", ""ar"")))"),"المشروبات الغازية")</f>
        <v>المشروبات الغازية</v>
      </c>
      <c r="C122" s="58">
        <f>IF('AYIRA MINI MART FINAL MENU - Pr'!C122="", "", 'AYIRA MINI MART FINAL MENU - Pr'!C122)</f>
        <v>2.5</v>
      </c>
      <c r="D122" s="58" t="str">
        <f>IF('AYIRA MINI MART FINAL MENU - Pr'!D122="", "", 'AYIRA MINI MART FINAL MENU - Pr'!D122)</f>
        <v>اكتشف Kinza Blackcurrant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22" s="56" t="str">
        <f>IF('AYIRA MINI MART FINAL MENU - Pr'!E122="", "", 'AYIRA MINI MART FINAL MENU - Pr'!E122)</f>
        <v/>
      </c>
      <c r="F122" s="56" t="str">
        <f>IF('AYIRA MINI MART FINAL MENU - Pr'!F122="", "", 'AYIRA MINI MART FINAL MENU - Pr'!F122)</f>
        <v/>
      </c>
      <c r="G122" s="56" t="str">
        <f>IF('AYIRA MINI MART FINAL MENU - Pr'!G122="", "", 'AYIRA MINI MART FINAL MENU - Pr'!G122)</f>
        <v/>
      </c>
      <c r="H122" s="56" t="str">
        <f>IF('AYIRA MINI MART FINAL MENU - Pr'!H122="", "", 'AYIRA MINI MART FINAL MENU - Pr'!H122)</f>
        <v/>
      </c>
      <c r="I122" s="56" t="str">
        <f>IF('AYIRA MINI MART FINAL MENU - Pr'!I122="", "", 'AYIRA MINI MART FINAL MENU - Pr'!I122)</f>
        <v/>
      </c>
      <c r="J122" s="56" t="str">
        <f>IFERROR(__xludf.DUMMYFUNCTION("IF('AYIRA MINI MART FINAL MENU - Pr'!J122="""", """", GOOGLETRANSLATE('AYIRA MINI MART FINAL MENU - Pr'!J122, ""en"", ""ar""))"),"يعرض")</f>
        <v>يعرض</v>
      </c>
      <c r="K122" s="56" t="str">
        <f>IF('AYIRA MINI MART FINAL MENU - Pr'!K122="", "", 'AYIRA MINI MART FINAL MENU - Pr'!K122)</f>
        <v/>
      </c>
      <c r="L122" s="56" t="str">
        <f>IF('AYIRA MINI MART FINAL MENU - Pr'!L122="", "", 'AYIRA MINI MART FINAL MENU - Pr'!L122)</f>
        <v/>
      </c>
      <c r="M122" s="56" t="str">
        <f>IF('AYIRA MINI MART FINAL MENU - Pr'!M122="", "", 'AYIRA MINI MART FINAL MENU - Pr'!M122)</f>
        <v/>
      </c>
      <c r="N122" s="56" t="str">
        <f>IF('AYIRA MINI MART FINAL MENU - Pr'!N122="", "", 'AYIRA MINI MART FINAL MENU - Pr'!N122)</f>
        <v/>
      </c>
      <c r="O122" s="57"/>
      <c r="P122" s="57"/>
      <c r="Q122" s="57"/>
      <c r="R122" s="57"/>
      <c r="S122" s="57"/>
      <c r="T122" s="57"/>
      <c r="U122" s="57"/>
      <c r="V122" s="57"/>
      <c r="W122" s="57"/>
      <c r="X122" s="57"/>
      <c r="Y122" s="57"/>
      <c r="Z122" s="57"/>
    </row>
    <row r="123">
      <c r="A123" s="56" t="str">
        <f>IFERROR(__xludf.DUMMYFUNCTION("IF('AYIRA MINI MART FINAL MENU - Pr'!A123="""", """", IF(LEN(TRIM(REGEXREPLACE(REGEXREPLACE('AYIRA MINI MART FINAL MENU - Pr'!A123, ""^[^\x{0600}-\x{06FF}]+"", """"), ""^[-–\s]+"", """")))&gt;0, TRIM(REGEXREPLACE(REGEXREPLACE('AYIRA MINI MART FINAL MENU - Pr"&amp;"'!A123, ""^[^\x{0600}-\x{06FF}]+"", """"), ""^[-–\s]+"", """")), GOOGLETRANSLATE('AYIRA MINI MART FINAL MENU - Pr'!A123, ""en"", ""ar"")))"),"دايت Cola 250 مل")</f>
        <v>دايت Cola 250 مل</v>
      </c>
      <c r="B123" s="56" t="str">
        <f>IFERROR(__xludf.DUMMYFUNCTION("IF('AYIRA MINI MART FINAL MENU - Pr'!B123="""", """", IF(LEN(TRIM(REGEXREPLACE(REGEXREPLACE('AYIRA MINI MART FINAL MENU - Pr'!B123, ""^[^\x{0600}-\x{06FF}]+"", """"), ""^[-–\s]+"", """")))&gt;0, TRIM(REGEXREPLACE(REGEXREPLACE('AYIRA MINI MART FINAL MENU - Pr"&amp;"'!B123, ""^[^\x{0600}-\x{06FF}]+"", """"), ""^[-–\s]+"", """")), GOOGLETRANSLATE('AYIRA MINI MART FINAL MENU - Pr'!B123, ""en"", ""ar"")))"),"المشروبات الغازية")</f>
        <v>المشروبات الغازية</v>
      </c>
      <c r="C123" s="58">
        <f>IF('AYIRA MINI MART FINAL MENU - Pr'!C123="", "", 'AYIRA MINI MART FINAL MENU - Pr'!C123)</f>
        <v>2.5</v>
      </c>
      <c r="D123" s="58" t="str">
        <f>IF('AYIRA MINI MART FINAL MENU - Pr'!D123="", "", 'AYIRA MINI MART FINAL MENU - Pr'!D123)</f>
        <v>استمتع بـ Kinza Diet Cola 250ml،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23" s="56" t="str">
        <f>IF('AYIRA MINI MART FINAL MENU - Pr'!E123="", "", 'AYIRA MINI MART FINAL MENU - Pr'!E123)</f>
        <v/>
      </c>
      <c r="F123" s="56" t="str">
        <f>IF('AYIRA MINI MART FINAL MENU - Pr'!F123="", "", 'AYIRA MINI MART FINAL MENU - Pr'!F123)</f>
        <v/>
      </c>
      <c r="G123" s="56" t="str">
        <f>IF('AYIRA MINI MART FINAL MENU - Pr'!G123="", "", 'AYIRA MINI MART FINAL MENU - Pr'!G123)</f>
        <v/>
      </c>
      <c r="H123" s="56" t="str">
        <f>IF('AYIRA MINI MART FINAL MENU - Pr'!H123="", "", 'AYIRA MINI MART FINAL MENU - Pr'!H123)</f>
        <v/>
      </c>
      <c r="I123" s="56" t="str">
        <f>IF('AYIRA MINI MART FINAL MENU - Pr'!I123="", "", 'AYIRA MINI MART FINAL MENU - Pr'!I123)</f>
        <v/>
      </c>
      <c r="J123" s="56" t="str">
        <f>IFERROR(__xludf.DUMMYFUNCTION("IF('AYIRA MINI MART FINAL MENU - Pr'!J123="""", """", GOOGLETRANSLATE('AYIRA MINI MART FINAL MENU - Pr'!J123, ""en"", ""ar""))"),"يعرض")</f>
        <v>يعرض</v>
      </c>
      <c r="K123" s="56" t="str">
        <f>IF('AYIRA MINI MART FINAL MENU - Pr'!K123="", "", 'AYIRA MINI MART FINAL MENU - Pr'!K123)</f>
        <v/>
      </c>
      <c r="L123" s="56" t="str">
        <f>IF('AYIRA MINI MART FINAL MENU - Pr'!L123="", "", 'AYIRA MINI MART FINAL MENU - Pr'!L123)</f>
        <v/>
      </c>
      <c r="M123" s="56" t="str">
        <f>IF('AYIRA MINI MART FINAL MENU - Pr'!M123="", "", 'AYIRA MINI MART FINAL MENU - Pr'!M123)</f>
        <v/>
      </c>
      <c r="N123" s="56" t="str">
        <f>IF('AYIRA MINI MART FINAL MENU - Pr'!N123="", "", 'AYIRA MINI MART FINAL MENU - Pr'!N123)</f>
        <v/>
      </c>
      <c r="O123" s="57"/>
      <c r="P123" s="57"/>
      <c r="Q123" s="57"/>
      <c r="R123" s="57"/>
      <c r="S123" s="57"/>
      <c r="T123" s="57"/>
      <c r="U123" s="57"/>
      <c r="V123" s="57"/>
      <c r="W123" s="57"/>
      <c r="X123" s="57"/>
      <c r="Y123" s="57"/>
      <c r="Z123" s="57"/>
    </row>
    <row r="124">
      <c r="A124" s="56" t="str">
        <f>IFERROR(__xludf.DUMMYFUNCTION("IF('AYIRA MINI MART FINAL MENU - Pr'!A124="""", """", IF(LEN(TRIM(REGEXREPLACE(REGEXREPLACE('AYIRA MINI MART FINAL MENU - Pr'!A124, ""^[^\x{0600}-\x{06FF}]+"", """"), ""^[-–\s]+"", """")))&gt;0, TRIM(REGEXREPLACE(REGEXREPLACE('AYIRA MINI MART FINAL MENU - Pr"&amp;"'!A124, ""^[^\x{0600}-\x{06FF}]+"", """"), ""^[-–\s]+"", """")), GOOGLETRANSLATE('AYIRA MINI MART FINAL MENU - Pr'!A124, ""en"", ""ar"")))"),"ليمون زيرو سكر 250 مل")</f>
        <v>ليمون زيرو سكر 250 مل</v>
      </c>
      <c r="B124" s="56" t="str">
        <f>IFERROR(__xludf.DUMMYFUNCTION("IF('AYIRA MINI MART FINAL MENU - Pr'!B124="""", """", IF(LEN(TRIM(REGEXREPLACE(REGEXREPLACE('AYIRA MINI MART FINAL MENU - Pr'!B124, ""^[^\x{0600}-\x{06FF}]+"", """"), ""^[-–\s]+"", """")))&gt;0, TRIM(REGEXREPLACE(REGEXREPLACE('AYIRA MINI MART FINAL MENU - Pr"&amp;"'!B124, ""^[^\x{0600}-\x{06FF}]+"", """"), ""^[-–\s]+"", """")), GOOGLETRANSLATE('AYIRA MINI MART FINAL MENU - Pr'!B124, ""en"", ""ar"")))"),"المشروبات الغازية")</f>
        <v>المشروبات الغازية</v>
      </c>
      <c r="C124" s="58">
        <f>IF('AYIRA MINI MART FINAL MENU - Pr'!C124="", "", 'AYIRA MINI MART FINAL MENU - Pr'!C124)</f>
        <v>2.5</v>
      </c>
      <c r="D124" s="58" t="str">
        <f>IF('AYIRA MINI MART FINAL MENU - Pr'!D124="", "", 'AYIRA MINI MART FINAL MENU - Pr'!D124)</f>
        <v>اكتشف Kinza Lemon Zero Sugar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24" s="56" t="str">
        <f>IF('AYIRA MINI MART FINAL MENU - Pr'!E124="", "", 'AYIRA MINI MART FINAL MENU - Pr'!E124)</f>
        <v/>
      </c>
      <c r="F124" s="56" t="str">
        <f>IF('AYIRA MINI MART FINAL MENU - Pr'!F124="", "", 'AYIRA MINI MART FINAL MENU - Pr'!F124)</f>
        <v/>
      </c>
      <c r="G124" s="56" t="str">
        <f>IF('AYIRA MINI MART FINAL MENU - Pr'!G124="", "", 'AYIRA MINI MART FINAL MENU - Pr'!G124)</f>
        <v/>
      </c>
      <c r="H124" s="56" t="str">
        <f>IF('AYIRA MINI MART FINAL MENU - Pr'!H124="", "", 'AYIRA MINI MART FINAL MENU - Pr'!H124)</f>
        <v/>
      </c>
      <c r="I124" s="56" t="str">
        <f>IF('AYIRA MINI MART FINAL MENU - Pr'!I124="", "", 'AYIRA MINI MART FINAL MENU - Pr'!I124)</f>
        <v/>
      </c>
      <c r="J124" s="56" t="str">
        <f>IFERROR(__xludf.DUMMYFUNCTION("IF('AYIRA MINI MART FINAL MENU - Pr'!J124="""", """", GOOGLETRANSLATE('AYIRA MINI MART FINAL MENU - Pr'!J124, ""en"", ""ar""))"),"يعرض")</f>
        <v>يعرض</v>
      </c>
      <c r="K124" s="56" t="str">
        <f>IF('AYIRA MINI MART FINAL MENU - Pr'!K124="", "", 'AYIRA MINI MART FINAL MENU - Pr'!K124)</f>
        <v/>
      </c>
      <c r="L124" s="56" t="str">
        <f>IF('AYIRA MINI MART FINAL MENU - Pr'!L124="", "", 'AYIRA MINI MART FINAL MENU - Pr'!L124)</f>
        <v/>
      </c>
      <c r="M124" s="56" t="str">
        <f>IF('AYIRA MINI MART FINAL MENU - Pr'!M124="", "", 'AYIRA MINI MART FINAL MENU - Pr'!M124)</f>
        <v/>
      </c>
      <c r="N124" s="56" t="str">
        <f>IF('AYIRA MINI MART FINAL MENU - Pr'!N124="", "", 'AYIRA MINI MART FINAL MENU - Pr'!N124)</f>
        <v/>
      </c>
      <c r="O124" s="57"/>
      <c r="P124" s="57"/>
      <c r="Q124" s="57"/>
      <c r="R124" s="57"/>
      <c r="S124" s="57"/>
      <c r="T124" s="57"/>
      <c r="U124" s="57"/>
      <c r="V124" s="57"/>
      <c r="W124" s="57"/>
      <c r="X124" s="57"/>
      <c r="Y124" s="57"/>
      <c r="Z124" s="57"/>
    </row>
    <row r="125">
      <c r="A125" s="56" t="str">
        <f>IFERROR(__xludf.DUMMYFUNCTION("IF('AYIRA MINI MART FINAL MENU - Pr'!A125="""", """", IF(LEN(TRIM(REGEXREPLACE(REGEXREPLACE('AYIRA MINI MART FINAL MENU - Pr'!A125, ""^[^\x{0600}-\x{06FF}]+"", """"), ""^[-–\s]+"", """")))&gt;0, TRIM(REGEXREPLACE(REGEXREPLACE('AYIRA MINI MART FINAL MENU - Pr"&amp;"'!A125, ""^[^\x{0600}-\x{06FF}]+"", """"), ""^[-–\s]+"", """")), GOOGLETRANSLATE('AYIRA MINI MART FINAL MENU - Pr'!A125, ""en"", ""ar"")))"),"فيمتو Blue Raspberry 250 مل")</f>
        <v>فيمتو Blue Raspberry 250 مل</v>
      </c>
      <c r="B125" s="56" t="str">
        <f>IFERROR(__xludf.DUMMYFUNCTION("IF('AYIRA MINI MART FINAL MENU - Pr'!B125="""", """", IF(LEN(TRIM(REGEXREPLACE(REGEXREPLACE('AYIRA MINI MART FINAL MENU - Pr'!B125, ""^[^\x{0600}-\x{06FF}]+"", """"), ""^[-–\s]+"", """")))&gt;0, TRIM(REGEXREPLACE(REGEXREPLACE('AYIRA MINI MART FINAL MENU - Pr"&amp;"'!B125, ""^[^\x{0600}-\x{06FF}]+"", """"), ""^[-–\s]+"", """")), GOOGLETRANSLATE('AYIRA MINI MART FINAL MENU - Pr'!B125, ""en"", ""ar"")))"),"المشروبات الغازية")</f>
        <v>المشروبات الغازية</v>
      </c>
      <c r="C125" s="58">
        <f>IF('AYIRA MINI MART FINAL MENU - Pr'!C125="", "", 'AYIRA MINI MART FINAL MENU - Pr'!C125)</f>
        <v>2.5</v>
      </c>
      <c r="D125" s="58" t="str">
        <f>IF('AYIRA MINI MART FINAL MENU - Pr'!D125="", "", 'AYIRA MINI MART FINAL MENU - Pr'!D125)</f>
        <v>اكتشف Fizzy Vimto Blue Raspberry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25" s="56" t="str">
        <f>IF('AYIRA MINI MART FINAL MENU - Pr'!E125="", "", 'AYIRA MINI MART FINAL MENU - Pr'!E125)</f>
        <v/>
      </c>
      <c r="F125" s="56" t="str">
        <f>IF('AYIRA MINI MART FINAL MENU - Pr'!F125="", "", 'AYIRA MINI MART FINAL MENU - Pr'!F125)</f>
        <v/>
      </c>
      <c r="G125" s="56" t="str">
        <f>IF('AYIRA MINI MART FINAL MENU - Pr'!G125="", "", 'AYIRA MINI MART FINAL MENU - Pr'!G125)</f>
        <v/>
      </c>
      <c r="H125" s="56" t="str">
        <f>IF('AYIRA MINI MART FINAL MENU - Pr'!H125="", "", 'AYIRA MINI MART FINAL MENU - Pr'!H125)</f>
        <v/>
      </c>
      <c r="I125" s="56" t="str">
        <f>IF('AYIRA MINI MART FINAL MENU - Pr'!I125="", "", 'AYIRA MINI MART FINAL MENU - Pr'!I125)</f>
        <v/>
      </c>
      <c r="J125" s="56" t="str">
        <f>IFERROR(__xludf.DUMMYFUNCTION("IF('AYIRA MINI MART FINAL MENU - Pr'!J125="""", """", GOOGLETRANSLATE('AYIRA MINI MART FINAL MENU - Pr'!J125, ""en"", ""ar""))"),"يعرض")</f>
        <v>يعرض</v>
      </c>
      <c r="K125" s="56" t="str">
        <f>IF('AYIRA MINI MART FINAL MENU - Pr'!K125="", "", 'AYIRA MINI MART FINAL MENU - Pr'!K125)</f>
        <v/>
      </c>
      <c r="L125" s="56" t="str">
        <f>IF('AYIRA MINI MART FINAL MENU - Pr'!L125="", "", 'AYIRA MINI MART FINAL MENU - Pr'!L125)</f>
        <v/>
      </c>
      <c r="M125" s="56" t="str">
        <f>IF('AYIRA MINI MART FINAL MENU - Pr'!M125="", "", 'AYIRA MINI MART FINAL MENU - Pr'!M125)</f>
        <v/>
      </c>
      <c r="N125" s="56" t="str">
        <f>IF('AYIRA MINI MART FINAL MENU - Pr'!N125="", "", 'AYIRA MINI MART FINAL MENU - Pr'!N125)</f>
        <v/>
      </c>
      <c r="O125" s="57"/>
      <c r="P125" s="57"/>
      <c r="Q125" s="57"/>
      <c r="R125" s="57"/>
      <c r="S125" s="57"/>
      <c r="T125" s="57"/>
      <c r="U125" s="57"/>
      <c r="V125" s="57"/>
      <c r="W125" s="57"/>
      <c r="X125" s="57"/>
      <c r="Y125" s="57"/>
      <c r="Z125" s="57"/>
    </row>
    <row r="126">
      <c r="A126" s="56" t="str">
        <f>IFERROR(__xludf.DUMMYFUNCTION("IF('AYIRA MINI MART FINAL MENU - Pr'!A126="""", """", IF(LEN(TRIM(REGEXREPLACE(REGEXREPLACE('AYIRA MINI MART FINAL MENU - Pr'!A126, ""^[^\x{0600}-\x{06FF}]+"", """"), ""^[-–\s]+"", """")))&gt;0, TRIM(REGEXREPLACE(REGEXREPLACE('AYIRA MINI MART FINAL MENU - Pr"&amp;"'!A126, ""^[^\x{0600}-\x{06FF}]+"", """"), ""^[-–\s]+"", """")), GOOGLETRANSLATE('AYIRA MINI MART FINAL MENU - Pr'!A126, ""en"", ""ar"")))"),"نسكافيه Spanish Latte 225 مل")</f>
        <v>نسكافيه Spanish Latte 225 مل</v>
      </c>
      <c r="B126" s="56" t="str">
        <f>IFERROR(__xludf.DUMMYFUNCTION("IF('AYIRA MINI MART FINAL MENU - Pr'!B126="""", """", IF(LEN(TRIM(REGEXREPLACE(REGEXREPLACE('AYIRA MINI MART FINAL MENU - Pr'!B126, ""^[^\x{0600}-\x{06FF}]+"", """"), ""^[-–\s]+"", """")))&gt;0, TRIM(REGEXREPLACE(REGEXREPLACE('AYIRA MINI MART FINAL MENU - Pr"&amp;"'!B126, ""^[^\x{0600}-\x{06FF}]+"", """"), ""^[-–\s]+"", """")), GOOGLETRANSLATE('AYIRA MINI MART FINAL MENU - Pr'!B126, ""en"", ""ar"")))"),"المشروبات الغازية")</f>
        <v>المشروبات الغازية</v>
      </c>
      <c r="C126" s="58">
        <f>IF('AYIRA MINI MART FINAL MENU - Pr'!C126="", "", 'AYIRA MINI MART FINAL MENU - Pr'!C126)</f>
        <v>5.5</v>
      </c>
      <c r="D126" s="58" t="str">
        <f>IF('AYIRA MINI MART FINAL MENU - Pr'!D126="", "", 'AYIRA MINI MART FINAL MENU - Pr'!D126)</f>
        <v>اكتشف Nescafé Spanish Latte 225ml،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26" s="56" t="str">
        <f>IF('AYIRA MINI MART FINAL MENU - Pr'!E126="", "", 'AYIRA MINI MART FINAL MENU - Pr'!E126)</f>
        <v/>
      </c>
      <c r="F126" s="56" t="str">
        <f>IF('AYIRA MINI MART FINAL MENU - Pr'!F126="", "", 'AYIRA MINI MART FINAL MENU - Pr'!F126)</f>
        <v/>
      </c>
      <c r="G126" s="56" t="str">
        <f>IF('AYIRA MINI MART FINAL MENU - Pr'!G126="", "", 'AYIRA MINI MART FINAL MENU - Pr'!G126)</f>
        <v/>
      </c>
      <c r="H126" s="56" t="str">
        <f>IF('AYIRA MINI MART FINAL MENU - Pr'!H126="", "", 'AYIRA MINI MART FINAL MENU - Pr'!H126)</f>
        <v/>
      </c>
      <c r="I126" s="56" t="str">
        <f>IF('AYIRA MINI MART FINAL MENU - Pr'!I126="", "", 'AYIRA MINI MART FINAL MENU - Pr'!I126)</f>
        <v/>
      </c>
      <c r="J126" s="56" t="str">
        <f>IFERROR(__xludf.DUMMYFUNCTION("IF('AYIRA MINI MART FINAL MENU - Pr'!J126="""", """", GOOGLETRANSLATE('AYIRA MINI MART FINAL MENU - Pr'!J126, ""en"", ""ar""))"),"يعرض")</f>
        <v>يعرض</v>
      </c>
      <c r="K126" s="56" t="str">
        <f>IF('AYIRA MINI MART FINAL MENU - Pr'!K126="", "", 'AYIRA MINI MART FINAL MENU - Pr'!K126)</f>
        <v/>
      </c>
      <c r="L126" s="56" t="str">
        <f>IF('AYIRA MINI MART FINAL MENU - Pr'!L126="", "", 'AYIRA MINI MART FINAL MENU - Pr'!L126)</f>
        <v/>
      </c>
      <c r="M126" s="56" t="str">
        <f>IF('AYIRA MINI MART FINAL MENU - Pr'!M126="", "", 'AYIRA MINI MART FINAL MENU - Pr'!M126)</f>
        <v/>
      </c>
      <c r="N126" s="56" t="str">
        <f>IF('AYIRA MINI MART FINAL MENU - Pr'!N126="", "", 'AYIRA MINI MART FINAL MENU - Pr'!N126)</f>
        <v/>
      </c>
      <c r="O126" s="57"/>
      <c r="P126" s="57"/>
      <c r="Q126" s="57"/>
      <c r="R126" s="57"/>
      <c r="S126" s="57"/>
      <c r="T126" s="57"/>
      <c r="U126" s="57"/>
      <c r="V126" s="57"/>
      <c r="W126" s="57"/>
      <c r="X126" s="57"/>
      <c r="Y126" s="57"/>
      <c r="Z126" s="57"/>
    </row>
    <row r="127">
      <c r="A127" s="56" t="str">
        <f>IFERROR(__xludf.DUMMYFUNCTION("IF('AYIRA MINI MART FINAL MENU - Pr'!A127="""", """", IF(LEN(TRIM(REGEXREPLACE(REGEXREPLACE('AYIRA MINI MART FINAL MENU - Pr'!A127, ""^[^\x{0600}-\x{06FF}]+"", """"), ""^[-–\s]+"", """")))&gt;0, TRIM(REGEXREPLACE(REGEXREPLACE('AYIRA MINI MART FINAL MENU - Pr"&amp;"'!A127, ""^[^\x{0600}-\x{06FF}]+"", """"), ""^[-–\s]+"", """")), GOOGLETRANSLATE('AYIRA MINI MART FINAL MENU - Pr'!A127, ""en"", ""ar"")))"),"نسكافيه Mocha 225 مل")</f>
        <v>نسكافيه Mocha 225 مل</v>
      </c>
      <c r="B127" s="56" t="str">
        <f>IFERROR(__xludf.DUMMYFUNCTION("IF('AYIRA MINI MART FINAL MENU - Pr'!B127="""", """", IF(LEN(TRIM(REGEXREPLACE(REGEXREPLACE('AYIRA MINI MART FINAL MENU - Pr'!B127, ""^[^\x{0600}-\x{06FF}]+"", """"), ""^[-–\s]+"", """")))&gt;0, TRIM(REGEXREPLACE(REGEXREPLACE('AYIRA MINI MART FINAL MENU - Pr"&amp;"'!B127, ""^[^\x{0600}-\x{06FF}]+"", """"), ""^[-–\s]+"", """")), GOOGLETRANSLATE('AYIRA MINI MART FINAL MENU - Pr'!B127, ""en"", ""ar"")))"),"المشروبات الغازية")</f>
        <v>المشروبات الغازية</v>
      </c>
      <c r="C127" s="58">
        <f>IF('AYIRA MINI MART FINAL MENU - Pr'!C127="", "", 'AYIRA MINI MART FINAL MENU - Pr'!C127)</f>
        <v>5.5</v>
      </c>
      <c r="D127" s="58" t="str">
        <f>IF('AYIRA MINI MART FINAL MENU - Pr'!D127="", "", 'AYIRA MINI MART FINAL MENU - Pr'!D127)</f>
        <v>اكتشف Nescafé Mocha 225ml،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27" s="56" t="str">
        <f>IF('AYIRA MINI MART FINAL MENU - Pr'!E127="", "", 'AYIRA MINI MART FINAL MENU - Pr'!E127)</f>
        <v/>
      </c>
      <c r="F127" s="56" t="str">
        <f>IF('AYIRA MINI MART FINAL MENU - Pr'!F127="", "", 'AYIRA MINI MART FINAL MENU - Pr'!F127)</f>
        <v/>
      </c>
      <c r="G127" s="56" t="str">
        <f>IF('AYIRA MINI MART FINAL MENU - Pr'!G127="", "", 'AYIRA MINI MART FINAL MENU - Pr'!G127)</f>
        <v/>
      </c>
      <c r="H127" s="56" t="str">
        <f>IF('AYIRA MINI MART FINAL MENU - Pr'!H127="", "", 'AYIRA MINI MART FINAL MENU - Pr'!H127)</f>
        <v/>
      </c>
      <c r="I127" s="56" t="str">
        <f>IF('AYIRA MINI MART FINAL MENU - Pr'!I127="", "", 'AYIRA MINI MART FINAL MENU - Pr'!I127)</f>
        <v/>
      </c>
      <c r="J127" s="56" t="str">
        <f>IFERROR(__xludf.DUMMYFUNCTION("IF('AYIRA MINI MART FINAL MENU - Pr'!J127="""", """", GOOGLETRANSLATE('AYIRA MINI MART FINAL MENU - Pr'!J127, ""en"", ""ar""))"),"يعرض")</f>
        <v>يعرض</v>
      </c>
      <c r="K127" s="56" t="str">
        <f>IF('AYIRA MINI MART FINAL MENU - Pr'!K127="", "", 'AYIRA MINI MART FINAL MENU - Pr'!K127)</f>
        <v/>
      </c>
      <c r="L127" s="56" t="str">
        <f>IF('AYIRA MINI MART FINAL MENU - Pr'!L127="", "", 'AYIRA MINI MART FINAL MENU - Pr'!L127)</f>
        <v/>
      </c>
      <c r="M127" s="56" t="str">
        <f>IF('AYIRA MINI MART FINAL MENU - Pr'!M127="", "", 'AYIRA MINI MART FINAL MENU - Pr'!M127)</f>
        <v/>
      </c>
      <c r="N127" s="56" t="str">
        <f>IF('AYIRA MINI MART FINAL MENU - Pr'!N127="", "", 'AYIRA MINI MART FINAL MENU - Pr'!N127)</f>
        <v/>
      </c>
      <c r="O127" s="57"/>
      <c r="P127" s="57"/>
      <c r="Q127" s="57"/>
      <c r="R127" s="57"/>
      <c r="S127" s="57"/>
      <c r="T127" s="57"/>
      <c r="U127" s="57"/>
      <c r="V127" s="57"/>
      <c r="W127" s="57"/>
      <c r="X127" s="57"/>
      <c r="Y127" s="57"/>
      <c r="Z127" s="57"/>
    </row>
    <row r="128">
      <c r="A128" s="56" t="str">
        <f>IFERROR(__xludf.DUMMYFUNCTION("IF('AYIRA MINI MART FINAL MENU - Pr'!A128="""", """", IF(LEN(TRIM(REGEXREPLACE(REGEXREPLACE('AYIRA MINI MART FINAL MENU - Pr'!A128, ""^[^\x{0600}-\x{06FF}]+"", """"), ""^[-–\s]+"", """")))&gt;0, TRIM(REGEXREPLACE(REGEXREPLACE('AYIRA MINI MART FINAL MENU - Pr"&amp;"'!A128, ""^[^\x{0600}-\x{06FF}]+"", """"), ""^[-–\s]+"", """")), GOOGLETRANSLATE('AYIRA MINI MART FINAL MENU - Pr'!A128, ""en"", ""ar"")))"),"فيتامين مشروب 150 مل")</f>
        <v>فيتامين مشروب 150 مل</v>
      </c>
      <c r="B128" s="56" t="str">
        <f>IFERROR(__xludf.DUMMYFUNCTION("IF('AYIRA MINI MART FINAL MENU - Pr'!B128="""", """", IF(LEN(TRIM(REGEXREPLACE(REGEXREPLACE('AYIRA MINI MART FINAL MENU - Pr'!B128, ""^[^\x{0600}-\x{06FF}]+"", """"), ""^[-–\s]+"", """")))&gt;0, TRIM(REGEXREPLACE(REGEXREPLACE('AYIRA MINI MART FINAL MENU - Pr"&amp;"'!B128, ""^[^\x{0600}-\x{06FF}]+"", """"), ""^[-–\s]+"", """")), GOOGLETRANSLATE('AYIRA MINI MART FINAL MENU - Pr'!B128, ""en"", ""ar"")))"),"المشروبات الغازية")</f>
        <v>المشروبات الغازية</v>
      </c>
      <c r="C128" s="58">
        <f>IF('AYIRA MINI MART FINAL MENU - Pr'!C128="", "", 'AYIRA MINI MART FINAL MENU - Pr'!C128)</f>
        <v>6</v>
      </c>
      <c r="D128" s="58" t="str">
        <f>IF('AYIRA MINI MART FINAL MENU - Pr'!D128="", "", 'AYIRA MINI MART FINAL MENU - Pr'!D128)</f>
        <v>اكتشف Walkers Vitamin Drink 150ml،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28" s="56" t="str">
        <f>IF('AYIRA MINI MART FINAL MENU - Pr'!E128="", "", 'AYIRA MINI MART FINAL MENU - Pr'!E128)</f>
        <v/>
      </c>
      <c r="F128" s="56" t="str">
        <f>IF('AYIRA MINI MART FINAL MENU - Pr'!F128="", "", 'AYIRA MINI MART FINAL MENU - Pr'!F128)</f>
        <v/>
      </c>
      <c r="G128" s="56" t="str">
        <f>IF('AYIRA MINI MART FINAL MENU - Pr'!G128="", "", 'AYIRA MINI MART FINAL MENU - Pr'!G128)</f>
        <v/>
      </c>
      <c r="H128" s="56" t="str">
        <f>IF('AYIRA MINI MART FINAL MENU - Pr'!H128="", "", 'AYIRA MINI MART FINAL MENU - Pr'!H128)</f>
        <v/>
      </c>
      <c r="I128" s="56" t="str">
        <f>IF('AYIRA MINI MART FINAL MENU - Pr'!I128="", "", 'AYIRA MINI MART FINAL MENU - Pr'!I128)</f>
        <v/>
      </c>
      <c r="J128" s="56" t="str">
        <f>IFERROR(__xludf.DUMMYFUNCTION("IF('AYIRA MINI MART FINAL MENU - Pr'!J128="""", """", GOOGLETRANSLATE('AYIRA MINI MART FINAL MENU - Pr'!J128, ""en"", ""ar""))"),"يعرض")</f>
        <v>يعرض</v>
      </c>
      <c r="K128" s="56" t="str">
        <f>IF('AYIRA MINI MART FINAL MENU - Pr'!K128="", "", 'AYIRA MINI MART FINAL MENU - Pr'!K128)</f>
        <v/>
      </c>
      <c r="L128" s="56" t="str">
        <f>IF('AYIRA MINI MART FINAL MENU - Pr'!L128="", "", 'AYIRA MINI MART FINAL MENU - Pr'!L128)</f>
        <v/>
      </c>
      <c r="M128" s="56" t="str">
        <f>IF('AYIRA MINI MART FINAL MENU - Pr'!M128="", "", 'AYIRA MINI MART FINAL MENU - Pr'!M128)</f>
        <v/>
      </c>
      <c r="N128" s="56" t="str">
        <f>IF('AYIRA MINI MART FINAL MENU - Pr'!N128="", "", 'AYIRA MINI MART FINAL MENU - Pr'!N128)</f>
        <v/>
      </c>
      <c r="O128" s="57"/>
      <c r="P128" s="57"/>
      <c r="Q128" s="57"/>
      <c r="R128" s="57"/>
      <c r="S128" s="57"/>
      <c r="T128" s="57"/>
      <c r="U128" s="57"/>
      <c r="V128" s="57"/>
      <c r="W128" s="57"/>
      <c r="X128" s="57"/>
      <c r="Y128" s="57"/>
      <c r="Z128" s="57"/>
    </row>
    <row r="129">
      <c r="A129" s="56" t="str">
        <f>IFERROR(__xludf.DUMMYFUNCTION("IF('AYIRA MINI MART FINAL MENU - Pr'!A129="""", """", IF(LEN(TRIM(REGEXREPLACE(REGEXREPLACE('AYIRA MINI MART FINAL MENU - Pr'!A129, ""^[^\x{0600}-\x{06FF}]+"", """"), ""^[-–\s]+"", """")))&gt;0, TRIM(REGEXREPLACE(REGEXREPLACE('AYIRA MINI MART FINAL MENU - Pr"&amp;"'!A129, ""^[^\x{0600}-\x{06FF}]+"", """"), ""^[-–\s]+"", """")), GOOGLETRANSLATE('AYIRA MINI MART FINAL MENU - Pr'!A129, ""en"", ""ar"")))"),"مشروب 120 مل")</f>
        <v>مشروب 120 مل</v>
      </c>
      <c r="B129" s="56" t="str">
        <f>IFERROR(__xludf.DUMMYFUNCTION("IF('AYIRA MINI MART FINAL MENU - Pr'!B129="""", """", IF(LEN(TRIM(REGEXREPLACE(REGEXREPLACE('AYIRA MINI MART FINAL MENU - Pr'!B129, ""^[^\x{0600}-\x{06FF}]+"", """"), ""^[-–\s]+"", """")))&gt;0, TRIM(REGEXREPLACE(REGEXREPLACE('AYIRA MINI MART FINAL MENU - Pr"&amp;"'!B129, ""^[^\x{0600}-\x{06FF}]+"", """"), ""^[-–\s]+"", """")), GOOGLETRANSLATE('AYIRA MINI MART FINAL MENU - Pr'!B129, ""en"", ""ar"")))"),"المشروبات الغازية")</f>
        <v>المشروبات الغازية</v>
      </c>
      <c r="C129" s="58">
        <f>IF('AYIRA MINI MART FINAL MENU - Pr'!C129="", "", 'AYIRA MINI MART FINAL MENU - Pr'!C129)</f>
        <v>6</v>
      </c>
      <c r="D129" s="58" t="str">
        <f>IF('AYIRA MINI MART FINAL MENU - Pr'!D129="", "", 'AYIRA MINI MART FINAL MENU - Pr'!D129)</f>
        <v>اكتشف Oronamin C Drink 120ml،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29" s="56" t="str">
        <f>IF('AYIRA MINI MART FINAL MENU - Pr'!E129="", "", 'AYIRA MINI MART FINAL MENU - Pr'!E129)</f>
        <v/>
      </c>
      <c r="F129" s="56" t="str">
        <f>IF('AYIRA MINI MART FINAL MENU - Pr'!F129="", "", 'AYIRA MINI MART FINAL MENU - Pr'!F129)</f>
        <v/>
      </c>
      <c r="G129" s="56" t="str">
        <f>IF('AYIRA MINI MART FINAL MENU - Pr'!G129="", "", 'AYIRA MINI MART FINAL MENU - Pr'!G129)</f>
        <v/>
      </c>
      <c r="H129" s="56" t="str">
        <f>IF('AYIRA MINI MART FINAL MENU - Pr'!H129="", "", 'AYIRA MINI MART FINAL MENU - Pr'!H129)</f>
        <v/>
      </c>
      <c r="I129" s="56" t="str">
        <f>IF('AYIRA MINI MART FINAL MENU - Pr'!I129="", "", 'AYIRA MINI MART FINAL MENU - Pr'!I129)</f>
        <v/>
      </c>
      <c r="J129" s="56" t="str">
        <f>IFERROR(__xludf.DUMMYFUNCTION("IF('AYIRA MINI MART FINAL MENU - Pr'!J129="""", """", GOOGLETRANSLATE('AYIRA MINI MART FINAL MENU - Pr'!J129, ""en"", ""ar""))"),"يعرض")</f>
        <v>يعرض</v>
      </c>
      <c r="K129" s="56" t="str">
        <f>IF('AYIRA MINI MART FINAL MENU - Pr'!K129="", "", 'AYIRA MINI MART FINAL MENU - Pr'!K129)</f>
        <v/>
      </c>
      <c r="L129" s="56" t="str">
        <f>IF('AYIRA MINI MART FINAL MENU - Pr'!L129="", "", 'AYIRA MINI MART FINAL MENU - Pr'!L129)</f>
        <v/>
      </c>
      <c r="M129" s="56" t="str">
        <f>IF('AYIRA MINI MART FINAL MENU - Pr'!M129="", "", 'AYIRA MINI MART FINAL MENU - Pr'!M129)</f>
        <v/>
      </c>
      <c r="N129" s="56" t="str">
        <f>IF('AYIRA MINI MART FINAL MENU - Pr'!N129="", "", 'AYIRA MINI MART FINAL MENU - Pr'!N129)</f>
        <v/>
      </c>
      <c r="O129" s="57"/>
      <c r="P129" s="57"/>
      <c r="Q129" s="57"/>
      <c r="R129" s="57"/>
      <c r="S129" s="57"/>
      <c r="T129" s="57"/>
      <c r="U129" s="57"/>
      <c r="V129" s="57"/>
      <c r="W129" s="57"/>
      <c r="X129" s="57"/>
      <c r="Y129" s="57"/>
      <c r="Z129" s="57"/>
    </row>
    <row r="130">
      <c r="A130" s="56" t="str">
        <f>IFERROR(__xludf.DUMMYFUNCTION("IF('AYIRA MINI MART FINAL MENU - Pr'!A130="""", """", IF(LEN(TRIM(REGEXREPLACE(REGEXREPLACE('AYIRA MINI MART FINAL MENU - Pr'!A130, ""^[^\x{0600}-\x{06FF}]+"", """"), ""^[-–\s]+"", """")))&gt;0, TRIM(REGEXREPLACE(REGEXREPLACE('AYIRA MINI MART FINAL MENU - Pr"&amp;"'!A130, ""^[^\x{0600}-\x{06FF}]+"", """"), ""^[-–\s]+"", """")), GOOGLETRANSLATE('AYIRA MINI MART FINAL MENU - Pr'!A130, ""en"", ""ar"")))"),"مل")</f>
        <v>مل</v>
      </c>
      <c r="B130" s="56" t="str">
        <f>IFERROR(__xludf.DUMMYFUNCTION("IF('AYIRA MINI MART FINAL MENU - Pr'!B130="""", """", IF(LEN(TRIM(REGEXREPLACE(REGEXREPLACE('AYIRA MINI MART FINAL MENU - Pr'!B130, ""^[^\x{0600}-\x{06FF}]+"", """"), ""^[-–\s]+"", """")))&gt;0, TRIM(REGEXREPLACE(REGEXREPLACE('AYIRA MINI MART FINAL MENU - Pr"&amp;"'!B130, ""^[^\x{0600}-\x{06FF}]+"", """"), ""^[-–\s]+"", """")), GOOGLETRANSLATE('AYIRA MINI MART FINAL MENU - Pr'!B130, ""en"", ""ar"")))"),"المشروبات الغازية")</f>
        <v>المشروبات الغازية</v>
      </c>
      <c r="C130" s="58">
        <f>IF('AYIRA MINI MART FINAL MENU - Pr'!C130="", "", 'AYIRA MINI MART FINAL MENU - Pr'!C130)</f>
        <v>3.5</v>
      </c>
      <c r="D130" s="58" t="str">
        <f>IF('AYIRA MINI MART FINAL MENU - Pr'!D130="", "", 'AYIRA MINI MART FINAL MENU - Pr'!D130)</f>
        <v>اكتشف Rita Passion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30" s="56" t="str">
        <f>IF('AYIRA MINI MART FINAL MENU - Pr'!E130="", "", 'AYIRA MINI MART FINAL MENU - Pr'!E130)</f>
        <v/>
      </c>
      <c r="F130" s="56" t="str">
        <f>IF('AYIRA MINI MART FINAL MENU - Pr'!F130="", "", 'AYIRA MINI MART FINAL MENU - Pr'!F130)</f>
        <v/>
      </c>
      <c r="G130" s="56" t="str">
        <f>IF('AYIRA MINI MART FINAL MENU - Pr'!G130="", "", 'AYIRA MINI MART FINAL MENU - Pr'!G130)</f>
        <v/>
      </c>
      <c r="H130" s="56" t="str">
        <f>IF('AYIRA MINI MART FINAL MENU - Pr'!H130="", "", 'AYIRA MINI MART FINAL MENU - Pr'!H130)</f>
        <v/>
      </c>
      <c r="I130" s="56" t="str">
        <f>IF('AYIRA MINI MART FINAL MENU - Pr'!I130="", "", 'AYIRA MINI MART FINAL MENU - Pr'!I130)</f>
        <v/>
      </c>
      <c r="J130" s="56" t="str">
        <f>IFERROR(__xludf.DUMMYFUNCTION("IF('AYIRA MINI MART FINAL MENU - Pr'!J130="""", """", GOOGLETRANSLATE('AYIRA MINI MART FINAL MENU - Pr'!J130, ""en"", ""ar""))"),"يعرض")</f>
        <v>يعرض</v>
      </c>
      <c r="K130" s="56" t="str">
        <f>IF('AYIRA MINI MART FINAL MENU - Pr'!K130="", "", 'AYIRA MINI MART FINAL MENU - Pr'!K130)</f>
        <v/>
      </c>
      <c r="L130" s="56" t="str">
        <f>IF('AYIRA MINI MART FINAL MENU - Pr'!L130="", "", 'AYIRA MINI MART FINAL MENU - Pr'!L130)</f>
        <v/>
      </c>
      <c r="M130" s="56" t="str">
        <f>IF('AYIRA MINI MART FINAL MENU - Pr'!M130="", "", 'AYIRA MINI MART FINAL MENU - Pr'!M130)</f>
        <v/>
      </c>
      <c r="N130" s="56" t="str">
        <f>IF('AYIRA MINI MART FINAL MENU - Pr'!N130="", "", 'AYIRA MINI MART FINAL MENU - Pr'!N130)</f>
        <v/>
      </c>
      <c r="O130" s="57"/>
      <c r="P130" s="57"/>
      <c r="Q130" s="57"/>
      <c r="R130" s="57"/>
      <c r="S130" s="57"/>
      <c r="T130" s="57"/>
      <c r="U130" s="57"/>
      <c r="V130" s="57"/>
      <c r="W130" s="57"/>
      <c r="X130" s="57"/>
      <c r="Y130" s="57"/>
      <c r="Z130" s="57"/>
    </row>
    <row r="131">
      <c r="A131" s="56" t="str">
        <f>IFERROR(__xludf.DUMMYFUNCTION("IF('AYIRA MINI MART FINAL MENU - Pr'!A131="""", """", IF(LEN(TRIM(REGEXREPLACE(REGEXREPLACE('AYIRA MINI MART FINAL MENU - Pr'!A131, ""^[^\x{0600}-\x{06FF}]+"", """"), ""^[-–\s]+"", """")))&gt;0, TRIM(REGEXREPLACE(REGEXREPLACE('AYIRA MINI MART FINAL MENU - Pr"&amp;"'!A131, ""^[^\x{0600}-\x{06FF}]+"", """"), ""^[-–\s]+"", """")), GOOGLETRANSLATE('AYIRA MINI MART FINAL MENU - Pr'!A131, ""en"", ""ar"")))"),"موهيتو 240 مل")</f>
        <v>موهيتو 240 مل</v>
      </c>
      <c r="B131" s="56" t="str">
        <f>IFERROR(__xludf.DUMMYFUNCTION("IF('AYIRA MINI MART FINAL MENU - Pr'!B131="""", """", IF(LEN(TRIM(REGEXREPLACE(REGEXREPLACE('AYIRA MINI MART FINAL MENU - Pr'!B131, ""^[^\x{0600}-\x{06FF}]+"", """"), ""^[-–\s]+"", """")))&gt;0, TRIM(REGEXREPLACE(REGEXREPLACE('AYIRA MINI MART FINAL MENU - Pr"&amp;"'!B131, ""^[^\x{0600}-\x{06FF}]+"", """"), ""^[-–\s]+"", """")), GOOGLETRANSLATE('AYIRA MINI MART FINAL MENU - Pr'!B131, ""en"", ""ar"")))"),"المشروبات الغازية")</f>
        <v>المشروبات الغازية</v>
      </c>
      <c r="C131" s="58">
        <f>IF('AYIRA MINI MART FINAL MENU - Pr'!C131="", "", 'AYIRA MINI MART FINAL MENU - Pr'!C131)</f>
        <v>3.5</v>
      </c>
      <c r="D131" s="58" t="str">
        <f>IF('AYIRA MINI MART FINAL MENU - Pr'!D131="", "", 'AYIRA MINI MART FINAL MENU - Pr'!D131)</f>
        <v>استمتع بـ Rita Mojito 240ml،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31" s="56" t="str">
        <f>IF('AYIRA MINI MART FINAL MENU - Pr'!E131="", "", 'AYIRA MINI MART FINAL MENU - Pr'!E131)</f>
        <v/>
      </c>
      <c r="F131" s="56" t="str">
        <f>IF('AYIRA MINI MART FINAL MENU - Pr'!F131="", "", 'AYIRA MINI MART FINAL MENU - Pr'!F131)</f>
        <v/>
      </c>
      <c r="G131" s="56" t="str">
        <f>IF('AYIRA MINI MART FINAL MENU - Pr'!G131="", "", 'AYIRA MINI MART FINAL MENU - Pr'!G131)</f>
        <v/>
      </c>
      <c r="H131" s="56" t="str">
        <f>IF('AYIRA MINI MART FINAL MENU - Pr'!H131="", "", 'AYIRA MINI MART FINAL MENU - Pr'!H131)</f>
        <v/>
      </c>
      <c r="I131" s="56" t="str">
        <f>IF('AYIRA MINI MART FINAL MENU - Pr'!I131="", "", 'AYIRA MINI MART FINAL MENU - Pr'!I131)</f>
        <v/>
      </c>
      <c r="J131" s="56" t="str">
        <f>IFERROR(__xludf.DUMMYFUNCTION("IF('AYIRA MINI MART FINAL MENU - Pr'!J131="""", """", GOOGLETRANSLATE('AYIRA MINI MART FINAL MENU - Pr'!J131, ""en"", ""ar""))"),"يعرض")</f>
        <v>يعرض</v>
      </c>
      <c r="K131" s="56" t="str">
        <f>IF('AYIRA MINI MART FINAL MENU - Pr'!K131="", "", 'AYIRA MINI MART FINAL MENU - Pr'!K131)</f>
        <v/>
      </c>
      <c r="L131" s="56" t="str">
        <f>IF('AYIRA MINI MART FINAL MENU - Pr'!L131="", "", 'AYIRA MINI MART FINAL MENU - Pr'!L131)</f>
        <v/>
      </c>
      <c r="M131" s="56" t="str">
        <f>IF('AYIRA MINI MART FINAL MENU - Pr'!M131="", "", 'AYIRA MINI MART FINAL MENU - Pr'!M131)</f>
        <v/>
      </c>
      <c r="N131" s="56" t="str">
        <f>IF('AYIRA MINI MART FINAL MENU - Pr'!N131="", "", 'AYIRA MINI MART FINAL MENU - Pr'!N131)</f>
        <v/>
      </c>
      <c r="O131" s="57"/>
      <c r="P131" s="57"/>
      <c r="Q131" s="57"/>
      <c r="R131" s="57"/>
      <c r="S131" s="57"/>
      <c r="T131" s="57"/>
      <c r="U131" s="57"/>
      <c r="V131" s="57"/>
      <c r="W131" s="57"/>
      <c r="X131" s="57"/>
      <c r="Y131" s="57"/>
      <c r="Z131" s="57"/>
    </row>
    <row r="132">
      <c r="A132" s="56" t="str">
        <f>IFERROR(__xludf.DUMMYFUNCTION("IF('AYIRA MINI MART FINAL MENU - Pr'!A132="""", """", IF(LEN(TRIM(REGEXREPLACE(REGEXREPLACE('AYIRA MINI MART FINAL MENU - Pr'!A132, ""^[^\x{0600}-\x{06FF}]+"", """"), ""^[-–\s]+"", """")))&gt;0, TRIM(REGEXREPLACE(REGEXREPLACE('AYIRA MINI MART FINAL MENU - Pr"&amp;"'!A132, ""^[^\x{0600}-\x{06FF}]+"", """"), ""^[-–\s]+"", """")), GOOGLETRANSLATE('AYIRA MINI MART FINAL MENU - Pr'!A132, ""en"", ""ar"")))"),"زيرو سكر 240 مل")</f>
        <v>زيرو سكر 240 مل</v>
      </c>
      <c r="B132" s="56" t="str">
        <f>IFERROR(__xludf.DUMMYFUNCTION("IF('AYIRA MINI MART FINAL MENU - Pr'!B132="""", """", IF(LEN(TRIM(REGEXREPLACE(REGEXREPLACE('AYIRA MINI MART FINAL MENU - Pr'!B132, ""^[^\x{0600}-\x{06FF}]+"", """"), ""^[-–\s]+"", """")))&gt;0, TRIM(REGEXREPLACE(REGEXREPLACE('AYIRA MINI MART FINAL MENU - Pr"&amp;"'!B132, ""^[^\x{0600}-\x{06FF}]+"", """"), ""^[-–\s]+"", """")), GOOGLETRANSLATE('AYIRA MINI MART FINAL MENU - Pr'!B132, ""en"", ""ar"")))"),"المشروبات الغازية")</f>
        <v>المشروبات الغازية</v>
      </c>
      <c r="C132" s="58">
        <f>IF('AYIRA MINI MART FINAL MENU - Pr'!C132="", "", 'AYIRA MINI MART FINAL MENU - Pr'!C132)</f>
        <v>3.5</v>
      </c>
      <c r="D132" s="58" t="str">
        <f>IF('AYIRA MINI MART FINAL MENU - Pr'!D132="", "", 'AYIRA MINI MART FINAL MENU - Pr'!D132)</f>
        <v>اكتشف Rita Red Zero Sugar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32" s="56" t="str">
        <f>IF('AYIRA MINI MART FINAL MENU - Pr'!E132="", "", 'AYIRA MINI MART FINAL MENU - Pr'!E132)</f>
        <v/>
      </c>
      <c r="F132" s="56" t="str">
        <f>IF('AYIRA MINI MART FINAL MENU - Pr'!F132="", "", 'AYIRA MINI MART FINAL MENU - Pr'!F132)</f>
        <v/>
      </c>
      <c r="G132" s="56" t="str">
        <f>IF('AYIRA MINI MART FINAL MENU - Pr'!G132="", "", 'AYIRA MINI MART FINAL MENU - Pr'!G132)</f>
        <v/>
      </c>
      <c r="H132" s="56" t="str">
        <f>IF('AYIRA MINI MART FINAL MENU - Pr'!H132="", "", 'AYIRA MINI MART FINAL MENU - Pr'!H132)</f>
        <v/>
      </c>
      <c r="I132" s="56" t="str">
        <f>IF('AYIRA MINI MART FINAL MENU - Pr'!I132="", "", 'AYIRA MINI MART FINAL MENU - Pr'!I132)</f>
        <v/>
      </c>
      <c r="J132" s="56" t="str">
        <f>IFERROR(__xludf.DUMMYFUNCTION("IF('AYIRA MINI MART FINAL MENU - Pr'!J132="""", """", GOOGLETRANSLATE('AYIRA MINI MART FINAL MENU - Pr'!J132, ""en"", ""ar""))"),"يعرض")</f>
        <v>يعرض</v>
      </c>
      <c r="K132" s="56" t="str">
        <f>IF('AYIRA MINI MART FINAL MENU - Pr'!K132="", "", 'AYIRA MINI MART FINAL MENU - Pr'!K132)</f>
        <v/>
      </c>
      <c r="L132" s="56" t="str">
        <f>IF('AYIRA MINI MART FINAL MENU - Pr'!L132="", "", 'AYIRA MINI MART FINAL MENU - Pr'!L132)</f>
        <v/>
      </c>
      <c r="M132" s="56" t="str">
        <f>IF('AYIRA MINI MART FINAL MENU - Pr'!M132="", "", 'AYIRA MINI MART FINAL MENU - Pr'!M132)</f>
        <v/>
      </c>
      <c r="N132" s="56" t="str">
        <f>IF('AYIRA MINI MART FINAL MENU - Pr'!N132="", "", 'AYIRA MINI MART FINAL MENU - Pr'!N132)</f>
        <v/>
      </c>
      <c r="O132" s="57"/>
      <c r="P132" s="57"/>
      <c r="Q132" s="57"/>
      <c r="R132" s="57"/>
      <c r="S132" s="57"/>
      <c r="T132" s="57"/>
      <c r="U132" s="57"/>
      <c r="V132" s="57"/>
      <c r="W132" s="57"/>
      <c r="X132" s="57"/>
      <c r="Y132" s="57"/>
      <c r="Z132" s="57"/>
    </row>
    <row r="133">
      <c r="A133" s="56" t="str">
        <f>IFERROR(__xludf.DUMMYFUNCTION("IF('AYIRA MINI MART FINAL MENU - Pr'!A133="""", """", IF(LEN(TRIM(REGEXREPLACE(REGEXREPLACE('AYIRA MINI MART FINAL MENU - Pr'!A133, ""^[^\x{0600}-\x{06FF}]+"", """"), ""^[-–\s]+"", """")))&gt;0, TRIM(REGEXREPLACE(REGEXREPLACE('AYIRA MINI MART FINAL MENU - Pr"&amp;"'!A133, ""^[^\x{0600}-\x{06FF}]+"", """"), ""^[-–\s]+"", """")), GOOGLETRANSLATE('AYIRA MINI MART FINAL MENU - Pr'!A133, ""en"", ""ar"")))"),"مل")</f>
        <v>مل</v>
      </c>
      <c r="B133" s="56" t="str">
        <f>IFERROR(__xludf.DUMMYFUNCTION("IF('AYIRA MINI MART FINAL MENU - Pr'!B133="""", """", IF(LEN(TRIM(REGEXREPLACE(REGEXREPLACE('AYIRA MINI MART FINAL MENU - Pr'!B133, ""^[^\x{0600}-\x{06FF}]+"", """"), ""^[-–\s]+"", """")))&gt;0, TRIM(REGEXREPLACE(REGEXREPLACE('AYIRA MINI MART FINAL MENU - Pr"&amp;"'!B133, ""^[^\x{0600}-\x{06FF}]+"", """"), ""^[-–\s]+"", """")), GOOGLETRANSLATE('AYIRA MINI MART FINAL MENU - Pr'!B133, ""en"", ""ar"")))"),"المشروبات الغازية")</f>
        <v>المشروبات الغازية</v>
      </c>
      <c r="C133" s="58">
        <f>IF('AYIRA MINI MART FINAL MENU - Pr'!C133="", "", 'AYIRA MINI MART FINAL MENU - Pr'!C133)</f>
        <v>3.5</v>
      </c>
      <c r="D133" s="58" t="str">
        <f>IF('AYIRA MINI MART FINAL MENU - Pr'!D133="", "", 'AYIRA MINI MART FINAL MENU - Pr'!D133)</f>
        <v>اكتشف Rita Blue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33" s="56" t="str">
        <f>IF('AYIRA MINI MART FINAL MENU - Pr'!E133="", "", 'AYIRA MINI MART FINAL MENU - Pr'!E133)</f>
        <v/>
      </c>
      <c r="F133" s="56" t="str">
        <f>IF('AYIRA MINI MART FINAL MENU - Pr'!F133="", "", 'AYIRA MINI MART FINAL MENU - Pr'!F133)</f>
        <v/>
      </c>
      <c r="G133" s="56" t="str">
        <f>IF('AYIRA MINI MART FINAL MENU - Pr'!G133="", "", 'AYIRA MINI MART FINAL MENU - Pr'!G133)</f>
        <v/>
      </c>
      <c r="H133" s="56" t="str">
        <f>IF('AYIRA MINI MART FINAL MENU - Pr'!H133="", "", 'AYIRA MINI MART FINAL MENU - Pr'!H133)</f>
        <v/>
      </c>
      <c r="I133" s="56" t="str">
        <f>IF('AYIRA MINI MART FINAL MENU - Pr'!I133="", "", 'AYIRA MINI MART FINAL MENU - Pr'!I133)</f>
        <v/>
      </c>
      <c r="J133" s="56" t="str">
        <f>IFERROR(__xludf.DUMMYFUNCTION("IF('AYIRA MINI MART FINAL MENU - Pr'!J133="""", """", GOOGLETRANSLATE('AYIRA MINI MART FINAL MENU - Pr'!J133, ""en"", ""ar""))"),"يعرض")</f>
        <v>يعرض</v>
      </c>
      <c r="K133" s="56" t="str">
        <f>IF('AYIRA MINI MART FINAL MENU - Pr'!K133="", "", 'AYIRA MINI MART FINAL MENU - Pr'!K133)</f>
        <v/>
      </c>
      <c r="L133" s="56" t="str">
        <f>IF('AYIRA MINI MART FINAL MENU - Pr'!L133="", "", 'AYIRA MINI MART FINAL MENU - Pr'!L133)</f>
        <v/>
      </c>
      <c r="M133" s="56" t="str">
        <f>IF('AYIRA MINI MART FINAL MENU - Pr'!M133="", "", 'AYIRA MINI MART FINAL MENU - Pr'!M133)</f>
        <v/>
      </c>
      <c r="N133" s="56" t="str">
        <f>IF('AYIRA MINI MART FINAL MENU - Pr'!N133="", "", 'AYIRA MINI MART FINAL MENU - Pr'!N133)</f>
        <v/>
      </c>
      <c r="O133" s="57"/>
      <c r="P133" s="57"/>
      <c r="Q133" s="57"/>
      <c r="R133" s="57"/>
      <c r="S133" s="57"/>
      <c r="T133" s="57"/>
      <c r="U133" s="57"/>
      <c r="V133" s="57"/>
      <c r="W133" s="57"/>
      <c r="X133" s="57"/>
      <c r="Y133" s="57"/>
      <c r="Z133" s="57"/>
    </row>
    <row r="134">
      <c r="A134" s="56" t="str">
        <f>IFERROR(__xludf.DUMMYFUNCTION("IF('AYIRA MINI MART FINAL MENU - Pr'!A134="""", """", IF(LEN(TRIM(REGEXREPLACE(REGEXREPLACE('AYIRA MINI MART FINAL MENU - Pr'!A134, ""^[^\x{0600}-\x{06FF}]+"", """"), ""^[-–\s]+"", """")))&gt;0, TRIM(REGEXREPLACE(REGEXREPLACE('AYIRA MINI MART FINAL MENU - Pr"&amp;"'!A134, ""^[^\x{0600}-\x{06FF}]+"", """"), ""^[-–\s]+"", """")), GOOGLETRANSLATE('AYIRA MINI MART FINAL MENU - Pr'!A134, ""en"", ""ar"")))"),"مل")</f>
        <v>مل</v>
      </c>
      <c r="B134" s="56" t="str">
        <f>IFERROR(__xludf.DUMMYFUNCTION("IF('AYIRA MINI MART FINAL MENU - Pr'!B134="""", """", IF(LEN(TRIM(REGEXREPLACE(REGEXREPLACE('AYIRA MINI MART FINAL MENU - Pr'!B134, ""^[^\x{0600}-\x{06FF}]+"", """"), ""^[-–\s]+"", """")))&gt;0, TRIM(REGEXREPLACE(REGEXREPLACE('AYIRA MINI MART FINAL MENU - Pr"&amp;"'!B134, ""^[^\x{0600}-\x{06FF}]+"", """"), ""^[-–\s]+"", """")), GOOGLETRANSLATE('AYIRA MINI MART FINAL MENU - Pr'!B134, ""en"", ""ar"")))"),"المشروبات الغازية")</f>
        <v>المشروبات الغازية</v>
      </c>
      <c r="C134" s="58">
        <f>IF('AYIRA MINI MART FINAL MENU - Pr'!C134="", "", 'AYIRA MINI MART FINAL MENU - Pr'!C134)</f>
        <v>3.5</v>
      </c>
      <c r="D134" s="58" t="str">
        <f>IF('AYIRA MINI MART FINAL MENU - Pr'!D134="", "", 'AYIRA MINI MART FINAL MENU - Pr'!D134)</f>
        <v>اكتشف Rita Red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34" s="56" t="str">
        <f>IF('AYIRA MINI MART FINAL MENU - Pr'!E134="", "", 'AYIRA MINI MART FINAL MENU - Pr'!E134)</f>
        <v/>
      </c>
      <c r="F134" s="56" t="str">
        <f>IF('AYIRA MINI MART FINAL MENU - Pr'!F134="", "", 'AYIRA MINI MART FINAL MENU - Pr'!F134)</f>
        <v/>
      </c>
      <c r="G134" s="56" t="str">
        <f>IF('AYIRA MINI MART FINAL MENU - Pr'!G134="", "", 'AYIRA MINI MART FINAL MENU - Pr'!G134)</f>
        <v/>
      </c>
      <c r="H134" s="56" t="str">
        <f>IF('AYIRA MINI MART FINAL MENU - Pr'!H134="", "", 'AYIRA MINI MART FINAL MENU - Pr'!H134)</f>
        <v/>
      </c>
      <c r="I134" s="56" t="str">
        <f>IF('AYIRA MINI MART FINAL MENU - Pr'!I134="", "", 'AYIRA MINI MART FINAL MENU - Pr'!I134)</f>
        <v/>
      </c>
      <c r="J134" s="56" t="str">
        <f>IFERROR(__xludf.DUMMYFUNCTION("IF('AYIRA MINI MART FINAL MENU - Pr'!J134="""", """", GOOGLETRANSLATE('AYIRA MINI MART FINAL MENU - Pr'!J134, ""en"", ""ar""))"),"يعرض")</f>
        <v>يعرض</v>
      </c>
      <c r="K134" s="56" t="str">
        <f>IF('AYIRA MINI MART FINAL MENU - Pr'!K134="", "", 'AYIRA MINI MART FINAL MENU - Pr'!K134)</f>
        <v/>
      </c>
      <c r="L134" s="56" t="str">
        <f>IF('AYIRA MINI MART FINAL MENU - Pr'!L134="", "", 'AYIRA MINI MART FINAL MENU - Pr'!L134)</f>
        <v/>
      </c>
      <c r="M134" s="56" t="str">
        <f>IF('AYIRA MINI MART FINAL MENU - Pr'!M134="", "", 'AYIRA MINI MART FINAL MENU - Pr'!M134)</f>
        <v/>
      </c>
      <c r="N134" s="56" t="str">
        <f>IF('AYIRA MINI MART FINAL MENU - Pr'!N134="", "", 'AYIRA MINI MART FINAL MENU - Pr'!N134)</f>
        <v/>
      </c>
      <c r="O134" s="57"/>
      <c r="P134" s="57"/>
      <c r="Q134" s="57"/>
      <c r="R134" s="57"/>
      <c r="S134" s="57"/>
      <c r="T134" s="57"/>
      <c r="U134" s="57"/>
      <c r="V134" s="57"/>
      <c r="W134" s="57"/>
      <c r="X134" s="57"/>
      <c r="Y134" s="57"/>
      <c r="Z134" s="57"/>
    </row>
    <row r="135">
      <c r="A135" s="56" t="str">
        <f>IFERROR(__xludf.DUMMYFUNCTION("IF('AYIRA MINI MART FINAL MENU - Pr'!A135="""", """", IF(LEN(TRIM(REGEXREPLACE(REGEXREPLACE('AYIRA MINI MART FINAL MENU - Pr'!A135, ""^[^\x{0600}-\x{06FF}]+"", """"), ""^[-–\s]+"", """")))&gt;0, TRIM(REGEXREPLACE(REGEXREPLACE('AYIRA MINI MART FINAL MENU - Pr"&amp;"'!A135, ""^[^\x{0600}-\x{06FF}]+"", """"), ""^[-–\s]+"", """")), GOOGLETRANSLATE('AYIRA MINI MART FINAL MENU - Pr'!A135, ""en"", ""ar"")))"),"مل")</f>
        <v>مل</v>
      </c>
      <c r="B135" s="56" t="str">
        <f>IFERROR(__xludf.DUMMYFUNCTION("IF('AYIRA MINI MART FINAL MENU - Pr'!B135="""", """", IF(LEN(TRIM(REGEXREPLACE(REGEXREPLACE('AYIRA MINI MART FINAL MENU - Pr'!B135, ""^[^\x{0600}-\x{06FF}]+"", """"), ""^[-–\s]+"", """")))&gt;0, TRIM(REGEXREPLACE(REGEXREPLACE('AYIRA MINI MART FINAL MENU - Pr"&amp;"'!B135, ""^[^\x{0600}-\x{06FF}]+"", """"), ""^[-–\s]+"", """")), GOOGLETRANSLATE('AYIRA MINI MART FINAL MENU - Pr'!B135, ""en"", ""ar"")))"),"المشروبات الغازية")</f>
        <v>المشروبات الغازية</v>
      </c>
      <c r="C135" s="58">
        <f>IF('AYIRA MINI MART FINAL MENU - Pr'!C135="", "", 'AYIRA MINI MART FINAL MENU - Pr'!C135)</f>
        <v>3.5</v>
      </c>
      <c r="D135" s="58" t="str">
        <f>IF('AYIRA MINI MART FINAL MENU - Pr'!D135="", "", 'AYIRA MINI MART FINAL MENU - Pr'!D135)</f>
        <v>اكتشف Rita Berry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35" s="56" t="str">
        <f>IF('AYIRA MINI MART FINAL MENU - Pr'!E135="", "", 'AYIRA MINI MART FINAL MENU - Pr'!E135)</f>
        <v/>
      </c>
      <c r="F135" s="56" t="str">
        <f>IF('AYIRA MINI MART FINAL MENU - Pr'!F135="", "", 'AYIRA MINI MART FINAL MENU - Pr'!F135)</f>
        <v/>
      </c>
      <c r="G135" s="56" t="str">
        <f>IF('AYIRA MINI MART FINAL MENU - Pr'!G135="", "", 'AYIRA MINI MART FINAL MENU - Pr'!G135)</f>
        <v/>
      </c>
      <c r="H135" s="56" t="str">
        <f>IF('AYIRA MINI MART FINAL MENU - Pr'!H135="", "", 'AYIRA MINI MART FINAL MENU - Pr'!H135)</f>
        <v/>
      </c>
      <c r="I135" s="56" t="str">
        <f>IF('AYIRA MINI MART FINAL MENU - Pr'!I135="", "", 'AYIRA MINI MART FINAL MENU - Pr'!I135)</f>
        <v/>
      </c>
      <c r="J135" s="56" t="str">
        <f>IFERROR(__xludf.DUMMYFUNCTION("IF('AYIRA MINI MART FINAL MENU - Pr'!J135="""", """", GOOGLETRANSLATE('AYIRA MINI MART FINAL MENU - Pr'!J135, ""en"", ""ar""))"),"يعرض")</f>
        <v>يعرض</v>
      </c>
      <c r="K135" s="56" t="str">
        <f>IF('AYIRA MINI MART FINAL MENU - Pr'!K135="", "", 'AYIRA MINI MART FINAL MENU - Pr'!K135)</f>
        <v/>
      </c>
      <c r="L135" s="56" t="str">
        <f>IF('AYIRA MINI MART FINAL MENU - Pr'!L135="", "", 'AYIRA MINI MART FINAL MENU - Pr'!L135)</f>
        <v/>
      </c>
      <c r="M135" s="56" t="str">
        <f>IF('AYIRA MINI MART FINAL MENU - Pr'!M135="", "", 'AYIRA MINI MART FINAL MENU - Pr'!M135)</f>
        <v/>
      </c>
      <c r="N135" s="56" t="str">
        <f>IF('AYIRA MINI MART FINAL MENU - Pr'!N135="", "", 'AYIRA MINI MART FINAL MENU - Pr'!N135)</f>
        <v/>
      </c>
      <c r="O135" s="57"/>
      <c r="P135" s="57"/>
      <c r="Q135" s="57"/>
      <c r="R135" s="57"/>
      <c r="S135" s="57"/>
      <c r="T135" s="57"/>
      <c r="U135" s="57"/>
      <c r="V135" s="57"/>
      <c r="W135" s="57"/>
      <c r="X135" s="57"/>
      <c r="Y135" s="57"/>
      <c r="Z135" s="57"/>
    </row>
    <row r="136">
      <c r="A136" s="56" t="str">
        <f>IFERROR(__xludf.DUMMYFUNCTION("IF('AYIRA MINI MART FINAL MENU - Pr'!A136="""", """", IF(LEN(TRIM(REGEXREPLACE(REGEXREPLACE('AYIRA MINI MART FINAL MENU - Pr'!A136, ""^[^\x{0600}-\x{06FF}]+"", """"), ""^[-–\s]+"", """")))&gt;0, TRIM(REGEXREPLACE(REGEXREPLACE('AYIRA MINI MART FINAL MENU - Pr"&amp;"'!A136, ""^[^\x{0600}-\x{06FF}]+"", """"), ""^[-–\s]+"", """")), GOOGLETRANSLATE('AYIRA MINI MART FINAL MENU - Pr'!A136, ""en"", ""ar"")))"),"مل")</f>
        <v>مل</v>
      </c>
      <c r="B136" s="56" t="str">
        <f>IFERROR(__xludf.DUMMYFUNCTION("IF('AYIRA MINI MART FINAL MENU - Pr'!B136="""", """", IF(LEN(TRIM(REGEXREPLACE(REGEXREPLACE('AYIRA MINI MART FINAL MENU - Pr'!B136, ""^[^\x{0600}-\x{06FF}]+"", """"), ""^[-–\s]+"", """")))&gt;0, TRIM(REGEXREPLACE(REGEXREPLACE('AYIRA MINI MART FINAL MENU - Pr"&amp;"'!B136, ""^[^\x{0600}-\x{06FF}]+"", """"), ""^[-–\s]+"", """")), GOOGLETRANSLATE('AYIRA MINI MART FINAL MENU - Pr'!B136, ""en"", ""ar"")))"),"المشروبات الغازية")</f>
        <v>المشروبات الغازية</v>
      </c>
      <c r="C136" s="58">
        <f>IF('AYIRA MINI MART FINAL MENU - Pr'!C136="", "", 'AYIRA MINI MART FINAL MENU - Pr'!C136)</f>
        <v>3.5</v>
      </c>
      <c r="D136" s="58" t="str">
        <f>IF('AYIRA MINI MART FINAL MENU - Pr'!D136="", "", 'AYIRA MINI MART FINAL MENU - Pr'!D136)</f>
        <v>اكتشف Rita Pink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36" s="56" t="str">
        <f>IF('AYIRA MINI MART FINAL MENU - Pr'!E136="", "", 'AYIRA MINI MART FINAL MENU - Pr'!E136)</f>
        <v/>
      </c>
      <c r="F136" s="56" t="str">
        <f>IF('AYIRA MINI MART FINAL MENU - Pr'!F136="", "", 'AYIRA MINI MART FINAL MENU - Pr'!F136)</f>
        <v/>
      </c>
      <c r="G136" s="56" t="str">
        <f>IF('AYIRA MINI MART FINAL MENU - Pr'!G136="", "", 'AYIRA MINI MART FINAL MENU - Pr'!G136)</f>
        <v/>
      </c>
      <c r="H136" s="56" t="str">
        <f>IF('AYIRA MINI MART FINAL MENU - Pr'!H136="", "", 'AYIRA MINI MART FINAL MENU - Pr'!H136)</f>
        <v/>
      </c>
      <c r="I136" s="56" t="str">
        <f>IF('AYIRA MINI MART FINAL MENU - Pr'!I136="", "", 'AYIRA MINI MART FINAL MENU - Pr'!I136)</f>
        <v/>
      </c>
      <c r="J136" s="56" t="str">
        <f>IFERROR(__xludf.DUMMYFUNCTION("IF('AYIRA MINI MART FINAL MENU - Pr'!J136="""", """", GOOGLETRANSLATE('AYIRA MINI MART FINAL MENU - Pr'!J136, ""en"", ""ar""))"),"يعرض")</f>
        <v>يعرض</v>
      </c>
      <c r="K136" s="56" t="str">
        <f>IF('AYIRA MINI MART FINAL MENU - Pr'!K136="", "", 'AYIRA MINI MART FINAL MENU - Pr'!K136)</f>
        <v/>
      </c>
      <c r="L136" s="56" t="str">
        <f>IF('AYIRA MINI MART FINAL MENU - Pr'!L136="", "", 'AYIRA MINI MART FINAL MENU - Pr'!L136)</f>
        <v/>
      </c>
      <c r="M136" s="56" t="str">
        <f>IF('AYIRA MINI MART FINAL MENU - Pr'!M136="", "", 'AYIRA MINI MART FINAL MENU - Pr'!M136)</f>
        <v/>
      </c>
      <c r="N136" s="56" t="str">
        <f>IF('AYIRA MINI MART FINAL MENU - Pr'!N136="", "", 'AYIRA MINI MART FINAL MENU - Pr'!N136)</f>
        <v/>
      </c>
      <c r="O136" s="57"/>
      <c r="P136" s="57"/>
      <c r="Q136" s="57"/>
      <c r="R136" s="57"/>
      <c r="S136" s="57"/>
      <c r="T136" s="57"/>
      <c r="U136" s="57"/>
      <c r="V136" s="57"/>
      <c r="W136" s="57"/>
      <c r="X136" s="57"/>
      <c r="Y136" s="57"/>
      <c r="Z136" s="57"/>
    </row>
    <row r="137">
      <c r="A137" s="56" t="str">
        <f>IFERROR(__xludf.DUMMYFUNCTION("IF('AYIRA MINI MART FINAL MENU - Pr'!A137="""", """", IF(LEN(TRIM(REGEXREPLACE(REGEXREPLACE('AYIRA MINI MART FINAL MENU - Pr'!A137, ""^[^\x{0600}-\x{06FF}]+"", """"), ""^[-–\s]+"", """")))&gt;0, TRIM(REGEXREPLACE(REGEXREPLACE('AYIRA MINI MART FINAL MENU - Pr"&amp;"'!A137, ""^[^\x{0600}-\x{06FF}]+"", """"), ""^[-–\s]+"", """")), GOOGLETRANSLATE('AYIRA MINI MART FINAL MENU - Pr'!A137, ""en"", ""ar"")))"),"مشكل Berries غازي مشروب 240 مل")</f>
        <v>مشكل Berries غازي مشروب 240 مل</v>
      </c>
      <c r="B137" s="56" t="str">
        <f>IFERROR(__xludf.DUMMYFUNCTION("IF('AYIRA MINI MART FINAL MENU - Pr'!B137="""", """", IF(LEN(TRIM(REGEXREPLACE(REGEXREPLACE('AYIRA MINI MART FINAL MENU - Pr'!B137, ""^[^\x{0600}-\x{06FF}]+"", """"), ""^[-–\s]+"", """")))&gt;0, TRIM(REGEXREPLACE(REGEXREPLACE('AYIRA MINI MART FINAL MENU - Pr"&amp;"'!B137, ""^[^\x{0600}-\x{06FF}]+"", """"), ""^[-–\s]+"", """")), GOOGLETRANSLATE('AYIRA MINI MART FINAL MENU - Pr'!B137, ""en"", ""ar"")))"),"المشروبات الغازية")</f>
        <v>المشروبات الغازية</v>
      </c>
      <c r="C137" s="58">
        <f>IF('AYIRA MINI MART FINAL MENU - Pr'!C137="", "", 'AYIRA MINI MART FINAL MENU - Pr'!C137)</f>
        <v>3.5</v>
      </c>
      <c r="D137" s="58" t="str">
        <f>IF('AYIRA MINI MART FINAL MENU - Pr'!D137="", "", 'AYIRA MINI MART FINAL MENU - Pr'!D137)</f>
        <v>اكتشف Rita Mixed Berries Sparkling Drink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37" s="56" t="str">
        <f>IF('AYIRA MINI MART FINAL MENU - Pr'!E137="", "", 'AYIRA MINI MART FINAL MENU - Pr'!E137)</f>
        <v/>
      </c>
      <c r="F137" s="56" t="str">
        <f>IF('AYIRA MINI MART FINAL MENU - Pr'!F137="", "", 'AYIRA MINI MART FINAL MENU - Pr'!F137)</f>
        <v/>
      </c>
      <c r="G137" s="56" t="str">
        <f>IF('AYIRA MINI MART FINAL MENU - Pr'!G137="", "", 'AYIRA MINI MART FINAL MENU - Pr'!G137)</f>
        <v/>
      </c>
      <c r="H137" s="56" t="str">
        <f>IF('AYIRA MINI MART FINAL MENU - Pr'!H137="", "", 'AYIRA MINI MART FINAL MENU - Pr'!H137)</f>
        <v/>
      </c>
      <c r="I137" s="56" t="str">
        <f>IF('AYIRA MINI MART FINAL MENU - Pr'!I137="", "", 'AYIRA MINI MART FINAL MENU - Pr'!I137)</f>
        <v/>
      </c>
      <c r="J137" s="56" t="str">
        <f>IFERROR(__xludf.DUMMYFUNCTION("IF('AYIRA MINI MART FINAL MENU - Pr'!J137="""", """", GOOGLETRANSLATE('AYIRA MINI MART FINAL MENU - Pr'!J137, ""en"", ""ar""))"),"يعرض")</f>
        <v>يعرض</v>
      </c>
      <c r="K137" s="56" t="str">
        <f>IF('AYIRA MINI MART FINAL MENU - Pr'!K137="", "", 'AYIRA MINI MART FINAL MENU - Pr'!K137)</f>
        <v/>
      </c>
      <c r="L137" s="56" t="str">
        <f>IF('AYIRA MINI MART FINAL MENU - Pr'!L137="", "", 'AYIRA MINI MART FINAL MENU - Pr'!L137)</f>
        <v/>
      </c>
      <c r="M137" s="56" t="str">
        <f>IF('AYIRA MINI MART FINAL MENU - Pr'!M137="", "", 'AYIRA MINI MART FINAL MENU - Pr'!M137)</f>
        <v/>
      </c>
      <c r="N137" s="56" t="str">
        <f>IF('AYIRA MINI MART FINAL MENU - Pr'!N137="", "", 'AYIRA MINI MART FINAL MENU - Pr'!N137)</f>
        <v/>
      </c>
      <c r="O137" s="57"/>
      <c r="P137" s="57"/>
      <c r="Q137" s="57"/>
      <c r="R137" s="57"/>
      <c r="S137" s="57"/>
      <c r="T137" s="57"/>
      <c r="U137" s="57"/>
      <c r="V137" s="57"/>
      <c r="W137" s="57"/>
      <c r="X137" s="57"/>
      <c r="Y137" s="57"/>
      <c r="Z137" s="57"/>
    </row>
    <row r="138">
      <c r="A138" s="56" t="str">
        <f>IFERROR(__xludf.DUMMYFUNCTION("IF('AYIRA MINI MART FINAL MENU - Pr'!A138="""", """", IF(LEN(TRIM(REGEXREPLACE(REGEXREPLACE('AYIRA MINI MART FINAL MENU - Pr'!A138, ""^[^\x{0600}-\x{06FF}]+"", """"), ""^[-–\s]+"", """")))&gt;0, TRIM(REGEXREPLACE(REGEXREPLACE('AYIRA MINI MART FINAL MENU - Pr"&amp;"'!A138, ""^[^\x{0600}-\x{06FF}]+"", """"), ""^[-–\s]+"", """")), GOOGLETRANSLATE('AYIRA MINI MART FINAL MENU - Pr'!A138, ""en"", ""ar"")))"),"مشروب الطاقة 250 مل")</f>
        <v>مشروب الطاقة 250 مل</v>
      </c>
      <c r="B138" s="56" t="str">
        <f>IFERROR(__xludf.DUMMYFUNCTION("IF('AYIRA MINI MART FINAL MENU - Pr'!B138="""", """", IF(LEN(TRIM(REGEXREPLACE(REGEXREPLACE('AYIRA MINI MART FINAL MENU - Pr'!B138, ""^[^\x{0600}-\x{06FF}]+"", """"), ""^[-–\s]+"", """")))&gt;0, TRIM(REGEXREPLACE(REGEXREPLACE('AYIRA MINI MART FINAL MENU - Pr"&amp;"'!B138, ""^[^\x{0600}-\x{06FF}]+"", """"), ""^[-–\s]+"", """")), GOOGLETRANSLATE('AYIRA MINI MART FINAL MENU - Pr'!B138, ""en"", ""ar"")))"),"مشروبات الطاقة والرياضة")</f>
        <v>مشروبات الطاقة والرياضة</v>
      </c>
      <c r="C138" s="58">
        <f>IF('AYIRA MINI MART FINAL MENU - Pr'!C138="", "", 'AYIRA MINI MART FINAL MENU - Pr'!C138)</f>
        <v>5</v>
      </c>
      <c r="D138" s="58" t="str">
        <f>IF('AYIRA MINI MART FINAL MENU - Pr'!D138="", "", 'AYIRA MINI MART FINAL MENU - Pr'!D138)</f>
        <v>اشحن طاقتك مع Power Boss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38" s="56" t="str">
        <f>IF('AYIRA MINI MART FINAL MENU - Pr'!E138="", "", 'AYIRA MINI MART FINAL MENU - Pr'!E138)</f>
        <v/>
      </c>
      <c r="F138" s="56" t="str">
        <f>IF('AYIRA MINI MART FINAL MENU - Pr'!F138="", "", 'AYIRA MINI MART FINAL MENU - Pr'!F138)</f>
        <v/>
      </c>
      <c r="G138" s="56" t="str">
        <f>IF('AYIRA MINI MART FINAL MENU - Pr'!G138="", "", 'AYIRA MINI MART FINAL MENU - Pr'!G138)</f>
        <v/>
      </c>
      <c r="H138" s="56" t="str">
        <f>IF('AYIRA MINI MART FINAL MENU - Pr'!H138="", "", 'AYIRA MINI MART FINAL MENU - Pr'!H138)</f>
        <v/>
      </c>
      <c r="I138" s="56" t="str">
        <f>IF('AYIRA MINI MART FINAL MENU - Pr'!I138="", "", 'AYIRA MINI MART FINAL MENU - Pr'!I138)</f>
        <v/>
      </c>
      <c r="J138" s="56" t="str">
        <f>IFERROR(__xludf.DUMMYFUNCTION("IF('AYIRA MINI MART FINAL MENU - Pr'!J138="""", """", GOOGLETRANSLATE('AYIRA MINI MART FINAL MENU - Pr'!J138, ""en"", ""ar""))"),"يعرض")</f>
        <v>يعرض</v>
      </c>
      <c r="K138" s="56" t="str">
        <f>IF('AYIRA MINI MART FINAL MENU - Pr'!K138="", "", 'AYIRA MINI MART FINAL MENU - Pr'!K138)</f>
        <v/>
      </c>
      <c r="L138" s="56" t="str">
        <f>IF('AYIRA MINI MART FINAL MENU - Pr'!L138="", "", 'AYIRA MINI MART FINAL MENU - Pr'!L138)</f>
        <v/>
      </c>
      <c r="M138" s="56" t="str">
        <f>IF('AYIRA MINI MART FINAL MENU - Pr'!M138="", "", 'AYIRA MINI MART FINAL MENU - Pr'!M138)</f>
        <v/>
      </c>
      <c r="N138" s="56" t="str">
        <f>IF('AYIRA MINI MART FINAL MENU - Pr'!N138="", "", 'AYIRA MINI MART FINAL MENU - Pr'!N138)</f>
        <v/>
      </c>
      <c r="O138" s="57"/>
      <c r="P138" s="57"/>
      <c r="Q138" s="57"/>
      <c r="R138" s="57"/>
      <c r="S138" s="57"/>
      <c r="T138" s="57"/>
      <c r="U138" s="57"/>
      <c r="V138" s="57"/>
      <c r="W138" s="57"/>
      <c r="X138" s="57"/>
      <c r="Y138" s="57"/>
      <c r="Z138" s="57"/>
    </row>
    <row r="139">
      <c r="A139" s="56" t="str">
        <f>IFERROR(__xludf.DUMMYFUNCTION("IF('AYIRA MINI MART FINAL MENU - Pr'!A139="""", """", IF(LEN(TRIM(REGEXREPLACE(REGEXREPLACE('AYIRA MINI MART FINAL MENU - Pr'!A139, ""^[^\x{0600}-\x{06FF}]+"", """"), ""^[-–\s]+"", """")))&gt;0, TRIM(REGEXREPLACE(REGEXREPLACE('AYIRA MINI MART FINAL MENU - Pr"&amp;"'!A139, ""^[^\x{0600}-\x{06FF}]+"", """"), ""^[-–\s]+"", """")), GOOGLETRANSLATE('AYIRA MINI MART FINAL MENU - Pr'!A139, ""en"", ""ar"")))"),"مشروب الطاقة 250 مل")</f>
        <v>مشروب الطاقة 250 مل</v>
      </c>
      <c r="B139" s="56" t="str">
        <f>IFERROR(__xludf.DUMMYFUNCTION("IF('AYIRA MINI MART FINAL MENU - Pr'!B139="""", """", IF(LEN(TRIM(REGEXREPLACE(REGEXREPLACE('AYIRA MINI MART FINAL MENU - Pr'!B139, ""^[^\x{0600}-\x{06FF}]+"", """"), ""^[-–\s]+"", """")))&gt;0, TRIM(REGEXREPLACE(REGEXREPLACE('AYIRA MINI MART FINAL MENU - Pr"&amp;"'!B139, ""^[^\x{0600}-\x{06FF}]+"", """"), ""^[-–\s]+"", """")), GOOGLETRANSLATE('AYIRA MINI MART FINAL MENU - Pr'!B139, ""en"", ""ar"")))"),"مشروبات الطاقة والرياضة")</f>
        <v>مشروبات الطاقة والرياضة</v>
      </c>
      <c r="C139" s="58">
        <f>IF('AYIRA MINI MART FINAL MENU - Pr'!C139="", "", 'AYIRA MINI MART FINAL MENU - Pr'!C139)</f>
        <v>5</v>
      </c>
      <c r="D139" s="58" t="str">
        <f>IF('AYIRA MINI MART FINAL MENU - Pr'!D139="", "", 'AYIRA MINI MART FINAL MENU - Pr'!D139)</f>
        <v>اشحن طاقتك مع Power Red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39" s="56" t="str">
        <f>IF('AYIRA MINI MART FINAL MENU - Pr'!E139="", "", 'AYIRA MINI MART FINAL MENU - Pr'!E139)</f>
        <v/>
      </c>
      <c r="F139" s="56" t="str">
        <f>IF('AYIRA MINI MART FINAL MENU - Pr'!F139="", "", 'AYIRA MINI MART FINAL MENU - Pr'!F139)</f>
        <v/>
      </c>
      <c r="G139" s="56" t="str">
        <f>IF('AYIRA MINI MART FINAL MENU - Pr'!G139="", "", 'AYIRA MINI MART FINAL MENU - Pr'!G139)</f>
        <v/>
      </c>
      <c r="H139" s="56" t="str">
        <f>IF('AYIRA MINI MART FINAL MENU - Pr'!H139="", "", 'AYIRA MINI MART FINAL MENU - Pr'!H139)</f>
        <v/>
      </c>
      <c r="I139" s="56" t="str">
        <f>IF('AYIRA MINI MART FINAL MENU - Pr'!I139="", "", 'AYIRA MINI MART FINAL MENU - Pr'!I139)</f>
        <v/>
      </c>
      <c r="J139" s="56" t="str">
        <f>IFERROR(__xludf.DUMMYFUNCTION("IF('AYIRA MINI MART FINAL MENU - Pr'!J139="""", """", GOOGLETRANSLATE('AYIRA MINI MART FINAL MENU - Pr'!J139, ""en"", ""ar""))"),"يعرض")</f>
        <v>يعرض</v>
      </c>
      <c r="K139" s="56" t="str">
        <f>IF('AYIRA MINI MART FINAL MENU - Pr'!K139="", "", 'AYIRA MINI MART FINAL MENU - Pr'!K139)</f>
        <v/>
      </c>
      <c r="L139" s="56" t="str">
        <f>IF('AYIRA MINI MART FINAL MENU - Pr'!L139="", "", 'AYIRA MINI MART FINAL MENU - Pr'!L139)</f>
        <v/>
      </c>
      <c r="M139" s="56" t="str">
        <f>IF('AYIRA MINI MART FINAL MENU - Pr'!M139="", "", 'AYIRA MINI MART FINAL MENU - Pr'!M139)</f>
        <v/>
      </c>
      <c r="N139" s="56" t="str">
        <f>IF('AYIRA MINI MART FINAL MENU - Pr'!N139="", "", 'AYIRA MINI MART FINAL MENU - Pr'!N139)</f>
        <v/>
      </c>
      <c r="O139" s="57"/>
      <c r="P139" s="57"/>
      <c r="Q139" s="57"/>
      <c r="R139" s="57"/>
      <c r="S139" s="57"/>
      <c r="T139" s="57"/>
      <c r="U139" s="57"/>
      <c r="V139" s="57"/>
      <c r="W139" s="57"/>
      <c r="X139" s="57"/>
      <c r="Y139" s="57"/>
      <c r="Z139" s="57"/>
    </row>
    <row r="140">
      <c r="A140" s="56" t="str">
        <f>IFERROR(__xludf.DUMMYFUNCTION("IF('AYIRA MINI MART FINAL MENU - Pr'!A140="""", """", IF(LEN(TRIM(REGEXREPLACE(REGEXREPLACE('AYIRA MINI MART FINAL MENU - Pr'!A140, ""^[^\x{0600}-\x{06FF}]+"", """"), ""^[-–\s]+"", """")))&gt;0, TRIM(REGEXREPLACE(REGEXREPLACE('AYIRA MINI MART FINAL MENU - Pr"&amp;"'!A140, ""^[^\x{0600}-\x{06FF}]+"", """"), ""^[-–\s]+"", """")), GOOGLETRANSLATE('AYIRA MINI MART FINAL MENU - Pr'!A140, ""en"", ""ar"")))"),"مشروب الطاقة 250 مل")</f>
        <v>مشروب الطاقة 250 مل</v>
      </c>
      <c r="B140" s="56" t="str">
        <f>IFERROR(__xludf.DUMMYFUNCTION("IF('AYIRA MINI MART FINAL MENU - Pr'!B140="""", """", IF(LEN(TRIM(REGEXREPLACE(REGEXREPLACE('AYIRA MINI MART FINAL MENU - Pr'!B140, ""^[^\x{0600}-\x{06FF}]+"", """"), ""^[-–\s]+"", """")))&gt;0, TRIM(REGEXREPLACE(REGEXREPLACE('AYIRA MINI MART FINAL MENU - Pr"&amp;"'!B140, ""^[^\x{0600}-\x{06FF}]+"", """"), ""^[-–\s]+"", """")), GOOGLETRANSLATE('AYIRA MINI MART FINAL MENU - Pr'!B140, ""en"", ""ar"")))"),"مشروبات الطاقة والرياضة")</f>
        <v>مشروبات الطاقة والرياضة</v>
      </c>
      <c r="C140" s="58">
        <f>IF('AYIRA MINI MART FINAL MENU - Pr'!C140="", "", 'AYIRA MINI MART FINAL MENU - Pr'!C140)</f>
        <v>6</v>
      </c>
      <c r="D140" s="58" t="str">
        <f>IF('AYIRA MINI MART FINAL MENU - Pr'!D140="", "", 'AYIRA MINI MART FINAL MENU - Pr'!D140)</f>
        <v>اشحن طاقتك مع Boom Boom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40" s="56" t="str">
        <f>IF('AYIRA MINI MART FINAL MENU - Pr'!E140="", "", 'AYIRA MINI MART FINAL MENU - Pr'!E140)</f>
        <v/>
      </c>
      <c r="F140" s="56" t="str">
        <f>IF('AYIRA MINI MART FINAL MENU - Pr'!F140="", "", 'AYIRA MINI MART FINAL MENU - Pr'!F140)</f>
        <v/>
      </c>
      <c r="G140" s="56" t="str">
        <f>IF('AYIRA MINI MART FINAL MENU - Pr'!G140="", "", 'AYIRA MINI MART FINAL MENU - Pr'!G140)</f>
        <v/>
      </c>
      <c r="H140" s="56" t="str">
        <f>IF('AYIRA MINI MART FINAL MENU - Pr'!H140="", "", 'AYIRA MINI MART FINAL MENU - Pr'!H140)</f>
        <v/>
      </c>
      <c r="I140" s="56" t="str">
        <f>IF('AYIRA MINI MART FINAL MENU - Pr'!I140="", "", 'AYIRA MINI MART FINAL MENU - Pr'!I140)</f>
        <v/>
      </c>
      <c r="J140" s="56" t="str">
        <f>IFERROR(__xludf.DUMMYFUNCTION("IF('AYIRA MINI MART FINAL MENU - Pr'!J140="""", """", GOOGLETRANSLATE('AYIRA MINI MART FINAL MENU - Pr'!J140, ""en"", ""ar""))"),"يعرض")</f>
        <v>يعرض</v>
      </c>
      <c r="K140" s="56" t="str">
        <f>IF('AYIRA MINI MART FINAL MENU - Pr'!K140="", "", 'AYIRA MINI MART FINAL MENU - Pr'!K140)</f>
        <v/>
      </c>
      <c r="L140" s="56" t="str">
        <f>IF('AYIRA MINI MART FINAL MENU - Pr'!L140="", "", 'AYIRA MINI MART FINAL MENU - Pr'!L140)</f>
        <v/>
      </c>
      <c r="M140" s="56" t="str">
        <f>IF('AYIRA MINI MART FINAL MENU - Pr'!M140="", "", 'AYIRA MINI MART FINAL MENU - Pr'!M140)</f>
        <v/>
      </c>
      <c r="N140" s="56" t="str">
        <f>IF('AYIRA MINI MART FINAL MENU - Pr'!N140="", "", 'AYIRA MINI MART FINAL MENU - Pr'!N140)</f>
        <v/>
      </c>
      <c r="O140" s="57"/>
      <c r="P140" s="57"/>
      <c r="Q140" s="57"/>
      <c r="R140" s="57"/>
      <c r="S140" s="57"/>
      <c r="T140" s="57"/>
      <c r="U140" s="57"/>
      <c r="V140" s="57"/>
      <c r="W140" s="57"/>
      <c r="X140" s="57"/>
      <c r="Y140" s="57"/>
      <c r="Z140" s="57"/>
    </row>
    <row r="141">
      <c r="A141" s="56" t="str">
        <f>IFERROR(__xludf.DUMMYFUNCTION("IF('AYIRA MINI MART FINAL MENU - Pr'!A141="""", """", IF(LEN(TRIM(REGEXREPLACE(REGEXREPLACE('AYIRA MINI MART FINAL MENU - Pr'!A141, ""^[^\x{0600}-\x{06FF}]+"", """"), ""^[-–\s]+"", """")))&gt;0, TRIM(REGEXREPLACE(REGEXREPLACE('AYIRA MINI MART FINAL MENU - Pr"&amp;"'!A141, ""^[^\x{0600}-\x{06FF}]+"", """"), ""^[-–\s]+"", """")), GOOGLETRANSLATE('AYIRA MINI MART FINAL MENU - Pr'!A141, ""en"", ""ar"")))"),"مشروب الطاقة 250 مل")</f>
        <v>مشروب الطاقة 250 مل</v>
      </c>
      <c r="B141" s="56" t="str">
        <f>IFERROR(__xludf.DUMMYFUNCTION("IF('AYIRA MINI MART FINAL MENU - Pr'!B141="""", """", IF(LEN(TRIM(REGEXREPLACE(REGEXREPLACE('AYIRA MINI MART FINAL MENU - Pr'!B141, ""^[^\x{0600}-\x{06FF}]+"", """"), ""^[-–\s]+"", """")))&gt;0, TRIM(REGEXREPLACE(REGEXREPLACE('AYIRA MINI MART FINAL MENU - Pr"&amp;"'!B141, ""^[^\x{0600}-\x{06FF}]+"", """"), ""^[-–\s]+"", """")), GOOGLETRANSLATE('AYIRA MINI MART FINAL MENU - Pr'!B141, ""en"", ""ar"")))"),"مشروبات الطاقة والرياضة")</f>
        <v>مشروبات الطاقة والرياضة</v>
      </c>
      <c r="C141" s="58">
        <f>IF('AYIRA MINI MART FINAL MENU - Pr'!C141="", "", 'AYIRA MINI MART FINAL MENU - Pr'!C141)</f>
        <v>7.5</v>
      </c>
      <c r="D141" s="58" t="str">
        <f>IF('AYIRA MINI MART FINAL MENU - Pr'!D141="", "", 'AYIRA MINI MART FINAL MENU - Pr'!D141)</f>
        <v>اشحن طاقتك مع Code Red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41" s="56" t="str">
        <f>IF('AYIRA MINI MART FINAL MENU - Pr'!E141="", "", 'AYIRA MINI MART FINAL MENU - Pr'!E141)</f>
        <v/>
      </c>
      <c r="F141" s="56" t="str">
        <f>IF('AYIRA MINI MART FINAL MENU - Pr'!F141="", "", 'AYIRA MINI MART FINAL MENU - Pr'!F141)</f>
        <v/>
      </c>
      <c r="G141" s="56" t="str">
        <f>IF('AYIRA MINI MART FINAL MENU - Pr'!G141="", "", 'AYIRA MINI MART FINAL MENU - Pr'!G141)</f>
        <v/>
      </c>
      <c r="H141" s="56" t="str">
        <f>IF('AYIRA MINI MART FINAL MENU - Pr'!H141="", "", 'AYIRA MINI MART FINAL MENU - Pr'!H141)</f>
        <v/>
      </c>
      <c r="I141" s="56" t="str">
        <f>IF('AYIRA MINI MART FINAL MENU - Pr'!I141="", "", 'AYIRA MINI MART FINAL MENU - Pr'!I141)</f>
        <v/>
      </c>
      <c r="J141" s="56" t="str">
        <f>IFERROR(__xludf.DUMMYFUNCTION("IF('AYIRA MINI MART FINAL MENU - Pr'!J141="""", """", GOOGLETRANSLATE('AYIRA MINI MART FINAL MENU - Pr'!J141, ""en"", ""ar""))"),"يعرض")</f>
        <v>يعرض</v>
      </c>
      <c r="K141" s="56" t="str">
        <f>IF('AYIRA MINI MART FINAL MENU - Pr'!K141="", "", 'AYIRA MINI MART FINAL MENU - Pr'!K141)</f>
        <v/>
      </c>
      <c r="L141" s="56" t="str">
        <f>IF('AYIRA MINI MART FINAL MENU - Pr'!L141="", "", 'AYIRA MINI MART FINAL MENU - Pr'!L141)</f>
        <v/>
      </c>
      <c r="M141" s="56" t="str">
        <f>IF('AYIRA MINI MART FINAL MENU - Pr'!M141="", "", 'AYIRA MINI MART FINAL MENU - Pr'!M141)</f>
        <v/>
      </c>
      <c r="N141" s="56" t="str">
        <f>IF('AYIRA MINI MART FINAL MENU - Pr'!N141="", "", 'AYIRA MINI MART FINAL MENU - Pr'!N141)</f>
        <v/>
      </c>
      <c r="O141" s="57"/>
      <c r="P141" s="57"/>
      <c r="Q141" s="57"/>
      <c r="R141" s="57"/>
      <c r="S141" s="57"/>
      <c r="T141" s="57"/>
      <c r="U141" s="57"/>
      <c r="V141" s="57"/>
      <c r="W141" s="57"/>
      <c r="X141" s="57"/>
      <c r="Y141" s="57"/>
      <c r="Z141" s="57"/>
    </row>
    <row r="142">
      <c r="A142" s="56" t="str">
        <f>IFERROR(__xludf.DUMMYFUNCTION("IF('AYIRA MINI MART FINAL MENU - Pr'!A142="""", """", IF(LEN(TRIM(REGEXREPLACE(REGEXREPLACE('AYIRA MINI MART FINAL MENU - Pr'!A142, ""^[^\x{0600}-\x{06FF}]+"", """"), ""^[-–\s]+"", """")))&gt;0, TRIM(REGEXREPLACE(REGEXREPLACE('AYIRA MINI MART FINAL MENU - Pr"&amp;"'!A142, ""^[^\x{0600}-\x{06FF}]+"", """"), ""^[-–\s]+"", """")), GOOGLETRANSLATE('AYIRA MINI MART FINAL MENU - Pr'!A142, ""en"", ""ar"")))"),"مشروب الطاقة 250 مل")</f>
        <v>مشروب الطاقة 250 مل</v>
      </c>
      <c r="B142" s="56" t="str">
        <f>IFERROR(__xludf.DUMMYFUNCTION("IF('AYIRA MINI MART FINAL MENU - Pr'!B142="""", """", IF(LEN(TRIM(REGEXREPLACE(REGEXREPLACE('AYIRA MINI MART FINAL MENU - Pr'!B142, ""^[^\x{0600}-\x{06FF}]+"", """"), ""^[-–\s]+"", """")))&gt;0, TRIM(REGEXREPLACE(REGEXREPLACE('AYIRA MINI MART FINAL MENU - Pr"&amp;"'!B142, ""^[^\x{0600}-\x{06FF}]+"", """"), ""^[-–\s]+"", """")), GOOGLETRANSLATE('AYIRA MINI MART FINAL MENU - Pr'!B142, ""en"", ""ar"")))"),"مشروبات الطاقة والرياضة")</f>
        <v>مشروبات الطاقة والرياضة</v>
      </c>
      <c r="C142" s="58">
        <f>IF('AYIRA MINI MART FINAL MENU - Pr'!C142="", "", 'AYIRA MINI MART FINAL MENU - Pr'!C142)</f>
        <v>3</v>
      </c>
      <c r="D142" s="58" t="str">
        <f>IF('AYIRA MINI MART FINAL MENU - Pr'!D142="", "", 'AYIRA MINI MART FINAL MENU - Pr'!D142)</f>
        <v>اشحن طاقتك مع Speed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42" s="56" t="str">
        <f>IF('AYIRA MINI MART FINAL MENU - Pr'!E142="", "", 'AYIRA MINI MART FINAL MENU - Pr'!E142)</f>
        <v/>
      </c>
      <c r="F142" s="56" t="str">
        <f>IF('AYIRA MINI MART FINAL MENU - Pr'!F142="", "", 'AYIRA MINI MART FINAL MENU - Pr'!F142)</f>
        <v/>
      </c>
      <c r="G142" s="56" t="str">
        <f>IF('AYIRA MINI MART FINAL MENU - Pr'!G142="", "", 'AYIRA MINI MART FINAL MENU - Pr'!G142)</f>
        <v/>
      </c>
      <c r="H142" s="56" t="str">
        <f>IF('AYIRA MINI MART FINAL MENU - Pr'!H142="", "", 'AYIRA MINI MART FINAL MENU - Pr'!H142)</f>
        <v/>
      </c>
      <c r="I142" s="56" t="str">
        <f>IF('AYIRA MINI MART FINAL MENU - Pr'!I142="", "", 'AYIRA MINI MART FINAL MENU - Pr'!I142)</f>
        <v/>
      </c>
      <c r="J142" s="56" t="str">
        <f>IFERROR(__xludf.DUMMYFUNCTION("IF('AYIRA MINI MART FINAL MENU - Pr'!J142="""", """", GOOGLETRANSLATE('AYIRA MINI MART FINAL MENU - Pr'!J142, ""en"", ""ar""))"),"يعرض")</f>
        <v>يعرض</v>
      </c>
      <c r="K142" s="56" t="str">
        <f>IF('AYIRA MINI MART FINAL MENU - Pr'!K142="", "", 'AYIRA MINI MART FINAL MENU - Pr'!K142)</f>
        <v/>
      </c>
      <c r="L142" s="56" t="str">
        <f>IF('AYIRA MINI MART FINAL MENU - Pr'!L142="", "", 'AYIRA MINI MART FINAL MENU - Pr'!L142)</f>
        <v/>
      </c>
      <c r="M142" s="56" t="str">
        <f>IF('AYIRA MINI MART FINAL MENU - Pr'!M142="", "", 'AYIRA MINI MART FINAL MENU - Pr'!M142)</f>
        <v/>
      </c>
      <c r="N142" s="56" t="str">
        <f>IF('AYIRA MINI MART FINAL MENU - Pr'!N142="", "", 'AYIRA MINI MART FINAL MENU - Pr'!N142)</f>
        <v/>
      </c>
      <c r="O142" s="57"/>
      <c r="P142" s="57"/>
      <c r="Q142" s="57"/>
      <c r="R142" s="57"/>
      <c r="S142" s="57"/>
      <c r="T142" s="57"/>
      <c r="U142" s="57"/>
      <c r="V142" s="57"/>
      <c r="W142" s="57"/>
      <c r="X142" s="57"/>
      <c r="Y142" s="57"/>
      <c r="Z142" s="57"/>
    </row>
    <row r="143">
      <c r="A143" s="56" t="str">
        <f>IFERROR(__xludf.DUMMYFUNCTION("IF('AYIRA MINI MART FINAL MENU - Pr'!A143="""", """", IF(LEN(TRIM(REGEXREPLACE(REGEXREPLACE('AYIRA MINI MART FINAL MENU - Pr'!A143, ""^[^\x{0600}-\x{06FF}]+"", """"), ""^[-–\s]+"", """")))&gt;0, TRIM(REGEXREPLACE(REGEXREPLACE('AYIRA MINI MART FINAL MENU - Pr"&amp;"'!A143, ""^[^\x{0600}-\x{06FF}]+"", """"), ""^[-–\s]+"", """")), GOOGLETRANSLATE('AYIRA MINI MART FINAL MENU - Pr'!A143, ""en"", ""ar"")))"),"غازي مشروب 275 مل")</f>
        <v>غازي مشروب 275 مل</v>
      </c>
      <c r="B143" s="56" t="str">
        <f>IFERROR(__xludf.DUMMYFUNCTION("IF('AYIRA MINI MART FINAL MENU - Pr'!B143="""", """", IF(LEN(TRIM(REGEXREPLACE(REGEXREPLACE('AYIRA MINI MART FINAL MENU - Pr'!B143, ""^[^\x{0600}-\x{06FF}]+"", """"), ""^[-–\s]+"", """")))&gt;0, TRIM(REGEXREPLACE(REGEXREPLACE('AYIRA MINI MART FINAL MENU - Pr"&amp;"'!B143, ""^[^\x{0600}-\x{06FF}]+"", """"), ""^[-–\s]+"", """")), GOOGLETRANSLATE('AYIRA MINI MART FINAL MENU - Pr'!B143, ""en"", ""ar"")))"),"المشروبات الغازية")</f>
        <v>المشروبات الغازية</v>
      </c>
      <c r="C143" s="58">
        <f>IF('AYIRA MINI MART FINAL MENU - Pr'!C143="", "", 'AYIRA MINI MART FINAL MENU - Pr'!C143)</f>
        <v>4</v>
      </c>
      <c r="D143" s="58" t="str">
        <f>IF('AYIRA MINI MART FINAL MENU - Pr'!D143="", "", 'AYIRA MINI MART FINAL MENU - Pr'!D143)</f>
        <v>اكتشف Rita Red Sparkling Drink 275ml،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43" s="56" t="str">
        <f>IF('AYIRA MINI MART FINAL MENU - Pr'!E143="", "", 'AYIRA MINI MART FINAL MENU - Pr'!E143)</f>
        <v/>
      </c>
      <c r="F143" s="56" t="str">
        <f>IF('AYIRA MINI MART FINAL MENU - Pr'!F143="", "", 'AYIRA MINI MART FINAL MENU - Pr'!F143)</f>
        <v/>
      </c>
      <c r="G143" s="56" t="str">
        <f>IF('AYIRA MINI MART FINAL MENU - Pr'!G143="", "", 'AYIRA MINI MART FINAL MENU - Pr'!G143)</f>
        <v/>
      </c>
      <c r="H143" s="56" t="str">
        <f>IF('AYIRA MINI MART FINAL MENU - Pr'!H143="", "", 'AYIRA MINI MART FINAL MENU - Pr'!H143)</f>
        <v/>
      </c>
      <c r="I143" s="56" t="str">
        <f>IF('AYIRA MINI MART FINAL MENU - Pr'!I143="", "", 'AYIRA MINI MART FINAL MENU - Pr'!I143)</f>
        <v/>
      </c>
      <c r="J143" s="56" t="str">
        <f>IFERROR(__xludf.DUMMYFUNCTION("IF('AYIRA MINI MART FINAL MENU - Pr'!J143="""", """", GOOGLETRANSLATE('AYIRA MINI MART FINAL MENU - Pr'!J143, ""en"", ""ar""))"),"يعرض")</f>
        <v>يعرض</v>
      </c>
      <c r="K143" s="56" t="str">
        <f>IF('AYIRA MINI MART FINAL MENU - Pr'!K143="", "", 'AYIRA MINI MART FINAL MENU - Pr'!K143)</f>
        <v/>
      </c>
      <c r="L143" s="56" t="str">
        <f>IF('AYIRA MINI MART FINAL MENU - Pr'!L143="", "", 'AYIRA MINI MART FINAL MENU - Pr'!L143)</f>
        <v/>
      </c>
      <c r="M143" s="56" t="str">
        <f>IF('AYIRA MINI MART FINAL MENU - Pr'!M143="", "", 'AYIRA MINI MART FINAL MENU - Pr'!M143)</f>
        <v/>
      </c>
      <c r="N143" s="56" t="str">
        <f>IF('AYIRA MINI MART FINAL MENU - Pr'!N143="", "", 'AYIRA MINI MART FINAL MENU - Pr'!N143)</f>
        <v/>
      </c>
      <c r="O143" s="57"/>
      <c r="P143" s="57"/>
      <c r="Q143" s="57"/>
      <c r="R143" s="57"/>
      <c r="S143" s="57"/>
      <c r="T143" s="57"/>
      <c r="U143" s="57"/>
      <c r="V143" s="57"/>
      <c r="W143" s="57"/>
      <c r="X143" s="57"/>
      <c r="Y143" s="57"/>
      <c r="Z143" s="57"/>
    </row>
    <row r="144">
      <c r="A144" s="56" t="str">
        <f>IFERROR(__xludf.DUMMYFUNCTION("IF('AYIRA MINI MART FINAL MENU - Pr'!A144="""", """", IF(LEN(TRIM(REGEXREPLACE(REGEXREPLACE('AYIRA MINI MART FINAL MENU - Pr'!A144, ""^[^\x{0600}-\x{06FF}]+"", """"), ""^[-–\s]+"", """")))&gt;0, TRIM(REGEXREPLACE(REGEXREPLACE('AYIRA MINI MART FINAL MENU - Pr"&amp;"'!A144, ""^[^\x{0600}-\x{06FF}]+"", """"), ""^[-–\s]+"", """")), GOOGLETRANSLATE('AYIRA MINI MART FINAL MENU - Pr'!A144, ""en"", ""ar"")))"),"ليمون &amp; نعناع غازي مشروب 275 مل")</f>
        <v>ليمون &amp; نعناع غازي مشروب 275 مل</v>
      </c>
      <c r="B144" s="56" t="str">
        <f>IFERROR(__xludf.DUMMYFUNCTION("IF('AYIRA MINI MART FINAL MENU - Pr'!B144="""", """", IF(LEN(TRIM(REGEXREPLACE(REGEXREPLACE('AYIRA MINI MART FINAL MENU - Pr'!B144, ""^[^\x{0600}-\x{06FF}]+"", """"), ""^[-–\s]+"", """")))&gt;0, TRIM(REGEXREPLACE(REGEXREPLACE('AYIRA MINI MART FINAL MENU - Pr"&amp;"'!B144, ""^[^\x{0600}-\x{06FF}]+"", """"), ""^[-–\s]+"", """")), GOOGLETRANSLATE('AYIRA MINI MART FINAL MENU - Pr'!B144, ""en"", ""ar"")))"),"المشروبات الغازية")</f>
        <v>المشروبات الغازية</v>
      </c>
      <c r="C144" s="58">
        <f>IF('AYIRA MINI MART FINAL MENU - Pr'!C144="", "", 'AYIRA MINI MART FINAL MENU - Pr'!C144)</f>
        <v>4</v>
      </c>
      <c r="D144" s="58" t="str">
        <f>IF('AYIRA MINI MART FINAL MENU - Pr'!D144="", "", 'AYIRA MINI MART FINAL MENU - Pr'!D144)</f>
        <v>أضف لحظة حلوة إلى يومك مع Rita Lemon &amp; Mint Sparkling Drink 275ml،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144" s="56" t="str">
        <f>IF('AYIRA MINI MART FINAL MENU - Pr'!E144="", "", 'AYIRA MINI MART FINAL MENU - Pr'!E144)</f>
        <v/>
      </c>
      <c r="F144" s="56" t="str">
        <f>IF('AYIRA MINI MART FINAL MENU - Pr'!F144="", "", 'AYIRA MINI MART FINAL MENU - Pr'!F144)</f>
        <v/>
      </c>
      <c r="G144" s="56" t="str">
        <f>IF('AYIRA MINI MART FINAL MENU - Pr'!G144="", "", 'AYIRA MINI MART FINAL MENU - Pr'!G144)</f>
        <v/>
      </c>
      <c r="H144" s="56" t="str">
        <f>IF('AYIRA MINI MART FINAL MENU - Pr'!H144="", "", 'AYIRA MINI MART FINAL MENU - Pr'!H144)</f>
        <v/>
      </c>
      <c r="I144" s="56" t="str">
        <f>IF('AYIRA MINI MART FINAL MENU - Pr'!I144="", "", 'AYIRA MINI MART FINAL MENU - Pr'!I144)</f>
        <v/>
      </c>
      <c r="J144" s="56" t="str">
        <f>IFERROR(__xludf.DUMMYFUNCTION("IF('AYIRA MINI MART FINAL MENU - Pr'!J144="""", """", GOOGLETRANSLATE('AYIRA MINI MART FINAL MENU - Pr'!J144, ""en"", ""ar""))"),"يعرض")</f>
        <v>يعرض</v>
      </c>
      <c r="K144" s="56" t="str">
        <f>IF('AYIRA MINI MART FINAL MENU - Pr'!K144="", "", 'AYIRA MINI MART FINAL MENU - Pr'!K144)</f>
        <v/>
      </c>
      <c r="L144" s="56" t="str">
        <f>IF('AYIRA MINI MART FINAL MENU - Pr'!L144="", "", 'AYIRA MINI MART FINAL MENU - Pr'!L144)</f>
        <v/>
      </c>
      <c r="M144" s="56" t="str">
        <f>IF('AYIRA MINI MART FINAL MENU - Pr'!M144="", "", 'AYIRA MINI MART FINAL MENU - Pr'!M144)</f>
        <v/>
      </c>
      <c r="N144" s="56" t="str">
        <f>IF('AYIRA MINI MART FINAL MENU - Pr'!N144="", "", 'AYIRA MINI MART FINAL MENU - Pr'!N144)</f>
        <v/>
      </c>
      <c r="O144" s="57"/>
      <c r="P144" s="57"/>
      <c r="Q144" s="57"/>
      <c r="R144" s="57"/>
      <c r="S144" s="57"/>
      <c r="T144" s="57"/>
      <c r="U144" s="57"/>
      <c r="V144" s="57"/>
      <c r="W144" s="57"/>
      <c r="X144" s="57"/>
      <c r="Y144" s="57"/>
      <c r="Z144" s="57"/>
    </row>
    <row r="145">
      <c r="A145" s="56" t="str">
        <f>IFERROR(__xludf.DUMMYFUNCTION("IF('AYIRA MINI MART FINAL MENU - Pr'!A145="""", """", IF(LEN(TRIM(REGEXREPLACE(REGEXREPLACE('AYIRA MINI MART FINAL MENU - Pr'!A145, ""^[^\x{0600}-\x{06FF}]+"", """"), ""^[-–\s]+"", """")))&gt;0, TRIM(REGEXREPLACE(REGEXREPLACE('AYIRA MINI MART FINAL MENU - Pr"&amp;"'!A145, ""^[^\x{0600}-\x{06FF}]+"", """"), ""^[-–\s]+"", """")), GOOGLETRANSLATE('AYIRA MINI MART FINAL MENU - Pr'!A145, ""en"", ""ar"")))"),"غازي مشروب 275 مل")</f>
        <v>غازي مشروب 275 مل</v>
      </c>
      <c r="B145" s="56" t="str">
        <f>IFERROR(__xludf.DUMMYFUNCTION("IF('AYIRA MINI MART FINAL MENU - Pr'!B145="""", """", IF(LEN(TRIM(REGEXREPLACE(REGEXREPLACE('AYIRA MINI MART FINAL MENU - Pr'!B145, ""^[^\x{0600}-\x{06FF}]+"", """"), ""^[-–\s]+"", """")))&gt;0, TRIM(REGEXREPLACE(REGEXREPLACE('AYIRA MINI MART FINAL MENU - Pr"&amp;"'!B145, ""^[^\x{0600}-\x{06FF}]+"", """"), ""^[-–\s]+"", """")), GOOGLETRANSLATE('AYIRA MINI MART FINAL MENU - Pr'!B145, ""en"", ""ar"")))"),"المشروبات الغازية")</f>
        <v>المشروبات الغازية</v>
      </c>
      <c r="C145" s="58">
        <f>IF('AYIRA MINI MART FINAL MENU - Pr'!C145="", "", 'AYIRA MINI MART FINAL MENU - Pr'!C145)</f>
        <v>4</v>
      </c>
      <c r="D145" s="58" t="str">
        <f>IF('AYIRA MINI MART FINAL MENU - Pr'!D145="", "", 'AYIRA MINI MART FINAL MENU - Pr'!D145)</f>
        <v>اكتشف Rita Blue Sparkling Drink 275ml،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45" s="56" t="str">
        <f>IF('AYIRA MINI MART FINAL MENU - Pr'!E145="", "", 'AYIRA MINI MART FINAL MENU - Pr'!E145)</f>
        <v/>
      </c>
      <c r="F145" s="56" t="str">
        <f>IF('AYIRA MINI MART FINAL MENU - Pr'!F145="", "", 'AYIRA MINI MART FINAL MENU - Pr'!F145)</f>
        <v/>
      </c>
      <c r="G145" s="56" t="str">
        <f>IF('AYIRA MINI MART FINAL MENU - Pr'!G145="", "", 'AYIRA MINI MART FINAL MENU - Pr'!G145)</f>
        <v/>
      </c>
      <c r="H145" s="56" t="str">
        <f>IF('AYIRA MINI MART FINAL MENU - Pr'!H145="", "", 'AYIRA MINI MART FINAL MENU - Pr'!H145)</f>
        <v/>
      </c>
      <c r="I145" s="56" t="str">
        <f>IF('AYIRA MINI MART FINAL MENU - Pr'!I145="", "", 'AYIRA MINI MART FINAL MENU - Pr'!I145)</f>
        <v/>
      </c>
      <c r="J145" s="56" t="str">
        <f>IFERROR(__xludf.DUMMYFUNCTION("IF('AYIRA MINI MART FINAL MENU - Pr'!J145="""", """", GOOGLETRANSLATE('AYIRA MINI MART FINAL MENU - Pr'!J145, ""en"", ""ar""))"),"يعرض")</f>
        <v>يعرض</v>
      </c>
      <c r="K145" s="56" t="str">
        <f>IF('AYIRA MINI MART FINAL MENU - Pr'!K145="", "", 'AYIRA MINI MART FINAL MENU - Pr'!K145)</f>
        <v/>
      </c>
      <c r="L145" s="56" t="str">
        <f>IF('AYIRA MINI MART FINAL MENU - Pr'!L145="", "", 'AYIRA MINI MART FINAL MENU - Pr'!L145)</f>
        <v/>
      </c>
      <c r="M145" s="56" t="str">
        <f>IF('AYIRA MINI MART FINAL MENU - Pr'!M145="", "", 'AYIRA MINI MART FINAL MENU - Pr'!M145)</f>
        <v/>
      </c>
      <c r="N145" s="56" t="str">
        <f>IF('AYIRA MINI MART FINAL MENU - Pr'!N145="", "", 'AYIRA MINI MART FINAL MENU - Pr'!N145)</f>
        <v/>
      </c>
      <c r="O145" s="57"/>
      <c r="P145" s="57"/>
      <c r="Q145" s="57"/>
      <c r="R145" s="57"/>
      <c r="S145" s="57"/>
      <c r="T145" s="57"/>
      <c r="U145" s="57"/>
      <c r="V145" s="57"/>
      <c r="W145" s="57"/>
      <c r="X145" s="57"/>
      <c r="Y145" s="57"/>
      <c r="Z145" s="57"/>
    </row>
    <row r="146">
      <c r="A146" s="56" t="str">
        <f>IFERROR(__xludf.DUMMYFUNCTION("IF('AYIRA MINI MART FINAL MENU - Pr'!A146="""", """", IF(LEN(TRIM(REGEXREPLACE(REGEXREPLACE('AYIRA MINI MART FINAL MENU - Pr'!A146, ""^[^\x{0600}-\x{06FF}]+"", """"), ""^[-–\s]+"", """")))&gt;0, TRIM(REGEXREPLACE(REGEXREPLACE('AYIRA MINI MART FINAL MENU - Pr"&amp;"'!A146, ""^[^\x{0600}-\x{06FF}]+"", """"), ""^[-–\s]+"", """")), GOOGLETRANSLATE('AYIRA MINI MART FINAL MENU - Pr'!A146, ""en"", ""ar"")))"),"مونستر مشروب الطاقة 250 مل")</f>
        <v>مونستر مشروب الطاقة 250 مل</v>
      </c>
      <c r="B146" s="56" t="str">
        <f>IFERROR(__xludf.DUMMYFUNCTION("IF('AYIRA MINI MART FINAL MENU - Pr'!B146="""", """", IF(LEN(TRIM(REGEXREPLACE(REGEXREPLACE('AYIRA MINI MART FINAL MENU - Pr'!B146, ""^[^\x{0600}-\x{06FF}]+"", """"), ""^[-–\s]+"", """")))&gt;0, TRIM(REGEXREPLACE(REGEXREPLACE('AYIRA MINI MART FINAL MENU - Pr"&amp;"'!B146, ""^[^\x{0600}-\x{06FF}]+"", """"), ""^[-–\s]+"", """")), GOOGLETRANSLATE('AYIRA MINI MART FINAL MENU - Pr'!B146, ""en"", ""ar"")))"),"مشروبات الطاقة والرياضة")</f>
        <v>مشروبات الطاقة والرياضة</v>
      </c>
      <c r="C146" s="58">
        <f>IF('AYIRA MINI MART FINAL MENU - Pr'!C146="", "", 'AYIRA MINI MART FINAL MENU - Pr'!C146)</f>
        <v>7</v>
      </c>
      <c r="D146" s="58" t="str">
        <f>IF('AYIRA MINI MART FINAL MENU - Pr'!D146="", "", 'AYIRA MINI MART FINAL MENU - Pr'!D146)</f>
        <v>اشحن طاقتك مع مونستر،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46" s="56" t="str">
        <f>IF('AYIRA MINI MART FINAL MENU - Pr'!E146="", "", 'AYIRA MINI MART FINAL MENU - Pr'!E146)</f>
        <v/>
      </c>
      <c r="F146" s="56" t="str">
        <f>IF('AYIRA MINI MART FINAL MENU - Pr'!F146="", "", 'AYIRA MINI MART FINAL MENU - Pr'!F146)</f>
        <v/>
      </c>
      <c r="G146" s="56" t="str">
        <f>IF('AYIRA MINI MART FINAL MENU - Pr'!G146="", "", 'AYIRA MINI MART FINAL MENU - Pr'!G146)</f>
        <v/>
      </c>
      <c r="H146" s="56" t="str">
        <f>IF('AYIRA MINI MART FINAL MENU - Pr'!H146="", "", 'AYIRA MINI MART FINAL MENU - Pr'!H146)</f>
        <v/>
      </c>
      <c r="I146" s="56" t="str">
        <f>IF('AYIRA MINI MART FINAL MENU - Pr'!I146="", "", 'AYIRA MINI MART FINAL MENU - Pr'!I146)</f>
        <v/>
      </c>
      <c r="J146" s="56" t="str">
        <f>IFERROR(__xludf.DUMMYFUNCTION("IF('AYIRA MINI MART FINAL MENU - Pr'!J146="""", """", GOOGLETRANSLATE('AYIRA MINI MART FINAL MENU - Pr'!J146, ""en"", ""ar""))"),"يعرض")</f>
        <v>يعرض</v>
      </c>
      <c r="K146" s="56" t="str">
        <f>IF('AYIRA MINI MART FINAL MENU - Pr'!K146="", "", 'AYIRA MINI MART FINAL MENU - Pr'!K146)</f>
        <v/>
      </c>
      <c r="L146" s="56" t="str">
        <f>IF('AYIRA MINI MART FINAL MENU - Pr'!L146="", "", 'AYIRA MINI MART FINAL MENU - Pr'!L146)</f>
        <v/>
      </c>
      <c r="M146" s="56" t="str">
        <f>IF('AYIRA MINI MART FINAL MENU - Pr'!M146="", "", 'AYIRA MINI MART FINAL MENU - Pr'!M146)</f>
        <v/>
      </c>
      <c r="N146" s="56" t="str">
        <f>IF('AYIRA MINI MART FINAL MENU - Pr'!N146="", "", 'AYIRA MINI MART FINAL MENU - Pr'!N146)</f>
        <v/>
      </c>
      <c r="O146" s="57"/>
      <c r="P146" s="57"/>
      <c r="Q146" s="57"/>
      <c r="R146" s="57"/>
      <c r="S146" s="57"/>
      <c r="T146" s="57"/>
      <c r="U146" s="57"/>
      <c r="V146" s="57"/>
      <c r="W146" s="57"/>
      <c r="X146" s="57"/>
      <c r="Y146" s="57"/>
      <c r="Z146" s="57"/>
    </row>
    <row r="147">
      <c r="A147" s="56" t="str">
        <f>IFERROR(__xludf.DUMMYFUNCTION("IF('AYIRA MINI MART FINAL MENU - Pr'!A147="""", """", IF(LEN(TRIM(REGEXREPLACE(REGEXREPLACE('AYIRA MINI MART FINAL MENU - Pr'!A147, ""^[^\x{0600}-\x{06FF}]+"", """"), ""^[-–\s]+"", """")))&gt;0, TRIM(REGEXREPLACE(REGEXREPLACE('AYIRA MINI MART FINAL MENU - Pr"&amp;"'!A147, ""^[^\x{0600}-\x{06FF}]+"", """"), ""^[-–\s]+"", """")), GOOGLETRANSLATE('AYIRA MINI MART FINAL MENU - Pr'!A147, ""en"", ""ar"")))"),"ريد بول Apricot فراولة مشروب الطاقة 250 مل")</f>
        <v>ريد بول Apricot فراولة مشروب الطاقة 250 مل</v>
      </c>
      <c r="B147" s="56" t="str">
        <f>IFERROR(__xludf.DUMMYFUNCTION("IF('AYIRA MINI MART FINAL MENU - Pr'!B147="""", """", IF(LEN(TRIM(REGEXREPLACE(REGEXREPLACE('AYIRA MINI MART FINAL MENU - Pr'!B147, ""^[^\x{0600}-\x{06FF}]+"", """"), ""^[-–\s]+"", """")))&gt;0, TRIM(REGEXREPLACE(REGEXREPLACE('AYIRA MINI MART FINAL MENU - Pr"&amp;"'!B147, ""^[^\x{0600}-\x{06FF}]+"", """"), ""^[-–\s]+"", """")), GOOGLETRANSLATE('AYIRA MINI MART FINAL MENU - Pr'!B147, ""en"", ""ar"")))"),"مشروبات الطاقة والرياضة")</f>
        <v>مشروبات الطاقة والرياضة</v>
      </c>
      <c r="C147" s="58">
        <f>IF('AYIRA MINI MART FINAL MENU - Pr'!C147="", "", 'AYIRA MINI MART FINAL MENU - Pr'!C147)</f>
        <v>10</v>
      </c>
      <c r="D147" s="58" t="str">
        <f>IF('AYIRA MINI MART FINAL MENU - Pr'!D147="", "", 'AYIRA MINI MART FINAL MENU - Pr'!D147)</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47" s="56" t="str">
        <f>IF('AYIRA MINI MART FINAL MENU - Pr'!E147="", "", 'AYIRA MINI MART FINAL MENU - Pr'!E147)</f>
        <v/>
      </c>
      <c r="F147" s="56" t="str">
        <f>IF('AYIRA MINI MART FINAL MENU - Pr'!F147="", "", 'AYIRA MINI MART FINAL MENU - Pr'!F147)</f>
        <v/>
      </c>
      <c r="G147" s="56" t="str">
        <f>IF('AYIRA MINI MART FINAL MENU - Pr'!G147="", "", 'AYIRA MINI MART FINAL MENU - Pr'!G147)</f>
        <v/>
      </c>
      <c r="H147" s="56" t="str">
        <f>IF('AYIRA MINI MART FINAL MENU - Pr'!H147="", "", 'AYIRA MINI MART FINAL MENU - Pr'!H147)</f>
        <v/>
      </c>
      <c r="I147" s="56" t="str">
        <f>IF('AYIRA MINI MART FINAL MENU - Pr'!I147="", "", 'AYIRA MINI MART FINAL MENU - Pr'!I147)</f>
        <v/>
      </c>
      <c r="J147" s="56" t="str">
        <f>IFERROR(__xludf.DUMMYFUNCTION("IF('AYIRA MINI MART FINAL MENU - Pr'!J147="""", """", GOOGLETRANSLATE('AYIRA MINI MART FINAL MENU - Pr'!J147, ""en"", ""ar""))"),"إنتهى من المخزن")</f>
        <v>إنتهى من المخزن</v>
      </c>
      <c r="K147" s="56" t="str">
        <f>IF('AYIRA MINI MART FINAL MENU - Pr'!K147="", "", 'AYIRA MINI MART FINAL MENU - Pr'!K147)</f>
        <v/>
      </c>
      <c r="L147" s="56" t="str">
        <f>IF('AYIRA MINI MART FINAL MENU - Pr'!L147="", "", 'AYIRA MINI MART FINAL MENU - Pr'!L147)</f>
        <v/>
      </c>
      <c r="M147" s="56" t="str">
        <f>IF('AYIRA MINI MART FINAL MENU - Pr'!M147="", "", 'AYIRA MINI MART FINAL MENU - Pr'!M147)</f>
        <v/>
      </c>
      <c r="N147" s="56" t="str">
        <f>IF('AYIRA MINI MART FINAL MENU - Pr'!N147="", "", 'AYIRA MINI MART FINAL MENU - Pr'!N147)</f>
        <v/>
      </c>
      <c r="O147" s="57"/>
      <c r="P147" s="57"/>
      <c r="Q147" s="57"/>
      <c r="R147" s="57"/>
      <c r="S147" s="57"/>
      <c r="T147" s="57"/>
      <c r="U147" s="57"/>
      <c r="V147" s="57"/>
      <c r="W147" s="57"/>
      <c r="X147" s="57"/>
      <c r="Y147" s="57"/>
      <c r="Z147" s="57"/>
    </row>
    <row r="148">
      <c r="A148" s="56" t="str">
        <f>IFERROR(__xludf.DUMMYFUNCTION("IF('AYIRA MINI MART FINAL MENU - Pr'!A148="""", """", IF(LEN(TRIM(REGEXREPLACE(REGEXREPLACE('AYIRA MINI MART FINAL MENU - Pr'!A148, ""^[^\x{0600}-\x{06FF}]+"", """"), ""^[-–\s]+"", """")))&gt;0, TRIM(REGEXREPLACE(REGEXREPLACE('AYIRA MINI MART FINAL MENU - Pr"&amp;"'!A148, ""^[^\x{0600}-\x{06FF}]+"", """"), ""^[-–\s]+"", """")), GOOGLETRANSLATE('AYIRA MINI MART FINAL MENU - Pr'!A148, ""en"", ""ar"")))"),"مشروب الطاقة 250 مل")</f>
        <v>مشروب الطاقة 250 مل</v>
      </c>
      <c r="B148" s="56" t="str">
        <f>IFERROR(__xludf.DUMMYFUNCTION("IF('AYIRA MINI MART FINAL MENU - Pr'!B148="""", """", IF(LEN(TRIM(REGEXREPLACE(REGEXREPLACE('AYIRA MINI MART FINAL MENU - Pr'!B148, ""^[^\x{0600}-\x{06FF}]+"", """"), ""^[-–\s]+"", """")))&gt;0, TRIM(REGEXREPLACE(REGEXREPLACE('AYIRA MINI MART FINAL MENU - Pr"&amp;"'!B148, ""^[^\x{0600}-\x{06FF}]+"", """"), ""^[-–\s]+"", """")), GOOGLETRANSLATE('AYIRA MINI MART FINAL MENU - Pr'!B148, ""en"", ""ar"")))"),"مشروبات الطاقة والرياضة")</f>
        <v>مشروبات الطاقة والرياضة</v>
      </c>
      <c r="C148" s="58">
        <f>IF('AYIRA MINI MART FINAL MENU - Pr'!C148="", "", 'AYIRA MINI MART FINAL MENU - Pr'!C148)</f>
        <v>7</v>
      </c>
      <c r="D148" s="58" t="str">
        <f>IF('AYIRA MINI MART FINAL MENU - Pr'!D148="", "", 'AYIRA MINI MART FINAL MENU - Pr'!D148)</f>
        <v>اشحن طاقتك مع Shaheem Energy Drink 250ml،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48" s="56" t="str">
        <f>IF('AYIRA MINI MART FINAL MENU - Pr'!E148="", "", 'AYIRA MINI MART FINAL MENU - Pr'!E148)</f>
        <v/>
      </c>
      <c r="F148" s="56" t="str">
        <f>IF('AYIRA MINI MART FINAL MENU - Pr'!F148="", "", 'AYIRA MINI MART FINAL MENU - Pr'!F148)</f>
        <v/>
      </c>
      <c r="G148" s="56" t="str">
        <f>IF('AYIRA MINI MART FINAL MENU - Pr'!G148="", "", 'AYIRA MINI MART FINAL MENU - Pr'!G148)</f>
        <v/>
      </c>
      <c r="H148" s="56" t="str">
        <f>IF('AYIRA MINI MART FINAL MENU - Pr'!H148="", "", 'AYIRA MINI MART FINAL MENU - Pr'!H148)</f>
        <v/>
      </c>
      <c r="I148" s="56" t="str">
        <f>IF('AYIRA MINI MART FINAL MENU - Pr'!I148="", "", 'AYIRA MINI MART FINAL MENU - Pr'!I148)</f>
        <v/>
      </c>
      <c r="J148" s="56" t="str">
        <f>IFERROR(__xludf.DUMMYFUNCTION("IF('AYIRA MINI MART FINAL MENU - Pr'!J148="""", """", GOOGLETRANSLATE('AYIRA MINI MART FINAL MENU - Pr'!J148, ""en"", ""ar""))"),"يعرض")</f>
        <v>يعرض</v>
      </c>
      <c r="K148" s="56" t="str">
        <f>IF('AYIRA MINI MART FINAL MENU - Pr'!K148="", "", 'AYIRA MINI MART FINAL MENU - Pr'!K148)</f>
        <v/>
      </c>
      <c r="L148" s="56" t="str">
        <f>IF('AYIRA MINI MART FINAL MENU - Pr'!L148="", "", 'AYIRA MINI MART FINAL MENU - Pr'!L148)</f>
        <v/>
      </c>
      <c r="M148" s="56" t="str">
        <f>IF('AYIRA MINI MART FINAL MENU - Pr'!M148="", "", 'AYIRA MINI MART FINAL MENU - Pr'!M148)</f>
        <v/>
      </c>
      <c r="N148" s="56" t="str">
        <f>IF('AYIRA MINI MART FINAL MENU - Pr'!N148="", "", 'AYIRA MINI MART FINAL MENU - Pr'!N148)</f>
        <v/>
      </c>
      <c r="O148" s="57"/>
      <c r="P148" s="57"/>
      <c r="Q148" s="57"/>
      <c r="R148" s="57"/>
      <c r="S148" s="57"/>
      <c r="T148" s="57"/>
      <c r="U148" s="57"/>
      <c r="V148" s="57"/>
      <c r="W148" s="57"/>
      <c r="X148" s="57"/>
      <c r="Y148" s="57"/>
      <c r="Z148" s="57"/>
    </row>
    <row r="149">
      <c r="A149" s="56" t="str">
        <f>IFERROR(__xludf.DUMMYFUNCTION("IF('AYIRA MINI MART FINAL MENU - Pr'!A149="""", """", IF(LEN(TRIM(REGEXREPLACE(REGEXREPLACE('AYIRA MINI MART FINAL MENU - Pr'!A149, ""^[^\x{0600}-\x{06FF}]+"", """"), ""^[-–\s]+"", """")))&gt;0, TRIM(REGEXREPLACE(REGEXREPLACE('AYIRA MINI MART FINAL MENU - Pr"&amp;"'!A149, ""^[^\x{0600}-\x{06FF}]+"", """"), ""^[-–\s]+"", """")), GOOGLETRANSLATE('AYIRA MINI MART FINAL MENU - Pr'!A149, ""en"", ""ar"")))"),"مانجو Fruit مشروب 250 مل")</f>
        <v>مانجو Fruit مشروب 250 مل</v>
      </c>
      <c r="B149" s="56" t="str">
        <f>IFERROR(__xludf.DUMMYFUNCTION("IF('AYIRA MINI MART FINAL MENU - Pr'!B149="""", """", IF(LEN(TRIM(REGEXREPLACE(REGEXREPLACE('AYIRA MINI MART FINAL MENU - Pr'!B149, ""^[^\x{0600}-\x{06FF}]+"", """"), ""^[-–\s]+"", """")))&gt;0, TRIM(REGEXREPLACE(REGEXREPLACE('AYIRA MINI MART FINAL MENU - Pr"&amp;"'!B149, ""^[^\x{0600}-\x{06FF}]+"", """"), ""^[-–\s]+"", """")), GOOGLETRANSLATE('AYIRA MINI MART FINAL MENU - Pr'!B149, ""en"", ""ar"")))"),"العصائر ومشروبات الفاكهة")</f>
        <v>العصائر ومشروبات الفاكهة</v>
      </c>
      <c r="C149" s="58">
        <f>IF('AYIRA MINI MART FINAL MENU - Pr'!C149="", "", 'AYIRA MINI MART FINAL MENU - Pr'!C149)</f>
        <v>2.5</v>
      </c>
      <c r="D149" s="58" t="str">
        <f>IF('AYIRA MINI MART FINAL MENU - Pr'!D149="", "", 'AYIRA MINI MART FINAL MENU - Pr'!D149)</f>
        <v>اكتشف Pran Mango Fruit Drink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49" s="56" t="str">
        <f>IF('AYIRA MINI MART FINAL MENU - Pr'!E149="", "", 'AYIRA MINI MART FINAL MENU - Pr'!E149)</f>
        <v/>
      </c>
      <c r="F149" s="56" t="str">
        <f>IF('AYIRA MINI MART FINAL MENU - Pr'!F149="", "", 'AYIRA MINI MART FINAL MENU - Pr'!F149)</f>
        <v/>
      </c>
      <c r="G149" s="56" t="str">
        <f>IF('AYIRA MINI MART FINAL MENU - Pr'!G149="", "", 'AYIRA MINI MART FINAL MENU - Pr'!G149)</f>
        <v/>
      </c>
      <c r="H149" s="56" t="str">
        <f>IF('AYIRA MINI MART FINAL MENU - Pr'!H149="", "", 'AYIRA MINI MART FINAL MENU - Pr'!H149)</f>
        <v/>
      </c>
      <c r="I149" s="56" t="str">
        <f>IF('AYIRA MINI MART FINAL MENU - Pr'!I149="", "", 'AYIRA MINI MART FINAL MENU - Pr'!I149)</f>
        <v/>
      </c>
      <c r="J149" s="56" t="str">
        <f>IFERROR(__xludf.DUMMYFUNCTION("IF('AYIRA MINI MART FINAL MENU - Pr'!J149="""", """", GOOGLETRANSLATE('AYIRA MINI MART FINAL MENU - Pr'!J149, ""en"", ""ar""))"),"يعرض")</f>
        <v>يعرض</v>
      </c>
      <c r="K149" s="56" t="str">
        <f>IF('AYIRA MINI MART FINAL MENU - Pr'!K149="", "", 'AYIRA MINI MART FINAL MENU - Pr'!K149)</f>
        <v/>
      </c>
      <c r="L149" s="56" t="str">
        <f>IF('AYIRA MINI MART FINAL MENU - Pr'!L149="", "", 'AYIRA MINI MART FINAL MENU - Pr'!L149)</f>
        <v/>
      </c>
      <c r="M149" s="56" t="str">
        <f>IF('AYIRA MINI MART FINAL MENU - Pr'!M149="", "", 'AYIRA MINI MART FINAL MENU - Pr'!M149)</f>
        <v/>
      </c>
      <c r="N149" s="56" t="str">
        <f>IF('AYIRA MINI MART FINAL MENU - Pr'!N149="", "", 'AYIRA MINI MART FINAL MENU - Pr'!N149)</f>
        <v/>
      </c>
      <c r="O149" s="57"/>
      <c r="P149" s="57"/>
      <c r="Q149" s="57"/>
      <c r="R149" s="57"/>
      <c r="S149" s="57"/>
      <c r="T149" s="57"/>
      <c r="U149" s="57"/>
      <c r="V149" s="57"/>
      <c r="W149" s="57"/>
      <c r="X149" s="57"/>
      <c r="Y149" s="57"/>
      <c r="Z149" s="57"/>
    </row>
    <row r="150">
      <c r="A150" s="56" t="str">
        <f>IFERROR(__xludf.DUMMYFUNCTION("IF('AYIRA MINI MART FINAL MENU - Pr'!A150="""", """", IF(LEN(TRIM(REGEXREPLACE(REGEXREPLACE('AYIRA MINI MART FINAL MENU - Pr'!A150, ""^[^\x{0600}-\x{06FF}]+"", """"), ""^[-–\s]+"", """")))&gt;0, TRIM(REGEXREPLACE(REGEXREPLACE('AYIRA MINI MART FINAL MENU - Pr"&amp;"'!A150, ""^[^\x{0600}-\x{06FF}]+"", """"), ""^[-–\s]+"", """")), GOOGLETRANSLATE('AYIRA MINI MART FINAL MENU - Pr'!A150, ""en"", ""ar"")))"),"برتقال مشروب Float 240 مل")</f>
        <v>برتقال مشروب Float 240 مل</v>
      </c>
      <c r="B150" s="56" t="str">
        <f>IFERROR(__xludf.DUMMYFUNCTION("IF('AYIRA MINI MART FINAL MENU - Pr'!B150="""", """", IF(LEN(TRIM(REGEXREPLACE(REGEXREPLACE('AYIRA MINI MART FINAL MENU - Pr'!B150, ""^[^\x{0600}-\x{06FF}]+"", """"), ""^[-–\s]+"", """")))&gt;0, TRIM(REGEXREPLACE(REGEXREPLACE('AYIRA MINI MART FINAL MENU - Pr"&amp;"'!B150, ""^[^\x{0600}-\x{06FF}]+"", """"), ""^[-–\s]+"", """")), GOOGLETRANSLATE('AYIRA MINI MART FINAL MENU - Pr'!B150, ""en"", ""ar"")))"),"العصائر ومشروبات الفاكهة")</f>
        <v>العصائر ومشروبات الفاكهة</v>
      </c>
      <c r="C150" s="58">
        <f>IF('AYIRA MINI MART FINAL MENU - Pr'!C150="", "", 'AYIRA MINI MART FINAL MENU - Pr'!C150)</f>
        <v>2</v>
      </c>
      <c r="D150" s="58" t="str">
        <f>IF('AYIRA MINI MART FINAL MENU - Pr'!D150="", "", 'AYIRA MINI MART FINAL MENU - Pr'!D150)</f>
        <v>اكتشف Saba Orange Drink Float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50" s="56" t="str">
        <f>IF('AYIRA MINI MART FINAL MENU - Pr'!E150="", "", 'AYIRA MINI MART FINAL MENU - Pr'!E150)</f>
        <v/>
      </c>
      <c r="F150" s="56" t="str">
        <f>IF('AYIRA MINI MART FINAL MENU - Pr'!F150="", "", 'AYIRA MINI MART FINAL MENU - Pr'!F150)</f>
        <v/>
      </c>
      <c r="G150" s="56" t="str">
        <f>IF('AYIRA MINI MART FINAL MENU - Pr'!G150="", "", 'AYIRA MINI MART FINAL MENU - Pr'!G150)</f>
        <v/>
      </c>
      <c r="H150" s="56" t="str">
        <f>IF('AYIRA MINI MART FINAL MENU - Pr'!H150="", "", 'AYIRA MINI MART FINAL MENU - Pr'!H150)</f>
        <v/>
      </c>
      <c r="I150" s="56" t="str">
        <f>IF('AYIRA MINI MART FINAL MENU - Pr'!I150="", "", 'AYIRA MINI MART FINAL MENU - Pr'!I150)</f>
        <v/>
      </c>
      <c r="J150" s="56" t="str">
        <f>IFERROR(__xludf.DUMMYFUNCTION("IF('AYIRA MINI MART FINAL MENU - Pr'!J150="""", """", GOOGLETRANSLATE('AYIRA MINI MART FINAL MENU - Pr'!J150, ""en"", ""ar""))"),"يعرض")</f>
        <v>يعرض</v>
      </c>
      <c r="K150" s="56" t="str">
        <f>IF('AYIRA MINI MART FINAL MENU - Pr'!K150="", "", 'AYIRA MINI MART FINAL MENU - Pr'!K150)</f>
        <v/>
      </c>
      <c r="L150" s="56" t="str">
        <f>IF('AYIRA MINI MART FINAL MENU - Pr'!L150="", "", 'AYIRA MINI MART FINAL MENU - Pr'!L150)</f>
        <v/>
      </c>
      <c r="M150" s="56" t="str">
        <f>IF('AYIRA MINI MART FINAL MENU - Pr'!M150="", "", 'AYIRA MINI MART FINAL MENU - Pr'!M150)</f>
        <v/>
      </c>
      <c r="N150" s="56" t="str">
        <f>IF('AYIRA MINI MART FINAL MENU - Pr'!N150="", "", 'AYIRA MINI MART FINAL MENU - Pr'!N150)</f>
        <v/>
      </c>
      <c r="O150" s="57"/>
      <c r="P150" s="57"/>
      <c r="Q150" s="57"/>
      <c r="R150" s="57"/>
      <c r="S150" s="57"/>
      <c r="T150" s="57"/>
      <c r="U150" s="57"/>
      <c r="V150" s="57"/>
      <c r="W150" s="57"/>
      <c r="X150" s="57"/>
      <c r="Y150" s="57"/>
      <c r="Z150" s="57"/>
    </row>
    <row r="151">
      <c r="A151" s="56" t="str">
        <f>IFERROR(__xludf.DUMMYFUNCTION("IF('AYIRA MINI MART FINAL MENU - Pr'!A151="""", """", IF(LEN(TRIM(REGEXREPLACE(REGEXREPLACE('AYIRA MINI MART FINAL MENU - Pr'!A151, ""^[^\x{0600}-\x{06FF}]+"", """"), ""^[-–\s]+"", """")))&gt;0, TRIM(REGEXREPLACE(REGEXREPLACE('AYIRA MINI MART FINAL MENU - Pr"&amp;"'!A151, ""^[^\x{0600}-\x{06FF}]+"", """"), ""^[-–\s]+"", """")), GOOGLETRANSLATE('AYIRA MINI MART FINAL MENU - Pr'!A151, ""en"", ""ar"")))"),"خوخ مشروب Float 240 مل")</f>
        <v>خوخ مشروب Float 240 مل</v>
      </c>
      <c r="B151" s="56" t="str">
        <f>IFERROR(__xludf.DUMMYFUNCTION("IF('AYIRA MINI MART FINAL MENU - Pr'!B151="""", """", IF(LEN(TRIM(REGEXREPLACE(REGEXREPLACE('AYIRA MINI MART FINAL MENU - Pr'!B151, ""^[^\x{0600}-\x{06FF}]+"", """"), ""^[-–\s]+"", """")))&gt;0, TRIM(REGEXREPLACE(REGEXREPLACE('AYIRA MINI MART FINAL MENU - Pr"&amp;"'!B151, ""^[^\x{0600}-\x{06FF}]+"", """"), ""^[-–\s]+"", """")), GOOGLETRANSLATE('AYIRA MINI MART FINAL MENU - Pr'!B151, ""en"", ""ar"")))"),"العصائر ومشروبات الفاكهة")</f>
        <v>العصائر ومشروبات الفاكهة</v>
      </c>
      <c r="C151" s="58">
        <f>IF('AYIRA MINI MART FINAL MENU - Pr'!C151="", "", 'AYIRA MINI MART FINAL MENU - Pr'!C151)</f>
        <v>2</v>
      </c>
      <c r="D151" s="58" t="str">
        <f>IF('AYIRA MINI MART FINAL MENU - Pr'!D151="", "", 'AYIRA MINI MART FINAL MENU - Pr'!D151)</f>
        <v>اكتشف Saba Peach Drink Float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51" s="56" t="str">
        <f>IF('AYIRA MINI MART FINAL MENU - Pr'!E151="", "", 'AYIRA MINI MART FINAL MENU - Pr'!E151)</f>
        <v/>
      </c>
      <c r="F151" s="56" t="str">
        <f>IF('AYIRA MINI MART FINAL MENU - Pr'!F151="", "", 'AYIRA MINI MART FINAL MENU - Pr'!F151)</f>
        <v/>
      </c>
      <c r="G151" s="56" t="str">
        <f>IF('AYIRA MINI MART FINAL MENU - Pr'!G151="", "", 'AYIRA MINI MART FINAL MENU - Pr'!G151)</f>
        <v/>
      </c>
      <c r="H151" s="56" t="str">
        <f>IF('AYIRA MINI MART FINAL MENU - Pr'!H151="", "", 'AYIRA MINI MART FINAL MENU - Pr'!H151)</f>
        <v/>
      </c>
      <c r="I151" s="56" t="str">
        <f>IF('AYIRA MINI MART FINAL MENU - Pr'!I151="", "", 'AYIRA MINI MART FINAL MENU - Pr'!I151)</f>
        <v/>
      </c>
      <c r="J151" s="56" t="str">
        <f>IFERROR(__xludf.DUMMYFUNCTION("IF('AYIRA MINI MART FINAL MENU - Pr'!J151="""", """", GOOGLETRANSLATE('AYIRA MINI MART FINAL MENU - Pr'!J151, ""en"", ""ar""))"),"يعرض")</f>
        <v>يعرض</v>
      </c>
      <c r="K151" s="56" t="str">
        <f>IF('AYIRA MINI MART FINAL MENU - Pr'!K151="", "", 'AYIRA MINI MART FINAL MENU - Pr'!K151)</f>
        <v/>
      </c>
      <c r="L151" s="56" t="str">
        <f>IF('AYIRA MINI MART FINAL MENU - Pr'!L151="", "", 'AYIRA MINI MART FINAL MENU - Pr'!L151)</f>
        <v/>
      </c>
      <c r="M151" s="56" t="str">
        <f>IF('AYIRA MINI MART FINAL MENU - Pr'!M151="", "", 'AYIRA MINI MART FINAL MENU - Pr'!M151)</f>
        <v/>
      </c>
      <c r="N151" s="56" t="str">
        <f>IF('AYIRA MINI MART FINAL MENU - Pr'!N151="", "", 'AYIRA MINI MART FINAL MENU - Pr'!N151)</f>
        <v/>
      </c>
      <c r="O151" s="57"/>
      <c r="P151" s="57"/>
      <c r="Q151" s="57"/>
      <c r="R151" s="57"/>
      <c r="S151" s="57"/>
      <c r="T151" s="57"/>
      <c r="U151" s="57"/>
      <c r="V151" s="57"/>
      <c r="W151" s="57"/>
      <c r="X151" s="57"/>
      <c r="Y151" s="57"/>
      <c r="Z151" s="57"/>
    </row>
    <row r="152">
      <c r="A152" s="56" t="str">
        <f>IFERROR(__xludf.DUMMYFUNCTION("IF('AYIRA MINI MART FINAL MENU - Pr'!A152="""", """", IF(LEN(TRIM(REGEXREPLACE(REGEXREPLACE('AYIRA MINI MART FINAL MENU - Pr'!A152, ""^[^\x{0600}-\x{06FF}]+"", """"), ""^[-–\s]+"", """")))&gt;0, TRIM(REGEXREPLACE(REGEXREPLACE('AYIRA MINI MART FINAL MENU - Pr"&amp;"'!A152, ""^[^\x{0600}-\x{06FF}]+"", """"), ""^[-–\s]+"", """")), GOOGLETRANSLATE('AYIRA MINI MART FINAL MENU - Pr'!A152, ""en"", ""ar"")))"),"أناناس مشروب Float 240 مل")</f>
        <v>أناناس مشروب Float 240 مل</v>
      </c>
      <c r="B152" s="56" t="str">
        <f>IFERROR(__xludf.DUMMYFUNCTION("IF('AYIRA MINI MART FINAL MENU - Pr'!B152="""", """", IF(LEN(TRIM(REGEXREPLACE(REGEXREPLACE('AYIRA MINI MART FINAL MENU - Pr'!B152, ""^[^\x{0600}-\x{06FF}]+"", """"), ""^[-–\s]+"", """")))&gt;0, TRIM(REGEXREPLACE(REGEXREPLACE('AYIRA MINI MART FINAL MENU - Pr"&amp;"'!B152, ""^[^\x{0600}-\x{06FF}]+"", """"), ""^[-–\s]+"", """")), GOOGLETRANSLATE('AYIRA MINI MART FINAL MENU - Pr'!B152, ""en"", ""ar"")))"),"العصائر ومشروبات الفاكهة")</f>
        <v>العصائر ومشروبات الفاكهة</v>
      </c>
      <c r="C152" s="58">
        <f>IF('AYIRA MINI MART FINAL MENU - Pr'!C152="", "", 'AYIRA MINI MART FINAL MENU - Pr'!C152)</f>
        <v>2</v>
      </c>
      <c r="D152" s="58" t="str">
        <f>IF('AYIRA MINI MART FINAL MENU - Pr'!D152="", "", 'AYIRA MINI MART FINAL MENU - Pr'!D152)</f>
        <v>اكتشف Saba Pineapple Drink Float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52" s="56" t="str">
        <f>IF('AYIRA MINI MART FINAL MENU - Pr'!E152="", "", 'AYIRA MINI MART FINAL MENU - Pr'!E152)</f>
        <v/>
      </c>
      <c r="F152" s="56" t="str">
        <f>IF('AYIRA MINI MART FINAL MENU - Pr'!F152="", "", 'AYIRA MINI MART FINAL MENU - Pr'!F152)</f>
        <v/>
      </c>
      <c r="G152" s="56" t="str">
        <f>IF('AYIRA MINI MART FINAL MENU - Pr'!G152="", "", 'AYIRA MINI MART FINAL MENU - Pr'!G152)</f>
        <v/>
      </c>
      <c r="H152" s="56" t="str">
        <f>IF('AYIRA MINI MART FINAL MENU - Pr'!H152="", "", 'AYIRA MINI MART FINAL MENU - Pr'!H152)</f>
        <v/>
      </c>
      <c r="I152" s="56" t="str">
        <f>IF('AYIRA MINI MART FINAL MENU - Pr'!I152="", "", 'AYIRA MINI MART FINAL MENU - Pr'!I152)</f>
        <v/>
      </c>
      <c r="J152" s="56" t="str">
        <f>IFERROR(__xludf.DUMMYFUNCTION("IF('AYIRA MINI MART FINAL MENU - Pr'!J152="""", """", GOOGLETRANSLATE('AYIRA MINI MART FINAL MENU - Pr'!J152, ""en"", ""ar""))"),"يعرض")</f>
        <v>يعرض</v>
      </c>
      <c r="K152" s="56" t="str">
        <f>IF('AYIRA MINI MART FINAL MENU - Pr'!K152="", "", 'AYIRA MINI MART FINAL MENU - Pr'!K152)</f>
        <v/>
      </c>
      <c r="L152" s="56" t="str">
        <f>IF('AYIRA MINI MART FINAL MENU - Pr'!L152="", "", 'AYIRA MINI MART FINAL MENU - Pr'!L152)</f>
        <v/>
      </c>
      <c r="M152" s="56" t="str">
        <f>IF('AYIRA MINI MART FINAL MENU - Pr'!M152="", "", 'AYIRA MINI MART FINAL MENU - Pr'!M152)</f>
        <v/>
      </c>
      <c r="N152" s="56" t="str">
        <f>IF('AYIRA MINI MART FINAL MENU - Pr'!N152="", "", 'AYIRA MINI MART FINAL MENU - Pr'!N152)</f>
        <v/>
      </c>
      <c r="O152" s="57"/>
      <c r="P152" s="57"/>
      <c r="Q152" s="57"/>
      <c r="R152" s="57"/>
      <c r="S152" s="57"/>
      <c r="T152" s="57"/>
      <c r="U152" s="57"/>
      <c r="V152" s="57"/>
      <c r="W152" s="57"/>
      <c r="X152" s="57"/>
      <c r="Y152" s="57"/>
      <c r="Z152" s="57"/>
    </row>
    <row r="153">
      <c r="A153" s="56" t="str">
        <f>IFERROR(__xludf.DUMMYFUNCTION("IF('AYIRA MINI MART FINAL MENU - Pr'!A153="""", """", IF(LEN(TRIM(REGEXREPLACE(REGEXREPLACE('AYIRA MINI MART FINAL MENU - Pr'!A153, ""^[^\x{0600}-\x{06FF}]+"", """"), ""^[-–\s]+"", """")))&gt;0, TRIM(REGEXREPLACE(REGEXREPLACE('AYIRA MINI MART FINAL MENU - Pr"&amp;"'!A153, ""^[^\x{0600}-\x{06FF}]+"", """"), ""^[-–\s]+"", """")), GOOGLETRANSLATE('AYIRA MINI MART FINAL MENU - Pr'!A153, ""en"", ""ar"")))"),"فراولة &amp; Banana مشروب Float 240 مل")</f>
        <v>فراولة &amp; Banana مشروب Float 240 مل</v>
      </c>
      <c r="B153" s="56" t="str">
        <f>IFERROR(__xludf.DUMMYFUNCTION("IF('AYIRA MINI MART FINAL MENU - Pr'!B153="""", """", IF(LEN(TRIM(REGEXREPLACE(REGEXREPLACE('AYIRA MINI MART FINAL MENU - Pr'!B153, ""^[^\x{0600}-\x{06FF}]+"", """"), ""^[-–\s]+"", """")))&gt;0, TRIM(REGEXREPLACE(REGEXREPLACE('AYIRA MINI MART FINAL MENU - Pr"&amp;"'!B153, ""^[^\x{0600}-\x{06FF}]+"", """"), ""^[-–\s]+"", """")), GOOGLETRANSLATE('AYIRA MINI MART FINAL MENU - Pr'!B153, ""en"", ""ar"")))"),"العصائر ومشروبات الفاكهة")</f>
        <v>العصائر ومشروبات الفاكهة</v>
      </c>
      <c r="C153" s="58">
        <f>IF('AYIRA MINI MART FINAL MENU - Pr'!C153="", "", 'AYIRA MINI MART FINAL MENU - Pr'!C153)</f>
        <v>2</v>
      </c>
      <c r="D153" s="58" t="str">
        <f>IF('AYIRA MINI MART FINAL MENU - Pr'!D153="", "", 'AYIRA MINI MART FINAL MENU - Pr'!D153)</f>
        <v>اكتشف Saba Strawberry &amp; Banana Drink Float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53" s="56" t="str">
        <f>IF('AYIRA MINI MART FINAL MENU - Pr'!E153="", "", 'AYIRA MINI MART FINAL MENU - Pr'!E153)</f>
        <v/>
      </c>
      <c r="F153" s="56" t="str">
        <f>IF('AYIRA MINI MART FINAL MENU - Pr'!F153="", "", 'AYIRA MINI MART FINAL MENU - Pr'!F153)</f>
        <v/>
      </c>
      <c r="G153" s="56" t="str">
        <f>IF('AYIRA MINI MART FINAL MENU - Pr'!G153="", "", 'AYIRA MINI MART FINAL MENU - Pr'!G153)</f>
        <v/>
      </c>
      <c r="H153" s="56" t="str">
        <f>IF('AYIRA MINI MART FINAL MENU - Pr'!H153="", "", 'AYIRA MINI MART FINAL MENU - Pr'!H153)</f>
        <v/>
      </c>
      <c r="I153" s="56" t="str">
        <f>IF('AYIRA MINI MART FINAL MENU - Pr'!I153="", "", 'AYIRA MINI MART FINAL MENU - Pr'!I153)</f>
        <v/>
      </c>
      <c r="J153" s="56" t="str">
        <f>IFERROR(__xludf.DUMMYFUNCTION("IF('AYIRA MINI MART FINAL MENU - Pr'!J153="""", """", GOOGLETRANSLATE('AYIRA MINI MART FINAL MENU - Pr'!J153, ""en"", ""ar""))"),"يعرض")</f>
        <v>يعرض</v>
      </c>
      <c r="K153" s="56" t="str">
        <f>IF('AYIRA MINI MART FINAL MENU - Pr'!K153="", "", 'AYIRA MINI MART FINAL MENU - Pr'!K153)</f>
        <v/>
      </c>
      <c r="L153" s="56" t="str">
        <f>IF('AYIRA MINI MART FINAL MENU - Pr'!L153="", "", 'AYIRA MINI MART FINAL MENU - Pr'!L153)</f>
        <v/>
      </c>
      <c r="M153" s="56" t="str">
        <f>IF('AYIRA MINI MART FINAL MENU - Pr'!M153="", "", 'AYIRA MINI MART FINAL MENU - Pr'!M153)</f>
        <v/>
      </c>
      <c r="N153" s="56" t="str">
        <f>IF('AYIRA MINI MART FINAL MENU - Pr'!N153="", "", 'AYIRA MINI MART FINAL MENU - Pr'!N153)</f>
        <v/>
      </c>
      <c r="O153" s="57"/>
      <c r="P153" s="57"/>
      <c r="Q153" s="57"/>
      <c r="R153" s="57"/>
      <c r="S153" s="57"/>
      <c r="T153" s="57"/>
      <c r="U153" s="57"/>
      <c r="V153" s="57"/>
      <c r="W153" s="57"/>
      <c r="X153" s="57"/>
      <c r="Y153" s="57"/>
      <c r="Z153" s="57"/>
    </row>
    <row r="154">
      <c r="A154" s="56" t="str">
        <f>IFERROR(__xludf.DUMMYFUNCTION("IF('AYIRA MINI MART FINAL MENU - Pr'!A154="""", """", IF(LEN(TRIM(REGEXREPLACE(REGEXREPLACE('AYIRA MINI MART FINAL MENU - Pr'!A154, ""^[^\x{0600}-\x{06FF}]+"", """"), ""^[-–\s]+"", """")))&gt;0, TRIM(REGEXREPLACE(REGEXREPLACE('AYIRA MINI MART FINAL MENU - Pr"&amp;"'!A154, ""^[^\x{0600}-\x{06FF}]+"", """"), ""^[-–\s]+"", """")), GOOGLETRANSLATE('AYIRA MINI MART FINAL MENU - Pr'!A154, ""en"", ""ar"")))"),"المراعي مانجو عصير 200 مل")</f>
        <v>المراعي مانجو عصير 200 مل</v>
      </c>
      <c r="B154" s="56" t="str">
        <f>IFERROR(__xludf.DUMMYFUNCTION("IF('AYIRA MINI MART FINAL MENU - Pr'!B154="""", """", IF(LEN(TRIM(REGEXREPLACE(REGEXREPLACE('AYIRA MINI MART FINAL MENU - Pr'!B154, ""^[^\x{0600}-\x{06FF}]+"", """"), ""^[-–\s]+"", """")))&gt;0, TRIM(REGEXREPLACE(REGEXREPLACE('AYIRA MINI MART FINAL MENU - Pr"&amp;"'!B154, ""^[^\x{0600}-\x{06FF}]+"", """"), ""^[-–\s]+"", """")), GOOGLETRANSLATE('AYIRA MINI MART FINAL MENU - Pr'!B154, ""en"", ""ar"")))"),"العصائر ومشروبات الفاكهة")</f>
        <v>العصائر ومشروبات الفاكهة</v>
      </c>
      <c r="C154" s="58">
        <f>IF('AYIRA MINI MART FINAL MENU - Pr'!C154="", "", 'AYIRA MINI MART FINAL MENU - Pr'!C154)</f>
        <v>2</v>
      </c>
      <c r="D154" s="58" t="str">
        <f>IF('AYIRA MINI MART FINAL MENU - Pr'!D154="", "", 'AYIRA MINI MART FINAL MENU - Pr'!D154)</f>
        <v>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154" s="56" t="str">
        <f>IF('AYIRA MINI MART FINAL MENU - Pr'!E154="", "", 'AYIRA MINI MART FINAL MENU - Pr'!E154)</f>
        <v/>
      </c>
      <c r="F154" s="56" t="str">
        <f>IF('AYIRA MINI MART FINAL MENU - Pr'!F154="", "", 'AYIRA MINI MART FINAL MENU - Pr'!F154)</f>
        <v/>
      </c>
      <c r="G154" s="56" t="str">
        <f>IF('AYIRA MINI MART FINAL MENU - Pr'!G154="", "", 'AYIRA MINI MART FINAL MENU - Pr'!G154)</f>
        <v/>
      </c>
      <c r="H154" s="56" t="str">
        <f>IF('AYIRA MINI MART FINAL MENU - Pr'!H154="", "", 'AYIRA MINI MART FINAL MENU - Pr'!H154)</f>
        <v/>
      </c>
      <c r="I154" s="56" t="str">
        <f>IF('AYIRA MINI MART FINAL MENU - Pr'!I154="", "", 'AYIRA MINI MART FINAL MENU - Pr'!I154)</f>
        <v/>
      </c>
      <c r="J154" s="56" t="str">
        <f>IFERROR(__xludf.DUMMYFUNCTION("IF('AYIRA MINI MART FINAL MENU - Pr'!J154="""", """", GOOGLETRANSLATE('AYIRA MINI MART FINAL MENU - Pr'!J154, ""en"", ""ar""))"),"يعرض")</f>
        <v>يعرض</v>
      </c>
      <c r="K154" s="56" t="str">
        <f>IF('AYIRA MINI MART FINAL MENU - Pr'!K154="", "", 'AYIRA MINI MART FINAL MENU - Pr'!K154)</f>
        <v/>
      </c>
      <c r="L154" s="56" t="str">
        <f>IF('AYIRA MINI MART FINAL MENU - Pr'!L154="", "", 'AYIRA MINI MART FINAL MENU - Pr'!L154)</f>
        <v/>
      </c>
      <c r="M154" s="56" t="str">
        <f>IF('AYIRA MINI MART FINAL MENU - Pr'!M154="", "", 'AYIRA MINI MART FINAL MENU - Pr'!M154)</f>
        <v/>
      </c>
      <c r="N154" s="56" t="str">
        <f>IF('AYIRA MINI MART FINAL MENU - Pr'!N154="", "", 'AYIRA MINI MART FINAL MENU - Pr'!N154)</f>
        <v/>
      </c>
      <c r="O154" s="57"/>
      <c r="P154" s="57"/>
      <c r="Q154" s="57"/>
      <c r="R154" s="57"/>
      <c r="S154" s="57"/>
      <c r="T154" s="57"/>
      <c r="U154" s="57"/>
      <c r="V154" s="57"/>
      <c r="W154" s="57"/>
      <c r="X154" s="57"/>
      <c r="Y154" s="57"/>
      <c r="Z154" s="57"/>
    </row>
    <row r="155">
      <c r="A155" s="56" t="str">
        <f>IFERROR(__xludf.DUMMYFUNCTION("IF('AYIRA MINI MART FINAL MENU - Pr'!A155="""", """", IF(LEN(TRIM(REGEXREPLACE(REGEXREPLACE('AYIRA MINI MART FINAL MENU - Pr'!A155, ""^[^\x{0600}-\x{06FF}]+"", """"), ""^[-–\s]+"", """")))&gt;0, TRIM(REGEXREPLACE(REGEXREPLACE('AYIRA MINI MART FINAL MENU - Pr"&amp;"'!A155, ""^[^\x{0600}-\x{06FF}]+"", """"), ""^[-–\s]+"", """")), GOOGLETRANSLATE('AYIRA MINI MART FINAL MENU - Pr'!A155, ""en"", ""ar"")))"),"المراعي مشكل برتقال عصير 200 مل")</f>
        <v>المراعي مشكل برتقال عصير 200 مل</v>
      </c>
      <c r="B155" s="56" t="str">
        <f>IFERROR(__xludf.DUMMYFUNCTION("IF('AYIRA MINI MART FINAL MENU - Pr'!B155="""", """", IF(LEN(TRIM(REGEXREPLACE(REGEXREPLACE('AYIRA MINI MART FINAL MENU - Pr'!B155, ""^[^\x{0600}-\x{06FF}]+"", """"), ""^[-–\s]+"", """")))&gt;0, TRIM(REGEXREPLACE(REGEXREPLACE('AYIRA MINI MART FINAL MENU - Pr"&amp;"'!B155, ""^[^\x{0600}-\x{06FF}]+"", """"), ""^[-–\s]+"", """")), GOOGLETRANSLATE('AYIRA MINI MART FINAL MENU - Pr'!B155, ""en"", ""ar"")))"),"العصائر ومشروبات الفاكهة")</f>
        <v>العصائر ومشروبات الفاكهة</v>
      </c>
      <c r="C155" s="58">
        <f>IF('AYIRA MINI MART FINAL MENU - Pr'!C155="", "", 'AYIRA MINI MART FINAL MENU - Pr'!C155)</f>
        <v>2</v>
      </c>
      <c r="D155" s="58" t="str">
        <f>IF('AYIRA MINI MART FINAL MENU - Pr'!D155="", "", 'AYIRA MINI MART FINAL MENU - Pr'!D155)</f>
        <v>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155" s="56" t="str">
        <f>IF('AYIRA MINI MART FINAL MENU - Pr'!E155="", "", 'AYIRA MINI MART FINAL MENU - Pr'!E155)</f>
        <v/>
      </c>
      <c r="F155" s="56" t="str">
        <f>IF('AYIRA MINI MART FINAL MENU - Pr'!F155="", "", 'AYIRA MINI MART FINAL MENU - Pr'!F155)</f>
        <v/>
      </c>
      <c r="G155" s="56" t="str">
        <f>IF('AYIRA MINI MART FINAL MENU - Pr'!G155="", "", 'AYIRA MINI MART FINAL MENU - Pr'!G155)</f>
        <v/>
      </c>
      <c r="H155" s="56" t="str">
        <f>IF('AYIRA MINI MART FINAL MENU - Pr'!H155="", "", 'AYIRA MINI MART FINAL MENU - Pr'!H155)</f>
        <v/>
      </c>
      <c r="I155" s="56" t="str">
        <f>IF('AYIRA MINI MART FINAL MENU - Pr'!I155="", "", 'AYIRA MINI MART FINAL MENU - Pr'!I155)</f>
        <v/>
      </c>
      <c r="J155" s="56" t="str">
        <f>IFERROR(__xludf.DUMMYFUNCTION("IF('AYIRA MINI MART FINAL MENU - Pr'!J155="""", """", GOOGLETRANSLATE('AYIRA MINI MART FINAL MENU - Pr'!J155, ""en"", ""ar""))"),"يعرض")</f>
        <v>يعرض</v>
      </c>
      <c r="K155" s="56" t="str">
        <f>IF('AYIRA MINI MART FINAL MENU - Pr'!K155="", "", 'AYIRA MINI MART FINAL MENU - Pr'!K155)</f>
        <v/>
      </c>
      <c r="L155" s="56" t="str">
        <f>IF('AYIRA MINI MART FINAL MENU - Pr'!L155="", "", 'AYIRA MINI MART FINAL MENU - Pr'!L155)</f>
        <v/>
      </c>
      <c r="M155" s="56" t="str">
        <f>IF('AYIRA MINI MART FINAL MENU - Pr'!M155="", "", 'AYIRA MINI MART FINAL MENU - Pr'!M155)</f>
        <v/>
      </c>
      <c r="N155" s="56" t="str">
        <f>IF('AYIRA MINI MART FINAL MENU - Pr'!N155="", "", 'AYIRA MINI MART FINAL MENU - Pr'!N155)</f>
        <v/>
      </c>
      <c r="O155" s="57"/>
      <c r="P155" s="57"/>
      <c r="Q155" s="57"/>
      <c r="R155" s="57"/>
      <c r="S155" s="57"/>
      <c r="T155" s="57"/>
      <c r="U155" s="57"/>
      <c r="V155" s="57"/>
      <c r="W155" s="57"/>
      <c r="X155" s="57"/>
      <c r="Y155" s="57"/>
      <c r="Z155" s="57"/>
    </row>
    <row r="156">
      <c r="A156" s="56" t="str">
        <f>IFERROR(__xludf.DUMMYFUNCTION("IF('AYIRA MINI MART FINAL MENU - Pr'!A156="""", """", IF(LEN(TRIM(REGEXREPLACE(REGEXREPLACE('AYIRA MINI MART FINAL MENU - Pr'!A156, ""^[^\x{0600}-\x{06FF}]+"", """"), ""^[-–\s]+"", """")))&gt;0, TRIM(REGEXREPLACE(REGEXREPLACE('AYIRA MINI MART FINAL MENU - Pr"&amp;"'!A156, ""^[^\x{0600}-\x{06FF}]+"", """"), ""^[-–\s]+"", """")), GOOGLETRANSLATE('AYIRA MINI MART FINAL MENU - Pr'!A156, ""en"", ""ar"")))"),"المراعي ليمون &amp; نعناع عصير 200 مل")</f>
        <v>المراعي ليمون &amp; نعناع عصير 200 مل</v>
      </c>
      <c r="B156" s="56" t="str">
        <f>IFERROR(__xludf.DUMMYFUNCTION("IF('AYIRA MINI MART FINAL MENU - Pr'!B156="""", """", IF(LEN(TRIM(REGEXREPLACE(REGEXREPLACE('AYIRA MINI MART FINAL MENU - Pr'!B156, ""^[^\x{0600}-\x{06FF}]+"", """"), ""^[-–\s]+"", """")))&gt;0, TRIM(REGEXREPLACE(REGEXREPLACE('AYIRA MINI MART FINAL MENU - Pr"&amp;"'!B156, ""^[^\x{0600}-\x{06FF}]+"", """"), ""^[-–\s]+"", """")), GOOGLETRANSLATE('AYIRA MINI MART FINAL MENU - Pr'!B156, ""en"", ""ar"")))"),"العصائر ومشروبات الفاكهة")</f>
        <v>العصائر ومشروبات الفاكهة</v>
      </c>
      <c r="C156" s="58">
        <f>IF('AYIRA MINI MART FINAL MENU - Pr'!C156="", "", 'AYIRA MINI MART FINAL MENU - Pr'!C156)</f>
        <v>2</v>
      </c>
      <c r="D156" s="58" t="str">
        <f>IF('AYIRA MINI MART FINAL MENU - Pr'!D156="", "", 'AYIRA MINI MART FINAL MENU - Pr'!D156)</f>
        <v>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156" s="56" t="str">
        <f>IF('AYIRA MINI MART FINAL MENU - Pr'!E156="", "", 'AYIRA MINI MART FINAL MENU - Pr'!E156)</f>
        <v/>
      </c>
      <c r="F156" s="56" t="str">
        <f>IF('AYIRA MINI MART FINAL MENU - Pr'!F156="", "", 'AYIRA MINI MART FINAL MENU - Pr'!F156)</f>
        <v/>
      </c>
      <c r="G156" s="56" t="str">
        <f>IF('AYIRA MINI MART FINAL MENU - Pr'!G156="", "", 'AYIRA MINI MART FINAL MENU - Pr'!G156)</f>
        <v/>
      </c>
      <c r="H156" s="56" t="str">
        <f>IF('AYIRA MINI MART FINAL MENU - Pr'!H156="", "", 'AYIRA MINI MART FINAL MENU - Pr'!H156)</f>
        <v/>
      </c>
      <c r="I156" s="56" t="str">
        <f>IF('AYIRA MINI MART FINAL MENU - Pr'!I156="", "", 'AYIRA MINI MART FINAL MENU - Pr'!I156)</f>
        <v/>
      </c>
      <c r="J156" s="56" t="str">
        <f>IFERROR(__xludf.DUMMYFUNCTION("IF('AYIRA MINI MART FINAL MENU - Pr'!J156="""", """", GOOGLETRANSLATE('AYIRA MINI MART FINAL MENU - Pr'!J156, ""en"", ""ar""))"),"يعرض")</f>
        <v>يعرض</v>
      </c>
      <c r="K156" s="56" t="str">
        <f>IF('AYIRA MINI MART FINAL MENU - Pr'!K156="", "", 'AYIRA MINI MART FINAL MENU - Pr'!K156)</f>
        <v/>
      </c>
      <c r="L156" s="56" t="str">
        <f>IF('AYIRA MINI MART FINAL MENU - Pr'!L156="", "", 'AYIRA MINI MART FINAL MENU - Pr'!L156)</f>
        <v/>
      </c>
      <c r="M156" s="56" t="str">
        <f>IF('AYIRA MINI MART FINAL MENU - Pr'!M156="", "", 'AYIRA MINI MART FINAL MENU - Pr'!M156)</f>
        <v/>
      </c>
      <c r="N156" s="56" t="str">
        <f>IF('AYIRA MINI MART FINAL MENU - Pr'!N156="", "", 'AYIRA MINI MART FINAL MENU - Pr'!N156)</f>
        <v/>
      </c>
      <c r="O156" s="57"/>
      <c r="P156" s="57"/>
      <c r="Q156" s="57"/>
      <c r="R156" s="57"/>
      <c r="S156" s="57"/>
      <c r="T156" s="57"/>
      <c r="U156" s="57"/>
      <c r="V156" s="57"/>
      <c r="W156" s="57"/>
      <c r="X156" s="57"/>
      <c r="Y156" s="57"/>
      <c r="Z156" s="57"/>
    </row>
    <row r="157">
      <c r="A157" s="56" t="str">
        <f>IFERROR(__xludf.DUMMYFUNCTION("IF('AYIRA MINI MART FINAL MENU - Pr'!A157="""", """", IF(LEN(TRIM(REGEXREPLACE(REGEXREPLACE('AYIRA MINI MART FINAL MENU - Pr'!A157, ""^[^\x{0600}-\x{06FF}]+"", """"), ""^[-–\s]+"", """")))&gt;0, TRIM(REGEXREPLACE(REGEXREPLACE('AYIRA MINI MART FINAL MENU - Pr"&amp;"'!A157, ""^[^\x{0600}-\x{06FF}]+"", """"), ""^[-–\s]+"", """")), GOOGLETRANSLATE('AYIRA MINI MART FINAL MENU - Pr'!A157, ""en"", ""ar"")))"),"المراعي مشكل Berry عصير 200 مل")</f>
        <v>المراعي مشكل Berry عصير 200 مل</v>
      </c>
      <c r="B157" s="56" t="str">
        <f>IFERROR(__xludf.DUMMYFUNCTION("IF('AYIRA MINI MART FINAL MENU - Pr'!B157="""", """", IF(LEN(TRIM(REGEXREPLACE(REGEXREPLACE('AYIRA MINI MART FINAL MENU - Pr'!B157, ""^[^\x{0600}-\x{06FF}]+"", """"), ""^[-–\s]+"", """")))&gt;0, TRIM(REGEXREPLACE(REGEXREPLACE('AYIRA MINI MART FINAL MENU - Pr"&amp;"'!B157, ""^[^\x{0600}-\x{06FF}]+"", """"), ""^[-–\s]+"", """")), GOOGLETRANSLATE('AYIRA MINI MART FINAL MENU - Pr'!B157, ""en"", ""ar"")))"),"العصائر ومشروبات الفاكهة")</f>
        <v>العصائر ومشروبات الفاكهة</v>
      </c>
      <c r="C157" s="58">
        <f>IF('AYIRA MINI MART FINAL MENU - Pr'!C157="", "", 'AYIRA MINI MART FINAL MENU - Pr'!C157)</f>
        <v>2</v>
      </c>
      <c r="D157" s="58" t="str">
        <f>IF('AYIRA MINI MART FINAL MENU - Pr'!D157="", "", 'AYIRA MINI MART FINAL MENU - Pr'!D157)</f>
        <v>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157" s="56" t="str">
        <f>IF('AYIRA MINI MART FINAL MENU - Pr'!E157="", "", 'AYIRA MINI MART FINAL MENU - Pr'!E157)</f>
        <v/>
      </c>
      <c r="F157" s="56" t="str">
        <f>IF('AYIRA MINI MART FINAL MENU - Pr'!F157="", "", 'AYIRA MINI MART FINAL MENU - Pr'!F157)</f>
        <v/>
      </c>
      <c r="G157" s="56" t="str">
        <f>IF('AYIRA MINI MART FINAL MENU - Pr'!G157="", "", 'AYIRA MINI MART FINAL MENU - Pr'!G157)</f>
        <v/>
      </c>
      <c r="H157" s="56" t="str">
        <f>IF('AYIRA MINI MART FINAL MENU - Pr'!H157="", "", 'AYIRA MINI MART FINAL MENU - Pr'!H157)</f>
        <v/>
      </c>
      <c r="I157" s="56" t="str">
        <f>IF('AYIRA MINI MART FINAL MENU - Pr'!I157="", "", 'AYIRA MINI MART FINAL MENU - Pr'!I157)</f>
        <v/>
      </c>
      <c r="J157" s="56" t="str">
        <f>IFERROR(__xludf.DUMMYFUNCTION("IF('AYIRA MINI MART FINAL MENU - Pr'!J157="""", """", GOOGLETRANSLATE('AYIRA MINI MART FINAL MENU - Pr'!J157, ""en"", ""ar""))"),"يعرض")</f>
        <v>يعرض</v>
      </c>
      <c r="K157" s="56" t="str">
        <f>IF('AYIRA MINI MART FINAL MENU - Pr'!K157="", "", 'AYIRA MINI MART FINAL MENU - Pr'!K157)</f>
        <v/>
      </c>
      <c r="L157" s="56" t="str">
        <f>IF('AYIRA MINI MART FINAL MENU - Pr'!L157="", "", 'AYIRA MINI MART FINAL MENU - Pr'!L157)</f>
        <v/>
      </c>
      <c r="M157" s="56" t="str">
        <f>IF('AYIRA MINI MART FINAL MENU - Pr'!M157="", "", 'AYIRA MINI MART FINAL MENU - Pr'!M157)</f>
        <v/>
      </c>
      <c r="N157" s="56" t="str">
        <f>IF('AYIRA MINI MART FINAL MENU - Pr'!N157="", "", 'AYIRA MINI MART FINAL MENU - Pr'!N157)</f>
        <v/>
      </c>
      <c r="O157" s="57"/>
      <c r="P157" s="57"/>
      <c r="Q157" s="57"/>
      <c r="R157" s="57"/>
      <c r="S157" s="57"/>
      <c r="T157" s="57"/>
      <c r="U157" s="57"/>
      <c r="V157" s="57"/>
      <c r="W157" s="57"/>
      <c r="X157" s="57"/>
      <c r="Y157" s="57"/>
      <c r="Z157" s="57"/>
    </row>
    <row r="158">
      <c r="A158" s="56" t="str">
        <f>IFERROR(__xludf.DUMMYFUNCTION("IF('AYIRA MINI MART FINAL MENU - Pr'!A158="""", """", IF(LEN(TRIM(REGEXREPLACE(REGEXREPLACE('AYIRA MINI MART FINAL MENU - Pr'!A158, ""^[^\x{0600}-\x{06FF}]+"", """"), ""^[-–\s]+"", """")))&gt;0, TRIM(REGEXREPLACE(REGEXREPLACE('AYIRA MINI MART FINAL MENU - Pr"&amp;"'!A158, ""^[^\x{0600}-\x{06FF}]+"", """"), ""^[-–\s]+"", """")), GOOGLETRANSLATE('AYIRA MINI MART FINAL MENU - Pr'!A158, ""en"", ""ar"")))"),"المراعي مشكل تفاح عصير 200 مل")</f>
        <v>المراعي مشكل تفاح عصير 200 مل</v>
      </c>
      <c r="B158" s="56" t="str">
        <f>IFERROR(__xludf.DUMMYFUNCTION("IF('AYIRA MINI MART FINAL MENU - Pr'!B158="""", """", IF(LEN(TRIM(REGEXREPLACE(REGEXREPLACE('AYIRA MINI MART FINAL MENU - Pr'!B158, ""^[^\x{0600}-\x{06FF}]+"", """"), ""^[-–\s]+"", """")))&gt;0, TRIM(REGEXREPLACE(REGEXREPLACE('AYIRA MINI MART FINAL MENU - Pr"&amp;"'!B158, ""^[^\x{0600}-\x{06FF}]+"", """"), ""^[-–\s]+"", """")), GOOGLETRANSLATE('AYIRA MINI MART FINAL MENU - Pr'!B158, ""en"", ""ar"")))"),"العصائر ومشروبات الفاكهة")</f>
        <v>العصائر ومشروبات الفاكهة</v>
      </c>
      <c r="C158" s="58">
        <f>IF('AYIRA MINI MART FINAL MENU - Pr'!C158="", "", 'AYIRA MINI MART FINAL MENU - Pr'!C158)</f>
        <v>2</v>
      </c>
      <c r="D158" s="58" t="str">
        <f>IF('AYIRA MINI MART FINAL MENU - Pr'!D158="", "", 'AYIRA MINI MART FINAL MENU - Pr'!D158)</f>
        <v>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158" s="56" t="str">
        <f>IF('AYIRA MINI MART FINAL MENU - Pr'!E158="", "", 'AYIRA MINI MART FINAL MENU - Pr'!E158)</f>
        <v/>
      </c>
      <c r="F158" s="56" t="str">
        <f>IF('AYIRA MINI MART FINAL MENU - Pr'!F158="", "", 'AYIRA MINI MART FINAL MENU - Pr'!F158)</f>
        <v/>
      </c>
      <c r="G158" s="56" t="str">
        <f>IF('AYIRA MINI MART FINAL MENU - Pr'!G158="", "", 'AYIRA MINI MART FINAL MENU - Pr'!G158)</f>
        <v/>
      </c>
      <c r="H158" s="56" t="str">
        <f>IF('AYIRA MINI MART FINAL MENU - Pr'!H158="", "", 'AYIRA MINI MART FINAL MENU - Pr'!H158)</f>
        <v/>
      </c>
      <c r="I158" s="56" t="str">
        <f>IF('AYIRA MINI MART FINAL MENU - Pr'!I158="", "", 'AYIRA MINI MART FINAL MENU - Pr'!I158)</f>
        <v/>
      </c>
      <c r="J158" s="56" t="str">
        <f>IFERROR(__xludf.DUMMYFUNCTION("IF('AYIRA MINI MART FINAL MENU - Pr'!J158="""", """", GOOGLETRANSLATE('AYIRA MINI MART FINAL MENU - Pr'!J158, ""en"", ""ar""))"),"يعرض")</f>
        <v>يعرض</v>
      </c>
      <c r="K158" s="56" t="str">
        <f>IF('AYIRA MINI MART FINAL MENU - Pr'!K158="", "", 'AYIRA MINI MART FINAL MENU - Pr'!K158)</f>
        <v/>
      </c>
      <c r="L158" s="56" t="str">
        <f>IF('AYIRA MINI MART FINAL MENU - Pr'!L158="", "", 'AYIRA MINI MART FINAL MENU - Pr'!L158)</f>
        <v/>
      </c>
      <c r="M158" s="56" t="str">
        <f>IF('AYIRA MINI MART FINAL MENU - Pr'!M158="", "", 'AYIRA MINI MART FINAL MENU - Pr'!M158)</f>
        <v/>
      </c>
      <c r="N158" s="56" t="str">
        <f>IF('AYIRA MINI MART FINAL MENU - Pr'!N158="", "", 'AYIRA MINI MART FINAL MENU - Pr'!N158)</f>
        <v/>
      </c>
      <c r="O158" s="57"/>
      <c r="P158" s="57"/>
      <c r="Q158" s="57"/>
      <c r="R158" s="57"/>
      <c r="S158" s="57"/>
      <c r="T158" s="57"/>
      <c r="U158" s="57"/>
      <c r="V158" s="57"/>
      <c r="W158" s="57"/>
      <c r="X158" s="57"/>
      <c r="Y158" s="57"/>
      <c r="Z158" s="57"/>
    </row>
    <row r="159">
      <c r="A159" s="56" t="str">
        <f>IFERROR(__xludf.DUMMYFUNCTION("IF('AYIRA MINI MART FINAL MENU - Pr'!A159="""", """", IF(LEN(TRIM(REGEXREPLACE(REGEXREPLACE('AYIRA MINI MART FINAL MENU - Pr'!A159, ""^[^\x{0600}-\x{06FF}]+"", """"), ""^[-–\s]+"", """")))&gt;0, TRIM(REGEXREPLACE(REGEXREPLACE('AYIRA MINI MART FINAL MENU - Pr"&amp;"'!A159, ""^[^\x{0600}-\x{06FF}]+"", """"), ""^[-–\s]+"", """")), GOOGLETRANSLATE('AYIRA MINI MART FINAL MENU - Pr'!A159, ""en"", ""ar"")))"),"المراعي مشكل Fruit عصير 200 مل")</f>
        <v>المراعي مشكل Fruit عصير 200 مل</v>
      </c>
      <c r="B159" s="56" t="str">
        <f>IFERROR(__xludf.DUMMYFUNCTION("IF('AYIRA MINI MART FINAL MENU - Pr'!B159="""", """", IF(LEN(TRIM(REGEXREPLACE(REGEXREPLACE('AYIRA MINI MART FINAL MENU - Pr'!B159, ""^[^\x{0600}-\x{06FF}]+"", """"), ""^[-–\s]+"", """")))&gt;0, TRIM(REGEXREPLACE(REGEXREPLACE('AYIRA MINI MART FINAL MENU - Pr"&amp;"'!B159, ""^[^\x{0600}-\x{06FF}]+"", """"), ""^[-–\s]+"", """")), GOOGLETRANSLATE('AYIRA MINI MART FINAL MENU - Pr'!B159, ""en"", ""ar"")))"),"العصائر ومشروبات الفاكهة")</f>
        <v>العصائر ومشروبات الفاكهة</v>
      </c>
      <c r="C159" s="58">
        <f>IF('AYIRA MINI MART FINAL MENU - Pr'!C159="", "", 'AYIRA MINI MART FINAL MENU - Pr'!C159)</f>
        <v>2</v>
      </c>
      <c r="D159" s="58" t="str">
        <f>IF('AYIRA MINI MART FINAL MENU - Pr'!D159="", "", 'AYIRA MINI MART FINAL MENU - Pr'!D159)</f>
        <v>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159" s="56" t="str">
        <f>IF('AYIRA MINI MART FINAL MENU - Pr'!E159="", "", 'AYIRA MINI MART FINAL MENU - Pr'!E159)</f>
        <v/>
      </c>
      <c r="F159" s="56" t="str">
        <f>IF('AYIRA MINI MART FINAL MENU - Pr'!F159="", "", 'AYIRA MINI MART FINAL MENU - Pr'!F159)</f>
        <v/>
      </c>
      <c r="G159" s="56" t="str">
        <f>IF('AYIRA MINI MART FINAL MENU - Pr'!G159="", "", 'AYIRA MINI MART FINAL MENU - Pr'!G159)</f>
        <v/>
      </c>
      <c r="H159" s="56" t="str">
        <f>IF('AYIRA MINI MART FINAL MENU - Pr'!H159="", "", 'AYIRA MINI MART FINAL MENU - Pr'!H159)</f>
        <v/>
      </c>
      <c r="I159" s="56" t="str">
        <f>IF('AYIRA MINI MART FINAL MENU - Pr'!I159="", "", 'AYIRA MINI MART FINAL MENU - Pr'!I159)</f>
        <v/>
      </c>
      <c r="J159" s="56" t="str">
        <f>IFERROR(__xludf.DUMMYFUNCTION("IF('AYIRA MINI MART FINAL MENU - Pr'!J159="""", """", GOOGLETRANSLATE('AYIRA MINI MART FINAL MENU - Pr'!J159, ""en"", ""ar""))"),"يعرض")</f>
        <v>يعرض</v>
      </c>
      <c r="K159" s="56" t="str">
        <f>IF('AYIRA MINI MART FINAL MENU - Pr'!K159="", "", 'AYIRA MINI MART FINAL MENU - Pr'!K159)</f>
        <v/>
      </c>
      <c r="L159" s="56" t="str">
        <f>IF('AYIRA MINI MART FINAL MENU - Pr'!L159="", "", 'AYIRA MINI MART FINAL MENU - Pr'!L159)</f>
        <v/>
      </c>
      <c r="M159" s="56" t="str">
        <f>IF('AYIRA MINI MART FINAL MENU - Pr'!M159="", "", 'AYIRA MINI MART FINAL MENU - Pr'!M159)</f>
        <v/>
      </c>
      <c r="N159" s="56" t="str">
        <f>IF('AYIRA MINI MART FINAL MENU - Pr'!N159="", "", 'AYIRA MINI MART FINAL MENU - Pr'!N159)</f>
        <v/>
      </c>
      <c r="O159" s="57"/>
      <c r="P159" s="57"/>
      <c r="Q159" s="57"/>
      <c r="R159" s="57"/>
      <c r="S159" s="57"/>
      <c r="T159" s="57"/>
      <c r="U159" s="57"/>
      <c r="V159" s="57"/>
      <c r="W159" s="57"/>
      <c r="X159" s="57"/>
      <c r="Y159" s="57"/>
      <c r="Z159" s="57"/>
    </row>
    <row r="160">
      <c r="A160" s="56" t="str">
        <f>IFERROR(__xludf.DUMMYFUNCTION("IF('AYIRA MINI MART FINAL MENU - Pr'!A160="""", """", IF(LEN(TRIM(REGEXREPLACE(REGEXREPLACE('AYIRA MINI MART FINAL MENU - Pr'!A160, ""^[^\x{0600}-\x{06FF}]+"", """"), ""^[-–\s]+"", """")))&gt;0, TRIM(REGEXREPLACE(REGEXREPLACE('AYIRA MINI MART FINAL MENU - Pr"&amp;"'!A160, ""^[^\x{0600}-\x{06FF}]+"", """"), ""^[-–\s]+"", """")), GOOGLETRANSLATE('AYIRA MINI MART FINAL MENU - Pr'!A160, ""en"", ""ar"")))"),"مشروب Pocari Sweat 300 مل")</f>
        <v>مشروب Pocari Sweat 300 مل</v>
      </c>
      <c r="B160" s="56" t="str">
        <f>IFERROR(__xludf.DUMMYFUNCTION("IF('AYIRA MINI MART FINAL MENU - Pr'!B160="""", """", IF(LEN(TRIM(REGEXREPLACE(REGEXREPLACE('AYIRA MINI MART FINAL MENU - Pr'!B160, ""^[^\x{0600}-\x{06FF}]+"", """"), ""^[-–\s]+"", """")))&gt;0, TRIM(REGEXREPLACE(REGEXREPLACE('AYIRA MINI MART FINAL MENU - Pr"&amp;"'!B160, ""^[^\x{0600}-\x{06FF}]+"", """"), ""^[-–\s]+"", """")), GOOGLETRANSLATE('AYIRA MINI MART FINAL MENU - Pr'!B160, ""en"", ""ar"")))"),"مشروبات الطاقة والرياضة")</f>
        <v>مشروبات الطاقة والرياضة</v>
      </c>
      <c r="C160" s="58">
        <f>IF('AYIRA MINI MART FINAL MENU - Pr'!C160="", "", 'AYIRA MINI MART FINAL MENU - Pr'!C160)</f>
        <v>3.5</v>
      </c>
      <c r="D160" s="58" t="str">
        <f>IF('AYIRA MINI MART FINAL MENU - Pr'!D160="", "", 'AYIRA MINI MART FINAL MENU - Pr'!D160)</f>
        <v>اكتشف Ion Supply Drink Pocari Sweat 300ml،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60" s="56" t="str">
        <f>IF('AYIRA MINI MART FINAL MENU - Pr'!E160="", "", 'AYIRA MINI MART FINAL MENU - Pr'!E160)</f>
        <v/>
      </c>
      <c r="F160" s="56" t="str">
        <f>IF('AYIRA MINI MART FINAL MENU - Pr'!F160="", "", 'AYIRA MINI MART FINAL MENU - Pr'!F160)</f>
        <v/>
      </c>
      <c r="G160" s="56" t="str">
        <f>IF('AYIRA MINI MART FINAL MENU - Pr'!G160="", "", 'AYIRA MINI MART FINAL MENU - Pr'!G160)</f>
        <v/>
      </c>
      <c r="H160" s="56" t="str">
        <f>IF('AYIRA MINI MART FINAL MENU - Pr'!H160="", "", 'AYIRA MINI MART FINAL MENU - Pr'!H160)</f>
        <v/>
      </c>
      <c r="I160" s="56" t="str">
        <f>IF('AYIRA MINI MART FINAL MENU - Pr'!I160="", "", 'AYIRA MINI MART FINAL MENU - Pr'!I160)</f>
        <v/>
      </c>
      <c r="J160" s="56" t="str">
        <f>IFERROR(__xludf.DUMMYFUNCTION("IF('AYIRA MINI MART FINAL MENU - Pr'!J160="""", """", GOOGLETRANSLATE('AYIRA MINI MART FINAL MENU - Pr'!J160, ""en"", ""ar""))"),"يعرض")</f>
        <v>يعرض</v>
      </c>
      <c r="K160" s="56" t="str">
        <f>IF('AYIRA MINI MART FINAL MENU - Pr'!K160="", "", 'AYIRA MINI MART FINAL MENU - Pr'!K160)</f>
        <v/>
      </c>
      <c r="L160" s="56" t="str">
        <f>IF('AYIRA MINI MART FINAL MENU - Pr'!L160="", "", 'AYIRA MINI MART FINAL MENU - Pr'!L160)</f>
        <v/>
      </c>
      <c r="M160" s="56" t="str">
        <f>IF('AYIRA MINI MART FINAL MENU - Pr'!M160="", "", 'AYIRA MINI MART FINAL MENU - Pr'!M160)</f>
        <v/>
      </c>
      <c r="N160" s="56" t="str">
        <f>IF('AYIRA MINI MART FINAL MENU - Pr'!N160="", "", 'AYIRA MINI MART FINAL MENU - Pr'!N160)</f>
        <v/>
      </c>
      <c r="O160" s="57"/>
      <c r="P160" s="57"/>
      <c r="Q160" s="57"/>
      <c r="R160" s="57"/>
      <c r="S160" s="57"/>
      <c r="T160" s="57"/>
      <c r="U160" s="57"/>
      <c r="V160" s="57"/>
      <c r="W160" s="57"/>
      <c r="X160" s="57"/>
      <c r="Y160" s="57"/>
      <c r="Z160" s="57"/>
    </row>
    <row r="161">
      <c r="A161" s="56" t="str">
        <f>IFERROR(__xludf.DUMMYFUNCTION("IF('AYIRA MINI MART FINAL MENU - Pr'!A161="""", """", IF(LEN(TRIM(REGEXREPLACE(REGEXREPLACE('AYIRA MINI MART FINAL MENU - Pr'!A161, ""^[^\x{0600}-\x{06FF}]+"", """"), ""^[-–\s]+"", """")))&gt;0, TRIM(REGEXREPLACE(REGEXREPLACE('AYIRA MINI MART FINAL MENU - Pr"&amp;"'!A161, ""^[^\x{0600}-\x{06FF}]+"", """"), ""^[-–\s]+"", """")), GOOGLETRANSLATE('AYIRA MINI MART FINAL MENU - Pr'!A161, ""en"", ""ar"")))"),"جوز الهند مياه with Pulp 330 مل")</f>
        <v>جوز الهند مياه with Pulp 330 مل</v>
      </c>
      <c r="B161" s="56" t="str">
        <f>IFERROR(__xludf.DUMMYFUNCTION("IF('AYIRA MINI MART FINAL MENU - Pr'!B161="""", """", IF(LEN(TRIM(REGEXREPLACE(REGEXREPLACE('AYIRA MINI MART FINAL MENU - Pr'!B161, ""^[^\x{0600}-\x{06FF}]+"", """"), ""^[-–\s]+"", """")))&gt;0, TRIM(REGEXREPLACE(REGEXREPLACE('AYIRA MINI MART FINAL MENU - Pr"&amp;"'!B161, ""^[^\x{0600}-\x{06FF}]+"", """"), ""^[-–\s]+"", """")), GOOGLETRANSLATE('AYIRA MINI MART FINAL MENU - Pr'!B161, ""en"", ""ar"")))"),"المشروبات الغازية")</f>
        <v>المشروبات الغازية</v>
      </c>
      <c r="C161" s="58">
        <f>IF('AYIRA MINI MART FINAL MENU - Pr'!C161="", "", 'AYIRA MINI MART FINAL MENU - Pr'!C161)</f>
        <v>2.5</v>
      </c>
      <c r="D161" s="58" t="str">
        <f>IF('AYIRA MINI MART FINAL MENU - Pr'!D161="", "", 'AYIRA MINI MART FINAL MENU - Pr'!D161)</f>
        <v>اشرب Naba Coconut Water with Pulp 330ml،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161" s="56" t="str">
        <f>IF('AYIRA MINI MART FINAL MENU - Pr'!E161="", "", 'AYIRA MINI MART FINAL MENU - Pr'!E161)</f>
        <v/>
      </c>
      <c r="F161" s="56" t="str">
        <f>IF('AYIRA MINI MART FINAL MENU - Pr'!F161="", "", 'AYIRA MINI MART FINAL MENU - Pr'!F161)</f>
        <v/>
      </c>
      <c r="G161" s="56" t="str">
        <f>IF('AYIRA MINI MART FINAL MENU - Pr'!G161="", "", 'AYIRA MINI MART FINAL MENU - Pr'!G161)</f>
        <v/>
      </c>
      <c r="H161" s="56" t="str">
        <f>IF('AYIRA MINI MART FINAL MENU - Pr'!H161="", "", 'AYIRA MINI MART FINAL MENU - Pr'!H161)</f>
        <v/>
      </c>
      <c r="I161" s="56" t="str">
        <f>IF('AYIRA MINI MART FINAL MENU - Pr'!I161="", "", 'AYIRA MINI MART FINAL MENU - Pr'!I161)</f>
        <v/>
      </c>
      <c r="J161" s="56" t="str">
        <f>IFERROR(__xludf.DUMMYFUNCTION("IF('AYIRA MINI MART FINAL MENU - Pr'!J161="""", """", GOOGLETRANSLATE('AYIRA MINI MART FINAL MENU - Pr'!J161, ""en"", ""ar""))"),"يعرض")</f>
        <v>يعرض</v>
      </c>
      <c r="K161" s="56" t="str">
        <f>IF('AYIRA MINI MART FINAL MENU - Pr'!K161="", "", 'AYIRA MINI MART FINAL MENU - Pr'!K161)</f>
        <v/>
      </c>
      <c r="L161" s="56" t="str">
        <f>IF('AYIRA MINI MART FINAL MENU - Pr'!L161="", "", 'AYIRA MINI MART FINAL MENU - Pr'!L161)</f>
        <v/>
      </c>
      <c r="M161" s="56" t="str">
        <f>IF('AYIRA MINI MART FINAL MENU - Pr'!M161="", "", 'AYIRA MINI MART FINAL MENU - Pr'!M161)</f>
        <v/>
      </c>
      <c r="N161" s="56" t="str">
        <f>IF('AYIRA MINI MART FINAL MENU - Pr'!N161="", "", 'AYIRA MINI MART FINAL MENU - Pr'!N161)</f>
        <v/>
      </c>
      <c r="O161" s="57"/>
      <c r="P161" s="57"/>
      <c r="Q161" s="57"/>
      <c r="R161" s="57"/>
      <c r="S161" s="57"/>
      <c r="T161" s="57"/>
      <c r="U161" s="57"/>
      <c r="V161" s="57"/>
      <c r="W161" s="57"/>
      <c r="X161" s="57"/>
      <c r="Y161" s="57"/>
      <c r="Z161" s="57"/>
    </row>
    <row r="162">
      <c r="A162" s="56" t="str">
        <f>IFERROR(__xludf.DUMMYFUNCTION("IF('AYIRA MINI MART FINAL MENU - Pr'!A162="""", """", IF(LEN(TRIM(REGEXREPLACE(REGEXREPLACE('AYIRA MINI MART FINAL MENU - Pr'!A162, ""^[^\x{0600}-\x{06FF}]+"", """"), ""^[-–\s]+"", """")))&gt;0, TRIM(REGEXREPLACE(REGEXREPLACE('AYIRA MINI MART FINAL MENU - Pr"&amp;"'!A162, ""^[^\x{0600}-\x{06FF}]+"", """"), ""^[-–\s]+"", """")), GOOGLETRANSLATE('AYIRA MINI MART FINAL MENU - Pr'!A162, ""en"", ""ar"")))"),"أصلي 330 مل")</f>
        <v>أصلي 330 مل</v>
      </c>
      <c r="B162" s="56" t="str">
        <f>IFERROR(__xludf.DUMMYFUNCTION("IF('AYIRA MINI MART FINAL MENU - Pr'!B162="""", """", IF(LEN(TRIM(REGEXREPLACE(REGEXREPLACE('AYIRA MINI MART FINAL MENU - Pr'!B162, ""^[^\x{0600}-\x{06FF}]+"", """"), ""^[-–\s]+"", """")))&gt;0, TRIM(REGEXREPLACE(REGEXREPLACE('AYIRA MINI MART FINAL MENU - Pr"&amp;"'!B162, ""^[^\x{0600}-\x{06FF}]+"", """"), ""^[-–\s]+"", """")), GOOGLETRANSLATE('AYIRA MINI MART FINAL MENU - Pr'!B162, ""en"", ""ar"")))"),"المشروبات الغازية")</f>
        <v>المشروبات الغازية</v>
      </c>
      <c r="C162" s="58">
        <f>IF('AYIRA MINI MART FINAL MENU - Pr'!C162="", "", 'AYIRA MINI MART FINAL MENU - Pr'!C162)</f>
        <v>5</v>
      </c>
      <c r="D162" s="58" t="str">
        <f>IF('AYIRA MINI MART FINAL MENU - Pr'!D162="", "", 'AYIRA MINI MART FINAL MENU - Pr'!D162)</f>
        <v>اكتشف Non-Alcoholic Malt Beverage Effs Original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62" s="56" t="str">
        <f>IF('AYIRA MINI MART FINAL MENU - Pr'!E162="", "", 'AYIRA MINI MART FINAL MENU - Pr'!E162)</f>
        <v/>
      </c>
      <c r="F162" s="56" t="str">
        <f>IF('AYIRA MINI MART FINAL MENU - Pr'!F162="", "", 'AYIRA MINI MART FINAL MENU - Pr'!F162)</f>
        <v/>
      </c>
      <c r="G162" s="56" t="str">
        <f>IF('AYIRA MINI MART FINAL MENU - Pr'!G162="", "", 'AYIRA MINI MART FINAL MENU - Pr'!G162)</f>
        <v/>
      </c>
      <c r="H162" s="56" t="str">
        <f>IF('AYIRA MINI MART FINAL MENU - Pr'!H162="", "", 'AYIRA MINI MART FINAL MENU - Pr'!H162)</f>
        <v/>
      </c>
      <c r="I162" s="56" t="str">
        <f>IF('AYIRA MINI MART FINAL MENU - Pr'!I162="", "", 'AYIRA MINI MART FINAL MENU - Pr'!I162)</f>
        <v/>
      </c>
      <c r="J162" s="56" t="str">
        <f>IFERROR(__xludf.DUMMYFUNCTION("IF('AYIRA MINI MART FINAL MENU - Pr'!J162="""", """", GOOGLETRANSLATE('AYIRA MINI MART FINAL MENU - Pr'!J162, ""en"", ""ar""))"),"يعرض")</f>
        <v>يعرض</v>
      </c>
      <c r="K162" s="56" t="str">
        <f>IF('AYIRA MINI MART FINAL MENU - Pr'!K162="", "", 'AYIRA MINI MART FINAL MENU - Pr'!K162)</f>
        <v/>
      </c>
      <c r="L162" s="56" t="str">
        <f>IF('AYIRA MINI MART FINAL MENU - Pr'!L162="", "", 'AYIRA MINI MART FINAL MENU - Pr'!L162)</f>
        <v/>
      </c>
      <c r="M162" s="56" t="str">
        <f>IF('AYIRA MINI MART FINAL MENU - Pr'!M162="", "", 'AYIRA MINI MART FINAL MENU - Pr'!M162)</f>
        <v/>
      </c>
      <c r="N162" s="56" t="str">
        <f>IF('AYIRA MINI MART FINAL MENU - Pr'!N162="", "", 'AYIRA MINI MART FINAL MENU - Pr'!N162)</f>
        <v/>
      </c>
      <c r="O162" s="57"/>
      <c r="P162" s="57"/>
      <c r="Q162" s="57"/>
      <c r="R162" s="57"/>
      <c r="S162" s="57"/>
      <c r="T162" s="57"/>
      <c r="U162" s="57"/>
      <c r="V162" s="57"/>
      <c r="W162" s="57"/>
      <c r="X162" s="57"/>
      <c r="Y162" s="57"/>
      <c r="Z162" s="57"/>
    </row>
    <row r="163">
      <c r="A163" s="56" t="str">
        <f>IFERROR(__xludf.DUMMYFUNCTION("IF('AYIRA MINI MART FINAL MENU - Pr'!A163="""", """", IF(LEN(TRIM(REGEXREPLACE(REGEXREPLACE('AYIRA MINI MART FINAL MENU - Pr'!A163, ""^[^\x{0600}-\x{06FF}]+"", """"), ""^[-–\s]+"", """")))&gt;0, TRIM(REGEXREPLACE(REGEXREPLACE('AYIRA MINI MART FINAL MENU - Pr"&amp;"'!A163, ""^[^\x{0600}-\x{06FF}]+"", """"), ""^[-–\s]+"", """")), GOOGLETRANSLATE('AYIRA MINI MART FINAL MENU - Pr'!A163, ""en"", ""ar"")))"),"سبرايت ليمون Lime Flavoured 350 مل")</f>
        <v>سبرايت ليمون Lime Flavoured 350 مل</v>
      </c>
      <c r="B163" s="56" t="str">
        <f>IFERROR(__xludf.DUMMYFUNCTION("IF('AYIRA MINI MART FINAL MENU - Pr'!B163="""", """", IF(LEN(TRIM(REGEXREPLACE(REGEXREPLACE('AYIRA MINI MART FINAL MENU - Pr'!B163, ""^[^\x{0600}-\x{06FF}]+"", """"), ""^[-–\s]+"", """")))&gt;0, TRIM(REGEXREPLACE(REGEXREPLACE('AYIRA MINI MART FINAL MENU - Pr"&amp;"'!B163, ""^[^\x{0600}-\x{06FF}]+"", """"), ""^[-–\s]+"", """")), GOOGLETRANSLATE('AYIRA MINI MART FINAL MENU - Pr'!B163, ""en"", ""ar"")))"),"المشروبات الغازية")</f>
        <v>المشروبات الغازية</v>
      </c>
      <c r="C163" s="58">
        <f>IF('AYIRA MINI MART FINAL MENU - Pr'!C163="", "", 'AYIRA MINI MART FINAL MENU - Pr'!C163)</f>
        <v>3</v>
      </c>
      <c r="D163" s="58" t="str">
        <f>IF('AYIRA MINI MART FINAL MENU - Pr'!D163="", "", 'AYIRA MINI MART FINAL MENU - Pr'!D163)</f>
        <v>استمتع بـ سبرايت،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63" s="56" t="str">
        <f>IF('AYIRA MINI MART FINAL MENU - Pr'!E163="", "", 'AYIRA MINI MART FINAL MENU - Pr'!E163)</f>
        <v/>
      </c>
      <c r="F163" s="56" t="str">
        <f>IF('AYIRA MINI MART FINAL MENU - Pr'!F163="", "", 'AYIRA MINI MART FINAL MENU - Pr'!F163)</f>
        <v/>
      </c>
      <c r="G163" s="56" t="str">
        <f>IF('AYIRA MINI MART FINAL MENU - Pr'!G163="", "", 'AYIRA MINI MART FINAL MENU - Pr'!G163)</f>
        <v/>
      </c>
      <c r="H163" s="56" t="str">
        <f>IF('AYIRA MINI MART FINAL MENU - Pr'!H163="", "", 'AYIRA MINI MART FINAL MENU - Pr'!H163)</f>
        <v/>
      </c>
      <c r="I163" s="56" t="str">
        <f>IF('AYIRA MINI MART FINAL MENU - Pr'!I163="", "", 'AYIRA MINI MART FINAL MENU - Pr'!I163)</f>
        <v/>
      </c>
      <c r="J163" s="56" t="str">
        <f>IFERROR(__xludf.DUMMYFUNCTION("IF('AYIRA MINI MART FINAL MENU - Pr'!J163="""", """", GOOGLETRANSLATE('AYIRA MINI MART FINAL MENU - Pr'!J163, ""en"", ""ar""))"),"يعرض")</f>
        <v>يعرض</v>
      </c>
      <c r="K163" s="56" t="str">
        <f>IF('AYIRA MINI MART FINAL MENU - Pr'!K163="", "", 'AYIRA MINI MART FINAL MENU - Pr'!K163)</f>
        <v/>
      </c>
      <c r="L163" s="56" t="str">
        <f>IF('AYIRA MINI MART FINAL MENU - Pr'!L163="", "", 'AYIRA MINI MART FINAL MENU - Pr'!L163)</f>
        <v/>
      </c>
      <c r="M163" s="56" t="str">
        <f>IF('AYIRA MINI MART FINAL MENU - Pr'!M163="", "", 'AYIRA MINI MART FINAL MENU - Pr'!M163)</f>
        <v/>
      </c>
      <c r="N163" s="56" t="str">
        <f>IF('AYIRA MINI MART FINAL MENU - Pr'!N163="", "", 'AYIRA MINI MART FINAL MENU - Pr'!N163)</f>
        <v/>
      </c>
      <c r="O163" s="57"/>
      <c r="P163" s="57"/>
      <c r="Q163" s="57"/>
      <c r="R163" s="57"/>
      <c r="S163" s="57"/>
      <c r="T163" s="57"/>
      <c r="U163" s="57"/>
      <c r="V163" s="57"/>
      <c r="W163" s="57"/>
      <c r="X163" s="57"/>
      <c r="Y163" s="57"/>
      <c r="Z163" s="57"/>
    </row>
    <row r="164">
      <c r="A164" s="56" t="str">
        <f>IFERROR(__xludf.DUMMYFUNCTION("IF('AYIRA MINI MART FINAL MENU - Pr'!A164="""", """", IF(LEN(TRIM(REGEXREPLACE(REGEXREPLACE('AYIRA MINI MART FINAL MENU - Pr'!A164, ""^[^\x{0600}-\x{06FF}]+"", """"), ""^[-–\s]+"", """")))&gt;0, TRIM(REGEXREPLACE(REGEXREPLACE('AYIRA MINI MART FINAL MENU - Pr"&amp;"'!A164, ""^[^\x{0600}-\x{06FF}]+"", """"), ""^[-–\s]+"", """")), GOOGLETRANSLATE('AYIRA MINI MART FINAL MENU - Pr'!A164, ""en"", ""ar"")))"),"كوكاكولا أصلي Taste 350 مل")</f>
        <v>كوكاكولا أصلي Taste 350 مل</v>
      </c>
      <c r="B164" s="56" t="str">
        <f>IFERROR(__xludf.DUMMYFUNCTION("IF('AYIRA MINI MART FINAL MENU - Pr'!B164="""", """", IF(LEN(TRIM(REGEXREPLACE(REGEXREPLACE('AYIRA MINI MART FINAL MENU - Pr'!B164, ""^[^\x{0600}-\x{06FF}]+"", """"), ""^[-–\s]+"", """")))&gt;0, TRIM(REGEXREPLACE(REGEXREPLACE('AYIRA MINI MART FINAL MENU - Pr"&amp;"'!B164, ""^[^\x{0600}-\x{06FF}]+"", """"), ""^[-–\s]+"", """")), GOOGLETRANSLATE('AYIRA MINI MART FINAL MENU - Pr'!B164, ""en"", ""ar"")))"),"المشروبات الغازية")</f>
        <v>المشروبات الغازية</v>
      </c>
      <c r="C164" s="58">
        <f>IF('AYIRA MINI MART FINAL MENU - Pr'!C164="", "", 'AYIRA MINI MART FINAL MENU - Pr'!C164)</f>
        <v>3</v>
      </c>
      <c r="D164" s="58" t="str">
        <f>IF('AYIRA MINI MART FINAL MENU - Pr'!D164="", "", 'AYIRA MINI MART FINAL MENU - Pr'!D164)</f>
        <v>استمتع بـ كوكاكولا،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64" s="56" t="str">
        <f>IF('AYIRA MINI MART FINAL MENU - Pr'!E164="", "", 'AYIRA MINI MART FINAL MENU - Pr'!E164)</f>
        <v/>
      </c>
      <c r="F164" s="56" t="str">
        <f>IF('AYIRA MINI MART FINAL MENU - Pr'!F164="", "", 'AYIRA MINI MART FINAL MENU - Pr'!F164)</f>
        <v/>
      </c>
      <c r="G164" s="56" t="str">
        <f>IF('AYIRA MINI MART FINAL MENU - Pr'!G164="", "", 'AYIRA MINI MART FINAL MENU - Pr'!G164)</f>
        <v/>
      </c>
      <c r="H164" s="56" t="str">
        <f>IF('AYIRA MINI MART FINAL MENU - Pr'!H164="", "", 'AYIRA MINI MART FINAL MENU - Pr'!H164)</f>
        <v/>
      </c>
      <c r="I164" s="56" t="str">
        <f>IF('AYIRA MINI MART FINAL MENU - Pr'!I164="", "", 'AYIRA MINI MART FINAL MENU - Pr'!I164)</f>
        <v/>
      </c>
      <c r="J164" s="56" t="str">
        <f>IFERROR(__xludf.DUMMYFUNCTION("IF('AYIRA MINI MART FINAL MENU - Pr'!J164="""", """", GOOGLETRANSLATE('AYIRA MINI MART FINAL MENU - Pr'!J164, ""en"", ""ar""))"),"يعرض")</f>
        <v>يعرض</v>
      </c>
      <c r="K164" s="56" t="str">
        <f>IF('AYIRA MINI MART FINAL MENU - Pr'!K164="", "", 'AYIRA MINI MART FINAL MENU - Pr'!K164)</f>
        <v/>
      </c>
      <c r="L164" s="56" t="str">
        <f>IF('AYIRA MINI MART FINAL MENU - Pr'!L164="", "", 'AYIRA MINI MART FINAL MENU - Pr'!L164)</f>
        <v/>
      </c>
      <c r="M164" s="56" t="str">
        <f>IF('AYIRA MINI MART FINAL MENU - Pr'!M164="", "", 'AYIRA MINI MART FINAL MENU - Pr'!M164)</f>
        <v/>
      </c>
      <c r="N164" s="56" t="str">
        <f>IF('AYIRA MINI MART FINAL MENU - Pr'!N164="", "", 'AYIRA MINI MART FINAL MENU - Pr'!N164)</f>
        <v/>
      </c>
      <c r="O164" s="57"/>
      <c r="P164" s="57"/>
      <c r="Q164" s="57"/>
      <c r="R164" s="57"/>
      <c r="S164" s="57"/>
      <c r="T164" s="57"/>
      <c r="U164" s="57"/>
      <c r="V164" s="57"/>
      <c r="W164" s="57"/>
      <c r="X164" s="57"/>
      <c r="Y164" s="57"/>
      <c r="Z164" s="57"/>
    </row>
    <row r="165">
      <c r="A165" s="56" t="str">
        <f>IFERROR(__xludf.DUMMYFUNCTION("IF('AYIRA MINI MART FINAL MENU - Pr'!A165="""", """", IF(LEN(TRIM(REGEXREPLACE(REGEXREPLACE('AYIRA MINI MART FINAL MENU - Pr'!A165, ""^[^\x{0600}-\x{06FF}]+"", """"), ""^[-–\s]+"", """")))&gt;0, TRIM(REGEXREPLACE(REGEXREPLACE('AYIRA MINI MART FINAL MENU - Pr"&amp;"'!A165, ""^[^\x{0600}-\x{06FF}]+"", """"), ""^[-–\s]+"", """")), GOOGLETRANSLATE('AYIRA MINI MART FINAL MENU - Pr'!A165, ""en"", ""ar"")))"),"كوكاكولا زيرو سكر 350 مل")</f>
        <v>كوكاكولا زيرو سكر 350 مل</v>
      </c>
      <c r="B165" s="56" t="str">
        <f>IFERROR(__xludf.DUMMYFUNCTION("IF('AYIRA MINI MART FINAL MENU - Pr'!B165="""", """", IF(LEN(TRIM(REGEXREPLACE(REGEXREPLACE('AYIRA MINI MART FINAL MENU - Pr'!B165, ""^[^\x{0600}-\x{06FF}]+"", """"), ""^[-–\s]+"", """")))&gt;0, TRIM(REGEXREPLACE(REGEXREPLACE('AYIRA MINI MART FINAL MENU - Pr"&amp;"'!B165, ""^[^\x{0600}-\x{06FF}]+"", """"), ""^[-–\s]+"", """")), GOOGLETRANSLATE('AYIRA MINI MART FINAL MENU - Pr'!B165, ""en"", ""ar"")))"),"المشروبات الغازية")</f>
        <v>المشروبات الغازية</v>
      </c>
      <c r="C165" s="58">
        <f>IF('AYIRA MINI MART FINAL MENU - Pr'!C165="", "", 'AYIRA MINI MART FINAL MENU - Pr'!C165)</f>
        <v>3</v>
      </c>
      <c r="D165" s="58" t="str">
        <f>IF('AYIRA MINI MART FINAL MENU - Pr'!D165="", "", 'AYIRA MINI MART FINAL MENU - Pr'!D165)</f>
        <v>استمتع بـ كوكاكولا،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65" s="56" t="str">
        <f>IF('AYIRA MINI MART FINAL MENU - Pr'!E165="", "", 'AYIRA MINI MART FINAL MENU - Pr'!E165)</f>
        <v/>
      </c>
      <c r="F165" s="56" t="str">
        <f>IF('AYIRA MINI MART FINAL MENU - Pr'!F165="", "", 'AYIRA MINI MART FINAL MENU - Pr'!F165)</f>
        <v/>
      </c>
      <c r="G165" s="56" t="str">
        <f>IF('AYIRA MINI MART FINAL MENU - Pr'!G165="", "", 'AYIRA MINI MART FINAL MENU - Pr'!G165)</f>
        <v/>
      </c>
      <c r="H165" s="56" t="str">
        <f>IF('AYIRA MINI MART FINAL MENU - Pr'!H165="", "", 'AYIRA MINI MART FINAL MENU - Pr'!H165)</f>
        <v/>
      </c>
      <c r="I165" s="56" t="str">
        <f>IF('AYIRA MINI MART FINAL MENU - Pr'!I165="", "", 'AYIRA MINI MART FINAL MENU - Pr'!I165)</f>
        <v/>
      </c>
      <c r="J165" s="56" t="str">
        <f>IFERROR(__xludf.DUMMYFUNCTION("IF('AYIRA MINI MART FINAL MENU - Pr'!J165="""", """", GOOGLETRANSLATE('AYIRA MINI MART FINAL MENU - Pr'!J165, ""en"", ""ar""))"),"يعرض")</f>
        <v>يعرض</v>
      </c>
      <c r="K165" s="56" t="str">
        <f>IF('AYIRA MINI MART FINAL MENU - Pr'!K165="", "", 'AYIRA MINI MART FINAL MENU - Pr'!K165)</f>
        <v/>
      </c>
      <c r="L165" s="56" t="str">
        <f>IF('AYIRA MINI MART FINAL MENU - Pr'!L165="", "", 'AYIRA MINI MART FINAL MENU - Pr'!L165)</f>
        <v/>
      </c>
      <c r="M165" s="56" t="str">
        <f>IF('AYIRA MINI MART FINAL MENU - Pr'!M165="", "", 'AYIRA MINI MART FINAL MENU - Pr'!M165)</f>
        <v/>
      </c>
      <c r="N165" s="56" t="str">
        <f>IF('AYIRA MINI MART FINAL MENU - Pr'!N165="", "", 'AYIRA MINI MART FINAL MENU - Pr'!N165)</f>
        <v/>
      </c>
      <c r="O165" s="57"/>
      <c r="P165" s="57"/>
      <c r="Q165" s="57"/>
      <c r="R165" s="57"/>
      <c r="S165" s="57"/>
      <c r="T165" s="57"/>
      <c r="U165" s="57"/>
      <c r="V165" s="57"/>
      <c r="W165" s="57"/>
      <c r="X165" s="57"/>
      <c r="Y165" s="57"/>
      <c r="Z165" s="57"/>
    </row>
    <row r="166">
      <c r="A166" s="56" t="str">
        <f>IFERROR(__xludf.DUMMYFUNCTION("IF('AYIRA MINI MART FINAL MENU - Pr'!A166="""", """", IF(LEN(TRIM(REGEXREPLACE(REGEXREPLACE('AYIRA MINI MART FINAL MENU - Pr'!A166, ""^[^\x{0600}-\x{06FF}]+"", """"), ""^[-–\s]+"", """")))&gt;0, TRIM(REGEXREPLACE(REGEXREPLACE('AYIRA MINI MART FINAL MENU - Pr"&amp;"'!A166, ""^[^\x{0600}-\x{06FF}]+"", """"), ""^[-–\s]+"", """")), GOOGLETRANSLATE('AYIRA MINI MART FINAL MENU - Pr'!A166, ""en"", ""ar"")))"),"سبرايت ليمون &amp; نعناع Flavoured 350 مل")</f>
        <v>سبرايت ليمون &amp; نعناع Flavoured 350 مل</v>
      </c>
      <c r="B166" s="56" t="str">
        <f>IFERROR(__xludf.DUMMYFUNCTION("IF('AYIRA MINI MART FINAL MENU - Pr'!B166="""", """", IF(LEN(TRIM(REGEXREPLACE(REGEXREPLACE('AYIRA MINI MART FINAL MENU - Pr'!B166, ""^[^\x{0600}-\x{06FF}]+"", """"), ""^[-–\s]+"", """")))&gt;0, TRIM(REGEXREPLACE(REGEXREPLACE('AYIRA MINI MART FINAL MENU - Pr"&amp;"'!B166, ""^[^\x{0600}-\x{06FF}]+"", """"), ""^[-–\s]+"", """")), GOOGLETRANSLATE('AYIRA MINI MART FINAL MENU - Pr'!B166, ""en"", ""ar"")))"),"المشروبات الغازية")</f>
        <v>المشروبات الغازية</v>
      </c>
      <c r="C166" s="58">
        <f>IF('AYIRA MINI MART FINAL MENU - Pr'!C166="", "", 'AYIRA MINI MART FINAL MENU - Pr'!C166)</f>
        <v>3</v>
      </c>
      <c r="D166" s="58" t="str">
        <f>IF('AYIRA MINI MART FINAL MENU - Pr'!D166="", "", 'AYIRA MINI MART FINAL MENU - Pr'!D166)</f>
        <v>أضف لحظة حلوة إلى يومك مع سبرايت،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166" s="56" t="str">
        <f>IF('AYIRA MINI MART FINAL MENU - Pr'!E166="", "", 'AYIRA MINI MART FINAL MENU - Pr'!E166)</f>
        <v/>
      </c>
      <c r="F166" s="56" t="str">
        <f>IF('AYIRA MINI MART FINAL MENU - Pr'!F166="", "", 'AYIRA MINI MART FINAL MENU - Pr'!F166)</f>
        <v/>
      </c>
      <c r="G166" s="56" t="str">
        <f>IF('AYIRA MINI MART FINAL MENU - Pr'!G166="", "", 'AYIRA MINI MART FINAL MENU - Pr'!G166)</f>
        <v/>
      </c>
      <c r="H166" s="56" t="str">
        <f>IF('AYIRA MINI MART FINAL MENU - Pr'!H166="", "", 'AYIRA MINI MART FINAL MENU - Pr'!H166)</f>
        <v/>
      </c>
      <c r="I166" s="56" t="str">
        <f>IF('AYIRA MINI MART FINAL MENU - Pr'!I166="", "", 'AYIRA MINI MART FINAL MENU - Pr'!I166)</f>
        <v/>
      </c>
      <c r="J166" s="56" t="str">
        <f>IFERROR(__xludf.DUMMYFUNCTION("IF('AYIRA MINI MART FINAL MENU - Pr'!J166="""", """", GOOGLETRANSLATE('AYIRA MINI MART FINAL MENU - Pr'!J166, ""en"", ""ar""))"),"يعرض")</f>
        <v>يعرض</v>
      </c>
      <c r="K166" s="56" t="str">
        <f>IF('AYIRA MINI MART FINAL MENU - Pr'!K166="", "", 'AYIRA MINI MART FINAL MENU - Pr'!K166)</f>
        <v/>
      </c>
      <c r="L166" s="56" t="str">
        <f>IF('AYIRA MINI MART FINAL MENU - Pr'!L166="", "", 'AYIRA MINI MART FINAL MENU - Pr'!L166)</f>
        <v/>
      </c>
      <c r="M166" s="56" t="str">
        <f>IF('AYIRA MINI MART FINAL MENU - Pr'!M166="", "", 'AYIRA MINI MART FINAL MENU - Pr'!M166)</f>
        <v/>
      </c>
      <c r="N166" s="56" t="str">
        <f>IF('AYIRA MINI MART FINAL MENU - Pr'!N166="", "", 'AYIRA MINI MART FINAL MENU - Pr'!N166)</f>
        <v/>
      </c>
      <c r="O166" s="57"/>
      <c r="P166" s="57"/>
      <c r="Q166" s="57"/>
      <c r="R166" s="57"/>
      <c r="S166" s="57"/>
      <c r="T166" s="57"/>
      <c r="U166" s="57"/>
      <c r="V166" s="57"/>
      <c r="W166" s="57"/>
      <c r="X166" s="57"/>
      <c r="Y166" s="57"/>
      <c r="Z166" s="57"/>
    </row>
    <row r="167">
      <c r="A167" s="56" t="str">
        <f>IFERROR(__xludf.DUMMYFUNCTION("IF('AYIRA MINI MART FINAL MENU - Pr'!A167="""", """", IF(LEN(TRIM(REGEXREPLACE(REGEXREPLACE('AYIRA MINI MART FINAL MENU - Pr'!A167, ""^[^\x{0600}-\x{06FF}]+"", """"), ""^[-–\s]+"", """")))&gt;0, TRIM(REGEXREPLACE(REGEXREPLACE('AYIRA MINI MART FINAL MENU - Pr"&amp;"'!A167, ""^[^\x{0600}-\x{06FF}]+"", """"), ""^[-–\s]+"", """")), GOOGLETRANSLATE('AYIRA MINI MART FINAL MENU - Pr'!A167, ""en"", ""ar"")))"),"فانتا Citrus 330 مل")</f>
        <v>فانتا Citrus 330 مل</v>
      </c>
      <c r="B167" s="56" t="str">
        <f>IFERROR(__xludf.DUMMYFUNCTION("IF('AYIRA MINI MART FINAL MENU - Pr'!B167="""", """", IF(LEN(TRIM(REGEXREPLACE(REGEXREPLACE('AYIRA MINI MART FINAL MENU - Pr'!B167, ""^[^\x{0600}-\x{06FF}]+"", """"), ""^[-–\s]+"", """")))&gt;0, TRIM(REGEXREPLACE(REGEXREPLACE('AYIRA MINI MART FINAL MENU - Pr"&amp;"'!B167, ""^[^\x{0600}-\x{06FF}]+"", """"), ""^[-–\s]+"", """")), GOOGLETRANSLATE('AYIRA MINI MART FINAL MENU - Pr'!B167, ""en"", ""ar"")))"),"المشروبات الغازية")</f>
        <v>المشروبات الغازية</v>
      </c>
      <c r="C167" s="58">
        <f>IF('AYIRA MINI MART FINAL MENU - Pr'!C167="", "", 'AYIRA MINI MART FINAL MENU - Pr'!C167)</f>
        <v>2.5</v>
      </c>
      <c r="D167" s="58" t="str">
        <f>IF('AYIRA MINI MART FINAL MENU - Pr'!D167="", "", 'AYIRA MINI MART FINAL MENU - Pr'!D167)</f>
        <v>استمتع بـ فانتا،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67" s="56" t="str">
        <f>IF('AYIRA MINI MART FINAL MENU - Pr'!E167="", "", 'AYIRA MINI MART FINAL MENU - Pr'!E167)</f>
        <v/>
      </c>
      <c r="F167" s="56" t="str">
        <f>IF('AYIRA MINI MART FINAL MENU - Pr'!F167="", "", 'AYIRA MINI MART FINAL MENU - Pr'!F167)</f>
        <v/>
      </c>
      <c r="G167" s="56" t="str">
        <f>IF('AYIRA MINI MART FINAL MENU - Pr'!G167="", "", 'AYIRA MINI MART FINAL MENU - Pr'!G167)</f>
        <v/>
      </c>
      <c r="H167" s="56" t="str">
        <f>IF('AYIRA MINI MART FINAL MENU - Pr'!H167="", "", 'AYIRA MINI MART FINAL MENU - Pr'!H167)</f>
        <v/>
      </c>
      <c r="I167" s="56" t="str">
        <f>IF('AYIRA MINI MART FINAL MENU - Pr'!I167="", "", 'AYIRA MINI MART FINAL MENU - Pr'!I167)</f>
        <v/>
      </c>
      <c r="J167" s="56" t="str">
        <f>IFERROR(__xludf.DUMMYFUNCTION("IF('AYIRA MINI MART FINAL MENU - Pr'!J167="""", """", GOOGLETRANSLATE('AYIRA MINI MART FINAL MENU - Pr'!J167, ""en"", ""ar""))"),"يعرض")</f>
        <v>يعرض</v>
      </c>
      <c r="K167" s="56" t="str">
        <f>IF('AYIRA MINI MART FINAL MENU - Pr'!K167="", "", 'AYIRA MINI MART FINAL MENU - Pr'!K167)</f>
        <v/>
      </c>
      <c r="L167" s="56" t="str">
        <f>IF('AYIRA MINI MART FINAL MENU - Pr'!L167="", "", 'AYIRA MINI MART FINAL MENU - Pr'!L167)</f>
        <v/>
      </c>
      <c r="M167" s="56" t="str">
        <f>IF('AYIRA MINI MART FINAL MENU - Pr'!M167="", "", 'AYIRA MINI MART FINAL MENU - Pr'!M167)</f>
        <v/>
      </c>
      <c r="N167" s="56" t="str">
        <f>IF('AYIRA MINI MART FINAL MENU - Pr'!N167="", "", 'AYIRA MINI MART FINAL MENU - Pr'!N167)</f>
        <v/>
      </c>
      <c r="O167" s="57"/>
      <c r="P167" s="57"/>
      <c r="Q167" s="57"/>
      <c r="R167" s="57"/>
      <c r="S167" s="57"/>
      <c r="T167" s="57"/>
      <c r="U167" s="57"/>
      <c r="V167" s="57"/>
      <c r="W167" s="57"/>
      <c r="X167" s="57"/>
      <c r="Y167" s="57"/>
      <c r="Z167" s="57"/>
    </row>
    <row r="168">
      <c r="A168" s="56" t="str">
        <f>IFERROR(__xludf.DUMMYFUNCTION("IF('AYIRA MINI MART FINAL MENU - Pr'!A168="""", """", IF(LEN(TRIM(REGEXREPLACE(REGEXREPLACE('AYIRA MINI MART FINAL MENU - Pr'!A168, ""^[^\x{0600}-\x{06FF}]+"", """"), ""^[-–\s]+"", """")))&gt;0, TRIM(REGEXREPLACE(REGEXREPLACE('AYIRA MINI MART FINAL MENU - Pr"&amp;"'!A168, ""^[^\x{0600}-\x{06FF}]+"", """"), ""^[-–\s]+"", """")), GOOGLETRANSLATE('AYIRA MINI MART FINAL MENU - Pr'!A168, ""en"", ""ar"")))"),"فانتا برتقال 330 مل")</f>
        <v>فانتا برتقال 330 مل</v>
      </c>
      <c r="B168" s="56" t="str">
        <f>IFERROR(__xludf.DUMMYFUNCTION("IF('AYIRA MINI MART FINAL MENU - Pr'!B168="""", """", IF(LEN(TRIM(REGEXREPLACE(REGEXREPLACE('AYIRA MINI MART FINAL MENU - Pr'!B168, ""^[^\x{0600}-\x{06FF}]+"", """"), ""^[-–\s]+"", """")))&gt;0, TRIM(REGEXREPLACE(REGEXREPLACE('AYIRA MINI MART FINAL MENU - Pr"&amp;"'!B168, ""^[^\x{0600}-\x{06FF}]+"", """"), ""^[-–\s]+"", """")), GOOGLETRANSLATE('AYIRA MINI MART FINAL MENU - Pr'!B168, ""en"", ""ar"")))"),"المشروبات الغازية")</f>
        <v>المشروبات الغازية</v>
      </c>
      <c r="C168" s="58">
        <f>IF('AYIRA MINI MART FINAL MENU - Pr'!C168="", "", 'AYIRA MINI MART FINAL MENU - Pr'!C168)</f>
        <v>2.5</v>
      </c>
      <c r="D168" s="58" t="str">
        <f>IF('AYIRA MINI MART FINAL MENU - Pr'!D168="", "", 'AYIRA MINI MART FINAL MENU - Pr'!D168)</f>
        <v>استمتع بـ فانتا،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68" s="56" t="str">
        <f>IF('AYIRA MINI MART FINAL MENU - Pr'!E168="", "", 'AYIRA MINI MART FINAL MENU - Pr'!E168)</f>
        <v/>
      </c>
      <c r="F168" s="56" t="str">
        <f>IF('AYIRA MINI MART FINAL MENU - Pr'!F168="", "", 'AYIRA MINI MART FINAL MENU - Pr'!F168)</f>
        <v/>
      </c>
      <c r="G168" s="56" t="str">
        <f>IF('AYIRA MINI MART FINAL MENU - Pr'!G168="", "", 'AYIRA MINI MART FINAL MENU - Pr'!G168)</f>
        <v/>
      </c>
      <c r="H168" s="56" t="str">
        <f>IF('AYIRA MINI MART FINAL MENU - Pr'!H168="", "", 'AYIRA MINI MART FINAL MENU - Pr'!H168)</f>
        <v/>
      </c>
      <c r="I168" s="56" t="str">
        <f>IF('AYIRA MINI MART FINAL MENU - Pr'!I168="", "", 'AYIRA MINI MART FINAL MENU - Pr'!I168)</f>
        <v/>
      </c>
      <c r="J168" s="56" t="str">
        <f>IFERROR(__xludf.DUMMYFUNCTION("IF('AYIRA MINI MART FINAL MENU - Pr'!J168="""", """", GOOGLETRANSLATE('AYIRA MINI MART FINAL MENU - Pr'!J168, ""en"", ""ar""))"),"يعرض")</f>
        <v>يعرض</v>
      </c>
      <c r="K168" s="56" t="str">
        <f>IF('AYIRA MINI MART FINAL MENU - Pr'!K168="", "", 'AYIRA MINI MART FINAL MENU - Pr'!K168)</f>
        <v/>
      </c>
      <c r="L168" s="56" t="str">
        <f>IF('AYIRA MINI MART FINAL MENU - Pr'!L168="", "", 'AYIRA MINI MART FINAL MENU - Pr'!L168)</f>
        <v/>
      </c>
      <c r="M168" s="56" t="str">
        <f>IF('AYIRA MINI MART FINAL MENU - Pr'!M168="", "", 'AYIRA MINI MART FINAL MENU - Pr'!M168)</f>
        <v/>
      </c>
      <c r="N168" s="56" t="str">
        <f>IF('AYIRA MINI MART FINAL MENU - Pr'!N168="", "", 'AYIRA MINI MART FINAL MENU - Pr'!N168)</f>
        <v/>
      </c>
      <c r="O168" s="57"/>
      <c r="P168" s="57"/>
      <c r="Q168" s="57"/>
      <c r="R168" s="57"/>
      <c r="S168" s="57"/>
      <c r="T168" s="57"/>
      <c r="U168" s="57"/>
      <c r="V168" s="57"/>
      <c r="W168" s="57"/>
      <c r="X168" s="57"/>
      <c r="Y168" s="57"/>
      <c r="Z168" s="57"/>
    </row>
    <row r="169">
      <c r="A169" s="56" t="str">
        <f>IFERROR(__xludf.DUMMYFUNCTION("IF('AYIRA MINI MART FINAL MENU - Pr'!A169="""", """", IF(LEN(TRIM(REGEXREPLACE(REGEXREPLACE('AYIRA MINI MART FINAL MENU - Pr'!A169, ""^[^\x{0600}-\x{06FF}]+"", """"), ""^[-–\s]+"", """")))&gt;0, TRIM(REGEXREPLACE(REGEXREPLACE('AYIRA MINI MART FINAL MENU - Pr"&amp;"'!A169, ""^[^\x{0600}-\x{06FF}]+"", """"), ""^[-–\s]+"", """")), GOOGLETRANSLATE('AYIRA MINI MART FINAL MENU - Pr'!A169, ""en"", ""ar"")))"),"فانتا فراولة 330 مل")</f>
        <v>فانتا فراولة 330 مل</v>
      </c>
      <c r="B169" s="56" t="str">
        <f>IFERROR(__xludf.DUMMYFUNCTION("IF('AYIRA MINI MART FINAL MENU - Pr'!B169="""", """", IF(LEN(TRIM(REGEXREPLACE(REGEXREPLACE('AYIRA MINI MART FINAL MENU - Pr'!B169, ""^[^\x{0600}-\x{06FF}]+"", """"), ""^[-–\s]+"", """")))&gt;0, TRIM(REGEXREPLACE(REGEXREPLACE('AYIRA MINI MART FINAL MENU - Pr"&amp;"'!B169, ""^[^\x{0600}-\x{06FF}]+"", """"), ""^[-–\s]+"", """")), GOOGLETRANSLATE('AYIRA MINI MART FINAL MENU - Pr'!B169, ""en"", ""ar"")))"),"المشروبات الغازية")</f>
        <v>المشروبات الغازية</v>
      </c>
      <c r="C169" s="58">
        <f>IF('AYIRA MINI MART FINAL MENU - Pr'!C169="", "", 'AYIRA MINI MART FINAL MENU - Pr'!C169)</f>
        <v>2.5</v>
      </c>
      <c r="D169" s="58" t="str">
        <f>IF('AYIRA MINI MART FINAL MENU - Pr'!D169="", "", 'AYIRA MINI MART FINAL MENU - Pr'!D169)</f>
        <v>استمتع بـ فانتا،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69" s="56" t="str">
        <f>IF('AYIRA MINI MART FINAL MENU - Pr'!E169="", "", 'AYIRA MINI MART FINAL MENU - Pr'!E169)</f>
        <v/>
      </c>
      <c r="F169" s="56" t="str">
        <f>IF('AYIRA MINI MART FINAL MENU - Pr'!F169="", "", 'AYIRA MINI MART FINAL MENU - Pr'!F169)</f>
        <v/>
      </c>
      <c r="G169" s="56" t="str">
        <f>IF('AYIRA MINI MART FINAL MENU - Pr'!G169="", "", 'AYIRA MINI MART FINAL MENU - Pr'!G169)</f>
        <v/>
      </c>
      <c r="H169" s="56" t="str">
        <f>IF('AYIRA MINI MART FINAL MENU - Pr'!H169="", "", 'AYIRA MINI MART FINAL MENU - Pr'!H169)</f>
        <v/>
      </c>
      <c r="I169" s="56" t="str">
        <f>IF('AYIRA MINI MART FINAL MENU - Pr'!I169="", "", 'AYIRA MINI MART FINAL MENU - Pr'!I169)</f>
        <v/>
      </c>
      <c r="J169" s="56" t="str">
        <f>IFERROR(__xludf.DUMMYFUNCTION("IF('AYIRA MINI MART FINAL MENU - Pr'!J169="""", """", GOOGLETRANSLATE('AYIRA MINI MART FINAL MENU - Pr'!J169, ""en"", ""ar""))"),"يعرض")</f>
        <v>يعرض</v>
      </c>
      <c r="K169" s="56" t="str">
        <f>IF('AYIRA MINI MART FINAL MENU - Pr'!K169="", "", 'AYIRA MINI MART FINAL MENU - Pr'!K169)</f>
        <v/>
      </c>
      <c r="L169" s="56" t="str">
        <f>IF('AYIRA MINI MART FINAL MENU - Pr'!L169="", "", 'AYIRA MINI MART FINAL MENU - Pr'!L169)</f>
        <v/>
      </c>
      <c r="M169" s="56" t="str">
        <f>IF('AYIRA MINI MART FINAL MENU - Pr'!M169="", "", 'AYIRA MINI MART FINAL MENU - Pr'!M169)</f>
        <v/>
      </c>
      <c r="N169" s="56" t="str">
        <f>IF('AYIRA MINI MART FINAL MENU - Pr'!N169="", "", 'AYIRA MINI MART FINAL MENU - Pr'!N169)</f>
        <v/>
      </c>
      <c r="O169" s="57"/>
      <c r="P169" s="57"/>
      <c r="Q169" s="57"/>
      <c r="R169" s="57"/>
      <c r="S169" s="57"/>
      <c r="T169" s="57"/>
      <c r="U169" s="57"/>
      <c r="V169" s="57"/>
      <c r="W169" s="57"/>
      <c r="X169" s="57"/>
      <c r="Y169" s="57"/>
      <c r="Z169" s="57"/>
    </row>
    <row r="170">
      <c r="A170" s="56" t="str">
        <f>IFERROR(__xludf.DUMMYFUNCTION("IF('AYIRA MINI MART FINAL MENU - Pr'!A170="""", """", IF(LEN(TRIM(REGEXREPLACE(REGEXREPLACE('AYIRA MINI MART FINAL MENU - Pr'!A170, ""^[^\x{0600}-\x{06FF}]+"", """"), ""^[-–\s]+"", """")))&gt;0, TRIM(REGEXREPLACE(REGEXREPLACE('AYIRA MINI MART FINAL MENU - Pr"&amp;"'!A170, ""^[^\x{0600}-\x{06FF}]+"", """"), ""^[-–\s]+"", """")), GOOGLETRANSLATE('AYIRA MINI MART FINAL MENU - Pr'!A170, ""en"", ""ar"")))"),"مل")</f>
        <v>مل</v>
      </c>
      <c r="B170" s="56" t="str">
        <f>IFERROR(__xludf.DUMMYFUNCTION("IF('AYIRA MINI MART FINAL MENU - Pr'!B170="""", """", IF(LEN(TRIM(REGEXREPLACE(REGEXREPLACE('AYIRA MINI MART FINAL MENU - Pr'!B170, ""^[^\x{0600}-\x{06FF}]+"", """"), ""^[-–\s]+"", """")))&gt;0, TRIM(REGEXREPLACE(REGEXREPLACE('AYIRA MINI MART FINAL MENU - Pr"&amp;"'!B170, ""^[^\x{0600}-\x{06FF}]+"", """"), ""^[-–\s]+"", """")), GOOGLETRANSLATE('AYIRA MINI MART FINAL MENU - Pr'!B170, ""en"", ""ar"")))"),"المشروبات الغازية")</f>
        <v>المشروبات الغازية</v>
      </c>
      <c r="C170" s="58">
        <f>IF('AYIRA MINI MART FINAL MENU - Pr'!C170="", "", 'AYIRA MINI MART FINAL MENU - Pr'!C170)</f>
        <v>2.5</v>
      </c>
      <c r="D170" s="58" t="str">
        <f>IF('AYIRA MINI MART FINAL MENU - Pr'!D170="", "", 'AYIRA MINI MART FINAL MENU - Pr'!D170)</f>
        <v>اكتشف Thums Up 330ml،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70" s="56" t="str">
        <f>IF('AYIRA MINI MART FINAL MENU - Pr'!E170="", "", 'AYIRA MINI MART FINAL MENU - Pr'!E170)</f>
        <v/>
      </c>
      <c r="F170" s="56" t="str">
        <f>IF('AYIRA MINI MART FINAL MENU - Pr'!F170="", "", 'AYIRA MINI MART FINAL MENU - Pr'!F170)</f>
        <v/>
      </c>
      <c r="G170" s="56" t="str">
        <f>IF('AYIRA MINI MART FINAL MENU - Pr'!G170="", "", 'AYIRA MINI MART FINAL MENU - Pr'!G170)</f>
        <v/>
      </c>
      <c r="H170" s="56" t="str">
        <f>IF('AYIRA MINI MART FINAL MENU - Pr'!H170="", "", 'AYIRA MINI MART FINAL MENU - Pr'!H170)</f>
        <v/>
      </c>
      <c r="I170" s="56" t="str">
        <f>IF('AYIRA MINI MART FINAL MENU - Pr'!I170="", "", 'AYIRA MINI MART FINAL MENU - Pr'!I170)</f>
        <v/>
      </c>
      <c r="J170" s="56" t="str">
        <f>IFERROR(__xludf.DUMMYFUNCTION("IF('AYIRA MINI MART FINAL MENU - Pr'!J170="""", """", GOOGLETRANSLATE('AYIRA MINI MART FINAL MENU - Pr'!J170, ""en"", ""ar""))"),"يعرض")</f>
        <v>يعرض</v>
      </c>
      <c r="K170" s="56" t="str">
        <f>IF('AYIRA MINI MART FINAL MENU - Pr'!K170="", "", 'AYIRA MINI MART FINAL MENU - Pr'!K170)</f>
        <v/>
      </c>
      <c r="L170" s="56" t="str">
        <f>IF('AYIRA MINI MART FINAL MENU - Pr'!L170="", "", 'AYIRA MINI MART FINAL MENU - Pr'!L170)</f>
        <v/>
      </c>
      <c r="M170" s="56" t="str">
        <f>IF('AYIRA MINI MART FINAL MENU - Pr'!M170="", "", 'AYIRA MINI MART FINAL MENU - Pr'!M170)</f>
        <v/>
      </c>
      <c r="N170" s="56" t="str">
        <f>IF('AYIRA MINI MART FINAL MENU - Pr'!N170="", "", 'AYIRA MINI MART FINAL MENU - Pr'!N170)</f>
        <v/>
      </c>
      <c r="O170" s="57"/>
      <c r="P170" s="57"/>
      <c r="Q170" s="57"/>
      <c r="R170" s="57"/>
      <c r="S170" s="57"/>
      <c r="T170" s="57"/>
      <c r="U170" s="57"/>
      <c r="V170" s="57"/>
      <c r="W170" s="57"/>
      <c r="X170" s="57"/>
      <c r="Y170" s="57"/>
      <c r="Z170" s="57"/>
    </row>
    <row r="171">
      <c r="A171" s="56" t="str">
        <f>IFERROR(__xludf.DUMMYFUNCTION("IF('AYIRA MINI MART FINAL MENU - Pr'!A171="""", """", IF(LEN(TRIM(REGEXREPLACE(REGEXREPLACE('AYIRA MINI MART FINAL MENU - Pr'!A171, ""^[^\x{0600}-\x{06FF}]+"", """"), ""^[-–\s]+"", """")))&gt;0, TRIM(REGEXREPLACE(REGEXREPLACE('AYIRA MINI MART FINAL MENU - Pr"&amp;"'!A171, ""^[^\x{0600}-\x{06FF}]+"", """"), ""^[-–\s]+"", """")), GOOGLETRANSLATE('AYIRA MINI MART FINAL MENU - Pr'!A171, ""en"", ""ar"")))"),"سبرايت زيرو Calories 330 مل")</f>
        <v>سبرايت زيرو Calories 330 مل</v>
      </c>
      <c r="B171" s="56" t="str">
        <f>IFERROR(__xludf.DUMMYFUNCTION("IF('AYIRA MINI MART FINAL MENU - Pr'!B171="""", """", IF(LEN(TRIM(REGEXREPLACE(REGEXREPLACE('AYIRA MINI MART FINAL MENU - Pr'!B171, ""^[^\x{0600}-\x{06FF}]+"", """"), ""^[-–\s]+"", """")))&gt;0, TRIM(REGEXREPLACE(REGEXREPLACE('AYIRA MINI MART FINAL MENU - Pr"&amp;"'!B171, ""^[^\x{0600}-\x{06FF}]+"", """"), ""^[-–\s]+"", """")), GOOGLETRANSLATE('AYIRA MINI MART FINAL MENU - Pr'!B171, ""en"", ""ar"")))"),"المشروبات الغازية")</f>
        <v>المشروبات الغازية</v>
      </c>
      <c r="C171" s="58">
        <f>IF('AYIRA MINI MART FINAL MENU - Pr'!C171="", "", 'AYIRA MINI MART FINAL MENU - Pr'!C171)</f>
        <v>2.5</v>
      </c>
      <c r="D171" s="58" t="str">
        <f>IF('AYIRA MINI MART FINAL MENU - Pr'!D171="", "", 'AYIRA MINI MART FINAL MENU - Pr'!D171)</f>
        <v>استمتع بـ سبرايت،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71" s="56" t="str">
        <f>IF('AYIRA MINI MART FINAL MENU - Pr'!E171="", "", 'AYIRA MINI MART FINAL MENU - Pr'!E171)</f>
        <v/>
      </c>
      <c r="F171" s="56" t="str">
        <f>IF('AYIRA MINI MART FINAL MENU - Pr'!F171="", "", 'AYIRA MINI MART FINAL MENU - Pr'!F171)</f>
        <v/>
      </c>
      <c r="G171" s="56" t="str">
        <f>IF('AYIRA MINI MART FINAL MENU - Pr'!G171="", "", 'AYIRA MINI MART FINAL MENU - Pr'!G171)</f>
        <v/>
      </c>
      <c r="H171" s="56" t="str">
        <f>IF('AYIRA MINI MART FINAL MENU - Pr'!H171="", "", 'AYIRA MINI MART FINAL MENU - Pr'!H171)</f>
        <v/>
      </c>
      <c r="I171" s="56" t="str">
        <f>IF('AYIRA MINI MART FINAL MENU - Pr'!I171="", "", 'AYIRA MINI MART FINAL MENU - Pr'!I171)</f>
        <v/>
      </c>
      <c r="J171" s="56" t="str">
        <f>IFERROR(__xludf.DUMMYFUNCTION("IF('AYIRA MINI MART FINAL MENU - Pr'!J171="""", """", GOOGLETRANSLATE('AYIRA MINI MART FINAL MENU - Pr'!J171, ""en"", ""ar""))"),"يعرض")</f>
        <v>يعرض</v>
      </c>
      <c r="K171" s="56" t="str">
        <f>IF('AYIRA MINI MART FINAL MENU - Pr'!K171="", "", 'AYIRA MINI MART FINAL MENU - Pr'!K171)</f>
        <v/>
      </c>
      <c r="L171" s="56" t="str">
        <f>IF('AYIRA MINI MART FINAL MENU - Pr'!L171="", "", 'AYIRA MINI MART FINAL MENU - Pr'!L171)</f>
        <v/>
      </c>
      <c r="M171" s="56" t="str">
        <f>IF('AYIRA MINI MART FINAL MENU - Pr'!M171="", "", 'AYIRA MINI MART FINAL MENU - Pr'!M171)</f>
        <v/>
      </c>
      <c r="N171" s="56" t="str">
        <f>IF('AYIRA MINI MART FINAL MENU - Pr'!N171="", "", 'AYIRA MINI MART FINAL MENU - Pr'!N171)</f>
        <v/>
      </c>
      <c r="O171" s="57"/>
      <c r="P171" s="57"/>
      <c r="Q171" s="57"/>
      <c r="R171" s="57"/>
      <c r="S171" s="57"/>
      <c r="T171" s="57"/>
      <c r="U171" s="57"/>
      <c r="V171" s="57"/>
      <c r="W171" s="57"/>
      <c r="X171" s="57"/>
      <c r="Y171" s="57"/>
      <c r="Z171" s="57"/>
    </row>
    <row r="172">
      <c r="A172" s="56" t="str">
        <f>IFERROR(__xludf.DUMMYFUNCTION("IF('AYIRA MINI MART FINAL MENU - Pr'!A172="""", """", IF(LEN(TRIM(REGEXREPLACE(REGEXREPLACE('AYIRA MINI MART FINAL MENU - Pr'!A172, ""^[^\x{0600}-\x{06FF}]+"", """"), ""^[-–\s]+"", """")))&gt;0, TRIM(REGEXREPLACE(REGEXREPLACE('AYIRA MINI MART FINAL MENU - Pr"&amp;"'!A172, ""^[^\x{0600}-\x{06FF}]+"", """"), ""^[-–\s]+"", """")), GOOGLETRANSLATE('AYIRA MINI MART FINAL MENU - Pr'!A172, ""en"", ""ar"")))"),"كوكاكولا لايت 330 مل")</f>
        <v>كوكاكولا لايت 330 مل</v>
      </c>
      <c r="B172" s="56" t="str">
        <f>IFERROR(__xludf.DUMMYFUNCTION("IF('AYIRA MINI MART FINAL MENU - Pr'!B172="""", """", IF(LEN(TRIM(REGEXREPLACE(REGEXREPLACE('AYIRA MINI MART FINAL MENU - Pr'!B172, ""^[^\x{0600}-\x{06FF}]+"", """"), ""^[-–\s]+"", """")))&gt;0, TRIM(REGEXREPLACE(REGEXREPLACE('AYIRA MINI MART FINAL MENU - Pr"&amp;"'!B172, ""^[^\x{0600}-\x{06FF}]+"", """"), ""^[-–\s]+"", """")), GOOGLETRANSLATE('AYIRA MINI MART FINAL MENU - Pr'!B172, ""en"", ""ar"")))"),"المشروبات الغازية")</f>
        <v>المشروبات الغازية</v>
      </c>
      <c r="C172" s="58">
        <f>IF('AYIRA MINI MART FINAL MENU - Pr'!C172="", "", 'AYIRA MINI MART FINAL MENU - Pr'!C172)</f>
        <v>2.5</v>
      </c>
      <c r="D172" s="58" t="str">
        <f>IF('AYIRA MINI MART FINAL MENU - Pr'!D172="", "", 'AYIRA MINI MART FINAL MENU - Pr'!D172)</f>
        <v>استمتع بـ كوكاكولا،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72" s="56" t="str">
        <f>IF('AYIRA MINI MART FINAL MENU - Pr'!E172="", "", 'AYIRA MINI MART FINAL MENU - Pr'!E172)</f>
        <v/>
      </c>
      <c r="F172" s="56" t="str">
        <f>IF('AYIRA MINI MART FINAL MENU - Pr'!F172="", "", 'AYIRA MINI MART FINAL MENU - Pr'!F172)</f>
        <v/>
      </c>
      <c r="G172" s="56" t="str">
        <f>IF('AYIRA MINI MART FINAL MENU - Pr'!G172="", "", 'AYIRA MINI MART FINAL MENU - Pr'!G172)</f>
        <v/>
      </c>
      <c r="H172" s="56" t="str">
        <f>IF('AYIRA MINI MART FINAL MENU - Pr'!H172="", "", 'AYIRA MINI MART FINAL MENU - Pr'!H172)</f>
        <v/>
      </c>
      <c r="I172" s="56" t="str">
        <f>IF('AYIRA MINI MART FINAL MENU - Pr'!I172="", "", 'AYIRA MINI MART FINAL MENU - Pr'!I172)</f>
        <v/>
      </c>
      <c r="J172" s="56" t="str">
        <f>IFERROR(__xludf.DUMMYFUNCTION("IF('AYIRA MINI MART FINAL MENU - Pr'!J172="""", """", GOOGLETRANSLATE('AYIRA MINI MART FINAL MENU - Pr'!J172, ""en"", ""ar""))"),"يعرض")</f>
        <v>يعرض</v>
      </c>
      <c r="K172" s="56" t="str">
        <f>IF('AYIRA MINI MART FINAL MENU - Pr'!K172="", "", 'AYIRA MINI MART FINAL MENU - Pr'!K172)</f>
        <v/>
      </c>
      <c r="L172" s="56" t="str">
        <f>IF('AYIRA MINI MART FINAL MENU - Pr'!L172="", "", 'AYIRA MINI MART FINAL MENU - Pr'!L172)</f>
        <v/>
      </c>
      <c r="M172" s="56" t="str">
        <f>IF('AYIRA MINI MART FINAL MENU - Pr'!M172="", "", 'AYIRA MINI MART FINAL MENU - Pr'!M172)</f>
        <v/>
      </c>
      <c r="N172" s="56" t="str">
        <f>IF('AYIRA MINI MART FINAL MENU - Pr'!N172="", "", 'AYIRA MINI MART FINAL MENU - Pr'!N172)</f>
        <v/>
      </c>
      <c r="O172" s="57"/>
      <c r="P172" s="57"/>
      <c r="Q172" s="57"/>
      <c r="R172" s="57"/>
      <c r="S172" s="57"/>
      <c r="T172" s="57"/>
      <c r="U172" s="57"/>
      <c r="V172" s="57"/>
      <c r="W172" s="57"/>
      <c r="X172" s="57"/>
      <c r="Y172" s="57"/>
      <c r="Z172" s="57"/>
    </row>
    <row r="173">
      <c r="A173" s="56" t="str">
        <f>IFERROR(__xludf.DUMMYFUNCTION("IF('AYIRA MINI MART FINAL MENU - Pr'!A173="""", """", IF(LEN(TRIM(REGEXREPLACE(REGEXREPLACE('AYIRA MINI MART FINAL MENU - Pr'!A173, ""^[^\x{0600}-\x{06FF}]+"", """"), ""^[-–\s]+"", """")))&gt;0, TRIM(REGEXREPLACE(REGEXREPLACE('AYIRA MINI MART FINAL MENU - Pr"&amp;"'!A173, ""^[^\x{0600}-\x{06FF}]+"", """"), ""^[-–\s]+"", """")), GOOGLETRANSLATE('AYIRA MINI MART FINAL MENU - Pr'!A173, ""en"", ""ar"")))"),"مياه 250 مل")</f>
        <v>مياه 250 مل</v>
      </c>
      <c r="B173" s="56" t="str">
        <f>IFERROR(__xludf.DUMMYFUNCTION("IF('AYIRA MINI MART FINAL MENU - Pr'!B173="""", """", IF(LEN(TRIM(REGEXREPLACE(REGEXREPLACE('AYIRA MINI MART FINAL MENU - Pr'!B173, ""^[^\x{0600}-\x{06FF}]+"", """"), ""^[-–\s]+"", """")))&gt;0, TRIM(REGEXREPLACE(REGEXREPLACE('AYIRA MINI MART FINAL MENU - Pr"&amp;"'!B173, ""^[^\x{0600}-\x{06FF}]+"", """"), ""^[-–\s]+"", """")), GOOGLETRANSLATE('AYIRA MINI MART FINAL MENU - Pr'!B173, ""en"", ""ar"")))"),"المشروبات الغازية")</f>
        <v>المشروبات الغازية</v>
      </c>
      <c r="C173" s="58">
        <f>IF('AYIRA MINI MART FINAL MENU - Pr'!C173="", "", 'AYIRA MINI MART FINAL MENU - Pr'!C173)</f>
        <v>3.5</v>
      </c>
      <c r="D173" s="58" t="str">
        <f>IF('AYIRA MINI MART FINAL MENU - Pr'!D173="", "", 'AYIRA MINI MART FINAL MENU - Pr'!D173)</f>
        <v>اشرب Schweppes Tonic Water 250ml،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173" s="56" t="str">
        <f>IF('AYIRA MINI MART FINAL MENU - Pr'!E173="", "", 'AYIRA MINI MART FINAL MENU - Pr'!E173)</f>
        <v/>
      </c>
      <c r="F173" s="56" t="str">
        <f>IF('AYIRA MINI MART FINAL MENU - Pr'!F173="", "", 'AYIRA MINI MART FINAL MENU - Pr'!F173)</f>
        <v/>
      </c>
      <c r="G173" s="56" t="str">
        <f>IF('AYIRA MINI MART FINAL MENU - Pr'!G173="", "", 'AYIRA MINI MART FINAL MENU - Pr'!G173)</f>
        <v/>
      </c>
      <c r="H173" s="56" t="str">
        <f>IF('AYIRA MINI MART FINAL MENU - Pr'!H173="", "", 'AYIRA MINI MART FINAL MENU - Pr'!H173)</f>
        <v/>
      </c>
      <c r="I173" s="56" t="str">
        <f>IF('AYIRA MINI MART FINAL MENU - Pr'!I173="", "", 'AYIRA MINI MART FINAL MENU - Pr'!I173)</f>
        <v/>
      </c>
      <c r="J173" s="56" t="str">
        <f>IFERROR(__xludf.DUMMYFUNCTION("IF('AYIRA MINI MART FINAL MENU - Pr'!J173="""", """", GOOGLETRANSLATE('AYIRA MINI MART FINAL MENU - Pr'!J173, ""en"", ""ar""))"),"يعرض")</f>
        <v>يعرض</v>
      </c>
      <c r="K173" s="56" t="str">
        <f>IF('AYIRA MINI MART FINAL MENU - Pr'!K173="", "", 'AYIRA MINI MART FINAL MENU - Pr'!K173)</f>
        <v/>
      </c>
      <c r="L173" s="56" t="str">
        <f>IF('AYIRA MINI MART FINAL MENU - Pr'!L173="", "", 'AYIRA MINI MART FINAL MENU - Pr'!L173)</f>
        <v/>
      </c>
      <c r="M173" s="56" t="str">
        <f>IF('AYIRA MINI MART FINAL MENU - Pr'!M173="", "", 'AYIRA MINI MART FINAL MENU - Pr'!M173)</f>
        <v/>
      </c>
      <c r="N173" s="56" t="str">
        <f>IF('AYIRA MINI MART FINAL MENU - Pr'!N173="", "", 'AYIRA MINI MART FINAL MENU - Pr'!N173)</f>
        <v/>
      </c>
      <c r="O173" s="57"/>
      <c r="P173" s="57"/>
      <c r="Q173" s="57"/>
      <c r="R173" s="57"/>
      <c r="S173" s="57"/>
      <c r="T173" s="57"/>
      <c r="U173" s="57"/>
      <c r="V173" s="57"/>
      <c r="W173" s="57"/>
      <c r="X173" s="57"/>
      <c r="Y173" s="57"/>
      <c r="Z173" s="57"/>
    </row>
    <row r="174">
      <c r="A174" s="56" t="str">
        <f>IFERROR(__xludf.DUMMYFUNCTION("IF('AYIRA MINI MART FINAL MENU - Pr'!A174="""", """", IF(LEN(TRIM(REGEXREPLACE(REGEXREPLACE('AYIRA MINI MART FINAL MENU - Pr'!A174, ""^[^\x{0600}-\x{06FF}]+"", """"), ""^[-–\s]+"", """")))&gt;0, TRIM(REGEXREPLACE(REGEXREPLACE('AYIRA MINI MART FINAL MENU - Pr"&amp;"'!A174, ""^[^\x{0600}-\x{06FF}]+"", """"), ""^[-–\s]+"", """")), GOOGLETRANSLATE('AYIRA MINI MART FINAL MENU - Pr'!A174, ""en"", ""ar"")))"),"مل")</f>
        <v>مل</v>
      </c>
      <c r="B174" s="56" t="str">
        <f>IFERROR(__xludf.DUMMYFUNCTION("IF('AYIRA MINI MART FINAL MENU - Pr'!B174="""", """", IF(LEN(TRIM(REGEXREPLACE(REGEXREPLACE('AYIRA MINI MART FINAL MENU - Pr'!B174, ""^[^\x{0600}-\x{06FF}]+"", """"), ""^[-–\s]+"", """")))&gt;0, TRIM(REGEXREPLACE(REGEXREPLACE('AYIRA MINI MART FINAL MENU - Pr"&amp;"'!B174, ""^[^\x{0600}-\x{06FF}]+"", """"), ""^[-–\s]+"", """")), GOOGLETRANSLATE('AYIRA MINI MART FINAL MENU - Pr'!B174, ""en"", ""ar"")))"),"المشروبات الغازية")</f>
        <v>المشروبات الغازية</v>
      </c>
      <c r="C174" s="58">
        <f>IF('AYIRA MINI MART FINAL MENU - Pr'!C174="", "", 'AYIRA MINI MART FINAL MENU - Pr'!C174)</f>
        <v>3.5</v>
      </c>
      <c r="D174" s="58" t="str">
        <f>IF('AYIRA MINI MART FINAL MENU - Pr'!D174="", "", 'AYIRA MINI MART FINAL MENU - Pr'!D174)</f>
        <v>اكتشف Schweppes Ginger Ale 250ml،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74" s="56" t="str">
        <f>IF('AYIRA MINI MART FINAL MENU - Pr'!E174="", "", 'AYIRA MINI MART FINAL MENU - Pr'!E174)</f>
        <v/>
      </c>
      <c r="F174" s="56" t="str">
        <f>IF('AYIRA MINI MART FINAL MENU - Pr'!F174="", "", 'AYIRA MINI MART FINAL MENU - Pr'!F174)</f>
        <v/>
      </c>
      <c r="G174" s="56" t="str">
        <f>IF('AYIRA MINI MART FINAL MENU - Pr'!G174="", "", 'AYIRA MINI MART FINAL MENU - Pr'!G174)</f>
        <v/>
      </c>
      <c r="H174" s="56" t="str">
        <f>IF('AYIRA MINI MART FINAL MENU - Pr'!H174="", "", 'AYIRA MINI MART FINAL MENU - Pr'!H174)</f>
        <v/>
      </c>
      <c r="I174" s="56" t="str">
        <f>IF('AYIRA MINI MART FINAL MENU - Pr'!I174="", "", 'AYIRA MINI MART FINAL MENU - Pr'!I174)</f>
        <v/>
      </c>
      <c r="J174" s="56" t="str">
        <f>IFERROR(__xludf.DUMMYFUNCTION("IF('AYIRA MINI MART FINAL MENU - Pr'!J174="""", """", GOOGLETRANSLATE('AYIRA MINI MART FINAL MENU - Pr'!J174, ""en"", ""ar""))"),"يعرض")</f>
        <v>يعرض</v>
      </c>
      <c r="K174" s="56" t="str">
        <f>IF('AYIRA MINI MART FINAL MENU - Pr'!K174="", "", 'AYIRA MINI MART FINAL MENU - Pr'!K174)</f>
        <v/>
      </c>
      <c r="L174" s="56" t="str">
        <f>IF('AYIRA MINI MART FINAL MENU - Pr'!L174="", "", 'AYIRA MINI MART FINAL MENU - Pr'!L174)</f>
        <v/>
      </c>
      <c r="M174" s="56" t="str">
        <f>IF('AYIRA MINI MART FINAL MENU - Pr'!M174="", "", 'AYIRA MINI MART FINAL MENU - Pr'!M174)</f>
        <v/>
      </c>
      <c r="N174" s="56" t="str">
        <f>IF('AYIRA MINI MART FINAL MENU - Pr'!N174="", "", 'AYIRA MINI MART FINAL MENU - Pr'!N174)</f>
        <v/>
      </c>
      <c r="O174" s="57"/>
      <c r="P174" s="57"/>
      <c r="Q174" s="57"/>
      <c r="R174" s="57"/>
      <c r="S174" s="57"/>
      <c r="T174" s="57"/>
      <c r="U174" s="57"/>
      <c r="V174" s="57"/>
      <c r="W174" s="57"/>
      <c r="X174" s="57"/>
      <c r="Y174" s="57"/>
      <c r="Z174" s="57"/>
    </row>
    <row r="175">
      <c r="A175" s="56" t="str">
        <f>IFERROR(__xludf.DUMMYFUNCTION("IF('AYIRA MINI MART FINAL MENU - Pr'!A175="""", """", IF(LEN(TRIM(REGEXREPLACE(REGEXREPLACE('AYIRA MINI MART FINAL MENU - Pr'!A175, ""^[^\x{0600}-\x{06FF}]+"", """"), ""^[-–\s]+"", """")))&gt;0, TRIM(REGEXREPLACE(REGEXREPLACE('AYIRA MINI MART FINAL MENU - Pr"&amp;"'!A175, ""^[^\x{0600}-\x{06FF}]+"", """"), ""^[-–\s]+"", """")), GOOGLETRANSLATE('AYIRA MINI MART FINAL MENU - Pr'!A175, ""en"", ""ar"")))"),"كوكاكولا أصلي Taste 330 مل")</f>
        <v>كوكاكولا أصلي Taste 330 مل</v>
      </c>
      <c r="B175" s="56" t="str">
        <f>IFERROR(__xludf.DUMMYFUNCTION("IF('AYIRA MINI MART FINAL MENU - Pr'!B175="""", """", IF(LEN(TRIM(REGEXREPLACE(REGEXREPLACE('AYIRA MINI MART FINAL MENU - Pr'!B175, ""^[^\x{0600}-\x{06FF}]+"", """"), ""^[-–\s]+"", """")))&gt;0, TRIM(REGEXREPLACE(REGEXREPLACE('AYIRA MINI MART FINAL MENU - Pr"&amp;"'!B175, ""^[^\x{0600}-\x{06FF}]+"", """"), ""^[-–\s]+"", """")), GOOGLETRANSLATE('AYIRA MINI MART FINAL MENU - Pr'!B175, ""en"", ""ar"")))"),"المشروبات الغازية")</f>
        <v>المشروبات الغازية</v>
      </c>
      <c r="C175" s="58">
        <f>IF('AYIRA MINI MART FINAL MENU - Pr'!C175="", "", 'AYIRA MINI MART FINAL MENU - Pr'!C175)</f>
        <v>2.5</v>
      </c>
      <c r="D175" s="58" t="str">
        <f>IF('AYIRA MINI MART FINAL MENU - Pr'!D175="", "", 'AYIRA MINI MART FINAL MENU - Pr'!D175)</f>
        <v>استمتع بـ كوكاكولا،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75" s="56" t="str">
        <f>IF('AYIRA MINI MART FINAL MENU - Pr'!E175="", "", 'AYIRA MINI MART FINAL MENU - Pr'!E175)</f>
        <v/>
      </c>
      <c r="F175" s="56" t="str">
        <f>IF('AYIRA MINI MART FINAL MENU - Pr'!F175="", "", 'AYIRA MINI MART FINAL MENU - Pr'!F175)</f>
        <v/>
      </c>
      <c r="G175" s="56" t="str">
        <f>IF('AYIRA MINI MART FINAL MENU - Pr'!G175="", "", 'AYIRA MINI MART FINAL MENU - Pr'!G175)</f>
        <v/>
      </c>
      <c r="H175" s="56" t="str">
        <f>IF('AYIRA MINI MART FINAL MENU - Pr'!H175="", "", 'AYIRA MINI MART FINAL MENU - Pr'!H175)</f>
        <v/>
      </c>
      <c r="I175" s="56" t="str">
        <f>IF('AYIRA MINI MART FINAL MENU - Pr'!I175="", "", 'AYIRA MINI MART FINAL MENU - Pr'!I175)</f>
        <v/>
      </c>
      <c r="J175" s="56" t="str">
        <f>IFERROR(__xludf.DUMMYFUNCTION("IF('AYIRA MINI MART FINAL MENU - Pr'!J175="""", """", GOOGLETRANSLATE('AYIRA MINI MART FINAL MENU - Pr'!J175, ""en"", ""ar""))"),"يعرض")</f>
        <v>يعرض</v>
      </c>
      <c r="K175" s="56" t="str">
        <f>IF('AYIRA MINI MART FINAL MENU - Pr'!K175="", "", 'AYIRA MINI MART FINAL MENU - Pr'!K175)</f>
        <v/>
      </c>
      <c r="L175" s="56" t="str">
        <f>IF('AYIRA MINI MART FINAL MENU - Pr'!L175="", "", 'AYIRA MINI MART FINAL MENU - Pr'!L175)</f>
        <v/>
      </c>
      <c r="M175" s="56" t="str">
        <f>IF('AYIRA MINI MART FINAL MENU - Pr'!M175="", "", 'AYIRA MINI MART FINAL MENU - Pr'!M175)</f>
        <v/>
      </c>
      <c r="N175" s="56" t="str">
        <f>IF('AYIRA MINI MART FINAL MENU - Pr'!N175="", "", 'AYIRA MINI MART FINAL MENU - Pr'!N175)</f>
        <v/>
      </c>
      <c r="O175" s="57"/>
      <c r="P175" s="57"/>
      <c r="Q175" s="57"/>
      <c r="R175" s="57"/>
      <c r="S175" s="57"/>
      <c r="T175" s="57"/>
      <c r="U175" s="57"/>
      <c r="V175" s="57"/>
      <c r="W175" s="57"/>
      <c r="X175" s="57"/>
      <c r="Y175" s="57"/>
      <c r="Z175" s="57"/>
    </row>
    <row r="176">
      <c r="A176" s="56" t="str">
        <f>IFERROR(__xludf.DUMMYFUNCTION("IF('AYIRA MINI MART FINAL MENU - Pr'!A176="""", """", IF(LEN(TRIM(REGEXREPLACE(REGEXREPLACE('AYIRA MINI MART FINAL MENU - Pr'!A176, ""^[^\x{0600}-\x{06FF}]+"", """"), ""^[-–\s]+"", """")))&gt;0, TRIM(REGEXREPLACE(REGEXREPLACE('AYIRA MINI MART FINAL MENU - Pr"&amp;"'!A176, ""^[^\x{0600}-\x{06FF}]+"", """"), ""^[-–\s]+"", """")), GOOGLETRANSLATE('AYIRA MINI MART FINAL MENU - Pr'!A176, ""en"", ""ar"")))"),"كوكاكولا أصلي Taste 250 مل")</f>
        <v>كوكاكولا أصلي Taste 250 مل</v>
      </c>
      <c r="B176" s="56" t="str">
        <f>IFERROR(__xludf.DUMMYFUNCTION("IF('AYIRA MINI MART FINAL MENU - Pr'!B176="""", """", IF(LEN(TRIM(REGEXREPLACE(REGEXREPLACE('AYIRA MINI MART FINAL MENU - Pr'!B176, ""^[^\x{0600}-\x{06FF}]+"", """"), ""^[-–\s]+"", """")))&gt;0, TRIM(REGEXREPLACE(REGEXREPLACE('AYIRA MINI MART FINAL MENU - Pr"&amp;"'!B176, ""^[^\x{0600}-\x{06FF}]+"", """"), ""^[-–\s]+"", """")), GOOGLETRANSLATE('AYIRA MINI MART FINAL MENU - Pr'!B176, ""en"", ""ar"")))"),"المشروبات الغازية")</f>
        <v>المشروبات الغازية</v>
      </c>
      <c r="C176" s="58">
        <f>IF('AYIRA MINI MART FINAL MENU - Pr'!C176="", "", 'AYIRA MINI MART FINAL MENU - Pr'!C176)</f>
        <v>3</v>
      </c>
      <c r="D176" s="58" t="str">
        <f>IF('AYIRA MINI MART FINAL MENU - Pr'!D176="", "", 'AYIRA MINI MART FINAL MENU - Pr'!D176)</f>
        <v>استمتع بـ كوكاكولا،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76" s="56" t="str">
        <f>IF('AYIRA MINI MART FINAL MENU - Pr'!E176="", "", 'AYIRA MINI MART FINAL MENU - Pr'!E176)</f>
        <v/>
      </c>
      <c r="F176" s="56" t="str">
        <f>IF('AYIRA MINI MART FINAL MENU - Pr'!F176="", "", 'AYIRA MINI MART FINAL MENU - Pr'!F176)</f>
        <v/>
      </c>
      <c r="G176" s="56" t="str">
        <f>IF('AYIRA MINI MART FINAL MENU - Pr'!G176="", "", 'AYIRA MINI MART FINAL MENU - Pr'!G176)</f>
        <v/>
      </c>
      <c r="H176" s="56" t="str">
        <f>IF('AYIRA MINI MART FINAL MENU - Pr'!H176="", "", 'AYIRA MINI MART FINAL MENU - Pr'!H176)</f>
        <v/>
      </c>
      <c r="I176" s="56" t="str">
        <f>IF('AYIRA MINI MART FINAL MENU - Pr'!I176="", "", 'AYIRA MINI MART FINAL MENU - Pr'!I176)</f>
        <v/>
      </c>
      <c r="J176" s="56" t="str">
        <f>IFERROR(__xludf.DUMMYFUNCTION("IF('AYIRA MINI MART FINAL MENU - Pr'!J176="""", """", GOOGLETRANSLATE('AYIRA MINI MART FINAL MENU - Pr'!J176, ""en"", ""ar""))"),"يعرض")</f>
        <v>يعرض</v>
      </c>
      <c r="K176" s="56" t="str">
        <f>IF('AYIRA MINI MART FINAL MENU - Pr'!K176="", "", 'AYIRA MINI MART FINAL MENU - Pr'!K176)</f>
        <v/>
      </c>
      <c r="L176" s="56" t="str">
        <f>IF('AYIRA MINI MART FINAL MENU - Pr'!L176="", "", 'AYIRA MINI MART FINAL MENU - Pr'!L176)</f>
        <v/>
      </c>
      <c r="M176" s="56" t="str">
        <f>IF('AYIRA MINI MART FINAL MENU - Pr'!M176="", "", 'AYIRA MINI MART FINAL MENU - Pr'!M176)</f>
        <v/>
      </c>
      <c r="N176" s="56" t="str">
        <f>IF('AYIRA MINI MART FINAL MENU - Pr'!N176="", "", 'AYIRA MINI MART FINAL MENU - Pr'!N176)</f>
        <v/>
      </c>
      <c r="O176" s="57"/>
      <c r="P176" s="57"/>
      <c r="Q176" s="57"/>
      <c r="R176" s="57"/>
      <c r="S176" s="57"/>
      <c r="T176" s="57"/>
      <c r="U176" s="57"/>
      <c r="V176" s="57"/>
      <c r="W176" s="57"/>
      <c r="X176" s="57"/>
      <c r="Y176" s="57"/>
      <c r="Z176" s="57"/>
    </row>
    <row r="177">
      <c r="A177" s="56" t="str">
        <f>IFERROR(__xludf.DUMMYFUNCTION("IF('AYIRA MINI MART FINAL MENU - Pr'!A177="""", """", IF(LEN(TRIM(REGEXREPLACE(REGEXREPLACE('AYIRA MINI MART FINAL MENU - Pr'!A177, ""^[^\x{0600}-\x{06FF}]+"", """"), ""^[-–\s]+"", """")))&gt;0, TRIM(REGEXREPLACE(REGEXREPLACE('AYIRA MINI MART FINAL MENU - Pr"&amp;"'!A177, ""^[^\x{0600}-\x{06FF}]+"", """"), ""^[-–\s]+"", """")), GOOGLETRANSLATE('AYIRA MINI MART FINAL MENU - Pr'!A177, ""en"", ""ar"")))"),"كوكاكولا أصلي Taste 2.25 لتر")</f>
        <v>كوكاكولا أصلي Taste 2.25 لتر</v>
      </c>
      <c r="B177" s="56" t="str">
        <f>IFERROR(__xludf.DUMMYFUNCTION("IF('AYIRA MINI MART FINAL MENU - Pr'!B177="""", """", IF(LEN(TRIM(REGEXREPLACE(REGEXREPLACE('AYIRA MINI MART FINAL MENU - Pr'!B177, ""^[^\x{0600}-\x{06FF}]+"", """"), ""^[-–\s]+"", """")))&gt;0, TRIM(REGEXREPLACE(REGEXREPLACE('AYIRA MINI MART FINAL MENU - Pr"&amp;"'!B177, ""^[^\x{0600}-\x{06FF}]+"", """"), ""^[-–\s]+"", """")), GOOGLETRANSLATE('AYIRA MINI MART FINAL MENU - Pr'!B177, ""en"", ""ar"")))"),"المشروبات الغازية")</f>
        <v>المشروبات الغازية</v>
      </c>
      <c r="C177" s="58">
        <f>IF('AYIRA MINI MART FINAL MENU - Pr'!C177="", "", 'AYIRA MINI MART FINAL MENU - Pr'!C177)</f>
        <v>7.5</v>
      </c>
      <c r="D177" s="58" t="str">
        <f>IF('AYIRA MINI MART FINAL MENU - Pr'!D177="", "", 'AYIRA MINI MART FINAL MENU - Pr'!D177)</f>
        <v>استمتع بـ كوكاكولا،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77" s="56" t="str">
        <f>IF('AYIRA MINI MART FINAL MENU - Pr'!E177="", "", 'AYIRA MINI MART FINAL MENU - Pr'!E177)</f>
        <v/>
      </c>
      <c r="F177" s="56" t="str">
        <f>IF('AYIRA MINI MART FINAL MENU - Pr'!F177="", "", 'AYIRA MINI MART FINAL MENU - Pr'!F177)</f>
        <v/>
      </c>
      <c r="G177" s="56" t="str">
        <f>IF('AYIRA MINI MART FINAL MENU - Pr'!G177="", "", 'AYIRA MINI MART FINAL MENU - Pr'!G177)</f>
        <v/>
      </c>
      <c r="H177" s="56" t="str">
        <f>IF('AYIRA MINI MART FINAL MENU - Pr'!H177="", "", 'AYIRA MINI MART FINAL MENU - Pr'!H177)</f>
        <v/>
      </c>
      <c r="I177" s="56" t="str">
        <f>IF('AYIRA MINI MART FINAL MENU - Pr'!I177="", "", 'AYIRA MINI MART FINAL MENU - Pr'!I177)</f>
        <v/>
      </c>
      <c r="J177" s="56" t="str">
        <f>IFERROR(__xludf.DUMMYFUNCTION("IF('AYIRA MINI MART FINAL MENU - Pr'!J177="""", """", GOOGLETRANSLATE('AYIRA MINI MART FINAL MENU - Pr'!J177, ""en"", ""ar""))"),"يعرض")</f>
        <v>يعرض</v>
      </c>
      <c r="K177" s="56" t="str">
        <f>IF('AYIRA MINI MART FINAL MENU - Pr'!K177="", "", 'AYIRA MINI MART FINAL MENU - Pr'!K177)</f>
        <v/>
      </c>
      <c r="L177" s="56" t="str">
        <f>IF('AYIRA MINI MART FINAL MENU - Pr'!L177="", "", 'AYIRA MINI MART FINAL MENU - Pr'!L177)</f>
        <v/>
      </c>
      <c r="M177" s="56" t="str">
        <f>IF('AYIRA MINI MART FINAL MENU - Pr'!M177="", "", 'AYIRA MINI MART FINAL MENU - Pr'!M177)</f>
        <v/>
      </c>
      <c r="N177" s="56" t="str">
        <f>IF('AYIRA MINI MART FINAL MENU - Pr'!N177="", "", 'AYIRA MINI MART FINAL MENU - Pr'!N177)</f>
        <v/>
      </c>
      <c r="O177" s="57"/>
      <c r="P177" s="57"/>
      <c r="Q177" s="57"/>
      <c r="R177" s="57"/>
      <c r="S177" s="57"/>
      <c r="T177" s="57"/>
      <c r="U177" s="57"/>
      <c r="V177" s="57"/>
      <c r="W177" s="57"/>
      <c r="X177" s="57"/>
      <c r="Y177" s="57"/>
      <c r="Z177" s="57"/>
    </row>
    <row r="178">
      <c r="A178" s="56" t="str">
        <f>IFERROR(__xludf.DUMMYFUNCTION("IF('AYIRA MINI MART FINAL MENU - Pr'!A178="""", """", IF(LEN(TRIM(REGEXREPLACE(REGEXREPLACE('AYIRA MINI MART FINAL MENU - Pr'!A178, ""^[^\x{0600}-\x{06FF}]+"", """"), ""^[-–\s]+"", """")))&gt;0, TRIM(REGEXREPLACE(REGEXREPLACE('AYIRA MINI MART FINAL MENU - Pr"&amp;"'!A178, ""^[^\x{0600}-\x{06FF}]+"", """"), ""^[-–\s]+"", """")), GOOGLETRANSLATE('AYIRA MINI MART FINAL MENU - Pr'!A178, ""en"", ""ar"")))"),"سبرايت ليمون Lime Flavoured 2.25 لتر")</f>
        <v>سبرايت ليمون Lime Flavoured 2.25 لتر</v>
      </c>
      <c r="B178" s="56" t="str">
        <f>IFERROR(__xludf.DUMMYFUNCTION("IF('AYIRA MINI MART FINAL MENU - Pr'!B178="""", """", IF(LEN(TRIM(REGEXREPLACE(REGEXREPLACE('AYIRA MINI MART FINAL MENU - Pr'!B178, ""^[^\x{0600}-\x{06FF}]+"", """"), ""^[-–\s]+"", """")))&gt;0, TRIM(REGEXREPLACE(REGEXREPLACE('AYIRA MINI MART FINAL MENU - Pr"&amp;"'!B178, ""^[^\x{0600}-\x{06FF}]+"", """"), ""^[-–\s]+"", """")), GOOGLETRANSLATE('AYIRA MINI MART FINAL MENU - Pr'!B178, ""en"", ""ar"")))"),"المشروبات الغازية")</f>
        <v>المشروبات الغازية</v>
      </c>
      <c r="C178" s="58">
        <f>IF('AYIRA MINI MART FINAL MENU - Pr'!C178="", "", 'AYIRA MINI MART FINAL MENU - Pr'!C178)</f>
        <v>7.5</v>
      </c>
      <c r="D178" s="58" t="str">
        <f>IF('AYIRA MINI MART FINAL MENU - Pr'!D178="", "", 'AYIRA MINI MART FINAL MENU - Pr'!D178)</f>
        <v>استمتع بـ سبرايت،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78" s="56" t="str">
        <f>IF('AYIRA MINI MART FINAL MENU - Pr'!E178="", "", 'AYIRA MINI MART FINAL MENU - Pr'!E178)</f>
        <v/>
      </c>
      <c r="F178" s="56" t="str">
        <f>IF('AYIRA MINI MART FINAL MENU - Pr'!F178="", "", 'AYIRA MINI MART FINAL MENU - Pr'!F178)</f>
        <v/>
      </c>
      <c r="G178" s="56" t="str">
        <f>IF('AYIRA MINI MART FINAL MENU - Pr'!G178="", "", 'AYIRA MINI MART FINAL MENU - Pr'!G178)</f>
        <v/>
      </c>
      <c r="H178" s="56" t="str">
        <f>IF('AYIRA MINI MART FINAL MENU - Pr'!H178="", "", 'AYIRA MINI MART FINAL MENU - Pr'!H178)</f>
        <v/>
      </c>
      <c r="I178" s="56" t="str">
        <f>IF('AYIRA MINI MART FINAL MENU - Pr'!I178="", "", 'AYIRA MINI MART FINAL MENU - Pr'!I178)</f>
        <v/>
      </c>
      <c r="J178" s="56" t="str">
        <f>IFERROR(__xludf.DUMMYFUNCTION("IF('AYIRA MINI MART FINAL MENU - Pr'!J178="""", """", GOOGLETRANSLATE('AYIRA MINI MART FINAL MENU - Pr'!J178, ""en"", ""ar""))"),"يعرض")</f>
        <v>يعرض</v>
      </c>
      <c r="K178" s="56" t="str">
        <f>IF('AYIRA MINI MART FINAL MENU - Pr'!K178="", "", 'AYIRA MINI MART FINAL MENU - Pr'!K178)</f>
        <v/>
      </c>
      <c r="L178" s="56" t="str">
        <f>IF('AYIRA MINI MART FINAL MENU - Pr'!L178="", "", 'AYIRA MINI MART FINAL MENU - Pr'!L178)</f>
        <v/>
      </c>
      <c r="M178" s="56" t="str">
        <f>IF('AYIRA MINI MART FINAL MENU - Pr'!M178="", "", 'AYIRA MINI MART FINAL MENU - Pr'!M178)</f>
        <v/>
      </c>
      <c r="N178" s="56" t="str">
        <f>IF('AYIRA MINI MART FINAL MENU - Pr'!N178="", "", 'AYIRA MINI MART FINAL MENU - Pr'!N178)</f>
        <v/>
      </c>
      <c r="O178" s="57"/>
      <c r="P178" s="57"/>
      <c r="Q178" s="57"/>
      <c r="R178" s="57"/>
      <c r="S178" s="57"/>
      <c r="T178" s="57"/>
      <c r="U178" s="57"/>
      <c r="V178" s="57"/>
      <c r="W178" s="57"/>
      <c r="X178" s="57"/>
      <c r="Y178" s="57"/>
      <c r="Z178" s="57"/>
    </row>
    <row r="179">
      <c r="A179" s="56" t="str">
        <f>IFERROR(__xludf.DUMMYFUNCTION("IF('AYIRA MINI MART FINAL MENU - Pr'!A179="""", """", IF(LEN(TRIM(REGEXREPLACE(REGEXREPLACE('AYIRA MINI MART FINAL MENU - Pr'!A179, ""^[^\x{0600}-\x{06FF}]+"", """"), ""^[-–\s]+"", """")))&gt;0, TRIM(REGEXREPLACE(REGEXREPLACE('AYIRA MINI MART FINAL MENU - Pr"&amp;"'!A179, ""^[^\x{0600}-\x{06FF}]+"", """"), ""^[-–\s]+"", """")), GOOGLETRANSLATE('AYIRA MINI MART FINAL MENU - Pr'!A179, ""en"", ""ar"")))"),"ليبتون خوخ Ice شاي 320 مل")</f>
        <v>ليبتون خوخ Ice شاي 320 مل</v>
      </c>
      <c r="B179" s="56" t="str">
        <f>IFERROR(__xludf.DUMMYFUNCTION("IF('AYIRA MINI MART FINAL MENU - Pr'!B179="""", """", IF(LEN(TRIM(REGEXREPLACE(REGEXREPLACE('AYIRA MINI MART FINAL MENU - Pr'!B179, ""^[^\x{0600}-\x{06FF}]+"", """"), ""^[-–\s]+"", """")))&gt;0, TRIM(REGEXREPLACE(REGEXREPLACE('AYIRA MINI MART FINAL MENU - Pr"&amp;"'!B179, ""^[^\x{0600}-\x{06FF}]+"", """"), ""^[-–\s]+"", """")), GOOGLETRANSLATE('AYIRA MINI MART FINAL MENU - Pr'!B179, ""en"", ""ar"")))"),"المشروبات الغازية")</f>
        <v>المشروبات الغازية</v>
      </c>
      <c r="C179" s="58">
        <f>IF('AYIRA MINI MART FINAL MENU - Pr'!C179="", "", 'AYIRA MINI MART FINAL MENU - Pr'!C179)</f>
        <v>2.5</v>
      </c>
      <c r="D179" s="58" t="str">
        <f>IF('AYIRA MINI MART FINAL MENU - Pr'!D179="", "", 'AYIRA MINI MART FINAL MENU - Pr'!D179)</f>
        <v>اكتشف ليبتون،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79" s="56" t="str">
        <f>IF('AYIRA MINI MART FINAL MENU - Pr'!E179="", "", 'AYIRA MINI MART FINAL MENU - Pr'!E179)</f>
        <v/>
      </c>
      <c r="F179" s="56" t="str">
        <f>IF('AYIRA MINI MART FINAL MENU - Pr'!F179="", "", 'AYIRA MINI MART FINAL MENU - Pr'!F179)</f>
        <v/>
      </c>
      <c r="G179" s="56" t="str">
        <f>IF('AYIRA MINI MART FINAL MENU - Pr'!G179="", "", 'AYIRA MINI MART FINAL MENU - Pr'!G179)</f>
        <v/>
      </c>
      <c r="H179" s="56" t="str">
        <f>IF('AYIRA MINI MART FINAL MENU - Pr'!H179="", "", 'AYIRA MINI MART FINAL MENU - Pr'!H179)</f>
        <v/>
      </c>
      <c r="I179" s="56" t="str">
        <f>IF('AYIRA MINI MART FINAL MENU - Pr'!I179="", "", 'AYIRA MINI MART FINAL MENU - Pr'!I179)</f>
        <v/>
      </c>
      <c r="J179" s="56" t="str">
        <f>IFERROR(__xludf.DUMMYFUNCTION("IF('AYIRA MINI MART FINAL MENU - Pr'!J179="""", """", GOOGLETRANSLATE('AYIRA MINI MART FINAL MENU - Pr'!J179, ""en"", ""ar""))"),"يعرض")</f>
        <v>يعرض</v>
      </c>
      <c r="K179" s="56" t="str">
        <f>IF('AYIRA MINI MART FINAL MENU - Pr'!K179="", "", 'AYIRA MINI MART FINAL MENU - Pr'!K179)</f>
        <v/>
      </c>
      <c r="L179" s="56" t="str">
        <f>IF('AYIRA MINI MART FINAL MENU - Pr'!L179="", "", 'AYIRA MINI MART FINAL MENU - Pr'!L179)</f>
        <v/>
      </c>
      <c r="M179" s="56" t="str">
        <f>IF('AYIRA MINI MART FINAL MENU - Pr'!M179="", "", 'AYIRA MINI MART FINAL MENU - Pr'!M179)</f>
        <v/>
      </c>
      <c r="N179" s="56" t="str">
        <f>IF('AYIRA MINI MART FINAL MENU - Pr'!N179="", "", 'AYIRA MINI MART FINAL MENU - Pr'!N179)</f>
        <v/>
      </c>
      <c r="O179" s="57"/>
      <c r="P179" s="57"/>
      <c r="Q179" s="57"/>
      <c r="R179" s="57"/>
      <c r="S179" s="57"/>
      <c r="T179" s="57"/>
      <c r="U179" s="57"/>
      <c r="V179" s="57"/>
      <c r="W179" s="57"/>
      <c r="X179" s="57"/>
      <c r="Y179" s="57"/>
      <c r="Z179" s="57"/>
    </row>
    <row r="180">
      <c r="A180" s="56" t="str">
        <f>IFERROR(__xludf.DUMMYFUNCTION("IF('AYIRA MINI MART FINAL MENU - Pr'!A180="""", """", IF(LEN(TRIM(REGEXREPLACE(REGEXREPLACE('AYIRA MINI MART FINAL MENU - Pr'!A180, ""^[^\x{0600}-\x{06FF}]+"", """"), ""^[-–\s]+"", """")))&gt;0, TRIM(REGEXREPLACE(REGEXREPLACE('AYIRA MINI MART FINAL MENU - Pr"&amp;"'!A180, ""^[^\x{0600}-\x{06FF}]+"", """"), ""^[-–\s]+"", """")), GOOGLETRANSLATE('AYIRA MINI MART FINAL MENU - Pr'!A180, ""en"", ""ar"")))"),"ليبتون زيرو سكر خوخ Ice شاي 320 مل")</f>
        <v>ليبتون زيرو سكر خوخ Ice شاي 320 مل</v>
      </c>
      <c r="B180" s="56" t="str">
        <f>IFERROR(__xludf.DUMMYFUNCTION("IF('AYIRA MINI MART FINAL MENU - Pr'!B180="""", """", IF(LEN(TRIM(REGEXREPLACE(REGEXREPLACE('AYIRA MINI MART FINAL MENU - Pr'!B180, ""^[^\x{0600}-\x{06FF}]+"", """"), ""^[-–\s]+"", """")))&gt;0, TRIM(REGEXREPLACE(REGEXREPLACE('AYIRA MINI MART FINAL MENU - Pr"&amp;"'!B180, ""^[^\x{0600}-\x{06FF}]+"", """"), ""^[-–\s]+"", """")), GOOGLETRANSLATE('AYIRA MINI MART FINAL MENU - Pr'!B180, ""en"", ""ar"")))"),"المشروبات الغازية")</f>
        <v>المشروبات الغازية</v>
      </c>
      <c r="C180" s="58">
        <f>IF('AYIRA MINI MART FINAL MENU - Pr'!C180="", "", 'AYIRA MINI MART FINAL MENU - Pr'!C180)</f>
        <v>2.5</v>
      </c>
      <c r="D180" s="58" t="str">
        <f>IF('AYIRA MINI MART FINAL MENU - Pr'!D180="", "", 'AYIRA MINI MART FINAL MENU - Pr'!D180)</f>
        <v>اكتشف ليبتون،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80" s="56" t="str">
        <f>IF('AYIRA MINI MART FINAL MENU - Pr'!E180="", "", 'AYIRA MINI MART FINAL MENU - Pr'!E180)</f>
        <v/>
      </c>
      <c r="F180" s="56" t="str">
        <f>IF('AYIRA MINI MART FINAL MENU - Pr'!F180="", "", 'AYIRA MINI MART FINAL MENU - Pr'!F180)</f>
        <v/>
      </c>
      <c r="G180" s="56" t="str">
        <f>IF('AYIRA MINI MART FINAL MENU - Pr'!G180="", "", 'AYIRA MINI MART FINAL MENU - Pr'!G180)</f>
        <v/>
      </c>
      <c r="H180" s="56" t="str">
        <f>IF('AYIRA MINI MART FINAL MENU - Pr'!H180="", "", 'AYIRA MINI MART FINAL MENU - Pr'!H180)</f>
        <v/>
      </c>
      <c r="I180" s="56" t="str">
        <f>IF('AYIRA MINI MART FINAL MENU - Pr'!I180="", "", 'AYIRA MINI MART FINAL MENU - Pr'!I180)</f>
        <v/>
      </c>
      <c r="J180" s="56" t="str">
        <f>IFERROR(__xludf.DUMMYFUNCTION("IF('AYIRA MINI MART FINAL MENU - Pr'!J180="""", """", GOOGLETRANSLATE('AYIRA MINI MART FINAL MENU - Pr'!J180, ""en"", ""ar""))"),"يعرض")</f>
        <v>يعرض</v>
      </c>
      <c r="K180" s="56" t="str">
        <f>IF('AYIRA MINI MART FINAL MENU - Pr'!K180="", "", 'AYIRA MINI MART FINAL MENU - Pr'!K180)</f>
        <v/>
      </c>
      <c r="L180" s="56" t="str">
        <f>IF('AYIRA MINI MART FINAL MENU - Pr'!L180="", "", 'AYIRA MINI MART FINAL MENU - Pr'!L180)</f>
        <v/>
      </c>
      <c r="M180" s="56" t="str">
        <f>IF('AYIRA MINI MART FINAL MENU - Pr'!M180="", "", 'AYIRA MINI MART FINAL MENU - Pr'!M180)</f>
        <v/>
      </c>
      <c r="N180" s="56" t="str">
        <f>IF('AYIRA MINI MART FINAL MENU - Pr'!N180="", "", 'AYIRA MINI MART FINAL MENU - Pr'!N180)</f>
        <v/>
      </c>
      <c r="O180" s="57"/>
      <c r="P180" s="57"/>
      <c r="Q180" s="57"/>
      <c r="R180" s="57"/>
      <c r="S180" s="57"/>
      <c r="T180" s="57"/>
      <c r="U180" s="57"/>
      <c r="V180" s="57"/>
      <c r="W180" s="57"/>
      <c r="X180" s="57"/>
      <c r="Y180" s="57"/>
      <c r="Z180" s="57"/>
    </row>
    <row r="181">
      <c r="A181" s="56" t="str">
        <f>IFERROR(__xludf.DUMMYFUNCTION("IF('AYIRA MINI MART FINAL MENU - Pr'!A181="""", """", IF(LEN(TRIM(REGEXREPLACE(REGEXREPLACE('AYIRA MINI MART FINAL MENU - Pr'!A181, ""^[^\x{0600}-\x{06FF}]+"", """"), ""^[-–\s]+"", """")))&gt;0, TRIM(REGEXREPLACE(REGEXREPLACE('AYIRA MINI MART FINAL MENU - Pr"&amp;"'!A181, ""^[^\x{0600}-\x{06FF}]+"", """"), ""^[-–\s]+"", """")), GOOGLETRANSLATE('AYIRA MINI MART FINAL MENU - Pr'!A181, ""en"", ""ar"")))"),"سفن أب Refreshing ليمون 150 مل")</f>
        <v>سفن أب Refreshing ليمون 150 مل</v>
      </c>
      <c r="B181" s="56" t="str">
        <f>IFERROR(__xludf.DUMMYFUNCTION("IF('AYIRA MINI MART FINAL MENU - Pr'!B181="""", """", IF(LEN(TRIM(REGEXREPLACE(REGEXREPLACE('AYIRA MINI MART FINAL MENU - Pr'!B181, ""^[^\x{0600}-\x{06FF}]+"", """"), ""^[-–\s]+"", """")))&gt;0, TRIM(REGEXREPLACE(REGEXREPLACE('AYIRA MINI MART FINAL MENU - Pr"&amp;"'!B181, ""^[^\x{0600}-\x{06FF}]+"", """"), ""^[-–\s]+"", """")), GOOGLETRANSLATE('AYIRA MINI MART FINAL MENU - Pr'!B181, ""en"", ""ar"")))"),"المشروبات الغازية")</f>
        <v>المشروبات الغازية</v>
      </c>
      <c r="C181" s="58">
        <f>IF('AYIRA MINI MART FINAL MENU - Pr'!C181="", "", 'AYIRA MINI MART FINAL MENU - Pr'!C181)</f>
        <v>2</v>
      </c>
      <c r="D181" s="58" t="str">
        <f>IF('AYIRA MINI MART FINAL MENU - Pr'!D181="", "", 'AYIRA MINI MART FINAL MENU - Pr'!D181)</f>
        <v>استمتع بـ سفن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81" s="56" t="str">
        <f>IF('AYIRA MINI MART FINAL MENU - Pr'!E181="", "", 'AYIRA MINI MART FINAL MENU - Pr'!E181)</f>
        <v/>
      </c>
      <c r="F181" s="56" t="str">
        <f>IF('AYIRA MINI MART FINAL MENU - Pr'!F181="", "", 'AYIRA MINI MART FINAL MENU - Pr'!F181)</f>
        <v/>
      </c>
      <c r="G181" s="56" t="str">
        <f>IF('AYIRA MINI MART FINAL MENU - Pr'!G181="", "", 'AYIRA MINI MART FINAL MENU - Pr'!G181)</f>
        <v/>
      </c>
      <c r="H181" s="56" t="str">
        <f>IF('AYIRA MINI MART FINAL MENU - Pr'!H181="", "", 'AYIRA MINI MART FINAL MENU - Pr'!H181)</f>
        <v/>
      </c>
      <c r="I181" s="56" t="str">
        <f>IF('AYIRA MINI MART FINAL MENU - Pr'!I181="", "", 'AYIRA MINI MART FINAL MENU - Pr'!I181)</f>
        <v/>
      </c>
      <c r="J181" s="56" t="str">
        <f>IFERROR(__xludf.DUMMYFUNCTION("IF('AYIRA MINI MART FINAL MENU - Pr'!J181="""", """", GOOGLETRANSLATE('AYIRA MINI MART FINAL MENU - Pr'!J181, ""en"", ""ar""))"),"يعرض")</f>
        <v>يعرض</v>
      </c>
      <c r="K181" s="56" t="str">
        <f>IF('AYIRA MINI MART FINAL MENU - Pr'!K181="", "", 'AYIRA MINI MART FINAL MENU - Pr'!K181)</f>
        <v/>
      </c>
      <c r="L181" s="56" t="str">
        <f>IF('AYIRA MINI MART FINAL MENU - Pr'!L181="", "", 'AYIRA MINI MART FINAL MENU - Pr'!L181)</f>
        <v/>
      </c>
      <c r="M181" s="56" t="str">
        <f>IF('AYIRA MINI MART FINAL MENU - Pr'!M181="", "", 'AYIRA MINI MART FINAL MENU - Pr'!M181)</f>
        <v/>
      </c>
      <c r="N181" s="56" t="str">
        <f>IF('AYIRA MINI MART FINAL MENU - Pr'!N181="", "", 'AYIRA MINI MART FINAL MENU - Pr'!N181)</f>
        <v/>
      </c>
      <c r="O181" s="57"/>
      <c r="P181" s="57"/>
      <c r="Q181" s="57"/>
      <c r="R181" s="57"/>
      <c r="S181" s="57"/>
      <c r="T181" s="57"/>
      <c r="U181" s="57"/>
      <c r="V181" s="57"/>
      <c r="W181" s="57"/>
      <c r="X181" s="57"/>
      <c r="Y181" s="57"/>
      <c r="Z181" s="57"/>
    </row>
    <row r="182">
      <c r="A182" s="56" t="str">
        <f>IFERROR(__xludf.DUMMYFUNCTION("IF('AYIRA MINI MART FINAL MENU - Pr'!A182="""", """", IF(LEN(TRIM(REGEXREPLACE(REGEXREPLACE('AYIRA MINI MART FINAL MENU - Pr'!A182, ""^[^\x{0600}-\x{06FF}]+"", """"), ""^[-–\s]+"", """")))&gt;0, TRIM(REGEXREPLACE(REGEXREPLACE('AYIRA MINI MART FINAL MENU - Pr"&amp;"'!A182, ""^[^\x{0600}-\x{06FF}]+"", """"), ""^[-–\s]+"", """")), GOOGLETRANSLATE('AYIRA MINI MART FINAL MENU - Pr'!A182, ""en"", ""ar"")))"),"بيبسي Great Taste Less سكر 150 مل")</f>
        <v>بيبسي Great Taste Less سكر 150 مل</v>
      </c>
      <c r="B182" s="56" t="str">
        <f>IFERROR(__xludf.DUMMYFUNCTION("IF('AYIRA MINI MART FINAL MENU - Pr'!B182="""", """", IF(LEN(TRIM(REGEXREPLACE(REGEXREPLACE('AYIRA MINI MART FINAL MENU - Pr'!B182, ""^[^\x{0600}-\x{06FF}]+"", """"), ""^[-–\s]+"", """")))&gt;0, TRIM(REGEXREPLACE(REGEXREPLACE('AYIRA MINI MART FINAL MENU - Pr"&amp;"'!B182, ""^[^\x{0600}-\x{06FF}]+"", """"), ""^[-–\s]+"", """")), GOOGLETRANSLATE('AYIRA MINI MART FINAL MENU - Pr'!B182, ""en"", ""ar"")))"),"المشروبات الغازية")</f>
        <v>المشروبات الغازية</v>
      </c>
      <c r="C182" s="58">
        <f>IF('AYIRA MINI MART FINAL MENU - Pr'!C182="", "", 'AYIRA MINI MART FINAL MENU - Pr'!C182)</f>
        <v>2</v>
      </c>
      <c r="D182" s="58" t="str">
        <f>IF('AYIRA MINI MART FINAL MENU - Pr'!D182="", "", 'AYIRA MINI MART FINAL MENU - Pr'!D182)</f>
        <v>استمتع بـ بيبسي،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82" s="56" t="str">
        <f>IF('AYIRA MINI MART FINAL MENU - Pr'!E182="", "", 'AYIRA MINI MART FINAL MENU - Pr'!E182)</f>
        <v/>
      </c>
      <c r="F182" s="56" t="str">
        <f>IF('AYIRA MINI MART FINAL MENU - Pr'!F182="", "", 'AYIRA MINI MART FINAL MENU - Pr'!F182)</f>
        <v/>
      </c>
      <c r="G182" s="56" t="str">
        <f>IF('AYIRA MINI MART FINAL MENU - Pr'!G182="", "", 'AYIRA MINI MART FINAL MENU - Pr'!G182)</f>
        <v/>
      </c>
      <c r="H182" s="56" t="str">
        <f>IF('AYIRA MINI MART FINAL MENU - Pr'!H182="", "", 'AYIRA MINI MART FINAL MENU - Pr'!H182)</f>
        <v/>
      </c>
      <c r="I182" s="56" t="str">
        <f>IF('AYIRA MINI MART FINAL MENU - Pr'!I182="", "", 'AYIRA MINI MART FINAL MENU - Pr'!I182)</f>
        <v/>
      </c>
      <c r="J182" s="56" t="str">
        <f>IFERROR(__xludf.DUMMYFUNCTION("IF('AYIRA MINI MART FINAL MENU - Pr'!J182="""", """", GOOGLETRANSLATE('AYIRA MINI MART FINAL MENU - Pr'!J182, ""en"", ""ar""))"),"يعرض")</f>
        <v>يعرض</v>
      </c>
      <c r="K182" s="56" t="str">
        <f>IF('AYIRA MINI MART FINAL MENU - Pr'!K182="", "", 'AYIRA MINI MART FINAL MENU - Pr'!K182)</f>
        <v/>
      </c>
      <c r="L182" s="56" t="str">
        <f>IF('AYIRA MINI MART FINAL MENU - Pr'!L182="", "", 'AYIRA MINI MART FINAL MENU - Pr'!L182)</f>
        <v/>
      </c>
      <c r="M182" s="56" t="str">
        <f>IF('AYIRA MINI MART FINAL MENU - Pr'!M182="", "", 'AYIRA MINI MART FINAL MENU - Pr'!M182)</f>
        <v/>
      </c>
      <c r="N182" s="56" t="str">
        <f>IF('AYIRA MINI MART FINAL MENU - Pr'!N182="", "", 'AYIRA MINI MART FINAL MENU - Pr'!N182)</f>
        <v/>
      </c>
      <c r="O182" s="57"/>
      <c r="P182" s="57"/>
      <c r="Q182" s="57"/>
      <c r="R182" s="57"/>
      <c r="S182" s="57"/>
      <c r="T182" s="57"/>
      <c r="U182" s="57"/>
      <c r="V182" s="57"/>
      <c r="W182" s="57"/>
      <c r="X182" s="57"/>
      <c r="Y182" s="57"/>
      <c r="Z182" s="57"/>
    </row>
    <row r="183">
      <c r="A183" s="56" t="str">
        <f>IFERROR(__xludf.DUMMYFUNCTION("IF('AYIRA MINI MART FINAL MENU - Pr'!A183="""", """", IF(LEN(TRIM(REGEXREPLACE(REGEXREPLACE('AYIRA MINI MART FINAL MENU - Pr'!A183, ""^[^\x{0600}-\x{06FF}]+"", """"), ""^[-–\s]+"", """")))&gt;0, TRIM(REGEXREPLACE(REGEXREPLACE('AYIRA MINI MART FINAL MENU - Pr"&amp;"'!A183, ""^[^\x{0600}-\x{06FF}]+"", """"), ""^[-–\s]+"", """")), GOOGLETRANSLATE('AYIRA MINI MART FINAL MENU - Pr'!A183, ""en"", ""ar"")))"),"ميرندا برتقال 150 مل")</f>
        <v>ميرندا برتقال 150 مل</v>
      </c>
      <c r="B183" s="56" t="str">
        <f>IFERROR(__xludf.DUMMYFUNCTION("IF('AYIRA MINI MART FINAL MENU - Pr'!B183="""", """", IF(LEN(TRIM(REGEXREPLACE(REGEXREPLACE('AYIRA MINI MART FINAL MENU - Pr'!B183, ""^[^\x{0600}-\x{06FF}]+"", """"), ""^[-–\s]+"", """")))&gt;0, TRIM(REGEXREPLACE(REGEXREPLACE('AYIRA MINI MART FINAL MENU - Pr"&amp;"'!B183, ""^[^\x{0600}-\x{06FF}]+"", """"), ""^[-–\s]+"", """")), GOOGLETRANSLATE('AYIRA MINI MART FINAL MENU - Pr'!B183, ""en"", ""ar"")))"),"المشروبات الغازية")</f>
        <v>المشروبات الغازية</v>
      </c>
      <c r="C183" s="58">
        <f>IF('AYIRA MINI MART FINAL MENU - Pr'!C183="", "", 'AYIRA MINI MART FINAL MENU - Pr'!C183)</f>
        <v>2</v>
      </c>
      <c r="D183" s="58" t="str">
        <f>IF('AYIRA MINI MART FINAL MENU - Pr'!D183="", "", 'AYIRA MINI MART FINAL MENU - Pr'!D183)</f>
        <v>استمتع بـ ميرندا،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83" s="56" t="str">
        <f>IF('AYIRA MINI MART FINAL MENU - Pr'!E183="", "", 'AYIRA MINI MART FINAL MENU - Pr'!E183)</f>
        <v/>
      </c>
      <c r="F183" s="56" t="str">
        <f>IF('AYIRA MINI MART FINAL MENU - Pr'!F183="", "", 'AYIRA MINI MART FINAL MENU - Pr'!F183)</f>
        <v/>
      </c>
      <c r="G183" s="56" t="str">
        <f>IF('AYIRA MINI MART FINAL MENU - Pr'!G183="", "", 'AYIRA MINI MART FINAL MENU - Pr'!G183)</f>
        <v/>
      </c>
      <c r="H183" s="56" t="str">
        <f>IF('AYIRA MINI MART FINAL MENU - Pr'!H183="", "", 'AYIRA MINI MART FINAL MENU - Pr'!H183)</f>
        <v/>
      </c>
      <c r="I183" s="56" t="str">
        <f>IF('AYIRA MINI MART FINAL MENU - Pr'!I183="", "", 'AYIRA MINI MART FINAL MENU - Pr'!I183)</f>
        <v/>
      </c>
      <c r="J183" s="56" t="str">
        <f>IFERROR(__xludf.DUMMYFUNCTION("IF('AYIRA MINI MART FINAL MENU - Pr'!J183="""", """", GOOGLETRANSLATE('AYIRA MINI MART FINAL MENU - Pr'!J183, ""en"", ""ar""))"),"يعرض")</f>
        <v>يعرض</v>
      </c>
      <c r="K183" s="56" t="str">
        <f>IF('AYIRA MINI MART FINAL MENU - Pr'!K183="", "", 'AYIRA MINI MART FINAL MENU - Pr'!K183)</f>
        <v/>
      </c>
      <c r="L183" s="56" t="str">
        <f>IF('AYIRA MINI MART FINAL MENU - Pr'!L183="", "", 'AYIRA MINI MART FINAL MENU - Pr'!L183)</f>
        <v/>
      </c>
      <c r="M183" s="56" t="str">
        <f>IF('AYIRA MINI MART FINAL MENU - Pr'!M183="", "", 'AYIRA MINI MART FINAL MENU - Pr'!M183)</f>
        <v/>
      </c>
      <c r="N183" s="56" t="str">
        <f>IF('AYIRA MINI MART FINAL MENU - Pr'!N183="", "", 'AYIRA MINI MART FINAL MENU - Pr'!N183)</f>
        <v/>
      </c>
      <c r="O183" s="57"/>
      <c r="P183" s="57"/>
      <c r="Q183" s="57"/>
      <c r="R183" s="57"/>
      <c r="S183" s="57"/>
      <c r="T183" s="57"/>
      <c r="U183" s="57"/>
      <c r="V183" s="57"/>
      <c r="W183" s="57"/>
      <c r="X183" s="57"/>
      <c r="Y183" s="57"/>
      <c r="Z183" s="57"/>
    </row>
    <row r="184">
      <c r="A184" s="56" t="str">
        <f>IFERROR(__xludf.DUMMYFUNCTION("IF('AYIRA MINI MART FINAL MENU - Pr'!A184="""", """", IF(LEN(TRIM(REGEXREPLACE(REGEXREPLACE('AYIRA MINI MART FINAL MENU - Pr'!A184, ""^[^\x{0600}-\x{06FF}]+"", """"), ""^[-–\s]+"", """")))&gt;0, TRIM(REGEXREPLACE(REGEXREPLACE('AYIRA MINI MART FINAL MENU - Pr"&amp;"'!A184, ""^[^\x{0600}-\x{06FF}]+"", """"), ""^[-–\s]+"", """")), GOOGLETRANSLATE('AYIRA MINI MART FINAL MENU - Pr'!A184, ""en"", ""ar"")))"),"ماونتن ديو 150 مل")</f>
        <v>ماونتن ديو 150 مل</v>
      </c>
      <c r="B184" s="56" t="str">
        <f>IFERROR(__xludf.DUMMYFUNCTION("IF('AYIRA MINI MART FINAL MENU - Pr'!B184="""", """", IF(LEN(TRIM(REGEXREPLACE(REGEXREPLACE('AYIRA MINI MART FINAL MENU - Pr'!B184, ""^[^\x{0600}-\x{06FF}]+"", """"), ""^[-–\s]+"", """")))&gt;0, TRIM(REGEXREPLACE(REGEXREPLACE('AYIRA MINI MART FINAL MENU - Pr"&amp;"'!B184, ""^[^\x{0600}-\x{06FF}]+"", """"), ""^[-–\s]+"", """")), GOOGLETRANSLATE('AYIRA MINI MART FINAL MENU - Pr'!B184, ""en"", ""ar"")))"),"المشروبات الغازية")</f>
        <v>المشروبات الغازية</v>
      </c>
      <c r="C184" s="58">
        <f>IF('AYIRA MINI MART FINAL MENU - Pr'!C184="", "", 'AYIRA MINI MART FINAL MENU - Pr'!C184)</f>
        <v>2</v>
      </c>
      <c r="D184" s="58" t="str">
        <f>IF('AYIRA MINI MART FINAL MENU - Pr'!D184="", "", 'AYIRA MINI MART FINAL MENU - Pr'!D184)</f>
        <v>استمتع بـ ماونتن ديو،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84" s="56" t="str">
        <f>IF('AYIRA MINI MART FINAL MENU - Pr'!E184="", "", 'AYIRA MINI MART FINAL MENU - Pr'!E184)</f>
        <v/>
      </c>
      <c r="F184" s="56" t="str">
        <f>IF('AYIRA MINI MART FINAL MENU - Pr'!F184="", "", 'AYIRA MINI MART FINAL MENU - Pr'!F184)</f>
        <v/>
      </c>
      <c r="G184" s="56" t="str">
        <f>IF('AYIRA MINI MART FINAL MENU - Pr'!G184="", "", 'AYIRA MINI MART FINAL MENU - Pr'!G184)</f>
        <v/>
      </c>
      <c r="H184" s="56" t="str">
        <f>IF('AYIRA MINI MART FINAL MENU - Pr'!H184="", "", 'AYIRA MINI MART FINAL MENU - Pr'!H184)</f>
        <v/>
      </c>
      <c r="I184" s="56" t="str">
        <f>IF('AYIRA MINI MART FINAL MENU - Pr'!I184="", "", 'AYIRA MINI MART FINAL MENU - Pr'!I184)</f>
        <v/>
      </c>
      <c r="J184" s="56" t="str">
        <f>IFERROR(__xludf.DUMMYFUNCTION("IF('AYIRA MINI MART FINAL MENU - Pr'!J184="""", """", GOOGLETRANSLATE('AYIRA MINI MART FINAL MENU - Pr'!J184, ""en"", ""ar""))"),"يعرض")</f>
        <v>يعرض</v>
      </c>
      <c r="K184" s="56" t="str">
        <f>IF('AYIRA MINI MART FINAL MENU - Pr'!K184="", "", 'AYIRA MINI MART FINAL MENU - Pr'!K184)</f>
        <v/>
      </c>
      <c r="L184" s="56" t="str">
        <f>IF('AYIRA MINI MART FINAL MENU - Pr'!L184="", "", 'AYIRA MINI MART FINAL MENU - Pr'!L184)</f>
        <v/>
      </c>
      <c r="M184" s="56" t="str">
        <f>IF('AYIRA MINI MART FINAL MENU - Pr'!M184="", "", 'AYIRA MINI MART FINAL MENU - Pr'!M184)</f>
        <v/>
      </c>
      <c r="N184" s="56" t="str">
        <f>IF('AYIRA MINI MART FINAL MENU - Pr'!N184="", "", 'AYIRA MINI MART FINAL MENU - Pr'!N184)</f>
        <v/>
      </c>
      <c r="O184" s="57"/>
      <c r="P184" s="57"/>
      <c r="Q184" s="57"/>
      <c r="R184" s="57"/>
      <c r="S184" s="57"/>
      <c r="T184" s="57"/>
      <c r="U184" s="57"/>
      <c r="V184" s="57"/>
      <c r="W184" s="57"/>
      <c r="X184" s="57"/>
      <c r="Y184" s="57"/>
      <c r="Z184" s="57"/>
    </row>
    <row r="185">
      <c r="A185" s="56" t="str">
        <f>IFERROR(__xludf.DUMMYFUNCTION("IF('AYIRA MINI MART FINAL MENU - Pr'!A185="""", """", IF(LEN(TRIM(REGEXREPLACE(REGEXREPLACE('AYIRA MINI MART FINAL MENU - Pr'!A185, ""^[^\x{0600}-\x{06FF}]+"", """"), ""^[-–\s]+"", """")))&gt;0, TRIM(REGEXREPLACE(REGEXREPLACE('AYIRA MINI MART FINAL MENU - Pr"&amp;"'!A185, ""^[^\x{0600}-\x{06FF}]+"", """"), ""^[-–\s]+"", """")), GOOGLETRANSLATE('AYIRA MINI MART FINAL MENU - Pr'!A185, ""en"", ""ar"")))"),"مياه 250 مل")</f>
        <v>مياه 250 مل</v>
      </c>
      <c r="B185" s="56" t="str">
        <f>IFERROR(__xludf.DUMMYFUNCTION("IF('AYIRA MINI MART FINAL MENU - Pr'!B185="""", """", IF(LEN(TRIM(REGEXREPLACE(REGEXREPLACE('AYIRA MINI MART FINAL MENU - Pr'!B185, ""^[^\x{0600}-\x{06FF}]+"", """"), ""^[-–\s]+"", """")))&gt;0, TRIM(REGEXREPLACE(REGEXREPLACE('AYIRA MINI MART FINAL MENU - Pr"&amp;"'!B185, ""^[^\x{0600}-\x{06FF}]+"", """"), ""^[-–\s]+"", """")), GOOGLETRANSLATE('AYIRA MINI MART FINAL MENU - Pr'!B185, ""en"", ""ar"")))"),"المشروبات الغازية")</f>
        <v>المشروبات الغازية</v>
      </c>
      <c r="C185" s="58">
        <f>IF('AYIRA MINI MART FINAL MENU - Pr'!C185="", "", 'AYIRA MINI MART FINAL MENU - Pr'!C185)</f>
        <v>2.5</v>
      </c>
      <c r="D185" s="58" t="str">
        <f>IF('AYIRA MINI MART FINAL MENU - Pr'!D185="", "", 'AYIRA MINI MART FINAL MENU - Pr'!D185)</f>
        <v>اشرب Spring Water 250ml،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185" s="56" t="str">
        <f>IF('AYIRA MINI MART FINAL MENU - Pr'!E185="", "", 'AYIRA MINI MART FINAL MENU - Pr'!E185)</f>
        <v/>
      </c>
      <c r="F185" s="56" t="str">
        <f>IF('AYIRA MINI MART FINAL MENU - Pr'!F185="", "", 'AYIRA MINI MART FINAL MENU - Pr'!F185)</f>
        <v/>
      </c>
      <c r="G185" s="56" t="str">
        <f>IF('AYIRA MINI MART FINAL MENU - Pr'!G185="", "", 'AYIRA MINI MART FINAL MENU - Pr'!G185)</f>
        <v/>
      </c>
      <c r="H185" s="56" t="str">
        <f>IF('AYIRA MINI MART FINAL MENU - Pr'!H185="", "", 'AYIRA MINI MART FINAL MENU - Pr'!H185)</f>
        <v/>
      </c>
      <c r="I185" s="56" t="str">
        <f>IF('AYIRA MINI MART FINAL MENU - Pr'!I185="", "", 'AYIRA MINI MART FINAL MENU - Pr'!I185)</f>
        <v/>
      </c>
      <c r="J185" s="56" t="str">
        <f>IFERROR(__xludf.DUMMYFUNCTION("IF('AYIRA MINI MART FINAL MENU - Pr'!J185="""", """", GOOGLETRANSLATE('AYIRA MINI MART FINAL MENU - Pr'!J185, ""en"", ""ar""))"),"يعرض")</f>
        <v>يعرض</v>
      </c>
      <c r="K185" s="56" t="str">
        <f>IF('AYIRA MINI MART FINAL MENU - Pr'!K185="", "", 'AYIRA MINI MART FINAL MENU - Pr'!K185)</f>
        <v/>
      </c>
      <c r="L185" s="56" t="str">
        <f>IF('AYIRA MINI MART FINAL MENU - Pr'!L185="", "", 'AYIRA MINI MART FINAL MENU - Pr'!L185)</f>
        <v/>
      </c>
      <c r="M185" s="56" t="str">
        <f>IF('AYIRA MINI MART FINAL MENU - Pr'!M185="", "", 'AYIRA MINI MART FINAL MENU - Pr'!M185)</f>
        <v/>
      </c>
      <c r="N185" s="56" t="str">
        <f>IF('AYIRA MINI MART FINAL MENU - Pr'!N185="", "", 'AYIRA MINI MART FINAL MENU - Pr'!N185)</f>
        <v/>
      </c>
      <c r="O185" s="57"/>
      <c r="P185" s="57"/>
      <c r="Q185" s="57"/>
      <c r="R185" s="57"/>
      <c r="S185" s="57"/>
      <c r="T185" s="57"/>
      <c r="U185" s="57"/>
      <c r="V185" s="57"/>
      <c r="W185" s="57"/>
      <c r="X185" s="57"/>
      <c r="Y185" s="57"/>
      <c r="Z185" s="57"/>
    </row>
    <row r="186">
      <c r="A186" s="56" t="str">
        <f>IFERROR(__xludf.DUMMYFUNCTION("IF('AYIRA MINI MART FINAL MENU - Pr'!A186="""", """", IF(LEN(TRIM(REGEXREPLACE(REGEXREPLACE('AYIRA MINI MART FINAL MENU - Pr'!A186, ""^[^\x{0600}-\x{06FF}]+"", """"), ""^[-–\s]+"", """")))&gt;0, TRIM(REGEXREPLACE(REGEXREPLACE('AYIRA MINI MART FINAL MENU - Pr"&amp;"'!A186, ""^[^\x{0600}-\x{06FF}]+"", """"), ""^[-–\s]+"", """")), GOOGLETRANSLATE('AYIRA MINI MART FINAL MENU - Pr'!A186, ""en"", ""ar"")))"),"مل")</f>
        <v>مل</v>
      </c>
      <c r="B186" s="56" t="str">
        <f>IFERROR(__xludf.DUMMYFUNCTION("IF('AYIRA MINI MART FINAL MENU - Pr'!B186="""", """", IF(LEN(TRIM(REGEXREPLACE(REGEXREPLACE('AYIRA MINI MART FINAL MENU - Pr'!B186, ""^[^\x{0600}-\x{06FF}]+"", """"), ""^[-–\s]+"", """")))&gt;0, TRIM(REGEXREPLACE(REGEXREPLACE('AYIRA MINI MART FINAL MENU - Pr"&amp;"'!B186, ""^[^\x{0600}-\x{06FF}]+"", """"), ""^[-–\s]+"", """")), GOOGLETRANSLATE('AYIRA MINI MART FINAL MENU - Pr'!B186, ""en"", ""ar"")))"),"المشروبات الغازية")</f>
        <v>المشروبات الغازية</v>
      </c>
      <c r="C186" s="58">
        <f>IF('AYIRA MINI MART FINAL MENU - Pr'!C186="", "", 'AYIRA MINI MART FINAL MENU - Pr'!C186)</f>
        <v>2</v>
      </c>
      <c r="D186" s="58" t="str">
        <f>IF('AYIRA MINI MART FINAL MENU - Pr'!D186="", "", 'AYIRA MINI MART FINAL MENU - Pr'!D186)</f>
        <v>استمتع بـ ندى،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86" s="56" t="str">
        <f>IF('AYIRA MINI MART FINAL MENU - Pr'!E186="", "", 'AYIRA MINI MART FINAL MENU - Pr'!E186)</f>
        <v/>
      </c>
      <c r="F186" s="56" t="str">
        <f>IF('AYIRA MINI MART FINAL MENU - Pr'!F186="", "", 'AYIRA MINI MART FINAL MENU - Pr'!F186)</f>
        <v/>
      </c>
      <c r="G186" s="56" t="str">
        <f>IF('AYIRA MINI MART FINAL MENU - Pr'!G186="", "", 'AYIRA MINI MART FINAL MENU - Pr'!G186)</f>
        <v/>
      </c>
      <c r="H186" s="56" t="str">
        <f>IF('AYIRA MINI MART FINAL MENU - Pr'!H186="", "", 'AYIRA MINI MART FINAL MENU - Pr'!H186)</f>
        <v/>
      </c>
      <c r="I186" s="56" t="str">
        <f>IF('AYIRA MINI MART FINAL MENU - Pr'!I186="", "", 'AYIRA MINI MART FINAL MENU - Pr'!I186)</f>
        <v/>
      </c>
      <c r="J186" s="56" t="str">
        <f>IFERROR(__xludf.DUMMYFUNCTION("IF('AYIRA MINI MART FINAL MENU - Pr'!J186="""", """", GOOGLETRANSLATE('AYIRA MINI MART FINAL MENU - Pr'!J186, ""en"", ""ar""))"),"يعرض")</f>
        <v>يعرض</v>
      </c>
      <c r="K186" s="56" t="str">
        <f>IF('AYIRA MINI MART FINAL MENU - Pr'!K186="", "", 'AYIRA MINI MART FINAL MENU - Pr'!K186)</f>
        <v/>
      </c>
      <c r="L186" s="56" t="str">
        <f>IF('AYIRA MINI MART FINAL MENU - Pr'!L186="", "", 'AYIRA MINI MART FINAL MENU - Pr'!L186)</f>
        <v/>
      </c>
      <c r="M186" s="56" t="str">
        <f>IF('AYIRA MINI MART FINAL MENU - Pr'!M186="", "", 'AYIRA MINI MART FINAL MENU - Pr'!M186)</f>
        <v/>
      </c>
      <c r="N186" s="56" t="str">
        <f>IF('AYIRA MINI MART FINAL MENU - Pr'!N186="", "", 'AYIRA MINI MART FINAL MENU - Pr'!N186)</f>
        <v/>
      </c>
      <c r="O186" s="57"/>
      <c r="P186" s="57"/>
      <c r="Q186" s="57"/>
      <c r="R186" s="57"/>
      <c r="S186" s="57"/>
      <c r="T186" s="57"/>
      <c r="U186" s="57"/>
      <c r="V186" s="57"/>
      <c r="W186" s="57"/>
      <c r="X186" s="57"/>
      <c r="Y186" s="57"/>
      <c r="Z186" s="57"/>
    </row>
    <row r="187">
      <c r="A187" s="56" t="str">
        <f>IFERROR(__xludf.DUMMYFUNCTION("IF('AYIRA MINI MART FINAL MENU - Pr'!A187="""", """", IF(LEN(TRIM(REGEXREPLACE(REGEXREPLACE('AYIRA MINI MART FINAL MENU - Pr'!A187, ""^[^\x{0600}-\x{06FF}]+"", """"), ""^[-–\s]+"", """")))&gt;0, TRIM(REGEXREPLACE(REGEXREPLACE('AYIRA MINI MART FINAL MENU - Pr"&amp;"'!A187, ""^[^\x{0600}-\x{06FF}]+"", """"), ""^[-–\s]+"", """")), GOOGLETRANSLATE('AYIRA MINI MART FINAL MENU - Pr'!A187, ""en"", ""ar"")))"),"ميرندا برتقال 1.25 لتر")</f>
        <v>ميرندا برتقال 1.25 لتر</v>
      </c>
      <c r="B187" s="56" t="str">
        <f>IFERROR(__xludf.DUMMYFUNCTION("IF('AYIRA MINI MART FINAL MENU - Pr'!B187="""", """", IF(LEN(TRIM(REGEXREPLACE(REGEXREPLACE('AYIRA MINI MART FINAL MENU - Pr'!B187, ""^[^\x{0600}-\x{06FF}]+"", """"), ""^[-–\s]+"", """")))&gt;0, TRIM(REGEXREPLACE(REGEXREPLACE('AYIRA MINI MART FINAL MENU - Pr"&amp;"'!B187, ""^[^\x{0600}-\x{06FF}]+"", """"), ""^[-–\s]+"", """")), GOOGLETRANSLATE('AYIRA MINI MART FINAL MENU - Pr'!B187, ""en"", ""ar"")))"),"المشروبات الغازية")</f>
        <v>المشروبات الغازية</v>
      </c>
      <c r="C187" s="58">
        <f>IF('AYIRA MINI MART FINAL MENU - Pr'!C187="", "", 'AYIRA MINI MART FINAL MENU - Pr'!C187)</f>
        <v>4.5</v>
      </c>
      <c r="D187" s="58" t="str">
        <f>IF('AYIRA MINI MART FINAL MENU - Pr'!D187="", "", 'AYIRA MINI MART FINAL MENU - Pr'!D187)</f>
        <v>استمتع بـ ميرندا،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87" s="56" t="str">
        <f>IF('AYIRA MINI MART FINAL MENU - Pr'!E187="", "", 'AYIRA MINI MART FINAL MENU - Pr'!E187)</f>
        <v/>
      </c>
      <c r="F187" s="56" t="str">
        <f>IF('AYIRA MINI MART FINAL MENU - Pr'!F187="", "", 'AYIRA MINI MART FINAL MENU - Pr'!F187)</f>
        <v/>
      </c>
      <c r="G187" s="56" t="str">
        <f>IF('AYIRA MINI MART FINAL MENU - Pr'!G187="", "", 'AYIRA MINI MART FINAL MENU - Pr'!G187)</f>
        <v/>
      </c>
      <c r="H187" s="56" t="str">
        <f>IF('AYIRA MINI MART FINAL MENU - Pr'!H187="", "", 'AYIRA MINI MART FINAL MENU - Pr'!H187)</f>
        <v/>
      </c>
      <c r="I187" s="56" t="str">
        <f>IF('AYIRA MINI MART FINAL MENU - Pr'!I187="", "", 'AYIRA MINI MART FINAL MENU - Pr'!I187)</f>
        <v/>
      </c>
      <c r="J187" s="56" t="str">
        <f>IFERROR(__xludf.DUMMYFUNCTION("IF('AYIRA MINI MART FINAL MENU - Pr'!J187="""", """", GOOGLETRANSLATE('AYIRA MINI MART FINAL MENU - Pr'!J187, ""en"", ""ar""))"),"يعرض")</f>
        <v>يعرض</v>
      </c>
      <c r="K187" s="56" t="str">
        <f>IF('AYIRA MINI MART FINAL MENU - Pr'!K187="", "", 'AYIRA MINI MART FINAL MENU - Pr'!K187)</f>
        <v/>
      </c>
      <c r="L187" s="56" t="str">
        <f>IF('AYIRA MINI MART FINAL MENU - Pr'!L187="", "", 'AYIRA MINI MART FINAL MENU - Pr'!L187)</f>
        <v/>
      </c>
      <c r="M187" s="56" t="str">
        <f>IF('AYIRA MINI MART FINAL MENU - Pr'!M187="", "", 'AYIRA MINI MART FINAL MENU - Pr'!M187)</f>
        <v/>
      </c>
      <c r="N187" s="56" t="str">
        <f>IF('AYIRA MINI MART FINAL MENU - Pr'!N187="", "", 'AYIRA MINI MART FINAL MENU - Pr'!N187)</f>
        <v/>
      </c>
      <c r="O187" s="57"/>
      <c r="P187" s="57"/>
      <c r="Q187" s="57"/>
      <c r="R187" s="57"/>
      <c r="S187" s="57"/>
      <c r="T187" s="57"/>
      <c r="U187" s="57"/>
      <c r="V187" s="57"/>
      <c r="W187" s="57"/>
      <c r="X187" s="57"/>
      <c r="Y187" s="57"/>
      <c r="Z187" s="57"/>
    </row>
    <row r="188">
      <c r="A188" s="56" t="str">
        <f>IFERROR(__xludf.DUMMYFUNCTION("IF('AYIRA MINI MART FINAL MENU - Pr'!A188="""", """", IF(LEN(TRIM(REGEXREPLACE(REGEXREPLACE('AYIRA MINI MART FINAL MENU - Pr'!A188, ""^[^\x{0600}-\x{06FF}]+"", """"), ""^[-–\s]+"", """")))&gt;0, TRIM(REGEXREPLACE(REGEXREPLACE('AYIRA MINI MART FINAL MENU - Pr"&amp;"'!A188, ""^[^\x{0600}-\x{06FF}]+"", """"), ""^[-–\s]+"", """")), GOOGLETRANSLATE('AYIRA MINI MART FINAL MENU - Pr'!A188, ""en"", ""ar"")))"),"سفن أب ليمون &amp; Lime Taste 1.25 لتر")</f>
        <v>سفن أب ليمون &amp; Lime Taste 1.25 لتر</v>
      </c>
      <c r="B188" s="56" t="str">
        <f>IFERROR(__xludf.DUMMYFUNCTION("IF('AYIRA MINI MART FINAL MENU - Pr'!B188="""", """", IF(LEN(TRIM(REGEXREPLACE(REGEXREPLACE('AYIRA MINI MART FINAL MENU - Pr'!B188, ""^[^\x{0600}-\x{06FF}]+"", """"), ""^[-–\s]+"", """")))&gt;0, TRIM(REGEXREPLACE(REGEXREPLACE('AYIRA MINI MART FINAL MENU - Pr"&amp;"'!B188, ""^[^\x{0600}-\x{06FF}]+"", """"), ""^[-–\s]+"", """")), GOOGLETRANSLATE('AYIRA MINI MART FINAL MENU - Pr'!B188, ""en"", ""ar"")))"),"المشروبات الغازية")</f>
        <v>المشروبات الغازية</v>
      </c>
      <c r="C188" s="58">
        <f>IF('AYIRA MINI MART FINAL MENU - Pr'!C188="", "", 'AYIRA MINI MART FINAL MENU - Pr'!C188)</f>
        <v>4.5</v>
      </c>
      <c r="D188" s="58" t="str">
        <f>IF('AYIRA MINI MART FINAL MENU - Pr'!D188="", "", 'AYIRA MINI MART FINAL MENU - Pr'!D188)</f>
        <v>استمتع بـ سفن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88" s="56" t="str">
        <f>IF('AYIRA MINI MART FINAL MENU - Pr'!E188="", "", 'AYIRA MINI MART FINAL MENU - Pr'!E188)</f>
        <v/>
      </c>
      <c r="F188" s="56" t="str">
        <f>IF('AYIRA MINI MART FINAL MENU - Pr'!F188="", "", 'AYIRA MINI MART FINAL MENU - Pr'!F188)</f>
        <v/>
      </c>
      <c r="G188" s="56" t="str">
        <f>IF('AYIRA MINI MART FINAL MENU - Pr'!G188="", "", 'AYIRA MINI MART FINAL MENU - Pr'!G188)</f>
        <v/>
      </c>
      <c r="H188" s="56" t="str">
        <f>IF('AYIRA MINI MART FINAL MENU - Pr'!H188="", "", 'AYIRA MINI MART FINAL MENU - Pr'!H188)</f>
        <v/>
      </c>
      <c r="I188" s="56" t="str">
        <f>IF('AYIRA MINI MART FINAL MENU - Pr'!I188="", "", 'AYIRA MINI MART FINAL MENU - Pr'!I188)</f>
        <v/>
      </c>
      <c r="J188" s="56" t="str">
        <f>IFERROR(__xludf.DUMMYFUNCTION("IF('AYIRA MINI MART FINAL MENU - Pr'!J188="""", """", GOOGLETRANSLATE('AYIRA MINI MART FINAL MENU - Pr'!J188, ""en"", ""ar""))"),"يعرض")</f>
        <v>يعرض</v>
      </c>
      <c r="K188" s="56" t="str">
        <f>IF('AYIRA MINI MART FINAL MENU - Pr'!K188="", "", 'AYIRA MINI MART FINAL MENU - Pr'!K188)</f>
        <v/>
      </c>
      <c r="L188" s="56" t="str">
        <f>IF('AYIRA MINI MART FINAL MENU - Pr'!L188="", "", 'AYIRA MINI MART FINAL MENU - Pr'!L188)</f>
        <v/>
      </c>
      <c r="M188" s="56" t="str">
        <f>IF('AYIRA MINI MART FINAL MENU - Pr'!M188="", "", 'AYIRA MINI MART FINAL MENU - Pr'!M188)</f>
        <v/>
      </c>
      <c r="N188" s="56" t="str">
        <f>IF('AYIRA MINI MART FINAL MENU - Pr'!N188="", "", 'AYIRA MINI MART FINAL MENU - Pr'!N188)</f>
        <v/>
      </c>
      <c r="O188" s="57"/>
      <c r="P188" s="57"/>
      <c r="Q188" s="57"/>
      <c r="R188" s="57"/>
      <c r="S188" s="57"/>
      <c r="T188" s="57"/>
      <c r="U188" s="57"/>
      <c r="V188" s="57"/>
      <c r="W188" s="57"/>
      <c r="X188" s="57"/>
      <c r="Y188" s="57"/>
      <c r="Z188" s="57"/>
    </row>
    <row r="189">
      <c r="A189" s="56" t="str">
        <f>IFERROR(__xludf.DUMMYFUNCTION("IF('AYIRA MINI MART FINAL MENU - Pr'!A189="""", """", IF(LEN(TRIM(REGEXREPLACE(REGEXREPLACE('AYIRA MINI MART FINAL MENU - Pr'!A189, ""^[^\x{0600}-\x{06FF}]+"", """"), ""^[-–\s]+"", """")))&gt;0, TRIM(REGEXREPLACE(REGEXREPLACE('AYIRA MINI MART FINAL MENU - Pr"&amp;"'!A189, ""^[^\x{0600}-\x{06FF}]+"", """"), ""^[-–\s]+"", """")), GOOGLETRANSLATE('AYIRA MINI MART FINAL MENU - Pr'!A189, ""en"", ""ar"")))"),"كوكاكولا زيرو Calories 1.25 لتر")</f>
        <v>كوكاكولا زيرو Calories 1.25 لتر</v>
      </c>
      <c r="B189" s="56" t="str">
        <f>IFERROR(__xludf.DUMMYFUNCTION("IF('AYIRA MINI MART FINAL MENU - Pr'!B189="""", """", IF(LEN(TRIM(REGEXREPLACE(REGEXREPLACE('AYIRA MINI MART FINAL MENU - Pr'!B189, ""^[^\x{0600}-\x{06FF}]+"", """"), ""^[-–\s]+"", """")))&gt;0, TRIM(REGEXREPLACE(REGEXREPLACE('AYIRA MINI MART FINAL MENU - Pr"&amp;"'!B189, ""^[^\x{0600}-\x{06FF}]+"", """"), ""^[-–\s]+"", """")), GOOGLETRANSLATE('AYIRA MINI MART FINAL MENU - Pr'!B189, ""en"", ""ar"")))"),"المشروبات الغازية")</f>
        <v>المشروبات الغازية</v>
      </c>
      <c r="C189" s="58">
        <f>IF('AYIRA MINI MART FINAL MENU - Pr'!C189="", "", 'AYIRA MINI MART FINAL MENU - Pr'!C189)</f>
        <v>4.5</v>
      </c>
      <c r="D189" s="58" t="str">
        <f>IF('AYIRA MINI MART FINAL MENU - Pr'!D189="", "", 'AYIRA MINI MART FINAL MENU - Pr'!D189)</f>
        <v>استمتع بـ كوكاكولا،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89" s="56" t="str">
        <f>IF('AYIRA MINI MART FINAL MENU - Pr'!E189="", "", 'AYIRA MINI MART FINAL MENU - Pr'!E189)</f>
        <v/>
      </c>
      <c r="F189" s="56" t="str">
        <f>IF('AYIRA MINI MART FINAL MENU - Pr'!F189="", "", 'AYIRA MINI MART FINAL MENU - Pr'!F189)</f>
        <v/>
      </c>
      <c r="G189" s="56" t="str">
        <f>IF('AYIRA MINI MART FINAL MENU - Pr'!G189="", "", 'AYIRA MINI MART FINAL MENU - Pr'!G189)</f>
        <v/>
      </c>
      <c r="H189" s="56" t="str">
        <f>IF('AYIRA MINI MART FINAL MENU - Pr'!H189="", "", 'AYIRA MINI MART FINAL MENU - Pr'!H189)</f>
        <v/>
      </c>
      <c r="I189" s="56" t="str">
        <f>IF('AYIRA MINI MART FINAL MENU - Pr'!I189="", "", 'AYIRA MINI MART FINAL MENU - Pr'!I189)</f>
        <v/>
      </c>
      <c r="J189" s="56" t="str">
        <f>IFERROR(__xludf.DUMMYFUNCTION("IF('AYIRA MINI MART FINAL MENU - Pr'!J189="""", """", GOOGLETRANSLATE('AYIRA MINI MART FINAL MENU - Pr'!J189, ""en"", ""ar""))"),"يعرض")</f>
        <v>يعرض</v>
      </c>
      <c r="K189" s="56" t="str">
        <f>IF('AYIRA MINI MART FINAL MENU - Pr'!K189="", "", 'AYIRA MINI MART FINAL MENU - Pr'!K189)</f>
        <v/>
      </c>
      <c r="L189" s="56" t="str">
        <f>IF('AYIRA MINI MART FINAL MENU - Pr'!L189="", "", 'AYIRA MINI MART FINAL MENU - Pr'!L189)</f>
        <v/>
      </c>
      <c r="M189" s="56" t="str">
        <f>IF('AYIRA MINI MART FINAL MENU - Pr'!M189="", "", 'AYIRA MINI MART FINAL MENU - Pr'!M189)</f>
        <v/>
      </c>
      <c r="N189" s="56" t="str">
        <f>IF('AYIRA MINI MART FINAL MENU - Pr'!N189="", "", 'AYIRA MINI MART FINAL MENU - Pr'!N189)</f>
        <v/>
      </c>
      <c r="O189" s="57"/>
      <c r="P189" s="57"/>
      <c r="Q189" s="57"/>
      <c r="R189" s="57"/>
      <c r="S189" s="57"/>
      <c r="T189" s="57"/>
      <c r="U189" s="57"/>
      <c r="V189" s="57"/>
      <c r="W189" s="57"/>
      <c r="X189" s="57"/>
      <c r="Y189" s="57"/>
      <c r="Z189" s="57"/>
    </row>
    <row r="190">
      <c r="A190" s="56" t="str">
        <f>IFERROR(__xludf.DUMMYFUNCTION("IF('AYIRA MINI MART FINAL MENU - Pr'!A190="""", """", IF(LEN(TRIM(REGEXREPLACE(REGEXREPLACE('AYIRA MINI MART FINAL MENU - Pr'!A190, ""^[^\x{0600}-\x{06FF}]+"", """"), ""^[-–\s]+"", """")))&gt;0, TRIM(REGEXREPLACE(REGEXREPLACE('AYIRA MINI MART FINAL MENU - Pr"&amp;"'!A190, ""^[^\x{0600}-\x{06FF}]+"", """"), ""^[-–\s]+"", """")), GOOGLETRANSLATE('AYIRA MINI MART FINAL MENU - Pr'!A190, ""en"", ""ar"")))"),"بيبسي 2.25 لتر")</f>
        <v>بيبسي 2.25 لتر</v>
      </c>
      <c r="B190" s="56" t="str">
        <f>IFERROR(__xludf.DUMMYFUNCTION("IF('AYIRA MINI MART FINAL MENU - Pr'!B190="""", """", IF(LEN(TRIM(REGEXREPLACE(REGEXREPLACE('AYIRA MINI MART FINAL MENU - Pr'!B190, ""^[^\x{0600}-\x{06FF}]+"", """"), ""^[-–\s]+"", """")))&gt;0, TRIM(REGEXREPLACE(REGEXREPLACE('AYIRA MINI MART FINAL MENU - Pr"&amp;"'!B190, ""^[^\x{0600}-\x{06FF}]+"", """"), ""^[-–\s]+"", """")), GOOGLETRANSLATE('AYIRA MINI MART FINAL MENU - Pr'!B190, ""en"", ""ar"")))"),"المشروبات الغازية")</f>
        <v>المشروبات الغازية</v>
      </c>
      <c r="C190" s="58">
        <f>IF('AYIRA MINI MART FINAL MENU - Pr'!C190="", "", 'AYIRA MINI MART FINAL MENU - Pr'!C190)</f>
        <v>7.5</v>
      </c>
      <c r="D190" s="58" t="str">
        <f>IF('AYIRA MINI MART FINAL MENU - Pr'!D190="", "", 'AYIRA MINI MART FINAL MENU - Pr'!D190)</f>
        <v>استمتع بـ بيبسي،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90" s="56" t="str">
        <f>IF('AYIRA MINI MART FINAL MENU - Pr'!E190="", "", 'AYIRA MINI MART FINAL MENU - Pr'!E190)</f>
        <v/>
      </c>
      <c r="F190" s="56" t="str">
        <f>IF('AYIRA MINI MART FINAL MENU - Pr'!F190="", "", 'AYIRA MINI MART FINAL MENU - Pr'!F190)</f>
        <v/>
      </c>
      <c r="G190" s="56" t="str">
        <f>IF('AYIRA MINI MART FINAL MENU - Pr'!G190="", "", 'AYIRA MINI MART FINAL MENU - Pr'!G190)</f>
        <v/>
      </c>
      <c r="H190" s="56" t="str">
        <f>IF('AYIRA MINI MART FINAL MENU - Pr'!H190="", "", 'AYIRA MINI MART FINAL MENU - Pr'!H190)</f>
        <v/>
      </c>
      <c r="I190" s="56" t="str">
        <f>IF('AYIRA MINI MART FINAL MENU - Pr'!I190="", "", 'AYIRA MINI MART FINAL MENU - Pr'!I190)</f>
        <v/>
      </c>
      <c r="J190" s="56" t="str">
        <f>IFERROR(__xludf.DUMMYFUNCTION("IF('AYIRA MINI MART FINAL MENU - Pr'!J190="""", """", GOOGLETRANSLATE('AYIRA MINI MART FINAL MENU - Pr'!J190, ""en"", ""ar""))"),"يعرض")</f>
        <v>يعرض</v>
      </c>
      <c r="K190" s="56" t="str">
        <f>IF('AYIRA MINI MART FINAL MENU - Pr'!K190="", "", 'AYIRA MINI MART FINAL MENU - Pr'!K190)</f>
        <v/>
      </c>
      <c r="L190" s="56" t="str">
        <f>IF('AYIRA MINI MART FINAL MENU - Pr'!L190="", "", 'AYIRA MINI MART FINAL MENU - Pr'!L190)</f>
        <v/>
      </c>
      <c r="M190" s="56" t="str">
        <f>IF('AYIRA MINI MART FINAL MENU - Pr'!M190="", "", 'AYIRA MINI MART FINAL MENU - Pr'!M190)</f>
        <v/>
      </c>
      <c r="N190" s="56" t="str">
        <f>IF('AYIRA MINI MART FINAL MENU - Pr'!N190="", "", 'AYIRA MINI MART FINAL MENU - Pr'!N190)</f>
        <v/>
      </c>
      <c r="O190" s="57"/>
      <c r="P190" s="57"/>
      <c r="Q190" s="57"/>
      <c r="R190" s="57"/>
      <c r="S190" s="57"/>
      <c r="T190" s="57"/>
      <c r="U190" s="57"/>
      <c r="V190" s="57"/>
      <c r="W190" s="57"/>
      <c r="X190" s="57"/>
      <c r="Y190" s="57"/>
      <c r="Z190" s="57"/>
    </row>
    <row r="191">
      <c r="A191" s="56" t="str">
        <f>IFERROR(__xludf.DUMMYFUNCTION("IF('AYIRA MINI MART FINAL MENU - Pr'!A191="""", """", IF(LEN(TRIM(REGEXREPLACE(REGEXREPLACE('AYIRA MINI MART FINAL MENU - Pr'!A191, ""^[^\x{0600}-\x{06FF}]+"", """"), ""^[-–\s]+"", """")))&gt;0, TRIM(REGEXREPLACE(REGEXREPLACE('AYIRA MINI MART FINAL MENU - Pr"&amp;"'!A191, ""^[^\x{0600}-\x{06FF}]+"", """"), ""^[-–\s]+"", """")), GOOGLETRANSLATE('AYIRA MINI MART FINAL MENU - Pr'!A191, ""en"", ""ar"")))"),"سفن أب ليمون &amp; Lime Bubbly 2.25 لتر")</f>
        <v>سفن أب ليمون &amp; Lime Bubbly 2.25 لتر</v>
      </c>
      <c r="B191" s="56" t="str">
        <f>IFERROR(__xludf.DUMMYFUNCTION("IF('AYIRA MINI MART FINAL MENU - Pr'!B191="""", """", IF(LEN(TRIM(REGEXREPLACE(REGEXREPLACE('AYIRA MINI MART FINAL MENU - Pr'!B191, ""^[^\x{0600}-\x{06FF}]+"", """"), ""^[-–\s]+"", """")))&gt;0, TRIM(REGEXREPLACE(REGEXREPLACE('AYIRA MINI MART FINAL MENU - Pr"&amp;"'!B191, ""^[^\x{0600}-\x{06FF}]+"", """"), ""^[-–\s]+"", """")), GOOGLETRANSLATE('AYIRA MINI MART FINAL MENU - Pr'!B191, ""en"", ""ar"")))"),"المشروبات الغازية")</f>
        <v>المشروبات الغازية</v>
      </c>
      <c r="C191" s="58">
        <f>IF('AYIRA MINI MART FINAL MENU - Pr'!C191="", "", 'AYIRA MINI MART FINAL MENU - Pr'!C191)</f>
        <v>7.5</v>
      </c>
      <c r="D191" s="58" t="str">
        <f>IF('AYIRA MINI MART FINAL MENU - Pr'!D191="", "", 'AYIRA MINI MART FINAL MENU - Pr'!D191)</f>
        <v>استمتع بـ سفن أب،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91" s="56" t="str">
        <f>IF('AYIRA MINI MART FINAL MENU - Pr'!E191="", "", 'AYIRA MINI MART FINAL MENU - Pr'!E191)</f>
        <v/>
      </c>
      <c r="F191" s="56" t="str">
        <f>IF('AYIRA MINI MART FINAL MENU - Pr'!F191="", "", 'AYIRA MINI MART FINAL MENU - Pr'!F191)</f>
        <v/>
      </c>
      <c r="G191" s="56" t="str">
        <f>IF('AYIRA MINI MART FINAL MENU - Pr'!G191="", "", 'AYIRA MINI MART FINAL MENU - Pr'!G191)</f>
        <v/>
      </c>
      <c r="H191" s="56" t="str">
        <f>IF('AYIRA MINI MART FINAL MENU - Pr'!H191="", "", 'AYIRA MINI MART FINAL MENU - Pr'!H191)</f>
        <v/>
      </c>
      <c r="I191" s="56" t="str">
        <f>IF('AYIRA MINI MART FINAL MENU - Pr'!I191="", "", 'AYIRA MINI MART FINAL MENU - Pr'!I191)</f>
        <v/>
      </c>
      <c r="J191" s="56" t="str">
        <f>IFERROR(__xludf.DUMMYFUNCTION("IF('AYIRA MINI MART FINAL MENU - Pr'!J191="""", """", GOOGLETRANSLATE('AYIRA MINI MART FINAL MENU - Pr'!J191, ""en"", ""ar""))"),"يعرض")</f>
        <v>يعرض</v>
      </c>
      <c r="K191" s="56" t="str">
        <f>IF('AYIRA MINI MART FINAL MENU - Pr'!K191="", "", 'AYIRA MINI MART FINAL MENU - Pr'!K191)</f>
        <v/>
      </c>
      <c r="L191" s="56" t="str">
        <f>IF('AYIRA MINI MART FINAL MENU - Pr'!L191="", "", 'AYIRA MINI MART FINAL MENU - Pr'!L191)</f>
        <v/>
      </c>
      <c r="M191" s="56" t="str">
        <f>IF('AYIRA MINI MART FINAL MENU - Pr'!M191="", "", 'AYIRA MINI MART FINAL MENU - Pr'!M191)</f>
        <v/>
      </c>
      <c r="N191" s="56" t="str">
        <f>IF('AYIRA MINI MART FINAL MENU - Pr'!N191="", "", 'AYIRA MINI MART FINAL MENU - Pr'!N191)</f>
        <v/>
      </c>
      <c r="O191" s="57"/>
      <c r="P191" s="57"/>
      <c r="Q191" s="57"/>
      <c r="R191" s="57"/>
      <c r="S191" s="57"/>
      <c r="T191" s="57"/>
      <c r="U191" s="57"/>
      <c r="V191" s="57"/>
      <c r="W191" s="57"/>
      <c r="X191" s="57"/>
      <c r="Y191" s="57"/>
      <c r="Z191" s="57"/>
    </row>
    <row r="192">
      <c r="A192" s="56" t="str">
        <f>IFERROR(__xludf.DUMMYFUNCTION("IF('AYIRA MINI MART FINAL MENU - Pr'!A192="""", """", IF(LEN(TRIM(REGEXREPLACE(REGEXREPLACE('AYIRA MINI MART FINAL MENU - Pr'!A192, ""^[^\x{0600}-\x{06FF}]+"", """"), ""^[-–\s]+"", """")))&gt;0, TRIM(REGEXREPLACE(REGEXREPLACE('AYIRA MINI MART FINAL MENU - Pr"&amp;"'!A192, ""^[^\x{0600}-\x{06FF}]+"", """"), ""^[-–\s]+"", """")), GOOGLETRANSLATE('AYIRA MINI MART FINAL MENU - Pr'!A192, ""en"", ""ar"")))"),"ميرندا برتقال 2.25 لتر")</f>
        <v>ميرندا برتقال 2.25 لتر</v>
      </c>
      <c r="B192" s="56" t="str">
        <f>IFERROR(__xludf.DUMMYFUNCTION("IF('AYIRA MINI MART FINAL MENU - Pr'!B192="""", """", IF(LEN(TRIM(REGEXREPLACE(REGEXREPLACE('AYIRA MINI MART FINAL MENU - Pr'!B192, ""^[^\x{0600}-\x{06FF}]+"", """"), ""^[-–\s]+"", """")))&gt;0, TRIM(REGEXREPLACE(REGEXREPLACE('AYIRA MINI MART FINAL MENU - Pr"&amp;"'!B192, ""^[^\x{0600}-\x{06FF}]+"", """"), ""^[-–\s]+"", """")), GOOGLETRANSLATE('AYIRA MINI MART FINAL MENU - Pr'!B192, ""en"", ""ar"")))"),"المشروبات الغازية")</f>
        <v>المشروبات الغازية</v>
      </c>
      <c r="C192" s="58">
        <f>IF('AYIRA MINI MART FINAL MENU - Pr'!C192="", "", 'AYIRA MINI MART FINAL MENU - Pr'!C192)</f>
        <v>7.5</v>
      </c>
      <c r="D192" s="58" t="str">
        <f>IF('AYIRA MINI MART FINAL MENU - Pr'!D192="", "", 'AYIRA MINI MART FINAL MENU - Pr'!D192)</f>
        <v>استمتع بـ ميرندا،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92" s="56" t="str">
        <f>IF('AYIRA MINI MART FINAL MENU - Pr'!E192="", "", 'AYIRA MINI MART FINAL MENU - Pr'!E192)</f>
        <v/>
      </c>
      <c r="F192" s="56" t="str">
        <f>IF('AYIRA MINI MART FINAL MENU - Pr'!F192="", "", 'AYIRA MINI MART FINAL MENU - Pr'!F192)</f>
        <v/>
      </c>
      <c r="G192" s="56" t="str">
        <f>IF('AYIRA MINI MART FINAL MENU - Pr'!G192="", "", 'AYIRA MINI MART FINAL MENU - Pr'!G192)</f>
        <v/>
      </c>
      <c r="H192" s="56" t="str">
        <f>IF('AYIRA MINI MART FINAL MENU - Pr'!H192="", "", 'AYIRA MINI MART FINAL MENU - Pr'!H192)</f>
        <v/>
      </c>
      <c r="I192" s="56" t="str">
        <f>IF('AYIRA MINI MART FINAL MENU - Pr'!I192="", "", 'AYIRA MINI MART FINAL MENU - Pr'!I192)</f>
        <v/>
      </c>
      <c r="J192" s="56" t="str">
        <f>IFERROR(__xludf.DUMMYFUNCTION("IF('AYIRA MINI MART FINAL MENU - Pr'!J192="""", """", GOOGLETRANSLATE('AYIRA MINI MART FINAL MENU - Pr'!J192, ""en"", ""ar""))"),"يعرض")</f>
        <v>يعرض</v>
      </c>
      <c r="K192" s="56" t="str">
        <f>IF('AYIRA MINI MART FINAL MENU - Pr'!K192="", "", 'AYIRA MINI MART FINAL MENU - Pr'!K192)</f>
        <v/>
      </c>
      <c r="L192" s="56" t="str">
        <f>IF('AYIRA MINI MART FINAL MENU - Pr'!L192="", "", 'AYIRA MINI MART FINAL MENU - Pr'!L192)</f>
        <v/>
      </c>
      <c r="M192" s="56" t="str">
        <f>IF('AYIRA MINI MART FINAL MENU - Pr'!M192="", "", 'AYIRA MINI MART FINAL MENU - Pr'!M192)</f>
        <v/>
      </c>
      <c r="N192" s="56" t="str">
        <f>IF('AYIRA MINI MART FINAL MENU - Pr'!N192="", "", 'AYIRA MINI MART FINAL MENU - Pr'!N192)</f>
        <v/>
      </c>
      <c r="O192" s="57"/>
      <c r="P192" s="57"/>
      <c r="Q192" s="57"/>
      <c r="R192" s="57"/>
      <c r="S192" s="57"/>
      <c r="T192" s="57"/>
      <c r="U192" s="57"/>
      <c r="V192" s="57"/>
      <c r="W192" s="57"/>
      <c r="X192" s="57"/>
      <c r="Y192" s="57"/>
      <c r="Z192" s="57"/>
    </row>
    <row r="193">
      <c r="A193" s="56" t="str">
        <f>IFERROR(__xludf.DUMMYFUNCTION("IF('AYIRA MINI MART FINAL MENU - Pr'!A193="""", """", IF(LEN(TRIM(REGEXREPLACE(REGEXREPLACE('AYIRA MINI MART FINAL MENU - Pr'!A193, ""^[^\x{0600}-\x{06FF}]+"", """"), ""^[-–\s]+"", """")))&gt;0, TRIM(REGEXREPLACE(REGEXREPLACE('AYIRA MINI MART FINAL MENU - Pr"&amp;"'!A193, ""^[^\x{0600}-\x{06FF}]+"", """"), ""^[-–\s]+"", """")), GOOGLETRANSLATE('AYIRA MINI MART FINAL MENU - Pr'!A193, ""en"", ""ar"")))"),"ماونتن ديو 2.25 لتر")</f>
        <v>ماونتن ديو 2.25 لتر</v>
      </c>
      <c r="B193" s="56" t="str">
        <f>IFERROR(__xludf.DUMMYFUNCTION("IF('AYIRA MINI MART FINAL MENU - Pr'!B193="""", """", IF(LEN(TRIM(REGEXREPLACE(REGEXREPLACE('AYIRA MINI MART FINAL MENU - Pr'!B193, ""^[^\x{0600}-\x{06FF}]+"", """"), ""^[-–\s]+"", """")))&gt;0, TRIM(REGEXREPLACE(REGEXREPLACE('AYIRA MINI MART FINAL MENU - Pr"&amp;"'!B193, ""^[^\x{0600}-\x{06FF}]+"", """"), ""^[-–\s]+"", """")), GOOGLETRANSLATE('AYIRA MINI MART FINAL MENU - Pr'!B193, ""en"", ""ar"")))"),"المشروبات الغازية")</f>
        <v>المشروبات الغازية</v>
      </c>
      <c r="C193" s="58">
        <f>IF('AYIRA MINI MART FINAL MENU - Pr'!C193="", "", 'AYIRA MINI MART FINAL MENU - Pr'!C193)</f>
        <v>7.5</v>
      </c>
      <c r="D193" s="58" t="str">
        <f>IF('AYIRA MINI MART FINAL MENU - Pr'!D193="", "", 'AYIRA MINI MART FINAL MENU - Pr'!D193)</f>
        <v>استمتع بـ ماونتن ديو،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93" s="56" t="str">
        <f>IF('AYIRA MINI MART FINAL MENU - Pr'!E193="", "", 'AYIRA MINI MART FINAL MENU - Pr'!E193)</f>
        <v/>
      </c>
      <c r="F193" s="56" t="str">
        <f>IF('AYIRA MINI MART FINAL MENU - Pr'!F193="", "", 'AYIRA MINI MART FINAL MENU - Pr'!F193)</f>
        <v/>
      </c>
      <c r="G193" s="56" t="str">
        <f>IF('AYIRA MINI MART FINAL MENU - Pr'!G193="", "", 'AYIRA MINI MART FINAL MENU - Pr'!G193)</f>
        <v/>
      </c>
      <c r="H193" s="56" t="str">
        <f>IF('AYIRA MINI MART FINAL MENU - Pr'!H193="", "", 'AYIRA MINI MART FINAL MENU - Pr'!H193)</f>
        <v/>
      </c>
      <c r="I193" s="56" t="str">
        <f>IF('AYIRA MINI MART FINAL MENU - Pr'!I193="", "", 'AYIRA MINI MART FINAL MENU - Pr'!I193)</f>
        <v/>
      </c>
      <c r="J193" s="56" t="str">
        <f>IFERROR(__xludf.DUMMYFUNCTION("IF('AYIRA MINI MART FINAL MENU - Pr'!J193="""", """", GOOGLETRANSLATE('AYIRA MINI MART FINAL MENU - Pr'!J193, ""en"", ""ar""))"),"يعرض")</f>
        <v>يعرض</v>
      </c>
      <c r="K193" s="56" t="str">
        <f>IF('AYIRA MINI MART FINAL MENU - Pr'!K193="", "", 'AYIRA MINI MART FINAL MENU - Pr'!K193)</f>
        <v/>
      </c>
      <c r="L193" s="56" t="str">
        <f>IF('AYIRA MINI MART FINAL MENU - Pr'!L193="", "", 'AYIRA MINI MART FINAL MENU - Pr'!L193)</f>
        <v/>
      </c>
      <c r="M193" s="56" t="str">
        <f>IF('AYIRA MINI MART FINAL MENU - Pr'!M193="", "", 'AYIRA MINI MART FINAL MENU - Pr'!M193)</f>
        <v/>
      </c>
      <c r="N193" s="56" t="str">
        <f>IF('AYIRA MINI MART FINAL MENU - Pr'!N193="", "", 'AYIRA MINI MART FINAL MENU - Pr'!N193)</f>
        <v/>
      </c>
      <c r="O193" s="57"/>
      <c r="P193" s="57"/>
      <c r="Q193" s="57"/>
      <c r="R193" s="57"/>
      <c r="S193" s="57"/>
      <c r="T193" s="57"/>
      <c r="U193" s="57"/>
      <c r="V193" s="57"/>
      <c r="W193" s="57"/>
      <c r="X193" s="57"/>
      <c r="Y193" s="57"/>
      <c r="Z193" s="57"/>
    </row>
    <row r="194">
      <c r="A194" s="56" t="str">
        <f>IFERROR(__xludf.DUMMYFUNCTION("IF('AYIRA MINI MART FINAL MENU - Pr'!A194="""", """", IF(LEN(TRIM(REGEXREPLACE(REGEXREPLACE('AYIRA MINI MART FINAL MENU - Pr'!A194, ""^[^\x{0600}-\x{06FF}]+"", """"), ""^[-–\s]+"", """")))&gt;0, TRIM(REGEXREPLACE(REGEXREPLACE('AYIRA MINI MART FINAL MENU - Pr"&amp;"'!A194, ""^[^\x{0600}-\x{06FF}]+"", """"), ""^[-–\s]+"", """")), GOOGLETRANSLATE('AYIRA MINI MART FINAL MENU - Pr'!A194, ""en"", ""ar"")))"),"ريد بول The الإصدار الأزرق (Blueberry) 250 مل")</f>
        <v>ريد بول The الإصدار الأزرق (Blueberry) 250 مل</v>
      </c>
      <c r="B194" s="56" t="str">
        <f>IFERROR(__xludf.DUMMYFUNCTION("IF('AYIRA MINI MART FINAL MENU - Pr'!B194="""", """", IF(LEN(TRIM(REGEXREPLACE(REGEXREPLACE('AYIRA MINI MART FINAL MENU - Pr'!B194, ""^[^\x{0600}-\x{06FF}]+"", """"), ""^[-–\s]+"", """")))&gt;0, TRIM(REGEXREPLACE(REGEXREPLACE('AYIRA MINI MART FINAL MENU - Pr"&amp;"'!B194, ""^[^\x{0600}-\x{06FF}]+"", """"), ""^[-–\s]+"", """")), GOOGLETRANSLATE('AYIRA MINI MART FINAL MENU - Pr'!B194, ""en"", ""ar"")))"),"مشروبات الطاقة والرياضة")</f>
        <v>مشروبات الطاقة والرياضة</v>
      </c>
      <c r="C194" s="58">
        <f>IF('AYIRA MINI MART FINAL MENU - Pr'!C194="", "", 'AYIRA MINI MART FINAL MENU - Pr'!C194)</f>
        <v>10</v>
      </c>
      <c r="D194" s="58" t="str">
        <f>IF('AYIRA MINI MART FINAL MENU - Pr'!D194="", "", 'AYIRA MINI MART FINAL MENU - Pr'!D194)</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94" s="56" t="str">
        <f>IF('AYIRA MINI MART FINAL MENU - Pr'!E194="", "", 'AYIRA MINI MART FINAL MENU - Pr'!E194)</f>
        <v/>
      </c>
      <c r="F194" s="56" t="str">
        <f>IF('AYIRA MINI MART FINAL MENU - Pr'!F194="", "", 'AYIRA MINI MART FINAL MENU - Pr'!F194)</f>
        <v/>
      </c>
      <c r="G194" s="56" t="str">
        <f>IF('AYIRA MINI MART FINAL MENU - Pr'!G194="", "", 'AYIRA MINI MART FINAL MENU - Pr'!G194)</f>
        <v/>
      </c>
      <c r="H194" s="56" t="str">
        <f>IF('AYIRA MINI MART FINAL MENU - Pr'!H194="", "", 'AYIRA MINI MART FINAL MENU - Pr'!H194)</f>
        <v/>
      </c>
      <c r="I194" s="56" t="str">
        <f>IF('AYIRA MINI MART FINAL MENU - Pr'!I194="", "", 'AYIRA MINI MART FINAL MENU - Pr'!I194)</f>
        <v/>
      </c>
      <c r="J194" s="56" t="str">
        <f>IFERROR(__xludf.DUMMYFUNCTION("IF('AYIRA MINI MART FINAL MENU - Pr'!J194="""", """", GOOGLETRANSLATE('AYIRA MINI MART FINAL MENU - Pr'!J194, ""en"", ""ar""))"),"يعرض")</f>
        <v>يعرض</v>
      </c>
      <c r="K194" s="56" t="str">
        <f>IF('AYIRA MINI MART FINAL MENU - Pr'!K194="", "", 'AYIRA MINI MART FINAL MENU - Pr'!K194)</f>
        <v/>
      </c>
      <c r="L194" s="56" t="str">
        <f>IF('AYIRA MINI MART FINAL MENU - Pr'!L194="", "", 'AYIRA MINI MART FINAL MENU - Pr'!L194)</f>
        <v/>
      </c>
      <c r="M194" s="56" t="str">
        <f>IF('AYIRA MINI MART FINAL MENU - Pr'!M194="", "", 'AYIRA MINI MART FINAL MENU - Pr'!M194)</f>
        <v/>
      </c>
      <c r="N194" s="56" t="str">
        <f>IF('AYIRA MINI MART FINAL MENU - Pr'!N194="", "", 'AYIRA MINI MART FINAL MENU - Pr'!N194)</f>
        <v/>
      </c>
      <c r="O194" s="57"/>
      <c r="P194" s="57"/>
      <c r="Q194" s="57"/>
      <c r="R194" s="57"/>
      <c r="S194" s="57"/>
      <c r="T194" s="57"/>
      <c r="U194" s="57"/>
      <c r="V194" s="57"/>
      <c r="W194" s="57"/>
      <c r="X194" s="57"/>
      <c r="Y194" s="57"/>
      <c r="Z194" s="57"/>
    </row>
    <row r="195">
      <c r="A195" s="56" t="str">
        <f>IFERROR(__xludf.DUMMYFUNCTION("IF('AYIRA MINI MART FINAL MENU - Pr'!A195="""", """", IF(LEN(TRIM(REGEXREPLACE(REGEXREPLACE('AYIRA MINI MART FINAL MENU - Pr'!A195, ""^[^\x{0600}-\x{06FF}]+"", """"), ""^[-–\s]+"", """")))&gt;0, TRIM(REGEXREPLACE(REGEXREPLACE('AYIRA MINI MART FINAL MENU - Pr"&amp;"'!A195, ""^[^\x{0600}-\x{06FF}]+"", """"), ""^[-–\s]+"", """")), GOOGLETRANSLATE('AYIRA MINI MART FINAL MENU - Pr'!A195, ""en"", ""ar"")))"),"ريد بول The الإصدار الأحمر (Watermelon) 250 مل")</f>
        <v>ريد بول The الإصدار الأحمر (Watermelon) 250 مل</v>
      </c>
      <c r="B195" s="56" t="str">
        <f>IFERROR(__xludf.DUMMYFUNCTION("IF('AYIRA MINI MART FINAL MENU - Pr'!B195="""", """", IF(LEN(TRIM(REGEXREPLACE(REGEXREPLACE('AYIRA MINI MART FINAL MENU - Pr'!B195, ""^[^\x{0600}-\x{06FF}]+"", """"), ""^[-–\s]+"", """")))&gt;0, TRIM(REGEXREPLACE(REGEXREPLACE('AYIRA MINI MART FINAL MENU - Pr"&amp;"'!B195, ""^[^\x{0600}-\x{06FF}]+"", """"), ""^[-–\s]+"", """")), GOOGLETRANSLATE('AYIRA MINI MART FINAL MENU - Pr'!B195, ""en"", ""ar"")))"),"مشروبات الطاقة والرياضة")</f>
        <v>مشروبات الطاقة والرياضة</v>
      </c>
      <c r="C195" s="58">
        <f>IF('AYIRA MINI MART FINAL MENU - Pr'!C195="", "", 'AYIRA MINI MART FINAL MENU - Pr'!C195)</f>
        <v>10</v>
      </c>
      <c r="D195" s="58" t="str">
        <f>IF('AYIRA MINI MART FINAL MENU - Pr'!D195="", "", 'AYIRA MINI MART FINAL MENU - Pr'!D195)</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95" s="56" t="str">
        <f>IF('AYIRA MINI MART FINAL MENU - Pr'!E195="", "", 'AYIRA MINI MART FINAL MENU - Pr'!E195)</f>
        <v/>
      </c>
      <c r="F195" s="56" t="str">
        <f>IF('AYIRA MINI MART FINAL MENU - Pr'!F195="", "", 'AYIRA MINI MART FINAL MENU - Pr'!F195)</f>
        <v/>
      </c>
      <c r="G195" s="56" t="str">
        <f>IF('AYIRA MINI MART FINAL MENU - Pr'!G195="", "", 'AYIRA MINI MART FINAL MENU - Pr'!G195)</f>
        <v/>
      </c>
      <c r="H195" s="56" t="str">
        <f>IF('AYIRA MINI MART FINAL MENU - Pr'!H195="", "", 'AYIRA MINI MART FINAL MENU - Pr'!H195)</f>
        <v/>
      </c>
      <c r="I195" s="56" t="str">
        <f>IF('AYIRA MINI MART FINAL MENU - Pr'!I195="", "", 'AYIRA MINI MART FINAL MENU - Pr'!I195)</f>
        <v/>
      </c>
      <c r="J195" s="56" t="str">
        <f>IFERROR(__xludf.DUMMYFUNCTION("IF('AYIRA MINI MART FINAL MENU - Pr'!J195="""", """", GOOGLETRANSLATE('AYIRA MINI MART FINAL MENU - Pr'!J195, ""en"", ""ar""))"),"يعرض")</f>
        <v>يعرض</v>
      </c>
      <c r="K195" s="56" t="str">
        <f>IF('AYIRA MINI MART FINAL MENU - Pr'!K195="", "", 'AYIRA MINI MART FINAL MENU - Pr'!K195)</f>
        <v/>
      </c>
      <c r="L195" s="56" t="str">
        <f>IF('AYIRA MINI MART FINAL MENU - Pr'!L195="", "", 'AYIRA MINI MART FINAL MENU - Pr'!L195)</f>
        <v/>
      </c>
      <c r="M195" s="56" t="str">
        <f>IF('AYIRA MINI MART FINAL MENU - Pr'!M195="", "", 'AYIRA MINI MART FINAL MENU - Pr'!M195)</f>
        <v/>
      </c>
      <c r="N195" s="56" t="str">
        <f>IF('AYIRA MINI MART FINAL MENU - Pr'!N195="", "", 'AYIRA MINI MART FINAL MENU - Pr'!N195)</f>
        <v/>
      </c>
      <c r="O195" s="57"/>
      <c r="P195" s="57"/>
      <c r="Q195" s="57"/>
      <c r="R195" s="57"/>
      <c r="S195" s="57"/>
      <c r="T195" s="57"/>
      <c r="U195" s="57"/>
      <c r="V195" s="57"/>
      <c r="W195" s="57"/>
      <c r="X195" s="57"/>
      <c r="Y195" s="57"/>
      <c r="Z195" s="57"/>
    </row>
    <row r="196">
      <c r="A196" s="56" t="str">
        <f>IFERROR(__xludf.DUMMYFUNCTION("IF('AYIRA MINI MART FINAL MENU - Pr'!A196="""", """", IF(LEN(TRIM(REGEXREPLACE(REGEXREPLACE('AYIRA MINI MART FINAL MENU - Pr'!A196, ""^[^\x{0600}-\x{06FF}]+"", """"), ""^[-–\s]+"", """")))&gt;0, TRIM(REGEXREPLACE(REGEXREPLACE('AYIRA MINI MART FINAL MENU - Pr"&amp;"'!A196, ""^[^\x{0600}-\x{06FF}]+"", """"), ""^[-–\s]+"", """")), GOOGLETRANSLATE('AYIRA MINI MART FINAL MENU - Pr'!A196, ""en"", ""ar"")))"),"ريد بول The Sea الإصدار الأزرق (Cherry &amp; Forest Fruits) 250 مل")</f>
        <v>ريد بول The Sea الإصدار الأزرق (Cherry &amp; Forest Fruits) 250 مل</v>
      </c>
      <c r="B196" s="56" t="str">
        <f>IFERROR(__xludf.DUMMYFUNCTION("IF('AYIRA MINI MART FINAL MENU - Pr'!B196="""", """", IF(LEN(TRIM(REGEXREPLACE(REGEXREPLACE('AYIRA MINI MART FINAL MENU - Pr'!B196, ""^[^\x{0600}-\x{06FF}]+"", """"), ""^[-–\s]+"", """")))&gt;0, TRIM(REGEXREPLACE(REGEXREPLACE('AYIRA MINI MART FINAL MENU - Pr"&amp;"'!B196, ""^[^\x{0600}-\x{06FF}]+"", """"), ""^[-–\s]+"", """")), GOOGLETRANSLATE('AYIRA MINI MART FINAL MENU - Pr'!B196, ""en"", ""ar"")))"),"مشروبات الطاقة والرياضة")</f>
        <v>مشروبات الطاقة والرياضة</v>
      </c>
      <c r="C196" s="58">
        <f>IF('AYIRA MINI MART FINAL MENU - Pr'!C196="", "", 'AYIRA MINI MART FINAL MENU - Pr'!C196)</f>
        <v>10</v>
      </c>
      <c r="D196" s="58" t="str">
        <f>IF('AYIRA MINI MART FINAL MENU - Pr'!D196="", "", 'AYIRA MINI MART FINAL MENU - Pr'!D196)</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96" s="56" t="str">
        <f>IF('AYIRA MINI MART FINAL MENU - Pr'!E196="", "", 'AYIRA MINI MART FINAL MENU - Pr'!E196)</f>
        <v/>
      </c>
      <c r="F196" s="56" t="str">
        <f>IF('AYIRA MINI MART FINAL MENU - Pr'!F196="", "", 'AYIRA MINI MART FINAL MENU - Pr'!F196)</f>
        <v/>
      </c>
      <c r="G196" s="56" t="str">
        <f>IF('AYIRA MINI MART FINAL MENU - Pr'!G196="", "", 'AYIRA MINI MART FINAL MENU - Pr'!G196)</f>
        <v/>
      </c>
      <c r="H196" s="56" t="str">
        <f>IF('AYIRA MINI MART FINAL MENU - Pr'!H196="", "", 'AYIRA MINI MART FINAL MENU - Pr'!H196)</f>
        <v/>
      </c>
      <c r="I196" s="56" t="str">
        <f>IF('AYIRA MINI MART FINAL MENU - Pr'!I196="", "", 'AYIRA MINI MART FINAL MENU - Pr'!I196)</f>
        <v/>
      </c>
      <c r="J196" s="56" t="str">
        <f>IFERROR(__xludf.DUMMYFUNCTION("IF('AYIRA MINI MART FINAL MENU - Pr'!J196="""", """", GOOGLETRANSLATE('AYIRA MINI MART FINAL MENU - Pr'!J196, ""en"", ""ar""))"),"يعرض")</f>
        <v>يعرض</v>
      </c>
      <c r="K196" s="56" t="str">
        <f>IF('AYIRA MINI MART FINAL MENU - Pr'!K196="", "", 'AYIRA MINI MART FINAL MENU - Pr'!K196)</f>
        <v/>
      </c>
      <c r="L196" s="56" t="str">
        <f>IF('AYIRA MINI MART FINAL MENU - Pr'!L196="", "", 'AYIRA MINI MART FINAL MENU - Pr'!L196)</f>
        <v/>
      </c>
      <c r="M196" s="56" t="str">
        <f>IF('AYIRA MINI MART FINAL MENU - Pr'!M196="", "", 'AYIRA MINI MART FINAL MENU - Pr'!M196)</f>
        <v/>
      </c>
      <c r="N196" s="56" t="str">
        <f>IF('AYIRA MINI MART FINAL MENU - Pr'!N196="", "", 'AYIRA MINI MART FINAL MENU - Pr'!N196)</f>
        <v/>
      </c>
      <c r="O196" s="57"/>
      <c r="P196" s="57"/>
      <c r="Q196" s="57"/>
      <c r="R196" s="57"/>
      <c r="S196" s="57"/>
      <c r="T196" s="57"/>
      <c r="U196" s="57"/>
      <c r="V196" s="57"/>
      <c r="W196" s="57"/>
      <c r="X196" s="57"/>
      <c r="Y196" s="57"/>
      <c r="Z196" s="57"/>
    </row>
    <row r="197">
      <c r="A197" s="56" t="str">
        <f>IFERROR(__xludf.DUMMYFUNCTION("IF('AYIRA MINI MART FINAL MENU - Pr'!A197="""", """", IF(LEN(TRIM(REGEXREPLACE(REGEXREPLACE('AYIRA MINI MART FINAL MENU - Pr'!A197, ""^[^\x{0600}-\x{06FF}]+"", """"), ""^[-–\s]+"", """")))&gt;0, TRIM(REGEXREPLACE(REGEXREPLACE('AYIRA MINI MART FINAL MENU - Pr"&amp;"'!A197, ""^[^\x{0600}-\x{06FF}]+"", """"), ""^[-–\s]+"", """")), GOOGLETRANSLATE('AYIRA MINI MART FINAL MENU - Pr'!A197, ""en"", ""ar"")))"),"ريد بول The Apricot Edition (Apricot &amp; Strawberry) 250 مل")</f>
        <v>ريد بول The Apricot Edition (Apricot &amp; Strawberry) 250 مل</v>
      </c>
      <c r="B197" s="56" t="str">
        <f>IFERROR(__xludf.DUMMYFUNCTION("IF('AYIRA MINI MART FINAL MENU - Pr'!B197="""", """", IF(LEN(TRIM(REGEXREPLACE(REGEXREPLACE('AYIRA MINI MART FINAL MENU - Pr'!B197, ""^[^\x{0600}-\x{06FF}]+"", """"), ""^[-–\s]+"", """")))&gt;0, TRIM(REGEXREPLACE(REGEXREPLACE('AYIRA MINI MART FINAL MENU - Pr"&amp;"'!B197, ""^[^\x{0600}-\x{06FF}]+"", """"), ""^[-–\s]+"", """")), GOOGLETRANSLATE('AYIRA MINI MART FINAL MENU - Pr'!B197, ""en"", ""ar"")))"),"مشروبات الطاقة والرياضة")</f>
        <v>مشروبات الطاقة والرياضة</v>
      </c>
      <c r="C197" s="58">
        <f>IF('AYIRA MINI MART FINAL MENU - Pr'!C197="", "", 'AYIRA MINI MART FINAL MENU - Pr'!C197)</f>
        <v>10</v>
      </c>
      <c r="D197" s="58" t="str">
        <f>IF('AYIRA MINI MART FINAL MENU - Pr'!D197="", "", 'AYIRA MINI MART FINAL MENU - Pr'!D197)</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97" s="56" t="str">
        <f>IF('AYIRA MINI MART FINAL MENU - Pr'!E197="", "", 'AYIRA MINI MART FINAL MENU - Pr'!E197)</f>
        <v/>
      </c>
      <c r="F197" s="56" t="str">
        <f>IF('AYIRA MINI MART FINAL MENU - Pr'!F197="", "", 'AYIRA MINI MART FINAL MENU - Pr'!F197)</f>
        <v/>
      </c>
      <c r="G197" s="56" t="str">
        <f>IF('AYIRA MINI MART FINAL MENU - Pr'!G197="", "", 'AYIRA MINI MART FINAL MENU - Pr'!G197)</f>
        <v/>
      </c>
      <c r="H197" s="56" t="str">
        <f>IF('AYIRA MINI MART FINAL MENU - Pr'!H197="", "", 'AYIRA MINI MART FINAL MENU - Pr'!H197)</f>
        <v/>
      </c>
      <c r="I197" s="56" t="str">
        <f>IF('AYIRA MINI MART FINAL MENU - Pr'!I197="", "", 'AYIRA MINI MART FINAL MENU - Pr'!I197)</f>
        <v/>
      </c>
      <c r="J197" s="56" t="str">
        <f>IFERROR(__xludf.DUMMYFUNCTION("IF('AYIRA MINI MART FINAL MENU - Pr'!J197="""", """", GOOGLETRANSLATE('AYIRA MINI MART FINAL MENU - Pr'!J197, ""en"", ""ar""))"),"يعرض")</f>
        <v>يعرض</v>
      </c>
      <c r="K197" s="56" t="str">
        <f>IF('AYIRA MINI MART FINAL MENU - Pr'!K197="", "", 'AYIRA MINI MART FINAL MENU - Pr'!K197)</f>
        <v/>
      </c>
      <c r="L197" s="56" t="str">
        <f>IF('AYIRA MINI MART FINAL MENU - Pr'!L197="", "", 'AYIRA MINI MART FINAL MENU - Pr'!L197)</f>
        <v/>
      </c>
      <c r="M197" s="56" t="str">
        <f>IF('AYIRA MINI MART FINAL MENU - Pr'!M197="", "", 'AYIRA MINI MART FINAL MENU - Pr'!M197)</f>
        <v/>
      </c>
      <c r="N197" s="56" t="str">
        <f>IF('AYIRA MINI MART FINAL MENU - Pr'!N197="", "", 'AYIRA MINI MART FINAL MENU - Pr'!N197)</f>
        <v/>
      </c>
      <c r="O197" s="57"/>
      <c r="P197" s="57"/>
      <c r="Q197" s="57"/>
      <c r="R197" s="57"/>
      <c r="S197" s="57"/>
      <c r="T197" s="57"/>
      <c r="U197" s="57"/>
      <c r="V197" s="57"/>
      <c r="W197" s="57"/>
      <c r="X197" s="57"/>
      <c r="Y197" s="57"/>
      <c r="Z197" s="57"/>
    </row>
    <row r="198">
      <c r="A198" s="56" t="str">
        <f>IFERROR(__xludf.DUMMYFUNCTION("IF('AYIRA MINI MART FINAL MENU - Pr'!A198="""", """", IF(LEN(TRIM(REGEXREPLACE(REGEXREPLACE('AYIRA MINI MART FINAL MENU - Pr'!A198, ""^[^\x{0600}-\x{06FF}]+"", """"), ""^[-–\s]+"", """")))&gt;0, TRIM(REGEXREPLACE(REGEXREPLACE('AYIRA MINI MART FINAL MENU - Pr"&amp;"'!A198, ""^[^\x{0600}-\x{06FF}]+"", """"), ""^[-–\s]+"", """")), GOOGLETRANSLATE('AYIRA MINI MART FINAL MENU - Pr'!A198, ""en"", ""ar"")))"),"ريد بول مشروب الطاقة 250 مل")</f>
        <v>ريد بول مشروب الطاقة 250 مل</v>
      </c>
      <c r="B198" s="56" t="str">
        <f>IFERROR(__xludf.DUMMYFUNCTION("IF('AYIRA MINI MART FINAL MENU - Pr'!B198="""", """", IF(LEN(TRIM(REGEXREPLACE(REGEXREPLACE('AYIRA MINI MART FINAL MENU - Pr'!B198, ""^[^\x{0600}-\x{06FF}]+"", """"), ""^[-–\s]+"", """")))&gt;0, TRIM(REGEXREPLACE(REGEXREPLACE('AYIRA MINI MART FINAL MENU - Pr"&amp;"'!B198, ""^[^\x{0600}-\x{06FF}]+"", """"), ""^[-–\s]+"", """")), GOOGLETRANSLATE('AYIRA MINI MART FINAL MENU - Pr'!B198, ""en"", ""ar"")))"),"مشروبات الطاقة والرياضة")</f>
        <v>مشروبات الطاقة والرياضة</v>
      </c>
      <c r="C198" s="58">
        <f>IF('AYIRA MINI MART FINAL MENU - Pr'!C198="", "", 'AYIRA MINI MART FINAL MENU - Pr'!C198)</f>
        <v>10</v>
      </c>
      <c r="D198" s="58" t="str">
        <f>IF('AYIRA MINI MART FINAL MENU - Pr'!D198="", "", 'AYIRA MINI MART FINAL MENU - Pr'!D198)</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98" s="56" t="str">
        <f>IF('AYIRA MINI MART FINAL MENU - Pr'!E198="", "", 'AYIRA MINI MART FINAL MENU - Pr'!E198)</f>
        <v/>
      </c>
      <c r="F198" s="56" t="str">
        <f>IF('AYIRA MINI MART FINAL MENU - Pr'!F198="", "", 'AYIRA MINI MART FINAL MENU - Pr'!F198)</f>
        <v/>
      </c>
      <c r="G198" s="56" t="str">
        <f>IF('AYIRA MINI MART FINAL MENU - Pr'!G198="", "", 'AYIRA MINI MART FINAL MENU - Pr'!G198)</f>
        <v/>
      </c>
      <c r="H198" s="56" t="str">
        <f>IF('AYIRA MINI MART FINAL MENU - Pr'!H198="", "", 'AYIRA MINI MART FINAL MENU - Pr'!H198)</f>
        <v/>
      </c>
      <c r="I198" s="56" t="str">
        <f>IF('AYIRA MINI MART FINAL MENU - Pr'!I198="", "", 'AYIRA MINI MART FINAL MENU - Pr'!I198)</f>
        <v/>
      </c>
      <c r="J198" s="56" t="str">
        <f>IFERROR(__xludf.DUMMYFUNCTION("IF('AYIRA MINI MART FINAL MENU - Pr'!J198="""", """", GOOGLETRANSLATE('AYIRA MINI MART FINAL MENU - Pr'!J198, ""en"", ""ar""))"),"يعرض")</f>
        <v>يعرض</v>
      </c>
      <c r="K198" s="56" t="str">
        <f>IF('AYIRA MINI MART FINAL MENU - Pr'!K198="", "", 'AYIRA MINI MART FINAL MENU - Pr'!K198)</f>
        <v/>
      </c>
      <c r="L198" s="56" t="str">
        <f>IF('AYIRA MINI MART FINAL MENU - Pr'!L198="", "", 'AYIRA MINI MART FINAL MENU - Pr'!L198)</f>
        <v/>
      </c>
      <c r="M198" s="56" t="str">
        <f>IF('AYIRA MINI MART FINAL MENU - Pr'!M198="", "", 'AYIRA MINI MART FINAL MENU - Pr'!M198)</f>
        <v/>
      </c>
      <c r="N198" s="56" t="str">
        <f>IF('AYIRA MINI MART FINAL MENU - Pr'!N198="", "", 'AYIRA MINI MART FINAL MENU - Pr'!N198)</f>
        <v/>
      </c>
      <c r="O198" s="57"/>
      <c r="P198" s="57"/>
      <c r="Q198" s="57"/>
      <c r="R198" s="57"/>
      <c r="S198" s="57"/>
      <c r="T198" s="57"/>
      <c r="U198" s="57"/>
      <c r="V198" s="57"/>
      <c r="W198" s="57"/>
      <c r="X198" s="57"/>
      <c r="Y198" s="57"/>
      <c r="Z198" s="57"/>
    </row>
    <row r="199">
      <c r="A199" s="56" t="str">
        <f>IFERROR(__xludf.DUMMYFUNCTION("IF('AYIRA MINI MART FINAL MENU - Pr'!A199="""", """", IF(LEN(TRIM(REGEXREPLACE(REGEXREPLACE('AYIRA MINI MART FINAL MENU - Pr'!A199, ""^[^\x{0600}-\x{06FF}]+"", """"), ""^[-–\s]+"", """")))&gt;0, TRIM(REGEXREPLACE(REGEXREPLACE('AYIRA MINI MART FINAL MENU - Pr"&amp;"'!A199, ""^[^\x{0600}-\x{06FF}]+"", """"), ""^[-–\s]+"", """")), GOOGLETRANSLATE('AYIRA MINI MART FINAL MENU - Pr'!A199, ""en"", ""ar"")))"),"ريد بول The الإصدار الأبيض (Coconut &amp; Berry) 250 مل")</f>
        <v>ريد بول The الإصدار الأبيض (Coconut &amp; Berry) 250 مل</v>
      </c>
      <c r="B199" s="56" t="str">
        <f>IFERROR(__xludf.DUMMYFUNCTION("IF('AYIRA MINI MART FINAL MENU - Pr'!B199="""", """", IF(LEN(TRIM(REGEXREPLACE(REGEXREPLACE('AYIRA MINI MART FINAL MENU - Pr'!B199, ""^[^\x{0600}-\x{06FF}]+"", """"), ""^[-–\s]+"", """")))&gt;0, TRIM(REGEXREPLACE(REGEXREPLACE('AYIRA MINI MART FINAL MENU - Pr"&amp;"'!B199, ""^[^\x{0600}-\x{06FF}]+"", """"), ""^[-–\s]+"", """")), GOOGLETRANSLATE('AYIRA MINI MART FINAL MENU - Pr'!B199, ""en"", ""ar"")))"),"مشروبات الطاقة والرياضة")</f>
        <v>مشروبات الطاقة والرياضة</v>
      </c>
      <c r="C199" s="58">
        <f>IF('AYIRA MINI MART FINAL MENU - Pr'!C199="", "", 'AYIRA MINI MART FINAL MENU - Pr'!C199)</f>
        <v>10</v>
      </c>
      <c r="D199" s="58" t="str">
        <f>IF('AYIRA MINI MART FINAL MENU - Pr'!D199="", "", 'AYIRA MINI MART FINAL MENU - Pr'!D199)</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199" s="56" t="str">
        <f>IF('AYIRA MINI MART FINAL MENU - Pr'!E199="", "", 'AYIRA MINI MART FINAL MENU - Pr'!E199)</f>
        <v/>
      </c>
      <c r="F199" s="56" t="str">
        <f>IF('AYIRA MINI MART FINAL MENU - Pr'!F199="", "", 'AYIRA MINI MART FINAL MENU - Pr'!F199)</f>
        <v/>
      </c>
      <c r="G199" s="56" t="str">
        <f>IF('AYIRA MINI MART FINAL MENU - Pr'!G199="", "", 'AYIRA MINI MART FINAL MENU - Pr'!G199)</f>
        <v/>
      </c>
      <c r="H199" s="56" t="str">
        <f>IF('AYIRA MINI MART FINAL MENU - Pr'!H199="", "", 'AYIRA MINI MART FINAL MENU - Pr'!H199)</f>
        <v/>
      </c>
      <c r="I199" s="56" t="str">
        <f>IF('AYIRA MINI MART FINAL MENU - Pr'!I199="", "", 'AYIRA MINI MART FINAL MENU - Pr'!I199)</f>
        <v/>
      </c>
      <c r="J199" s="56" t="str">
        <f>IFERROR(__xludf.DUMMYFUNCTION("IF('AYIRA MINI MART FINAL MENU - Pr'!J199="""", """", GOOGLETRANSLATE('AYIRA MINI MART FINAL MENU - Pr'!J199, ""en"", ""ar""))"),"يعرض")</f>
        <v>يعرض</v>
      </c>
      <c r="K199" s="56" t="str">
        <f>IF('AYIRA MINI MART FINAL MENU - Pr'!K199="", "", 'AYIRA MINI MART FINAL MENU - Pr'!K199)</f>
        <v/>
      </c>
      <c r="L199" s="56" t="str">
        <f>IF('AYIRA MINI MART FINAL MENU - Pr'!L199="", "", 'AYIRA MINI MART FINAL MENU - Pr'!L199)</f>
        <v/>
      </c>
      <c r="M199" s="56" t="str">
        <f>IF('AYIRA MINI MART FINAL MENU - Pr'!M199="", "", 'AYIRA MINI MART FINAL MENU - Pr'!M199)</f>
        <v/>
      </c>
      <c r="N199" s="56" t="str">
        <f>IF('AYIRA MINI MART FINAL MENU - Pr'!N199="", "", 'AYIRA MINI MART FINAL MENU - Pr'!N199)</f>
        <v/>
      </c>
      <c r="O199" s="57"/>
      <c r="P199" s="57"/>
      <c r="Q199" s="57"/>
      <c r="R199" s="57"/>
      <c r="S199" s="57"/>
      <c r="T199" s="57"/>
      <c r="U199" s="57"/>
      <c r="V199" s="57"/>
      <c r="W199" s="57"/>
      <c r="X199" s="57"/>
      <c r="Y199" s="57"/>
      <c r="Z199" s="57"/>
    </row>
    <row r="200">
      <c r="A200" s="56" t="str">
        <f>IFERROR(__xludf.DUMMYFUNCTION("IF('AYIRA MINI MART FINAL MENU - Pr'!A200="""", """", IF(LEN(TRIM(REGEXREPLACE(REGEXREPLACE('AYIRA MINI MART FINAL MENU - Pr'!A200, ""^[^\x{0600}-\x{06FF}]+"", """"), ""^[-–\s]+"", """")))&gt;0, TRIM(REGEXREPLACE(REGEXREPLACE('AYIRA MINI MART FINAL MENU - Pr"&amp;"'!A200, ""^[^\x{0600}-\x{06FF}]+"", """"), ""^[-–\s]+"", """")), GOOGLETRANSLATE('AYIRA MINI MART FINAL MENU - Pr'!A200, ""en"", ""ar"")))"),"ريد بول Sugarfree 250 مل")</f>
        <v>ريد بول Sugarfree 250 مل</v>
      </c>
      <c r="B200" s="56" t="str">
        <f>IFERROR(__xludf.DUMMYFUNCTION("IF('AYIRA MINI MART FINAL MENU - Pr'!B200="""", """", IF(LEN(TRIM(REGEXREPLACE(REGEXREPLACE('AYIRA MINI MART FINAL MENU - Pr'!B200, ""^[^\x{0600}-\x{06FF}]+"", """"), ""^[-–\s]+"", """")))&gt;0, TRIM(REGEXREPLACE(REGEXREPLACE('AYIRA MINI MART FINAL MENU - Pr"&amp;"'!B200, ""^[^\x{0600}-\x{06FF}]+"", """"), ""^[-–\s]+"", """")), GOOGLETRANSLATE('AYIRA MINI MART FINAL MENU - Pr'!B200, ""en"", ""ar"")))"),"مشروبات الطاقة والرياضة")</f>
        <v>مشروبات الطاقة والرياضة</v>
      </c>
      <c r="C200" s="58">
        <f>IF('AYIRA MINI MART FINAL MENU - Pr'!C200="", "", 'AYIRA MINI MART FINAL MENU - Pr'!C200)</f>
        <v>10</v>
      </c>
      <c r="D200" s="58" t="str">
        <f>IF('AYIRA MINI MART FINAL MENU - Pr'!D200="", "", 'AYIRA MINI MART FINAL MENU - Pr'!D200)</f>
        <v>اشحن طاقتك مع ريد بول، مشروب الطاقة المفضل لدى الرياضيين والمحترفين. يمنحك التركيز والنشاط اللازمين لمواجهة تحديات اليوم بكفاءة عالية. بتركيبة فريدة من الكافيين والفيتامينات والأحماض الأمينية، يساعدك على الأداء بأقصى طاقتك. مثالي قبل التمرين الرياضي أو خلال ساعات العمل الطويلة. اكتشف الفرق مع كل رشفة وعش تجربة طاقة لا مثيل لها. متاح الآن في أيرا ميني مارت بسعر مناسب وجودة مضمونة.</v>
      </c>
      <c r="E200" s="56" t="str">
        <f>IF('AYIRA MINI MART FINAL MENU - Pr'!E200="", "", 'AYIRA MINI MART FINAL MENU - Pr'!E200)</f>
        <v/>
      </c>
      <c r="F200" s="56" t="str">
        <f>IF('AYIRA MINI MART FINAL MENU - Pr'!F200="", "", 'AYIRA MINI MART FINAL MENU - Pr'!F200)</f>
        <v/>
      </c>
      <c r="G200" s="56" t="str">
        <f>IF('AYIRA MINI MART FINAL MENU - Pr'!G200="", "", 'AYIRA MINI MART FINAL MENU - Pr'!G200)</f>
        <v/>
      </c>
      <c r="H200" s="56" t="str">
        <f>IF('AYIRA MINI MART FINAL MENU - Pr'!H200="", "", 'AYIRA MINI MART FINAL MENU - Pr'!H200)</f>
        <v/>
      </c>
      <c r="I200" s="56" t="str">
        <f>IF('AYIRA MINI MART FINAL MENU - Pr'!I200="", "", 'AYIRA MINI MART FINAL MENU - Pr'!I200)</f>
        <v/>
      </c>
      <c r="J200" s="56" t="str">
        <f>IFERROR(__xludf.DUMMYFUNCTION("IF('AYIRA MINI MART FINAL MENU - Pr'!J200="""", """", GOOGLETRANSLATE('AYIRA MINI MART FINAL MENU - Pr'!J200, ""en"", ""ar""))"),"يعرض")</f>
        <v>يعرض</v>
      </c>
      <c r="K200" s="56" t="str">
        <f>IF('AYIRA MINI MART FINAL MENU - Pr'!K200="", "", 'AYIRA MINI MART FINAL MENU - Pr'!K200)</f>
        <v/>
      </c>
      <c r="L200" s="56" t="str">
        <f>IF('AYIRA MINI MART FINAL MENU - Pr'!L200="", "", 'AYIRA MINI MART FINAL MENU - Pr'!L200)</f>
        <v/>
      </c>
      <c r="M200" s="56" t="str">
        <f>IF('AYIRA MINI MART FINAL MENU - Pr'!M200="", "", 'AYIRA MINI MART FINAL MENU - Pr'!M200)</f>
        <v/>
      </c>
      <c r="N200" s="56" t="str">
        <f>IF('AYIRA MINI MART FINAL MENU - Pr'!N200="", "", 'AYIRA MINI MART FINAL MENU - Pr'!N200)</f>
        <v/>
      </c>
      <c r="O200" s="57"/>
      <c r="P200" s="57"/>
      <c r="Q200" s="57"/>
      <c r="R200" s="57"/>
      <c r="S200" s="57"/>
      <c r="T200" s="57"/>
      <c r="U200" s="57"/>
      <c r="V200" s="57"/>
      <c r="W200" s="57"/>
      <c r="X200" s="57"/>
      <c r="Y200" s="57"/>
      <c r="Z200" s="57"/>
    </row>
    <row r="201">
      <c r="A201" s="56" t="str">
        <f>IFERROR(__xludf.DUMMYFUNCTION("IF('AYIRA MINI MART FINAL MENU - Pr'!A201="""", """", IF(LEN(TRIM(REGEXREPLACE(REGEXREPLACE('AYIRA MINI MART FINAL MENU - Pr'!A201, ""^[^\x{0600}-\x{06FF}]+"", """"), ""^[-–\s]+"", """")))&gt;0, TRIM(REGEXREPLACE(REGEXREPLACE('AYIRA MINI MART FINAL MENU - Pr"&amp;"'!A201, ""^[^\x{0600}-\x{06FF}]+"", """"), ""^[-–\s]+"", """")), GOOGLETRANSLATE('AYIRA MINI MART FINAL MENU - Pr'!A201, ""en"", ""ar"")))"),"بلدنا برتقال نكتار Refreshing Delight 200 مل")</f>
        <v>بلدنا برتقال نكتار Refreshing Delight 200 مل</v>
      </c>
      <c r="B201" s="56" t="str">
        <f>IFERROR(__xludf.DUMMYFUNCTION("IF('AYIRA MINI MART FINAL MENU - Pr'!B201="""", """", IF(LEN(TRIM(REGEXREPLACE(REGEXREPLACE('AYIRA MINI MART FINAL MENU - Pr'!B201, ""^[^\x{0600}-\x{06FF}]+"", """"), ""^[-–\s]+"", """")))&gt;0, TRIM(REGEXREPLACE(REGEXREPLACE('AYIRA MINI MART FINAL MENU - Pr"&amp;"'!B201, ""^[^\x{0600}-\x{06FF}]+"", """"), ""^[-–\s]+"", """")), GOOGLETRANSLATE('AYIRA MINI MART FINAL MENU - Pr'!B201, ""en"", ""ar"")))"),"العصائر ومشروبات الفاكهة")</f>
        <v>العصائر ومشروبات الفاكهة</v>
      </c>
      <c r="C201" s="58">
        <f>IF('AYIRA MINI MART FINAL MENU - Pr'!C201="", "", 'AYIRA MINI MART FINAL MENU - Pr'!C201)</f>
        <v>2.5</v>
      </c>
      <c r="D201" s="58" t="str">
        <f>IF('AYIRA MINI MART FINAL MENU - Pr'!D201="", "", 'AYIRA MINI MART FINAL MENU - Pr'!D201)</f>
        <v>احرص على صحتك مع Baladna Orange Nectar Refreshing Delight 200ml،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01" s="56" t="str">
        <f>IF('AYIRA MINI MART FINAL MENU - Pr'!E201="", "", 'AYIRA MINI MART FINAL MENU - Pr'!E201)</f>
        <v/>
      </c>
      <c r="F201" s="56" t="str">
        <f>IF('AYIRA MINI MART FINAL MENU - Pr'!F201="", "", 'AYIRA MINI MART FINAL MENU - Pr'!F201)</f>
        <v/>
      </c>
      <c r="G201" s="56" t="str">
        <f>IF('AYIRA MINI MART FINAL MENU - Pr'!G201="", "", 'AYIRA MINI MART FINAL MENU - Pr'!G201)</f>
        <v/>
      </c>
      <c r="H201" s="56" t="str">
        <f>IF('AYIRA MINI MART FINAL MENU - Pr'!H201="", "", 'AYIRA MINI MART FINAL MENU - Pr'!H201)</f>
        <v/>
      </c>
      <c r="I201" s="56" t="str">
        <f>IF('AYIRA MINI MART FINAL MENU - Pr'!I201="", "", 'AYIRA MINI MART FINAL MENU - Pr'!I201)</f>
        <v/>
      </c>
      <c r="J201" s="56" t="str">
        <f>IFERROR(__xludf.DUMMYFUNCTION("IF('AYIRA MINI MART FINAL MENU - Pr'!J201="""", """", GOOGLETRANSLATE('AYIRA MINI MART FINAL MENU - Pr'!J201, ""en"", ""ar""))"),"يعرض")</f>
        <v>يعرض</v>
      </c>
      <c r="K201" s="56" t="str">
        <f>IF('AYIRA MINI MART FINAL MENU - Pr'!K201="", "", 'AYIRA MINI MART FINAL MENU - Pr'!K201)</f>
        <v/>
      </c>
      <c r="L201" s="56" t="str">
        <f>IF('AYIRA MINI MART FINAL MENU - Pr'!L201="", "", 'AYIRA MINI MART FINAL MENU - Pr'!L201)</f>
        <v/>
      </c>
      <c r="M201" s="56" t="str">
        <f>IF('AYIRA MINI MART FINAL MENU - Pr'!M201="", "", 'AYIRA MINI MART FINAL MENU - Pr'!M201)</f>
        <v/>
      </c>
      <c r="N201" s="56" t="str">
        <f>IF('AYIRA MINI MART FINAL MENU - Pr'!N201="", "", 'AYIRA MINI MART FINAL MENU - Pr'!N201)</f>
        <v/>
      </c>
      <c r="O201" s="57"/>
      <c r="P201" s="57"/>
      <c r="Q201" s="57"/>
      <c r="R201" s="57"/>
      <c r="S201" s="57"/>
      <c r="T201" s="57"/>
      <c r="U201" s="57"/>
      <c r="V201" s="57"/>
      <c r="W201" s="57"/>
      <c r="X201" s="57"/>
      <c r="Y201" s="57"/>
      <c r="Z201" s="57"/>
    </row>
    <row r="202">
      <c r="A202" s="56" t="str">
        <f>IFERROR(__xludf.DUMMYFUNCTION("IF('AYIRA MINI MART FINAL MENU - Pr'!A202="""", """", IF(LEN(TRIM(REGEXREPLACE(REGEXREPLACE('AYIRA MINI MART FINAL MENU - Pr'!A202, ""^[^\x{0600}-\x{06FF}]+"", """"), ""^[-–\s]+"", """")))&gt;0, TRIM(REGEXREPLACE(REGEXREPLACE('AYIRA MINI MART FINAL MENU - Pr"&amp;"'!A202, ""^[^\x{0600}-\x{06FF}]+"", """"), ""^[-–\s]+"", """")), GOOGLETRANSLATE('AYIRA MINI MART FINAL MENU - Pr'!A202, ""en"", ""ar"")))"),"بلدنا مانجو نكتار استوائي Indulgence 200 مل")</f>
        <v>بلدنا مانجو نكتار استوائي Indulgence 200 مل</v>
      </c>
      <c r="B202" s="56" t="str">
        <f>IFERROR(__xludf.DUMMYFUNCTION("IF('AYIRA MINI MART FINAL MENU - Pr'!B202="""", """", IF(LEN(TRIM(REGEXREPLACE(REGEXREPLACE('AYIRA MINI MART FINAL MENU - Pr'!B202, ""^[^\x{0600}-\x{06FF}]+"", """"), ""^[-–\s]+"", """")))&gt;0, TRIM(REGEXREPLACE(REGEXREPLACE('AYIRA MINI MART FINAL MENU - Pr"&amp;"'!B202, ""^[^\x{0600}-\x{06FF}]+"", """"), ""^[-–\s]+"", """")), GOOGLETRANSLATE('AYIRA MINI MART FINAL MENU - Pr'!B202, ""en"", ""ar"")))"),"العصائر ومشروبات الفاكهة")</f>
        <v>العصائر ومشروبات الفاكهة</v>
      </c>
      <c r="C202" s="58">
        <f>IF('AYIRA MINI MART FINAL MENU - Pr'!C202="", "", 'AYIRA MINI MART FINAL MENU - Pr'!C202)</f>
        <v>2.5</v>
      </c>
      <c r="D202" s="58" t="str">
        <f>IF('AYIRA MINI MART FINAL MENU - Pr'!D202="", "", 'AYIRA MINI MART FINAL MENU - Pr'!D202)</f>
        <v>احرص على صحتك مع Baladna Mango Nectar Tropical Indulgence 200ml،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02" s="56" t="str">
        <f>IF('AYIRA MINI MART FINAL MENU - Pr'!E202="", "", 'AYIRA MINI MART FINAL MENU - Pr'!E202)</f>
        <v/>
      </c>
      <c r="F202" s="56" t="str">
        <f>IF('AYIRA MINI MART FINAL MENU - Pr'!F202="", "", 'AYIRA MINI MART FINAL MENU - Pr'!F202)</f>
        <v/>
      </c>
      <c r="G202" s="56" t="str">
        <f>IF('AYIRA MINI MART FINAL MENU - Pr'!G202="", "", 'AYIRA MINI MART FINAL MENU - Pr'!G202)</f>
        <v/>
      </c>
      <c r="H202" s="56" t="str">
        <f>IF('AYIRA MINI MART FINAL MENU - Pr'!H202="", "", 'AYIRA MINI MART FINAL MENU - Pr'!H202)</f>
        <v/>
      </c>
      <c r="I202" s="56" t="str">
        <f>IF('AYIRA MINI MART FINAL MENU - Pr'!I202="", "", 'AYIRA MINI MART FINAL MENU - Pr'!I202)</f>
        <v/>
      </c>
      <c r="J202" s="56" t="str">
        <f>IFERROR(__xludf.DUMMYFUNCTION("IF('AYIRA MINI MART FINAL MENU - Pr'!J202="""", """", GOOGLETRANSLATE('AYIRA MINI MART FINAL MENU - Pr'!J202, ""en"", ""ar""))"),"يعرض")</f>
        <v>يعرض</v>
      </c>
      <c r="K202" s="56" t="str">
        <f>IF('AYIRA MINI MART FINAL MENU - Pr'!K202="", "", 'AYIRA MINI MART FINAL MENU - Pr'!K202)</f>
        <v/>
      </c>
      <c r="L202" s="56" t="str">
        <f>IF('AYIRA MINI MART FINAL MENU - Pr'!L202="", "", 'AYIRA MINI MART FINAL MENU - Pr'!L202)</f>
        <v/>
      </c>
      <c r="M202" s="56" t="str">
        <f>IF('AYIRA MINI MART FINAL MENU - Pr'!M202="", "", 'AYIRA MINI MART FINAL MENU - Pr'!M202)</f>
        <v/>
      </c>
      <c r="N202" s="56" t="str">
        <f>IF('AYIRA MINI MART FINAL MENU - Pr'!N202="", "", 'AYIRA MINI MART FINAL MENU - Pr'!N202)</f>
        <v/>
      </c>
      <c r="O202" s="57"/>
      <c r="P202" s="57"/>
      <c r="Q202" s="57"/>
      <c r="R202" s="57"/>
      <c r="S202" s="57"/>
      <c r="T202" s="57"/>
      <c r="U202" s="57"/>
      <c r="V202" s="57"/>
      <c r="W202" s="57"/>
      <c r="X202" s="57"/>
      <c r="Y202" s="57"/>
      <c r="Z202" s="57"/>
    </row>
    <row r="203">
      <c r="A203" s="56" t="str">
        <f>IFERROR(__xludf.DUMMYFUNCTION("IF('AYIRA MINI MART FINAL MENU - Pr'!A203="""", """", IF(LEN(TRIM(REGEXREPLACE(REGEXREPLACE('AYIRA MINI MART FINAL MENU - Pr'!A203, ""^[^\x{0600}-\x{06FF}]+"", """"), ""^[-–\s]+"", """")))&gt;0, TRIM(REGEXREPLACE(REGEXREPLACE('AYIRA MINI MART FINAL MENU - Pr"&amp;"'!A203, ""^[^\x{0600}-\x{06FF}]+"", """"), ""^[-–\s]+"", """")), GOOGLETRANSLATE('AYIRA MINI MART FINAL MENU - Pr'!A203, ""en"", ""ar"")))"),"بلدنا تفاح نكتار 1.5 لتر")</f>
        <v>بلدنا تفاح نكتار 1.5 لتر</v>
      </c>
      <c r="B203" s="56" t="str">
        <f>IFERROR(__xludf.DUMMYFUNCTION("IF('AYIRA MINI MART FINAL MENU - Pr'!B203="""", """", IF(LEN(TRIM(REGEXREPLACE(REGEXREPLACE('AYIRA MINI MART FINAL MENU - Pr'!B203, ""^[^\x{0600}-\x{06FF}]+"", """"), ""^[-–\s]+"", """")))&gt;0, TRIM(REGEXREPLACE(REGEXREPLACE('AYIRA MINI MART FINAL MENU - Pr"&amp;"'!B203, ""^[^\x{0600}-\x{06FF}]+"", """"), ""^[-–\s]+"", """")), GOOGLETRANSLATE('AYIRA MINI MART FINAL MENU - Pr'!B203, ""en"", ""ar"")))"),"العصائر ومشروبات الفاكهة")</f>
        <v>العصائر ومشروبات الفاكهة</v>
      </c>
      <c r="C203" s="58">
        <f>IF('AYIRA MINI MART FINAL MENU - Pr'!C203="", "", 'AYIRA MINI MART FINAL MENU - Pr'!C203)</f>
        <v>12</v>
      </c>
      <c r="D203" s="58" t="str">
        <f>IF('AYIRA MINI MART FINAL MENU - Pr'!D203="", "", 'AYIRA MINI MART FINAL MENU - Pr'!D203)</f>
        <v>احرص على صحتك مع Baladna Apple Nectar 1.5L،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03" s="56" t="str">
        <f>IF('AYIRA MINI MART FINAL MENU - Pr'!E203="", "", 'AYIRA MINI MART FINAL MENU - Pr'!E203)</f>
        <v/>
      </c>
      <c r="F203" s="56" t="str">
        <f>IF('AYIRA MINI MART FINAL MENU - Pr'!F203="", "", 'AYIRA MINI MART FINAL MENU - Pr'!F203)</f>
        <v/>
      </c>
      <c r="G203" s="56" t="str">
        <f>IF('AYIRA MINI MART FINAL MENU - Pr'!G203="", "", 'AYIRA MINI MART FINAL MENU - Pr'!G203)</f>
        <v/>
      </c>
      <c r="H203" s="56" t="str">
        <f>IF('AYIRA MINI MART FINAL MENU - Pr'!H203="", "", 'AYIRA MINI MART FINAL MENU - Pr'!H203)</f>
        <v/>
      </c>
      <c r="I203" s="56" t="str">
        <f>IF('AYIRA MINI MART FINAL MENU - Pr'!I203="", "", 'AYIRA MINI MART FINAL MENU - Pr'!I203)</f>
        <v/>
      </c>
      <c r="J203" s="56" t="str">
        <f>IFERROR(__xludf.DUMMYFUNCTION("IF('AYIRA MINI MART FINAL MENU - Pr'!J203="""", """", GOOGLETRANSLATE('AYIRA MINI MART FINAL MENU - Pr'!J203, ""en"", ""ar""))"),"يعرض")</f>
        <v>يعرض</v>
      </c>
      <c r="K203" s="56" t="str">
        <f>IF('AYIRA MINI MART FINAL MENU - Pr'!K203="", "", 'AYIRA MINI MART FINAL MENU - Pr'!K203)</f>
        <v/>
      </c>
      <c r="L203" s="56" t="str">
        <f>IF('AYIRA MINI MART FINAL MENU - Pr'!L203="", "", 'AYIRA MINI MART FINAL MENU - Pr'!L203)</f>
        <v/>
      </c>
      <c r="M203" s="56" t="str">
        <f>IF('AYIRA MINI MART FINAL MENU - Pr'!M203="", "", 'AYIRA MINI MART FINAL MENU - Pr'!M203)</f>
        <v/>
      </c>
      <c r="N203" s="56" t="str">
        <f>IF('AYIRA MINI MART FINAL MENU - Pr'!N203="", "", 'AYIRA MINI MART FINAL MENU - Pr'!N203)</f>
        <v/>
      </c>
      <c r="O203" s="57"/>
      <c r="P203" s="57"/>
      <c r="Q203" s="57"/>
      <c r="R203" s="57"/>
      <c r="S203" s="57"/>
      <c r="T203" s="57"/>
      <c r="U203" s="57"/>
      <c r="V203" s="57"/>
      <c r="W203" s="57"/>
      <c r="X203" s="57"/>
      <c r="Y203" s="57"/>
      <c r="Z203" s="57"/>
    </row>
    <row r="204">
      <c r="A204" s="56" t="str">
        <f>IFERROR(__xludf.DUMMYFUNCTION("IF('AYIRA MINI MART FINAL MENU - Pr'!A204="""", """", IF(LEN(TRIM(REGEXREPLACE(REGEXREPLACE('AYIRA MINI MART FINAL MENU - Pr'!A204, ""^[^\x{0600}-\x{06FF}]+"", """"), ""^[-–\s]+"", """")))&gt;0, TRIM(REGEXREPLACE(REGEXREPLACE('AYIRA MINI MART FINAL MENU - Pr"&amp;"'!A204, ""^[^\x{0600}-\x{06FF}]+"", """"), ""^[-–\s]+"", """")), GOOGLETRANSLATE('AYIRA MINI MART FINAL MENU - Pr'!A204, ""en"", ""ar"")))"),"بلدنا برتقال نكتار 1.5 لتر")</f>
        <v>بلدنا برتقال نكتار 1.5 لتر</v>
      </c>
      <c r="B204" s="56" t="str">
        <f>IFERROR(__xludf.DUMMYFUNCTION("IF('AYIRA MINI MART FINAL MENU - Pr'!B204="""", """", IF(LEN(TRIM(REGEXREPLACE(REGEXREPLACE('AYIRA MINI MART FINAL MENU - Pr'!B204, ""^[^\x{0600}-\x{06FF}]+"", """"), ""^[-–\s]+"", """")))&gt;0, TRIM(REGEXREPLACE(REGEXREPLACE('AYIRA MINI MART FINAL MENU - Pr"&amp;"'!B204, ""^[^\x{0600}-\x{06FF}]+"", """"), ""^[-–\s]+"", """")), GOOGLETRANSLATE('AYIRA MINI MART FINAL MENU - Pr'!B204, ""en"", ""ar"")))"),"العصائر ومشروبات الفاكهة")</f>
        <v>العصائر ومشروبات الفاكهة</v>
      </c>
      <c r="C204" s="58">
        <f>IF('AYIRA MINI MART FINAL MENU - Pr'!C204="", "", 'AYIRA MINI MART FINAL MENU - Pr'!C204)</f>
        <v>12</v>
      </c>
      <c r="D204" s="58" t="str">
        <f>IF('AYIRA MINI MART FINAL MENU - Pr'!D204="", "", 'AYIRA MINI MART FINAL MENU - Pr'!D204)</f>
        <v>احرص على صحتك مع Baladna Orange Nectar 1.5L،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04" s="56" t="str">
        <f>IF('AYIRA MINI MART FINAL MENU - Pr'!E204="", "", 'AYIRA MINI MART FINAL MENU - Pr'!E204)</f>
        <v/>
      </c>
      <c r="F204" s="56" t="str">
        <f>IF('AYIRA MINI MART FINAL MENU - Pr'!F204="", "", 'AYIRA MINI MART FINAL MENU - Pr'!F204)</f>
        <v/>
      </c>
      <c r="G204" s="56" t="str">
        <f>IF('AYIRA MINI MART FINAL MENU - Pr'!G204="", "", 'AYIRA MINI MART FINAL MENU - Pr'!G204)</f>
        <v/>
      </c>
      <c r="H204" s="56" t="str">
        <f>IF('AYIRA MINI MART FINAL MENU - Pr'!H204="", "", 'AYIRA MINI MART FINAL MENU - Pr'!H204)</f>
        <v/>
      </c>
      <c r="I204" s="56" t="str">
        <f>IF('AYIRA MINI MART FINAL MENU - Pr'!I204="", "", 'AYIRA MINI MART FINAL MENU - Pr'!I204)</f>
        <v/>
      </c>
      <c r="J204" s="56" t="str">
        <f>IFERROR(__xludf.DUMMYFUNCTION("IF('AYIRA MINI MART FINAL MENU - Pr'!J204="""", """", GOOGLETRANSLATE('AYIRA MINI MART FINAL MENU - Pr'!J204, ""en"", ""ar""))"),"يعرض")</f>
        <v>يعرض</v>
      </c>
      <c r="K204" s="56" t="str">
        <f>IF('AYIRA MINI MART FINAL MENU - Pr'!K204="", "", 'AYIRA MINI MART FINAL MENU - Pr'!K204)</f>
        <v/>
      </c>
      <c r="L204" s="56" t="str">
        <f>IF('AYIRA MINI MART FINAL MENU - Pr'!L204="", "", 'AYIRA MINI MART FINAL MENU - Pr'!L204)</f>
        <v/>
      </c>
      <c r="M204" s="56" t="str">
        <f>IF('AYIRA MINI MART FINAL MENU - Pr'!M204="", "", 'AYIRA MINI MART FINAL MENU - Pr'!M204)</f>
        <v/>
      </c>
      <c r="N204" s="56" t="str">
        <f>IF('AYIRA MINI MART FINAL MENU - Pr'!N204="", "", 'AYIRA MINI MART FINAL MENU - Pr'!N204)</f>
        <v/>
      </c>
      <c r="O204" s="57"/>
      <c r="P204" s="57"/>
      <c r="Q204" s="57"/>
      <c r="R204" s="57"/>
      <c r="S204" s="57"/>
      <c r="T204" s="57"/>
      <c r="U204" s="57"/>
      <c r="V204" s="57"/>
      <c r="W204" s="57"/>
      <c r="X204" s="57"/>
      <c r="Y204" s="57"/>
      <c r="Z204" s="57"/>
    </row>
    <row r="205">
      <c r="A205" s="56" t="str">
        <f>IFERROR(__xludf.DUMMYFUNCTION("IF('AYIRA MINI MART FINAL MENU - Pr'!A205="""", """", IF(LEN(TRIM(REGEXREPLACE(REGEXREPLACE('AYIRA MINI MART FINAL MENU - Pr'!A205, ""^[^\x{0600}-\x{06FF}]+"", """"), ""^[-–\s]+"", """")))&gt;0, TRIM(REGEXREPLACE(REGEXREPLACE('AYIRA MINI MART FINAL MENU - Pr"&amp;"'!A205, ""^[^\x{0600}-\x{06FF}]+"", """"), ""^[-–\s]+"", """")), GOOGLETRANSLATE('AYIRA MINI MART FINAL MENU - Pr'!A205, ""en"", ""ar"")))"),"بلدنا ليمون &amp; نعناع مشروب 1.5 لتر")</f>
        <v>بلدنا ليمون &amp; نعناع مشروب 1.5 لتر</v>
      </c>
      <c r="B205" s="56" t="str">
        <f>IFERROR(__xludf.DUMMYFUNCTION("IF('AYIRA MINI MART FINAL MENU - Pr'!B205="""", """", IF(LEN(TRIM(REGEXREPLACE(REGEXREPLACE('AYIRA MINI MART FINAL MENU - Pr'!B205, ""^[^\x{0600}-\x{06FF}]+"", """"), ""^[-–\s]+"", """")))&gt;0, TRIM(REGEXREPLACE(REGEXREPLACE('AYIRA MINI MART FINAL MENU - Pr"&amp;"'!B205, ""^[^\x{0600}-\x{06FF}]+"", """"), ""^[-–\s]+"", """")), GOOGLETRANSLATE('AYIRA MINI MART FINAL MENU - Pr'!B205, ""en"", ""ar"")))"),"العصائر ومشروبات الفاكهة")</f>
        <v>العصائر ومشروبات الفاكهة</v>
      </c>
      <c r="C205" s="58">
        <f>IF('AYIRA MINI MART FINAL MENU - Pr'!C205="", "", 'AYIRA MINI MART FINAL MENU - Pr'!C205)</f>
        <v>12</v>
      </c>
      <c r="D205" s="58" t="str">
        <f>IF('AYIRA MINI MART FINAL MENU - Pr'!D205="", "", 'AYIRA MINI MART FINAL MENU - Pr'!D205)</f>
        <v>أضف لحظة حلوة إلى يومك مع Baladna Lemon &amp; Mint Drink 1.5L،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205" s="56" t="str">
        <f>IF('AYIRA MINI MART FINAL MENU - Pr'!E205="", "", 'AYIRA MINI MART FINAL MENU - Pr'!E205)</f>
        <v/>
      </c>
      <c r="F205" s="56" t="str">
        <f>IF('AYIRA MINI MART FINAL MENU - Pr'!F205="", "", 'AYIRA MINI MART FINAL MENU - Pr'!F205)</f>
        <v/>
      </c>
      <c r="G205" s="56" t="str">
        <f>IF('AYIRA MINI MART FINAL MENU - Pr'!G205="", "", 'AYIRA MINI MART FINAL MENU - Pr'!G205)</f>
        <v/>
      </c>
      <c r="H205" s="56" t="str">
        <f>IF('AYIRA MINI MART FINAL MENU - Pr'!H205="", "", 'AYIRA MINI MART FINAL MENU - Pr'!H205)</f>
        <v/>
      </c>
      <c r="I205" s="56" t="str">
        <f>IF('AYIRA MINI MART FINAL MENU - Pr'!I205="", "", 'AYIRA MINI MART FINAL MENU - Pr'!I205)</f>
        <v/>
      </c>
      <c r="J205" s="56" t="str">
        <f>IFERROR(__xludf.DUMMYFUNCTION("IF('AYIRA MINI MART FINAL MENU - Pr'!J205="""", """", GOOGLETRANSLATE('AYIRA MINI MART FINAL MENU - Pr'!J205, ""en"", ""ar""))"),"يعرض")</f>
        <v>يعرض</v>
      </c>
      <c r="K205" s="56" t="str">
        <f>IF('AYIRA MINI MART FINAL MENU - Pr'!K205="", "", 'AYIRA MINI MART FINAL MENU - Pr'!K205)</f>
        <v/>
      </c>
      <c r="L205" s="56" t="str">
        <f>IF('AYIRA MINI MART FINAL MENU - Pr'!L205="", "", 'AYIRA MINI MART FINAL MENU - Pr'!L205)</f>
        <v/>
      </c>
      <c r="M205" s="56" t="str">
        <f>IF('AYIRA MINI MART FINAL MENU - Pr'!M205="", "", 'AYIRA MINI MART FINAL MENU - Pr'!M205)</f>
        <v/>
      </c>
      <c r="N205" s="56" t="str">
        <f>IF('AYIRA MINI MART FINAL MENU - Pr'!N205="", "", 'AYIRA MINI MART FINAL MENU - Pr'!N205)</f>
        <v/>
      </c>
      <c r="O205" s="57"/>
      <c r="P205" s="57"/>
      <c r="Q205" s="57"/>
      <c r="R205" s="57"/>
      <c r="S205" s="57"/>
      <c r="T205" s="57"/>
      <c r="U205" s="57"/>
      <c r="V205" s="57"/>
      <c r="W205" s="57"/>
      <c r="X205" s="57"/>
      <c r="Y205" s="57"/>
      <c r="Z205" s="57"/>
    </row>
    <row r="206">
      <c r="A206" s="56" t="str">
        <f>IFERROR(__xludf.DUMMYFUNCTION("IF('AYIRA MINI MART FINAL MENU - Pr'!A206="""", """", IF(LEN(TRIM(REGEXREPLACE(REGEXREPLACE('AYIRA MINI MART FINAL MENU - Pr'!A206, ""^[^\x{0600}-\x{06FF}]+"", """"), ""^[-–\s]+"", """")))&gt;0, TRIM(REGEXREPLACE(REGEXREPLACE('AYIRA MINI MART FINAL MENU - Pr"&amp;"'!A206, ""^[^\x{0600}-\x{06FF}]+"", """"), ""^[-–\s]+"", """")), GOOGLETRANSLATE('AYIRA MINI MART FINAL MENU - Pr'!A206, ""en"", ""ar"")))"),"المراعي مانجو نكتار 1.4 لتر")</f>
        <v>المراعي مانجو نكتار 1.4 لتر</v>
      </c>
      <c r="B206" s="56" t="str">
        <f>IFERROR(__xludf.DUMMYFUNCTION("IF('AYIRA MINI MART FINAL MENU - Pr'!B206="""", """", IF(LEN(TRIM(REGEXREPLACE(REGEXREPLACE('AYIRA MINI MART FINAL MENU - Pr'!B206, ""^[^\x{0600}-\x{06FF}]+"", """"), ""^[-–\s]+"", """")))&gt;0, TRIM(REGEXREPLACE(REGEXREPLACE('AYIRA MINI MART FINAL MENU - Pr"&amp;"'!B206, ""^[^\x{0600}-\x{06FF}]+"", """"), ""^[-–\s]+"", """")), GOOGLETRANSLATE('AYIRA MINI MART FINAL MENU - Pr'!B206, ""en"", ""ar"")))"),"العصائر ومشروبات الفاكهة")</f>
        <v>العصائر ومشروبات الفاكهة</v>
      </c>
      <c r="C206" s="58">
        <f>IF('AYIRA MINI MART FINAL MENU - Pr'!C206="", "", 'AYIRA MINI MART FINAL MENU - Pr'!C206)</f>
        <v>12</v>
      </c>
      <c r="D206" s="58" t="str">
        <f>IF('AYIRA MINI MART FINAL MENU - Pr'!D206="", "", 'AYIRA MINI MART FINAL MENU - Pr'!D206)</f>
        <v>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06" s="56" t="str">
        <f>IF('AYIRA MINI MART FINAL MENU - Pr'!E206="", "", 'AYIRA MINI MART FINAL MENU - Pr'!E206)</f>
        <v/>
      </c>
      <c r="F206" s="56" t="str">
        <f>IF('AYIRA MINI MART FINAL MENU - Pr'!F206="", "", 'AYIRA MINI MART FINAL MENU - Pr'!F206)</f>
        <v/>
      </c>
      <c r="G206" s="56" t="str">
        <f>IF('AYIRA MINI MART FINAL MENU - Pr'!G206="", "", 'AYIRA MINI MART FINAL MENU - Pr'!G206)</f>
        <v/>
      </c>
      <c r="H206" s="56" t="str">
        <f>IF('AYIRA MINI MART FINAL MENU - Pr'!H206="", "", 'AYIRA MINI MART FINAL MENU - Pr'!H206)</f>
        <v/>
      </c>
      <c r="I206" s="56" t="str">
        <f>IF('AYIRA MINI MART FINAL MENU - Pr'!I206="", "", 'AYIRA MINI MART FINAL MENU - Pr'!I206)</f>
        <v/>
      </c>
      <c r="J206" s="56" t="str">
        <f>IFERROR(__xludf.DUMMYFUNCTION("IF('AYIRA MINI MART FINAL MENU - Pr'!J206="""", """", GOOGLETRANSLATE('AYIRA MINI MART FINAL MENU - Pr'!J206, ""en"", ""ar""))"),"يعرض")</f>
        <v>يعرض</v>
      </c>
      <c r="K206" s="56" t="str">
        <f>IF('AYIRA MINI MART FINAL MENU - Pr'!K206="", "", 'AYIRA MINI MART FINAL MENU - Pr'!K206)</f>
        <v/>
      </c>
      <c r="L206" s="56" t="str">
        <f>IF('AYIRA MINI MART FINAL MENU - Pr'!L206="", "", 'AYIRA MINI MART FINAL MENU - Pr'!L206)</f>
        <v/>
      </c>
      <c r="M206" s="56" t="str">
        <f>IF('AYIRA MINI MART FINAL MENU - Pr'!M206="", "", 'AYIRA MINI MART FINAL MENU - Pr'!M206)</f>
        <v/>
      </c>
      <c r="N206" s="56" t="str">
        <f>IF('AYIRA MINI MART FINAL MENU - Pr'!N206="", "", 'AYIRA MINI MART FINAL MENU - Pr'!N206)</f>
        <v/>
      </c>
      <c r="O206" s="57"/>
      <c r="P206" s="57"/>
      <c r="Q206" s="57"/>
      <c r="R206" s="57"/>
      <c r="S206" s="57"/>
      <c r="T206" s="57"/>
      <c r="U206" s="57"/>
      <c r="V206" s="57"/>
      <c r="W206" s="57"/>
      <c r="X206" s="57"/>
      <c r="Y206" s="57"/>
      <c r="Z206" s="57"/>
    </row>
    <row r="207">
      <c r="A207" s="56" t="str">
        <f>IFERROR(__xludf.DUMMYFUNCTION("IF('AYIRA MINI MART FINAL MENU - Pr'!A207="""", """", IF(LEN(TRIM(REGEXREPLACE(REGEXREPLACE('AYIRA MINI MART FINAL MENU - Pr'!A207, ""^[^\x{0600}-\x{06FF}]+"", """"), ""^[-–\s]+"", """")))&gt;0, TRIM(REGEXREPLACE(REGEXREPLACE('AYIRA MINI MART FINAL MENU - Pr"&amp;"'!A207, ""^[^\x{0600}-\x{06FF}]+"", """"), ""^[-–\s]+"", """")), GOOGLETRANSLATE('AYIRA MINI MART FINAL MENU - Pr'!A207, ""en"", ""ar"")))"),"المراعي مشكل Fruit نكتار 1.4 لتر")</f>
        <v>المراعي مشكل Fruit نكتار 1.4 لتر</v>
      </c>
      <c r="B207" s="56" t="str">
        <f>IFERROR(__xludf.DUMMYFUNCTION("IF('AYIRA MINI MART FINAL MENU - Pr'!B207="""", """", IF(LEN(TRIM(REGEXREPLACE(REGEXREPLACE('AYIRA MINI MART FINAL MENU - Pr'!B207, ""^[^\x{0600}-\x{06FF}]+"", """"), ""^[-–\s]+"", """")))&gt;0, TRIM(REGEXREPLACE(REGEXREPLACE('AYIRA MINI MART FINAL MENU - Pr"&amp;"'!B207, ""^[^\x{0600}-\x{06FF}]+"", """"), ""^[-–\s]+"", """")), GOOGLETRANSLATE('AYIRA MINI MART FINAL MENU - Pr'!B207, ""en"", ""ar"")))"),"العصائر ومشروبات الفاكهة")</f>
        <v>العصائر ومشروبات الفاكهة</v>
      </c>
      <c r="C207" s="58">
        <f>IF('AYIRA MINI MART FINAL MENU - Pr'!C207="", "", 'AYIRA MINI MART FINAL MENU - Pr'!C207)</f>
        <v>12</v>
      </c>
      <c r="D207" s="58" t="str">
        <f>IF('AYIRA MINI MART FINAL MENU - Pr'!D207="", "", 'AYIRA MINI MART FINAL MENU - Pr'!D207)</f>
        <v>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07" s="56" t="str">
        <f>IF('AYIRA MINI MART FINAL MENU - Pr'!E207="", "", 'AYIRA MINI MART FINAL MENU - Pr'!E207)</f>
        <v/>
      </c>
      <c r="F207" s="56" t="str">
        <f>IF('AYIRA MINI MART FINAL MENU - Pr'!F207="", "", 'AYIRA MINI MART FINAL MENU - Pr'!F207)</f>
        <v/>
      </c>
      <c r="G207" s="56" t="str">
        <f>IF('AYIRA MINI MART FINAL MENU - Pr'!G207="", "", 'AYIRA MINI MART FINAL MENU - Pr'!G207)</f>
        <v/>
      </c>
      <c r="H207" s="56" t="str">
        <f>IF('AYIRA MINI MART FINAL MENU - Pr'!H207="", "", 'AYIRA MINI MART FINAL MENU - Pr'!H207)</f>
        <v/>
      </c>
      <c r="I207" s="56" t="str">
        <f>IF('AYIRA MINI MART FINAL MENU - Pr'!I207="", "", 'AYIRA MINI MART FINAL MENU - Pr'!I207)</f>
        <v/>
      </c>
      <c r="J207" s="56" t="str">
        <f>IFERROR(__xludf.DUMMYFUNCTION("IF('AYIRA MINI MART FINAL MENU - Pr'!J207="""", """", GOOGLETRANSLATE('AYIRA MINI MART FINAL MENU - Pr'!J207, ""en"", ""ar""))"),"يعرض")</f>
        <v>يعرض</v>
      </c>
      <c r="K207" s="56" t="str">
        <f>IF('AYIRA MINI MART FINAL MENU - Pr'!K207="", "", 'AYIRA MINI MART FINAL MENU - Pr'!K207)</f>
        <v/>
      </c>
      <c r="L207" s="56" t="str">
        <f>IF('AYIRA MINI MART FINAL MENU - Pr'!L207="", "", 'AYIRA MINI MART FINAL MENU - Pr'!L207)</f>
        <v/>
      </c>
      <c r="M207" s="56" t="str">
        <f>IF('AYIRA MINI MART FINAL MENU - Pr'!M207="", "", 'AYIRA MINI MART FINAL MENU - Pr'!M207)</f>
        <v/>
      </c>
      <c r="N207" s="56" t="str">
        <f>IF('AYIRA MINI MART FINAL MENU - Pr'!N207="", "", 'AYIRA MINI MART FINAL MENU - Pr'!N207)</f>
        <v/>
      </c>
      <c r="O207" s="57"/>
      <c r="P207" s="57"/>
      <c r="Q207" s="57"/>
      <c r="R207" s="57"/>
      <c r="S207" s="57"/>
      <c r="T207" s="57"/>
      <c r="U207" s="57"/>
      <c r="V207" s="57"/>
      <c r="W207" s="57"/>
      <c r="X207" s="57"/>
      <c r="Y207" s="57"/>
      <c r="Z207" s="57"/>
    </row>
    <row r="208">
      <c r="A208" s="56" t="str">
        <f>IFERROR(__xludf.DUMMYFUNCTION("IF('AYIRA MINI MART FINAL MENU - Pr'!A208="""", """", IF(LEN(TRIM(REGEXREPLACE(REGEXREPLACE('AYIRA MINI MART FINAL MENU - Pr'!A208, ""^[^\x{0600}-\x{06FF}]+"", """"), ""^[-–\s]+"", """")))&gt;0, TRIM(REGEXREPLACE(REGEXREPLACE('AYIRA MINI MART FINAL MENU - Pr"&amp;"'!A208, ""^[^\x{0600}-\x{06FF}]+"", """"), ""^[-–\s]+"", """")), GOOGLETRANSLATE('AYIRA MINI MART FINAL MENU - Pr'!A208, ""en"", ""ar"")))"),"المراعي مشكل Berry نكتار 1.4 لتر")</f>
        <v>المراعي مشكل Berry نكتار 1.4 لتر</v>
      </c>
      <c r="B208" s="56" t="str">
        <f>IFERROR(__xludf.DUMMYFUNCTION("IF('AYIRA MINI MART FINAL MENU - Pr'!B208="""", """", IF(LEN(TRIM(REGEXREPLACE(REGEXREPLACE('AYIRA MINI MART FINAL MENU - Pr'!B208, ""^[^\x{0600}-\x{06FF}]+"", """"), ""^[-–\s]+"", """")))&gt;0, TRIM(REGEXREPLACE(REGEXREPLACE('AYIRA MINI MART FINAL MENU - Pr"&amp;"'!B208, ""^[^\x{0600}-\x{06FF}]+"", """"), ""^[-–\s]+"", """")), GOOGLETRANSLATE('AYIRA MINI MART FINAL MENU - Pr'!B208, ""en"", ""ar"")))"),"العصائر ومشروبات الفاكهة")</f>
        <v>العصائر ومشروبات الفاكهة</v>
      </c>
      <c r="C208" s="58">
        <f>IF('AYIRA MINI MART FINAL MENU - Pr'!C208="", "", 'AYIRA MINI MART FINAL MENU - Pr'!C208)</f>
        <v>12</v>
      </c>
      <c r="D208" s="58" t="str">
        <f>IF('AYIRA MINI MART FINAL MENU - Pr'!D208="", "", 'AYIRA MINI MART FINAL MENU - Pr'!D208)</f>
        <v>احرص على صحتك مع المراعي،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08" s="56" t="str">
        <f>IF('AYIRA MINI MART FINAL MENU - Pr'!E208="", "", 'AYIRA MINI MART FINAL MENU - Pr'!E208)</f>
        <v/>
      </c>
      <c r="F208" s="56" t="str">
        <f>IF('AYIRA MINI MART FINAL MENU - Pr'!F208="", "", 'AYIRA MINI MART FINAL MENU - Pr'!F208)</f>
        <v/>
      </c>
      <c r="G208" s="56" t="str">
        <f>IF('AYIRA MINI MART FINAL MENU - Pr'!G208="", "", 'AYIRA MINI MART FINAL MENU - Pr'!G208)</f>
        <v/>
      </c>
      <c r="H208" s="56" t="str">
        <f>IF('AYIRA MINI MART FINAL MENU - Pr'!H208="", "", 'AYIRA MINI MART FINAL MENU - Pr'!H208)</f>
        <v/>
      </c>
      <c r="I208" s="56" t="str">
        <f>IF('AYIRA MINI MART FINAL MENU - Pr'!I208="", "", 'AYIRA MINI MART FINAL MENU - Pr'!I208)</f>
        <v/>
      </c>
      <c r="J208" s="56" t="str">
        <f>IFERROR(__xludf.DUMMYFUNCTION("IF('AYIRA MINI MART FINAL MENU - Pr'!J208="""", """", GOOGLETRANSLATE('AYIRA MINI MART FINAL MENU - Pr'!J208, ""en"", ""ar""))"),"يعرض")</f>
        <v>يعرض</v>
      </c>
      <c r="K208" s="56" t="str">
        <f>IF('AYIRA MINI MART FINAL MENU - Pr'!K208="", "", 'AYIRA MINI MART FINAL MENU - Pr'!K208)</f>
        <v/>
      </c>
      <c r="L208" s="56" t="str">
        <f>IF('AYIRA MINI MART FINAL MENU - Pr'!L208="", "", 'AYIRA MINI MART FINAL MENU - Pr'!L208)</f>
        <v/>
      </c>
      <c r="M208" s="56" t="str">
        <f>IF('AYIRA MINI MART FINAL MENU - Pr'!M208="", "", 'AYIRA MINI MART FINAL MENU - Pr'!M208)</f>
        <v/>
      </c>
      <c r="N208" s="56" t="str">
        <f>IF('AYIRA MINI MART FINAL MENU - Pr'!N208="", "", 'AYIRA MINI MART FINAL MENU - Pr'!N208)</f>
        <v/>
      </c>
      <c r="O208" s="57"/>
      <c r="P208" s="57"/>
      <c r="Q208" s="57"/>
      <c r="R208" s="57"/>
      <c r="S208" s="57"/>
      <c r="T208" s="57"/>
      <c r="U208" s="57"/>
      <c r="V208" s="57"/>
      <c r="W208" s="57"/>
      <c r="X208" s="57"/>
      <c r="Y208" s="57"/>
      <c r="Z208" s="57"/>
    </row>
    <row r="209">
      <c r="A209" s="56" t="str">
        <f>IFERROR(__xludf.DUMMYFUNCTION("IF('AYIRA MINI MART FINAL MENU - Pr'!A209="""", """", IF(LEN(TRIM(REGEXREPLACE(REGEXREPLACE('AYIRA MINI MART FINAL MENU - Pr'!A209, ""^[^\x{0600}-\x{06FF}]+"", """"), ""^[-–\s]+"", """")))&gt;0, TRIM(REGEXREPLACE(REGEXREPLACE('AYIRA MINI MART FINAL MENU - Pr"&amp;"'!A209, ""^[^\x{0600}-\x{06FF}]+"", """"), ""^[-–\s]+"", """")), GOOGLETRANSLATE('AYIRA MINI MART FINAL MENU - Pr'!A209, ""en"", ""ar"")))"),"بلدنا تفاح نكتار Refreshing Delight 200 مل")</f>
        <v>بلدنا تفاح نكتار Refreshing Delight 200 مل</v>
      </c>
      <c r="B209" s="56" t="str">
        <f>IFERROR(__xludf.DUMMYFUNCTION("IF('AYIRA MINI MART FINAL MENU - Pr'!B209="""", """", IF(LEN(TRIM(REGEXREPLACE(REGEXREPLACE('AYIRA MINI MART FINAL MENU - Pr'!B209, ""^[^\x{0600}-\x{06FF}]+"", """"), ""^[-–\s]+"", """")))&gt;0, TRIM(REGEXREPLACE(REGEXREPLACE('AYIRA MINI MART FINAL MENU - Pr"&amp;"'!B209, ""^[^\x{0600}-\x{06FF}]+"", """"), ""^[-–\s]+"", """")), GOOGLETRANSLATE('AYIRA MINI MART FINAL MENU - Pr'!B209, ""en"", ""ar"")))"),"العصائر ومشروبات الفاكهة")</f>
        <v>العصائر ومشروبات الفاكهة</v>
      </c>
      <c r="C209" s="58">
        <f>IF('AYIRA MINI MART FINAL MENU - Pr'!C209="", "", 'AYIRA MINI MART FINAL MENU - Pr'!C209)</f>
        <v>2.5</v>
      </c>
      <c r="D209" s="58" t="str">
        <f>IF('AYIRA MINI MART FINAL MENU - Pr'!D209="", "", 'AYIRA MINI MART FINAL MENU - Pr'!D209)</f>
        <v>احرص على صحتك مع Baladna Apple Nectar Refreshing Delight 200ml،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09" s="56" t="str">
        <f>IF('AYIRA MINI MART FINAL MENU - Pr'!E209="", "", 'AYIRA MINI MART FINAL MENU - Pr'!E209)</f>
        <v/>
      </c>
      <c r="F209" s="56" t="str">
        <f>IF('AYIRA MINI MART FINAL MENU - Pr'!F209="", "", 'AYIRA MINI MART FINAL MENU - Pr'!F209)</f>
        <v/>
      </c>
      <c r="G209" s="56" t="str">
        <f>IF('AYIRA MINI MART FINAL MENU - Pr'!G209="", "", 'AYIRA MINI MART FINAL MENU - Pr'!G209)</f>
        <v/>
      </c>
      <c r="H209" s="56" t="str">
        <f>IF('AYIRA MINI MART FINAL MENU - Pr'!H209="", "", 'AYIRA MINI MART FINAL MENU - Pr'!H209)</f>
        <v/>
      </c>
      <c r="I209" s="56" t="str">
        <f>IF('AYIRA MINI MART FINAL MENU - Pr'!I209="", "", 'AYIRA MINI MART FINAL MENU - Pr'!I209)</f>
        <v/>
      </c>
      <c r="J209" s="56" t="str">
        <f>IFERROR(__xludf.DUMMYFUNCTION("IF('AYIRA MINI MART FINAL MENU - Pr'!J209="""", """", GOOGLETRANSLATE('AYIRA MINI MART FINAL MENU - Pr'!J209, ""en"", ""ar""))"),"يعرض")</f>
        <v>يعرض</v>
      </c>
      <c r="K209" s="56" t="str">
        <f>IF('AYIRA MINI MART FINAL MENU - Pr'!K209="", "", 'AYIRA MINI MART FINAL MENU - Pr'!K209)</f>
        <v/>
      </c>
      <c r="L209" s="56" t="str">
        <f>IF('AYIRA MINI MART FINAL MENU - Pr'!L209="", "", 'AYIRA MINI MART FINAL MENU - Pr'!L209)</f>
        <v/>
      </c>
      <c r="M209" s="56" t="str">
        <f>IF('AYIRA MINI MART FINAL MENU - Pr'!M209="", "", 'AYIRA MINI MART FINAL MENU - Pr'!M209)</f>
        <v/>
      </c>
      <c r="N209" s="56" t="str">
        <f>IF('AYIRA MINI MART FINAL MENU - Pr'!N209="", "", 'AYIRA MINI MART FINAL MENU - Pr'!N209)</f>
        <v/>
      </c>
      <c r="O209" s="57"/>
      <c r="P209" s="57"/>
      <c r="Q209" s="57"/>
      <c r="R209" s="57"/>
      <c r="S209" s="57"/>
      <c r="T209" s="57"/>
      <c r="U209" s="57"/>
      <c r="V209" s="57"/>
      <c r="W209" s="57"/>
      <c r="X209" s="57"/>
      <c r="Y209" s="57"/>
      <c r="Z209" s="57"/>
    </row>
    <row r="210">
      <c r="A210" s="56" t="str">
        <f>IFERROR(__xludf.DUMMYFUNCTION("IF('AYIRA MINI MART FINAL MENU - Pr'!A210="""", """", IF(LEN(TRIM(REGEXREPLACE(REGEXREPLACE('AYIRA MINI MART FINAL MENU - Pr'!A210, ""^[^\x{0600}-\x{06FF}]+"", """"), ""^[-–\s]+"", """")))&gt;0, TRIM(REGEXREPLACE(REGEXREPLACE('AYIRA MINI MART FINAL MENU - Pr"&amp;"'!A210, ""^[^\x{0600}-\x{06FF}]+"", """"), ""^[-–\s]+"", """")), GOOGLETRANSLATE('AYIRA MINI MART FINAL MENU - Pr'!A210, ""en"", ""ar"")))"),"بودرة – فيتامين D &amp; Calcium (500 غرام)")</f>
        <v>بودرة – فيتامين D &amp; Calcium (500 غرام)</v>
      </c>
      <c r="B210" s="56" t="str">
        <f>IFERROR(__xludf.DUMMYFUNCTION("IF('AYIRA MINI MART FINAL MENU - Pr'!B210="""", """", IF(LEN(TRIM(REGEXREPLACE(REGEXREPLACE('AYIRA MINI MART FINAL MENU - Pr'!B210, ""^[^\x{0600}-\x{06FF}]+"", """"), ""^[-–\s]+"", """")))&gt;0, TRIM(REGEXREPLACE(REGEXREPLACE('AYIRA MINI MART FINAL MENU - Pr"&amp;"'!B210, ""^[^\x{0600}-\x{06FF}]+"", """"), ""^[-–\s]+"", """")), GOOGLETRANSLATE('AYIRA MINI MART FINAL MENU - Pr'!B210, ""en"", ""ar"")))"),"مشروبات الطاقة والرياضة")</f>
        <v>مشروبات الطاقة والرياضة</v>
      </c>
      <c r="C210" s="58">
        <f>IF('AYIRA MINI MART FINAL MENU - Pr'!C210="", "", 'AYIRA MINI MART FINAL MENU - Pr'!C210)</f>
        <v>0</v>
      </c>
      <c r="D210" s="58" t="str">
        <f>IF('AYIRA MINI MART FINAL MENU - Pr'!D210="", "", 'AYIRA MINI MART FINAL MENU - Pr'!D210)</f>
        <v>اكتشف Dabur Glucose-D Energy Powder – Vitamin D &amp; Calcium (500g)،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10" s="56" t="str">
        <f>IF('AYIRA MINI MART FINAL MENU - Pr'!E210="", "", 'AYIRA MINI MART FINAL MENU - Pr'!E210)</f>
        <v/>
      </c>
      <c r="F210" s="56" t="str">
        <f>IF('AYIRA MINI MART FINAL MENU - Pr'!F210="", "", 'AYIRA MINI MART FINAL MENU - Pr'!F210)</f>
        <v/>
      </c>
      <c r="G210" s="56" t="str">
        <f>IF('AYIRA MINI MART FINAL MENU - Pr'!G210="", "", 'AYIRA MINI MART FINAL MENU - Pr'!G210)</f>
        <v/>
      </c>
      <c r="H210" s="56" t="str">
        <f>IF('AYIRA MINI MART FINAL MENU - Pr'!H210="", "", 'AYIRA MINI MART FINAL MENU - Pr'!H210)</f>
        <v/>
      </c>
      <c r="I210" s="56" t="str">
        <f>IF('AYIRA MINI MART FINAL MENU - Pr'!I210="", "", 'AYIRA MINI MART FINAL MENU - Pr'!I210)</f>
        <v/>
      </c>
      <c r="J210" s="56" t="str">
        <f>IFERROR(__xludf.DUMMYFUNCTION("IF('AYIRA MINI MART FINAL MENU - Pr'!J210="""", """", GOOGLETRANSLATE('AYIRA MINI MART FINAL MENU - Pr'!J210, ""en"", ""ar""))"),"إنتهى من المخزن")</f>
        <v>إنتهى من المخزن</v>
      </c>
      <c r="K210" s="56" t="str">
        <f>IF('AYIRA MINI MART FINAL MENU - Pr'!K210="", "", 'AYIRA MINI MART FINAL MENU - Pr'!K210)</f>
        <v/>
      </c>
      <c r="L210" s="56" t="str">
        <f>IF('AYIRA MINI MART FINAL MENU - Pr'!L210="", "", 'AYIRA MINI MART FINAL MENU - Pr'!L210)</f>
        <v/>
      </c>
      <c r="M210" s="56" t="str">
        <f>IF('AYIRA MINI MART FINAL MENU - Pr'!M210="", "", 'AYIRA MINI MART FINAL MENU - Pr'!M210)</f>
        <v/>
      </c>
      <c r="N210" s="56" t="str">
        <f>IF('AYIRA MINI MART FINAL MENU - Pr'!N210="", "", 'AYIRA MINI MART FINAL MENU - Pr'!N210)</f>
        <v/>
      </c>
      <c r="O210" s="57"/>
      <c r="P210" s="57"/>
      <c r="Q210" s="57"/>
      <c r="R210" s="57"/>
      <c r="S210" s="57"/>
      <c r="T210" s="57"/>
      <c r="U210" s="57"/>
      <c r="V210" s="57"/>
      <c r="W210" s="57"/>
      <c r="X210" s="57"/>
      <c r="Y210" s="57"/>
      <c r="Z210" s="57"/>
    </row>
    <row r="211">
      <c r="A211" s="56" t="str">
        <f>IFERROR(__xludf.DUMMYFUNCTION("IF('AYIRA MINI MART FINAL MENU - Pr'!A211="""", """", IF(LEN(TRIM(REGEXREPLACE(REGEXREPLACE('AYIRA MINI MART FINAL MENU - Pr'!A211, ""^[^\x{0600}-\x{06FF}]+"", """"), ""^[-–\s]+"", """")))&gt;0, TRIM(REGEXREPLACE(REGEXREPLACE('AYIRA MINI MART FINAL MENU - Pr"&amp;"'!A211, ""^[^\x{0600}-\x{06FF}]+"", """"), ""^[-–\s]+"", """")), GOOGLETRANSLATE('AYIRA MINI MART FINAL MENU - Pr'!A211, ""en"", ""ar"")))"),"برتقال Flavoured Energy بودرة – فيتامين C &amp; Calcium (500 غرام)")</f>
        <v>برتقال Flavoured Energy بودرة – فيتامين C &amp; Calcium (500 غرام)</v>
      </c>
      <c r="B211" s="56" t="str">
        <f>IFERROR(__xludf.DUMMYFUNCTION("IF('AYIRA MINI MART FINAL MENU - Pr'!B211="""", """", IF(LEN(TRIM(REGEXREPLACE(REGEXREPLACE('AYIRA MINI MART FINAL MENU - Pr'!B211, ""^[^\x{0600}-\x{06FF}]+"", """"), ""^[-–\s]+"", """")))&gt;0, TRIM(REGEXREPLACE(REGEXREPLACE('AYIRA MINI MART FINAL MENU - Pr"&amp;"'!B211, ""^[^\x{0600}-\x{06FF}]+"", """"), ""^[-–\s]+"", """")), GOOGLETRANSLATE('AYIRA MINI MART FINAL MENU - Pr'!B211, ""en"", ""ar"")))"),"مشروبات الطاقة والرياضة")</f>
        <v>مشروبات الطاقة والرياضة</v>
      </c>
      <c r="C211" s="58">
        <f>IF('AYIRA MINI MART FINAL MENU - Pr'!C211="", "", 'AYIRA MINI MART FINAL MENU - Pr'!C211)</f>
        <v>0</v>
      </c>
      <c r="D211" s="58" t="str">
        <f>IF('AYIRA MINI MART FINAL MENU - Pr'!D211="", "", 'AYIRA MINI MART FINAL MENU - Pr'!D211)</f>
        <v>اكتشف فيتامين سي،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11" s="56" t="str">
        <f>IF('AYIRA MINI MART FINAL MENU - Pr'!E211="", "", 'AYIRA MINI MART FINAL MENU - Pr'!E211)</f>
        <v/>
      </c>
      <c r="F211" s="56" t="str">
        <f>IF('AYIRA MINI MART FINAL MENU - Pr'!F211="", "", 'AYIRA MINI MART FINAL MENU - Pr'!F211)</f>
        <v/>
      </c>
      <c r="G211" s="56" t="str">
        <f>IF('AYIRA MINI MART FINAL MENU - Pr'!G211="", "", 'AYIRA MINI MART FINAL MENU - Pr'!G211)</f>
        <v/>
      </c>
      <c r="H211" s="56" t="str">
        <f>IF('AYIRA MINI MART FINAL MENU - Pr'!H211="", "", 'AYIRA MINI MART FINAL MENU - Pr'!H211)</f>
        <v/>
      </c>
      <c r="I211" s="56" t="str">
        <f>IF('AYIRA MINI MART FINAL MENU - Pr'!I211="", "", 'AYIRA MINI MART FINAL MENU - Pr'!I211)</f>
        <v/>
      </c>
      <c r="J211" s="56" t="str">
        <f>IFERROR(__xludf.DUMMYFUNCTION("IF('AYIRA MINI MART FINAL MENU - Pr'!J211="""", """", GOOGLETRANSLATE('AYIRA MINI MART FINAL MENU - Pr'!J211, ""en"", ""ar""))"),"إنتهى من المخزن")</f>
        <v>إنتهى من المخزن</v>
      </c>
      <c r="K211" s="56" t="str">
        <f>IF('AYIRA MINI MART FINAL MENU - Pr'!K211="", "", 'AYIRA MINI MART FINAL MENU - Pr'!K211)</f>
        <v/>
      </c>
      <c r="L211" s="56" t="str">
        <f>IF('AYIRA MINI MART FINAL MENU - Pr'!L211="", "", 'AYIRA MINI MART FINAL MENU - Pr'!L211)</f>
        <v/>
      </c>
      <c r="M211" s="56" t="str">
        <f>IF('AYIRA MINI MART FINAL MENU - Pr'!M211="", "", 'AYIRA MINI MART FINAL MENU - Pr'!M211)</f>
        <v/>
      </c>
      <c r="N211" s="56" t="str">
        <f>IF('AYIRA MINI MART FINAL MENU - Pr'!N211="", "", 'AYIRA MINI MART FINAL MENU - Pr'!N211)</f>
        <v/>
      </c>
      <c r="O211" s="57"/>
      <c r="P211" s="57"/>
      <c r="Q211" s="57"/>
      <c r="R211" s="57"/>
      <c r="S211" s="57"/>
      <c r="T211" s="57"/>
      <c r="U211" s="57"/>
      <c r="V211" s="57"/>
      <c r="W211" s="57"/>
      <c r="X211" s="57"/>
      <c r="Y211" s="57"/>
      <c r="Z211" s="57"/>
    </row>
    <row r="212">
      <c r="A212" s="56" t="str">
        <f>IFERROR(__xludf.DUMMYFUNCTION("IF('AYIRA MINI MART FINAL MENU - Pr'!A212="""", """", IF(LEN(TRIM(REGEXREPLACE(REGEXREPLACE('AYIRA MINI MART FINAL MENU - Pr'!A212, ""^[^\x{0600}-\x{06FF}]+"", """"), ""^[-–\s]+"", """")))&gt;0, TRIM(REGEXREPLACE(REGEXREPLACE('AYIRA MINI MART FINAL MENU - Pr"&amp;"'!A212, ""^[^\x{0600}-\x{06FF}]+"", """"), ""^[-–\s]+"", """")), GOOGLETRANSLATE('AYIRA MINI MART FINAL MENU - Pr'!A212, ""en"", ""ar"")))"),"تانج برتقال فوري مشروب بودرة 375 غرام")</f>
        <v>تانج برتقال فوري مشروب بودرة 375 غرام</v>
      </c>
      <c r="B212" s="56" t="str">
        <f>IFERROR(__xludf.DUMMYFUNCTION("IF('AYIRA MINI MART FINAL MENU - Pr'!B212="""", """", IF(LEN(TRIM(REGEXREPLACE(REGEXREPLACE('AYIRA MINI MART FINAL MENU - Pr'!B212, ""^[^\x{0600}-\x{06FF}]+"", """"), ""^[-–\s]+"", """")))&gt;0, TRIM(REGEXREPLACE(REGEXREPLACE('AYIRA MINI MART FINAL MENU - Pr"&amp;"'!B212, ""^[^\x{0600}-\x{06FF}]+"", """"), ""^[-–\s]+"", """")), GOOGLETRANSLATE('AYIRA MINI MART FINAL MENU - Pr'!B212, ""en"", ""ar"")))"),"المشروبات الغازية")</f>
        <v>المشروبات الغازية</v>
      </c>
      <c r="C212" s="58">
        <f>IF('AYIRA MINI MART FINAL MENU - Pr'!C212="", "", 'AYIRA MINI MART FINAL MENU - Pr'!C212)</f>
        <v>12</v>
      </c>
      <c r="D212" s="58" t="str">
        <f>IF('AYIRA MINI MART FINAL MENU - Pr'!D212="", "", 'AYIRA MINI MART FINAL MENU - Pr'!D212)</f>
        <v>اكتشف Tang Orange Instant Drink Powder 375g،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12" s="56" t="str">
        <f>IF('AYIRA MINI MART FINAL MENU - Pr'!E212="", "", 'AYIRA MINI MART FINAL MENU - Pr'!E212)</f>
        <v/>
      </c>
      <c r="F212" s="56" t="str">
        <f>IF('AYIRA MINI MART FINAL MENU - Pr'!F212="", "", 'AYIRA MINI MART FINAL MENU - Pr'!F212)</f>
        <v/>
      </c>
      <c r="G212" s="56" t="str">
        <f>IF('AYIRA MINI MART FINAL MENU - Pr'!G212="", "", 'AYIRA MINI MART FINAL MENU - Pr'!G212)</f>
        <v/>
      </c>
      <c r="H212" s="56" t="str">
        <f>IF('AYIRA MINI MART FINAL MENU - Pr'!H212="", "", 'AYIRA MINI MART FINAL MENU - Pr'!H212)</f>
        <v/>
      </c>
      <c r="I212" s="56" t="str">
        <f>IF('AYIRA MINI MART FINAL MENU - Pr'!I212="", "", 'AYIRA MINI MART FINAL MENU - Pr'!I212)</f>
        <v/>
      </c>
      <c r="J212" s="56" t="str">
        <f>IFERROR(__xludf.DUMMYFUNCTION("IF('AYIRA MINI MART FINAL MENU - Pr'!J212="""", """", GOOGLETRANSLATE('AYIRA MINI MART FINAL MENU - Pr'!J212, ""en"", ""ar""))"),"يعرض")</f>
        <v>يعرض</v>
      </c>
      <c r="K212" s="56" t="str">
        <f>IF('AYIRA MINI MART FINAL MENU - Pr'!K212="", "", 'AYIRA MINI MART FINAL MENU - Pr'!K212)</f>
        <v/>
      </c>
      <c r="L212" s="56" t="str">
        <f>IF('AYIRA MINI MART FINAL MENU - Pr'!L212="", "", 'AYIRA MINI MART FINAL MENU - Pr'!L212)</f>
        <v/>
      </c>
      <c r="M212" s="56" t="str">
        <f>IF('AYIRA MINI MART FINAL MENU - Pr'!M212="", "", 'AYIRA MINI MART FINAL MENU - Pr'!M212)</f>
        <v/>
      </c>
      <c r="N212" s="56" t="str">
        <f>IF('AYIRA MINI MART FINAL MENU - Pr'!N212="", "", 'AYIRA MINI MART FINAL MENU - Pr'!N212)</f>
        <v/>
      </c>
      <c r="O212" s="57"/>
      <c r="P212" s="57"/>
      <c r="Q212" s="57"/>
      <c r="R212" s="57"/>
      <c r="S212" s="57"/>
      <c r="T212" s="57"/>
      <c r="U212" s="57"/>
      <c r="V212" s="57"/>
      <c r="W212" s="57"/>
      <c r="X212" s="57"/>
      <c r="Y212" s="57"/>
      <c r="Z212" s="57"/>
    </row>
    <row r="213">
      <c r="A213" s="56" t="str">
        <f>IFERROR(__xludf.DUMMYFUNCTION("IF('AYIRA MINI MART FINAL MENU - Pr'!A213="""", """", IF(LEN(TRIM(REGEXREPLACE(REGEXREPLACE('AYIRA MINI MART FINAL MENU - Pr'!A213, ""^[^\x{0600}-\x{06FF}]+"", """"), ""^[-–\s]+"", """")))&gt;0, TRIM(REGEXREPLACE(REGEXREPLACE('AYIRA MINI MART FINAL MENU - Pr"&amp;"'!A213, ""^[^\x{0600}-\x{06FF}]+"", """"), ""^[-–\s]+"", """")), GOOGLETRANSLATE('AYIRA MINI MART FINAL MENU - Pr'!A213, ""en"", ""ar"")))"),"أناناس 240 مل")</f>
        <v>أناناس 240 مل</v>
      </c>
      <c r="B213" s="56" t="str">
        <f>IFERROR(__xludf.DUMMYFUNCTION("IF('AYIRA MINI MART FINAL MENU - Pr'!B213="""", """", IF(LEN(TRIM(REGEXREPLACE(REGEXREPLACE('AYIRA MINI MART FINAL MENU - Pr'!B213, ""^[^\x{0600}-\x{06FF}]+"", """"), ""^[-–\s]+"", """")))&gt;0, TRIM(REGEXREPLACE(REGEXREPLACE('AYIRA MINI MART FINAL MENU - Pr"&amp;"'!B213, ""^[^\x{0600}-\x{06FF}]+"", """"), ""^[-–\s]+"", """")), GOOGLETRANSLATE('AYIRA MINI MART FINAL MENU - Pr'!B213, ""en"", ""ar"")))"),"العصائر ومشروبات الفاكهة")</f>
        <v>العصائر ومشروبات الفاكهة</v>
      </c>
      <c r="C213" s="58">
        <f>IF('AYIRA MINI MART FINAL MENU - Pr'!C213="", "", 'AYIRA MINI MART FINAL MENU - Pr'!C213)</f>
        <v>2</v>
      </c>
      <c r="D213" s="58" t="str">
        <f>IF('AYIRA MINI MART FINAL MENU - Pr'!D213="", "", 'AYIRA MINI MART FINAL MENU - Pr'!D213)</f>
        <v>اكتشف Rani Float Pineapple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13" s="56" t="str">
        <f>IF('AYIRA MINI MART FINAL MENU - Pr'!E213="", "", 'AYIRA MINI MART FINAL MENU - Pr'!E213)</f>
        <v/>
      </c>
      <c r="F213" s="56" t="str">
        <f>IF('AYIRA MINI MART FINAL MENU - Pr'!F213="", "", 'AYIRA MINI MART FINAL MENU - Pr'!F213)</f>
        <v/>
      </c>
      <c r="G213" s="56" t="str">
        <f>IF('AYIRA MINI MART FINAL MENU - Pr'!G213="", "", 'AYIRA MINI MART FINAL MENU - Pr'!G213)</f>
        <v/>
      </c>
      <c r="H213" s="56" t="str">
        <f>IF('AYIRA MINI MART FINAL MENU - Pr'!H213="", "", 'AYIRA MINI MART FINAL MENU - Pr'!H213)</f>
        <v/>
      </c>
      <c r="I213" s="56" t="str">
        <f>IF('AYIRA MINI MART FINAL MENU - Pr'!I213="", "", 'AYIRA MINI MART FINAL MENU - Pr'!I213)</f>
        <v/>
      </c>
      <c r="J213" s="56" t="str">
        <f>IFERROR(__xludf.DUMMYFUNCTION("IF('AYIRA MINI MART FINAL MENU - Pr'!J213="""", """", GOOGLETRANSLATE('AYIRA MINI MART FINAL MENU - Pr'!J213, ""en"", ""ar""))"),"يعرض")</f>
        <v>يعرض</v>
      </c>
      <c r="K213" s="56" t="str">
        <f>IF('AYIRA MINI MART FINAL MENU - Pr'!K213="", "", 'AYIRA MINI MART FINAL MENU - Pr'!K213)</f>
        <v/>
      </c>
      <c r="L213" s="56" t="str">
        <f>IF('AYIRA MINI MART FINAL MENU - Pr'!L213="", "", 'AYIRA MINI MART FINAL MENU - Pr'!L213)</f>
        <v/>
      </c>
      <c r="M213" s="56" t="str">
        <f>IF('AYIRA MINI MART FINAL MENU - Pr'!M213="", "", 'AYIRA MINI MART FINAL MENU - Pr'!M213)</f>
        <v/>
      </c>
      <c r="N213" s="56" t="str">
        <f>IF('AYIRA MINI MART FINAL MENU - Pr'!N213="", "", 'AYIRA MINI MART FINAL MENU - Pr'!N213)</f>
        <v/>
      </c>
      <c r="O213" s="57"/>
      <c r="P213" s="57"/>
      <c r="Q213" s="57"/>
      <c r="R213" s="57"/>
      <c r="S213" s="57"/>
      <c r="T213" s="57"/>
      <c r="U213" s="57"/>
      <c r="V213" s="57"/>
      <c r="W213" s="57"/>
      <c r="X213" s="57"/>
      <c r="Y213" s="57"/>
      <c r="Z213" s="57"/>
    </row>
    <row r="214">
      <c r="A214" s="56" t="str">
        <f>IFERROR(__xludf.DUMMYFUNCTION("IF('AYIRA MINI MART FINAL MENU - Pr'!A214="""", """", IF(LEN(TRIM(REGEXREPLACE(REGEXREPLACE('AYIRA MINI MART FINAL MENU - Pr'!A214, ""^[^\x{0600}-\x{06FF}]+"", """"), ""^[-–\s]+"", """")))&gt;0, TRIM(REGEXREPLACE(REGEXREPLACE('AYIRA MINI MART FINAL MENU - Pr"&amp;"'!A214, ""^[^\x{0600}-\x{06FF}]+"", """"), ""^[-–\s]+"", """")), GOOGLETRANSLATE('AYIRA MINI MART FINAL MENU - Pr'!A214, ""en"", ""ar"")))"),"برتقال 240 مل")</f>
        <v>برتقال 240 مل</v>
      </c>
      <c r="B214" s="56" t="str">
        <f>IFERROR(__xludf.DUMMYFUNCTION("IF('AYIRA MINI MART FINAL MENU - Pr'!B214="""", """", IF(LEN(TRIM(REGEXREPLACE(REGEXREPLACE('AYIRA MINI MART FINAL MENU - Pr'!B214, ""^[^\x{0600}-\x{06FF}]+"", """"), ""^[-–\s]+"", """")))&gt;0, TRIM(REGEXREPLACE(REGEXREPLACE('AYIRA MINI MART FINAL MENU - Pr"&amp;"'!B214, ""^[^\x{0600}-\x{06FF}]+"", """"), ""^[-–\s]+"", """")), GOOGLETRANSLATE('AYIRA MINI MART FINAL MENU - Pr'!B214, ""en"", ""ar"")))"),"المشروبات الغازية")</f>
        <v>المشروبات الغازية</v>
      </c>
      <c r="C214" s="58">
        <f>IF('AYIRA MINI MART FINAL MENU - Pr'!C214="", "", 'AYIRA MINI MART FINAL MENU - Pr'!C214)</f>
        <v>2</v>
      </c>
      <c r="D214" s="58" t="str">
        <f>IF('AYIRA MINI MART FINAL MENU - Pr'!D214="", "", 'AYIRA MINI MART FINAL MENU - Pr'!D214)</f>
        <v>اكتشف Rani Float Orange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14" s="56" t="str">
        <f>IF('AYIRA MINI MART FINAL MENU - Pr'!E214="", "", 'AYIRA MINI MART FINAL MENU - Pr'!E214)</f>
        <v/>
      </c>
      <c r="F214" s="56" t="str">
        <f>IF('AYIRA MINI MART FINAL MENU - Pr'!F214="", "", 'AYIRA MINI MART FINAL MENU - Pr'!F214)</f>
        <v/>
      </c>
      <c r="G214" s="56" t="str">
        <f>IF('AYIRA MINI MART FINAL MENU - Pr'!G214="", "", 'AYIRA MINI MART FINAL MENU - Pr'!G214)</f>
        <v/>
      </c>
      <c r="H214" s="56" t="str">
        <f>IF('AYIRA MINI MART FINAL MENU - Pr'!H214="", "", 'AYIRA MINI MART FINAL MENU - Pr'!H214)</f>
        <v/>
      </c>
      <c r="I214" s="56" t="str">
        <f>IF('AYIRA MINI MART FINAL MENU - Pr'!I214="", "", 'AYIRA MINI MART FINAL MENU - Pr'!I214)</f>
        <v/>
      </c>
      <c r="J214" s="56" t="str">
        <f>IFERROR(__xludf.DUMMYFUNCTION("IF('AYIRA MINI MART FINAL MENU - Pr'!J214="""", """", GOOGLETRANSLATE('AYIRA MINI MART FINAL MENU - Pr'!J214, ""en"", ""ar""))"),"يعرض")</f>
        <v>يعرض</v>
      </c>
      <c r="K214" s="56" t="str">
        <f>IF('AYIRA MINI MART FINAL MENU - Pr'!K214="", "", 'AYIRA MINI MART FINAL MENU - Pr'!K214)</f>
        <v/>
      </c>
      <c r="L214" s="56" t="str">
        <f>IF('AYIRA MINI MART FINAL MENU - Pr'!L214="", "", 'AYIRA MINI MART FINAL MENU - Pr'!L214)</f>
        <v/>
      </c>
      <c r="M214" s="56" t="str">
        <f>IF('AYIRA MINI MART FINAL MENU - Pr'!M214="", "", 'AYIRA MINI MART FINAL MENU - Pr'!M214)</f>
        <v/>
      </c>
      <c r="N214" s="56" t="str">
        <f>IF('AYIRA MINI MART FINAL MENU - Pr'!N214="", "", 'AYIRA MINI MART FINAL MENU - Pr'!N214)</f>
        <v/>
      </c>
      <c r="O214" s="57"/>
      <c r="P214" s="57"/>
      <c r="Q214" s="57"/>
      <c r="R214" s="57"/>
      <c r="S214" s="57"/>
      <c r="T214" s="57"/>
      <c r="U214" s="57"/>
      <c r="V214" s="57"/>
      <c r="W214" s="57"/>
      <c r="X214" s="57"/>
      <c r="Y214" s="57"/>
      <c r="Z214" s="57"/>
    </row>
    <row r="215">
      <c r="A215" s="56" t="str">
        <f>IFERROR(__xludf.DUMMYFUNCTION("IF('AYIRA MINI MART FINAL MENU - Pr'!A215="""", """", IF(LEN(TRIM(REGEXREPLACE(REGEXREPLACE('AYIRA MINI MART FINAL MENU - Pr'!A215, ""^[^\x{0600}-\x{06FF}]+"", """"), ""^[-–\s]+"", """")))&gt;0, TRIM(REGEXREPLACE(REGEXREPLACE('AYIRA MINI MART FINAL MENU - Pr"&amp;"'!A215, ""^[^\x{0600}-\x{06FF}]+"", """"), ""^[-–\s]+"", """")), GOOGLETRANSLATE('AYIRA MINI MART FINAL MENU - Pr'!A215, ""en"", ""ar"")))"),"مل")</f>
        <v>مل</v>
      </c>
      <c r="B215" s="56" t="str">
        <f>IFERROR(__xludf.DUMMYFUNCTION("IF('AYIRA MINI MART FINAL MENU - Pr'!B215="""", """", IF(LEN(TRIM(REGEXREPLACE(REGEXREPLACE('AYIRA MINI MART FINAL MENU - Pr'!B215, ""^[^\x{0600}-\x{06FF}]+"", """"), ""^[-–\s]+"", """")))&gt;0, TRIM(REGEXREPLACE(REGEXREPLACE('AYIRA MINI MART FINAL MENU - Pr"&amp;"'!B215, ""^[^\x{0600}-\x{06FF}]+"", """"), ""^[-–\s]+"", """")), GOOGLETRANSLATE('AYIRA MINI MART FINAL MENU - Pr'!B215, ""en"", ""ar"")))"),"العصائر ومشروبات الفاكهة")</f>
        <v>العصائر ومشروبات الفاكهة</v>
      </c>
      <c r="C215" s="58">
        <f>IF('AYIRA MINI MART FINAL MENU - Pr'!C215="", "", 'AYIRA MINI MART FINAL MENU - Pr'!C215)</f>
        <v>2</v>
      </c>
      <c r="D215" s="58" t="str">
        <f>IF('AYIRA MINI MART FINAL MENU - Pr'!D215="", "", 'AYIRA MINI MART FINAL MENU - Pr'!D215)</f>
        <v>اكتشف Rani Float Cocktail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15" s="56" t="str">
        <f>IF('AYIRA MINI MART FINAL MENU - Pr'!E215="", "", 'AYIRA MINI MART FINAL MENU - Pr'!E215)</f>
        <v/>
      </c>
      <c r="F215" s="56" t="str">
        <f>IF('AYIRA MINI MART FINAL MENU - Pr'!F215="", "", 'AYIRA MINI MART FINAL MENU - Pr'!F215)</f>
        <v/>
      </c>
      <c r="G215" s="56" t="str">
        <f>IF('AYIRA MINI MART FINAL MENU - Pr'!G215="", "", 'AYIRA MINI MART FINAL MENU - Pr'!G215)</f>
        <v/>
      </c>
      <c r="H215" s="56" t="str">
        <f>IF('AYIRA MINI MART FINAL MENU - Pr'!H215="", "", 'AYIRA MINI MART FINAL MENU - Pr'!H215)</f>
        <v/>
      </c>
      <c r="I215" s="56" t="str">
        <f>IF('AYIRA MINI MART FINAL MENU - Pr'!I215="", "", 'AYIRA MINI MART FINAL MENU - Pr'!I215)</f>
        <v/>
      </c>
      <c r="J215" s="56" t="str">
        <f>IFERROR(__xludf.DUMMYFUNCTION("IF('AYIRA MINI MART FINAL MENU - Pr'!J215="""", """", GOOGLETRANSLATE('AYIRA MINI MART FINAL MENU - Pr'!J215, ""en"", ""ar""))"),"يعرض")</f>
        <v>يعرض</v>
      </c>
      <c r="K215" s="56" t="str">
        <f>IF('AYIRA MINI MART FINAL MENU - Pr'!K215="", "", 'AYIRA MINI MART FINAL MENU - Pr'!K215)</f>
        <v/>
      </c>
      <c r="L215" s="56" t="str">
        <f>IF('AYIRA MINI MART FINAL MENU - Pr'!L215="", "", 'AYIRA MINI MART FINAL MENU - Pr'!L215)</f>
        <v/>
      </c>
      <c r="M215" s="56" t="str">
        <f>IF('AYIRA MINI MART FINAL MENU - Pr'!M215="", "", 'AYIRA MINI MART FINAL MENU - Pr'!M215)</f>
        <v/>
      </c>
      <c r="N215" s="56" t="str">
        <f>IF('AYIRA MINI MART FINAL MENU - Pr'!N215="", "", 'AYIRA MINI MART FINAL MENU - Pr'!N215)</f>
        <v/>
      </c>
      <c r="O215" s="57"/>
      <c r="P215" s="57"/>
      <c r="Q215" s="57"/>
      <c r="R215" s="57"/>
      <c r="S215" s="57"/>
      <c r="T215" s="57"/>
      <c r="U215" s="57"/>
      <c r="V215" s="57"/>
      <c r="W215" s="57"/>
      <c r="X215" s="57"/>
      <c r="Y215" s="57"/>
      <c r="Z215" s="57"/>
    </row>
    <row r="216">
      <c r="A216" s="56" t="str">
        <f>IFERROR(__xludf.DUMMYFUNCTION("IF('AYIRA MINI MART FINAL MENU - Pr'!A216="""", """", IF(LEN(TRIM(REGEXREPLACE(REGEXREPLACE('AYIRA MINI MART FINAL MENU - Pr'!A216, ""^[^\x{0600}-\x{06FF}]+"", """"), ""^[-–\s]+"", """")))&gt;0, TRIM(REGEXREPLACE(REGEXREPLACE('AYIRA MINI MART FINAL MENU - Pr"&amp;"'!A216, ""^[^\x{0600}-\x{06FF}]+"", """"), ""^[-–\s]+"", """")), GOOGLETRANSLATE('AYIRA MINI MART FINAL MENU - Pr'!A216, ""en"", ""ar"")))"),"تفاح 238 مل")</f>
        <v>تفاح 238 مل</v>
      </c>
      <c r="B216" s="56" t="str">
        <f>IFERROR(__xludf.DUMMYFUNCTION("IF('AYIRA MINI MART FINAL MENU - Pr'!B216="""", """", IF(LEN(TRIM(REGEXREPLACE(REGEXREPLACE('AYIRA MINI MART FINAL MENU - Pr'!B216, ""^[^\x{0600}-\x{06FF}]+"", """"), ""^[-–\s]+"", """")))&gt;0, TRIM(REGEXREPLACE(REGEXREPLACE('AYIRA MINI MART FINAL MENU - Pr"&amp;"'!B216, ""^[^\x{0600}-\x{06FF}]+"", """"), ""^[-–\s]+"", """")), GOOGLETRANSLATE('AYIRA MINI MART FINAL MENU - Pr'!B216, ""en"", ""ar"")))"),"العصائر ومشروبات الفاكهة")</f>
        <v>العصائر ومشروبات الفاكهة</v>
      </c>
      <c r="C216" s="58">
        <f>IF('AYIRA MINI MART FINAL MENU - Pr'!C216="", "", 'AYIRA MINI MART FINAL MENU - Pr'!C216)</f>
        <v>2</v>
      </c>
      <c r="D216" s="58" t="str">
        <f>IF('AYIRA MINI MART FINAL MENU - Pr'!D216="", "", 'AYIRA MINI MART FINAL MENU - Pr'!D216)</f>
        <v>اكتشف Rani Float Green Apple 238ml،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16" s="56" t="str">
        <f>IF('AYIRA MINI MART FINAL MENU - Pr'!E216="", "", 'AYIRA MINI MART FINAL MENU - Pr'!E216)</f>
        <v/>
      </c>
      <c r="F216" s="56" t="str">
        <f>IF('AYIRA MINI MART FINAL MENU - Pr'!F216="", "", 'AYIRA MINI MART FINAL MENU - Pr'!F216)</f>
        <v/>
      </c>
      <c r="G216" s="56" t="str">
        <f>IF('AYIRA MINI MART FINAL MENU - Pr'!G216="", "", 'AYIRA MINI MART FINAL MENU - Pr'!G216)</f>
        <v/>
      </c>
      <c r="H216" s="56" t="str">
        <f>IF('AYIRA MINI MART FINAL MENU - Pr'!H216="", "", 'AYIRA MINI MART FINAL MENU - Pr'!H216)</f>
        <v/>
      </c>
      <c r="I216" s="56" t="str">
        <f>IF('AYIRA MINI MART FINAL MENU - Pr'!I216="", "", 'AYIRA MINI MART FINAL MENU - Pr'!I216)</f>
        <v/>
      </c>
      <c r="J216" s="56" t="str">
        <f>IFERROR(__xludf.DUMMYFUNCTION("IF('AYIRA MINI MART FINAL MENU - Pr'!J216="""", """", GOOGLETRANSLATE('AYIRA MINI MART FINAL MENU - Pr'!J216, ""en"", ""ar""))"),"يعرض")</f>
        <v>يعرض</v>
      </c>
      <c r="K216" s="56" t="str">
        <f>IF('AYIRA MINI MART FINAL MENU - Pr'!K216="", "", 'AYIRA MINI MART FINAL MENU - Pr'!K216)</f>
        <v/>
      </c>
      <c r="L216" s="56" t="str">
        <f>IF('AYIRA MINI MART FINAL MENU - Pr'!L216="", "", 'AYIRA MINI MART FINAL MENU - Pr'!L216)</f>
        <v/>
      </c>
      <c r="M216" s="56" t="str">
        <f>IF('AYIRA MINI MART FINAL MENU - Pr'!M216="", "", 'AYIRA MINI MART FINAL MENU - Pr'!M216)</f>
        <v/>
      </c>
      <c r="N216" s="56" t="str">
        <f>IF('AYIRA MINI MART FINAL MENU - Pr'!N216="", "", 'AYIRA MINI MART FINAL MENU - Pr'!N216)</f>
        <v/>
      </c>
      <c r="O216" s="57"/>
      <c r="P216" s="57"/>
      <c r="Q216" s="57"/>
      <c r="R216" s="57"/>
      <c r="S216" s="57"/>
      <c r="T216" s="57"/>
      <c r="U216" s="57"/>
      <c r="V216" s="57"/>
      <c r="W216" s="57"/>
      <c r="X216" s="57"/>
      <c r="Y216" s="57"/>
      <c r="Z216" s="57"/>
    </row>
    <row r="217">
      <c r="A217" s="56" t="str">
        <f>IFERROR(__xludf.DUMMYFUNCTION("IF('AYIRA MINI MART FINAL MENU - Pr'!A217="""", """", IF(LEN(TRIM(REGEXREPLACE(REGEXREPLACE('AYIRA MINI MART FINAL MENU - Pr'!A217, ""^[^\x{0600}-\x{06FF}]+"", """"), ""^[-–\s]+"", """")))&gt;0, TRIM(REGEXREPLACE(REGEXREPLACE('AYIRA MINI MART FINAL MENU - Pr"&amp;"'!A217, ""^[^\x{0600}-\x{06FF}]+"", """"), ""^[-–\s]+"", """")), GOOGLETRANSLATE('AYIRA MINI MART FINAL MENU - Pr'!A217, ""en"", ""ar"")))"),"خوخ 240 مل")</f>
        <v>خوخ 240 مل</v>
      </c>
      <c r="B217" s="56" t="str">
        <f>IFERROR(__xludf.DUMMYFUNCTION("IF('AYIRA MINI MART FINAL MENU - Pr'!B217="""", """", IF(LEN(TRIM(REGEXREPLACE(REGEXREPLACE('AYIRA MINI MART FINAL MENU - Pr'!B217, ""^[^\x{0600}-\x{06FF}]+"", """"), ""^[-–\s]+"", """")))&gt;0, TRIM(REGEXREPLACE(REGEXREPLACE('AYIRA MINI MART FINAL MENU - Pr"&amp;"'!B217, ""^[^\x{0600}-\x{06FF}]+"", """"), ""^[-–\s]+"", """")), GOOGLETRANSLATE('AYIRA MINI MART FINAL MENU - Pr'!B217, ""en"", ""ar"")))"),"العصائر ومشروبات الفاكهة")</f>
        <v>العصائر ومشروبات الفاكهة</v>
      </c>
      <c r="C217" s="58">
        <f>IF('AYIRA MINI MART FINAL MENU - Pr'!C217="", "", 'AYIRA MINI MART FINAL MENU - Pr'!C217)</f>
        <v>2</v>
      </c>
      <c r="D217" s="58" t="str">
        <f>IF('AYIRA MINI MART FINAL MENU - Pr'!D217="", "", 'AYIRA MINI MART FINAL MENU - Pr'!D217)</f>
        <v>اكتشف Rani Float Peach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17" s="56" t="str">
        <f>IF('AYIRA MINI MART FINAL MENU - Pr'!E217="", "", 'AYIRA MINI MART FINAL MENU - Pr'!E217)</f>
        <v/>
      </c>
      <c r="F217" s="56" t="str">
        <f>IF('AYIRA MINI MART FINAL MENU - Pr'!F217="", "", 'AYIRA MINI MART FINAL MENU - Pr'!F217)</f>
        <v/>
      </c>
      <c r="G217" s="56" t="str">
        <f>IF('AYIRA MINI MART FINAL MENU - Pr'!G217="", "", 'AYIRA MINI MART FINAL MENU - Pr'!G217)</f>
        <v/>
      </c>
      <c r="H217" s="56" t="str">
        <f>IF('AYIRA MINI MART FINAL MENU - Pr'!H217="", "", 'AYIRA MINI MART FINAL MENU - Pr'!H217)</f>
        <v/>
      </c>
      <c r="I217" s="56" t="str">
        <f>IF('AYIRA MINI MART FINAL MENU - Pr'!I217="", "", 'AYIRA MINI MART FINAL MENU - Pr'!I217)</f>
        <v/>
      </c>
      <c r="J217" s="56" t="str">
        <f>IFERROR(__xludf.DUMMYFUNCTION("IF('AYIRA MINI MART FINAL MENU - Pr'!J217="""", """", GOOGLETRANSLATE('AYIRA MINI MART FINAL MENU - Pr'!J217, ""en"", ""ar""))"),"يعرض")</f>
        <v>يعرض</v>
      </c>
      <c r="K217" s="56" t="str">
        <f>IF('AYIRA MINI MART FINAL MENU - Pr'!K217="", "", 'AYIRA MINI MART FINAL MENU - Pr'!K217)</f>
        <v/>
      </c>
      <c r="L217" s="56" t="str">
        <f>IF('AYIRA MINI MART FINAL MENU - Pr'!L217="", "", 'AYIRA MINI MART FINAL MENU - Pr'!L217)</f>
        <v/>
      </c>
      <c r="M217" s="56" t="str">
        <f>IF('AYIRA MINI MART FINAL MENU - Pr'!M217="", "", 'AYIRA MINI MART FINAL MENU - Pr'!M217)</f>
        <v/>
      </c>
      <c r="N217" s="56" t="str">
        <f>IF('AYIRA MINI MART FINAL MENU - Pr'!N217="", "", 'AYIRA MINI MART FINAL MENU - Pr'!N217)</f>
        <v/>
      </c>
      <c r="O217" s="57"/>
      <c r="P217" s="57"/>
      <c r="Q217" s="57"/>
      <c r="R217" s="57"/>
      <c r="S217" s="57"/>
      <c r="T217" s="57"/>
      <c r="U217" s="57"/>
      <c r="V217" s="57"/>
      <c r="W217" s="57"/>
      <c r="X217" s="57"/>
      <c r="Y217" s="57"/>
      <c r="Z217" s="57"/>
    </row>
    <row r="218">
      <c r="A218" s="56" t="str">
        <f>IFERROR(__xludf.DUMMYFUNCTION("IF('AYIRA MINI MART FINAL MENU - Pr'!A218="""", """", IF(LEN(TRIM(REGEXREPLACE(REGEXREPLACE('AYIRA MINI MART FINAL MENU - Pr'!A218, ""^[^\x{0600}-\x{06FF}]+"", """"), ""^[-–\s]+"", """")))&gt;0, TRIM(REGEXREPLACE(REGEXREPLACE('AYIRA MINI MART FINAL MENU - Pr"&amp;"'!A218, ""^[^\x{0600}-\x{06FF}]+"", """"), ""^[-–\s]+"", """")), GOOGLETRANSLATE('AYIRA MINI MART FINAL MENU - Pr'!A218, ""en"", ""ar"")))"),"جوافة 240 مل")</f>
        <v>جوافة 240 مل</v>
      </c>
      <c r="B218" s="56" t="str">
        <f>IFERROR(__xludf.DUMMYFUNCTION("IF('AYIRA MINI MART FINAL MENU - Pr'!B218="""", """", IF(LEN(TRIM(REGEXREPLACE(REGEXREPLACE('AYIRA MINI MART FINAL MENU - Pr'!B218, ""^[^\x{0600}-\x{06FF}]+"", """"), ""^[-–\s]+"", """")))&gt;0, TRIM(REGEXREPLACE(REGEXREPLACE('AYIRA MINI MART FINAL MENU - Pr"&amp;"'!B218, ""^[^\x{0600}-\x{06FF}]+"", """"), ""^[-–\s]+"", """")), GOOGLETRANSLATE('AYIRA MINI MART FINAL MENU - Pr'!B218, ""en"", ""ar"")))"),"العصائر ومشروبات الفاكهة")</f>
        <v>العصائر ومشروبات الفاكهة</v>
      </c>
      <c r="C218" s="58">
        <f>IF('AYIRA MINI MART FINAL MENU - Pr'!C218="", "", 'AYIRA MINI MART FINAL MENU - Pr'!C218)</f>
        <v>2</v>
      </c>
      <c r="D218" s="58" t="str">
        <f>IF('AYIRA MINI MART FINAL MENU - Pr'!D218="", "", 'AYIRA MINI MART FINAL MENU - Pr'!D218)</f>
        <v>اكتشف Rani Float Guava 240ml،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218" s="56" t="str">
        <f>IF('AYIRA MINI MART FINAL MENU - Pr'!E218="", "", 'AYIRA MINI MART FINAL MENU - Pr'!E218)</f>
        <v/>
      </c>
      <c r="F218" s="56" t="str">
        <f>IF('AYIRA MINI MART FINAL MENU - Pr'!F218="", "", 'AYIRA MINI MART FINAL MENU - Pr'!F218)</f>
        <v/>
      </c>
      <c r="G218" s="56" t="str">
        <f>IF('AYIRA MINI MART FINAL MENU - Pr'!G218="", "", 'AYIRA MINI MART FINAL MENU - Pr'!G218)</f>
        <v/>
      </c>
      <c r="H218" s="56" t="str">
        <f>IF('AYIRA MINI MART FINAL MENU - Pr'!H218="", "", 'AYIRA MINI MART FINAL MENU - Pr'!H218)</f>
        <v/>
      </c>
      <c r="I218" s="56" t="str">
        <f>IF('AYIRA MINI MART FINAL MENU - Pr'!I218="", "", 'AYIRA MINI MART FINAL MENU - Pr'!I218)</f>
        <v/>
      </c>
      <c r="J218" s="56" t="str">
        <f>IFERROR(__xludf.DUMMYFUNCTION("IF('AYIRA MINI MART FINAL MENU - Pr'!J218="""", """", GOOGLETRANSLATE('AYIRA MINI MART FINAL MENU - Pr'!J218, ""en"", ""ar""))"),"يعرض")</f>
        <v>يعرض</v>
      </c>
      <c r="K218" s="56" t="str">
        <f>IF('AYIRA MINI MART FINAL MENU - Pr'!K218="", "", 'AYIRA MINI MART FINAL MENU - Pr'!K218)</f>
        <v/>
      </c>
      <c r="L218" s="56" t="str">
        <f>IF('AYIRA MINI MART FINAL MENU - Pr'!L218="", "", 'AYIRA MINI MART FINAL MENU - Pr'!L218)</f>
        <v/>
      </c>
      <c r="M218" s="56" t="str">
        <f>IF('AYIRA MINI MART FINAL MENU - Pr'!M218="", "", 'AYIRA MINI MART FINAL MENU - Pr'!M218)</f>
        <v/>
      </c>
      <c r="N218" s="56" t="str">
        <f>IF('AYIRA MINI MART FINAL MENU - Pr'!N218="", "", 'AYIRA MINI MART FINAL MENU - Pr'!N218)</f>
        <v/>
      </c>
      <c r="O218" s="57"/>
      <c r="P218" s="57"/>
      <c r="Q218" s="57"/>
      <c r="R218" s="57"/>
      <c r="S218" s="57"/>
      <c r="T218" s="57"/>
      <c r="U218" s="57"/>
      <c r="V218" s="57"/>
      <c r="W218" s="57"/>
      <c r="X218" s="57"/>
      <c r="Y218" s="57"/>
      <c r="Z218" s="57"/>
    </row>
    <row r="219">
      <c r="A219" s="56" t="str">
        <f>IFERROR(__xludf.DUMMYFUNCTION("IF('AYIRA MINI MART FINAL MENU - Pr'!A219="""", """", IF(LEN(TRIM(REGEXREPLACE(REGEXREPLACE('AYIRA MINI MART FINAL MENU - Pr'!A219, ""^[^\x{0600}-\x{06FF}]+"", """"), ""^[-–\s]+"", """")))&gt;0, TRIM(REGEXREPLACE(REGEXREPLACE('AYIRA MINI MART FINAL MENU - Pr"&amp;"'!A219, ""^[^\x{0600}-\x{06FF}]+"", """"), ""^[-–\s]+"", """")), GOOGLETRANSLATE('AYIRA MINI MART FINAL MENU - Pr'!A219, ""en"", ""ar"")))"),"أناناس جوز الهند 240 مل")</f>
        <v>أناناس جوز الهند 240 مل</v>
      </c>
      <c r="B219" s="56" t="str">
        <f>IFERROR(__xludf.DUMMYFUNCTION("IF('AYIRA MINI MART FINAL MENU - Pr'!B219="""", """", IF(LEN(TRIM(REGEXREPLACE(REGEXREPLACE('AYIRA MINI MART FINAL MENU - Pr'!B219, ""^[^\x{0600}-\x{06FF}]+"", """"), ""^[-–\s]+"", """")))&gt;0, TRIM(REGEXREPLACE(REGEXREPLACE('AYIRA MINI MART FINAL MENU - Pr"&amp;"'!B219, ""^[^\x{0600}-\x{06FF}]+"", """"), ""^[-–\s]+"", """")), GOOGLETRANSLATE('AYIRA MINI MART FINAL MENU - Pr'!B219, ""en"", ""ar"")))"),"العصائر ومشروبات الفاكهة")</f>
        <v>العصائر ومشروبات الفاكهة</v>
      </c>
      <c r="C219" s="58">
        <f>IF('AYIRA MINI MART FINAL MENU - Pr'!C219="", "", 'AYIRA MINI MART FINAL MENU - Pr'!C219)</f>
        <v>2</v>
      </c>
      <c r="D219" s="58" t="str">
        <f>IF('AYIRA MINI MART FINAL MENU - Pr'!D219="", "", 'AYIRA MINI MART FINAL MENU - Pr'!D219)</f>
        <v>اختر Rani Float Pineapple Coconut 240ml،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219" s="56" t="str">
        <f>IF('AYIRA MINI MART FINAL MENU - Pr'!E219="", "", 'AYIRA MINI MART FINAL MENU - Pr'!E219)</f>
        <v/>
      </c>
      <c r="F219" s="56" t="str">
        <f>IF('AYIRA MINI MART FINAL MENU - Pr'!F219="", "", 'AYIRA MINI MART FINAL MENU - Pr'!F219)</f>
        <v/>
      </c>
      <c r="G219" s="56" t="str">
        <f>IF('AYIRA MINI MART FINAL MENU - Pr'!G219="", "", 'AYIRA MINI MART FINAL MENU - Pr'!G219)</f>
        <v/>
      </c>
      <c r="H219" s="56" t="str">
        <f>IF('AYIRA MINI MART FINAL MENU - Pr'!H219="", "", 'AYIRA MINI MART FINAL MENU - Pr'!H219)</f>
        <v/>
      </c>
      <c r="I219" s="56" t="str">
        <f>IF('AYIRA MINI MART FINAL MENU - Pr'!I219="", "", 'AYIRA MINI MART FINAL MENU - Pr'!I219)</f>
        <v/>
      </c>
      <c r="J219" s="56" t="str">
        <f>IFERROR(__xludf.DUMMYFUNCTION("IF('AYIRA MINI MART FINAL MENU - Pr'!J219="""", """", GOOGLETRANSLATE('AYIRA MINI MART FINAL MENU - Pr'!J219, ""en"", ""ar""))"),"يعرض")</f>
        <v>يعرض</v>
      </c>
      <c r="K219" s="56" t="str">
        <f>IF('AYIRA MINI MART FINAL MENU - Pr'!K219="", "", 'AYIRA MINI MART FINAL MENU - Pr'!K219)</f>
        <v/>
      </c>
      <c r="L219" s="56" t="str">
        <f>IF('AYIRA MINI MART FINAL MENU - Pr'!L219="", "", 'AYIRA MINI MART FINAL MENU - Pr'!L219)</f>
        <v/>
      </c>
      <c r="M219" s="56" t="str">
        <f>IF('AYIRA MINI MART FINAL MENU - Pr'!M219="", "", 'AYIRA MINI MART FINAL MENU - Pr'!M219)</f>
        <v/>
      </c>
      <c r="N219" s="56" t="str">
        <f>IF('AYIRA MINI MART FINAL MENU - Pr'!N219="", "", 'AYIRA MINI MART FINAL MENU - Pr'!N219)</f>
        <v/>
      </c>
      <c r="O219" s="57"/>
      <c r="P219" s="57"/>
      <c r="Q219" s="57"/>
      <c r="R219" s="57"/>
      <c r="S219" s="57"/>
      <c r="T219" s="57"/>
      <c r="U219" s="57"/>
      <c r="V219" s="57"/>
      <c r="W219" s="57"/>
      <c r="X219" s="57"/>
      <c r="Y219" s="57"/>
      <c r="Z219" s="57"/>
    </row>
    <row r="220">
      <c r="A220" s="56" t="str">
        <f>IFERROR(__xludf.DUMMYFUNCTION("IF('AYIRA MINI MART FINAL MENU - Pr'!A220="""", """", IF(LEN(TRIM(REGEXREPLACE(REGEXREPLACE('AYIRA MINI MART FINAL MENU - Pr'!A220, ""^[^\x{0600}-\x{06FF}]+"", """"), ""^[-–\s]+"", """")))&gt;0, TRIM(REGEXREPLACE(REGEXREPLACE('AYIRA MINI MART FINAL MENU - Pr"&amp;"'!A220, ""^[^\x{0600}-\x{06FF}]+"", """"), ""^[-–\s]+"", """")), GOOGLETRANSLATE('AYIRA MINI MART FINAL MENU - Pr'!A220, ""en"", ""ar"")))"),"جوافة عصير 1.4 لتر")</f>
        <v>جوافة عصير 1.4 لتر</v>
      </c>
      <c r="B220" s="56" t="str">
        <f>IFERROR(__xludf.DUMMYFUNCTION("IF('AYIRA MINI MART FINAL MENU - Pr'!B220="""", """", IF(LEN(TRIM(REGEXREPLACE(REGEXREPLACE('AYIRA MINI MART FINAL MENU - Pr'!B220, ""^[^\x{0600}-\x{06FF}]+"", """"), ""^[-–\s]+"", """")))&gt;0, TRIM(REGEXREPLACE(REGEXREPLACE('AYIRA MINI MART FINAL MENU - Pr"&amp;"'!B220, ""^[^\x{0600}-\x{06FF}]+"", """"), ""^[-–\s]+"", """")), GOOGLETRANSLATE('AYIRA MINI MART FINAL MENU - Pr'!B220, ""en"", ""ar"")))"),"العصائر ومشروبات الفاكهة")</f>
        <v>العصائر ومشروبات الفاكهة</v>
      </c>
      <c r="C220" s="58">
        <f>IF('AYIRA MINI MART FINAL MENU - Pr'!C220="", "", 'AYIRA MINI MART FINAL MENU - Pr'!C220)</f>
        <v>5.5</v>
      </c>
      <c r="D220" s="58" t="str">
        <f>IF('AYIRA MINI MART FINAL MENU - Pr'!D220="", "", 'AYIRA MINI MART FINAL MENU - Pr'!D220)</f>
        <v>احرص على صحتك مع Rani Guava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20" s="56" t="str">
        <f>IF('AYIRA MINI MART FINAL MENU - Pr'!E220="", "", 'AYIRA MINI MART FINAL MENU - Pr'!E220)</f>
        <v/>
      </c>
      <c r="F220" s="56" t="str">
        <f>IF('AYIRA MINI MART FINAL MENU - Pr'!F220="", "", 'AYIRA MINI MART FINAL MENU - Pr'!F220)</f>
        <v/>
      </c>
      <c r="G220" s="56" t="str">
        <f>IF('AYIRA MINI MART FINAL MENU - Pr'!G220="", "", 'AYIRA MINI MART FINAL MENU - Pr'!G220)</f>
        <v/>
      </c>
      <c r="H220" s="56" t="str">
        <f>IF('AYIRA MINI MART FINAL MENU - Pr'!H220="", "", 'AYIRA MINI MART FINAL MENU - Pr'!H220)</f>
        <v/>
      </c>
      <c r="I220" s="56" t="str">
        <f>IF('AYIRA MINI MART FINAL MENU - Pr'!I220="", "", 'AYIRA MINI MART FINAL MENU - Pr'!I220)</f>
        <v/>
      </c>
      <c r="J220" s="56" t="str">
        <f>IFERROR(__xludf.DUMMYFUNCTION("IF('AYIRA MINI MART FINAL MENU - Pr'!J220="""", """", GOOGLETRANSLATE('AYIRA MINI MART FINAL MENU - Pr'!J220, ""en"", ""ar""))"),"يعرض")</f>
        <v>يعرض</v>
      </c>
      <c r="K220" s="56" t="str">
        <f>IF('AYIRA MINI MART FINAL MENU - Pr'!K220="", "", 'AYIRA MINI MART FINAL MENU - Pr'!K220)</f>
        <v/>
      </c>
      <c r="L220" s="56" t="str">
        <f>IF('AYIRA MINI MART FINAL MENU - Pr'!L220="", "", 'AYIRA MINI MART FINAL MENU - Pr'!L220)</f>
        <v/>
      </c>
      <c r="M220" s="56" t="str">
        <f>IF('AYIRA MINI MART FINAL MENU - Pr'!M220="", "", 'AYIRA MINI MART FINAL MENU - Pr'!M220)</f>
        <v/>
      </c>
      <c r="N220" s="56" t="str">
        <f>IF('AYIRA MINI MART FINAL MENU - Pr'!N220="", "", 'AYIRA MINI MART FINAL MENU - Pr'!N220)</f>
        <v/>
      </c>
      <c r="O220" s="57"/>
      <c r="P220" s="57"/>
      <c r="Q220" s="57"/>
      <c r="R220" s="57"/>
      <c r="S220" s="57"/>
      <c r="T220" s="57"/>
      <c r="U220" s="57"/>
      <c r="V220" s="57"/>
      <c r="W220" s="57"/>
      <c r="X220" s="57"/>
      <c r="Y220" s="57"/>
      <c r="Z220" s="57"/>
    </row>
    <row r="221">
      <c r="A221" s="56" t="str">
        <f>IFERROR(__xludf.DUMMYFUNCTION("IF('AYIRA MINI MART FINAL MENU - Pr'!A221="""", """", IF(LEN(TRIM(REGEXREPLACE(REGEXREPLACE('AYIRA MINI MART FINAL MENU - Pr'!A221, ""^[^\x{0600}-\x{06FF}]+"", """"), ""^[-–\s]+"", """")))&gt;0, TRIM(REGEXREPLACE(REGEXREPLACE('AYIRA MINI MART FINAL MENU - Pr"&amp;"'!A221, ""^[^\x{0600}-\x{06FF}]+"", """"), ""^[-–\s]+"", """")), GOOGLETRANSLATE('AYIRA MINI MART FINAL MENU - Pr'!A221, ""en"", ""ar"")))"),"تفاح عصير 1.4 لتر")</f>
        <v>تفاح عصير 1.4 لتر</v>
      </c>
      <c r="B221" s="56" t="str">
        <f>IFERROR(__xludf.DUMMYFUNCTION("IF('AYIRA MINI MART FINAL MENU - Pr'!B221="""", """", IF(LEN(TRIM(REGEXREPLACE(REGEXREPLACE('AYIRA MINI MART FINAL MENU - Pr'!B221, ""^[^\x{0600}-\x{06FF}]+"", """"), ""^[-–\s]+"", """")))&gt;0, TRIM(REGEXREPLACE(REGEXREPLACE('AYIRA MINI MART FINAL MENU - Pr"&amp;"'!B221, ""^[^\x{0600}-\x{06FF}]+"", """"), ""^[-–\s]+"", """")), GOOGLETRANSLATE('AYIRA MINI MART FINAL MENU - Pr'!B221, ""en"", ""ar"")))"),"العصائر ومشروبات الفاكهة")</f>
        <v>العصائر ومشروبات الفاكهة</v>
      </c>
      <c r="C221" s="58">
        <f>IF('AYIRA MINI MART FINAL MENU - Pr'!C221="", "", 'AYIRA MINI MART FINAL MENU - Pr'!C221)</f>
        <v>5.5</v>
      </c>
      <c r="D221" s="58" t="str">
        <f>IF('AYIRA MINI MART FINAL MENU - Pr'!D221="", "", 'AYIRA MINI MART FINAL MENU - Pr'!D221)</f>
        <v>احرص على صحتك مع Rani Apple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21" s="56" t="str">
        <f>IF('AYIRA MINI MART FINAL MENU - Pr'!E221="", "", 'AYIRA MINI MART FINAL MENU - Pr'!E221)</f>
        <v/>
      </c>
      <c r="F221" s="56" t="str">
        <f>IF('AYIRA MINI MART FINAL MENU - Pr'!F221="", "", 'AYIRA MINI MART FINAL MENU - Pr'!F221)</f>
        <v/>
      </c>
      <c r="G221" s="56" t="str">
        <f>IF('AYIRA MINI MART FINAL MENU - Pr'!G221="", "", 'AYIRA MINI MART FINAL MENU - Pr'!G221)</f>
        <v/>
      </c>
      <c r="H221" s="56" t="str">
        <f>IF('AYIRA MINI MART FINAL MENU - Pr'!H221="", "", 'AYIRA MINI MART FINAL MENU - Pr'!H221)</f>
        <v/>
      </c>
      <c r="I221" s="56" t="str">
        <f>IF('AYIRA MINI MART FINAL MENU - Pr'!I221="", "", 'AYIRA MINI MART FINAL MENU - Pr'!I221)</f>
        <v/>
      </c>
      <c r="J221" s="56" t="str">
        <f>IFERROR(__xludf.DUMMYFUNCTION("IF('AYIRA MINI MART FINAL MENU - Pr'!J221="""", """", GOOGLETRANSLATE('AYIRA MINI MART FINAL MENU - Pr'!J221, ""en"", ""ar""))"),"يعرض")</f>
        <v>يعرض</v>
      </c>
      <c r="K221" s="56" t="str">
        <f>IF('AYIRA MINI MART FINAL MENU - Pr'!K221="", "", 'AYIRA MINI MART FINAL MENU - Pr'!K221)</f>
        <v/>
      </c>
      <c r="L221" s="56" t="str">
        <f>IF('AYIRA MINI MART FINAL MENU - Pr'!L221="", "", 'AYIRA MINI MART FINAL MENU - Pr'!L221)</f>
        <v/>
      </c>
      <c r="M221" s="56" t="str">
        <f>IF('AYIRA MINI MART FINAL MENU - Pr'!M221="", "", 'AYIRA MINI MART FINAL MENU - Pr'!M221)</f>
        <v/>
      </c>
      <c r="N221" s="56" t="str">
        <f>IF('AYIRA MINI MART FINAL MENU - Pr'!N221="", "", 'AYIRA MINI MART FINAL MENU - Pr'!N221)</f>
        <v/>
      </c>
      <c r="O221" s="57"/>
      <c r="P221" s="57"/>
      <c r="Q221" s="57"/>
      <c r="R221" s="57"/>
      <c r="S221" s="57"/>
      <c r="T221" s="57"/>
      <c r="U221" s="57"/>
      <c r="V221" s="57"/>
      <c r="W221" s="57"/>
      <c r="X221" s="57"/>
      <c r="Y221" s="57"/>
      <c r="Z221" s="57"/>
    </row>
    <row r="222">
      <c r="A222" s="56" t="str">
        <f>IFERROR(__xludf.DUMMYFUNCTION("IF('AYIRA MINI MART FINAL MENU - Pr'!A222="""", """", IF(LEN(TRIM(REGEXREPLACE(REGEXREPLACE('AYIRA MINI MART FINAL MENU - Pr'!A222, ""^[^\x{0600}-\x{06FF}]+"", """"), ""^[-–\s]+"", """")))&gt;0, TRIM(REGEXREPLACE(REGEXREPLACE('AYIRA MINI MART FINAL MENU - Pr"&amp;"'!A222, ""^[^\x{0600}-\x{06FF}]+"", """"), ""^[-–\s]+"", """")), GOOGLETRANSLATE('AYIRA MINI MART FINAL MENU - Pr'!A222, ""en"", ""ar"")))"),"مانجو عصير 1.4 لتر")</f>
        <v>مانجو عصير 1.4 لتر</v>
      </c>
      <c r="B222" s="56" t="str">
        <f>IFERROR(__xludf.DUMMYFUNCTION("IF('AYIRA MINI MART FINAL MENU - Pr'!B222="""", """", IF(LEN(TRIM(REGEXREPLACE(REGEXREPLACE('AYIRA MINI MART FINAL MENU - Pr'!B222, ""^[^\x{0600}-\x{06FF}]+"", """"), ""^[-–\s]+"", """")))&gt;0, TRIM(REGEXREPLACE(REGEXREPLACE('AYIRA MINI MART FINAL MENU - Pr"&amp;"'!B222, ""^[^\x{0600}-\x{06FF}]+"", """"), ""^[-–\s]+"", """")), GOOGLETRANSLATE('AYIRA MINI MART FINAL MENU - Pr'!B222, ""en"", ""ar"")))"),"العصائر ومشروبات الفاكهة")</f>
        <v>العصائر ومشروبات الفاكهة</v>
      </c>
      <c r="C222" s="58">
        <f>IF('AYIRA MINI MART FINAL MENU - Pr'!C222="", "", 'AYIRA MINI MART FINAL MENU - Pr'!C222)</f>
        <v>5.5</v>
      </c>
      <c r="D222" s="58" t="str">
        <f>IF('AYIRA MINI MART FINAL MENU - Pr'!D222="", "", 'AYIRA MINI MART FINAL MENU - Pr'!D222)</f>
        <v>احرص على صحتك مع Rani Mango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22" s="56" t="str">
        <f>IF('AYIRA MINI MART FINAL MENU - Pr'!E222="", "", 'AYIRA MINI MART FINAL MENU - Pr'!E222)</f>
        <v/>
      </c>
      <c r="F222" s="56" t="str">
        <f>IF('AYIRA MINI MART FINAL MENU - Pr'!F222="", "", 'AYIRA MINI MART FINAL MENU - Pr'!F222)</f>
        <v/>
      </c>
      <c r="G222" s="56" t="str">
        <f>IF('AYIRA MINI MART FINAL MENU - Pr'!G222="", "", 'AYIRA MINI MART FINAL MENU - Pr'!G222)</f>
        <v/>
      </c>
      <c r="H222" s="56" t="str">
        <f>IF('AYIRA MINI MART FINAL MENU - Pr'!H222="", "", 'AYIRA MINI MART FINAL MENU - Pr'!H222)</f>
        <v/>
      </c>
      <c r="I222" s="56" t="str">
        <f>IF('AYIRA MINI MART FINAL MENU - Pr'!I222="", "", 'AYIRA MINI MART FINAL MENU - Pr'!I222)</f>
        <v/>
      </c>
      <c r="J222" s="56" t="str">
        <f>IFERROR(__xludf.DUMMYFUNCTION("IF('AYIRA MINI MART FINAL MENU - Pr'!J222="""", """", GOOGLETRANSLATE('AYIRA MINI MART FINAL MENU - Pr'!J222, ""en"", ""ar""))"),"يعرض")</f>
        <v>يعرض</v>
      </c>
      <c r="K222" s="56" t="str">
        <f>IF('AYIRA MINI MART FINAL MENU - Pr'!K222="", "", 'AYIRA MINI MART FINAL MENU - Pr'!K222)</f>
        <v/>
      </c>
      <c r="L222" s="56" t="str">
        <f>IF('AYIRA MINI MART FINAL MENU - Pr'!L222="", "", 'AYIRA MINI MART FINAL MENU - Pr'!L222)</f>
        <v/>
      </c>
      <c r="M222" s="56" t="str">
        <f>IF('AYIRA MINI MART FINAL MENU - Pr'!M222="", "", 'AYIRA MINI MART FINAL MENU - Pr'!M222)</f>
        <v/>
      </c>
      <c r="N222" s="56" t="str">
        <f>IF('AYIRA MINI MART FINAL MENU - Pr'!N222="", "", 'AYIRA MINI MART FINAL MENU - Pr'!N222)</f>
        <v/>
      </c>
      <c r="O222" s="57"/>
      <c r="P222" s="57"/>
      <c r="Q222" s="57"/>
      <c r="R222" s="57"/>
      <c r="S222" s="57"/>
      <c r="T222" s="57"/>
      <c r="U222" s="57"/>
      <c r="V222" s="57"/>
      <c r="W222" s="57"/>
      <c r="X222" s="57"/>
      <c r="Y222" s="57"/>
      <c r="Z222" s="57"/>
    </row>
    <row r="223">
      <c r="A223" s="56" t="str">
        <f>IFERROR(__xludf.DUMMYFUNCTION("IF('AYIRA MINI MART FINAL MENU - Pr'!A223="""", """", IF(LEN(TRIM(REGEXREPLACE(REGEXREPLACE('AYIRA MINI MART FINAL MENU - Pr'!A223, ""^[^\x{0600}-\x{06FF}]+"", """"), ""^[-–\s]+"", """")))&gt;0, TRIM(REGEXREPLACE(REGEXREPLACE('AYIRA MINI MART FINAL MENU - Pr"&amp;"'!A223, ""^[^\x{0600}-\x{06FF}]+"", """"), ""^[-–\s]+"", """")), GOOGLETRANSLATE('AYIRA MINI MART FINAL MENU - Pr'!A223, ""en"", ""ar"")))"),"برتقال عصير 1.4 لتر")</f>
        <v>برتقال عصير 1.4 لتر</v>
      </c>
      <c r="B223" s="56" t="str">
        <f>IFERROR(__xludf.DUMMYFUNCTION("IF('AYIRA MINI MART FINAL MENU - Pr'!B223="""", """", IF(LEN(TRIM(REGEXREPLACE(REGEXREPLACE('AYIRA MINI MART FINAL MENU - Pr'!B223, ""^[^\x{0600}-\x{06FF}]+"", """"), ""^[-–\s]+"", """")))&gt;0, TRIM(REGEXREPLACE(REGEXREPLACE('AYIRA MINI MART FINAL MENU - Pr"&amp;"'!B223, ""^[^\x{0600}-\x{06FF}]+"", """"), ""^[-–\s]+"", """")), GOOGLETRANSLATE('AYIRA MINI MART FINAL MENU - Pr'!B223, ""en"", ""ar"")))"),"العصائر ومشروبات الفاكهة")</f>
        <v>العصائر ومشروبات الفاكهة</v>
      </c>
      <c r="C223" s="58">
        <f>IF('AYIRA MINI MART FINAL MENU - Pr'!C223="", "", 'AYIRA MINI MART FINAL MENU - Pr'!C223)</f>
        <v>5.5</v>
      </c>
      <c r="D223" s="58" t="str">
        <f>IF('AYIRA MINI MART FINAL MENU - Pr'!D223="", "", 'AYIRA MINI MART FINAL MENU - Pr'!D223)</f>
        <v>احرص على صحتك مع Rani Orange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23" s="56" t="str">
        <f>IF('AYIRA MINI MART FINAL MENU - Pr'!E223="", "", 'AYIRA MINI MART FINAL MENU - Pr'!E223)</f>
        <v/>
      </c>
      <c r="F223" s="56" t="str">
        <f>IF('AYIRA MINI MART FINAL MENU - Pr'!F223="", "", 'AYIRA MINI MART FINAL MENU - Pr'!F223)</f>
        <v/>
      </c>
      <c r="G223" s="56" t="str">
        <f>IF('AYIRA MINI MART FINAL MENU - Pr'!G223="", "", 'AYIRA MINI MART FINAL MENU - Pr'!G223)</f>
        <v/>
      </c>
      <c r="H223" s="56" t="str">
        <f>IF('AYIRA MINI MART FINAL MENU - Pr'!H223="", "", 'AYIRA MINI MART FINAL MENU - Pr'!H223)</f>
        <v/>
      </c>
      <c r="I223" s="56" t="str">
        <f>IF('AYIRA MINI MART FINAL MENU - Pr'!I223="", "", 'AYIRA MINI MART FINAL MENU - Pr'!I223)</f>
        <v/>
      </c>
      <c r="J223" s="56" t="str">
        <f>IFERROR(__xludf.DUMMYFUNCTION("IF('AYIRA MINI MART FINAL MENU - Pr'!J223="""", """", GOOGLETRANSLATE('AYIRA MINI MART FINAL MENU - Pr'!J223, ""en"", ""ar""))"),"يعرض")</f>
        <v>يعرض</v>
      </c>
      <c r="K223" s="56" t="str">
        <f>IF('AYIRA MINI MART FINAL MENU - Pr'!K223="", "", 'AYIRA MINI MART FINAL MENU - Pr'!K223)</f>
        <v/>
      </c>
      <c r="L223" s="56" t="str">
        <f>IF('AYIRA MINI MART FINAL MENU - Pr'!L223="", "", 'AYIRA MINI MART FINAL MENU - Pr'!L223)</f>
        <v/>
      </c>
      <c r="M223" s="56" t="str">
        <f>IF('AYIRA MINI MART FINAL MENU - Pr'!M223="", "", 'AYIRA MINI MART FINAL MENU - Pr'!M223)</f>
        <v/>
      </c>
      <c r="N223" s="56" t="str">
        <f>IF('AYIRA MINI MART FINAL MENU - Pr'!N223="", "", 'AYIRA MINI MART FINAL MENU - Pr'!N223)</f>
        <v/>
      </c>
      <c r="O223" s="57"/>
      <c r="P223" s="57"/>
      <c r="Q223" s="57"/>
      <c r="R223" s="57"/>
      <c r="S223" s="57"/>
      <c r="T223" s="57"/>
      <c r="U223" s="57"/>
      <c r="V223" s="57"/>
      <c r="W223" s="57"/>
      <c r="X223" s="57"/>
      <c r="Y223" s="57"/>
      <c r="Z223" s="57"/>
    </row>
    <row r="224">
      <c r="A224" s="56" t="str">
        <f>IFERROR(__xludf.DUMMYFUNCTION("IF('AYIRA MINI MART FINAL MENU - Pr'!A224="""", """", IF(LEN(TRIM(REGEXREPLACE(REGEXREPLACE('AYIRA MINI MART FINAL MENU - Pr'!A224, ""^[^\x{0600}-\x{06FF}]+"", """"), ""^[-–\s]+"", """")))&gt;0, TRIM(REGEXREPLACE(REGEXREPLACE('AYIRA MINI MART FINAL MENU - Pr"&amp;"'!A224, ""^[^\x{0600}-\x{06FF}]+"", """"), ""^[-–\s]+"", """")), GOOGLETRANSLATE('AYIRA MINI MART FINAL MENU - Pr'!A224, ""en"", ""ar"")))"),"أناناس عصير 1.4 لتر")</f>
        <v>أناناس عصير 1.4 لتر</v>
      </c>
      <c r="B224" s="56" t="str">
        <f>IFERROR(__xludf.DUMMYFUNCTION("IF('AYIRA MINI MART FINAL MENU - Pr'!B224="""", """", IF(LEN(TRIM(REGEXREPLACE(REGEXREPLACE('AYIRA MINI MART FINAL MENU - Pr'!B224, ""^[^\x{0600}-\x{06FF}]+"", """"), ""^[-–\s]+"", """")))&gt;0, TRIM(REGEXREPLACE(REGEXREPLACE('AYIRA MINI MART FINAL MENU - Pr"&amp;"'!B224, ""^[^\x{0600}-\x{06FF}]+"", """"), ""^[-–\s]+"", """")), GOOGLETRANSLATE('AYIRA MINI MART FINAL MENU - Pr'!B224, ""en"", ""ar"")))"),"العصائر ومشروبات الفاكهة")</f>
        <v>العصائر ومشروبات الفاكهة</v>
      </c>
      <c r="C224" s="58">
        <f>IF('AYIRA MINI MART FINAL MENU - Pr'!C224="", "", 'AYIRA MINI MART FINAL MENU - Pr'!C224)</f>
        <v>5.5</v>
      </c>
      <c r="D224" s="58" t="str">
        <f>IF('AYIRA MINI MART FINAL MENU - Pr'!D224="", "", 'AYIRA MINI MART FINAL MENU - Pr'!D224)</f>
        <v>احرص على صحتك مع Rani Pineapple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24" s="56" t="str">
        <f>IF('AYIRA MINI MART FINAL MENU - Pr'!E224="", "", 'AYIRA MINI MART FINAL MENU - Pr'!E224)</f>
        <v/>
      </c>
      <c r="F224" s="56" t="str">
        <f>IF('AYIRA MINI MART FINAL MENU - Pr'!F224="", "", 'AYIRA MINI MART FINAL MENU - Pr'!F224)</f>
        <v/>
      </c>
      <c r="G224" s="56" t="str">
        <f>IF('AYIRA MINI MART FINAL MENU - Pr'!G224="", "", 'AYIRA MINI MART FINAL MENU - Pr'!G224)</f>
        <v/>
      </c>
      <c r="H224" s="56" t="str">
        <f>IF('AYIRA MINI MART FINAL MENU - Pr'!H224="", "", 'AYIRA MINI MART FINAL MENU - Pr'!H224)</f>
        <v/>
      </c>
      <c r="I224" s="56" t="str">
        <f>IF('AYIRA MINI MART FINAL MENU - Pr'!I224="", "", 'AYIRA MINI MART FINAL MENU - Pr'!I224)</f>
        <v/>
      </c>
      <c r="J224" s="56" t="str">
        <f>IFERROR(__xludf.DUMMYFUNCTION("IF('AYIRA MINI MART FINAL MENU - Pr'!J224="""", """", GOOGLETRANSLATE('AYIRA MINI MART FINAL MENU - Pr'!J224, ""en"", ""ar""))"),"يعرض")</f>
        <v>يعرض</v>
      </c>
      <c r="K224" s="56" t="str">
        <f>IF('AYIRA MINI MART FINAL MENU - Pr'!K224="", "", 'AYIRA MINI MART FINAL MENU - Pr'!K224)</f>
        <v/>
      </c>
      <c r="L224" s="56" t="str">
        <f>IF('AYIRA MINI MART FINAL MENU - Pr'!L224="", "", 'AYIRA MINI MART FINAL MENU - Pr'!L224)</f>
        <v/>
      </c>
      <c r="M224" s="56" t="str">
        <f>IF('AYIRA MINI MART FINAL MENU - Pr'!M224="", "", 'AYIRA MINI MART FINAL MENU - Pr'!M224)</f>
        <v/>
      </c>
      <c r="N224" s="56" t="str">
        <f>IF('AYIRA MINI MART FINAL MENU - Pr'!N224="", "", 'AYIRA MINI MART FINAL MENU - Pr'!N224)</f>
        <v/>
      </c>
      <c r="O224" s="57"/>
      <c r="P224" s="57"/>
      <c r="Q224" s="57"/>
      <c r="R224" s="57"/>
      <c r="S224" s="57"/>
      <c r="T224" s="57"/>
      <c r="U224" s="57"/>
      <c r="V224" s="57"/>
      <c r="W224" s="57"/>
      <c r="X224" s="57"/>
      <c r="Y224" s="57"/>
      <c r="Z224" s="57"/>
    </row>
    <row r="225">
      <c r="A225" s="56" t="str">
        <f>IFERROR(__xludf.DUMMYFUNCTION("IF('AYIRA MINI MART FINAL MENU - Pr'!A225="""", """", IF(LEN(TRIM(REGEXREPLACE(REGEXREPLACE('AYIRA MINI MART FINAL MENU - Pr'!A225, ""^[^\x{0600}-\x{06FF}]+"", """"), ""^[-–\s]+"", """")))&gt;0, TRIM(REGEXREPLACE(REGEXREPLACE('AYIRA MINI MART FINAL MENU - Pr"&amp;"'!A225, ""^[^\x{0600}-\x{06FF}]+"", """"), ""^[-–\s]+"", """")), GOOGLETRANSLATE('AYIRA MINI MART FINAL MENU - Pr'!A225, ""en"", ""ar"")))"),"خوخ عصير 1.4 لتر")</f>
        <v>خوخ عصير 1.4 لتر</v>
      </c>
      <c r="B225" s="56" t="str">
        <f>IFERROR(__xludf.DUMMYFUNCTION("IF('AYIRA MINI MART FINAL MENU - Pr'!B225="""", """", IF(LEN(TRIM(REGEXREPLACE(REGEXREPLACE('AYIRA MINI MART FINAL MENU - Pr'!B225, ""^[^\x{0600}-\x{06FF}]+"", """"), ""^[-–\s]+"", """")))&gt;0, TRIM(REGEXREPLACE(REGEXREPLACE('AYIRA MINI MART FINAL MENU - Pr"&amp;"'!B225, ""^[^\x{0600}-\x{06FF}]+"", """"), ""^[-–\s]+"", """")), GOOGLETRANSLATE('AYIRA MINI MART FINAL MENU - Pr'!B225, ""en"", ""ar"")))"),"العصائر ومشروبات الفاكهة")</f>
        <v>العصائر ومشروبات الفاكهة</v>
      </c>
      <c r="C225" s="58">
        <f>IF('AYIRA MINI MART FINAL MENU - Pr'!C225="", "", 'AYIRA MINI MART FINAL MENU - Pr'!C225)</f>
        <v>5.5</v>
      </c>
      <c r="D225" s="58" t="str">
        <f>IF('AYIRA MINI MART FINAL MENU - Pr'!D225="", "", 'AYIRA MINI MART FINAL MENU - Pr'!D225)</f>
        <v>احرص على صحتك مع Rani Peach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25" s="56" t="str">
        <f>IF('AYIRA MINI MART FINAL MENU - Pr'!E225="", "", 'AYIRA MINI MART FINAL MENU - Pr'!E225)</f>
        <v/>
      </c>
      <c r="F225" s="56" t="str">
        <f>IF('AYIRA MINI MART FINAL MENU - Pr'!F225="", "", 'AYIRA MINI MART FINAL MENU - Pr'!F225)</f>
        <v/>
      </c>
      <c r="G225" s="56" t="str">
        <f>IF('AYIRA MINI MART FINAL MENU - Pr'!G225="", "", 'AYIRA MINI MART FINAL MENU - Pr'!G225)</f>
        <v/>
      </c>
      <c r="H225" s="56" t="str">
        <f>IF('AYIRA MINI MART FINAL MENU - Pr'!H225="", "", 'AYIRA MINI MART FINAL MENU - Pr'!H225)</f>
        <v/>
      </c>
      <c r="I225" s="56" t="str">
        <f>IF('AYIRA MINI MART FINAL MENU - Pr'!I225="", "", 'AYIRA MINI MART FINAL MENU - Pr'!I225)</f>
        <v/>
      </c>
      <c r="J225" s="56" t="str">
        <f>IFERROR(__xludf.DUMMYFUNCTION("IF('AYIRA MINI MART FINAL MENU - Pr'!J225="""", """", GOOGLETRANSLATE('AYIRA MINI MART FINAL MENU - Pr'!J225, ""en"", ""ar""))"),"يعرض")</f>
        <v>يعرض</v>
      </c>
      <c r="K225" s="56" t="str">
        <f>IF('AYIRA MINI MART FINAL MENU - Pr'!K225="", "", 'AYIRA MINI MART FINAL MENU - Pr'!K225)</f>
        <v/>
      </c>
      <c r="L225" s="56" t="str">
        <f>IF('AYIRA MINI MART FINAL MENU - Pr'!L225="", "", 'AYIRA MINI MART FINAL MENU - Pr'!L225)</f>
        <v/>
      </c>
      <c r="M225" s="56" t="str">
        <f>IF('AYIRA MINI MART FINAL MENU - Pr'!M225="", "", 'AYIRA MINI MART FINAL MENU - Pr'!M225)</f>
        <v/>
      </c>
      <c r="N225" s="56" t="str">
        <f>IF('AYIRA MINI MART FINAL MENU - Pr'!N225="", "", 'AYIRA MINI MART FINAL MENU - Pr'!N225)</f>
        <v/>
      </c>
      <c r="O225" s="57"/>
      <c r="P225" s="57"/>
      <c r="Q225" s="57"/>
      <c r="R225" s="57"/>
      <c r="S225" s="57"/>
      <c r="T225" s="57"/>
      <c r="U225" s="57"/>
      <c r="V225" s="57"/>
      <c r="W225" s="57"/>
      <c r="X225" s="57"/>
      <c r="Y225" s="57"/>
      <c r="Z225" s="57"/>
    </row>
    <row r="226">
      <c r="A226" s="56" t="str">
        <f>IFERROR(__xludf.DUMMYFUNCTION("IF('AYIRA MINI MART FINAL MENU - Pr'!A226="""", """", IF(LEN(TRIM(REGEXREPLACE(REGEXREPLACE('AYIRA MINI MART FINAL MENU - Pr'!A226, ""^[^\x{0600}-\x{06FF}]+"", """"), ""^[-–\s]+"", """")))&gt;0, TRIM(REGEXREPLACE(REGEXREPLACE('AYIRA MINI MART FINAL MENU - Pr"&amp;"'!A226, ""^[^\x{0600}-\x{06FF}]+"", """"), ""^[-–\s]+"", """")), GOOGLETRANSLATE('AYIRA MINI MART FINAL MENU - Pr'!A226, ""en"", ""ar"")))"),"عصير 1.4 لتر")</f>
        <v>عصير 1.4 لتر</v>
      </c>
      <c r="B226" s="56" t="str">
        <f>IFERROR(__xludf.DUMMYFUNCTION("IF('AYIRA MINI MART FINAL MENU - Pr'!B226="""", """", IF(LEN(TRIM(REGEXREPLACE(REGEXREPLACE('AYIRA MINI MART FINAL MENU - Pr'!B226, ""^[^\x{0600}-\x{06FF}]+"", """"), ""^[-–\s]+"", """")))&gt;0, TRIM(REGEXREPLACE(REGEXREPLACE('AYIRA MINI MART FINAL MENU - Pr"&amp;"'!B226, ""^[^\x{0600}-\x{06FF}]+"", """"), ""^[-–\s]+"", """")), GOOGLETRANSLATE('AYIRA MINI MART FINAL MENU - Pr'!B226, ""en"", ""ar"")))"),"العصائر ومشروبات الفاكهة")</f>
        <v>العصائر ومشروبات الفاكهة</v>
      </c>
      <c r="C226" s="58">
        <f>IF('AYIRA MINI MART FINAL MENU - Pr'!C226="", "", 'AYIRA MINI MART FINAL MENU - Pr'!C226)</f>
        <v>5.5</v>
      </c>
      <c r="D226" s="58" t="str">
        <f>IF('AYIRA MINI MART FINAL MENU - Pr'!D226="", "", 'AYIRA MINI MART FINAL MENU - Pr'!D226)</f>
        <v>احرص على صحتك مع Rani Pomegranate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26" s="56" t="str">
        <f>IF('AYIRA MINI MART FINAL MENU - Pr'!E226="", "", 'AYIRA MINI MART FINAL MENU - Pr'!E226)</f>
        <v/>
      </c>
      <c r="F226" s="56" t="str">
        <f>IF('AYIRA MINI MART FINAL MENU - Pr'!F226="", "", 'AYIRA MINI MART FINAL MENU - Pr'!F226)</f>
        <v/>
      </c>
      <c r="G226" s="56" t="str">
        <f>IF('AYIRA MINI MART FINAL MENU - Pr'!G226="", "", 'AYIRA MINI MART FINAL MENU - Pr'!G226)</f>
        <v/>
      </c>
      <c r="H226" s="56" t="str">
        <f>IF('AYIRA MINI MART FINAL MENU - Pr'!H226="", "", 'AYIRA MINI MART FINAL MENU - Pr'!H226)</f>
        <v/>
      </c>
      <c r="I226" s="56" t="str">
        <f>IF('AYIRA MINI MART FINAL MENU - Pr'!I226="", "", 'AYIRA MINI MART FINAL MENU - Pr'!I226)</f>
        <v/>
      </c>
      <c r="J226" s="56" t="str">
        <f>IFERROR(__xludf.DUMMYFUNCTION("IF('AYIRA MINI MART FINAL MENU - Pr'!J226="""", """", GOOGLETRANSLATE('AYIRA MINI MART FINAL MENU - Pr'!J226, ""en"", ""ar""))"),"يعرض")</f>
        <v>يعرض</v>
      </c>
      <c r="K226" s="56" t="str">
        <f>IF('AYIRA MINI MART FINAL MENU - Pr'!K226="", "", 'AYIRA MINI MART FINAL MENU - Pr'!K226)</f>
        <v/>
      </c>
      <c r="L226" s="56" t="str">
        <f>IF('AYIRA MINI MART FINAL MENU - Pr'!L226="", "", 'AYIRA MINI MART FINAL MENU - Pr'!L226)</f>
        <v/>
      </c>
      <c r="M226" s="56" t="str">
        <f>IF('AYIRA MINI MART FINAL MENU - Pr'!M226="", "", 'AYIRA MINI MART FINAL MENU - Pr'!M226)</f>
        <v/>
      </c>
      <c r="N226" s="56" t="str">
        <f>IF('AYIRA MINI MART FINAL MENU - Pr'!N226="", "", 'AYIRA MINI MART FINAL MENU - Pr'!N226)</f>
        <v/>
      </c>
      <c r="O226" s="57"/>
      <c r="P226" s="57"/>
      <c r="Q226" s="57"/>
      <c r="R226" s="57"/>
      <c r="S226" s="57"/>
      <c r="T226" s="57"/>
      <c r="U226" s="57"/>
      <c r="V226" s="57"/>
      <c r="W226" s="57"/>
      <c r="X226" s="57"/>
      <c r="Y226" s="57"/>
      <c r="Z226" s="57"/>
    </row>
    <row r="227">
      <c r="A227" s="56" t="str">
        <f>IFERROR(__xludf.DUMMYFUNCTION("IF('AYIRA MINI MART FINAL MENU - Pr'!A227="""", """", IF(LEN(TRIM(REGEXREPLACE(REGEXREPLACE('AYIRA MINI MART FINAL MENU - Pr'!A227, ""^[^\x{0600}-\x{06FF}]+"", """"), ""^[-–\s]+"", """")))&gt;0, TRIM(REGEXREPLACE(REGEXREPLACE('AYIRA MINI MART FINAL MENU - Pr"&amp;"'!A227, ""^[^\x{0600}-\x{06FF}]+"", """"), ""^[-–\s]+"", """")), GOOGLETRANSLATE('AYIRA MINI MART FINAL MENU - Pr'!A227, ""en"", ""ar"")))"),"برتقال عصير 1.4 لتر")</f>
        <v>برتقال عصير 1.4 لتر</v>
      </c>
      <c r="B227" s="56" t="str">
        <f>IFERROR(__xludf.DUMMYFUNCTION("IF('AYIRA MINI MART FINAL MENU - Pr'!B227="""", """", IF(LEN(TRIM(REGEXREPLACE(REGEXREPLACE('AYIRA MINI MART FINAL MENU - Pr'!B227, ""^[^\x{0600}-\x{06FF}]+"", """"), ""^[-–\s]+"", """")))&gt;0, TRIM(REGEXREPLACE(REGEXREPLACE('AYIRA MINI MART FINAL MENU - Pr"&amp;"'!B227, ""^[^\x{0600}-\x{06FF}]+"", """"), ""^[-–\s]+"", """")), GOOGLETRANSLATE('AYIRA MINI MART FINAL MENU - Pr'!B227, ""en"", ""ar"")))"),"العصائر ومشروبات الفاكهة")</f>
        <v>العصائر ومشروبات الفاكهة</v>
      </c>
      <c r="C227" s="58">
        <f>IF('AYIRA MINI MART FINAL MENU - Pr'!C227="", "", 'AYIRA MINI MART FINAL MENU - Pr'!C227)</f>
        <v>5.5</v>
      </c>
      <c r="D227" s="58" t="str">
        <f>IF('AYIRA MINI MART FINAL MENU - Pr'!D227="", "", 'AYIRA MINI MART FINAL MENU - Pr'!D227)</f>
        <v>احرص على صحتك مع Rani Carrot Orange Juice 1.4L،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227" s="56" t="str">
        <f>IF('AYIRA MINI MART FINAL MENU - Pr'!E227="", "", 'AYIRA MINI MART FINAL MENU - Pr'!E227)</f>
        <v/>
      </c>
      <c r="F227" s="56" t="str">
        <f>IF('AYIRA MINI MART FINAL MENU - Pr'!F227="", "", 'AYIRA MINI MART FINAL MENU - Pr'!F227)</f>
        <v/>
      </c>
      <c r="G227" s="56" t="str">
        <f>IF('AYIRA MINI MART FINAL MENU - Pr'!G227="", "", 'AYIRA MINI MART FINAL MENU - Pr'!G227)</f>
        <v/>
      </c>
      <c r="H227" s="56" t="str">
        <f>IF('AYIRA MINI MART FINAL MENU - Pr'!H227="", "", 'AYIRA MINI MART FINAL MENU - Pr'!H227)</f>
        <v/>
      </c>
      <c r="I227" s="56" t="str">
        <f>IF('AYIRA MINI MART FINAL MENU - Pr'!I227="", "", 'AYIRA MINI MART FINAL MENU - Pr'!I227)</f>
        <v/>
      </c>
      <c r="J227" s="56" t="str">
        <f>IFERROR(__xludf.DUMMYFUNCTION("IF('AYIRA MINI MART FINAL MENU - Pr'!J227="""", """", GOOGLETRANSLATE('AYIRA MINI MART FINAL MENU - Pr'!J227, ""en"", ""ar""))"),"يعرض")</f>
        <v>يعرض</v>
      </c>
      <c r="K227" s="56" t="str">
        <f>IF('AYIRA MINI MART FINAL MENU - Pr'!K227="", "", 'AYIRA MINI MART FINAL MENU - Pr'!K227)</f>
        <v/>
      </c>
      <c r="L227" s="56" t="str">
        <f>IF('AYIRA MINI MART FINAL MENU - Pr'!L227="", "", 'AYIRA MINI MART FINAL MENU - Pr'!L227)</f>
        <v/>
      </c>
      <c r="M227" s="56" t="str">
        <f>IF('AYIRA MINI MART FINAL MENU - Pr'!M227="", "", 'AYIRA MINI MART FINAL MENU - Pr'!M227)</f>
        <v/>
      </c>
      <c r="N227" s="56" t="str">
        <f>IF('AYIRA MINI MART FINAL MENU - Pr'!N227="", "", 'AYIRA MINI MART FINAL MENU - Pr'!N227)</f>
        <v/>
      </c>
      <c r="O227" s="57"/>
      <c r="P227" s="57"/>
      <c r="Q227" s="57"/>
      <c r="R227" s="57"/>
      <c r="S227" s="57"/>
      <c r="T227" s="57"/>
      <c r="U227" s="57"/>
      <c r="V227" s="57"/>
      <c r="W227" s="57"/>
      <c r="X227" s="57"/>
      <c r="Y227" s="57"/>
      <c r="Z227" s="57"/>
    </row>
    <row r="228">
      <c r="A228" s="56" t="str">
        <f>IFERROR(__xludf.DUMMYFUNCTION("IF('AYIRA MINI MART FINAL MENU - Pr'!A228="""", """", IF(LEN(TRIM(REGEXREPLACE(REGEXREPLACE('AYIRA MINI MART FINAL MENU - Pr'!A228, ""^[^\x{0600}-\x{06FF}]+"", """"), ""^[-–\s]+"", """")))&gt;0, TRIM(REGEXREPLACE(REGEXREPLACE('AYIRA MINI MART FINAL MENU - Pr"&amp;"'!A228, ""^[^\x{0600}-\x{06FF}]+"", """"), ""^[-–\s]+"", """")), GOOGLETRANSLATE('AYIRA MINI MART FINAL MENU - Pr'!A228, ""en"", ""ar"")))"),"سنيكرز آيس كريم عصا 73.5 غرام")</f>
        <v>سنيكرز آيس كريم عصا 73.5 غرام</v>
      </c>
      <c r="B228" s="56" t="str">
        <f>IFERROR(__xludf.DUMMYFUNCTION("IF('AYIRA MINI MART FINAL MENU - Pr'!B228="""", """", IF(LEN(TRIM(REGEXREPLACE(REGEXREPLACE('AYIRA MINI MART FINAL MENU - Pr'!B228, ""^[^\x{0600}-\x{06FF}]+"", """"), ""^[-–\s]+"", """")))&gt;0, TRIM(REGEXREPLACE(REGEXREPLACE('AYIRA MINI MART FINAL MENU - Pr"&amp;"'!B228, ""^[^\x{0600}-\x{06FF}]+"", """"), ""^[-–\s]+"", """")), GOOGLETRANSLATE('AYIRA MINI MART FINAL MENU - Pr'!B228, ""en"", ""ar"")))"),"الآيس كريم")</f>
        <v>الآيس كريم</v>
      </c>
      <c r="C228" s="58">
        <f>IF('AYIRA MINI MART FINAL MENU - Pr'!C228="", "", 'AYIRA MINI MART FINAL MENU - Pr'!C228)</f>
        <v>4.5</v>
      </c>
      <c r="D228" s="58" t="str">
        <f>IF('AYIRA MINI MART FINAL MENU - Pr'!D228="", "", 'AYIRA MINI MART FINAL MENU - Pr'!D228)</f>
        <v>برّد أيامك الحارة مع سنيكرز،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28" s="56" t="str">
        <f>IF('AYIRA MINI MART FINAL MENU - Pr'!E228="", "", 'AYIRA MINI MART FINAL MENU - Pr'!E228)</f>
        <v/>
      </c>
      <c r="F228" s="56" t="str">
        <f>IF('AYIRA MINI MART FINAL MENU - Pr'!F228="", "", 'AYIRA MINI MART FINAL MENU - Pr'!F228)</f>
        <v/>
      </c>
      <c r="G228" s="56" t="str">
        <f>IF('AYIRA MINI MART FINAL MENU - Pr'!G228="", "", 'AYIRA MINI MART FINAL MENU - Pr'!G228)</f>
        <v/>
      </c>
      <c r="H228" s="56" t="str">
        <f>IF('AYIRA MINI MART FINAL MENU - Pr'!H228="", "", 'AYIRA MINI MART FINAL MENU - Pr'!H228)</f>
        <v/>
      </c>
      <c r="I228" s="56" t="str">
        <f>IF('AYIRA MINI MART FINAL MENU - Pr'!I228="", "", 'AYIRA MINI MART FINAL MENU - Pr'!I228)</f>
        <v/>
      </c>
      <c r="J228" s="56" t="str">
        <f>IFERROR(__xludf.DUMMYFUNCTION("IF('AYIRA MINI MART FINAL MENU - Pr'!J228="""", """", GOOGLETRANSLATE('AYIRA MINI MART FINAL MENU - Pr'!J228, ""en"", ""ar""))"),"يعرض")</f>
        <v>يعرض</v>
      </c>
      <c r="K228" s="56" t="str">
        <f>IF('AYIRA MINI MART FINAL MENU - Pr'!K228="", "", 'AYIRA MINI MART FINAL MENU - Pr'!K228)</f>
        <v/>
      </c>
      <c r="L228" s="56" t="str">
        <f>IF('AYIRA MINI MART FINAL MENU - Pr'!L228="", "", 'AYIRA MINI MART FINAL MENU - Pr'!L228)</f>
        <v/>
      </c>
      <c r="M228" s="56" t="str">
        <f>IF('AYIRA MINI MART FINAL MENU - Pr'!M228="", "", 'AYIRA MINI MART FINAL MENU - Pr'!M228)</f>
        <v/>
      </c>
      <c r="N228" s="56" t="str">
        <f>IF('AYIRA MINI MART FINAL MENU - Pr'!N228="", "", 'AYIRA MINI MART FINAL MENU - Pr'!N228)</f>
        <v/>
      </c>
      <c r="O228" s="57"/>
      <c r="P228" s="57"/>
      <c r="Q228" s="57"/>
      <c r="R228" s="57"/>
      <c r="S228" s="57"/>
      <c r="T228" s="57"/>
      <c r="U228" s="57"/>
      <c r="V228" s="57"/>
      <c r="W228" s="57"/>
      <c r="X228" s="57"/>
      <c r="Y228" s="57"/>
      <c r="Z228" s="57"/>
    </row>
    <row r="229">
      <c r="A229" s="56" t="str">
        <f>IFERROR(__xludf.DUMMYFUNCTION("IF('AYIRA MINI MART FINAL MENU - Pr'!A229="""", """", IF(LEN(TRIM(REGEXREPLACE(REGEXREPLACE('AYIRA MINI MART FINAL MENU - Pr'!A229, ""^[^\x{0600}-\x{06FF}]+"", """"), ""^[-–\s]+"", """")))&gt;0, TRIM(REGEXREPLACE(REGEXREPLACE('AYIRA MINI MART FINAL MENU - Pr"&amp;"'!A229, ""^[^\x{0600}-\x{06FF}]+"", """"), ""^[-–\s]+"", """")), GOOGLETRANSLATE('AYIRA MINI MART FINAL MENU - Pr'!A229, ""en"", ""ar"")))"),"سنيكرز أبيض آيس كريم قطعة 41 غرام")</f>
        <v>سنيكرز أبيض آيس كريم قطعة 41 غرام</v>
      </c>
      <c r="B229" s="56" t="str">
        <f>IFERROR(__xludf.DUMMYFUNCTION("IF('AYIRA MINI MART FINAL MENU - Pr'!B229="""", """", IF(LEN(TRIM(REGEXREPLACE(REGEXREPLACE('AYIRA MINI MART FINAL MENU - Pr'!B229, ""^[^\x{0600}-\x{06FF}]+"", """"), ""^[-–\s]+"", """")))&gt;0, TRIM(REGEXREPLACE(REGEXREPLACE('AYIRA MINI MART FINAL MENU - Pr"&amp;"'!B229, ""^[^\x{0600}-\x{06FF}]+"", """"), ""^[-–\s]+"", """")), GOOGLETRANSLATE('AYIRA MINI MART FINAL MENU - Pr'!B229, ""en"", ""ar"")))"),"الآيس كريم")</f>
        <v>الآيس كريم</v>
      </c>
      <c r="C229" s="58">
        <f>IF('AYIRA MINI MART FINAL MENU - Pr'!C229="", "", 'AYIRA MINI MART FINAL MENU - Pr'!C229)</f>
        <v>4.5</v>
      </c>
      <c r="D229" s="58" t="str">
        <f>IF('AYIRA MINI MART FINAL MENU - Pr'!D229="", "", 'AYIRA MINI MART FINAL MENU - Pr'!D229)</f>
        <v>برّد أيامك الحارة مع سنيكرز،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29" s="56" t="str">
        <f>IF('AYIRA MINI MART FINAL MENU - Pr'!E229="", "", 'AYIRA MINI MART FINAL MENU - Pr'!E229)</f>
        <v/>
      </c>
      <c r="F229" s="56" t="str">
        <f>IF('AYIRA MINI MART FINAL MENU - Pr'!F229="", "", 'AYIRA MINI MART FINAL MENU - Pr'!F229)</f>
        <v/>
      </c>
      <c r="G229" s="56" t="str">
        <f>IF('AYIRA MINI MART FINAL MENU - Pr'!G229="", "", 'AYIRA MINI MART FINAL MENU - Pr'!G229)</f>
        <v/>
      </c>
      <c r="H229" s="56" t="str">
        <f>IF('AYIRA MINI MART FINAL MENU - Pr'!H229="", "", 'AYIRA MINI MART FINAL MENU - Pr'!H229)</f>
        <v/>
      </c>
      <c r="I229" s="56" t="str">
        <f>IF('AYIRA MINI MART FINAL MENU - Pr'!I229="", "", 'AYIRA MINI MART FINAL MENU - Pr'!I229)</f>
        <v/>
      </c>
      <c r="J229" s="56" t="str">
        <f>IFERROR(__xludf.DUMMYFUNCTION("IF('AYIRA MINI MART FINAL MENU - Pr'!J229="""", """", GOOGLETRANSLATE('AYIRA MINI MART FINAL MENU - Pr'!J229, ""en"", ""ar""))"),"يعرض")</f>
        <v>يعرض</v>
      </c>
      <c r="K229" s="56" t="str">
        <f>IF('AYIRA MINI MART FINAL MENU - Pr'!K229="", "", 'AYIRA MINI MART FINAL MENU - Pr'!K229)</f>
        <v/>
      </c>
      <c r="L229" s="56" t="str">
        <f>IF('AYIRA MINI MART FINAL MENU - Pr'!L229="", "", 'AYIRA MINI MART FINAL MENU - Pr'!L229)</f>
        <v/>
      </c>
      <c r="M229" s="56" t="str">
        <f>IF('AYIRA MINI MART FINAL MENU - Pr'!M229="", "", 'AYIRA MINI MART FINAL MENU - Pr'!M229)</f>
        <v/>
      </c>
      <c r="N229" s="56" t="str">
        <f>IF('AYIRA MINI MART FINAL MENU - Pr'!N229="", "", 'AYIRA MINI MART FINAL MENU - Pr'!N229)</f>
        <v/>
      </c>
      <c r="O229" s="57"/>
      <c r="P229" s="57"/>
      <c r="Q229" s="57"/>
      <c r="R229" s="57"/>
      <c r="S229" s="57"/>
      <c r="T229" s="57"/>
      <c r="U229" s="57"/>
      <c r="V229" s="57"/>
      <c r="W229" s="57"/>
      <c r="X229" s="57"/>
      <c r="Y229" s="57"/>
      <c r="Z229" s="57"/>
    </row>
    <row r="230">
      <c r="A230" s="56" t="str">
        <f>IFERROR(__xludf.DUMMYFUNCTION("IF('AYIRA MINI MART FINAL MENU - Pr'!A230="""", """", IF(LEN(TRIM(REGEXREPLACE(REGEXREPLACE('AYIRA MINI MART FINAL MENU - Pr'!A230, ""^[^\x{0600}-\x{06FF}]+"", """"), ""^[-–\s]+"", """")))&gt;0, TRIM(REGEXREPLACE(REGEXREPLACE('AYIRA MINI MART FINAL MENU - Pr"&amp;"'!A230, ""^[^\x{0600}-\x{06FF}]+"", """"), ""^[-–\s]+"", """")), GOOGLETRANSLATE('AYIRA MINI MART FINAL MENU - Pr'!A230, ""en"", ""ar"")))"),"داندي 50-50 آيس كريم 100 مل")</f>
        <v>داندي 50-50 آيس كريم 100 مل</v>
      </c>
      <c r="B230" s="56" t="str">
        <f>IFERROR(__xludf.DUMMYFUNCTION("IF('AYIRA MINI MART FINAL MENU - Pr'!B230="""", """", IF(LEN(TRIM(REGEXREPLACE(REGEXREPLACE('AYIRA MINI MART FINAL MENU - Pr'!B230, ""^[^\x{0600}-\x{06FF}]+"", """"), ""^[-–\s]+"", """")))&gt;0, TRIM(REGEXREPLACE(REGEXREPLACE('AYIRA MINI MART FINAL MENU - Pr"&amp;"'!B230, ""^[^\x{0600}-\x{06FF}]+"", """"), ""^[-–\s]+"", """")), GOOGLETRANSLATE('AYIRA MINI MART FINAL MENU - Pr'!B230, ""en"", ""ar"")))"),"الآيس كريم")</f>
        <v>الآيس كريم</v>
      </c>
      <c r="C230" s="58">
        <f>IF('AYIRA MINI MART FINAL MENU - Pr'!C230="", "", 'AYIRA MINI MART FINAL MENU - Pr'!C230)</f>
        <v>3.5</v>
      </c>
      <c r="D230" s="58" t="str">
        <f>IF('AYIRA MINI MART FINAL MENU - Pr'!D230="", "", 'AYIRA MINI MART FINAL MENU - Pr'!D230)</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30" s="56" t="str">
        <f>IF('AYIRA MINI MART FINAL MENU - Pr'!E230="", "", 'AYIRA MINI MART FINAL MENU - Pr'!E230)</f>
        <v/>
      </c>
      <c r="F230" s="56" t="str">
        <f>IF('AYIRA MINI MART FINAL MENU - Pr'!F230="", "", 'AYIRA MINI MART FINAL MENU - Pr'!F230)</f>
        <v/>
      </c>
      <c r="G230" s="56" t="str">
        <f>IF('AYIRA MINI MART FINAL MENU - Pr'!G230="", "", 'AYIRA MINI MART FINAL MENU - Pr'!G230)</f>
        <v/>
      </c>
      <c r="H230" s="56" t="str">
        <f>IF('AYIRA MINI MART FINAL MENU - Pr'!H230="", "", 'AYIRA MINI MART FINAL MENU - Pr'!H230)</f>
        <v/>
      </c>
      <c r="I230" s="56" t="str">
        <f>IF('AYIRA MINI MART FINAL MENU - Pr'!I230="", "", 'AYIRA MINI MART FINAL MENU - Pr'!I230)</f>
        <v/>
      </c>
      <c r="J230" s="56" t="str">
        <f>IFERROR(__xludf.DUMMYFUNCTION("IF('AYIRA MINI MART FINAL MENU - Pr'!J230="""", """", GOOGLETRANSLATE('AYIRA MINI MART FINAL MENU - Pr'!J230, ""en"", ""ar""))"),"يعرض")</f>
        <v>يعرض</v>
      </c>
      <c r="K230" s="56" t="str">
        <f>IF('AYIRA MINI MART FINAL MENU - Pr'!K230="", "", 'AYIRA MINI MART FINAL MENU - Pr'!K230)</f>
        <v/>
      </c>
      <c r="L230" s="56" t="str">
        <f>IF('AYIRA MINI MART FINAL MENU - Pr'!L230="", "", 'AYIRA MINI MART FINAL MENU - Pr'!L230)</f>
        <v/>
      </c>
      <c r="M230" s="56" t="str">
        <f>IF('AYIRA MINI MART FINAL MENU - Pr'!M230="", "", 'AYIRA MINI MART FINAL MENU - Pr'!M230)</f>
        <v/>
      </c>
      <c r="N230" s="56" t="str">
        <f>IF('AYIRA MINI MART FINAL MENU - Pr'!N230="", "", 'AYIRA MINI MART FINAL MENU - Pr'!N230)</f>
        <v/>
      </c>
      <c r="O230" s="57"/>
      <c r="P230" s="57"/>
      <c r="Q230" s="57"/>
      <c r="R230" s="57"/>
      <c r="S230" s="57"/>
      <c r="T230" s="57"/>
      <c r="U230" s="57"/>
      <c r="V230" s="57"/>
      <c r="W230" s="57"/>
      <c r="X230" s="57"/>
      <c r="Y230" s="57"/>
      <c r="Z230" s="57"/>
    </row>
    <row r="231">
      <c r="A231" s="56" t="str">
        <f>IFERROR(__xludf.DUMMYFUNCTION("IF('AYIRA MINI MART FINAL MENU - Pr'!A231="""", """", IF(LEN(TRIM(REGEXREPLACE(REGEXREPLACE('AYIRA MINI MART FINAL MENU - Pr'!A231, ""^[^\x{0600}-\x{06FF}]+"", """"), ""^[-–\s]+"", """")))&gt;0, TRIM(REGEXREPLACE(REGEXREPLACE('AYIRA MINI MART FINAL MENU - Pr"&amp;"'!A231, ""^[^\x{0600}-\x{06FF}]+"", """"), ""^[-–\s]+"", """")), GOOGLETRANSLATE('AYIRA MINI MART FINAL MENU - Pr'!A231, ""en"", ""ar"")))"),"داندي فول سوداني Delight آيس كريم 100 مل")</f>
        <v>داندي فول سوداني Delight آيس كريم 100 مل</v>
      </c>
      <c r="B231" s="56" t="str">
        <f>IFERROR(__xludf.DUMMYFUNCTION("IF('AYIRA MINI MART FINAL MENU - Pr'!B231="""", """", IF(LEN(TRIM(REGEXREPLACE(REGEXREPLACE('AYIRA MINI MART FINAL MENU - Pr'!B231, ""^[^\x{0600}-\x{06FF}]+"", """"), ""^[-–\s]+"", """")))&gt;0, TRIM(REGEXREPLACE(REGEXREPLACE('AYIRA MINI MART FINAL MENU - Pr"&amp;"'!B231, ""^[^\x{0600}-\x{06FF}]+"", """"), ""^[-–\s]+"", """")), GOOGLETRANSLATE('AYIRA MINI MART FINAL MENU - Pr'!B231, ""en"", ""ar"")))"),"الآيس كريم")</f>
        <v>الآيس كريم</v>
      </c>
      <c r="C231" s="58">
        <f>IF('AYIRA MINI MART FINAL MENU - Pr'!C231="", "", 'AYIRA MINI MART FINAL MENU - Pr'!C231)</f>
        <v>3.5</v>
      </c>
      <c r="D231" s="58" t="str">
        <f>IF('AYIRA MINI MART FINAL MENU - Pr'!D231="", "", 'AYIRA MINI MART FINAL MENU - Pr'!D231)</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31" s="56" t="str">
        <f>IF('AYIRA MINI MART FINAL MENU - Pr'!E231="", "", 'AYIRA MINI MART FINAL MENU - Pr'!E231)</f>
        <v/>
      </c>
      <c r="F231" s="56" t="str">
        <f>IF('AYIRA MINI MART FINAL MENU - Pr'!F231="", "", 'AYIRA MINI MART FINAL MENU - Pr'!F231)</f>
        <v/>
      </c>
      <c r="G231" s="56" t="str">
        <f>IF('AYIRA MINI MART FINAL MENU - Pr'!G231="", "", 'AYIRA MINI MART FINAL MENU - Pr'!G231)</f>
        <v/>
      </c>
      <c r="H231" s="56" t="str">
        <f>IF('AYIRA MINI MART FINAL MENU - Pr'!H231="", "", 'AYIRA MINI MART FINAL MENU - Pr'!H231)</f>
        <v/>
      </c>
      <c r="I231" s="56" t="str">
        <f>IF('AYIRA MINI MART FINAL MENU - Pr'!I231="", "", 'AYIRA MINI MART FINAL MENU - Pr'!I231)</f>
        <v/>
      </c>
      <c r="J231" s="56" t="str">
        <f>IFERROR(__xludf.DUMMYFUNCTION("IF('AYIRA MINI MART FINAL MENU - Pr'!J231="""", """", GOOGLETRANSLATE('AYIRA MINI MART FINAL MENU - Pr'!J231, ""en"", ""ar""))"),"يعرض")</f>
        <v>يعرض</v>
      </c>
      <c r="K231" s="56" t="str">
        <f>IF('AYIRA MINI MART FINAL MENU - Pr'!K231="", "", 'AYIRA MINI MART FINAL MENU - Pr'!K231)</f>
        <v/>
      </c>
      <c r="L231" s="56" t="str">
        <f>IF('AYIRA MINI MART FINAL MENU - Pr'!L231="", "", 'AYIRA MINI MART FINAL MENU - Pr'!L231)</f>
        <v/>
      </c>
      <c r="M231" s="56" t="str">
        <f>IF('AYIRA MINI MART FINAL MENU - Pr'!M231="", "", 'AYIRA MINI MART FINAL MENU - Pr'!M231)</f>
        <v/>
      </c>
      <c r="N231" s="56" t="str">
        <f>IF('AYIRA MINI MART FINAL MENU - Pr'!N231="", "", 'AYIRA MINI MART FINAL MENU - Pr'!N231)</f>
        <v/>
      </c>
      <c r="O231" s="57"/>
      <c r="P231" s="57"/>
      <c r="Q231" s="57"/>
      <c r="R231" s="57"/>
      <c r="S231" s="57"/>
      <c r="T231" s="57"/>
      <c r="U231" s="57"/>
      <c r="V231" s="57"/>
      <c r="W231" s="57"/>
      <c r="X231" s="57"/>
      <c r="Y231" s="57"/>
      <c r="Z231" s="57"/>
    </row>
    <row r="232">
      <c r="A232" s="56" t="str">
        <f>IFERROR(__xludf.DUMMYFUNCTION("IF('AYIRA MINI MART FINAL MENU - Pr'!A232="""", """", IF(LEN(TRIM(REGEXREPLACE(REGEXREPLACE('AYIRA MINI MART FINAL MENU - Pr'!A232, ""^[^\x{0600}-\x{06FF}]+"", """"), ""^[-–\s]+"", """")))&gt;0, TRIM(REGEXREPLACE(REGEXREPLACE('AYIRA MINI MART FINAL MENU - Pr"&amp;"'!A232, ""^[^\x{0600}-\x{06FF}]+"", """"), ""^[-–\s]+"", """")), GOOGLETRANSLATE('AYIRA MINI MART FINAL MENU - Pr'!A232, ""en"", ""ar"")))"),"داندي لوز Delight آيس كريم 100 مل")</f>
        <v>داندي لوز Delight آيس كريم 100 مل</v>
      </c>
      <c r="B232" s="56" t="str">
        <f>IFERROR(__xludf.DUMMYFUNCTION("IF('AYIRA MINI MART FINAL MENU - Pr'!B232="""", """", IF(LEN(TRIM(REGEXREPLACE(REGEXREPLACE('AYIRA MINI MART FINAL MENU - Pr'!B232, ""^[^\x{0600}-\x{06FF}]+"", """"), ""^[-–\s]+"", """")))&gt;0, TRIM(REGEXREPLACE(REGEXREPLACE('AYIRA MINI MART FINAL MENU - Pr"&amp;"'!B232, ""^[^\x{0600}-\x{06FF}]+"", """"), ""^[-–\s]+"", """")), GOOGLETRANSLATE('AYIRA MINI MART FINAL MENU - Pr'!B232, ""en"", ""ar"")))"),"الآيس كريم")</f>
        <v>الآيس كريم</v>
      </c>
      <c r="C232" s="58">
        <f>IF('AYIRA MINI MART FINAL MENU - Pr'!C232="", "", 'AYIRA MINI MART FINAL MENU - Pr'!C232)</f>
        <v>3.5</v>
      </c>
      <c r="D232" s="58" t="str">
        <f>IF('AYIRA MINI MART FINAL MENU - Pr'!D232="", "", 'AYIRA MINI MART FINAL MENU - Pr'!D232)</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32" s="56" t="str">
        <f>IF('AYIRA MINI MART FINAL MENU - Pr'!E232="", "", 'AYIRA MINI MART FINAL MENU - Pr'!E232)</f>
        <v/>
      </c>
      <c r="F232" s="56" t="str">
        <f>IF('AYIRA MINI MART FINAL MENU - Pr'!F232="", "", 'AYIRA MINI MART FINAL MENU - Pr'!F232)</f>
        <v/>
      </c>
      <c r="G232" s="56" t="str">
        <f>IF('AYIRA MINI MART FINAL MENU - Pr'!G232="", "", 'AYIRA MINI MART FINAL MENU - Pr'!G232)</f>
        <v/>
      </c>
      <c r="H232" s="56" t="str">
        <f>IF('AYIRA MINI MART FINAL MENU - Pr'!H232="", "", 'AYIRA MINI MART FINAL MENU - Pr'!H232)</f>
        <v/>
      </c>
      <c r="I232" s="56" t="str">
        <f>IF('AYIRA MINI MART FINAL MENU - Pr'!I232="", "", 'AYIRA MINI MART FINAL MENU - Pr'!I232)</f>
        <v/>
      </c>
      <c r="J232" s="56" t="str">
        <f>IFERROR(__xludf.DUMMYFUNCTION("IF('AYIRA MINI MART FINAL MENU - Pr'!J232="""", """", GOOGLETRANSLATE('AYIRA MINI MART FINAL MENU - Pr'!J232, ""en"", ""ar""))"),"يعرض")</f>
        <v>يعرض</v>
      </c>
      <c r="K232" s="56" t="str">
        <f>IF('AYIRA MINI MART FINAL MENU - Pr'!K232="", "", 'AYIRA MINI MART FINAL MENU - Pr'!K232)</f>
        <v/>
      </c>
      <c r="L232" s="56" t="str">
        <f>IF('AYIRA MINI MART FINAL MENU - Pr'!L232="", "", 'AYIRA MINI MART FINAL MENU - Pr'!L232)</f>
        <v/>
      </c>
      <c r="M232" s="56" t="str">
        <f>IF('AYIRA MINI MART FINAL MENU - Pr'!M232="", "", 'AYIRA MINI MART FINAL MENU - Pr'!M232)</f>
        <v/>
      </c>
      <c r="N232" s="56" t="str">
        <f>IF('AYIRA MINI MART FINAL MENU - Pr'!N232="", "", 'AYIRA MINI MART FINAL MENU - Pr'!N232)</f>
        <v/>
      </c>
      <c r="O232" s="57"/>
      <c r="P232" s="57"/>
      <c r="Q232" s="57"/>
      <c r="R232" s="57"/>
      <c r="S232" s="57"/>
      <c r="T232" s="57"/>
      <c r="U232" s="57"/>
      <c r="V232" s="57"/>
      <c r="W232" s="57"/>
      <c r="X232" s="57"/>
      <c r="Y232" s="57"/>
      <c r="Z232" s="57"/>
    </row>
    <row r="233">
      <c r="A233" s="56" t="str">
        <f>IFERROR(__xludf.DUMMYFUNCTION("IF('AYIRA MINI MART FINAL MENU - Pr'!A233="""", """", IF(LEN(TRIM(REGEXREPLACE(REGEXREPLACE('AYIRA MINI MART FINAL MENU - Pr'!A233, ""^[^\x{0600}-\x{06FF}]+"", """"), ""^[-–\s]+"", """")))&gt;0, TRIM(REGEXREPLACE(REGEXREPLACE('AYIRA MINI MART FINAL MENU - Pr"&amp;"'!A233, ""^[^\x{0600}-\x{06FF}]+"", """"), ""^[-–\s]+"", """")), GOOGLETRANSLATE('AYIRA MINI MART FINAL MENU - Pr'!A233, ""en"", ""ar"")))"),"داندي آيس كريم ساندويتش 100 مل")</f>
        <v>داندي آيس كريم ساندويتش 100 مل</v>
      </c>
      <c r="B233" s="56" t="str">
        <f>IFERROR(__xludf.DUMMYFUNCTION("IF('AYIRA MINI MART FINAL MENU - Pr'!B233="""", """", IF(LEN(TRIM(REGEXREPLACE(REGEXREPLACE('AYIRA MINI MART FINAL MENU - Pr'!B233, ""^[^\x{0600}-\x{06FF}]+"", """"), ""^[-–\s]+"", """")))&gt;0, TRIM(REGEXREPLACE(REGEXREPLACE('AYIRA MINI MART FINAL MENU - Pr"&amp;"'!B233, ""^[^\x{0600}-\x{06FF}]+"", """"), ""^[-–\s]+"", """")), GOOGLETRANSLATE('AYIRA MINI MART FINAL MENU - Pr'!B233, ""en"", ""ar"")))"),"الآيس كريم")</f>
        <v>الآيس كريم</v>
      </c>
      <c r="C233" s="58">
        <f>IF('AYIRA MINI MART FINAL MENU - Pr'!C233="", "", 'AYIRA MINI MART FINAL MENU - Pr'!C233)</f>
        <v>2.5</v>
      </c>
      <c r="D233" s="58" t="str">
        <f>IF('AYIRA MINI MART FINAL MENU - Pr'!D233="", "", 'AYIRA MINI MART FINAL MENU - Pr'!D233)</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33" s="56" t="str">
        <f>IF('AYIRA MINI MART FINAL MENU - Pr'!E233="", "", 'AYIRA MINI MART FINAL MENU - Pr'!E233)</f>
        <v/>
      </c>
      <c r="F233" s="56" t="str">
        <f>IF('AYIRA MINI MART FINAL MENU - Pr'!F233="", "", 'AYIRA MINI MART FINAL MENU - Pr'!F233)</f>
        <v/>
      </c>
      <c r="G233" s="56" t="str">
        <f>IF('AYIRA MINI MART FINAL MENU - Pr'!G233="", "", 'AYIRA MINI MART FINAL MENU - Pr'!G233)</f>
        <v/>
      </c>
      <c r="H233" s="56" t="str">
        <f>IF('AYIRA MINI MART FINAL MENU - Pr'!H233="", "", 'AYIRA MINI MART FINAL MENU - Pr'!H233)</f>
        <v/>
      </c>
      <c r="I233" s="56" t="str">
        <f>IF('AYIRA MINI MART FINAL MENU - Pr'!I233="", "", 'AYIRA MINI MART FINAL MENU - Pr'!I233)</f>
        <v/>
      </c>
      <c r="J233" s="56" t="str">
        <f>IFERROR(__xludf.DUMMYFUNCTION("IF('AYIRA MINI MART FINAL MENU - Pr'!J233="""", """", GOOGLETRANSLATE('AYIRA MINI MART FINAL MENU - Pr'!J233, ""en"", ""ar""))"),"يعرض")</f>
        <v>يعرض</v>
      </c>
      <c r="K233" s="56" t="str">
        <f>IF('AYIRA MINI MART FINAL MENU - Pr'!K233="", "", 'AYIRA MINI MART FINAL MENU - Pr'!K233)</f>
        <v/>
      </c>
      <c r="L233" s="56" t="str">
        <f>IF('AYIRA MINI MART FINAL MENU - Pr'!L233="", "", 'AYIRA MINI MART FINAL MENU - Pr'!L233)</f>
        <v/>
      </c>
      <c r="M233" s="56" t="str">
        <f>IF('AYIRA MINI MART FINAL MENU - Pr'!M233="", "", 'AYIRA MINI MART FINAL MENU - Pr'!M233)</f>
        <v/>
      </c>
      <c r="N233" s="56" t="str">
        <f>IF('AYIRA MINI MART FINAL MENU - Pr'!N233="", "", 'AYIRA MINI MART FINAL MENU - Pr'!N233)</f>
        <v/>
      </c>
      <c r="O233" s="57"/>
      <c r="P233" s="57"/>
      <c r="Q233" s="57"/>
      <c r="R233" s="57"/>
      <c r="S233" s="57"/>
      <c r="T233" s="57"/>
      <c r="U233" s="57"/>
      <c r="V233" s="57"/>
      <c r="W233" s="57"/>
      <c r="X233" s="57"/>
      <c r="Y233" s="57"/>
      <c r="Z233" s="57"/>
    </row>
    <row r="234">
      <c r="A234" s="56" t="str">
        <f>IFERROR(__xludf.DUMMYFUNCTION("IF('AYIRA MINI MART FINAL MENU - Pr'!A234="""", """", IF(LEN(TRIM(REGEXREPLACE(REGEXREPLACE('AYIRA MINI MART FINAL MENU - Pr'!A234, ""^[^\x{0600}-\x{06FF}]+"", """"), ""^[-–\s]+"", """")))&gt;0, TRIM(REGEXREPLACE(REGEXREPLACE('AYIRA MINI MART FINAL MENU - Pr"&amp;"'!A234, ""^[^\x{0600}-\x{06FF}]+"", """"), ""^[-–\s]+"", """")), GOOGLETRANSLATE('AYIRA MINI MART FINAL MENU - Pr'!A234, ""en"", ""ar"")))"),"غالاكسي آيس كريم Cone 110 مل")</f>
        <v>غالاكسي آيس كريم Cone 110 مل</v>
      </c>
      <c r="B234" s="56" t="str">
        <f>IFERROR(__xludf.DUMMYFUNCTION("IF('AYIRA MINI MART FINAL MENU - Pr'!B234="""", """", IF(LEN(TRIM(REGEXREPLACE(REGEXREPLACE('AYIRA MINI MART FINAL MENU - Pr'!B234, ""^[^\x{0600}-\x{06FF}]+"", """"), ""^[-–\s]+"", """")))&gt;0, TRIM(REGEXREPLACE(REGEXREPLACE('AYIRA MINI MART FINAL MENU - Pr"&amp;"'!B234, ""^[^\x{0600}-\x{06FF}]+"", """"), ""^[-–\s]+"", """")), GOOGLETRANSLATE('AYIRA MINI MART FINAL MENU - Pr'!B234, ""en"", ""ar"")))"),"الآيس كريم")</f>
        <v>الآيس كريم</v>
      </c>
      <c r="C234" s="58">
        <f>IF('AYIRA MINI MART FINAL MENU - Pr'!C234="", "", 'AYIRA MINI MART FINAL MENU - Pr'!C234)</f>
        <v>7</v>
      </c>
      <c r="D234" s="58" t="str">
        <f>IF('AYIRA MINI MART FINAL MENU - Pr'!D234="", "", 'AYIRA MINI MART FINAL MENU - Pr'!D234)</f>
        <v>برّد أيامك الحارة مع GALAXY Ice Cream Cone 110ml،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34" s="56" t="str">
        <f>IF('AYIRA MINI MART FINAL MENU - Pr'!E234="", "", 'AYIRA MINI MART FINAL MENU - Pr'!E234)</f>
        <v/>
      </c>
      <c r="F234" s="56" t="str">
        <f>IF('AYIRA MINI MART FINAL MENU - Pr'!F234="", "", 'AYIRA MINI MART FINAL MENU - Pr'!F234)</f>
        <v/>
      </c>
      <c r="G234" s="56" t="str">
        <f>IF('AYIRA MINI MART FINAL MENU - Pr'!G234="", "", 'AYIRA MINI MART FINAL MENU - Pr'!G234)</f>
        <v/>
      </c>
      <c r="H234" s="56" t="str">
        <f>IF('AYIRA MINI MART FINAL MENU - Pr'!H234="", "", 'AYIRA MINI MART FINAL MENU - Pr'!H234)</f>
        <v/>
      </c>
      <c r="I234" s="56" t="str">
        <f>IF('AYIRA MINI MART FINAL MENU - Pr'!I234="", "", 'AYIRA MINI MART FINAL MENU - Pr'!I234)</f>
        <v/>
      </c>
      <c r="J234" s="56" t="str">
        <f>IFERROR(__xludf.DUMMYFUNCTION("IF('AYIRA MINI MART FINAL MENU - Pr'!J234="""", """", GOOGLETRANSLATE('AYIRA MINI MART FINAL MENU - Pr'!J234, ""en"", ""ar""))"),"يعرض")</f>
        <v>يعرض</v>
      </c>
      <c r="K234" s="56" t="str">
        <f>IF('AYIRA MINI MART FINAL MENU - Pr'!K234="", "", 'AYIRA MINI MART FINAL MENU - Pr'!K234)</f>
        <v/>
      </c>
      <c r="L234" s="56" t="str">
        <f>IF('AYIRA MINI MART FINAL MENU - Pr'!L234="", "", 'AYIRA MINI MART FINAL MENU - Pr'!L234)</f>
        <v/>
      </c>
      <c r="M234" s="56" t="str">
        <f>IF('AYIRA MINI MART FINAL MENU - Pr'!M234="", "", 'AYIRA MINI MART FINAL MENU - Pr'!M234)</f>
        <v/>
      </c>
      <c r="N234" s="56" t="str">
        <f>IF('AYIRA MINI MART FINAL MENU - Pr'!N234="", "", 'AYIRA MINI MART FINAL MENU - Pr'!N234)</f>
        <v/>
      </c>
      <c r="O234" s="57"/>
      <c r="P234" s="57"/>
      <c r="Q234" s="57"/>
      <c r="R234" s="57"/>
      <c r="S234" s="57"/>
      <c r="T234" s="57"/>
      <c r="U234" s="57"/>
      <c r="V234" s="57"/>
      <c r="W234" s="57"/>
      <c r="X234" s="57"/>
      <c r="Y234" s="57"/>
      <c r="Z234" s="57"/>
    </row>
    <row r="235">
      <c r="A235" s="56" t="str">
        <f>IFERROR(__xludf.DUMMYFUNCTION("IF('AYIRA MINI MART FINAL MENU - Pr'!A235="""", """", IF(LEN(TRIM(REGEXREPLACE(REGEXREPLACE('AYIRA MINI MART FINAL MENU - Pr'!A235, ""^[^\x{0600}-\x{06FF}]+"", """"), ""^[-–\s]+"", """")))&gt;0, TRIM(REGEXREPLACE(REGEXREPLACE('AYIRA MINI MART FINAL MENU - Pr"&amp;"'!A235, ""^[^\x{0600}-\x{06FF}]+"", """"), ""^[-–\s]+"", """")), GOOGLETRANSLATE('AYIRA MINI MART FINAL MENU - Pr'!A235, ""en"", ""ar"")))"),"غالاكسي آيس كريم Heart 54.6 غرام")</f>
        <v>غالاكسي آيس كريم Heart 54.6 غرام</v>
      </c>
      <c r="B235" s="56" t="str">
        <f>IFERROR(__xludf.DUMMYFUNCTION("IF('AYIRA MINI MART FINAL MENU - Pr'!B235="""", """", IF(LEN(TRIM(REGEXREPLACE(REGEXREPLACE('AYIRA MINI MART FINAL MENU - Pr'!B235, ""^[^\x{0600}-\x{06FF}]+"", """"), ""^[-–\s]+"", """")))&gt;0, TRIM(REGEXREPLACE(REGEXREPLACE('AYIRA MINI MART FINAL MENU - Pr"&amp;"'!B235, ""^[^\x{0600}-\x{06FF}]+"", """"), ""^[-–\s]+"", """")), GOOGLETRANSLATE('AYIRA MINI MART FINAL MENU - Pr'!B235, ""en"", ""ar"")))"),"الآيس كريم")</f>
        <v>الآيس كريم</v>
      </c>
      <c r="C235" s="58">
        <f>IF('AYIRA MINI MART FINAL MENU - Pr'!C235="", "", 'AYIRA MINI MART FINAL MENU - Pr'!C235)</f>
        <v>6</v>
      </c>
      <c r="D235" s="58" t="str">
        <f>IF('AYIRA MINI MART FINAL MENU - Pr'!D235="", "", 'AYIRA MINI MART FINAL MENU - Pr'!D235)</f>
        <v>برّد أيامك الحارة مع GALAXY Ice Cream Heart 54.6g،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35" s="56" t="str">
        <f>IF('AYIRA MINI MART FINAL MENU - Pr'!E235="", "", 'AYIRA MINI MART FINAL MENU - Pr'!E235)</f>
        <v/>
      </c>
      <c r="F235" s="56" t="str">
        <f>IF('AYIRA MINI MART FINAL MENU - Pr'!F235="", "", 'AYIRA MINI MART FINAL MENU - Pr'!F235)</f>
        <v/>
      </c>
      <c r="G235" s="56" t="str">
        <f>IF('AYIRA MINI MART FINAL MENU - Pr'!G235="", "", 'AYIRA MINI MART FINAL MENU - Pr'!G235)</f>
        <v/>
      </c>
      <c r="H235" s="56" t="str">
        <f>IF('AYIRA MINI MART FINAL MENU - Pr'!H235="", "", 'AYIRA MINI MART FINAL MENU - Pr'!H235)</f>
        <v/>
      </c>
      <c r="I235" s="56" t="str">
        <f>IF('AYIRA MINI MART FINAL MENU - Pr'!I235="", "", 'AYIRA MINI MART FINAL MENU - Pr'!I235)</f>
        <v/>
      </c>
      <c r="J235" s="56" t="str">
        <f>IFERROR(__xludf.DUMMYFUNCTION("IF('AYIRA MINI MART FINAL MENU - Pr'!J235="""", """", GOOGLETRANSLATE('AYIRA MINI MART FINAL MENU - Pr'!J235, ""en"", ""ar""))"),"يعرض")</f>
        <v>يعرض</v>
      </c>
      <c r="K235" s="56" t="str">
        <f>IF('AYIRA MINI MART FINAL MENU - Pr'!K235="", "", 'AYIRA MINI MART FINAL MENU - Pr'!K235)</f>
        <v/>
      </c>
      <c r="L235" s="56" t="str">
        <f>IF('AYIRA MINI MART FINAL MENU - Pr'!L235="", "", 'AYIRA MINI MART FINAL MENU - Pr'!L235)</f>
        <v/>
      </c>
      <c r="M235" s="56" t="str">
        <f>IF('AYIRA MINI MART FINAL MENU - Pr'!M235="", "", 'AYIRA MINI MART FINAL MENU - Pr'!M235)</f>
        <v/>
      </c>
      <c r="N235" s="56" t="str">
        <f>IF('AYIRA MINI MART FINAL MENU - Pr'!N235="", "", 'AYIRA MINI MART FINAL MENU - Pr'!N235)</f>
        <v/>
      </c>
      <c r="O235" s="57"/>
      <c r="P235" s="57"/>
      <c r="Q235" s="57"/>
      <c r="R235" s="57"/>
      <c r="S235" s="57"/>
      <c r="T235" s="57"/>
      <c r="U235" s="57"/>
      <c r="V235" s="57"/>
      <c r="W235" s="57"/>
      <c r="X235" s="57"/>
      <c r="Y235" s="57"/>
      <c r="Z235" s="57"/>
    </row>
    <row r="236">
      <c r="A236" s="56" t="str">
        <f>IFERROR(__xludf.DUMMYFUNCTION("IF('AYIRA MINI MART FINAL MENU - Pr'!A236="""", """", IF(LEN(TRIM(REGEXREPLACE(REGEXREPLACE('AYIRA MINI MART FINAL MENU - Pr'!A236, ""^[^\x{0600}-\x{06FF}]+"", """"), ""^[-–\s]+"", """")))&gt;0, TRIM(REGEXREPLACE(REGEXREPLACE('AYIRA MINI MART FINAL MENU - Pr"&amp;"'!A236, ""^[^\x{0600}-\x{06FF}]+"", """"), ""^[-–\s]+"", """")), GOOGLETRANSLATE('AYIRA MINI MART FINAL MENU - Pr'!A236, ""en"", ""ar"")))"),"كي دي دي شوكولاتة آيس كريم Silver Cones 100 مل")</f>
        <v>كي دي دي شوكولاتة آيس كريم Silver Cones 100 مل</v>
      </c>
      <c r="B236" s="56" t="str">
        <f>IFERROR(__xludf.DUMMYFUNCTION("IF('AYIRA MINI MART FINAL MENU - Pr'!B236="""", """", IF(LEN(TRIM(REGEXREPLACE(REGEXREPLACE('AYIRA MINI MART FINAL MENU - Pr'!B236, ""^[^\x{0600}-\x{06FF}]+"", """"), ""^[-–\s]+"", """")))&gt;0, TRIM(REGEXREPLACE(REGEXREPLACE('AYIRA MINI MART FINAL MENU - Pr"&amp;"'!B236, ""^[^\x{0600}-\x{06FF}]+"", """"), ""^[-–\s]+"", """")), GOOGLETRANSLATE('AYIRA MINI MART FINAL MENU - Pr'!B236, ""en"", ""ar"")))"),"الآيس كريم")</f>
        <v>الآيس كريم</v>
      </c>
      <c r="C236" s="58">
        <f>IF('AYIRA MINI MART FINAL MENU - Pr'!C236="", "", 'AYIRA MINI MART FINAL MENU - Pr'!C236)</f>
        <v>2.5</v>
      </c>
      <c r="D236" s="58" t="str">
        <f>IF('AYIRA MINI MART FINAL MENU - Pr'!D236="", "", 'AYIRA MINI MART FINAL MENU - Pr'!D236)</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36" s="56" t="str">
        <f>IF('AYIRA MINI MART FINAL MENU - Pr'!E236="", "", 'AYIRA MINI MART FINAL MENU - Pr'!E236)</f>
        <v/>
      </c>
      <c r="F236" s="56" t="str">
        <f>IF('AYIRA MINI MART FINAL MENU - Pr'!F236="", "", 'AYIRA MINI MART FINAL MENU - Pr'!F236)</f>
        <v/>
      </c>
      <c r="G236" s="56" t="str">
        <f>IF('AYIRA MINI MART FINAL MENU - Pr'!G236="", "", 'AYIRA MINI MART FINAL MENU - Pr'!G236)</f>
        <v/>
      </c>
      <c r="H236" s="56" t="str">
        <f>IF('AYIRA MINI MART FINAL MENU - Pr'!H236="", "", 'AYIRA MINI MART FINAL MENU - Pr'!H236)</f>
        <v/>
      </c>
      <c r="I236" s="56" t="str">
        <f>IF('AYIRA MINI MART FINAL MENU - Pr'!I236="", "", 'AYIRA MINI MART FINAL MENU - Pr'!I236)</f>
        <v/>
      </c>
      <c r="J236" s="56" t="str">
        <f>IFERROR(__xludf.DUMMYFUNCTION("IF('AYIRA MINI MART FINAL MENU - Pr'!J236="""", """", GOOGLETRANSLATE('AYIRA MINI MART FINAL MENU - Pr'!J236, ""en"", ""ar""))"),"يعرض")</f>
        <v>يعرض</v>
      </c>
      <c r="K236" s="56" t="str">
        <f>IF('AYIRA MINI MART FINAL MENU - Pr'!K236="", "", 'AYIRA MINI MART FINAL MENU - Pr'!K236)</f>
        <v/>
      </c>
      <c r="L236" s="56" t="str">
        <f>IF('AYIRA MINI MART FINAL MENU - Pr'!L236="", "", 'AYIRA MINI MART FINAL MENU - Pr'!L236)</f>
        <v/>
      </c>
      <c r="M236" s="56" t="str">
        <f>IF('AYIRA MINI MART FINAL MENU - Pr'!M236="", "", 'AYIRA MINI MART FINAL MENU - Pr'!M236)</f>
        <v/>
      </c>
      <c r="N236" s="56" t="str">
        <f>IF('AYIRA MINI MART FINAL MENU - Pr'!N236="", "", 'AYIRA MINI MART FINAL MENU - Pr'!N236)</f>
        <v/>
      </c>
      <c r="O236" s="57"/>
      <c r="P236" s="57"/>
      <c r="Q236" s="57"/>
      <c r="R236" s="57"/>
      <c r="S236" s="57"/>
      <c r="T236" s="57"/>
      <c r="U236" s="57"/>
      <c r="V236" s="57"/>
      <c r="W236" s="57"/>
      <c r="X236" s="57"/>
      <c r="Y236" s="57"/>
      <c r="Z236" s="57"/>
    </row>
    <row r="237">
      <c r="A237" s="56" t="str">
        <f>IFERROR(__xludf.DUMMYFUNCTION("IF('AYIRA MINI MART FINAL MENU - Pr'!A237="""", """", IF(LEN(TRIM(REGEXREPLACE(REGEXREPLACE('AYIRA MINI MART FINAL MENU - Pr'!A237, ""^[^\x{0600}-\x{06FF}]+"", """"), ""^[-–\s]+"", """")))&gt;0, TRIM(REGEXREPLACE(REGEXREPLACE('AYIRA MINI MART FINAL MENU - Pr"&amp;"'!A237, ""^[^\x{0600}-\x{06FF}]+"", """"), ""^[-–\s]+"", """")), GOOGLETRANSLATE('AYIRA MINI MART FINAL MENU - Pr'!A237, ""en"", ""ar"")))"),"كي دي دي برتقال آيس كريم Lollies 62.5 مل")</f>
        <v>كي دي دي برتقال آيس كريم Lollies 62.5 مل</v>
      </c>
      <c r="B237" s="56" t="str">
        <f>IFERROR(__xludf.DUMMYFUNCTION("IF('AYIRA MINI MART FINAL MENU - Pr'!B237="""", """", IF(LEN(TRIM(REGEXREPLACE(REGEXREPLACE('AYIRA MINI MART FINAL MENU - Pr'!B237, ""^[^\x{0600}-\x{06FF}]+"", """"), ""^[-–\s]+"", """")))&gt;0, TRIM(REGEXREPLACE(REGEXREPLACE('AYIRA MINI MART FINAL MENU - Pr"&amp;"'!B237, ""^[^\x{0600}-\x{06FF}]+"", """"), ""^[-–\s]+"", """")), GOOGLETRANSLATE('AYIRA MINI MART FINAL MENU - Pr'!B237, ""en"", ""ar"")))"),"الآيس كريم")</f>
        <v>الآيس كريم</v>
      </c>
      <c r="C237" s="58">
        <f>IF('AYIRA MINI MART FINAL MENU - Pr'!C237="", "", 'AYIRA MINI MART FINAL MENU - Pr'!C237)</f>
        <v>1</v>
      </c>
      <c r="D237" s="58" t="str">
        <f>IF('AYIRA MINI MART FINAL MENU - Pr'!D237="", "", 'AYIRA MINI MART FINAL MENU - Pr'!D237)</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37" s="56" t="str">
        <f>IF('AYIRA MINI MART FINAL MENU - Pr'!E237="", "", 'AYIRA MINI MART FINAL MENU - Pr'!E237)</f>
        <v/>
      </c>
      <c r="F237" s="56" t="str">
        <f>IF('AYIRA MINI MART FINAL MENU - Pr'!F237="", "", 'AYIRA MINI MART FINAL MENU - Pr'!F237)</f>
        <v/>
      </c>
      <c r="G237" s="56" t="str">
        <f>IF('AYIRA MINI MART FINAL MENU - Pr'!G237="", "", 'AYIRA MINI MART FINAL MENU - Pr'!G237)</f>
        <v/>
      </c>
      <c r="H237" s="56" t="str">
        <f>IF('AYIRA MINI MART FINAL MENU - Pr'!H237="", "", 'AYIRA MINI MART FINAL MENU - Pr'!H237)</f>
        <v/>
      </c>
      <c r="I237" s="56" t="str">
        <f>IF('AYIRA MINI MART FINAL MENU - Pr'!I237="", "", 'AYIRA MINI MART FINAL MENU - Pr'!I237)</f>
        <v/>
      </c>
      <c r="J237" s="56" t="str">
        <f>IFERROR(__xludf.DUMMYFUNCTION("IF('AYIRA MINI MART FINAL MENU - Pr'!J237="""", """", GOOGLETRANSLATE('AYIRA MINI MART FINAL MENU - Pr'!J237, ""en"", ""ar""))"),"يعرض")</f>
        <v>يعرض</v>
      </c>
      <c r="K237" s="56" t="str">
        <f>IF('AYIRA MINI MART FINAL MENU - Pr'!K237="", "", 'AYIRA MINI MART FINAL MENU - Pr'!K237)</f>
        <v/>
      </c>
      <c r="L237" s="56" t="str">
        <f>IF('AYIRA MINI MART FINAL MENU - Pr'!L237="", "", 'AYIRA MINI MART FINAL MENU - Pr'!L237)</f>
        <v/>
      </c>
      <c r="M237" s="56" t="str">
        <f>IF('AYIRA MINI MART FINAL MENU - Pr'!M237="", "", 'AYIRA MINI MART FINAL MENU - Pr'!M237)</f>
        <v/>
      </c>
      <c r="N237" s="56" t="str">
        <f>IF('AYIRA MINI MART FINAL MENU - Pr'!N237="", "", 'AYIRA MINI MART FINAL MENU - Pr'!N237)</f>
        <v/>
      </c>
      <c r="O237" s="57"/>
      <c r="P237" s="57"/>
      <c r="Q237" s="57"/>
      <c r="R237" s="57"/>
      <c r="S237" s="57"/>
      <c r="T237" s="57"/>
      <c r="U237" s="57"/>
      <c r="V237" s="57"/>
      <c r="W237" s="57"/>
      <c r="X237" s="57"/>
      <c r="Y237" s="57"/>
      <c r="Z237" s="57"/>
    </row>
    <row r="238">
      <c r="A238" s="56" t="str">
        <f>IFERROR(__xludf.DUMMYFUNCTION("IF('AYIRA MINI MART FINAL MENU - Pr'!A238="""", """", IF(LEN(TRIM(REGEXREPLACE(REGEXREPLACE('AYIRA MINI MART FINAL MENU - Pr'!A238, ""^[^\x{0600}-\x{06FF}]+"", """"), ""^[-–\s]+"", """")))&gt;0, TRIM(REGEXREPLACE(REGEXREPLACE('AYIRA MINI MART FINAL MENU - Pr"&amp;"'!A238, ""^[^\x{0600}-\x{06FF}]+"", """"), ""^[-–\s]+"", """")), GOOGLETRANSLATE('AYIRA MINI MART FINAL MENU - Pr'!A238, ""en"", ""ar"")))"),"كي دي دي فانيليا آيس كريم Gold Cone 100cc")</f>
        <v>كي دي دي فانيليا آيس كريم Gold Cone 100cc</v>
      </c>
      <c r="B238" s="56" t="str">
        <f>IFERROR(__xludf.DUMMYFUNCTION("IF('AYIRA MINI MART FINAL MENU - Pr'!B238="""", """", IF(LEN(TRIM(REGEXREPLACE(REGEXREPLACE('AYIRA MINI MART FINAL MENU - Pr'!B238, ""^[^\x{0600}-\x{06FF}]+"", """"), ""^[-–\s]+"", """")))&gt;0, TRIM(REGEXREPLACE(REGEXREPLACE('AYIRA MINI MART FINAL MENU - Pr"&amp;"'!B238, ""^[^\x{0600}-\x{06FF}]+"", """"), ""^[-–\s]+"", """")), GOOGLETRANSLATE('AYIRA MINI MART FINAL MENU - Pr'!B238, ""en"", ""ar"")))"),"الآيس كريم")</f>
        <v>الآيس كريم</v>
      </c>
      <c r="C238" s="58">
        <f>IF('AYIRA MINI MART FINAL MENU - Pr'!C238="", "", 'AYIRA MINI MART FINAL MENU - Pr'!C238)</f>
        <v>2.5</v>
      </c>
      <c r="D238" s="58" t="str">
        <f>IF('AYIRA MINI MART FINAL MENU - Pr'!D238="", "", 'AYIRA MINI MART FINAL MENU - Pr'!D238)</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38" s="56" t="str">
        <f>IF('AYIRA MINI MART FINAL MENU - Pr'!E238="", "", 'AYIRA MINI MART FINAL MENU - Pr'!E238)</f>
        <v/>
      </c>
      <c r="F238" s="56" t="str">
        <f>IF('AYIRA MINI MART FINAL MENU - Pr'!F238="", "", 'AYIRA MINI MART FINAL MENU - Pr'!F238)</f>
        <v/>
      </c>
      <c r="G238" s="56" t="str">
        <f>IF('AYIRA MINI MART FINAL MENU - Pr'!G238="", "", 'AYIRA MINI MART FINAL MENU - Pr'!G238)</f>
        <v/>
      </c>
      <c r="H238" s="56" t="str">
        <f>IF('AYIRA MINI MART FINAL MENU - Pr'!H238="", "", 'AYIRA MINI MART FINAL MENU - Pr'!H238)</f>
        <v/>
      </c>
      <c r="I238" s="56" t="str">
        <f>IF('AYIRA MINI MART FINAL MENU - Pr'!I238="", "", 'AYIRA MINI MART FINAL MENU - Pr'!I238)</f>
        <v/>
      </c>
      <c r="J238" s="56" t="str">
        <f>IFERROR(__xludf.DUMMYFUNCTION("IF('AYIRA MINI MART FINAL MENU - Pr'!J238="""", """", GOOGLETRANSLATE('AYIRA MINI MART FINAL MENU - Pr'!J238, ""en"", ""ar""))"),"يعرض")</f>
        <v>يعرض</v>
      </c>
      <c r="K238" s="56" t="str">
        <f>IF('AYIRA MINI MART FINAL MENU - Pr'!K238="", "", 'AYIRA MINI MART FINAL MENU - Pr'!K238)</f>
        <v/>
      </c>
      <c r="L238" s="56" t="str">
        <f>IF('AYIRA MINI MART FINAL MENU - Pr'!L238="", "", 'AYIRA MINI MART FINAL MENU - Pr'!L238)</f>
        <v/>
      </c>
      <c r="M238" s="56" t="str">
        <f>IF('AYIRA MINI MART FINAL MENU - Pr'!M238="", "", 'AYIRA MINI MART FINAL MENU - Pr'!M238)</f>
        <v/>
      </c>
      <c r="N238" s="56" t="str">
        <f>IF('AYIRA MINI MART FINAL MENU - Pr'!N238="", "", 'AYIRA MINI MART FINAL MENU - Pr'!N238)</f>
        <v/>
      </c>
      <c r="O238" s="57"/>
      <c r="P238" s="57"/>
      <c r="Q238" s="57"/>
      <c r="R238" s="57"/>
      <c r="S238" s="57"/>
      <c r="T238" s="57"/>
      <c r="U238" s="57"/>
      <c r="V238" s="57"/>
      <c r="W238" s="57"/>
      <c r="X238" s="57"/>
      <c r="Y238" s="57"/>
      <c r="Z238" s="57"/>
    </row>
    <row r="239">
      <c r="A239" s="56" t="str">
        <f>IFERROR(__xludf.DUMMYFUNCTION("IF('AYIRA MINI MART FINAL MENU - Pr'!A239="""", """", IF(LEN(TRIM(REGEXREPLACE(REGEXREPLACE('AYIRA MINI MART FINAL MENU - Pr'!A239, ""^[^\x{0600}-\x{06FF}]+"", """"), ""^[-–\s]+"", """")))&gt;0, TRIM(REGEXREPLACE(REGEXREPLACE('AYIRA MINI MART FINAL MENU - Pr"&amp;"'!A239, ""^[^\x{0600}-\x{06FF}]+"", """"), ""^[-–\s]+"", """")), GOOGLETRANSLATE('AYIRA MINI MART FINAL MENU - Pr'!A239, ""en"", ""ar"")))"),"إيغلو Chocobar شوكولاتة عصا 55 مل")</f>
        <v>إيغلو Chocobar شوكولاتة عصا 55 مل</v>
      </c>
      <c r="B239" s="56" t="str">
        <f>IFERROR(__xludf.DUMMYFUNCTION("IF('AYIRA MINI MART FINAL MENU - Pr'!B239="""", """", IF(LEN(TRIM(REGEXREPLACE(REGEXREPLACE('AYIRA MINI MART FINAL MENU - Pr'!B239, ""^[^\x{0600}-\x{06FF}]+"", """"), ""^[-–\s]+"", """")))&gt;0, TRIM(REGEXREPLACE(REGEXREPLACE('AYIRA MINI MART FINAL MENU - Pr"&amp;"'!B239, ""^[^\x{0600}-\x{06FF}]+"", """"), ""^[-–\s]+"", """")), GOOGLETRANSLATE('AYIRA MINI MART FINAL MENU - Pr'!B239, ""en"", ""ar"")))"),"الآيس كريم")</f>
        <v>الآيس كريم</v>
      </c>
      <c r="C239" s="56">
        <f>IF('AYIRA MINI MART FINAL MENU - Pr'!C239="", "", 'AYIRA MINI MART FINAL MENU - Pr'!C239)</f>
        <v>1.5</v>
      </c>
      <c r="D239" s="58" t="str">
        <f>IF('AYIRA MINI MART FINAL MENU - Pr'!D239="", "", 'AYIRA MINI MART FINAL MENU - Pr'!D239)</f>
        <v>دلّل حواسك مع IGLOO Chocobar Chocolate Stick 55ml،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239" s="56" t="str">
        <f>IF('AYIRA MINI MART FINAL MENU - Pr'!E239="", "", 'AYIRA MINI MART FINAL MENU - Pr'!E239)</f>
        <v/>
      </c>
      <c r="F239" s="56" t="str">
        <f>IF('AYIRA MINI MART FINAL MENU - Pr'!F239="", "", 'AYIRA MINI MART FINAL MENU - Pr'!F239)</f>
        <v/>
      </c>
      <c r="G239" s="56" t="str">
        <f>IF('AYIRA MINI MART FINAL MENU - Pr'!G239="", "", 'AYIRA MINI MART FINAL MENU - Pr'!G239)</f>
        <v/>
      </c>
      <c r="H239" s="56" t="str">
        <f>IF('AYIRA MINI MART FINAL MENU - Pr'!H239="", "", 'AYIRA MINI MART FINAL MENU - Pr'!H239)</f>
        <v/>
      </c>
      <c r="I239" s="56" t="str">
        <f>IF('AYIRA MINI MART FINAL MENU - Pr'!I239="", "", 'AYIRA MINI MART FINAL MENU - Pr'!I239)</f>
        <v/>
      </c>
      <c r="J239" s="56" t="str">
        <f>IFERROR(__xludf.DUMMYFUNCTION("IF('AYIRA MINI MART FINAL MENU - Pr'!J239="""", """", GOOGLETRANSLATE('AYIRA MINI MART FINAL MENU - Pr'!J239, ""en"", ""ar""))"),"يعرض")</f>
        <v>يعرض</v>
      </c>
      <c r="K239" s="56" t="str">
        <f>IF('AYIRA MINI MART FINAL MENU - Pr'!K239="", "", 'AYIRA MINI MART FINAL MENU - Pr'!K239)</f>
        <v/>
      </c>
      <c r="L239" s="56" t="str">
        <f>IF('AYIRA MINI MART FINAL MENU - Pr'!L239="", "", 'AYIRA MINI MART FINAL MENU - Pr'!L239)</f>
        <v/>
      </c>
      <c r="M239" s="56" t="str">
        <f>IF('AYIRA MINI MART FINAL MENU - Pr'!M239="", "", 'AYIRA MINI MART FINAL MENU - Pr'!M239)</f>
        <v/>
      </c>
      <c r="N239" s="56" t="str">
        <f>IF('AYIRA MINI MART FINAL MENU - Pr'!N239="", "", 'AYIRA MINI MART FINAL MENU - Pr'!N239)</f>
        <v/>
      </c>
      <c r="O239" s="57"/>
      <c r="P239" s="57"/>
      <c r="Q239" s="57"/>
      <c r="R239" s="57"/>
      <c r="S239" s="57"/>
      <c r="T239" s="57"/>
      <c r="U239" s="57"/>
      <c r="V239" s="57"/>
      <c r="W239" s="57"/>
      <c r="X239" s="57"/>
      <c r="Y239" s="57"/>
      <c r="Z239" s="57"/>
    </row>
    <row r="240">
      <c r="A240" s="56" t="str">
        <f>IFERROR(__xludf.DUMMYFUNCTION("IF('AYIRA MINI MART FINAL MENU - Pr'!A240="""", """", IF(LEN(TRIM(REGEXREPLACE(REGEXREPLACE('AYIRA MINI MART FINAL MENU - Pr'!A240, ""^[^\x{0600}-\x{06FF}]+"", """"), ""^[-–\s]+"", """")))&gt;0, TRIM(REGEXREPLACE(REGEXREPLACE('AYIRA MINI MART FINAL MENU - Pr"&amp;"'!A240, ""^[^\x{0600}-\x{06FF}]+"", """"), ""^[-–\s]+"", """")), GOOGLETRANSLATE('AYIRA MINI MART FINAL MENU - Pr'!A240, ""en"", ""ar"")))"),"داندي Bonbon آيس كريم Tub 238 مل")</f>
        <v>داندي Bonbon آيس كريم Tub 238 مل</v>
      </c>
      <c r="B240" s="56" t="str">
        <f>IFERROR(__xludf.DUMMYFUNCTION("IF('AYIRA MINI MART FINAL MENU - Pr'!B240="""", """", IF(LEN(TRIM(REGEXREPLACE(REGEXREPLACE('AYIRA MINI MART FINAL MENU - Pr'!B240, ""^[^\x{0600}-\x{06FF}]+"", """"), ""^[-–\s]+"", """")))&gt;0, TRIM(REGEXREPLACE(REGEXREPLACE('AYIRA MINI MART FINAL MENU - Pr"&amp;"'!B240, ""^[^\x{0600}-\x{06FF}]+"", """"), ""^[-–\s]+"", """")), GOOGLETRANSLATE('AYIRA MINI MART FINAL MENU - Pr'!B240, ""en"", ""ar"")))"),"الآيس كريم")</f>
        <v>الآيس كريم</v>
      </c>
      <c r="C240" s="56">
        <f>IF('AYIRA MINI MART FINAL MENU - Pr'!C240="", "", 'AYIRA MINI MART FINAL MENU - Pr'!C240)</f>
        <v>12</v>
      </c>
      <c r="D240" s="58" t="str">
        <f>IF('AYIRA MINI MART FINAL MENU - Pr'!D240="", "", 'AYIRA MINI MART FINAL MENU - Pr'!D240)</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40" s="56" t="str">
        <f>IF('AYIRA MINI MART FINAL MENU - Pr'!E240="", "", 'AYIRA MINI MART FINAL MENU - Pr'!E240)</f>
        <v/>
      </c>
      <c r="F240" s="56" t="str">
        <f>IF('AYIRA MINI MART FINAL MENU - Pr'!F240="", "", 'AYIRA MINI MART FINAL MENU - Pr'!F240)</f>
        <v/>
      </c>
      <c r="G240" s="56" t="str">
        <f>IF('AYIRA MINI MART FINAL MENU - Pr'!G240="", "", 'AYIRA MINI MART FINAL MENU - Pr'!G240)</f>
        <v/>
      </c>
      <c r="H240" s="56" t="str">
        <f>IF('AYIRA MINI MART FINAL MENU - Pr'!H240="", "", 'AYIRA MINI MART FINAL MENU - Pr'!H240)</f>
        <v/>
      </c>
      <c r="I240" s="56" t="str">
        <f>IF('AYIRA MINI MART FINAL MENU - Pr'!I240="", "", 'AYIRA MINI MART FINAL MENU - Pr'!I240)</f>
        <v/>
      </c>
      <c r="J240" s="56" t="str">
        <f>IFERROR(__xludf.DUMMYFUNCTION("IF('AYIRA MINI MART FINAL MENU - Pr'!J240="""", """", GOOGLETRANSLATE('AYIRA MINI MART FINAL MENU - Pr'!J240, ""en"", ""ar""))"),"يعرض")</f>
        <v>يعرض</v>
      </c>
      <c r="K240" s="56" t="str">
        <f>IF('AYIRA MINI MART FINAL MENU - Pr'!K240="", "", 'AYIRA MINI MART FINAL MENU - Pr'!K240)</f>
        <v/>
      </c>
      <c r="L240" s="56" t="str">
        <f>IF('AYIRA MINI MART FINAL MENU - Pr'!L240="", "", 'AYIRA MINI MART FINAL MENU - Pr'!L240)</f>
        <v/>
      </c>
      <c r="M240" s="56" t="str">
        <f>IF('AYIRA MINI MART FINAL MENU - Pr'!M240="", "", 'AYIRA MINI MART FINAL MENU - Pr'!M240)</f>
        <v/>
      </c>
      <c r="N240" s="56" t="str">
        <f>IF('AYIRA MINI MART FINAL MENU - Pr'!N240="", "", 'AYIRA MINI MART FINAL MENU - Pr'!N240)</f>
        <v/>
      </c>
      <c r="O240" s="57"/>
      <c r="P240" s="57"/>
      <c r="Q240" s="57"/>
      <c r="R240" s="57"/>
      <c r="S240" s="57"/>
      <c r="T240" s="57"/>
      <c r="U240" s="57"/>
      <c r="V240" s="57"/>
      <c r="W240" s="57"/>
      <c r="X240" s="57"/>
      <c r="Y240" s="57"/>
      <c r="Z240" s="57"/>
    </row>
    <row r="241">
      <c r="A241" s="56" t="str">
        <f>IFERROR(__xludf.DUMMYFUNCTION("IF('AYIRA MINI MART FINAL MENU - Pr'!A241="""", """", IF(LEN(TRIM(REGEXREPLACE(REGEXREPLACE('AYIRA MINI MART FINAL MENU - Pr'!A241, ""^[^\x{0600}-\x{06FF}]+"", """"), ""^[-–\s]+"", """")))&gt;0, TRIM(REGEXREPLACE(REGEXREPLACE('AYIRA MINI MART FINAL MENU - Pr"&amp;"'!A241, ""^[^\x{0600}-\x{06FF}]+"", """"), ""^[-–\s]+"", """")), GOOGLETRANSLATE('AYIRA MINI MART FINAL MENU - Pr'!A241, ""en"", ""ar"")))"),"عصا آيس كريم (Saudi)")</f>
        <v>عصا آيس كريم (Saudi)</v>
      </c>
      <c r="B241" s="56" t="str">
        <f>IFERROR(__xludf.DUMMYFUNCTION("IF('AYIRA MINI MART FINAL MENU - Pr'!B241="""", """", IF(LEN(TRIM(REGEXREPLACE(REGEXREPLACE('AYIRA MINI MART FINAL MENU - Pr'!B241, ""^[^\x{0600}-\x{06FF}]+"", """"), ""^[-–\s]+"", """")))&gt;0, TRIM(REGEXREPLACE(REGEXREPLACE('AYIRA MINI MART FINAL MENU - Pr"&amp;"'!B241, ""^[^\x{0600}-\x{06FF}]+"", """"), ""^[-–\s]+"", """")), GOOGLETRANSLATE('AYIRA MINI MART FINAL MENU - Pr'!B241, ""en"", ""ar"")))"),"الآيس كريم")</f>
        <v>الآيس كريم</v>
      </c>
      <c r="C241" s="56">
        <f>IF('AYIRA MINI MART FINAL MENU - Pr'!C241="", "", 'AYIRA MINI MART FINAL MENU - Pr'!C241)</f>
        <v>2.5</v>
      </c>
      <c r="D241" s="58" t="str">
        <f>IF('AYIRA MINI MART FINAL MENU - Pr'!D241="", "", 'AYIRA MINI MART FINAL MENU - Pr'!D241)</f>
        <v>برّد أيامك الحارة مع Kulfi Stick Ice Cream (Saudi)،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41" s="56" t="str">
        <f>IF('AYIRA MINI MART FINAL MENU - Pr'!E241="", "", 'AYIRA MINI MART FINAL MENU - Pr'!E241)</f>
        <v/>
      </c>
      <c r="F241" s="56" t="str">
        <f>IF('AYIRA MINI MART FINAL MENU - Pr'!F241="", "", 'AYIRA MINI MART FINAL MENU - Pr'!F241)</f>
        <v/>
      </c>
      <c r="G241" s="56" t="str">
        <f>IF('AYIRA MINI MART FINAL MENU - Pr'!G241="", "", 'AYIRA MINI MART FINAL MENU - Pr'!G241)</f>
        <v/>
      </c>
      <c r="H241" s="56" t="str">
        <f>IF('AYIRA MINI MART FINAL MENU - Pr'!H241="", "", 'AYIRA MINI MART FINAL MENU - Pr'!H241)</f>
        <v/>
      </c>
      <c r="I241" s="56" t="str">
        <f>IF('AYIRA MINI MART FINAL MENU - Pr'!I241="", "", 'AYIRA MINI MART FINAL MENU - Pr'!I241)</f>
        <v/>
      </c>
      <c r="J241" s="56" t="str">
        <f>IFERROR(__xludf.DUMMYFUNCTION("IF('AYIRA MINI MART FINAL MENU - Pr'!J241="""", """", GOOGLETRANSLATE('AYIRA MINI MART FINAL MENU - Pr'!J241, ""en"", ""ar""))"),"يعرض")</f>
        <v>يعرض</v>
      </c>
      <c r="K241" s="56" t="str">
        <f>IF('AYIRA MINI MART FINAL MENU - Pr'!K241="", "", 'AYIRA MINI MART FINAL MENU - Pr'!K241)</f>
        <v/>
      </c>
      <c r="L241" s="56" t="str">
        <f>IF('AYIRA MINI MART FINAL MENU - Pr'!L241="", "", 'AYIRA MINI MART FINAL MENU - Pr'!L241)</f>
        <v/>
      </c>
      <c r="M241" s="56" t="str">
        <f>IF('AYIRA MINI MART FINAL MENU - Pr'!M241="", "", 'AYIRA MINI MART FINAL MENU - Pr'!M241)</f>
        <v/>
      </c>
      <c r="N241" s="56" t="str">
        <f>IF('AYIRA MINI MART FINAL MENU - Pr'!N241="", "", 'AYIRA MINI MART FINAL MENU - Pr'!N241)</f>
        <v/>
      </c>
      <c r="O241" s="57"/>
      <c r="P241" s="57"/>
      <c r="Q241" s="57"/>
      <c r="R241" s="57"/>
      <c r="S241" s="57"/>
      <c r="T241" s="57"/>
      <c r="U241" s="57"/>
      <c r="V241" s="57"/>
      <c r="W241" s="57"/>
      <c r="X241" s="57"/>
      <c r="Y241" s="57"/>
      <c r="Z241" s="57"/>
    </row>
    <row r="242">
      <c r="A242" s="56" t="str">
        <f>IFERROR(__xludf.DUMMYFUNCTION("IF('AYIRA MINI MART FINAL MENU - Pr'!A242="""", """", IF(LEN(TRIM(REGEXREPLACE(REGEXREPLACE('AYIRA MINI MART FINAL MENU - Pr'!A242, ""^[^\x{0600}-\x{06FF}]+"", """"), ""^[-–\s]+"", """")))&gt;0, TRIM(REGEXREPLACE(REGEXREPLACE('AYIRA MINI MART FINAL MENU - Pr"&amp;"'!A242, ""^[^\x{0600}-\x{06FF}]+"", """"), ""^[-–\s]+"", """")), GOOGLETRANSLATE('AYIRA MINI MART FINAL MENU - Pr'!A242, ""en"", ""ar"")))"),"فانيليا ساندويتش Semi آيس ميلك")</f>
        <v>فانيليا ساندويتش Semi آيس ميلك</v>
      </c>
      <c r="B242" s="56" t="str">
        <f>IFERROR(__xludf.DUMMYFUNCTION("IF('AYIRA MINI MART FINAL MENU - Pr'!B242="""", """", IF(LEN(TRIM(REGEXREPLACE(REGEXREPLACE('AYIRA MINI MART FINAL MENU - Pr'!B242, ""^[^\x{0600}-\x{06FF}]+"", """"), ""^[-–\s]+"", """")))&gt;0, TRIM(REGEXREPLACE(REGEXREPLACE('AYIRA MINI MART FINAL MENU - Pr"&amp;"'!B242, ""^[^\x{0600}-\x{06FF}]+"", """"), ""^[-–\s]+"", """")), GOOGLETRANSLATE('AYIRA MINI MART FINAL MENU - Pr'!B242, ""en"", ""ar"")))"),"الآيس كريم")</f>
        <v>الآيس كريم</v>
      </c>
      <c r="C242" s="58">
        <f>IF('AYIRA MINI MART FINAL MENU - Pr'!C242="", "", 'AYIRA MINI MART FINAL MENU - Pr'!C242)</f>
        <v>2.5</v>
      </c>
      <c r="D242" s="58" t="str">
        <f>IF('AYIRA MINI MART FINAL MENU - Pr'!D242="", "", 'AYIRA MINI MART FINAL MENU - Pr'!D242)</f>
        <v>برّد أيامك الحارة مع Vanilla Sandwich Semi Ice Milk،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42" s="56" t="str">
        <f>IF('AYIRA MINI MART FINAL MENU - Pr'!E242="", "", 'AYIRA MINI MART FINAL MENU - Pr'!E242)</f>
        <v/>
      </c>
      <c r="F242" s="56" t="str">
        <f>IF('AYIRA MINI MART FINAL MENU - Pr'!F242="", "", 'AYIRA MINI MART FINAL MENU - Pr'!F242)</f>
        <v/>
      </c>
      <c r="G242" s="56" t="str">
        <f>IF('AYIRA MINI MART FINAL MENU - Pr'!G242="", "", 'AYIRA MINI MART FINAL MENU - Pr'!G242)</f>
        <v/>
      </c>
      <c r="H242" s="56" t="str">
        <f>IF('AYIRA MINI MART FINAL MENU - Pr'!H242="", "", 'AYIRA MINI MART FINAL MENU - Pr'!H242)</f>
        <v/>
      </c>
      <c r="I242" s="56" t="str">
        <f>IF('AYIRA MINI MART FINAL MENU - Pr'!I242="", "", 'AYIRA MINI MART FINAL MENU - Pr'!I242)</f>
        <v/>
      </c>
      <c r="J242" s="56" t="str">
        <f>IFERROR(__xludf.DUMMYFUNCTION("IF('AYIRA MINI MART FINAL MENU - Pr'!J242="""", """", GOOGLETRANSLATE('AYIRA MINI MART FINAL MENU - Pr'!J242, ""en"", ""ar""))"),"يعرض")</f>
        <v>يعرض</v>
      </c>
      <c r="K242" s="56" t="str">
        <f>IF('AYIRA MINI MART FINAL MENU - Pr'!K242="", "", 'AYIRA MINI MART FINAL MENU - Pr'!K242)</f>
        <v/>
      </c>
      <c r="L242" s="56" t="str">
        <f>IF('AYIRA MINI MART FINAL MENU - Pr'!L242="", "", 'AYIRA MINI MART FINAL MENU - Pr'!L242)</f>
        <v/>
      </c>
      <c r="M242" s="56" t="str">
        <f>IF('AYIRA MINI MART FINAL MENU - Pr'!M242="", "", 'AYIRA MINI MART FINAL MENU - Pr'!M242)</f>
        <v/>
      </c>
      <c r="N242" s="56" t="str">
        <f>IF('AYIRA MINI MART FINAL MENU - Pr'!N242="", "", 'AYIRA MINI MART FINAL MENU - Pr'!N242)</f>
        <v/>
      </c>
      <c r="O242" s="57"/>
      <c r="P242" s="57"/>
      <c r="Q242" s="57"/>
      <c r="R242" s="57"/>
      <c r="S242" s="57"/>
      <c r="T242" s="57"/>
      <c r="U242" s="57"/>
      <c r="V242" s="57"/>
      <c r="W242" s="57"/>
      <c r="X242" s="57"/>
      <c r="Y242" s="57"/>
      <c r="Z242" s="57"/>
    </row>
    <row r="243">
      <c r="A243" s="56" t="str">
        <f>IFERROR(__xludf.DUMMYFUNCTION("IF('AYIRA MINI MART FINAL MENU - Pr'!A243="""", """", IF(LEN(TRIM(REGEXREPLACE(REGEXREPLACE('AYIRA MINI MART FINAL MENU - Pr'!A243, ""^[^\x{0600}-\x{06FF}]+"", """"), ""^[-–\s]+"", """")))&gt;0, TRIM(REGEXREPLACE(REGEXREPLACE('AYIRA MINI MART FINAL MENU - Pr"&amp;"'!A243, ""^[^\x{0600}-\x{06FF}]+"", """"), ""^[-–\s]+"", """")), GOOGLETRANSLATE('AYIRA MINI MART FINAL MENU - Pr'!A243, ""en"", ""ar"")))"),"ساندويتش قهوة آيس كريم (Saudi)")</f>
        <v>ساندويتش قهوة آيس كريم (Saudi)</v>
      </c>
      <c r="B243" s="56" t="str">
        <f>IFERROR(__xludf.DUMMYFUNCTION("IF('AYIRA MINI MART FINAL MENU - Pr'!B243="""", """", IF(LEN(TRIM(REGEXREPLACE(REGEXREPLACE('AYIRA MINI MART FINAL MENU - Pr'!B243, ""^[^\x{0600}-\x{06FF}]+"", """"), ""^[-–\s]+"", """")))&gt;0, TRIM(REGEXREPLACE(REGEXREPLACE('AYIRA MINI MART FINAL MENU - Pr"&amp;"'!B243, ""^[^\x{0600}-\x{06FF}]+"", """"), ""^[-–\s]+"", """")), GOOGLETRANSLATE('AYIRA MINI MART FINAL MENU - Pr'!B243, ""en"", ""ar"")))"),"الآيس كريم")</f>
        <v>الآيس كريم</v>
      </c>
      <c r="C243" s="58">
        <f>IF('AYIRA MINI MART FINAL MENU - Pr'!C243="", "", 'AYIRA MINI MART FINAL MENU - Pr'!C243)</f>
        <v>2.5</v>
      </c>
      <c r="D243" s="58" t="str">
        <f>IF('AYIRA MINI MART FINAL MENU - Pr'!D243="", "", 'AYIRA MINI MART FINAL MENU - Pr'!D243)</f>
        <v>برّد أيامك الحارة مع Sandwich Coffee Ice Cream (Saudi)،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43" s="56" t="str">
        <f>IF('AYIRA MINI MART FINAL MENU - Pr'!E243="", "", 'AYIRA MINI MART FINAL MENU - Pr'!E243)</f>
        <v/>
      </c>
      <c r="F243" s="56" t="str">
        <f>IF('AYIRA MINI MART FINAL MENU - Pr'!F243="", "", 'AYIRA MINI MART FINAL MENU - Pr'!F243)</f>
        <v/>
      </c>
      <c r="G243" s="56" t="str">
        <f>IF('AYIRA MINI MART FINAL MENU - Pr'!G243="", "", 'AYIRA MINI MART FINAL MENU - Pr'!G243)</f>
        <v/>
      </c>
      <c r="H243" s="56" t="str">
        <f>IF('AYIRA MINI MART FINAL MENU - Pr'!H243="", "", 'AYIRA MINI MART FINAL MENU - Pr'!H243)</f>
        <v/>
      </c>
      <c r="I243" s="56" t="str">
        <f>IF('AYIRA MINI MART FINAL MENU - Pr'!I243="", "", 'AYIRA MINI MART FINAL MENU - Pr'!I243)</f>
        <v/>
      </c>
      <c r="J243" s="56" t="str">
        <f>IFERROR(__xludf.DUMMYFUNCTION("IF('AYIRA MINI MART FINAL MENU - Pr'!J243="""", """", GOOGLETRANSLATE('AYIRA MINI MART FINAL MENU - Pr'!J243, ""en"", ""ar""))"),"يعرض")</f>
        <v>يعرض</v>
      </c>
      <c r="K243" s="56" t="str">
        <f>IF('AYIRA MINI MART FINAL MENU - Pr'!K243="", "", 'AYIRA MINI MART FINAL MENU - Pr'!K243)</f>
        <v/>
      </c>
      <c r="L243" s="56" t="str">
        <f>IF('AYIRA MINI MART FINAL MENU - Pr'!L243="", "", 'AYIRA MINI MART FINAL MENU - Pr'!L243)</f>
        <v/>
      </c>
      <c r="M243" s="56" t="str">
        <f>IF('AYIRA MINI MART FINAL MENU - Pr'!M243="", "", 'AYIRA MINI MART FINAL MENU - Pr'!M243)</f>
        <v/>
      </c>
      <c r="N243" s="56" t="str">
        <f>IF('AYIRA MINI MART FINAL MENU - Pr'!N243="", "", 'AYIRA MINI MART FINAL MENU - Pr'!N243)</f>
        <v/>
      </c>
      <c r="O243" s="57"/>
      <c r="P243" s="57"/>
      <c r="Q243" s="57"/>
      <c r="R243" s="57"/>
      <c r="S243" s="57"/>
      <c r="T243" s="57"/>
      <c r="U243" s="57"/>
      <c r="V243" s="57"/>
      <c r="W243" s="57"/>
      <c r="X243" s="57"/>
      <c r="Y243" s="57"/>
      <c r="Z243" s="57"/>
    </row>
    <row r="244">
      <c r="A244" s="56" t="str">
        <f>IFERROR(__xludf.DUMMYFUNCTION("IF('AYIRA MINI MART FINAL MENU - Pr'!A244="""", """", IF(LEN(TRIM(REGEXREPLACE(REGEXREPLACE('AYIRA MINI MART FINAL MENU - Pr'!A244, ""^[^\x{0600}-\x{06FF}]+"", """"), ""^[-–\s]+"", """")))&gt;0, TRIM(REGEXREPLACE(REGEXREPLACE('AYIRA MINI MART FINAL MENU - Pr"&amp;"'!A244, ""^[^\x{0600}-\x{06FF}]+"", """"), ""^[-–\s]+"", """")), GOOGLETRANSLATE('AYIRA MINI MART FINAL MENU - Pr'!A244, ""en"", ""ar"")))"),"فراولة ساندويتش Semi آيس ميلك (Saudia)")</f>
        <v>فراولة ساندويتش Semi آيس ميلك (Saudia)</v>
      </c>
      <c r="B244" s="56" t="str">
        <f>IFERROR(__xludf.DUMMYFUNCTION("IF('AYIRA MINI MART FINAL MENU - Pr'!B244="""", """", IF(LEN(TRIM(REGEXREPLACE(REGEXREPLACE('AYIRA MINI MART FINAL MENU - Pr'!B244, ""^[^\x{0600}-\x{06FF}]+"", """"), ""^[-–\s]+"", """")))&gt;0, TRIM(REGEXREPLACE(REGEXREPLACE('AYIRA MINI MART FINAL MENU - Pr"&amp;"'!B244, ""^[^\x{0600}-\x{06FF}]+"", """"), ""^[-–\s]+"", """")), GOOGLETRANSLATE('AYIRA MINI MART FINAL MENU - Pr'!B244, ""en"", ""ar"")))"),"الآيس كريم")</f>
        <v>الآيس كريم</v>
      </c>
      <c r="C244" s="58">
        <f>IF('AYIRA MINI MART FINAL MENU - Pr'!C244="", "", 'AYIRA MINI MART FINAL MENU - Pr'!C244)</f>
        <v>2.5</v>
      </c>
      <c r="D244" s="58" t="str">
        <f>IF('AYIRA MINI MART FINAL MENU - Pr'!D244="", "", 'AYIRA MINI MART FINAL MENU - Pr'!D244)</f>
        <v>برّد أيامك الحارة مع سعودية،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44" s="56" t="str">
        <f>IF('AYIRA MINI MART FINAL MENU - Pr'!E244="", "", 'AYIRA MINI MART FINAL MENU - Pr'!E244)</f>
        <v/>
      </c>
      <c r="F244" s="56" t="str">
        <f>IF('AYIRA MINI MART FINAL MENU - Pr'!F244="", "", 'AYIRA MINI MART FINAL MENU - Pr'!F244)</f>
        <v/>
      </c>
      <c r="G244" s="56" t="str">
        <f>IF('AYIRA MINI MART FINAL MENU - Pr'!G244="", "", 'AYIRA MINI MART FINAL MENU - Pr'!G244)</f>
        <v/>
      </c>
      <c r="H244" s="56" t="str">
        <f>IF('AYIRA MINI MART FINAL MENU - Pr'!H244="", "", 'AYIRA MINI MART FINAL MENU - Pr'!H244)</f>
        <v/>
      </c>
      <c r="I244" s="56" t="str">
        <f>IF('AYIRA MINI MART FINAL MENU - Pr'!I244="", "", 'AYIRA MINI MART FINAL MENU - Pr'!I244)</f>
        <v/>
      </c>
      <c r="J244" s="56" t="str">
        <f>IFERROR(__xludf.DUMMYFUNCTION("IF('AYIRA MINI MART FINAL MENU - Pr'!J244="""", """", GOOGLETRANSLATE('AYIRA MINI MART FINAL MENU - Pr'!J244, ""en"", ""ar""))"),"يعرض")</f>
        <v>يعرض</v>
      </c>
      <c r="K244" s="56" t="str">
        <f>IF('AYIRA MINI MART FINAL MENU - Pr'!K244="", "", 'AYIRA MINI MART FINAL MENU - Pr'!K244)</f>
        <v/>
      </c>
      <c r="L244" s="56" t="str">
        <f>IF('AYIRA MINI MART FINAL MENU - Pr'!L244="", "", 'AYIRA MINI MART FINAL MENU - Pr'!L244)</f>
        <v/>
      </c>
      <c r="M244" s="56" t="str">
        <f>IF('AYIRA MINI MART FINAL MENU - Pr'!M244="", "", 'AYIRA MINI MART FINAL MENU - Pr'!M244)</f>
        <v/>
      </c>
      <c r="N244" s="56" t="str">
        <f>IF('AYIRA MINI MART FINAL MENU - Pr'!N244="", "", 'AYIRA MINI MART FINAL MENU - Pr'!N244)</f>
        <v/>
      </c>
      <c r="O244" s="57"/>
      <c r="P244" s="57"/>
      <c r="Q244" s="57"/>
      <c r="R244" s="57"/>
      <c r="S244" s="57"/>
      <c r="T244" s="57"/>
      <c r="U244" s="57"/>
      <c r="V244" s="57"/>
      <c r="W244" s="57"/>
      <c r="X244" s="57"/>
      <c r="Y244" s="57"/>
      <c r="Z244" s="57"/>
    </row>
    <row r="245">
      <c r="A245" s="56" t="str">
        <f>IFERROR(__xludf.DUMMYFUNCTION("IF('AYIRA MINI MART FINAL MENU - Pr'!A245="""", """", IF(LEN(TRIM(REGEXREPLACE(REGEXREPLACE('AYIRA MINI MART FINAL MENU - Pr'!A245, ""^[^\x{0600}-\x{06FF}]+"", """"), ""^[-–\s]+"", """")))&gt;0, TRIM(REGEXREPLACE(REGEXREPLACE('AYIRA MINI MART FINAL MENU - Pr"&amp;"'!A245, ""^[^\x{0600}-\x{06FF}]+"", """"), ""^[-–\s]+"", """")), GOOGLETRANSLATE('AYIRA MINI MART FINAL MENU - Pr'!A245, ""en"", ""ar"")))"),"فانيليا Semi آيس ميلك Covered with شوكولاتة Coating (Saudia)")</f>
        <v>فانيليا Semi آيس ميلك Covered with شوكولاتة Coating (Saudia)</v>
      </c>
      <c r="B245" s="56" t="str">
        <f>IFERROR(__xludf.DUMMYFUNCTION("IF('AYIRA MINI MART FINAL MENU - Pr'!B245="""", """", IF(LEN(TRIM(REGEXREPLACE(REGEXREPLACE('AYIRA MINI MART FINAL MENU - Pr'!B245, ""^[^\x{0600}-\x{06FF}]+"", """"), ""^[-–\s]+"", """")))&gt;0, TRIM(REGEXREPLACE(REGEXREPLACE('AYIRA MINI MART FINAL MENU - Pr"&amp;"'!B245, ""^[^\x{0600}-\x{06FF}]+"", """"), ""^[-–\s]+"", """")), GOOGLETRANSLATE('AYIRA MINI MART FINAL MENU - Pr'!B245, ""en"", ""ar"")))"),"الآيس كريم")</f>
        <v>الآيس كريم</v>
      </c>
      <c r="C245" s="58">
        <f>IF('AYIRA MINI MART FINAL MENU - Pr'!C245="", "", 'AYIRA MINI MART FINAL MENU - Pr'!C245)</f>
        <v>1.75</v>
      </c>
      <c r="D245" s="58" t="str">
        <f>IF('AYIRA MINI MART FINAL MENU - Pr'!D245="", "", 'AYIRA MINI MART FINAL MENU - Pr'!D245)</f>
        <v>برّد أيامك الحارة مع سعودية،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45" s="56" t="str">
        <f>IF('AYIRA MINI MART FINAL MENU - Pr'!E245="", "", 'AYIRA MINI MART FINAL MENU - Pr'!E245)</f>
        <v/>
      </c>
      <c r="F245" s="56" t="str">
        <f>IF('AYIRA MINI MART FINAL MENU - Pr'!F245="", "", 'AYIRA MINI MART FINAL MENU - Pr'!F245)</f>
        <v/>
      </c>
      <c r="G245" s="56" t="str">
        <f>IF('AYIRA MINI MART FINAL MENU - Pr'!G245="", "", 'AYIRA MINI MART FINAL MENU - Pr'!G245)</f>
        <v/>
      </c>
      <c r="H245" s="56" t="str">
        <f>IF('AYIRA MINI MART FINAL MENU - Pr'!H245="", "", 'AYIRA MINI MART FINAL MENU - Pr'!H245)</f>
        <v/>
      </c>
      <c r="I245" s="56" t="str">
        <f>IF('AYIRA MINI MART FINAL MENU - Pr'!I245="", "", 'AYIRA MINI MART FINAL MENU - Pr'!I245)</f>
        <v/>
      </c>
      <c r="J245" s="56" t="str">
        <f>IFERROR(__xludf.DUMMYFUNCTION("IF('AYIRA MINI MART FINAL MENU - Pr'!J245="""", """", GOOGLETRANSLATE('AYIRA MINI MART FINAL MENU - Pr'!J245, ""en"", ""ar""))"),"يعرض")</f>
        <v>يعرض</v>
      </c>
      <c r="K245" s="56" t="str">
        <f>IF('AYIRA MINI MART FINAL MENU - Pr'!K245="", "", 'AYIRA MINI MART FINAL MENU - Pr'!K245)</f>
        <v/>
      </c>
      <c r="L245" s="56" t="str">
        <f>IF('AYIRA MINI MART FINAL MENU - Pr'!L245="", "", 'AYIRA MINI MART FINAL MENU - Pr'!L245)</f>
        <v/>
      </c>
      <c r="M245" s="56" t="str">
        <f>IF('AYIRA MINI MART FINAL MENU - Pr'!M245="", "", 'AYIRA MINI MART FINAL MENU - Pr'!M245)</f>
        <v/>
      </c>
      <c r="N245" s="56" t="str">
        <f>IF('AYIRA MINI MART FINAL MENU - Pr'!N245="", "", 'AYIRA MINI MART FINAL MENU - Pr'!N245)</f>
        <v/>
      </c>
      <c r="O245" s="57"/>
      <c r="P245" s="57"/>
      <c r="Q245" s="57"/>
      <c r="R245" s="57"/>
      <c r="S245" s="57"/>
      <c r="T245" s="57"/>
      <c r="U245" s="57"/>
      <c r="V245" s="57"/>
      <c r="W245" s="57"/>
      <c r="X245" s="57"/>
      <c r="Y245" s="57"/>
      <c r="Z245" s="57"/>
    </row>
    <row r="246">
      <c r="A246" s="56" t="str">
        <f>IFERROR(__xludf.DUMMYFUNCTION("IF('AYIRA MINI MART FINAL MENU - Pr'!A246="""", """", IF(LEN(TRIM(REGEXREPLACE(REGEXREPLACE('AYIRA MINI MART FINAL MENU - Pr'!A246, ""^[^\x{0600}-\x{06FF}]+"", """"), ""^[-–\s]+"", """")))&gt;0, TRIM(REGEXREPLACE(REGEXREPLACE('AYIRA MINI MART FINAL MENU - Pr"&amp;"'!A246, ""^[^\x{0600}-\x{06FF}]+"", """"), ""^[-–\s]+"", """")), GOOGLETRANSLATE('AYIRA MINI MART FINAL MENU - Pr'!A246, ""en"", ""ar"")))"),"مانجو عصا")</f>
        <v>مانجو عصا</v>
      </c>
      <c r="B246" s="56" t="str">
        <f>IFERROR(__xludf.DUMMYFUNCTION("IF('AYIRA MINI MART FINAL MENU - Pr'!B246="""", """", IF(LEN(TRIM(REGEXREPLACE(REGEXREPLACE('AYIRA MINI MART FINAL MENU - Pr'!B246, ""^[^\x{0600}-\x{06FF}]+"", """"), ""^[-–\s]+"", """")))&gt;0, TRIM(REGEXREPLACE(REGEXREPLACE('AYIRA MINI MART FINAL MENU - Pr"&amp;"'!B246, ""^[^\x{0600}-\x{06FF}]+"", """"), ""^[-–\s]+"", """")), GOOGLETRANSLATE('AYIRA MINI MART FINAL MENU - Pr'!B246, ""en"", ""ar"")))"),"الآيس كريم")</f>
        <v>الآيس كريم</v>
      </c>
      <c r="C246" s="58">
        <f>IF('AYIRA MINI MART FINAL MENU - Pr'!C246="", "", 'AYIRA MINI MART FINAL MENU - Pr'!C246)</f>
        <v>1.5</v>
      </c>
      <c r="D246" s="58" t="str">
        <f>IF('AYIRA MINI MART FINAL MENU - Pr'!D246="", "", 'AYIRA MINI MART FINAL MENU - Pr'!D246)</f>
        <v>برّد أيامك الحارة مع Saudi Mango Stick،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46" s="56" t="str">
        <f>IF('AYIRA MINI MART FINAL MENU - Pr'!E246="", "", 'AYIRA MINI MART FINAL MENU - Pr'!E246)</f>
        <v/>
      </c>
      <c r="F246" s="56" t="str">
        <f>IF('AYIRA MINI MART FINAL MENU - Pr'!F246="", "", 'AYIRA MINI MART FINAL MENU - Pr'!F246)</f>
        <v/>
      </c>
      <c r="G246" s="56" t="str">
        <f>IF('AYIRA MINI MART FINAL MENU - Pr'!G246="", "", 'AYIRA MINI MART FINAL MENU - Pr'!G246)</f>
        <v/>
      </c>
      <c r="H246" s="56" t="str">
        <f>IF('AYIRA MINI MART FINAL MENU - Pr'!H246="", "", 'AYIRA MINI MART FINAL MENU - Pr'!H246)</f>
        <v/>
      </c>
      <c r="I246" s="56" t="str">
        <f>IF('AYIRA MINI MART FINAL MENU - Pr'!I246="", "", 'AYIRA MINI MART FINAL MENU - Pr'!I246)</f>
        <v/>
      </c>
      <c r="J246" s="56" t="str">
        <f>IFERROR(__xludf.DUMMYFUNCTION("IF('AYIRA MINI MART FINAL MENU - Pr'!J246="""", """", GOOGLETRANSLATE('AYIRA MINI MART FINAL MENU - Pr'!J246, ""en"", ""ar""))"),"يعرض")</f>
        <v>يعرض</v>
      </c>
      <c r="K246" s="56" t="str">
        <f>IF('AYIRA MINI MART FINAL MENU - Pr'!K246="", "", 'AYIRA MINI MART FINAL MENU - Pr'!K246)</f>
        <v/>
      </c>
      <c r="L246" s="56" t="str">
        <f>IF('AYIRA MINI MART FINAL MENU - Pr'!L246="", "", 'AYIRA MINI MART FINAL MENU - Pr'!L246)</f>
        <v/>
      </c>
      <c r="M246" s="56" t="str">
        <f>IF('AYIRA MINI MART FINAL MENU - Pr'!M246="", "", 'AYIRA MINI MART FINAL MENU - Pr'!M246)</f>
        <v/>
      </c>
      <c r="N246" s="56" t="str">
        <f>IF('AYIRA MINI MART FINAL MENU - Pr'!N246="", "", 'AYIRA MINI MART FINAL MENU - Pr'!N246)</f>
        <v/>
      </c>
      <c r="O246" s="57"/>
      <c r="P246" s="57"/>
      <c r="Q246" s="57"/>
      <c r="R246" s="57"/>
      <c r="S246" s="57"/>
      <c r="T246" s="57"/>
      <c r="U246" s="57"/>
      <c r="V246" s="57"/>
      <c r="W246" s="57"/>
      <c r="X246" s="57"/>
      <c r="Y246" s="57"/>
      <c r="Z246" s="57"/>
    </row>
    <row r="247">
      <c r="A247" s="56" t="str">
        <f>IFERROR(__xludf.DUMMYFUNCTION("IF('AYIRA MINI MART FINAL MENU - Pr'!A247="""", """", IF(LEN(TRIM(REGEXREPLACE(REGEXREPLACE('AYIRA MINI MART FINAL MENU - Pr'!A247, ""^[^\x{0600}-\x{06FF}]+"", """"), ""^[-–\s]+"", """")))&gt;0, TRIM(REGEXREPLACE(REGEXREPLACE('AYIRA MINI MART FINAL MENU - Pr"&amp;"'!A247, ""^[^\x{0600}-\x{06FF}]+"", """"), ""^[-–\s]+"", """")), GOOGLETRANSLATE('AYIRA MINI MART FINAL MENU - Pr'!A247, ""en"", ""ar"")))"),"ليمون نعناع Ice Lolly")</f>
        <v>ليمون نعناع Ice Lolly</v>
      </c>
      <c r="B247" s="56" t="str">
        <f>IFERROR(__xludf.DUMMYFUNCTION("IF('AYIRA MINI MART FINAL MENU - Pr'!B247="""", """", IF(LEN(TRIM(REGEXREPLACE(REGEXREPLACE('AYIRA MINI MART FINAL MENU - Pr'!B247, ""^[^\x{0600}-\x{06FF}]+"", """"), ""^[-–\s]+"", """")))&gt;0, TRIM(REGEXREPLACE(REGEXREPLACE('AYIRA MINI MART FINAL MENU - Pr"&amp;"'!B247, ""^[^\x{0600}-\x{06FF}]+"", """"), ""^[-–\s]+"", """")), GOOGLETRANSLATE('AYIRA MINI MART FINAL MENU - Pr'!B247, ""en"", ""ar"")))"),"الآيس كريم")</f>
        <v>الآيس كريم</v>
      </c>
      <c r="C247" s="58">
        <f>IF('AYIRA MINI MART FINAL MENU - Pr'!C247="", "", 'AYIRA MINI MART FINAL MENU - Pr'!C247)</f>
        <v>1.5</v>
      </c>
      <c r="D247" s="58" t="str">
        <f>IF('AYIRA MINI MART FINAL MENU - Pr'!D247="", "", 'AYIRA MINI MART FINAL MENU - Pr'!D247)</f>
        <v>أضف لحظة حلوة إلى يومك مع Lemon Mint Ice Lolly،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247" s="56" t="str">
        <f>IF('AYIRA MINI MART FINAL MENU - Pr'!E247="", "", 'AYIRA MINI MART FINAL MENU - Pr'!E247)</f>
        <v/>
      </c>
      <c r="F247" s="56" t="str">
        <f>IF('AYIRA MINI MART FINAL MENU - Pr'!F247="", "", 'AYIRA MINI MART FINAL MENU - Pr'!F247)</f>
        <v/>
      </c>
      <c r="G247" s="56" t="str">
        <f>IF('AYIRA MINI MART FINAL MENU - Pr'!G247="", "", 'AYIRA MINI MART FINAL MENU - Pr'!G247)</f>
        <v/>
      </c>
      <c r="H247" s="56" t="str">
        <f>IF('AYIRA MINI MART FINAL MENU - Pr'!H247="", "", 'AYIRA MINI MART FINAL MENU - Pr'!H247)</f>
        <v/>
      </c>
      <c r="I247" s="56" t="str">
        <f>IF('AYIRA MINI MART FINAL MENU - Pr'!I247="", "", 'AYIRA MINI MART FINAL MENU - Pr'!I247)</f>
        <v/>
      </c>
      <c r="J247" s="56" t="str">
        <f>IFERROR(__xludf.DUMMYFUNCTION("IF('AYIRA MINI MART FINAL MENU - Pr'!J247="""", """", GOOGLETRANSLATE('AYIRA MINI MART FINAL MENU - Pr'!J247, ""en"", ""ar""))"),"يعرض")</f>
        <v>يعرض</v>
      </c>
      <c r="K247" s="56" t="str">
        <f>IF('AYIRA MINI MART FINAL MENU - Pr'!K247="", "", 'AYIRA MINI MART FINAL MENU - Pr'!K247)</f>
        <v/>
      </c>
      <c r="L247" s="56" t="str">
        <f>IF('AYIRA MINI MART FINAL MENU - Pr'!L247="", "", 'AYIRA MINI MART FINAL MENU - Pr'!L247)</f>
        <v/>
      </c>
      <c r="M247" s="56" t="str">
        <f>IF('AYIRA MINI MART FINAL MENU - Pr'!M247="", "", 'AYIRA MINI MART FINAL MENU - Pr'!M247)</f>
        <v/>
      </c>
      <c r="N247" s="56" t="str">
        <f>IF('AYIRA MINI MART FINAL MENU - Pr'!N247="", "", 'AYIRA MINI MART FINAL MENU - Pr'!N247)</f>
        <v/>
      </c>
      <c r="O247" s="57"/>
      <c r="P247" s="57"/>
      <c r="Q247" s="57"/>
      <c r="R247" s="57"/>
      <c r="S247" s="57"/>
      <c r="T247" s="57"/>
      <c r="U247" s="57"/>
      <c r="V247" s="57"/>
      <c r="W247" s="57"/>
      <c r="X247" s="57"/>
      <c r="Y247" s="57"/>
      <c r="Z247" s="57"/>
    </row>
    <row r="248">
      <c r="A248" s="56" t="str">
        <f>IFERROR(__xludf.DUMMYFUNCTION("IF('AYIRA MINI MART FINAL MENU - Pr'!A248="""", """", IF(LEN(TRIM(REGEXREPLACE(REGEXREPLACE('AYIRA MINI MART FINAL MENU - Pr'!A248, ""^[^\x{0600}-\x{06FF}]+"", """"), ""^[-–\s]+"", """")))&gt;0, TRIM(REGEXREPLACE(REGEXREPLACE('AYIRA MINI MART FINAL MENU - Pr"&amp;"'!A248, ""^[^\x{0600}-\x{06FF}]+"", """"), ""^[-–\s]+"", """")), GOOGLETRANSLATE('AYIRA MINI MART FINAL MENU - Pr'!A248, ""en"", ""ar"")))"),"شوكولاتة ساندويتش Semi آيس ميلك")</f>
        <v>شوكولاتة ساندويتش Semi آيس ميلك</v>
      </c>
      <c r="B248" s="56" t="str">
        <f>IFERROR(__xludf.DUMMYFUNCTION("IF('AYIRA MINI MART FINAL MENU - Pr'!B248="""", """", IF(LEN(TRIM(REGEXREPLACE(REGEXREPLACE('AYIRA MINI MART FINAL MENU - Pr'!B248, ""^[^\x{0600}-\x{06FF}]+"", """"), ""^[-–\s]+"", """")))&gt;0, TRIM(REGEXREPLACE(REGEXREPLACE('AYIRA MINI MART FINAL MENU - Pr"&amp;"'!B248, ""^[^\x{0600}-\x{06FF}]+"", """"), ""^[-–\s]+"", """")), GOOGLETRANSLATE('AYIRA MINI MART FINAL MENU - Pr'!B248, ""en"", ""ar"")))"),"الآيس كريم")</f>
        <v>الآيس كريم</v>
      </c>
      <c r="C248" s="58">
        <f>IF('AYIRA MINI MART FINAL MENU - Pr'!C248="", "", 'AYIRA MINI MART FINAL MENU - Pr'!C248)</f>
        <v>2.5</v>
      </c>
      <c r="D248" s="58" t="str">
        <f>IF('AYIRA MINI MART FINAL MENU - Pr'!D248="", "", 'AYIRA MINI MART FINAL MENU - Pr'!D248)</f>
        <v>برّد أيامك الحارة مع Chocolate Sandwich Semi Ice Milk،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48" s="56" t="str">
        <f>IF('AYIRA MINI MART FINAL MENU - Pr'!E248="", "", 'AYIRA MINI MART FINAL MENU - Pr'!E248)</f>
        <v/>
      </c>
      <c r="F248" s="56" t="str">
        <f>IF('AYIRA MINI MART FINAL MENU - Pr'!F248="", "", 'AYIRA MINI MART FINAL MENU - Pr'!F248)</f>
        <v/>
      </c>
      <c r="G248" s="56" t="str">
        <f>IF('AYIRA MINI MART FINAL MENU - Pr'!G248="", "", 'AYIRA MINI MART FINAL MENU - Pr'!G248)</f>
        <v/>
      </c>
      <c r="H248" s="56" t="str">
        <f>IF('AYIRA MINI MART FINAL MENU - Pr'!H248="", "", 'AYIRA MINI MART FINAL MENU - Pr'!H248)</f>
        <v/>
      </c>
      <c r="I248" s="56" t="str">
        <f>IF('AYIRA MINI MART FINAL MENU - Pr'!I248="", "", 'AYIRA MINI MART FINAL MENU - Pr'!I248)</f>
        <v/>
      </c>
      <c r="J248" s="56" t="str">
        <f>IFERROR(__xludf.DUMMYFUNCTION("IF('AYIRA MINI MART FINAL MENU - Pr'!J248="""", """", GOOGLETRANSLATE('AYIRA MINI MART FINAL MENU - Pr'!J248, ""en"", ""ar""))"),"يعرض")</f>
        <v>يعرض</v>
      </c>
      <c r="K248" s="56" t="str">
        <f>IF('AYIRA MINI MART FINAL MENU - Pr'!K248="", "", 'AYIRA MINI MART FINAL MENU - Pr'!K248)</f>
        <v/>
      </c>
      <c r="L248" s="56" t="str">
        <f>IF('AYIRA MINI MART FINAL MENU - Pr'!L248="", "", 'AYIRA MINI MART FINAL MENU - Pr'!L248)</f>
        <v/>
      </c>
      <c r="M248" s="56" t="str">
        <f>IF('AYIRA MINI MART FINAL MENU - Pr'!M248="", "", 'AYIRA MINI MART FINAL MENU - Pr'!M248)</f>
        <v/>
      </c>
      <c r="N248" s="56" t="str">
        <f>IF('AYIRA MINI MART FINAL MENU - Pr'!N248="", "", 'AYIRA MINI MART FINAL MENU - Pr'!N248)</f>
        <v/>
      </c>
      <c r="O248" s="57"/>
      <c r="P248" s="57"/>
      <c r="Q248" s="57"/>
      <c r="R248" s="57"/>
      <c r="S248" s="57"/>
      <c r="T248" s="57"/>
      <c r="U248" s="57"/>
      <c r="V248" s="57"/>
      <c r="W248" s="57"/>
      <c r="X248" s="57"/>
      <c r="Y248" s="57"/>
      <c r="Z248" s="57"/>
    </row>
    <row r="249">
      <c r="A249" s="56" t="str">
        <f>IFERROR(__xludf.DUMMYFUNCTION("IF('AYIRA MINI MART FINAL MENU - Pr'!A249="""", """", IF(LEN(TRIM(REGEXREPLACE(REGEXREPLACE('AYIRA MINI MART FINAL MENU - Pr'!A249, ""^[^\x{0600}-\x{06FF}]+"", """"), ""^[-–\s]+"", """")))&gt;0, TRIM(REGEXREPLACE(REGEXREPLACE('AYIRA MINI MART FINAL MENU - Pr"&amp;"'!A249, ""^[^\x{0600}-\x{06FF}]+"", """"), ""^[-–\s]+"", """")), GOOGLETRANSLATE('AYIRA MINI MART FINAL MENU - Pr'!A249, ""en"", ""ar"")))"),"كولا بوش أب (سعودية)")</f>
        <v>كولا بوش أب (سعودية)</v>
      </c>
      <c r="B249" s="56" t="str">
        <f>IFERROR(__xludf.DUMMYFUNCTION("IF('AYIRA MINI MART FINAL MENU - Pr'!B249="""", """", IF(LEN(TRIM(REGEXREPLACE(REGEXREPLACE('AYIRA MINI MART FINAL MENU - Pr'!B249, ""^[^\x{0600}-\x{06FF}]+"", """"), ""^[-–\s]+"", """")))&gt;0, TRIM(REGEXREPLACE(REGEXREPLACE('AYIRA MINI MART FINAL MENU - Pr"&amp;"'!B249, ""^[^\x{0600}-\x{06FF}]+"", """"), ""^[-–\s]+"", """")), GOOGLETRANSLATE('AYIRA MINI MART FINAL MENU - Pr'!B249, ""en"", ""ar"")))"),"الآيس كريم")</f>
        <v>الآيس كريم</v>
      </c>
      <c r="C249" s="58">
        <f>IF('AYIRA MINI MART FINAL MENU - Pr'!C249="", "", 'AYIRA MINI MART FINAL MENU - Pr'!C249)</f>
        <v>2</v>
      </c>
      <c r="D249" s="58" t="str">
        <f>IF('AYIRA MINI MART FINAL MENU - Pr'!D249="", "", 'AYIRA MINI MART FINAL MENU - Pr'!D249)</f>
        <v>استمتع بـ سعودية،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249" s="56" t="str">
        <f>IF('AYIRA MINI MART FINAL MENU - Pr'!E249="", "", 'AYIRA MINI MART FINAL MENU - Pr'!E249)</f>
        <v/>
      </c>
      <c r="F249" s="56" t="str">
        <f>IF('AYIRA MINI MART FINAL MENU - Pr'!F249="", "", 'AYIRA MINI MART FINAL MENU - Pr'!F249)</f>
        <v/>
      </c>
      <c r="G249" s="56" t="str">
        <f>IF('AYIRA MINI MART FINAL MENU - Pr'!G249="", "", 'AYIRA MINI MART FINAL MENU - Pr'!G249)</f>
        <v/>
      </c>
      <c r="H249" s="56" t="str">
        <f>IF('AYIRA MINI MART FINAL MENU - Pr'!H249="", "", 'AYIRA MINI MART FINAL MENU - Pr'!H249)</f>
        <v/>
      </c>
      <c r="I249" s="56" t="str">
        <f>IF('AYIRA MINI MART FINAL MENU - Pr'!I249="", "", 'AYIRA MINI MART FINAL MENU - Pr'!I249)</f>
        <v/>
      </c>
      <c r="J249" s="56" t="str">
        <f>IFERROR(__xludf.DUMMYFUNCTION("IF('AYIRA MINI MART FINAL MENU - Pr'!J249="""", """", GOOGLETRANSLATE('AYIRA MINI MART FINAL MENU - Pr'!J249, ""en"", ""ar""))"),"يعرض")</f>
        <v>يعرض</v>
      </c>
      <c r="K249" s="56" t="str">
        <f>IF('AYIRA MINI MART FINAL MENU - Pr'!K249="", "", 'AYIRA MINI MART FINAL MENU - Pr'!K249)</f>
        <v/>
      </c>
      <c r="L249" s="56" t="str">
        <f>IF('AYIRA MINI MART FINAL MENU - Pr'!L249="", "", 'AYIRA MINI MART FINAL MENU - Pr'!L249)</f>
        <v/>
      </c>
      <c r="M249" s="56" t="str">
        <f>IF('AYIRA MINI MART FINAL MENU - Pr'!M249="", "", 'AYIRA MINI MART FINAL MENU - Pr'!M249)</f>
        <v/>
      </c>
      <c r="N249" s="56" t="str">
        <f>IF('AYIRA MINI MART FINAL MENU - Pr'!N249="", "", 'AYIRA MINI MART FINAL MENU - Pr'!N249)</f>
        <v/>
      </c>
      <c r="O249" s="57"/>
      <c r="P249" s="57"/>
      <c r="Q249" s="57"/>
      <c r="R249" s="57"/>
      <c r="S249" s="57"/>
      <c r="T249" s="57"/>
      <c r="U249" s="57"/>
      <c r="V249" s="57"/>
      <c r="W249" s="57"/>
      <c r="X249" s="57"/>
      <c r="Y249" s="57"/>
      <c r="Z249" s="57"/>
    </row>
    <row r="250">
      <c r="A250" s="56" t="str">
        <f>IFERROR(__xludf.DUMMYFUNCTION("IF('AYIRA MINI MART FINAL MENU - Pr'!A250="""", """", IF(LEN(TRIM(REGEXREPLACE(REGEXREPLACE('AYIRA MINI MART FINAL MENU - Pr'!A250, ""^[^\x{0600}-\x{06FF}]+"", """"), ""^[-–\s]+"", """")))&gt;0, TRIM(REGEXREPLACE(REGEXREPLACE('AYIRA MINI MART FINAL MENU - Pr"&amp;"'!A250, ""^[^\x{0600}-\x{06FF}]+"", """"), ""^[-–\s]+"", """")), GOOGLETRANSLATE('AYIRA MINI MART FINAL MENU - Pr'!A250, ""en"", ""ar"")))"),"برتقال بوش أب (Saudia)")</f>
        <v>برتقال بوش أب (Saudia)</v>
      </c>
      <c r="B250" s="56" t="str">
        <f>IFERROR(__xludf.DUMMYFUNCTION("IF('AYIRA MINI MART FINAL MENU - Pr'!B250="""", """", IF(LEN(TRIM(REGEXREPLACE(REGEXREPLACE('AYIRA MINI MART FINAL MENU - Pr'!B250, ""^[^\x{0600}-\x{06FF}]+"", """"), ""^[-–\s]+"", """")))&gt;0, TRIM(REGEXREPLACE(REGEXREPLACE('AYIRA MINI MART FINAL MENU - Pr"&amp;"'!B250, ""^[^\x{0600}-\x{06FF}]+"", """"), ""^[-–\s]+"", """")), GOOGLETRANSLATE('AYIRA MINI MART FINAL MENU - Pr'!B250, ""en"", ""ar"")))"),"الآيس كريم")</f>
        <v>الآيس كريم</v>
      </c>
      <c r="C250" s="58">
        <f>IF('AYIRA MINI MART FINAL MENU - Pr'!C250="", "", 'AYIRA MINI MART FINAL MENU - Pr'!C250)</f>
        <v>2</v>
      </c>
      <c r="D250" s="58" t="str">
        <f>IF('AYIRA MINI MART FINAL MENU - Pr'!D250="", "", 'AYIRA MINI MART FINAL MENU - Pr'!D250)</f>
        <v>برّد أيامك الحارة مع سعودية،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0" s="56" t="str">
        <f>IF('AYIRA MINI MART FINAL MENU - Pr'!E250="", "", 'AYIRA MINI MART FINAL MENU - Pr'!E250)</f>
        <v/>
      </c>
      <c r="F250" s="56" t="str">
        <f>IF('AYIRA MINI MART FINAL MENU - Pr'!F250="", "", 'AYIRA MINI MART FINAL MENU - Pr'!F250)</f>
        <v/>
      </c>
      <c r="G250" s="56" t="str">
        <f>IF('AYIRA MINI MART FINAL MENU - Pr'!G250="", "", 'AYIRA MINI MART FINAL MENU - Pr'!G250)</f>
        <v/>
      </c>
      <c r="H250" s="56" t="str">
        <f>IF('AYIRA MINI MART FINAL MENU - Pr'!H250="", "", 'AYIRA MINI MART FINAL MENU - Pr'!H250)</f>
        <v/>
      </c>
      <c r="I250" s="56" t="str">
        <f>IF('AYIRA MINI MART FINAL MENU - Pr'!I250="", "", 'AYIRA MINI MART FINAL MENU - Pr'!I250)</f>
        <v/>
      </c>
      <c r="J250" s="56" t="str">
        <f>IFERROR(__xludf.DUMMYFUNCTION("IF('AYIRA MINI MART FINAL MENU - Pr'!J250="""", """", GOOGLETRANSLATE('AYIRA MINI MART FINAL MENU - Pr'!J250, ""en"", ""ar""))"),"يعرض")</f>
        <v>يعرض</v>
      </c>
      <c r="K250" s="56" t="str">
        <f>IF('AYIRA MINI MART FINAL MENU - Pr'!K250="", "", 'AYIRA MINI MART FINAL MENU - Pr'!K250)</f>
        <v/>
      </c>
      <c r="L250" s="56" t="str">
        <f>IF('AYIRA MINI MART FINAL MENU - Pr'!L250="", "", 'AYIRA MINI MART FINAL MENU - Pr'!L250)</f>
        <v/>
      </c>
      <c r="M250" s="56" t="str">
        <f>IF('AYIRA MINI MART FINAL MENU - Pr'!M250="", "", 'AYIRA MINI MART FINAL MENU - Pr'!M250)</f>
        <v/>
      </c>
      <c r="N250" s="56" t="str">
        <f>IF('AYIRA MINI MART FINAL MENU - Pr'!N250="", "", 'AYIRA MINI MART FINAL MENU - Pr'!N250)</f>
        <v/>
      </c>
      <c r="O250" s="57"/>
      <c r="P250" s="57"/>
      <c r="Q250" s="57"/>
      <c r="R250" s="57"/>
      <c r="S250" s="57"/>
      <c r="T250" s="57"/>
      <c r="U250" s="57"/>
      <c r="V250" s="57"/>
      <c r="W250" s="57"/>
      <c r="X250" s="57"/>
      <c r="Y250" s="57"/>
      <c r="Z250" s="57"/>
    </row>
    <row r="251">
      <c r="A251" s="56" t="str">
        <f>IFERROR(__xludf.DUMMYFUNCTION("IF('AYIRA MINI MART FINAL MENU - Pr'!A251="""", """", IF(LEN(TRIM(REGEXREPLACE(REGEXREPLACE('AYIRA MINI MART FINAL MENU - Pr'!A251, ""^[^\x{0600}-\x{06FF}]+"", """"), ""^[-–\s]+"", """")))&gt;0, TRIM(REGEXREPLACE(REGEXREPLACE('AYIRA MINI MART FINAL MENU - Pr"&amp;"'!A251, ""^[^\x{0600}-\x{06FF}]+"", """"), ""^[-–\s]+"", """")), GOOGLETRANSLATE('AYIRA MINI MART FINAL MENU - Pr'!A251, ""en"", ""ar"")))"),"بامبو فراولة بوش أب")</f>
        <v>بامبو فراولة بوش أب</v>
      </c>
      <c r="B251" s="56" t="str">
        <f>IFERROR(__xludf.DUMMYFUNCTION("IF('AYIRA MINI MART FINAL MENU - Pr'!B251="""", """", IF(LEN(TRIM(REGEXREPLACE(REGEXREPLACE('AYIRA MINI MART FINAL MENU - Pr'!B251, ""^[^\x{0600}-\x{06FF}]+"", """"), ""^[-–\s]+"", """")))&gt;0, TRIM(REGEXREPLACE(REGEXREPLACE('AYIRA MINI MART FINAL MENU - Pr"&amp;"'!B251, ""^[^\x{0600}-\x{06FF}]+"", """"), ""^[-–\s]+"", """")), GOOGLETRANSLATE('AYIRA MINI MART FINAL MENU - Pr'!B251, ""en"", ""ar"")))"),"الآيس كريم")</f>
        <v>الآيس كريم</v>
      </c>
      <c r="C251" s="58">
        <f>IF('AYIRA MINI MART FINAL MENU - Pr'!C251="", "", 'AYIRA MINI MART FINAL MENU - Pr'!C251)</f>
        <v>2</v>
      </c>
      <c r="D251" s="58" t="str">
        <f>IF('AYIRA MINI MART FINAL MENU - Pr'!D251="", "", 'AYIRA MINI MART FINAL MENU - Pr'!D251)</f>
        <v>برّد أيامك الحارة مع بامبو،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1" s="56" t="str">
        <f>IF('AYIRA MINI MART FINAL MENU - Pr'!E251="", "", 'AYIRA MINI MART FINAL MENU - Pr'!E251)</f>
        <v/>
      </c>
      <c r="F251" s="56" t="str">
        <f>IF('AYIRA MINI MART FINAL MENU - Pr'!F251="", "", 'AYIRA MINI MART FINAL MENU - Pr'!F251)</f>
        <v/>
      </c>
      <c r="G251" s="56" t="str">
        <f>IF('AYIRA MINI MART FINAL MENU - Pr'!G251="", "", 'AYIRA MINI MART FINAL MENU - Pr'!G251)</f>
        <v/>
      </c>
      <c r="H251" s="56" t="str">
        <f>IF('AYIRA MINI MART FINAL MENU - Pr'!H251="", "", 'AYIRA MINI MART FINAL MENU - Pr'!H251)</f>
        <v/>
      </c>
      <c r="I251" s="56" t="str">
        <f>IF('AYIRA MINI MART FINAL MENU - Pr'!I251="", "", 'AYIRA MINI MART FINAL MENU - Pr'!I251)</f>
        <v/>
      </c>
      <c r="J251" s="56" t="str">
        <f>IFERROR(__xludf.DUMMYFUNCTION("IF('AYIRA MINI MART FINAL MENU - Pr'!J251="""", """", GOOGLETRANSLATE('AYIRA MINI MART FINAL MENU - Pr'!J251, ""en"", ""ar""))"),"يعرض")</f>
        <v>يعرض</v>
      </c>
      <c r="K251" s="56" t="str">
        <f>IF('AYIRA MINI MART FINAL MENU - Pr'!K251="", "", 'AYIRA MINI MART FINAL MENU - Pr'!K251)</f>
        <v/>
      </c>
      <c r="L251" s="56" t="str">
        <f>IF('AYIRA MINI MART FINAL MENU - Pr'!L251="", "", 'AYIRA MINI MART FINAL MENU - Pr'!L251)</f>
        <v/>
      </c>
      <c r="M251" s="56" t="str">
        <f>IF('AYIRA MINI MART FINAL MENU - Pr'!M251="", "", 'AYIRA MINI MART FINAL MENU - Pr'!M251)</f>
        <v/>
      </c>
      <c r="N251" s="56" t="str">
        <f>IF('AYIRA MINI MART FINAL MENU - Pr'!N251="", "", 'AYIRA MINI MART FINAL MENU - Pr'!N251)</f>
        <v/>
      </c>
      <c r="O251" s="57"/>
      <c r="P251" s="57"/>
      <c r="Q251" s="57"/>
      <c r="R251" s="57"/>
      <c r="S251" s="57"/>
      <c r="T251" s="57"/>
      <c r="U251" s="57"/>
      <c r="V251" s="57"/>
      <c r="W251" s="57"/>
      <c r="X251" s="57"/>
      <c r="Y251" s="57"/>
      <c r="Z251" s="57"/>
    </row>
    <row r="252">
      <c r="A252" s="56" t="str">
        <f>IFERROR(__xludf.DUMMYFUNCTION("IF('AYIRA MINI MART FINAL MENU - Pr'!A252="""", """", IF(LEN(TRIM(REGEXREPLACE(REGEXREPLACE('AYIRA MINI MART FINAL MENU - Pr'!A252, ""^[^\x{0600}-\x{06FF}]+"", """"), ""^[-–\s]+"", """")))&gt;0, TRIM(REGEXREPLACE(REGEXREPLACE('AYIRA MINI MART FINAL MENU - Pr"&amp;"'!A252, ""^[^\x{0600}-\x{06FF}]+"", """"), ""^[-–\s]+"", """")), GOOGLETRANSLATE('AYIRA MINI MART FINAL MENU - Pr'!A252, ""en"", ""ar"")))"),"شوكولاتة Semi آيس ميلك with Cone Biscuits")</f>
        <v>شوكولاتة Semi آيس ميلك with Cone Biscuits</v>
      </c>
      <c r="B252" s="56" t="str">
        <f>IFERROR(__xludf.DUMMYFUNCTION("IF('AYIRA MINI MART FINAL MENU - Pr'!B252="""", """", IF(LEN(TRIM(REGEXREPLACE(REGEXREPLACE('AYIRA MINI MART FINAL MENU - Pr'!B252, ""^[^\x{0600}-\x{06FF}]+"", """"), ""^[-–\s]+"", """")))&gt;0, TRIM(REGEXREPLACE(REGEXREPLACE('AYIRA MINI MART FINAL MENU - Pr"&amp;"'!B252, ""^[^\x{0600}-\x{06FF}]+"", """"), ""^[-–\s]+"", """")), GOOGLETRANSLATE('AYIRA MINI MART FINAL MENU - Pr'!B252, ""en"", ""ar"")))"),"الآيس كريم")</f>
        <v>الآيس كريم</v>
      </c>
      <c r="C252" s="58">
        <f>IF('AYIRA MINI MART FINAL MENU - Pr'!C252="", "", 'AYIRA MINI MART FINAL MENU - Pr'!C252)</f>
        <v>1.5</v>
      </c>
      <c r="D252" s="58" t="str">
        <f>IF('AYIRA MINI MART FINAL MENU - Pr'!D252="", "", 'AYIRA MINI MART FINAL MENU - Pr'!D252)</f>
        <v>برّد أيامك الحارة مع Chocolate Semi Ice Milk with Cone Biscuits،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2" s="56" t="str">
        <f>IF('AYIRA MINI MART FINAL MENU - Pr'!E252="", "", 'AYIRA MINI MART FINAL MENU - Pr'!E252)</f>
        <v/>
      </c>
      <c r="F252" s="56" t="str">
        <f>IF('AYIRA MINI MART FINAL MENU - Pr'!F252="", "", 'AYIRA MINI MART FINAL MENU - Pr'!F252)</f>
        <v/>
      </c>
      <c r="G252" s="56" t="str">
        <f>IF('AYIRA MINI MART FINAL MENU - Pr'!G252="", "", 'AYIRA MINI MART FINAL MENU - Pr'!G252)</f>
        <v/>
      </c>
      <c r="H252" s="56" t="str">
        <f>IF('AYIRA MINI MART FINAL MENU - Pr'!H252="", "", 'AYIRA MINI MART FINAL MENU - Pr'!H252)</f>
        <v/>
      </c>
      <c r="I252" s="56" t="str">
        <f>IF('AYIRA MINI MART FINAL MENU - Pr'!I252="", "", 'AYIRA MINI MART FINAL MENU - Pr'!I252)</f>
        <v/>
      </c>
      <c r="J252" s="56" t="str">
        <f>IFERROR(__xludf.DUMMYFUNCTION("IF('AYIRA MINI MART FINAL MENU - Pr'!J252="""", """", GOOGLETRANSLATE('AYIRA MINI MART FINAL MENU - Pr'!J252, ""en"", ""ar""))"),"يعرض")</f>
        <v>يعرض</v>
      </c>
      <c r="K252" s="56" t="str">
        <f>IF('AYIRA MINI MART FINAL MENU - Pr'!K252="", "", 'AYIRA MINI MART FINAL MENU - Pr'!K252)</f>
        <v/>
      </c>
      <c r="L252" s="56" t="str">
        <f>IF('AYIRA MINI MART FINAL MENU - Pr'!L252="", "", 'AYIRA MINI MART FINAL MENU - Pr'!L252)</f>
        <v/>
      </c>
      <c r="M252" s="56" t="str">
        <f>IF('AYIRA MINI MART FINAL MENU - Pr'!M252="", "", 'AYIRA MINI MART FINAL MENU - Pr'!M252)</f>
        <v/>
      </c>
      <c r="N252" s="56" t="str">
        <f>IF('AYIRA MINI MART FINAL MENU - Pr'!N252="", "", 'AYIRA MINI MART FINAL MENU - Pr'!N252)</f>
        <v/>
      </c>
      <c r="O252" s="57"/>
      <c r="P252" s="57"/>
      <c r="Q252" s="57"/>
      <c r="R252" s="57"/>
      <c r="S252" s="57"/>
      <c r="T252" s="57"/>
      <c r="U252" s="57"/>
      <c r="V252" s="57"/>
      <c r="W252" s="57"/>
      <c r="X252" s="57"/>
      <c r="Y252" s="57"/>
      <c r="Z252" s="57"/>
    </row>
    <row r="253">
      <c r="A253" s="56" t="str">
        <f>IFERROR(__xludf.DUMMYFUNCTION("IF('AYIRA MINI MART FINAL MENU - Pr'!A253="""", """", IF(LEN(TRIM(REGEXREPLACE(REGEXREPLACE('AYIRA MINI MART FINAL MENU - Pr'!A253, ""^[^\x{0600}-\x{06FF}]+"", """"), ""^[-–\s]+"", """")))&gt;0, TRIM(REGEXREPLACE(REGEXREPLACE('AYIRA MINI MART FINAL MENU - Pr"&amp;"'!A253, ""^[^\x{0600}-\x{06FF}]+"", """"), ""^[-–\s]+"", """")), GOOGLETRANSLATE('AYIRA MINI MART FINAL MENU - Pr'!A253, ""en"", ""ar"")))"),"آيس ميلك with قطن Candy")</f>
        <v>آيس ميلك with قطن Candy</v>
      </c>
      <c r="B253" s="56" t="str">
        <f>IFERROR(__xludf.DUMMYFUNCTION("IF('AYIRA MINI MART FINAL MENU - Pr'!B253="""", """", IF(LEN(TRIM(REGEXREPLACE(REGEXREPLACE('AYIRA MINI MART FINAL MENU - Pr'!B253, ""^[^\x{0600}-\x{06FF}]+"", """"), ""^[-–\s]+"", """")))&gt;0, TRIM(REGEXREPLACE(REGEXREPLACE('AYIRA MINI MART FINAL MENU - Pr"&amp;"'!B253, ""^[^\x{0600}-\x{06FF}]+"", """"), ""^[-–\s]+"", """")), GOOGLETRANSLATE('AYIRA MINI MART FINAL MENU - Pr'!B253, ""en"", ""ar"")))"),"الآيس كريم")</f>
        <v>الآيس كريم</v>
      </c>
      <c r="C253" s="58">
        <f>IF('AYIRA MINI MART FINAL MENU - Pr'!C253="", "", 'AYIRA MINI MART FINAL MENU - Pr'!C253)</f>
        <v>3</v>
      </c>
      <c r="D253" s="58" t="str">
        <f>IF('AYIRA MINI MART FINAL MENU - Pr'!D253="", "", 'AYIRA MINI MART FINAL MENU - Pr'!D253)</f>
        <v>برّد أيامك الحارة مع Semi Ice Milk with Cotton Candy،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3" s="56" t="str">
        <f>IF('AYIRA MINI MART FINAL MENU - Pr'!E253="", "", 'AYIRA MINI MART FINAL MENU - Pr'!E253)</f>
        <v/>
      </c>
      <c r="F253" s="56" t="str">
        <f>IF('AYIRA MINI MART FINAL MENU - Pr'!F253="", "", 'AYIRA MINI MART FINAL MENU - Pr'!F253)</f>
        <v/>
      </c>
      <c r="G253" s="56" t="str">
        <f>IF('AYIRA MINI MART FINAL MENU - Pr'!G253="", "", 'AYIRA MINI MART FINAL MENU - Pr'!G253)</f>
        <v/>
      </c>
      <c r="H253" s="56" t="str">
        <f>IF('AYIRA MINI MART FINAL MENU - Pr'!H253="", "", 'AYIRA MINI MART FINAL MENU - Pr'!H253)</f>
        <v/>
      </c>
      <c r="I253" s="56" t="str">
        <f>IF('AYIRA MINI MART FINAL MENU - Pr'!I253="", "", 'AYIRA MINI MART FINAL MENU - Pr'!I253)</f>
        <v/>
      </c>
      <c r="J253" s="56" t="str">
        <f>IFERROR(__xludf.DUMMYFUNCTION("IF('AYIRA MINI MART FINAL MENU - Pr'!J253="""", """", GOOGLETRANSLATE('AYIRA MINI MART FINAL MENU - Pr'!J253, ""en"", ""ar""))"),"يعرض")</f>
        <v>يعرض</v>
      </c>
      <c r="K253" s="56" t="str">
        <f>IF('AYIRA MINI MART FINAL MENU - Pr'!K253="", "", 'AYIRA MINI MART FINAL MENU - Pr'!K253)</f>
        <v/>
      </c>
      <c r="L253" s="56" t="str">
        <f>IF('AYIRA MINI MART FINAL MENU - Pr'!L253="", "", 'AYIRA MINI MART FINAL MENU - Pr'!L253)</f>
        <v/>
      </c>
      <c r="M253" s="56" t="str">
        <f>IF('AYIRA MINI MART FINAL MENU - Pr'!M253="", "", 'AYIRA MINI MART FINAL MENU - Pr'!M253)</f>
        <v/>
      </c>
      <c r="N253" s="56" t="str">
        <f>IF('AYIRA MINI MART FINAL MENU - Pr'!N253="", "", 'AYIRA MINI MART FINAL MENU - Pr'!N253)</f>
        <v/>
      </c>
      <c r="O253" s="57"/>
      <c r="P253" s="57"/>
      <c r="Q253" s="57"/>
      <c r="R253" s="57"/>
      <c r="S253" s="57"/>
      <c r="T253" s="57"/>
      <c r="U253" s="57"/>
      <c r="V253" s="57"/>
      <c r="W253" s="57"/>
      <c r="X253" s="57"/>
      <c r="Y253" s="57"/>
      <c r="Z253" s="57"/>
    </row>
    <row r="254">
      <c r="A254" s="56" t="str">
        <f>IFERROR(__xludf.DUMMYFUNCTION("IF('AYIRA MINI MART FINAL MENU - Pr'!A254="""", """", IF(LEN(TRIM(REGEXREPLACE(REGEXREPLACE('AYIRA MINI MART FINAL MENU - Pr'!A254, ""^[^\x{0600}-\x{06FF}]+"", """"), ""^[-–\s]+"", """")))&gt;0, TRIM(REGEXREPLACE(REGEXREPLACE('AYIRA MINI MART FINAL MENU - Pr"&amp;"'!A254, ""^[^\x{0600}-\x{06FF}]+"", """"), ""^[-–\s]+"", """")), GOOGLETRANSLATE('AYIRA MINI MART FINAL MENU - Pr'!A254, ""en"", ""ar"")))"),"شوكولاتة Semi آيس ميلك Covered with شوكولاتة Coating")</f>
        <v>شوكولاتة Semi آيس ميلك Covered with شوكولاتة Coating</v>
      </c>
      <c r="B254" s="56" t="str">
        <f>IFERROR(__xludf.DUMMYFUNCTION("IF('AYIRA MINI MART FINAL MENU - Pr'!B254="""", """", IF(LEN(TRIM(REGEXREPLACE(REGEXREPLACE('AYIRA MINI MART FINAL MENU - Pr'!B254, ""^[^\x{0600}-\x{06FF}]+"", """"), ""^[-–\s]+"", """")))&gt;0, TRIM(REGEXREPLACE(REGEXREPLACE('AYIRA MINI MART FINAL MENU - Pr"&amp;"'!B254, ""^[^\x{0600}-\x{06FF}]+"", """"), ""^[-–\s]+"", """")), GOOGLETRANSLATE('AYIRA MINI MART FINAL MENU - Pr'!B254, ""en"", ""ar"")))"),"الآيس كريم")</f>
        <v>الآيس كريم</v>
      </c>
      <c r="C254" s="58">
        <f>IF('AYIRA MINI MART FINAL MENU - Pr'!C254="", "", 'AYIRA MINI MART FINAL MENU - Pr'!C254)</f>
        <v>1.5</v>
      </c>
      <c r="D254" s="58" t="str">
        <f>IF('AYIRA MINI MART FINAL MENU - Pr'!D254="", "", 'AYIRA MINI MART FINAL MENU - Pr'!D254)</f>
        <v>برّد أيامك الحارة مع Chocolate Semi Ice Milk Covered with Chocolate Coating،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4" s="56" t="str">
        <f>IF('AYIRA MINI MART FINAL MENU - Pr'!E254="", "", 'AYIRA MINI MART FINAL MENU - Pr'!E254)</f>
        <v/>
      </c>
      <c r="F254" s="56" t="str">
        <f>IF('AYIRA MINI MART FINAL MENU - Pr'!F254="", "", 'AYIRA MINI MART FINAL MENU - Pr'!F254)</f>
        <v/>
      </c>
      <c r="G254" s="56" t="str">
        <f>IF('AYIRA MINI MART FINAL MENU - Pr'!G254="", "", 'AYIRA MINI MART FINAL MENU - Pr'!G254)</f>
        <v/>
      </c>
      <c r="H254" s="56" t="str">
        <f>IF('AYIRA MINI MART FINAL MENU - Pr'!H254="", "", 'AYIRA MINI MART FINAL MENU - Pr'!H254)</f>
        <v/>
      </c>
      <c r="I254" s="56" t="str">
        <f>IF('AYIRA MINI MART FINAL MENU - Pr'!I254="", "", 'AYIRA MINI MART FINAL MENU - Pr'!I254)</f>
        <v/>
      </c>
      <c r="J254" s="56" t="str">
        <f>IFERROR(__xludf.DUMMYFUNCTION("IF('AYIRA MINI MART FINAL MENU - Pr'!J254="""", """", GOOGLETRANSLATE('AYIRA MINI MART FINAL MENU - Pr'!J254, ""en"", ""ar""))"),"يعرض")</f>
        <v>يعرض</v>
      </c>
      <c r="K254" s="56" t="str">
        <f>IF('AYIRA MINI MART FINAL MENU - Pr'!K254="", "", 'AYIRA MINI MART FINAL MENU - Pr'!K254)</f>
        <v/>
      </c>
      <c r="L254" s="56" t="str">
        <f>IF('AYIRA MINI MART FINAL MENU - Pr'!L254="", "", 'AYIRA MINI MART FINAL MENU - Pr'!L254)</f>
        <v/>
      </c>
      <c r="M254" s="56" t="str">
        <f>IF('AYIRA MINI MART FINAL MENU - Pr'!M254="", "", 'AYIRA MINI MART FINAL MENU - Pr'!M254)</f>
        <v/>
      </c>
      <c r="N254" s="56" t="str">
        <f>IF('AYIRA MINI MART FINAL MENU - Pr'!N254="", "", 'AYIRA MINI MART FINAL MENU - Pr'!N254)</f>
        <v/>
      </c>
      <c r="O254" s="57"/>
      <c r="P254" s="57"/>
      <c r="Q254" s="57"/>
      <c r="R254" s="57"/>
      <c r="S254" s="57"/>
      <c r="T254" s="57"/>
      <c r="U254" s="57"/>
      <c r="V254" s="57"/>
      <c r="W254" s="57"/>
      <c r="X254" s="57"/>
      <c r="Y254" s="57"/>
      <c r="Z254" s="57"/>
    </row>
    <row r="255">
      <c r="A255" s="56" t="str">
        <f>IFERROR(__xludf.DUMMYFUNCTION("IF('AYIRA MINI MART FINAL MENU - Pr'!A255="""", """", IF(LEN(TRIM(REGEXREPLACE(REGEXREPLACE('AYIRA MINI MART FINAL MENU - Pr'!A255, ""^[^\x{0600}-\x{06FF}]+"", """"), ""^[-–\s]+"", """")))&gt;0, TRIM(REGEXREPLACE(REGEXREPLACE('AYIRA MINI MART FINAL MENU - Pr"&amp;"'!A255, ""^[^\x{0600}-\x{06FF}]+"", """"), ""^[-–\s]+"", """")), GOOGLETRANSLATE('AYIRA MINI MART FINAL MENU - Pr'!A255, ""en"", ""ar"")))"),"أوريو عصا with أوريو كوكيز Pieces 64 غرام")</f>
        <v>أوريو عصا with أوريو كوكيز Pieces 64 غرام</v>
      </c>
      <c r="B255" s="56" t="str">
        <f>IFERROR(__xludf.DUMMYFUNCTION("IF('AYIRA MINI MART FINAL MENU - Pr'!B255="""", """", IF(LEN(TRIM(REGEXREPLACE(REGEXREPLACE('AYIRA MINI MART FINAL MENU - Pr'!B255, ""^[^\x{0600}-\x{06FF}]+"", """"), ""^[-–\s]+"", """")))&gt;0, TRIM(REGEXREPLACE(REGEXREPLACE('AYIRA MINI MART FINAL MENU - Pr"&amp;"'!B255, ""^[^\x{0600}-\x{06FF}]+"", """"), ""^[-–\s]+"", """")), GOOGLETRANSLATE('AYIRA MINI MART FINAL MENU - Pr'!B255, ""en"", ""ar"")))"),"الآيس كريم")</f>
        <v>الآيس كريم</v>
      </c>
      <c r="C255" s="58">
        <f>IF('AYIRA MINI MART FINAL MENU - Pr'!C255="", "", 'AYIRA MINI MART FINAL MENU - Pr'!C255)</f>
        <v>10</v>
      </c>
      <c r="D255" s="58" t="str">
        <f>IF('AYIRA MINI MART FINAL MENU - Pr'!D255="", "", 'AYIRA MINI MART FINAL MENU - Pr'!D255)</f>
        <v>برّد أيامك الحارة مع أوريو،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5" s="56" t="str">
        <f>IF('AYIRA MINI MART FINAL MENU - Pr'!E255="", "", 'AYIRA MINI MART FINAL MENU - Pr'!E255)</f>
        <v/>
      </c>
      <c r="F255" s="56" t="str">
        <f>IF('AYIRA MINI MART FINAL MENU - Pr'!F255="", "", 'AYIRA MINI MART FINAL MENU - Pr'!F255)</f>
        <v/>
      </c>
      <c r="G255" s="56" t="str">
        <f>IF('AYIRA MINI MART FINAL MENU - Pr'!G255="", "", 'AYIRA MINI MART FINAL MENU - Pr'!G255)</f>
        <v/>
      </c>
      <c r="H255" s="56" t="str">
        <f>IF('AYIRA MINI MART FINAL MENU - Pr'!H255="", "", 'AYIRA MINI MART FINAL MENU - Pr'!H255)</f>
        <v/>
      </c>
      <c r="I255" s="56" t="str">
        <f>IF('AYIRA MINI MART FINAL MENU - Pr'!I255="", "", 'AYIRA MINI MART FINAL MENU - Pr'!I255)</f>
        <v/>
      </c>
      <c r="J255" s="56" t="str">
        <f>IFERROR(__xludf.DUMMYFUNCTION("IF('AYIRA MINI MART FINAL MENU - Pr'!J255="""", """", GOOGLETRANSLATE('AYIRA MINI MART FINAL MENU - Pr'!J255, ""en"", ""ar""))"),"يعرض")</f>
        <v>يعرض</v>
      </c>
      <c r="K255" s="56" t="str">
        <f>IF('AYIRA MINI MART FINAL MENU - Pr'!K255="", "", 'AYIRA MINI MART FINAL MENU - Pr'!K255)</f>
        <v/>
      </c>
      <c r="L255" s="56" t="str">
        <f>IF('AYIRA MINI MART FINAL MENU - Pr'!L255="", "", 'AYIRA MINI MART FINAL MENU - Pr'!L255)</f>
        <v/>
      </c>
      <c r="M255" s="56" t="str">
        <f>IF('AYIRA MINI MART FINAL MENU - Pr'!M255="", "", 'AYIRA MINI MART FINAL MENU - Pr'!M255)</f>
        <v/>
      </c>
      <c r="N255" s="56" t="str">
        <f>IF('AYIRA MINI MART FINAL MENU - Pr'!N255="", "", 'AYIRA MINI MART FINAL MENU - Pr'!N255)</f>
        <v/>
      </c>
      <c r="O255" s="57"/>
      <c r="P255" s="57"/>
      <c r="Q255" s="57"/>
      <c r="R255" s="57"/>
      <c r="S255" s="57"/>
      <c r="T255" s="57"/>
      <c r="U255" s="57"/>
      <c r="V255" s="57"/>
      <c r="W255" s="57"/>
      <c r="X255" s="57"/>
      <c r="Y255" s="57"/>
      <c r="Z255" s="57"/>
    </row>
    <row r="256">
      <c r="A256" s="56" t="str">
        <f>IFERROR(__xludf.DUMMYFUNCTION("IF('AYIRA MINI MART FINAL MENU - Pr'!A256="""", """", IF(LEN(TRIM(REGEXREPLACE(REGEXREPLACE('AYIRA MINI MART FINAL MENU - Pr'!A256, ""^[^\x{0600}-\x{06FF}]+"", """"), ""^[-–\s]+"", """")))&gt;0, TRIM(REGEXREPLACE(REGEXREPLACE('AYIRA MINI MART FINAL MENU - Pr"&amp;"'!A256, ""^[^\x{0600}-\x{06FF}]+"", """"), ""^[-–\s]+"", """")), GOOGLETRANSLATE('AYIRA MINI MART FINAL MENU - Pr'!A256, ""en"", ""ar"")))"),"أوريو Cone with أوريو كوكيز Pieces 110 مل")</f>
        <v>أوريو Cone with أوريو كوكيز Pieces 110 مل</v>
      </c>
      <c r="B256" s="56" t="str">
        <f>IFERROR(__xludf.DUMMYFUNCTION("IF('AYIRA MINI MART FINAL MENU - Pr'!B256="""", """", IF(LEN(TRIM(REGEXREPLACE(REGEXREPLACE('AYIRA MINI MART FINAL MENU - Pr'!B256, ""^[^\x{0600}-\x{06FF}]+"", """"), ""^[-–\s]+"", """")))&gt;0, TRIM(REGEXREPLACE(REGEXREPLACE('AYIRA MINI MART FINAL MENU - Pr"&amp;"'!B256, ""^[^\x{0600}-\x{06FF}]+"", """"), ""^[-–\s]+"", """")), GOOGLETRANSLATE('AYIRA MINI MART FINAL MENU - Pr'!B256, ""en"", ""ar"")))"),"الآيس كريم")</f>
        <v>الآيس كريم</v>
      </c>
      <c r="C256" s="58">
        <f>IF('AYIRA MINI MART FINAL MENU - Pr'!C256="", "", 'AYIRA MINI MART FINAL MENU - Pr'!C256)</f>
        <v>7.5</v>
      </c>
      <c r="D256" s="58" t="str">
        <f>IF('AYIRA MINI MART FINAL MENU - Pr'!D256="", "", 'AYIRA MINI MART FINAL MENU - Pr'!D256)</f>
        <v>برّد أيامك الحارة مع أوريو،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6" s="56" t="str">
        <f>IF('AYIRA MINI MART FINAL MENU - Pr'!E256="", "", 'AYIRA MINI MART FINAL MENU - Pr'!E256)</f>
        <v/>
      </c>
      <c r="F256" s="56" t="str">
        <f>IF('AYIRA MINI MART FINAL MENU - Pr'!F256="", "", 'AYIRA MINI MART FINAL MENU - Pr'!F256)</f>
        <v/>
      </c>
      <c r="G256" s="56" t="str">
        <f>IF('AYIRA MINI MART FINAL MENU - Pr'!G256="", "", 'AYIRA MINI MART FINAL MENU - Pr'!G256)</f>
        <v/>
      </c>
      <c r="H256" s="56" t="str">
        <f>IF('AYIRA MINI MART FINAL MENU - Pr'!H256="", "", 'AYIRA MINI MART FINAL MENU - Pr'!H256)</f>
        <v/>
      </c>
      <c r="I256" s="56" t="str">
        <f>IF('AYIRA MINI MART FINAL MENU - Pr'!I256="", "", 'AYIRA MINI MART FINAL MENU - Pr'!I256)</f>
        <v/>
      </c>
      <c r="J256" s="56" t="str">
        <f>IFERROR(__xludf.DUMMYFUNCTION("IF('AYIRA MINI MART FINAL MENU - Pr'!J256="""", """", GOOGLETRANSLATE('AYIRA MINI MART FINAL MENU - Pr'!J256, ""en"", ""ar""))"),"يعرض")</f>
        <v>يعرض</v>
      </c>
      <c r="K256" s="56" t="str">
        <f>IF('AYIRA MINI MART FINAL MENU - Pr'!K256="", "", 'AYIRA MINI MART FINAL MENU - Pr'!K256)</f>
        <v/>
      </c>
      <c r="L256" s="56" t="str">
        <f>IF('AYIRA MINI MART FINAL MENU - Pr'!L256="", "", 'AYIRA MINI MART FINAL MENU - Pr'!L256)</f>
        <v/>
      </c>
      <c r="M256" s="56" t="str">
        <f>IF('AYIRA MINI MART FINAL MENU - Pr'!M256="", "", 'AYIRA MINI MART FINAL MENU - Pr'!M256)</f>
        <v/>
      </c>
      <c r="N256" s="56" t="str">
        <f>IF('AYIRA MINI MART FINAL MENU - Pr'!N256="", "", 'AYIRA MINI MART FINAL MENU - Pr'!N256)</f>
        <v/>
      </c>
      <c r="O256" s="57"/>
      <c r="P256" s="57"/>
      <c r="Q256" s="57"/>
      <c r="R256" s="57"/>
      <c r="S256" s="57"/>
      <c r="T256" s="57"/>
      <c r="U256" s="57"/>
      <c r="V256" s="57"/>
      <c r="W256" s="57"/>
      <c r="X256" s="57"/>
      <c r="Y256" s="57"/>
      <c r="Z256" s="57"/>
    </row>
    <row r="257">
      <c r="A257" s="56" t="str">
        <f>IFERROR(__xludf.DUMMYFUNCTION("IF('AYIRA MINI MART FINAL MENU - Pr'!A257="""", """", IF(LEN(TRIM(REGEXREPLACE(REGEXREPLACE('AYIRA MINI MART FINAL MENU - Pr'!A257, ""^[^\x{0600}-\x{06FF}]+"", """"), ""^[-–\s]+"", """")))&gt;0, TRIM(REGEXREPLACE(REGEXREPLACE('AYIRA MINI MART FINAL MENU - Pr"&amp;"'!A257, ""^[^\x{0600}-\x{06FF}]+"", """"), ""^[-–\s]+"", """")), GOOGLETRANSLATE('AYIRA MINI MART FINAL MENU - Pr'!A257, ""en"", ""ar"")))"),"أوريو ساندويتش with أوريو كوكيز Pieces 135 مل")</f>
        <v>أوريو ساندويتش with أوريو كوكيز Pieces 135 مل</v>
      </c>
      <c r="B257" s="56" t="str">
        <f>IFERROR(__xludf.DUMMYFUNCTION("IF('AYIRA MINI MART FINAL MENU - Pr'!B257="""", """", IF(LEN(TRIM(REGEXREPLACE(REGEXREPLACE('AYIRA MINI MART FINAL MENU - Pr'!B257, ""^[^\x{0600}-\x{06FF}]+"", """"), ""^[-–\s]+"", """")))&gt;0, TRIM(REGEXREPLACE(REGEXREPLACE('AYIRA MINI MART FINAL MENU - Pr"&amp;"'!B257, ""^[^\x{0600}-\x{06FF}]+"", """"), ""^[-–\s]+"", """")), GOOGLETRANSLATE('AYIRA MINI MART FINAL MENU - Pr'!B257, ""en"", ""ar"")))"),"الآيس كريم")</f>
        <v>الآيس كريم</v>
      </c>
      <c r="C257" s="58">
        <f>IF('AYIRA MINI MART FINAL MENU - Pr'!C257="", "", 'AYIRA MINI MART FINAL MENU - Pr'!C257)</f>
        <v>10</v>
      </c>
      <c r="D257" s="58" t="str">
        <f>IF('AYIRA MINI MART FINAL MENU - Pr'!D257="", "", 'AYIRA MINI MART FINAL MENU - Pr'!D257)</f>
        <v>برّد أيامك الحارة مع أوريو،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7" s="56" t="str">
        <f>IF('AYIRA MINI MART FINAL MENU - Pr'!E257="", "", 'AYIRA MINI MART FINAL MENU - Pr'!E257)</f>
        <v/>
      </c>
      <c r="F257" s="56" t="str">
        <f>IF('AYIRA MINI MART FINAL MENU - Pr'!F257="", "", 'AYIRA MINI MART FINAL MENU - Pr'!F257)</f>
        <v/>
      </c>
      <c r="G257" s="56" t="str">
        <f>IF('AYIRA MINI MART FINAL MENU - Pr'!G257="", "", 'AYIRA MINI MART FINAL MENU - Pr'!G257)</f>
        <v/>
      </c>
      <c r="H257" s="56" t="str">
        <f>IF('AYIRA MINI MART FINAL MENU - Pr'!H257="", "", 'AYIRA MINI MART FINAL MENU - Pr'!H257)</f>
        <v/>
      </c>
      <c r="I257" s="56" t="str">
        <f>IF('AYIRA MINI MART FINAL MENU - Pr'!I257="", "", 'AYIRA MINI MART FINAL MENU - Pr'!I257)</f>
        <v/>
      </c>
      <c r="J257" s="56" t="str">
        <f>IFERROR(__xludf.DUMMYFUNCTION("IF('AYIRA MINI MART FINAL MENU - Pr'!J257="""", """", GOOGLETRANSLATE('AYIRA MINI MART FINAL MENU - Pr'!J257, ""en"", ""ar""))"),"يعرض")</f>
        <v>يعرض</v>
      </c>
      <c r="K257" s="56" t="str">
        <f>IF('AYIRA MINI MART FINAL MENU - Pr'!K257="", "", 'AYIRA MINI MART FINAL MENU - Pr'!K257)</f>
        <v/>
      </c>
      <c r="L257" s="56" t="str">
        <f>IF('AYIRA MINI MART FINAL MENU - Pr'!L257="", "", 'AYIRA MINI MART FINAL MENU - Pr'!L257)</f>
        <v/>
      </c>
      <c r="M257" s="56" t="str">
        <f>IF('AYIRA MINI MART FINAL MENU - Pr'!M257="", "", 'AYIRA MINI MART FINAL MENU - Pr'!M257)</f>
        <v/>
      </c>
      <c r="N257" s="56" t="str">
        <f>IF('AYIRA MINI MART FINAL MENU - Pr'!N257="", "", 'AYIRA MINI MART FINAL MENU - Pr'!N257)</f>
        <v/>
      </c>
      <c r="O257" s="57"/>
      <c r="P257" s="57"/>
      <c r="Q257" s="57"/>
      <c r="R257" s="57"/>
      <c r="S257" s="57"/>
      <c r="T257" s="57"/>
      <c r="U257" s="57"/>
      <c r="V257" s="57"/>
      <c r="W257" s="57"/>
      <c r="X257" s="57"/>
      <c r="Y257" s="57"/>
      <c r="Z257" s="57"/>
    </row>
    <row r="258">
      <c r="A258" s="56" t="str">
        <f>IFERROR(__xludf.DUMMYFUNCTION("IF('AYIRA MINI MART FINAL MENU - Pr'!A258="""", """", IF(LEN(TRIM(REGEXREPLACE(REGEXREPLACE('AYIRA MINI MART FINAL MENU - Pr'!A258, ""^[^\x{0600}-\x{06FF}]+"", """"), ""^[-–\s]+"", """")))&gt;0, TRIM(REGEXREPLACE(REGEXREPLACE('AYIRA MINI MART FINAL MENU - Pr"&amp;"'!A258, ""^[^\x{0600}-\x{06FF}]+"", """"), ""^[-–\s]+"", """")), GOOGLETRANSLATE('AYIRA MINI MART FINAL MENU - Pr'!A258, ""en"", ""ar"")))"),"آيس كريم Kunafa")</f>
        <v>آيس كريم Kunafa</v>
      </c>
      <c r="B258" s="56" t="str">
        <f>IFERROR(__xludf.DUMMYFUNCTION("IF('AYIRA MINI MART FINAL MENU - Pr'!B258="""", """", IF(LEN(TRIM(REGEXREPLACE(REGEXREPLACE('AYIRA MINI MART FINAL MENU - Pr'!B258, ""^[^\x{0600}-\x{06FF}]+"", """"), ""^[-–\s]+"", """")))&gt;0, TRIM(REGEXREPLACE(REGEXREPLACE('AYIRA MINI MART FINAL MENU - Pr"&amp;"'!B258, ""^[^\x{0600}-\x{06FF}]+"", """"), ""^[-–\s]+"", """")), GOOGLETRANSLATE('AYIRA MINI MART FINAL MENU - Pr'!B258, ""en"", ""ar"")))"),"الآيس كريم")</f>
        <v>الآيس كريم</v>
      </c>
      <c r="C258" s="58">
        <f>IF('AYIRA MINI MART FINAL MENU - Pr'!C258="", "", 'AYIRA MINI MART FINAL MENU - Pr'!C258)</f>
        <v>9.5</v>
      </c>
      <c r="D258" s="58" t="str">
        <f>IF('AYIRA MINI MART FINAL MENU - Pr'!D258="", "", 'AYIRA MINI MART FINAL MENU - Pr'!D258)</f>
        <v>برّد أيامك الحارة مع Ice Cream Kunafa،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8" s="56" t="str">
        <f>IF('AYIRA MINI MART FINAL MENU - Pr'!E258="", "", 'AYIRA MINI MART FINAL MENU - Pr'!E258)</f>
        <v/>
      </c>
      <c r="F258" s="56" t="str">
        <f>IF('AYIRA MINI MART FINAL MENU - Pr'!F258="", "", 'AYIRA MINI MART FINAL MENU - Pr'!F258)</f>
        <v/>
      </c>
      <c r="G258" s="56" t="str">
        <f>IF('AYIRA MINI MART FINAL MENU - Pr'!G258="", "", 'AYIRA MINI MART FINAL MENU - Pr'!G258)</f>
        <v/>
      </c>
      <c r="H258" s="56" t="str">
        <f>IF('AYIRA MINI MART FINAL MENU - Pr'!H258="", "", 'AYIRA MINI MART FINAL MENU - Pr'!H258)</f>
        <v/>
      </c>
      <c r="I258" s="56" t="str">
        <f>IF('AYIRA MINI MART FINAL MENU - Pr'!I258="", "", 'AYIRA MINI MART FINAL MENU - Pr'!I258)</f>
        <v/>
      </c>
      <c r="J258" s="56" t="str">
        <f>IFERROR(__xludf.DUMMYFUNCTION("IF('AYIRA MINI MART FINAL MENU - Pr'!J258="""", """", GOOGLETRANSLATE('AYIRA MINI MART FINAL MENU - Pr'!J258, ""en"", ""ar""))"),"يعرض")</f>
        <v>يعرض</v>
      </c>
      <c r="K258" s="56" t="str">
        <f>IF('AYIRA MINI MART FINAL MENU - Pr'!K258="", "", 'AYIRA MINI MART FINAL MENU - Pr'!K258)</f>
        <v/>
      </c>
      <c r="L258" s="56" t="str">
        <f>IF('AYIRA MINI MART FINAL MENU - Pr'!L258="", "", 'AYIRA MINI MART FINAL MENU - Pr'!L258)</f>
        <v/>
      </c>
      <c r="M258" s="56" t="str">
        <f>IF('AYIRA MINI MART FINAL MENU - Pr'!M258="", "", 'AYIRA MINI MART FINAL MENU - Pr'!M258)</f>
        <v/>
      </c>
      <c r="N258" s="56" t="str">
        <f>IF('AYIRA MINI MART FINAL MENU - Pr'!N258="", "", 'AYIRA MINI MART FINAL MENU - Pr'!N258)</f>
        <v/>
      </c>
      <c r="O258" s="57"/>
      <c r="P258" s="57"/>
      <c r="Q258" s="57"/>
      <c r="R258" s="57"/>
      <c r="S258" s="57"/>
      <c r="T258" s="57"/>
      <c r="U258" s="57"/>
      <c r="V258" s="57"/>
      <c r="W258" s="57"/>
      <c r="X258" s="57"/>
      <c r="Y258" s="57"/>
      <c r="Z258" s="57"/>
    </row>
    <row r="259">
      <c r="A259" s="56" t="str">
        <f>IFERROR(__xludf.DUMMYFUNCTION("IF('AYIRA MINI MART FINAL MENU - Pr'!A259="""", """", IF(LEN(TRIM(REGEXREPLACE(REGEXREPLACE('AYIRA MINI MART FINAL MENU - Pr'!A259, ""^[^\x{0600}-\x{06FF}]+"", """"), ""^[-–\s]+"", """")))&gt;0, TRIM(REGEXREPLACE(REGEXREPLACE('AYIRA MINI MART FINAL MENU - Pr"&amp;"'!A259, ""^[^\x{0600}-\x{06FF}]+"", """"), ""^[-–\s]+"", """")), GOOGLETRANSLATE('AYIRA MINI MART FINAL MENU - Pr'!A259, ""en"", ""ar"")))"),"مانجو Propotious آيس كريم")</f>
        <v>مانجو Propotious آيس كريم</v>
      </c>
      <c r="B259" s="56" t="str">
        <f>IFERROR(__xludf.DUMMYFUNCTION("IF('AYIRA MINI MART FINAL MENU - Pr'!B259="""", """", IF(LEN(TRIM(REGEXREPLACE(REGEXREPLACE('AYIRA MINI MART FINAL MENU - Pr'!B259, ""^[^\x{0600}-\x{06FF}]+"", """"), ""^[-–\s]+"", """")))&gt;0, TRIM(REGEXREPLACE(REGEXREPLACE('AYIRA MINI MART FINAL MENU - Pr"&amp;"'!B259, ""^[^\x{0600}-\x{06FF}]+"", """"), ""^[-–\s]+"", """")), GOOGLETRANSLATE('AYIRA MINI MART FINAL MENU - Pr'!B259, ""en"", ""ar"")))"),"الآيس كريم")</f>
        <v>الآيس كريم</v>
      </c>
      <c r="C259" s="58">
        <f>IF('AYIRA MINI MART FINAL MENU - Pr'!C259="", "", 'AYIRA MINI MART FINAL MENU - Pr'!C259)</f>
        <v>20</v>
      </c>
      <c r="D259" s="58" t="str">
        <f>IF('AYIRA MINI MART FINAL MENU - Pr'!D259="", "", 'AYIRA MINI MART FINAL MENU - Pr'!D259)</f>
        <v>برّد أيامك الحارة مع Mango Propotious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59" s="56" t="str">
        <f>IF('AYIRA MINI MART FINAL MENU - Pr'!E259="", "", 'AYIRA MINI MART FINAL MENU - Pr'!E259)</f>
        <v/>
      </c>
      <c r="F259" s="56" t="str">
        <f>IF('AYIRA MINI MART FINAL MENU - Pr'!F259="", "", 'AYIRA MINI MART FINAL MENU - Pr'!F259)</f>
        <v/>
      </c>
      <c r="G259" s="56" t="str">
        <f>IF('AYIRA MINI MART FINAL MENU - Pr'!G259="", "", 'AYIRA MINI MART FINAL MENU - Pr'!G259)</f>
        <v/>
      </c>
      <c r="H259" s="56" t="str">
        <f>IF('AYIRA MINI MART FINAL MENU - Pr'!H259="", "", 'AYIRA MINI MART FINAL MENU - Pr'!H259)</f>
        <v/>
      </c>
      <c r="I259" s="56" t="str">
        <f>IF('AYIRA MINI MART FINAL MENU - Pr'!I259="", "", 'AYIRA MINI MART FINAL MENU - Pr'!I259)</f>
        <v/>
      </c>
      <c r="J259" s="56" t="str">
        <f>IFERROR(__xludf.DUMMYFUNCTION("IF('AYIRA MINI MART FINAL MENU - Pr'!J259="""", """", GOOGLETRANSLATE('AYIRA MINI MART FINAL MENU - Pr'!J259, ""en"", ""ar""))"),"يعرض")</f>
        <v>يعرض</v>
      </c>
      <c r="K259" s="56" t="str">
        <f>IF('AYIRA MINI MART FINAL MENU - Pr'!K259="", "", 'AYIRA MINI MART FINAL MENU - Pr'!K259)</f>
        <v/>
      </c>
      <c r="L259" s="56" t="str">
        <f>IF('AYIRA MINI MART FINAL MENU - Pr'!L259="", "", 'AYIRA MINI MART FINAL MENU - Pr'!L259)</f>
        <v/>
      </c>
      <c r="M259" s="56" t="str">
        <f>IF('AYIRA MINI MART FINAL MENU - Pr'!M259="", "", 'AYIRA MINI MART FINAL MENU - Pr'!M259)</f>
        <v/>
      </c>
      <c r="N259" s="56" t="str">
        <f>IF('AYIRA MINI MART FINAL MENU - Pr'!N259="", "", 'AYIRA MINI MART FINAL MENU - Pr'!N259)</f>
        <v/>
      </c>
      <c r="O259" s="57"/>
      <c r="P259" s="57"/>
      <c r="Q259" s="57"/>
      <c r="R259" s="57"/>
      <c r="S259" s="57"/>
      <c r="T259" s="57"/>
      <c r="U259" s="57"/>
      <c r="V259" s="57"/>
      <c r="W259" s="57"/>
      <c r="X259" s="57"/>
      <c r="Y259" s="57"/>
      <c r="Z259" s="57"/>
    </row>
    <row r="260">
      <c r="A260" s="56" t="str">
        <f>IFERROR(__xludf.DUMMYFUNCTION("IF('AYIRA MINI MART FINAL MENU - Pr'!A260="""", """", IF(LEN(TRIM(REGEXREPLACE(REGEXREPLACE('AYIRA MINI MART FINAL MENU - Pr'!A260, ""^[^\x{0600}-\x{06FF}]+"", """"), ""^[-–\s]+"", """")))&gt;0, TRIM(REGEXREPLACE(REGEXREPLACE('AYIRA MINI MART FINAL MENU - Pr"&amp;"'!A260, ""^[^\x{0600}-\x{06FF}]+"", """"), ""^[-–\s]+"", """")), GOOGLETRANSLATE('AYIRA MINI MART FINAL MENU - Pr'!A260, ""en"", ""ar"")))"),"فانيليا آيس كريم Decorated with شوكولاتة")</f>
        <v>فانيليا آيس كريم Decorated with شوكولاتة</v>
      </c>
      <c r="B260" s="56" t="str">
        <f>IFERROR(__xludf.DUMMYFUNCTION("IF('AYIRA MINI MART FINAL MENU - Pr'!B260="""", """", IF(LEN(TRIM(REGEXREPLACE(REGEXREPLACE('AYIRA MINI MART FINAL MENU - Pr'!B260, ""^[^\x{0600}-\x{06FF}]+"", """"), ""^[-–\s]+"", """")))&gt;0, TRIM(REGEXREPLACE(REGEXREPLACE('AYIRA MINI MART FINAL MENU - Pr"&amp;"'!B260, ""^[^\x{0600}-\x{06FF}]+"", """"), ""^[-–\s]+"", """")), GOOGLETRANSLATE('AYIRA MINI MART FINAL MENU - Pr'!B260, ""en"", ""ar"")))"),"الآيس كريم")</f>
        <v>الآيس كريم</v>
      </c>
      <c r="C260" s="58">
        <f>IF('AYIRA MINI MART FINAL MENU - Pr'!C260="", "", 'AYIRA MINI MART FINAL MENU - Pr'!C260)</f>
        <v>5</v>
      </c>
      <c r="D260" s="58" t="str">
        <f>IF('AYIRA MINI MART FINAL MENU - Pr'!D260="", "", 'AYIRA MINI MART FINAL MENU - Pr'!D260)</f>
        <v>برّد أيامك الحارة مع Dairy Vanilla Ice Cream Decorated with Chocolate،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60" s="56" t="str">
        <f>IF('AYIRA MINI MART FINAL MENU - Pr'!E260="", "", 'AYIRA MINI MART FINAL MENU - Pr'!E260)</f>
        <v/>
      </c>
      <c r="F260" s="56" t="str">
        <f>IF('AYIRA MINI MART FINAL MENU - Pr'!F260="", "", 'AYIRA MINI MART FINAL MENU - Pr'!F260)</f>
        <v/>
      </c>
      <c r="G260" s="56" t="str">
        <f>IF('AYIRA MINI MART FINAL MENU - Pr'!G260="", "", 'AYIRA MINI MART FINAL MENU - Pr'!G260)</f>
        <v/>
      </c>
      <c r="H260" s="56" t="str">
        <f>IF('AYIRA MINI MART FINAL MENU - Pr'!H260="", "", 'AYIRA MINI MART FINAL MENU - Pr'!H260)</f>
        <v/>
      </c>
      <c r="I260" s="56" t="str">
        <f>IF('AYIRA MINI MART FINAL MENU - Pr'!I260="", "", 'AYIRA MINI MART FINAL MENU - Pr'!I260)</f>
        <v/>
      </c>
      <c r="J260" s="56" t="str">
        <f>IFERROR(__xludf.DUMMYFUNCTION("IF('AYIRA MINI MART FINAL MENU - Pr'!J260="""", """", GOOGLETRANSLATE('AYIRA MINI MART FINAL MENU - Pr'!J260, ""en"", ""ar""))"),"يعرض")</f>
        <v>يعرض</v>
      </c>
      <c r="K260" s="56" t="str">
        <f>IF('AYIRA MINI MART FINAL MENU - Pr'!K260="", "", 'AYIRA MINI MART FINAL MENU - Pr'!K260)</f>
        <v/>
      </c>
      <c r="L260" s="56" t="str">
        <f>IF('AYIRA MINI MART FINAL MENU - Pr'!L260="", "", 'AYIRA MINI MART FINAL MENU - Pr'!L260)</f>
        <v/>
      </c>
      <c r="M260" s="56" t="str">
        <f>IF('AYIRA MINI MART FINAL MENU - Pr'!M260="", "", 'AYIRA MINI MART FINAL MENU - Pr'!M260)</f>
        <v/>
      </c>
      <c r="N260" s="56" t="str">
        <f>IF('AYIRA MINI MART FINAL MENU - Pr'!N260="", "", 'AYIRA MINI MART FINAL MENU - Pr'!N260)</f>
        <v/>
      </c>
      <c r="O260" s="57"/>
      <c r="P260" s="57"/>
      <c r="Q260" s="57"/>
      <c r="R260" s="57"/>
      <c r="S260" s="57"/>
      <c r="T260" s="57"/>
      <c r="U260" s="57"/>
      <c r="V260" s="57"/>
      <c r="W260" s="57"/>
      <c r="X260" s="57"/>
      <c r="Y260" s="57"/>
      <c r="Z260" s="57"/>
    </row>
    <row r="261">
      <c r="A261" s="56" t="str">
        <f>IFERROR(__xludf.DUMMYFUNCTION("IF('AYIRA MINI MART FINAL MENU - Pr'!A261="""", """", IF(LEN(TRIM(REGEXREPLACE(REGEXREPLACE('AYIRA MINI MART FINAL MENU - Pr'!A261, ""^[^\x{0600}-\x{06FF}]+"", """"), ""^[-–\s]+"", """")))&gt;0, TRIM(REGEXREPLACE(REGEXREPLACE('AYIRA MINI MART FINAL MENU - Pr"&amp;"'!A261, ""^[^\x{0600}-\x{06FF}]+"", """"), ""^[-–\s]+"", """")), GOOGLETRANSLATE('AYIRA MINI MART FINAL MENU - Pr'!A261, ""en"", ""ar"")))"),"فانيليا آيس كريم")</f>
        <v>فانيليا آيس كريم</v>
      </c>
      <c r="B261" s="56" t="str">
        <f>IFERROR(__xludf.DUMMYFUNCTION("IF('AYIRA MINI MART FINAL MENU - Pr'!B261="""", """", IF(LEN(TRIM(REGEXREPLACE(REGEXREPLACE('AYIRA MINI MART FINAL MENU - Pr'!B261, ""^[^\x{0600}-\x{06FF}]+"", """"), ""^[-–\s]+"", """")))&gt;0, TRIM(REGEXREPLACE(REGEXREPLACE('AYIRA MINI MART FINAL MENU - Pr"&amp;"'!B261, ""^[^\x{0600}-\x{06FF}]+"", """"), ""^[-–\s]+"", """")), GOOGLETRANSLATE('AYIRA MINI MART FINAL MENU - Pr'!B261, ""en"", ""ar"")))"),"الآيس كريم")</f>
        <v>الآيس كريم</v>
      </c>
      <c r="C261" s="58">
        <f>IF('AYIRA MINI MART FINAL MENU - Pr'!C261="", "", 'AYIRA MINI MART FINAL MENU - Pr'!C261)</f>
        <v>5</v>
      </c>
      <c r="D261" s="58" t="str">
        <f>IF('AYIRA MINI MART FINAL MENU - Pr'!D261="", "", 'AYIRA MINI MART FINAL MENU - Pr'!D261)</f>
        <v>برّد أيامك الحارة مع Cappuccino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61" s="56" t="str">
        <f>IF('AYIRA MINI MART FINAL MENU - Pr'!E261="", "", 'AYIRA MINI MART FINAL MENU - Pr'!E261)</f>
        <v/>
      </c>
      <c r="F261" s="56" t="str">
        <f>IF('AYIRA MINI MART FINAL MENU - Pr'!F261="", "", 'AYIRA MINI MART FINAL MENU - Pr'!F261)</f>
        <v/>
      </c>
      <c r="G261" s="56" t="str">
        <f>IF('AYIRA MINI MART FINAL MENU - Pr'!G261="", "", 'AYIRA MINI MART FINAL MENU - Pr'!G261)</f>
        <v/>
      </c>
      <c r="H261" s="56" t="str">
        <f>IF('AYIRA MINI MART FINAL MENU - Pr'!H261="", "", 'AYIRA MINI MART FINAL MENU - Pr'!H261)</f>
        <v/>
      </c>
      <c r="I261" s="56" t="str">
        <f>IF('AYIRA MINI MART FINAL MENU - Pr'!I261="", "", 'AYIRA MINI MART FINAL MENU - Pr'!I261)</f>
        <v/>
      </c>
      <c r="J261" s="56" t="str">
        <f>IFERROR(__xludf.DUMMYFUNCTION("IF('AYIRA MINI MART FINAL MENU - Pr'!J261="""", """", GOOGLETRANSLATE('AYIRA MINI MART FINAL MENU - Pr'!J261, ""en"", ""ar""))"),"يعرض")</f>
        <v>يعرض</v>
      </c>
      <c r="K261" s="56" t="str">
        <f>IF('AYIRA MINI MART FINAL MENU - Pr'!K261="", "", 'AYIRA MINI MART FINAL MENU - Pr'!K261)</f>
        <v/>
      </c>
      <c r="L261" s="56" t="str">
        <f>IF('AYIRA MINI MART FINAL MENU - Pr'!L261="", "", 'AYIRA MINI MART FINAL MENU - Pr'!L261)</f>
        <v/>
      </c>
      <c r="M261" s="56" t="str">
        <f>IF('AYIRA MINI MART FINAL MENU - Pr'!M261="", "", 'AYIRA MINI MART FINAL MENU - Pr'!M261)</f>
        <v/>
      </c>
      <c r="N261" s="56" t="str">
        <f>IF('AYIRA MINI MART FINAL MENU - Pr'!N261="", "", 'AYIRA MINI MART FINAL MENU - Pr'!N261)</f>
        <v/>
      </c>
      <c r="O261" s="57"/>
      <c r="P261" s="57"/>
      <c r="Q261" s="57"/>
      <c r="R261" s="57"/>
      <c r="S261" s="57"/>
      <c r="T261" s="57"/>
      <c r="U261" s="57"/>
      <c r="V261" s="57"/>
      <c r="W261" s="57"/>
      <c r="X261" s="57"/>
      <c r="Y261" s="57"/>
      <c r="Z261" s="57"/>
    </row>
    <row r="262">
      <c r="A262" s="56" t="str">
        <f>IFERROR(__xludf.DUMMYFUNCTION("IF('AYIRA MINI MART FINAL MENU - Pr'!A262="""", """", IF(LEN(TRIM(REGEXREPLACE(REGEXREPLACE('AYIRA MINI MART FINAL MENU - Pr'!A262, ""^[^\x{0600}-\x{06FF}]+"", """"), ""^[-–\s]+"", """")))&gt;0, TRIM(REGEXREPLACE(REGEXREPLACE('AYIRA MINI MART FINAL MENU - Pr"&amp;"'!A262, ""^[^\x{0600}-\x{06FF}]+"", """"), ""^[-–\s]+"", """")), GOOGLETRANSLATE('AYIRA MINI MART FINAL MENU - Pr'!A262, ""en"", ""ar"")))"),"آيس كريم")</f>
        <v>آيس كريم</v>
      </c>
      <c r="B262" s="56" t="str">
        <f>IFERROR(__xludf.DUMMYFUNCTION("IF('AYIRA MINI MART FINAL MENU - Pr'!B262="""", """", IF(LEN(TRIM(REGEXREPLACE(REGEXREPLACE('AYIRA MINI MART FINAL MENU - Pr'!B262, ""^[^\x{0600}-\x{06FF}]+"", """"), ""^[-–\s]+"", """")))&gt;0, TRIM(REGEXREPLACE(REGEXREPLACE('AYIRA MINI MART FINAL MENU - Pr"&amp;"'!B262, ""^[^\x{0600}-\x{06FF}]+"", """"), ""^[-–\s]+"", """")), GOOGLETRANSLATE('AYIRA MINI MART FINAL MENU - Pr'!B262, ""en"", ""ar"")))"),"الآيس كريم")</f>
        <v>الآيس كريم</v>
      </c>
      <c r="C262" s="58">
        <f>IF('AYIRA MINI MART FINAL MENU - Pr'!C262="", "", 'AYIRA MINI MART FINAL MENU - Pr'!C262)</f>
        <v>5</v>
      </c>
      <c r="D262" s="58" t="str">
        <f>IF('AYIRA MINI MART FINAL MENU - Pr'!D262="", "", 'AYIRA MINI MART FINAL MENU - Pr'!D262)</f>
        <v>برّد أيامك الحارة مع Dairy Saffron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62" s="56" t="str">
        <f>IF('AYIRA MINI MART FINAL MENU - Pr'!E262="", "", 'AYIRA MINI MART FINAL MENU - Pr'!E262)</f>
        <v/>
      </c>
      <c r="F262" s="56" t="str">
        <f>IF('AYIRA MINI MART FINAL MENU - Pr'!F262="", "", 'AYIRA MINI MART FINAL MENU - Pr'!F262)</f>
        <v/>
      </c>
      <c r="G262" s="56" t="str">
        <f>IF('AYIRA MINI MART FINAL MENU - Pr'!G262="", "", 'AYIRA MINI MART FINAL MENU - Pr'!G262)</f>
        <v/>
      </c>
      <c r="H262" s="56" t="str">
        <f>IF('AYIRA MINI MART FINAL MENU - Pr'!H262="", "", 'AYIRA MINI MART FINAL MENU - Pr'!H262)</f>
        <v/>
      </c>
      <c r="I262" s="56" t="str">
        <f>IF('AYIRA MINI MART FINAL MENU - Pr'!I262="", "", 'AYIRA MINI MART FINAL MENU - Pr'!I262)</f>
        <v/>
      </c>
      <c r="J262" s="56" t="str">
        <f>IFERROR(__xludf.DUMMYFUNCTION("IF('AYIRA MINI MART FINAL MENU - Pr'!J262="""", """", GOOGLETRANSLATE('AYIRA MINI MART FINAL MENU - Pr'!J262, ""en"", ""ar""))"),"يعرض")</f>
        <v>يعرض</v>
      </c>
      <c r="K262" s="56" t="str">
        <f>IF('AYIRA MINI MART FINAL MENU - Pr'!K262="", "", 'AYIRA MINI MART FINAL MENU - Pr'!K262)</f>
        <v/>
      </c>
      <c r="L262" s="56" t="str">
        <f>IF('AYIRA MINI MART FINAL MENU - Pr'!L262="", "", 'AYIRA MINI MART FINAL MENU - Pr'!L262)</f>
        <v/>
      </c>
      <c r="M262" s="56" t="str">
        <f>IF('AYIRA MINI MART FINAL MENU - Pr'!M262="", "", 'AYIRA MINI MART FINAL MENU - Pr'!M262)</f>
        <v/>
      </c>
      <c r="N262" s="56" t="str">
        <f>IF('AYIRA MINI MART FINAL MENU - Pr'!N262="", "", 'AYIRA MINI MART FINAL MENU - Pr'!N262)</f>
        <v/>
      </c>
      <c r="O262" s="57"/>
      <c r="P262" s="57"/>
      <c r="Q262" s="57"/>
      <c r="R262" s="57"/>
      <c r="S262" s="57"/>
      <c r="T262" s="57"/>
      <c r="U262" s="57"/>
      <c r="V262" s="57"/>
      <c r="W262" s="57"/>
      <c r="X262" s="57"/>
      <c r="Y262" s="57"/>
      <c r="Z262" s="57"/>
    </row>
    <row r="263">
      <c r="A263" s="56" t="str">
        <f>IFERROR(__xludf.DUMMYFUNCTION("IF('AYIRA MINI MART FINAL MENU - Pr'!A263="""", """", IF(LEN(TRIM(REGEXREPLACE(REGEXREPLACE('AYIRA MINI MART FINAL MENU - Pr'!A263, ""^[^\x{0600}-\x{06FF}]+"", """"), ""^[-–\s]+"", """")))&gt;0, TRIM(REGEXREPLACE(REGEXREPLACE('AYIRA MINI MART FINAL MENU - Pr"&amp;"'!A263, ""^[^\x{0600}-\x{06FF}]+"", """"), ""^[-–\s]+"", """")), GOOGLETRANSLATE('AYIRA MINI MART FINAL MENU - Pr'!A263, ""en"", ""ar"")))"),"فراولة &amp; فانيليا آيس كريم")</f>
        <v>فراولة &amp; فانيليا آيس كريم</v>
      </c>
      <c r="B263" s="56" t="str">
        <f>IFERROR(__xludf.DUMMYFUNCTION("IF('AYIRA MINI MART FINAL MENU - Pr'!B263="""", """", IF(LEN(TRIM(REGEXREPLACE(REGEXREPLACE('AYIRA MINI MART FINAL MENU - Pr'!B263, ""^[^\x{0600}-\x{06FF}]+"", """"), ""^[-–\s]+"", """")))&gt;0, TRIM(REGEXREPLACE(REGEXREPLACE('AYIRA MINI MART FINAL MENU - Pr"&amp;"'!B263, ""^[^\x{0600}-\x{06FF}]+"", """"), ""^[-–\s]+"", """")), GOOGLETRANSLATE('AYIRA MINI MART FINAL MENU - Pr'!B263, ""en"", ""ar"")))"),"الآيس كريم")</f>
        <v>الآيس كريم</v>
      </c>
      <c r="C263" s="58">
        <f>IF('AYIRA MINI MART FINAL MENU - Pr'!C263="", "", 'AYIRA MINI MART FINAL MENU - Pr'!C263)</f>
        <v>5</v>
      </c>
      <c r="D263" s="58" t="str">
        <f>IF('AYIRA MINI MART FINAL MENU - Pr'!D263="", "", 'AYIRA MINI MART FINAL MENU - Pr'!D263)</f>
        <v>برّد أيامك الحارة مع Strawberry &amp;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63" s="56" t="str">
        <f>IF('AYIRA MINI MART FINAL MENU - Pr'!E263="", "", 'AYIRA MINI MART FINAL MENU - Pr'!E263)</f>
        <v/>
      </c>
      <c r="F263" s="56" t="str">
        <f>IF('AYIRA MINI MART FINAL MENU - Pr'!F263="", "", 'AYIRA MINI MART FINAL MENU - Pr'!F263)</f>
        <v/>
      </c>
      <c r="G263" s="56" t="str">
        <f>IF('AYIRA MINI MART FINAL MENU - Pr'!G263="", "", 'AYIRA MINI MART FINAL MENU - Pr'!G263)</f>
        <v/>
      </c>
      <c r="H263" s="56" t="str">
        <f>IF('AYIRA MINI MART FINAL MENU - Pr'!H263="", "", 'AYIRA MINI MART FINAL MENU - Pr'!H263)</f>
        <v/>
      </c>
      <c r="I263" s="56" t="str">
        <f>IF('AYIRA MINI MART FINAL MENU - Pr'!I263="", "", 'AYIRA MINI MART FINAL MENU - Pr'!I263)</f>
        <v/>
      </c>
      <c r="J263" s="56" t="str">
        <f>IFERROR(__xludf.DUMMYFUNCTION("IF('AYIRA MINI MART FINAL MENU - Pr'!J263="""", """", GOOGLETRANSLATE('AYIRA MINI MART FINAL MENU - Pr'!J263, ""en"", ""ar""))"),"يعرض")</f>
        <v>يعرض</v>
      </c>
      <c r="K263" s="56" t="str">
        <f>IF('AYIRA MINI MART FINAL MENU - Pr'!K263="", "", 'AYIRA MINI MART FINAL MENU - Pr'!K263)</f>
        <v/>
      </c>
      <c r="L263" s="56" t="str">
        <f>IF('AYIRA MINI MART FINAL MENU - Pr'!L263="", "", 'AYIRA MINI MART FINAL MENU - Pr'!L263)</f>
        <v/>
      </c>
      <c r="M263" s="56" t="str">
        <f>IF('AYIRA MINI MART FINAL MENU - Pr'!M263="", "", 'AYIRA MINI MART FINAL MENU - Pr'!M263)</f>
        <v/>
      </c>
      <c r="N263" s="56" t="str">
        <f>IF('AYIRA MINI MART FINAL MENU - Pr'!N263="", "", 'AYIRA MINI MART FINAL MENU - Pr'!N263)</f>
        <v/>
      </c>
      <c r="O263" s="57"/>
      <c r="P263" s="57"/>
      <c r="Q263" s="57"/>
      <c r="R263" s="57"/>
      <c r="S263" s="57"/>
      <c r="T263" s="57"/>
      <c r="U263" s="57"/>
      <c r="V263" s="57"/>
      <c r="W263" s="57"/>
      <c r="X263" s="57"/>
      <c r="Y263" s="57"/>
      <c r="Z263" s="57"/>
    </row>
    <row r="264">
      <c r="A264" s="56" t="str">
        <f>IFERROR(__xludf.DUMMYFUNCTION("IF('AYIRA MINI MART FINAL MENU - Pr'!A264="""", """", IF(LEN(TRIM(REGEXREPLACE(REGEXREPLACE('AYIRA MINI MART FINAL MENU - Pr'!A264, ""^[^\x{0600}-\x{06FF}]+"", """"), ""^[-–\s]+"", """")))&gt;0, TRIM(REGEXREPLACE(REGEXREPLACE('AYIRA MINI MART FINAL MENU - Pr"&amp;"'!A264, ""^[^\x{0600}-\x{06FF}]+"", """"), ""^[-–\s]+"", """")), GOOGLETRANSLATE('AYIRA MINI MART FINAL MENU - Pr'!A264, ""en"", ""ar"")))"),"فانيليا آيس كريم 65 مل")</f>
        <v>فانيليا آيس كريم 65 مل</v>
      </c>
      <c r="B264" s="56" t="str">
        <f>IFERROR(__xludf.DUMMYFUNCTION("IF('AYIRA MINI MART FINAL MENU - Pr'!B264="""", """", IF(LEN(TRIM(REGEXREPLACE(REGEXREPLACE('AYIRA MINI MART FINAL MENU - Pr'!B264, ""^[^\x{0600}-\x{06FF}]+"", """"), ""^[-–\s]+"", """")))&gt;0, TRIM(REGEXREPLACE(REGEXREPLACE('AYIRA MINI MART FINAL MENU - Pr"&amp;"'!B264, ""^[^\x{0600}-\x{06FF}]+"", """"), ""^[-–\s]+"", """")), GOOGLETRANSLATE('AYIRA MINI MART FINAL MENU - Pr'!B264, ""en"", ""ar"")))"),"الآيس كريم")</f>
        <v>الآيس كريم</v>
      </c>
      <c r="C264" s="58">
        <f>IF('AYIRA MINI MART FINAL MENU - Pr'!C264="", "", 'AYIRA MINI MART FINAL MENU - Pr'!C264)</f>
        <v>2.5</v>
      </c>
      <c r="D264" s="58" t="str">
        <f>IF('AYIRA MINI MART FINAL MENU - Pr'!D264="", "", 'AYIRA MINI MART FINAL MENU - Pr'!D264)</f>
        <v>برّد أيامك الحارة مع Duet Raspberry &amp; Vanilla Ice Cream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64" s="56" t="str">
        <f>IF('AYIRA MINI MART FINAL MENU - Pr'!E264="", "", 'AYIRA MINI MART FINAL MENU - Pr'!E264)</f>
        <v/>
      </c>
      <c r="F264" s="56" t="str">
        <f>IF('AYIRA MINI MART FINAL MENU - Pr'!F264="", "", 'AYIRA MINI MART FINAL MENU - Pr'!F264)</f>
        <v/>
      </c>
      <c r="G264" s="56" t="str">
        <f>IF('AYIRA MINI MART FINAL MENU - Pr'!G264="", "", 'AYIRA MINI MART FINAL MENU - Pr'!G264)</f>
        <v/>
      </c>
      <c r="H264" s="56" t="str">
        <f>IF('AYIRA MINI MART FINAL MENU - Pr'!H264="", "", 'AYIRA MINI MART FINAL MENU - Pr'!H264)</f>
        <v/>
      </c>
      <c r="I264" s="56" t="str">
        <f>IF('AYIRA MINI MART FINAL MENU - Pr'!I264="", "", 'AYIRA MINI MART FINAL MENU - Pr'!I264)</f>
        <v/>
      </c>
      <c r="J264" s="56" t="str">
        <f>IFERROR(__xludf.DUMMYFUNCTION("IF('AYIRA MINI MART FINAL MENU - Pr'!J264="""", """", GOOGLETRANSLATE('AYIRA MINI MART FINAL MENU - Pr'!J264, ""en"", ""ar""))"),"يعرض")</f>
        <v>يعرض</v>
      </c>
      <c r="K264" s="56" t="str">
        <f>IF('AYIRA MINI MART FINAL MENU - Pr'!K264="", "", 'AYIRA MINI MART FINAL MENU - Pr'!K264)</f>
        <v/>
      </c>
      <c r="L264" s="56" t="str">
        <f>IF('AYIRA MINI MART FINAL MENU - Pr'!L264="", "", 'AYIRA MINI MART FINAL MENU - Pr'!L264)</f>
        <v/>
      </c>
      <c r="M264" s="56" t="str">
        <f>IF('AYIRA MINI MART FINAL MENU - Pr'!M264="", "", 'AYIRA MINI MART FINAL MENU - Pr'!M264)</f>
        <v/>
      </c>
      <c r="N264" s="56" t="str">
        <f>IF('AYIRA MINI MART FINAL MENU - Pr'!N264="", "", 'AYIRA MINI MART FINAL MENU - Pr'!N264)</f>
        <v/>
      </c>
      <c r="O264" s="57"/>
      <c r="P264" s="57"/>
      <c r="Q264" s="57"/>
      <c r="R264" s="57"/>
      <c r="S264" s="57"/>
      <c r="T264" s="57"/>
      <c r="U264" s="57"/>
      <c r="V264" s="57"/>
      <c r="W264" s="57"/>
      <c r="X264" s="57"/>
      <c r="Y264" s="57"/>
      <c r="Z264" s="57"/>
    </row>
    <row r="265">
      <c r="A265" s="56" t="str">
        <f>IFERROR(__xludf.DUMMYFUNCTION("IF('AYIRA MINI MART FINAL MENU - Pr'!A265="""", """", IF(LEN(TRIM(REGEXREPLACE(REGEXREPLACE('AYIRA MINI MART FINAL MENU - Pr'!A265, ""^[^\x{0600}-\x{06FF}]+"", """"), ""^[-–\s]+"", """")))&gt;0, TRIM(REGEXREPLACE(REGEXREPLACE('AYIRA MINI MART FINAL MENU - Pr"&amp;"'!A265, ""^[^\x{0600}-\x{06FF}]+"", """"), ""^[-–\s]+"", """")), GOOGLETRANSLATE('AYIRA MINI MART FINAL MENU - Pr'!A265, ""en"", ""ar"")))"),"مانجو &amp; فانيليا آيس كريم 65 مل")</f>
        <v>مانجو &amp; فانيليا آيس كريم 65 مل</v>
      </c>
      <c r="B265" s="56" t="str">
        <f>IFERROR(__xludf.DUMMYFUNCTION("IF('AYIRA MINI MART FINAL MENU - Pr'!B265="""", """", IF(LEN(TRIM(REGEXREPLACE(REGEXREPLACE('AYIRA MINI MART FINAL MENU - Pr'!B265, ""^[^\x{0600}-\x{06FF}]+"", """"), ""^[-–\s]+"", """")))&gt;0, TRIM(REGEXREPLACE(REGEXREPLACE('AYIRA MINI MART FINAL MENU - Pr"&amp;"'!B265, ""^[^\x{0600}-\x{06FF}]+"", """"), ""^[-–\s]+"", """")), GOOGLETRANSLATE('AYIRA MINI MART FINAL MENU - Pr'!B265, ""en"", ""ar"")))"),"الآيس كريم")</f>
        <v>الآيس كريم</v>
      </c>
      <c r="C265" s="58">
        <f>IF('AYIRA MINI MART FINAL MENU - Pr'!C265="", "", 'AYIRA MINI MART FINAL MENU - Pr'!C265)</f>
        <v>2.5</v>
      </c>
      <c r="D265" s="58" t="str">
        <f>IF('AYIRA MINI MART FINAL MENU - Pr'!D265="", "", 'AYIRA MINI MART FINAL MENU - Pr'!D265)</f>
        <v>برّد أيامك الحارة مع Duet Mango &amp; Vanilla Ice Cream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65" s="56" t="str">
        <f>IF('AYIRA MINI MART FINAL MENU - Pr'!E265="", "", 'AYIRA MINI MART FINAL MENU - Pr'!E265)</f>
        <v/>
      </c>
      <c r="F265" s="56" t="str">
        <f>IF('AYIRA MINI MART FINAL MENU - Pr'!F265="", "", 'AYIRA MINI MART FINAL MENU - Pr'!F265)</f>
        <v/>
      </c>
      <c r="G265" s="56" t="str">
        <f>IF('AYIRA MINI MART FINAL MENU - Pr'!G265="", "", 'AYIRA MINI MART FINAL MENU - Pr'!G265)</f>
        <v/>
      </c>
      <c r="H265" s="56" t="str">
        <f>IF('AYIRA MINI MART FINAL MENU - Pr'!H265="", "", 'AYIRA MINI MART FINAL MENU - Pr'!H265)</f>
        <v/>
      </c>
      <c r="I265" s="56" t="str">
        <f>IF('AYIRA MINI MART FINAL MENU - Pr'!I265="", "", 'AYIRA MINI MART FINAL MENU - Pr'!I265)</f>
        <v/>
      </c>
      <c r="J265" s="56" t="str">
        <f>IFERROR(__xludf.DUMMYFUNCTION("IF('AYIRA MINI MART FINAL MENU - Pr'!J265="""", """", GOOGLETRANSLATE('AYIRA MINI MART FINAL MENU - Pr'!J265, ""en"", ""ar""))"),"يعرض")</f>
        <v>يعرض</v>
      </c>
      <c r="K265" s="56" t="str">
        <f>IF('AYIRA MINI MART FINAL MENU - Pr'!K265="", "", 'AYIRA MINI MART FINAL MENU - Pr'!K265)</f>
        <v/>
      </c>
      <c r="L265" s="56" t="str">
        <f>IF('AYIRA MINI MART FINAL MENU - Pr'!L265="", "", 'AYIRA MINI MART FINAL MENU - Pr'!L265)</f>
        <v/>
      </c>
      <c r="M265" s="56" t="str">
        <f>IF('AYIRA MINI MART FINAL MENU - Pr'!M265="", "", 'AYIRA MINI MART FINAL MENU - Pr'!M265)</f>
        <v/>
      </c>
      <c r="N265" s="56" t="str">
        <f>IF('AYIRA MINI MART FINAL MENU - Pr'!N265="", "", 'AYIRA MINI MART FINAL MENU - Pr'!N265)</f>
        <v/>
      </c>
      <c r="O265" s="57"/>
      <c r="P265" s="57"/>
      <c r="Q265" s="57"/>
      <c r="R265" s="57"/>
      <c r="S265" s="57"/>
      <c r="T265" s="57"/>
      <c r="U265" s="57"/>
      <c r="V265" s="57"/>
      <c r="W265" s="57"/>
      <c r="X265" s="57"/>
      <c r="Y265" s="57"/>
      <c r="Z265" s="57"/>
    </row>
    <row r="266">
      <c r="A266" s="56" t="str">
        <f>IFERROR(__xludf.DUMMYFUNCTION("IF('AYIRA MINI MART FINAL MENU - Pr'!A266="""", """", IF(LEN(TRIM(REGEXREPLACE(REGEXREPLACE('AYIRA MINI MART FINAL MENU - Pr'!A266, ""^[^\x{0600}-\x{06FF}]+"", """"), ""^[-–\s]+"", """")))&gt;0, TRIM(REGEXREPLACE(REGEXREPLACE('AYIRA MINI MART FINAL MENU - Pr"&amp;"'!A266, ""^[^\x{0600}-\x{06FF}]+"", """"), ""^[-–\s]+"", """")), GOOGLETRANSLATE('AYIRA MINI MART FINAL MENU - Pr'!A266, ""en"", ""ar"")))"),"فانيليا آيس كريم 69 غرام")</f>
        <v>فانيليا آيس كريم 69 غرام</v>
      </c>
      <c r="B266" s="56" t="str">
        <f>IFERROR(__xludf.DUMMYFUNCTION("IF('AYIRA MINI MART FINAL MENU - Pr'!B266="""", """", IF(LEN(TRIM(REGEXREPLACE(REGEXREPLACE('AYIRA MINI MART FINAL MENU - Pr'!B266, ""^[^\x{0600}-\x{06FF}]+"", """"), ""^[-–\s]+"", """")))&gt;0, TRIM(REGEXREPLACE(REGEXREPLACE('AYIRA MINI MART FINAL MENU - Pr"&amp;"'!B266, ""^[^\x{0600}-\x{06FF}]+"", """"), ""^[-–\s]+"", """")), GOOGLETRANSLATE('AYIRA MINI MART FINAL MENU - Pr'!B266, ""en"", ""ar"")))"),"الآيس كريم")</f>
        <v>الآيس كريم</v>
      </c>
      <c r="C266" s="58">
        <f>IF('AYIRA MINI MART FINAL MENU - Pr'!C266="", "", 'AYIRA MINI MART FINAL MENU - Pr'!C266)</f>
        <v>3.5</v>
      </c>
      <c r="D266" s="58" t="str">
        <f>IF('AYIRA MINI MART FINAL MENU - Pr'!D266="", "", 'AYIRA MINI MART FINAL MENU - Pr'!D266)</f>
        <v>برّد أيامك الحارة مع Balou Balou Vanilla Ice Cream 69g،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66" s="56" t="str">
        <f>IF('AYIRA MINI MART FINAL MENU - Pr'!E266="", "", 'AYIRA MINI MART FINAL MENU - Pr'!E266)</f>
        <v/>
      </c>
      <c r="F266" s="56" t="str">
        <f>IF('AYIRA MINI MART FINAL MENU - Pr'!F266="", "", 'AYIRA MINI MART FINAL MENU - Pr'!F266)</f>
        <v/>
      </c>
      <c r="G266" s="56" t="str">
        <f>IF('AYIRA MINI MART FINAL MENU - Pr'!G266="", "", 'AYIRA MINI MART FINAL MENU - Pr'!G266)</f>
        <v/>
      </c>
      <c r="H266" s="56" t="str">
        <f>IF('AYIRA MINI MART FINAL MENU - Pr'!H266="", "", 'AYIRA MINI MART FINAL MENU - Pr'!H266)</f>
        <v/>
      </c>
      <c r="I266" s="56" t="str">
        <f>IF('AYIRA MINI MART FINAL MENU - Pr'!I266="", "", 'AYIRA MINI MART FINAL MENU - Pr'!I266)</f>
        <v/>
      </c>
      <c r="J266" s="56" t="str">
        <f>IFERROR(__xludf.DUMMYFUNCTION("IF('AYIRA MINI MART FINAL MENU - Pr'!J266="""", """", GOOGLETRANSLATE('AYIRA MINI MART FINAL MENU - Pr'!J266, ""en"", ""ar""))"),"يعرض")</f>
        <v>يعرض</v>
      </c>
      <c r="K266" s="56" t="str">
        <f>IF('AYIRA MINI MART FINAL MENU - Pr'!K266="", "", 'AYIRA MINI MART FINAL MENU - Pr'!K266)</f>
        <v/>
      </c>
      <c r="L266" s="56" t="str">
        <f>IF('AYIRA MINI MART FINAL MENU - Pr'!L266="", "", 'AYIRA MINI MART FINAL MENU - Pr'!L266)</f>
        <v/>
      </c>
      <c r="M266" s="56" t="str">
        <f>IF('AYIRA MINI MART FINAL MENU - Pr'!M266="", "", 'AYIRA MINI MART FINAL MENU - Pr'!M266)</f>
        <v/>
      </c>
      <c r="N266" s="56" t="str">
        <f>IF('AYIRA MINI MART FINAL MENU - Pr'!N266="", "", 'AYIRA MINI MART FINAL MENU - Pr'!N266)</f>
        <v/>
      </c>
      <c r="O266" s="57"/>
      <c r="P266" s="57"/>
      <c r="Q266" s="57"/>
      <c r="R266" s="57"/>
      <c r="S266" s="57"/>
      <c r="T266" s="57"/>
      <c r="U266" s="57"/>
      <c r="V266" s="57"/>
      <c r="W266" s="57"/>
      <c r="X266" s="57"/>
      <c r="Y266" s="57"/>
      <c r="Z266" s="57"/>
    </row>
    <row r="267">
      <c r="A267" s="56" t="str">
        <f>IFERROR(__xludf.DUMMYFUNCTION("IF('AYIRA MINI MART FINAL MENU - Pr'!A267="""", """", IF(LEN(TRIM(REGEXREPLACE(REGEXREPLACE('AYIRA MINI MART FINAL MENU - Pr'!A267, ""^[^\x{0600}-\x{06FF}]+"", """"), ""^[-–\s]+"", """")))&gt;0, TRIM(REGEXREPLACE(REGEXREPLACE('AYIRA MINI MART FINAL MENU - Pr"&amp;"'!A267, ""^[^\x{0600}-\x{06FF}]+"", """"), ""^[-–\s]+"", """")), GOOGLETRANSLATE('AYIRA MINI MART FINAL MENU - Pr'!A267, ""en"", ""ar"")))"),"كريم آيس كريم 75 غرام")</f>
        <v>كريم آيس كريم 75 غرام</v>
      </c>
      <c r="B267" s="56" t="str">
        <f>IFERROR(__xludf.DUMMYFUNCTION("IF('AYIRA MINI MART FINAL MENU - Pr'!B267="""", """", IF(LEN(TRIM(REGEXREPLACE(REGEXREPLACE('AYIRA MINI MART FINAL MENU - Pr'!B267, ""^[^\x{0600}-\x{06FF}]+"", """"), ""^[-–\s]+"", """")))&gt;0, TRIM(REGEXREPLACE(REGEXREPLACE('AYIRA MINI MART FINAL MENU - Pr"&amp;"'!B267, ""^[^\x{0600}-\x{06FF}]+"", """"), ""^[-–\s]+"", """")), GOOGLETRANSLATE('AYIRA MINI MART FINAL MENU - Pr'!B267, ""en"", ""ar"")))"),"الآيس كريم")</f>
        <v>الآيس كريم</v>
      </c>
      <c r="C267" s="58">
        <f>IF('AYIRA MINI MART FINAL MENU - Pr'!C267="", "", 'AYIRA MINI MART FINAL MENU - Pr'!C267)</f>
        <v>3.5</v>
      </c>
      <c r="D267" s="58" t="str">
        <f>IF('AYIRA MINI MART FINAL MENU - Pr'!D267="", "", 'AYIRA MINI MART FINAL MENU - Pr'!D267)</f>
        <v>برّد أيامك الحارة مع Cookies &amp; Cream Ice Cream 75g،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67" s="56" t="str">
        <f>IF('AYIRA MINI MART FINAL MENU - Pr'!E267="", "", 'AYIRA MINI MART FINAL MENU - Pr'!E267)</f>
        <v/>
      </c>
      <c r="F267" s="56" t="str">
        <f>IF('AYIRA MINI MART FINAL MENU - Pr'!F267="", "", 'AYIRA MINI MART FINAL MENU - Pr'!F267)</f>
        <v/>
      </c>
      <c r="G267" s="56" t="str">
        <f>IF('AYIRA MINI MART FINAL MENU - Pr'!G267="", "", 'AYIRA MINI MART FINAL MENU - Pr'!G267)</f>
        <v/>
      </c>
      <c r="H267" s="56" t="str">
        <f>IF('AYIRA MINI MART FINAL MENU - Pr'!H267="", "", 'AYIRA MINI MART FINAL MENU - Pr'!H267)</f>
        <v/>
      </c>
      <c r="I267" s="56" t="str">
        <f>IF('AYIRA MINI MART FINAL MENU - Pr'!I267="", "", 'AYIRA MINI MART FINAL MENU - Pr'!I267)</f>
        <v/>
      </c>
      <c r="J267" s="56" t="str">
        <f>IFERROR(__xludf.DUMMYFUNCTION("IF('AYIRA MINI MART FINAL MENU - Pr'!J267="""", """", GOOGLETRANSLATE('AYIRA MINI MART FINAL MENU - Pr'!J267, ""en"", ""ar""))"),"يعرض")</f>
        <v>يعرض</v>
      </c>
      <c r="K267" s="56" t="str">
        <f>IF('AYIRA MINI MART FINAL MENU - Pr'!K267="", "", 'AYIRA MINI MART FINAL MENU - Pr'!K267)</f>
        <v/>
      </c>
      <c r="L267" s="56" t="str">
        <f>IF('AYIRA MINI MART FINAL MENU - Pr'!L267="", "", 'AYIRA MINI MART FINAL MENU - Pr'!L267)</f>
        <v/>
      </c>
      <c r="M267" s="56" t="str">
        <f>IF('AYIRA MINI MART FINAL MENU - Pr'!M267="", "", 'AYIRA MINI MART FINAL MENU - Pr'!M267)</f>
        <v/>
      </c>
      <c r="N267" s="56" t="str">
        <f>IF('AYIRA MINI MART FINAL MENU - Pr'!N267="", "", 'AYIRA MINI MART FINAL MENU - Pr'!N267)</f>
        <v/>
      </c>
      <c r="O267" s="57"/>
      <c r="P267" s="57"/>
      <c r="Q267" s="57"/>
      <c r="R267" s="57"/>
      <c r="S267" s="57"/>
      <c r="T267" s="57"/>
      <c r="U267" s="57"/>
      <c r="V267" s="57"/>
      <c r="W267" s="57"/>
      <c r="X267" s="57"/>
      <c r="Y267" s="57"/>
      <c r="Z267" s="57"/>
    </row>
    <row r="268">
      <c r="A268" s="56" t="str">
        <f>IFERROR(__xludf.DUMMYFUNCTION("IF('AYIRA MINI MART FINAL MENU - Pr'!A268="""", """", IF(LEN(TRIM(REGEXREPLACE(REGEXREPLACE('AYIRA MINI MART FINAL MENU - Pr'!A268, ""^[^\x{0600}-\x{06FF}]+"", """"), ""^[-–\s]+"", """")))&gt;0, TRIM(REGEXREPLACE(REGEXREPLACE('AYIRA MINI MART FINAL MENU - Pr"&amp;"'!A268, ""^[^\x{0600}-\x{06FF}]+"", """"), ""^[-–\s]+"", """")), GOOGLETRANSLATE('AYIRA MINI MART FINAL MENU - Pr'!A268, ""en"", ""ar"")))"),"شوكولاتة Topping")</f>
        <v>شوكولاتة Topping</v>
      </c>
      <c r="B268" s="56" t="str">
        <f>IFERROR(__xludf.DUMMYFUNCTION("IF('AYIRA MINI MART FINAL MENU - Pr'!B268="""", """", IF(LEN(TRIM(REGEXREPLACE(REGEXREPLACE('AYIRA MINI MART FINAL MENU - Pr'!B268, ""^[^\x{0600}-\x{06FF}]+"", """"), ""^[-–\s]+"", """")))&gt;0, TRIM(REGEXREPLACE(REGEXREPLACE('AYIRA MINI MART FINAL MENU - Pr"&amp;"'!B268, ""^[^\x{0600}-\x{06FF}]+"", """"), ""^[-–\s]+"", """")), GOOGLETRANSLATE('AYIRA MINI MART FINAL MENU - Pr'!B268, ""en"", ""ar"")))"),"الآيس كريم")</f>
        <v>الآيس كريم</v>
      </c>
      <c r="C268" s="58">
        <f>IF('AYIRA MINI MART FINAL MENU - Pr'!C268="", "", 'AYIRA MINI MART FINAL MENU - Pr'!C268)</f>
        <v>5.5</v>
      </c>
      <c r="D268" s="58" t="str">
        <f>IF('AYIRA MINI MART FINAL MENU - Pr'!D268="", "", 'AYIRA MINI MART FINAL MENU - Pr'!D268)</f>
        <v>دلّل حواسك مع Iceland Luna Panna Cotta Aromatic with Chocolate Topping،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268" s="56" t="str">
        <f>IF('AYIRA MINI MART FINAL MENU - Pr'!E268="", "", 'AYIRA MINI MART FINAL MENU - Pr'!E268)</f>
        <v/>
      </c>
      <c r="F268" s="56" t="str">
        <f>IF('AYIRA MINI MART FINAL MENU - Pr'!F268="", "", 'AYIRA MINI MART FINAL MENU - Pr'!F268)</f>
        <v/>
      </c>
      <c r="G268" s="56" t="str">
        <f>IF('AYIRA MINI MART FINAL MENU - Pr'!G268="", "", 'AYIRA MINI MART FINAL MENU - Pr'!G268)</f>
        <v/>
      </c>
      <c r="H268" s="56" t="str">
        <f>IF('AYIRA MINI MART FINAL MENU - Pr'!H268="", "", 'AYIRA MINI MART FINAL MENU - Pr'!H268)</f>
        <v/>
      </c>
      <c r="I268" s="56" t="str">
        <f>IF('AYIRA MINI MART FINAL MENU - Pr'!I268="", "", 'AYIRA MINI MART FINAL MENU - Pr'!I268)</f>
        <v/>
      </c>
      <c r="J268" s="56" t="str">
        <f>IFERROR(__xludf.DUMMYFUNCTION("IF('AYIRA MINI MART FINAL MENU - Pr'!J268="""", """", GOOGLETRANSLATE('AYIRA MINI MART FINAL MENU - Pr'!J268, ""en"", ""ar""))"),"يعرض")</f>
        <v>يعرض</v>
      </c>
      <c r="K268" s="56" t="str">
        <f>IF('AYIRA MINI MART FINAL MENU - Pr'!K268="", "", 'AYIRA MINI MART FINAL MENU - Pr'!K268)</f>
        <v/>
      </c>
      <c r="L268" s="56" t="str">
        <f>IF('AYIRA MINI MART FINAL MENU - Pr'!L268="", "", 'AYIRA MINI MART FINAL MENU - Pr'!L268)</f>
        <v/>
      </c>
      <c r="M268" s="56" t="str">
        <f>IF('AYIRA MINI MART FINAL MENU - Pr'!M268="", "", 'AYIRA MINI MART FINAL MENU - Pr'!M268)</f>
        <v/>
      </c>
      <c r="N268" s="56" t="str">
        <f>IF('AYIRA MINI MART FINAL MENU - Pr'!N268="", "", 'AYIRA MINI MART FINAL MENU - Pr'!N268)</f>
        <v/>
      </c>
      <c r="O268" s="57"/>
      <c r="P268" s="57"/>
      <c r="Q268" s="57"/>
      <c r="R268" s="57"/>
      <c r="S268" s="57"/>
      <c r="T268" s="57"/>
      <c r="U268" s="57"/>
      <c r="V268" s="57"/>
      <c r="W268" s="57"/>
      <c r="X268" s="57"/>
      <c r="Y268" s="57"/>
      <c r="Z268" s="57"/>
    </row>
    <row r="269">
      <c r="A269" s="56" t="str">
        <f>IFERROR(__xludf.DUMMYFUNCTION("IF('AYIRA MINI MART FINAL MENU - Pr'!A269="""", """", IF(LEN(TRIM(REGEXREPLACE(REGEXREPLACE('AYIRA MINI MART FINAL MENU - Pr'!A269, ""^[^\x{0600}-\x{06FF}]+"", """"), ""^[-–\s]+"", """")))&gt;0, TRIM(REGEXREPLACE(REGEXREPLACE('AYIRA MINI MART FINAL MENU - Pr"&amp;"'!A269, ""^[^\x{0600}-\x{06FF}]+"", """"), ""^[-–\s]+"", """")), GOOGLETRANSLATE('AYIRA MINI MART FINAL MENU - Pr'!A269, ""en"", ""ar"")))"),"بندق شوكولاتة and Panna Cotta")</f>
        <v>بندق شوكولاتة and Panna Cotta</v>
      </c>
      <c r="B269" s="56" t="str">
        <f>IFERROR(__xludf.DUMMYFUNCTION("IF('AYIRA MINI MART FINAL MENU - Pr'!B269="""", """", IF(LEN(TRIM(REGEXREPLACE(REGEXREPLACE('AYIRA MINI MART FINAL MENU - Pr'!B269, ""^[^\x{0600}-\x{06FF}]+"", """"), ""^[-–\s]+"", """")))&gt;0, TRIM(REGEXREPLACE(REGEXREPLACE('AYIRA MINI MART FINAL MENU - Pr"&amp;"'!B269, ""^[^\x{0600}-\x{06FF}]+"", """"), ""^[-–\s]+"", """")), GOOGLETRANSLATE('AYIRA MINI MART FINAL MENU - Pr'!B269, ""en"", ""ar"")))"),"الآيس كريم")</f>
        <v>الآيس كريم</v>
      </c>
      <c r="C269" s="58">
        <f>IF('AYIRA MINI MART FINAL MENU - Pr'!C269="", "", 'AYIRA MINI MART FINAL MENU - Pr'!C269)</f>
        <v>4.5</v>
      </c>
      <c r="D269" s="58" t="str">
        <f>IF('AYIRA MINI MART FINAL MENU - Pr'!D269="", "", 'AYIRA MINI MART FINAL MENU - Pr'!D269)</f>
        <v>دلّل حواسك مع Iceland Luna Hazelnut Chocolate and Panna Cotta،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269" s="56" t="str">
        <f>IF('AYIRA MINI MART FINAL MENU - Pr'!E269="", "", 'AYIRA MINI MART FINAL MENU - Pr'!E269)</f>
        <v/>
      </c>
      <c r="F269" s="56" t="str">
        <f>IF('AYIRA MINI MART FINAL MENU - Pr'!F269="", "", 'AYIRA MINI MART FINAL MENU - Pr'!F269)</f>
        <v/>
      </c>
      <c r="G269" s="56" t="str">
        <f>IF('AYIRA MINI MART FINAL MENU - Pr'!G269="", "", 'AYIRA MINI MART FINAL MENU - Pr'!G269)</f>
        <v/>
      </c>
      <c r="H269" s="56" t="str">
        <f>IF('AYIRA MINI MART FINAL MENU - Pr'!H269="", "", 'AYIRA MINI MART FINAL MENU - Pr'!H269)</f>
        <v/>
      </c>
      <c r="I269" s="56" t="str">
        <f>IF('AYIRA MINI MART FINAL MENU - Pr'!I269="", "", 'AYIRA MINI MART FINAL MENU - Pr'!I269)</f>
        <v/>
      </c>
      <c r="J269" s="56" t="str">
        <f>IFERROR(__xludf.DUMMYFUNCTION("IF('AYIRA MINI MART FINAL MENU - Pr'!J269="""", """", GOOGLETRANSLATE('AYIRA MINI MART FINAL MENU - Pr'!J269, ""en"", ""ar""))"),"يعرض")</f>
        <v>يعرض</v>
      </c>
      <c r="K269" s="56" t="str">
        <f>IF('AYIRA MINI MART FINAL MENU - Pr'!K269="", "", 'AYIRA MINI MART FINAL MENU - Pr'!K269)</f>
        <v/>
      </c>
      <c r="L269" s="56" t="str">
        <f>IF('AYIRA MINI MART FINAL MENU - Pr'!L269="", "", 'AYIRA MINI MART FINAL MENU - Pr'!L269)</f>
        <v/>
      </c>
      <c r="M269" s="56" t="str">
        <f>IF('AYIRA MINI MART FINAL MENU - Pr'!M269="", "", 'AYIRA MINI MART FINAL MENU - Pr'!M269)</f>
        <v/>
      </c>
      <c r="N269" s="56" t="str">
        <f>IF('AYIRA MINI MART FINAL MENU - Pr'!N269="", "", 'AYIRA MINI MART FINAL MENU - Pr'!N269)</f>
        <v/>
      </c>
      <c r="O269" s="57"/>
      <c r="P269" s="57"/>
      <c r="Q269" s="57"/>
      <c r="R269" s="57"/>
      <c r="S269" s="57"/>
      <c r="T269" s="57"/>
      <c r="U269" s="57"/>
      <c r="V269" s="57"/>
      <c r="W269" s="57"/>
      <c r="X269" s="57"/>
      <c r="Y269" s="57"/>
      <c r="Z269" s="57"/>
    </row>
    <row r="270">
      <c r="A270" s="56" t="str">
        <f>IFERROR(__xludf.DUMMYFUNCTION("IF('AYIRA MINI MART FINAL MENU - Pr'!A270="""", """", IF(LEN(TRIM(REGEXREPLACE(REGEXREPLACE('AYIRA MINI MART FINAL MENU - Pr'!A270, ""^[^\x{0600}-\x{06FF}]+"", """"), ""^[-–\s]+"", """")))&gt;0, TRIM(REGEXREPLACE(REGEXREPLACE('AYIRA MINI MART FINAL MENU - Pr"&amp;"'!A270, ""^[^\x{0600}-\x{06FF}]+"", """"), ""^[-–\s]+"", """")), GOOGLETRANSLATE('AYIRA MINI MART FINAL MENU - Pr'!A270, ""en"", ""ar"")))"),"فانيليا آيس كريم 15%")</f>
        <v>فانيليا آيس كريم 15%</v>
      </c>
      <c r="B270" s="56" t="str">
        <f>IFERROR(__xludf.DUMMYFUNCTION("IF('AYIRA MINI MART FINAL MENU - Pr'!B270="""", """", IF(LEN(TRIM(REGEXREPLACE(REGEXREPLACE('AYIRA MINI MART FINAL MENU - Pr'!B270, ""^[^\x{0600}-\x{06FF}]+"", """"), ""^[-–\s]+"", """")))&gt;0, TRIM(REGEXREPLACE(REGEXREPLACE('AYIRA MINI MART FINAL MENU - Pr"&amp;"'!B270, ""^[^\x{0600}-\x{06FF}]+"", """"), ""^[-–\s]+"", """")), GOOGLETRANSLATE('AYIRA MINI MART FINAL MENU - Pr'!B270, ""en"", ""ar"")))"),"الآيس كريم")</f>
        <v>الآيس كريم</v>
      </c>
      <c r="C270" s="58">
        <f>IF('AYIRA MINI MART FINAL MENU - Pr'!C270="", "", 'AYIRA MINI MART FINAL MENU - Pr'!C270)</f>
        <v>4.5</v>
      </c>
      <c r="D270" s="58" t="str">
        <f>IF('AYIRA MINI MART FINAL MENU - Pr'!D270="", "", 'AYIRA MINI MART FINAL MENU - Pr'!D270)</f>
        <v>برّد أيامك الحارة مع Plombir Vanilla Ice Cream 15%،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0" s="56" t="str">
        <f>IF('AYIRA MINI MART FINAL MENU - Pr'!E270="", "", 'AYIRA MINI MART FINAL MENU - Pr'!E270)</f>
        <v/>
      </c>
      <c r="F270" s="56" t="str">
        <f>IF('AYIRA MINI MART FINAL MENU - Pr'!F270="", "", 'AYIRA MINI MART FINAL MENU - Pr'!F270)</f>
        <v/>
      </c>
      <c r="G270" s="56" t="str">
        <f>IF('AYIRA MINI MART FINAL MENU - Pr'!G270="", "", 'AYIRA MINI MART FINAL MENU - Pr'!G270)</f>
        <v/>
      </c>
      <c r="H270" s="56" t="str">
        <f>IF('AYIRA MINI MART FINAL MENU - Pr'!H270="", "", 'AYIRA MINI MART FINAL MENU - Pr'!H270)</f>
        <v/>
      </c>
      <c r="I270" s="56" t="str">
        <f>IF('AYIRA MINI MART FINAL MENU - Pr'!I270="", "", 'AYIRA MINI MART FINAL MENU - Pr'!I270)</f>
        <v/>
      </c>
      <c r="J270" s="56" t="str">
        <f>IFERROR(__xludf.DUMMYFUNCTION("IF('AYIRA MINI MART FINAL MENU - Pr'!J270="""", """", GOOGLETRANSLATE('AYIRA MINI MART FINAL MENU - Pr'!J270, ""en"", ""ar""))"),"يعرض")</f>
        <v>يعرض</v>
      </c>
      <c r="K270" s="56" t="str">
        <f>IF('AYIRA MINI MART FINAL MENU - Pr'!K270="", "", 'AYIRA MINI MART FINAL MENU - Pr'!K270)</f>
        <v/>
      </c>
      <c r="L270" s="56" t="str">
        <f>IF('AYIRA MINI MART FINAL MENU - Pr'!L270="", "", 'AYIRA MINI MART FINAL MENU - Pr'!L270)</f>
        <v/>
      </c>
      <c r="M270" s="56" t="str">
        <f>IF('AYIRA MINI MART FINAL MENU - Pr'!M270="", "", 'AYIRA MINI MART FINAL MENU - Pr'!M270)</f>
        <v/>
      </c>
      <c r="N270" s="56" t="str">
        <f>IF('AYIRA MINI MART FINAL MENU - Pr'!N270="", "", 'AYIRA MINI MART FINAL MENU - Pr'!N270)</f>
        <v/>
      </c>
      <c r="O270" s="57"/>
      <c r="P270" s="57"/>
      <c r="Q270" s="57"/>
      <c r="R270" s="57"/>
      <c r="S270" s="57"/>
      <c r="T270" s="57"/>
      <c r="U270" s="57"/>
      <c r="V270" s="57"/>
      <c r="W270" s="57"/>
      <c r="X270" s="57"/>
      <c r="Y270" s="57"/>
      <c r="Z270" s="57"/>
    </row>
    <row r="271">
      <c r="A271" s="56" t="str">
        <f>IFERROR(__xludf.DUMMYFUNCTION("IF('AYIRA MINI MART FINAL MENU - Pr'!A271="""", """", IF(LEN(TRIM(REGEXREPLACE(REGEXREPLACE('AYIRA MINI MART FINAL MENU - Pr'!A271, ""^[^\x{0600}-\x{06FF}]+"", """"), ""^[-–\s]+"", """")))&gt;0, TRIM(REGEXREPLACE(REGEXREPLACE('AYIRA MINI MART FINAL MENU - Pr"&amp;"'!A271, ""^[^\x{0600}-\x{06FF}]+"", """"), ""^[-–\s]+"", """")), GOOGLETRANSLATE('AYIRA MINI MART FINAL MENU - Pr'!A271, ""en"", ""ar"")))"),"فانيليا آيس كريم")</f>
        <v>فانيليا آيس كريم</v>
      </c>
      <c r="B271" s="56" t="str">
        <f>IFERROR(__xludf.DUMMYFUNCTION("IF('AYIRA MINI MART FINAL MENU - Pr'!B271="""", """", IF(LEN(TRIM(REGEXREPLACE(REGEXREPLACE('AYIRA MINI MART FINAL MENU - Pr'!B271, ""^[^\x{0600}-\x{06FF}]+"", """"), ""^[-–\s]+"", """")))&gt;0, TRIM(REGEXREPLACE(REGEXREPLACE('AYIRA MINI MART FINAL MENU - Pr"&amp;"'!B271, ""^[^\x{0600}-\x{06FF}]+"", """"), ""^[-–\s]+"", """")), GOOGLETRANSLATE('AYIRA MINI MART FINAL MENU - Pr'!B271, ""en"", ""ar"")))"),"الآيس كريم")</f>
        <v>الآيس كريم</v>
      </c>
      <c r="C271" s="58">
        <f>IF('AYIRA MINI MART FINAL MENU - Pr'!C271="", "", 'AYIRA MINI MART FINAL MENU - Pr'!C271)</f>
        <v>3.5</v>
      </c>
      <c r="D271" s="58" t="str">
        <f>IF('AYIRA MINI MART FINAL MENU - Pr'!D271="", "", 'AYIRA MINI MART FINAL MENU - Pr'!D271)</f>
        <v>برّد أيامك الحارة مع Penguin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1" s="56" t="str">
        <f>IF('AYIRA MINI MART FINAL MENU - Pr'!E271="", "", 'AYIRA MINI MART FINAL MENU - Pr'!E271)</f>
        <v/>
      </c>
      <c r="F271" s="56" t="str">
        <f>IF('AYIRA MINI MART FINAL MENU - Pr'!F271="", "", 'AYIRA MINI MART FINAL MENU - Pr'!F271)</f>
        <v/>
      </c>
      <c r="G271" s="56" t="str">
        <f>IF('AYIRA MINI MART FINAL MENU - Pr'!G271="", "", 'AYIRA MINI MART FINAL MENU - Pr'!G271)</f>
        <v/>
      </c>
      <c r="H271" s="56" t="str">
        <f>IF('AYIRA MINI MART FINAL MENU - Pr'!H271="", "", 'AYIRA MINI MART FINAL MENU - Pr'!H271)</f>
        <v/>
      </c>
      <c r="I271" s="56" t="str">
        <f>IF('AYIRA MINI MART FINAL MENU - Pr'!I271="", "", 'AYIRA MINI MART FINAL MENU - Pr'!I271)</f>
        <v/>
      </c>
      <c r="J271" s="56" t="str">
        <f>IFERROR(__xludf.DUMMYFUNCTION("IF('AYIRA MINI MART FINAL MENU - Pr'!J271="""", """", GOOGLETRANSLATE('AYIRA MINI MART FINAL MENU - Pr'!J271, ""en"", ""ar""))"),"يعرض")</f>
        <v>يعرض</v>
      </c>
      <c r="K271" s="56" t="str">
        <f>IF('AYIRA MINI MART FINAL MENU - Pr'!K271="", "", 'AYIRA MINI MART FINAL MENU - Pr'!K271)</f>
        <v/>
      </c>
      <c r="L271" s="56" t="str">
        <f>IF('AYIRA MINI MART FINAL MENU - Pr'!L271="", "", 'AYIRA MINI MART FINAL MENU - Pr'!L271)</f>
        <v/>
      </c>
      <c r="M271" s="56" t="str">
        <f>IF('AYIRA MINI MART FINAL MENU - Pr'!M271="", "", 'AYIRA MINI MART FINAL MENU - Pr'!M271)</f>
        <v/>
      </c>
      <c r="N271" s="56" t="str">
        <f>IF('AYIRA MINI MART FINAL MENU - Pr'!N271="", "", 'AYIRA MINI MART FINAL MENU - Pr'!N271)</f>
        <v/>
      </c>
      <c r="O271" s="57"/>
      <c r="P271" s="57"/>
      <c r="Q271" s="57"/>
      <c r="R271" s="57"/>
      <c r="S271" s="57"/>
      <c r="T271" s="57"/>
      <c r="U271" s="57"/>
      <c r="V271" s="57"/>
      <c r="W271" s="57"/>
      <c r="X271" s="57"/>
      <c r="Y271" s="57"/>
      <c r="Z271" s="57"/>
    </row>
    <row r="272">
      <c r="A272" s="56" t="str">
        <f>IFERROR(__xludf.DUMMYFUNCTION("IF('AYIRA MINI MART FINAL MENU - Pr'!A272="""", """", IF(LEN(TRIM(REGEXREPLACE(REGEXREPLACE('AYIRA MINI MART FINAL MENU - Pr'!A272, ""^[^\x{0600}-\x{06FF}]+"", """"), ""^[-–\s]+"", """")))&gt;0, TRIM(REGEXREPLACE(REGEXREPLACE('AYIRA MINI MART FINAL MENU - Pr"&amp;"'!A272, ""^[^\x{0600}-\x{06FF}]+"", """"), ""^[-–\s]+"", """")), GOOGLETRANSLATE('AYIRA MINI MART FINAL MENU - Pr'!A272, ""en"", ""ar"")))"),"فانيليا آيس كريم")</f>
        <v>فانيليا آيس كريم</v>
      </c>
      <c r="B272" s="56" t="str">
        <f>IFERROR(__xludf.DUMMYFUNCTION("IF('AYIRA MINI MART FINAL MENU - Pr'!B272="""", """", IF(LEN(TRIM(REGEXREPLACE(REGEXREPLACE('AYIRA MINI MART FINAL MENU - Pr'!B272, ""^[^\x{0600}-\x{06FF}]+"", """"), ""^[-–\s]+"", """")))&gt;0, TRIM(REGEXREPLACE(REGEXREPLACE('AYIRA MINI MART FINAL MENU - Pr"&amp;"'!B272, ""^[^\x{0600}-\x{06FF}]+"", """"), ""^[-–\s]+"", """")), GOOGLETRANSLATE('AYIRA MINI MART FINAL MENU - Pr'!B272, ""en"", ""ar"")))"),"الآيس كريم")</f>
        <v>الآيس كريم</v>
      </c>
      <c r="C272" s="58">
        <f>IF('AYIRA MINI MART FINAL MENU - Pr'!C272="", "", 'AYIRA MINI MART FINAL MENU - Pr'!C272)</f>
        <v>3.5</v>
      </c>
      <c r="D272" s="58" t="str">
        <f>IF('AYIRA MINI MART FINAL MENU - Pr'!D272="", "", 'AYIRA MINI MART FINAL MENU - Pr'!D272)</f>
        <v>برّد أيامك الحارة مع Iceland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2" s="56" t="str">
        <f>IF('AYIRA MINI MART FINAL MENU - Pr'!E272="", "", 'AYIRA MINI MART FINAL MENU - Pr'!E272)</f>
        <v/>
      </c>
      <c r="F272" s="56" t="str">
        <f>IF('AYIRA MINI MART FINAL MENU - Pr'!F272="", "", 'AYIRA MINI MART FINAL MENU - Pr'!F272)</f>
        <v/>
      </c>
      <c r="G272" s="56" t="str">
        <f>IF('AYIRA MINI MART FINAL MENU - Pr'!G272="", "", 'AYIRA MINI MART FINAL MENU - Pr'!G272)</f>
        <v/>
      </c>
      <c r="H272" s="56" t="str">
        <f>IF('AYIRA MINI MART FINAL MENU - Pr'!H272="", "", 'AYIRA MINI MART FINAL MENU - Pr'!H272)</f>
        <v/>
      </c>
      <c r="I272" s="56" t="str">
        <f>IF('AYIRA MINI MART FINAL MENU - Pr'!I272="", "", 'AYIRA MINI MART FINAL MENU - Pr'!I272)</f>
        <v/>
      </c>
      <c r="J272" s="56" t="str">
        <f>IFERROR(__xludf.DUMMYFUNCTION("IF('AYIRA MINI MART FINAL MENU - Pr'!J272="""", """", GOOGLETRANSLATE('AYIRA MINI MART FINAL MENU - Pr'!J272, ""en"", ""ar""))"),"يعرض")</f>
        <v>يعرض</v>
      </c>
      <c r="K272" s="56" t="str">
        <f>IF('AYIRA MINI MART FINAL MENU - Pr'!K272="", "", 'AYIRA MINI MART FINAL MENU - Pr'!K272)</f>
        <v/>
      </c>
      <c r="L272" s="56" t="str">
        <f>IF('AYIRA MINI MART FINAL MENU - Pr'!L272="", "", 'AYIRA MINI MART FINAL MENU - Pr'!L272)</f>
        <v/>
      </c>
      <c r="M272" s="56" t="str">
        <f>IF('AYIRA MINI MART FINAL MENU - Pr'!M272="", "", 'AYIRA MINI MART FINAL MENU - Pr'!M272)</f>
        <v/>
      </c>
      <c r="N272" s="56" t="str">
        <f>IF('AYIRA MINI MART FINAL MENU - Pr'!N272="", "", 'AYIRA MINI MART FINAL MENU - Pr'!N272)</f>
        <v/>
      </c>
      <c r="O272" s="57"/>
      <c r="P272" s="57"/>
      <c r="Q272" s="57"/>
      <c r="R272" s="57"/>
      <c r="S272" s="57"/>
      <c r="T272" s="57"/>
      <c r="U272" s="57"/>
      <c r="V272" s="57"/>
      <c r="W272" s="57"/>
      <c r="X272" s="57"/>
      <c r="Y272" s="57"/>
      <c r="Z272" s="57"/>
    </row>
    <row r="273">
      <c r="A273" s="56" t="str">
        <f>IFERROR(__xludf.DUMMYFUNCTION("IF('AYIRA MINI MART FINAL MENU - Pr'!A273="""", """", IF(LEN(TRIM(REGEXREPLACE(REGEXREPLACE('AYIRA MINI MART FINAL MENU - Pr'!A273, ""^[^\x{0600}-\x{06FF}]+"", """"), ""^[-–\s]+"", """")))&gt;0, TRIM(REGEXREPLACE(REGEXREPLACE('AYIRA MINI MART FINAL MENU - Pr"&amp;"'!A273, ""^[^\x{0600}-\x{06FF}]+"", """"), ""^[-–\s]+"", """")), GOOGLETRANSLATE('AYIRA MINI MART FINAL MENU - Pr'!A273, ""en"", ""ar"")))"),"فانيليا آيس كريم")</f>
        <v>فانيليا آيس كريم</v>
      </c>
      <c r="B273" s="56" t="str">
        <f>IFERROR(__xludf.DUMMYFUNCTION("IF('AYIRA MINI MART FINAL MENU - Pr'!B273="""", """", IF(LEN(TRIM(REGEXREPLACE(REGEXREPLACE('AYIRA MINI MART FINAL MENU - Pr'!B273, ""^[^\x{0600}-\x{06FF}]+"", """"), ""^[-–\s]+"", """")))&gt;0, TRIM(REGEXREPLACE(REGEXREPLACE('AYIRA MINI MART FINAL MENU - Pr"&amp;"'!B273, ""^[^\x{0600}-\x{06FF}]+"", """"), ""^[-–\s]+"", """")), GOOGLETRANSLATE('AYIRA MINI MART FINAL MENU - Pr'!B273, ""en"", ""ar"")))"),"الآيس كريم")</f>
        <v>الآيس كريم</v>
      </c>
      <c r="C273" s="58">
        <f>IF('AYIRA MINI MART FINAL MENU - Pr'!C273="", "", 'AYIRA MINI MART FINAL MENU - Pr'!C273)</f>
        <v>3.5</v>
      </c>
      <c r="D273" s="58" t="str">
        <f>IF('AYIRA MINI MART FINAL MENU - Pr'!D273="", "", 'AYIRA MINI MART FINAL MENU - Pr'!D273)</f>
        <v>برّد أيامك الحارة مع Ronetto Vanilla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3" s="56" t="str">
        <f>IF('AYIRA MINI MART FINAL MENU - Pr'!E273="", "", 'AYIRA MINI MART FINAL MENU - Pr'!E273)</f>
        <v/>
      </c>
      <c r="F273" s="56" t="str">
        <f>IF('AYIRA MINI MART FINAL MENU - Pr'!F273="", "", 'AYIRA MINI MART FINAL MENU - Pr'!F273)</f>
        <v/>
      </c>
      <c r="G273" s="56" t="str">
        <f>IF('AYIRA MINI MART FINAL MENU - Pr'!G273="", "", 'AYIRA MINI MART FINAL MENU - Pr'!G273)</f>
        <v/>
      </c>
      <c r="H273" s="56" t="str">
        <f>IF('AYIRA MINI MART FINAL MENU - Pr'!H273="", "", 'AYIRA MINI MART FINAL MENU - Pr'!H273)</f>
        <v/>
      </c>
      <c r="I273" s="56" t="str">
        <f>IF('AYIRA MINI MART FINAL MENU - Pr'!I273="", "", 'AYIRA MINI MART FINAL MENU - Pr'!I273)</f>
        <v/>
      </c>
      <c r="J273" s="56" t="str">
        <f>IFERROR(__xludf.DUMMYFUNCTION("IF('AYIRA MINI MART FINAL MENU - Pr'!J273="""", """", GOOGLETRANSLATE('AYIRA MINI MART FINAL MENU - Pr'!J273, ""en"", ""ar""))"),"إنتهى من المخزن")</f>
        <v>إنتهى من المخزن</v>
      </c>
      <c r="K273" s="56" t="str">
        <f>IF('AYIRA MINI MART FINAL MENU - Pr'!K273="", "", 'AYIRA MINI MART FINAL MENU - Pr'!K273)</f>
        <v/>
      </c>
      <c r="L273" s="56" t="str">
        <f>IF('AYIRA MINI MART FINAL MENU - Pr'!L273="", "", 'AYIRA MINI MART FINAL MENU - Pr'!L273)</f>
        <v/>
      </c>
      <c r="M273" s="56" t="str">
        <f>IF('AYIRA MINI MART FINAL MENU - Pr'!M273="", "", 'AYIRA MINI MART FINAL MENU - Pr'!M273)</f>
        <v/>
      </c>
      <c r="N273" s="56" t="str">
        <f>IF('AYIRA MINI MART FINAL MENU - Pr'!N273="", "", 'AYIRA MINI MART FINAL MENU - Pr'!N273)</f>
        <v/>
      </c>
      <c r="O273" s="57"/>
      <c r="P273" s="57"/>
      <c r="Q273" s="57"/>
      <c r="R273" s="57"/>
      <c r="S273" s="57"/>
      <c r="T273" s="57"/>
      <c r="U273" s="57"/>
      <c r="V273" s="57"/>
      <c r="W273" s="57"/>
      <c r="X273" s="57"/>
      <c r="Y273" s="57"/>
      <c r="Z273" s="57"/>
    </row>
    <row r="274">
      <c r="A274" s="56" t="str">
        <f>IFERROR(__xludf.DUMMYFUNCTION("IF('AYIRA MINI MART FINAL MENU - Pr'!A274="""", """", IF(LEN(TRIM(REGEXREPLACE(REGEXREPLACE('AYIRA MINI MART FINAL MENU - Pr'!A274, ""^[^\x{0600}-\x{06FF}]+"", """"), ""^[-–\s]+"", """")))&gt;0, TRIM(REGEXREPLACE(REGEXREPLACE('AYIRA MINI MART FINAL MENU - Pr"&amp;"'!A274, ""^[^\x{0600}-\x{06FF}]+"", """"), ""^[-–\s]+"", """")), GOOGLETRANSLATE('AYIRA MINI MART FINAL MENU - Pr'!A274, ""en"", ""ar"")))"),"بندق Plombir آيس كريم 500 غرام")</f>
        <v>بندق Plombir آيس كريم 500 غرام</v>
      </c>
      <c r="B274" s="56" t="str">
        <f>IFERROR(__xludf.DUMMYFUNCTION("IF('AYIRA MINI MART FINAL MENU - Pr'!B274="""", """", IF(LEN(TRIM(REGEXREPLACE(REGEXREPLACE('AYIRA MINI MART FINAL MENU - Pr'!B274, ""^[^\x{0600}-\x{06FF}]+"", """"), ""^[-–\s]+"", """")))&gt;0, TRIM(REGEXREPLACE(REGEXREPLACE('AYIRA MINI MART FINAL MENU - Pr"&amp;"'!B274, ""^[^\x{0600}-\x{06FF}]+"", """"), ""^[-–\s]+"", """")), GOOGLETRANSLATE('AYIRA MINI MART FINAL MENU - Pr'!B274, ""en"", ""ar"")))"),"الآيس كريم")</f>
        <v>الآيس كريم</v>
      </c>
      <c r="C274" s="56" t="str">
        <f>IF('AYIRA MINI MART FINAL MENU - Pr'!C274="", "", 'AYIRA MINI MART FINAL MENU - Pr'!C274)</f>
        <v/>
      </c>
      <c r="D274" s="58" t="str">
        <f>IF('AYIRA MINI MART FINAL MENU - Pr'!D274="", "", 'AYIRA MINI MART FINAL MENU - Pr'!D274)</f>
        <v>برّد أيامك الحارة مع Delisimo Hazelnut Plombir Ice Cream 500g،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4" s="56" t="str">
        <f>IF('AYIRA MINI MART FINAL MENU - Pr'!E274="", "", 'AYIRA MINI MART FINAL MENU - Pr'!E274)</f>
        <v/>
      </c>
      <c r="F274" s="56" t="str">
        <f>IF('AYIRA MINI MART FINAL MENU - Pr'!F274="", "", 'AYIRA MINI MART FINAL MENU - Pr'!F274)</f>
        <v/>
      </c>
      <c r="G274" s="56" t="str">
        <f>IF('AYIRA MINI MART FINAL MENU - Pr'!G274="", "", 'AYIRA MINI MART FINAL MENU - Pr'!G274)</f>
        <v/>
      </c>
      <c r="H274" s="56" t="str">
        <f>IF('AYIRA MINI MART FINAL MENU - Pr'!H274="", "", 'AYIRA MINI MART FINAL MENU - Pr'!H274)</f>
        <v/>
      </c>
      <c r="I274" s="56" t="str">
        <f>IF('AYIRA MINI MART FINAL MENU - Pr'!I274="", "", 'AYIRA MINI MART FINAL MENU - Pr'!I274)</f>
        <v/>
      </c>
      <c r="J274" s="56" t="str">
        <f>IFERROR(__xludf.DUMMYFUNCTION("IF('AYIRA MINI MART FINAL MENU - Pr'!J274="""", """", GOOGLETRANSLATE('AYIRA MINI MART FINAL MENU - Pr'!J274, ""en"", ""ar""))"),"إنتهى من المخزن")</f>
        <v>إنتهى من المخزن</v>
      </c>
      <c r="K274" s="56" t="str">
        <f>IF('AYIRA MINI MART FINAL MENU - Pr'!K274="", "", 'AYIRA MINI MART FINAL MENU - Pr'!K274)</f>
        <v/>
      </c>
      <c r="L274" s="56" t="str">
        <f>IF('AYIRA MINI MART FINAL MENU - Pr'!L274="", "", 'AYIRA MINI MART FINAL MENU - Pr'!L274)</f>
        <v/>
      </c>
      <c r="M274" s="56" t="str">
        <f>IF('AYIRA MINI MART FINAL MENU - Pr'!M274="", "", 'AYIRA MINI MART FINAL MENU - Pr'!M274)</f>
        <v/>
      </c>
      <c r="N274" s="56" t="str">
        <f>IF('AYIRA MINI MART FINAL MENU - Pr'!N274="", "", 'AYIRA MINI MART FINAL MENU - Pr'!N274)</f>
        <v/>
      </c>
      <c r="O274" s="57"/>
      <c r="P274" s="57"/>
      <c r="Q274" s="57"/>
      <c r="R274" s="57"/>
      <c r="S274" s="57"/>
      <c r="T274" s="57"/>
      <c r="U274" s="57"/>
      <c r="V274" s="57"/>
      <c r="W274" s="57"/>
      <c r="X274" s="57"/>
      <c r="Y274" s="57"/>
      <c r="Z274" s="57"/>
    </row>
    <row r="275">
      <c r="A275" s="56" t="str">
        <f>IFERROR(__xludf.DUMMYFUNCTION("IF('AYIRA MINI MART FINAL MENU - Pr'!A275="""", """", IF(LEN(TRIM(REGEXREPLACE(REGEXREPLACE('AYIRA MINI MART FINAL MENU - Pr'!A275, ""^[^\x{0600}-\x{06FF}]+"", """"), ""^[-–\s]+"", """")))&gt;0, TRIM(REGEXREPLACE(REGEXREPLACE('AYIRA MINI MART FINAL MENU - Pr"&amp;"'!A275, ""^[^\x{0600}-\x{06FF}]+"", """"), ""^[-–\s]+"", """")), GOOGLETRANSLATE('AYIRA MINI MART FINAL MENU - Pr'!A275, ""en"", ""ar"")))"),"آيس كريم")</f>
        <v>آيس كريم</v>
      </c>
      <c r="B275" s="56" t="str">
        <f>IFERROR(__xludf.DUMMYFUNCTION("IF('AYIRA MINI MART FINAL MENU - Pr'!B275="""", """", IF(LEN(TRIM(REGEXREPLACE(REGEXREPLACE('AYIRA MINI MART FINAL MENU - Pr'!B275, ""^[^\x{0600}-\x{06FF}]+"", """"), ""^[-–\s]+"", """")))&gt;0, TRIM(REGEXREPLACE(REGEXREPLACE('AYIRA MINI MART FINAL MENU - Pr"&amp;"'!B275, ""^[^\x{0600}-\x{06FF}]+"", """"), ""^[-–\s]+"", """")), GOOGLETRANSLATE('AYIRA MINI MART FINAL MENU - Pr'!B275, ""en"", ""ar"")))"),"الآيس كريم")</f>
        <v>الآيس كريم</v>
      </c>
      <c r="C275" s="58">
        <f>IF('AYIRA MINI MART FINAL MENU - Pr'!C275="", "", 'AYIRA MINI MART FINAL MENU - Pr'!C275)</f>
        <v>3.5</v>
      </c>
      <c r="D275" s="58" t="str">
        <f>IF('AYIRA MINI MART FINAL MENU - Pr'!D275="", "", 'AYIRA MINI MART FINAL MENU - Pr'!D275)</f>
        <v>برّد أيامك الحارة مع Oazis Ice Cream،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5" s="56" t="str">
        <f>IF('AYIRA MINI MART FINAL MENU - Pr'!E275="", "", 'AYIRA MINI MART FINAL MENU - Pr'!E275)</f>
        <v/>
      </c>
      <c r="F275" s="56" t="str">
        <f>IF('AYIRA MINI MART FINAL MENU - Pr'!F275="", "", 'AYIRA MINI MART FINAL MENU - Pr'!F275)</f>
        <v/>
      </c>
      <c r="G275" s="56" t="str">
        <f>IF('AYIRA MINI MART FINAL MENU - Pr'!G275="", "", 'AYIRA MINI MART FINAL MENU - Pr'!G275)</f>
        <v/>
      </c>
      <c r="H275" s="56" t="str">
        <f>IF('AYIRA MINI MART FINAL MENU - Pr'!H275="", "", 'AYIRA MINI MART FINAL MENU - Pr'!H275)</f>
        <v/>
      </c>
      <c r="I275" s="56" t="str">
        <f>IF('AYIRA MINI MART FINAL MENU - Pr'!I275="", "", 'AYIRA MINI MART FINAL MENU - Pr'!I275)</f>
        <v/>
      </c>
      <c r="J275" s="56" t="str">
        <f>IFERROR(__xludf.DUMMYFUNCTION("IF('AYIRA MINI MART FINAL MENU - Pr'!J275="""", """", GOOGLETRANSLATE('AYIRA MINI MART FINAL MENU - Pr'!J275, ""en"", ""ar""))"),"إنتهى من المخزن")</f>
        <v>إنتهى من المخزن</v>
      </c>
      <c r="K275" s="56" t="str">
        <f>IF('AYIRA MINI MART FINAL MENU - Pr'!K275="", "", 'AYIRA MINI MART FINAL MENU - Pr'!K275)</f>
        <v/>
      </c>
      <c r="L275" s="56" t="str">
        <f>IF('AYIRA MINI MART FINAL MENU - Pr'!L275="", "", 'AYIRA MINI MART FINAL MENU - Pr'!L275)</f>
        <v/>
      </c>
      <c r="M275" s="56" t="str">
        <f>IF('AYIRA MINI MART FINAL MENU - Pr'!M275="", "", 'AYIRA MINI MART FINAL MENU - Pr'!M275)</f>
        <v/>
      </c>
      <c r="N275" s="56" t="str">
        <f>IF('AYIRA MINI MART FINAL MENU - Pr'!N275="", "", 'AYIRA MINI MART FINAL MENU - Pr'!N275)</f>
        <v/>
      </c>
      <c r="O275" s="57"/>
      <c r="P275" s="57"/>
      <c r="Q275" s="57"/>
      <c r="R275" s="57"/>
      <c r="S275" s="57"/>
      <c r="T275" s="57"/>
      <c r="U275" s="57"/>
      <c r="V275" s="57"/>
      <c r="W275" s="57"/>
      <c r="X275" s="57"/>
      <c r="Y275" s="57"/>
      <c r="Z275" s="57"/>
    </row>
    <row r="276">
      <c r="A276" s="56" t="str">
        <f>IFERROR(__xludf.DUMMYFUNCTION("IF('AYIRA MINI MART FINAL MENU - Pr'!A276="""", """", IF(LEN(TRIM(REGEXREPLACE(REGEXREPLACE('AYIRA MINI MART FINAL MENU - Pr'!A276, ""^[^\x{0600}-\x{06FF}]+"", """"), ""^[-–\s]+"", """")))&gt;0, TRIM(REGEXREPLACE(REGEXREPLACE('AYIRA MINI MART FINAL MENU - Pr"&amp;"'!A276, ""^[^\x{0600}-\x{06FF}]+"", """"), ""^[-–\s]+"", """")), GOOGLETRANSLATE('AYIRA MINI MART FINAL MENU - Pr'!A276, ""en"", ""ar"")))"),"تفاح Fruity Ice")</f>
        <v>تفاح Fruity Ice</v>
      </c>
      <c r="B276" s="56" t="str">
        <f>IFERROR(__xludf.DUMMYFUNCTION("IF('AYIRA MINI MART FINAL MENU - Pr'!B276="""", """", IF(LEN(TRIM(REGEXREPLACE(REGEXREPLACE('AYIRA MINI MART FINAL MENU - Pr'!B276, ""^[^\x{0600}-\x{06FF}]+"", """"), ""^[-–\s]+"", """")))&gt;0, TRIM(REGEXREPLACE(REGEXREPLACE('AYIRA MINI MART FINAL MENU - Pr"&amp;"'!B276, ""^[^\x{0600}-\x{06FF}]+"", """"), ""^[-–\s]+"", """")), GOOGLETRANSLATE('AYIRA MINI MART FINAL MENU - Pr'!B276, ""en"", ""ar"")))"),"الآيس كريم")</f>
        <v>الآيس كريم</v>
      </c>
      <c r="C276" s="56" t="str">
        <f>IF('AYIRA MINI MART FINAL MENU - Pr'!C276="", "", 'AYIRA MINI MART FINAL MENU - Pr'!C276)</f>
        <v/>
      </c>
      <c r="D276" s="58" t="str">
        <f>IF('AYIRA MINI MART FINAL MENU - Pr'!D276="", "", 'AYIRA MINI MART FINAL MENU - Pr'!D276)</f>
        <v>برّد أيامك الحارة مع Apple Fruity Ice،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6" s="56" t="str">
        <f>IF('AYIRA MINI MART FINAL MENU - Pr'!E276="", "", 'AYIRA MINI MART FINAL MENU - Pr'!E276)</f>
        <v/>
      </c>
      <c r="F276" s="56" t="str">
        <f>IF('AYIRA MINI MART FINAL MENU - Pr'!F276="", "", 'AYIRA MINI MART FINAL MENU - Pr'!F276)</f>
        <v/>
      </c>
      <c r="G276" s="56" t="str">
        <f>IF('AYIRA MINI MART FINAL MENU - Pr'!G276="", "", 'AYIRA MINI MART FINAL MENU - Pr'!G276)</f>
        <v/>
      </c>
      <c r="H276" s="56" t="str">
        <f>IF('AYIRA MINI MART FINAL MENU - Pr'!H276="", "", 'AYIRA MINI MART FINAL MENU - Pr'!H276)</f>
        <v/>
      </c>
      <c r="I276" s="56" t="str">
        <f>IF('AYIRA MINI MART FINAL MENU - Pr'!I276="", "", 'AYIRA MINI MART FINAL MENU - Pr'!I276)</f>
        <v/>
      </c>
      <c r="J276" s="56" t="str">
        <f>IFERROR(__xludf.DUMMYFUNCTION("IF('AYIRA MINI MART FINAL MENU - Pr'!J276="""", """", GOOGLETRANSLATE('AYIRA MINI MART FINAL MENU - Pr'!J276, ""en"", ""ar""))"),"إنتهى من المخزن")</f>
        <v>إنتهى من المخزن</v>
      </c>
      <c r="K276" s="56" t="str">
        <f>IF('AYIRA MINI MART FINAL MENU - Pr'!K276="", "", 'AYIRA MINI MART FINAL MENU - Pr'!K276)</f>
        <v/>
      </c>
      <c r="L276" s="56" t="str">
        <f>IF('AYIRA MINI MART FINAL MENU - Pr'!L276="", "", 'AYIRA MINI MART FINAL MENU - Pr'!L276)</f>
        <v/>
      </c>
      <c r="M276" s="56" t="str">
        <f>IF('AYIRA MINI MART FINAL MENU - Pr'!M276="", "", 'AYIRA MINI MART FINAL MENU - Pr'!M276)</f>
        <v/>
      </c>
      <c r="N276" s="56" t="str">
        <f>IF('AYIRA MINI MART FINAL MENU - Pr'!N276="", "", 'AYIRA MINI MART FINAL MENU - Pr'!N276)</f>
        <v/>
      </c>
      <c r="O276" s="57"/>
      <c r="P276" s="57"/>
      <c r="Q276" s="57"/>
      <c r="R276" s="57"/>
      <c r="S276" s="57"/>
      <c r="T276" s="57"/>
      <c r="U276" s="57"/>
      <c r="V276" s="57"/>
      <c r="W276" s="57"/>
      <c r="X276" s="57"/>
      <c r="Y276" s="57"/>
      <c r="Z276" s="57"/>
    </row>
    <row r="277">
      <c r="A277" s="56" t="str">
        <f>IFERROR(__xludf.DUMMYFUNCTION("IF('AYIRA MINI MART FINAL MENU - Pr'!A277="""", """", IF(LEN(TRIM(REGEXREPLACE(REGEXREPLACE('AYIRA MINI MART FINAL MENU - Pr'!A277, ""^[^\x{0600}-\x{06FF}]+"", """"), ""^[-–\s]+"", """")))&gt;0, TRIM(REGEXREPLACE(REGEXREPLACE('AYIRA MINI MART FINAL MENU - Pr"&amp;"'!A277, ""^[^\x{0600}-\x{06FF}]+"", """"), ""^[-–\s]+"", """")), GOOGLETRANSLATE('AYIRA MINI MART FINAL MENU - Pr'!A277, ""en"", ""ar"")))"),"أوريو ساندويتش with كوكيز Pieces 80 غرام")</f>
        <v>أوريو ساندويتش with كوكيز Pieces 80 غرام</v>
      </c>
      <c r="B277" s="56" t="str">
        <f>IFERROR(__xludf.DUMMYFUNCTION("IF('AYIRA MINI MART FINAL MENU - Pr'!B277="""", """", IF(LEN(TRIM(REGEXREPLACE(REGEXREPLACE('AYIRA MINI MART FINAL MENU - Pr'!B277, ""^[^\x{0600}-\x{06FF}]+"", """"), ""^[-–\s]+"", """")))&gt;0, TRIM(REGEXREPLACE(REGEXREPLACE('AYIRA MINI MART FINAL MENU - Pr"&amp;"'!B277, ""^[^\x{0600}-\x{06FF}]+"", """"), ""^[-–\s]+"", """")), GOOGLETRANSLATE('AYIRA MINI MART FINAL MENU - Pr'!B277, ""en"", ""ar"")))"),"الآيس كريم")</f>
        <v>الآيس كريم</v>
      </c>
      <c r="C277" s="58">
        <f>IF('AYIRA MINI MART FINAL MENU - Pr'!C277="", "", 'AYIRA MINI MART FINAL MENU - Pr'!C277)</f>
        <v>10</v>
      </c>
      <c r="D277" s="58" t="str">
        <f>IF('AYIRA MINI MART FINAL MENU - Pr'!D277="", "", 'AYIRA MINI MART FINAL MENU - Pr'!D277)</f>
        <v>برّد أيامك الحارة مع أوريو،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7" s="56" t="str">
        <f>IF('AYIRA MINI MART FINAL MENU - Pr'!E277="", "", 'AYIRA MINI MART FINAL MENU - Pr'!E277)</f>
        <v/>
      </c>
      <c r="F277" s="56" t="str">
        <f>IF('AYIRA MINI MART FINAL MENU - Pr'!F277="", "", 'AYIRA MINI MART FINAL MENU - Pr'!F277)</f>
        <v/>
      </c>
      <c r="G277" s="56" t="str">
        <f>IF('AYIRA MINI MART FINAL MENU - Pr'!G277="", "", 'AYIRA MINI MART FINAL MENU - Pr'!G277)</f>
        <v/>
      </c>
      <c r="H277" s="56" t="str">
        <f>IF('AYIRA MINI MART FINAL MENU - Pr'!H277="", "", 'AYIRA MINI MART FINAL MENU - Pr'!H277)</f>
        <v/>
      </c>
      <c r="I277" s="56" t="str">
        <f>IF('AYIRA MINI MART FINAL MENU - Pr'!I277="", "", 'AYIRA MINI MART FINAL MENU - Pr'!I277)</f>
        <v/>
      </c>
      <c r="J277" s="56" t="str">
        <f>IFERROR(__xludf.DUMMYFUNCTION("IF('AYIRA MINI MART FINAL MENU - Pr'!J277="""", """", GOOGLETRANSLATE('AYIRA MINI MART FINAL MENU - Pr'!J277, ""en"", ""ar""))"),"يعرض")</f>
        <v>يعرض</v>
      </c>
      <c r="K277" s="56" t="str">
        <f>IF('AYIRA MINI MART FINAL MENU - Pr'!K277="", "", 'AYIRA MINI MART FINAL MENU - Pr'!K277)</f>
        <v/>
      </c>
      <c r="L277" s="56" t="str">
        <f>IF('AYIRA MINI MART FINAL MENU - Pr'!L277="", "", 'AYIRA MINI MART FINAL MENU - Pr'!L277)</f>
        <v/>
      </c>
      <c r="M277" s="56" t="str">
        <f>IF('AYIRA MINI MART FINAL MENU - Pr'!M277="", "", 'AYIRA MINI MART FINAL MENU - Pr'!M277)</f>
        <v/>
      </c>
      <c r="N277" s="56" t="str">
        <f>IF('AYIRA MINI MART FINAL MENU - Pr'!N277="", "", 'AYIRA MINI MART FINAL MENU - Pr'!N277)</f>
        <v/>
      </c>
      <c r="O277" s="57"/>
      <c r="P277" s="57"/>
      <c r="Q277" s="57"/>
      <c r="R277" s="57"/>
      <c r="S277" s="57"/>
      <c r="T277" s="57"/>
      <c r="U277" s="57"/>
      <c r="V277" s="57"/>
      <c r="W277" s="57"/>
      <c r="X277" s="57"/>
      <c r="Y277" s="57"/>
      <c r="Z277" s="57"/>
    </row>
    <row r="278">
      <c r="A278" s="56" t="str">
        <f>IFERROR(__xludf.DUMMYFUNCTION("IF('AYIRA MINI MART FINAL MENU - Pr'!A278="""", """", IF(LEN(TRIM(REGEXREPLACE(REGEXREPLACE('AYIRA MINI MART FINAL MENU - Pr'!A278, ""^[^\x{0600}-\x{06FF}]+"", """"), ""^[-–\s]+"", """")))&gt;0, TRIM(REGEXREPLACE(REGEXREPLACE('AYIRA MINI MART FINAL MENU - Pr"&amp;"'!A278, ""^[^\x{0600}-\x{06FF}]+"", """"), ""^[-–\s]+"", """")), GOOGLETRANSLATE('AYIRA MINI MART FINAL MENU - Pr'!A278, ""en"", ""ar"")))"),"رافاييلو آيس كريم 47 غرام")</f>
        <v>رافاييلو آيس كريم 47 غرام</v>
      </c>
      <c r="B278" s="56" t="str">
        <f>IFERROR(__xludf.DUMMYFUNCTION("IF('AYIRA MINI MART FINAL MENU - Pr'!B278="""", """", IF(LEN(TRIM(REGEXREPLACE(REGEXREPLACE('AYIRA MINI MART FINAL MENU - Pr'!B278, ""^[^\x{0600}-\x{06FF}]+"", """"), ""^[-–\s]+"", """")))&gt;0, TRIM(REGEXREPLACE(REGEXREPLACE('AYIRA MINI MART FINAL MENU - Pr"&amp;"'!B278, ""^[^\x{0600}-\x{06FF}]+"", """"), ""^[-–\s]+"", """")), GOOGLETRANSLATE('AYIRA MINI MART FINAL MENU - Pr'!B278, ""en"", ""ar"")))"),"الآيس كريم")</f>
        <v>الآيس كريم</v>
      </c>
      <c r="C278" s="58">
        <f>IF('AYIRA MINI MART FINAL MENU - Pr'!C278="", "", 'AYIRA MINI MART FINAL MENU - Pr'!C278)</f>
        <v>10</v>
      </c>
      <c r="D278" s="58" t="str">
        <f>IF('AYIRA MINI MART FINAL MENU - Pr'!D278="", "", 'AYIRA MINI MART FINAL MENU - Pr'!D278)</f>
        <v>برّد أيامك الحارة مع Contetteria Raffaello Ice Cream 47g،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8" s="56" t="str">
        <f>IF('AYIRA MINI MART FINAL MENU - Pr'!E278="", "", 'AYIRA MINI MART FINAL MENU - Pr'!E278)</f>
        <v/>
      </c>
      <c r="F278" s="56" t="str">
        <f>IF('AYIRA MINI MART FINAL MENU - Pr'!F278="", "", 'AYIRA MINI MART FINAL MENU - Pr'!F278)</f>
        <v/>
      </c>
      <c r="G278" s="56" t="str">
        <f>IF('AYIRA MINI MART FINAL MENU - Pr'!G278="", "", 'AYIRA MINI MART FINAL MENU - Pr'!G278)</f>
        <v/>
      </c>
      <c r="H278" s="56" t="str">
        <f>IF('AYIRA MINI MART FINAL MENU - Pr'!H278="", "", 'AYIRA MINI MART FINAL MENU - Pr'!H278)</f>
        <v/>
      </c>
      <c r="I278" s="56" t="str">
        <f>IF('AYIRA MINI MART FINAL MENU - Pr'!I278="", "", 'AYIRA MINI MART FINAL MENU - Pr'!I278)</f>
        <v/>
      </c>
      <c r="J278" s="56" t="str">
        <f>IFERROR(__xludf.DUMMYFUNCTION("IF('AYIRA MINI MART FINAL MENU - Pr'!J278="""", """", GOOGLETRANSLATE('AYIRA MINI MART FINAL MENU - Pr'!J278, ""en"", ""ar""))"),"إنتهى من المخزن")</f>
        <v>إنتهى من المخزن</v>
      </c>
      <c r="K278" s="56" t="str">
        <f>IF('AYIRA MINI MART FINAL MENU - Pr'!K278="", "", 'AYIRA MINI MART FINAL MENU - Pr'!K278)</f>
        <v/>
      </c>
      <c r="L278" s="56" t="str">
        <f>IF('AYIRA MINI MART FINAL MENU - Pr'!L278="", "", 'AYIRA MINI MART FINAL MENU - Pr'!L278)</f>
        <v/>
      </c>
      <c r="M278" s="56" t="str">
        <f>IF('AYIRA MINI MART FINAL MENU - Pr'!M278="", "", 'AYIRA MINI MART FINAL MENU - Pr'!M278)</f>
        <v/>
      </c>
      <c r="N278" s="56" t="str">
        <f>IF('AYIRA MINI MART FINAL MENU - Pr'!N278="", "", 'AYIRA MINI MART FINAL MENU - Pr'!N278)</f>
        <v/>
      </c>
      <c r="O278" s="57"/>
      <c r="P278" s="57"/>
      <c r="Q278" s="57"/>
      <c r="R278" s="57"/>
      <c r="S278" s="57"/>
      <c r="T278" s="57"/>
      <c r="U278" s="57"/>
      <c r="V278" s="57"/>
      <c r="W278" s="57"/>
      <c r="X278" s="57"/>
      <c r="Y278" s="57"/>
      <c r="Z278" s="57"/>
    </row>
    <row r="279">
      <c r="A279" s="56" t="str">
        <f>IFERROR(__xludf.DUMMYFUNCTION("IF('AYIRA MINI MART FINAL MENU - Pr'!A279="""", """", IF(LEN(TRIM(REGEXREPLACE(REGEXREPLACE('AYIRA MINI MART FINAL MENU - Pr'!A279, ""^[^\x{0600}-\x{06FF}]+"", """"), ""^[-–\s]+"", """")))&gt;0, TRIM(REGEXREPLACE(REGEXREPLACE('AYIRA MINI MART FINAL MENU - Pr"&amp;"'!A279, ""^[^\x{0600}-\x{06FF}]+"", """"), ""^[-–\s]+"", """")), GOOGLETRANSLATE('AYIRA MINI MART FINAL MENU - Pr'!A279, ""en"", ""ar"")))"),"أوريو عصا with أوريو كوكيز Pieces 64 غرام")</f>
        <v>أوريو عصا with أوريو كوكيز Pieces 64 غرام</v>
      </c>
      <c r="B279" s="56" t="str">
        <f>IFERROR(__xludf.DUMMYFUNCTION("IF('AYIRA MINI MART FINAL MENU - Pr'!B279="""", """", IF(LEN(TRIM(REGEXREPLACE(REGEXREPLACE('AYIRA MINI MART FINAL MENU - Pr'!B279, ""^[^\x{0600}-\x{06FF}]+"", """"), ""^[-–\s]+"", """")))&gt;0, TRIM(REGEXREPLACE(REGEXREPLACE('AYIRA MINI MART FINAL MENU - Pr"&amp;"'!B279, ""^[^\x{0600}-\x{06FF}]+"", """"), ""^[-–\s]+"", """")), GOOGLETRANSLATE('AYIRA MINI MART FINAL MENU - Pr'!B279, ""en"", ""ar"")))"),"الآيس كريم")</f>
        <v>الآيس كريم</v>
      </c>
      <c r="C279" s="58">
        <f>IF('AYIRA MINI MART FINAL MENU - Pr'!C279="", "", 'AYIRA MINI MART FINAL MENU - Pr'!C279)</f>
        <v>10</v>
      </c>
      <c r="D279" s="58" t="str">
        <f>IF('AYIRA MINI MART FINAL MENU - Pr'!D279="", "", 'AYIRA MINI MART FINAL MENU - Pr'!D279)</f>
        <v>برّد أيامك الحارة مع أوريو،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79" s="56" t="str">
        <f>IF('AYIRA MINI MART FINAL MENU - Pr'!E279="", "", 'AYIRA MINI MART FINAL MENU - Pr'!E279)</f>
        <v/>
      </c>
      <c r="F279" s="56" t="str">
        <f>IF('AYIRA MINI MART FINAL MENU - Pr'!F279="", "", 'AYIRA MINI MART FINAL MENU - Pr'!F279)</f>
        <v/>
      </c>
      <c r="G279" s="56" t="str">
        <f>IF('AYIRA MINI MART FINAL MENU - Pr'!G279="", "", 'AYIRA MINI MART FINAL MENU - Pr'!G279)</f>
        <v/>
      </c>
      <c r="H279" s="56" t="str">
        <f>IF('AYIRA MINI MART FINAL MENU - Pr'!H279="", "", 'AYIRA MINI MART FINAL MENU - Pr'!H279)</f>
        <v/>
      </c>
      <c r="I279" s="56" t="str">
        <f>IF('AYIRA MINI MART FINAL MENU - Pr'!I279="", "", 'AYIRA MINI MART FINAL MENU - Pr'!I279)</f>
        <v/>
      </c>
      <c r="J279" s="56" t="str">
        <f>IFERROR(__xludf.DUMMYFUNCTION("IF('AYIRA MINI MART FINAL MENU - Pr'!J279="""", """", GOOGLETRANSLATE('AYIRA MINI MART FINAL MENU - Pr'!J279, ""en"", ""ar""))"),"يعرض")</f>
        <v>يعرض</v>
      </c>
      <c r="K279" s="56" t="str">
        <f>IF('AYIRA MINI MART FINAL MENU - Pr'!K279="", "", 'AYIRA MINI MART FINAL MENU - Pr'!K279)</f>
        <v/>
      </c>
      <c r="L279" s="56" t="str">
        <f>IF('AYIRA MINI MART FINAL MENU - Pr'!L279="", "", 'AYIRA MINI MART FINAL MENU - Pr'!L279)</f>
        <v/>
      </c>
      <c r="M279" s="56" t="str">
        <f>IF('AYIRA MINI MART FINAL MENU - Pr'!M279="", "", 'AYIRA MINI MART FINAL MENU - Pr'!M279)</f>
        <v/>
      </c>
      <c r="N279" s="56" t="str">
        <f>IF('AYIRA MINI MART FINAL MENU - Pr'!N279="", "", 'AYIRA MINI MART FINAL MENU - Pr'!N279)</f>
        <v/>
      </c>
      <c r="O279" s="57"/>
      <c r="P279" s="57"/>
      <c r="Q279" s="57"/>
      <c r="R279" s="57"/>
      <c r="S279" s="57"/>
      <c r="T279" s="57"/>
      <c r="U279" s="57"/>
      <c r="V279" s="57"/>
      <c r="W279" s="57"/>
      <c r="X279" s="57"/>
      <c r="Y279" s="57"/>
      <c r="Z279" s="57"/>
    </row>
    <row r="280">
      <c r="A280" s="56" t="str">
        <f>IFERROR(__xludf.DUMMYFUNCTION("IF('AYIRA MINI MART FINAL MENU - Pr'!A280="""", """", IF(LEN(TRIM(REGEXREPLACE(REGEXREPLACE('AYIRA MINI MART FINAL MENU - Pr'!A280, ""^[^\x{0600}-\x{06FF}]+"", """"), ""^[-–\s]+"", """")))&gt;0, TRIM(REGEXREPLACE(REGEXREPLACE('AYIRA MINI MART FINAL MENU - Pr"&amp;"'!A280, ""^[^\x{0600}-\x{06FF}]+"", """"), ""^[-–\s]+"", """")), GOOGLETRANSLATE('AYIRA MINI MART FINAL MENU - Pr'!A280, ""en"", ""ar"")))"),"كيت كات آيس كريم 90 مل")</f>
        <v>كيت كات آيس كريم 90 مل</v>
      </c>
      <c r="B280" s="56" t="str">
        <f>IFERROR(__xludf.DUMMYFUNCTION("IF('AYIRA MINI MART FINAL MENU - Pr'!B280="""", """", IF(LEN(TRIM(REGEXREPLACE(REGEXREPLACE('AYIRA MINI MART FINAL MENU - Pr'!B280, ""^[^\x{0600}-\x{06FF}]+"", """"), ""^[-–\s]+"", """")))&gt;0, TRIM(REGEXREPLACE(REGEXREPLACE('AYIRA MINI MART FINAL MENU - Pr"&amp;"'!B280, ""^[^\x{0600}-\x{06FF}]+"", """"), ""^[-–\s]+"", """")), GOOGLETRANSLATE('AYIRA MINI MART FINAL MENU - Pr'!B280, ""en"", ""ar"")))"),"الآيس كريم")</f>
        <v>الآيس كريم</v>
      </c>
      <c r="C280" s="58">
        <f>IF('AYIRA MINI MART FINAL MENU - Pr'!C280="", "", 'AYIRA MINI MART FINAL MENU - Pr'!C280)</f>
        <v>8.5</v>
      </c>
      <c r="D280" s="58" t="str">
        <f>IF('AYIRA MINI MART FINAL MENU - Pr'!D280="", "", 'AYIRA MINI MART FINAL MENU - Pr'!D280)</f>
        <v>برّد أيامك الحارة مع كيت كات،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80" s="56" t="str">
        <f>IF('AYIRA MINI MART FINAL MENU - Pr'!E280="", "", 'AYIRA MINI MART FINAL MENU - Pr'!E280)</f>
        <v/>
      </c>
      <c r="F280" s="56" t="str">
        <f>IF('AYIRA MINI MART FINAL MENU - Pr'!F280="", "", 'AYIRA MINI MART FINAL MENU - Pr'!F280)</f>
        <v/>
      </c>
      <c r="G280" s="56" t="str">
        <f>IF('AYIRA MINI MART FINAL MENU - Pr'!G280="", "", 'AYIRA MINI MART FINAL MENU - Pr'!G280)</f>
        <v/>
      </c>
      <c r="H280" s="56" t="str">
        <f>IF('AYIRA MINI MART FINAL MENU - Pr'!H280="", "", 'AYIRA MINI MART FINAL MENU - Pr'!H280)</f>
        <v/>
      </c>
      <c r="I280" s="56" t="str">
        <f>IF('AYIRA MINI MART FINAL MENU - Pr'!I280="", "", 'AYIRA MINI MART FINAL MENU - Pr'!I280)</f>
        <v/>
      </c>
      <c r="J280" s="56" t="str">
        <f>IFERROR(__xludf.DUMMYFUNCTION("IF('AYIRA MINI MART FINAL MENU - Pr'!J280="""", """", GOOGLETRANSLATE('AYIRA MINI MART FINAL MENU - Pr'!J280, ""en"", ""ar""))"),"يعرض")</f>
        <v>يعرض</v>
      </c>
      <c r="K280" s="56" t="str">
        <f>IF('AYIRA MINI MART FINAL MENU - Pr'!K280="", "", 'AYIRA MINI MART FINAL MENU - Pr'!K280)</f>
        <v/>
      </c>
      <c r="L280" s="56" t="str">
        <f>IF('AYIRA MINI MART FINAL MENU - Pr'!L280="", "", 'AYIRA MINI MART FINAL MENU - Pr'!L280)</f>
        <v/>
      </c>
      <c r="M280" s="56" t="str">
        <f>IF('AYIRA MINI MART FINAL MENU - Pr'!M280="", "", 'AYIRA MINI MART FINAL MENU - Pr'!M280)</f>
        <v/>
      </c>
      <c r="N280" s="56" t="str">
        <f>IF('AYIRA MINI MART FINAL MENU - Pr'!N280="", "", 'AYIRA MINI MART FINAL MENU - Pr'!N280)</f>
        <v/>
      </c>
      <c r="O280" s="57"/>
      <c r="P280" s="57"/>
      <c r="Q280" s="57"/>
      <c r="R280" s="57"/>
      <c r="S280" s="57"/>
      <c r="T280" s="57"/>
      <c r="U280" s="57"/>
      <c r="V280" s="57"/>
      <c r="W280" s="57"/>
      <c r="X280" s="57"/>
      <c r="Y280" s="57"/>
      <c r="Z280" s="57"/>
    </row>
    <row r="281">
      <c r="A281" s="56" t="str">
        <f>IFERROR(__xludf.DUMMYFUNCTION("IF('AYIRA MINI MART FINAL MENU - Pr'!A281="""", """", IF(LEN(TRIM(REGEXREPLACE(REGEXREPLACE('AYIRA MINI MART FINAL MENU - Pr'!A281, ""^[^\x{0600}-\x{06FF}]+"", """"), ""^[-–\s]+"", """")))&gt;0, TRIM(REGEXREPLACE(REGEXREPLACE('AYIRA MINI MART FINAL MENU - Pr"&amp;"'!A281, ""^[^\x{0600}-\x{06FF}]+"", """"), ""^[-–\s]+"", """")), GOOGLETRANSLATE('AYIRA MINI MART FINAL MENU - Pr'!A281, ""en"", ""ar"")))"),"كادبوري ديري ميلك آيس كريم 90 مل")</f>
        <v>كادبوري ديري ميلك آيس كريم 90 مل</v>
      </c>
      <c r="B281" s="56" t="str">
        <f>IFERROR(__xludf.DUMMYFUNCTION("IF('AYIRA MINI MART FINAL MENU - Pr'!B281="""", """", IF(LEN(TRIM(REGEXREPLACE(REGEXREPLACE('AYIRA MINI MART FINAL MENU - Pr'!B281, ""^[^\x{0600}-\x{06FF}]+"", """"), ""^[-–\s]+"", """")))&gt;0, TRIM(REGEXREPLACE(REGEXREPLACE('AYIRA MINI MART FINAL MENU - Pr"&amp;"'!B281, ""^[^\x{0600}-\x{06FF}]+"", """"), ""^[-–\s]+"", """")), GOOGLETRANSLATE('AYIRA MINI MART FINAL MENU - Pr'!B281, ""en"", ""ar"")))"),"الآيس كريم")</f>
        <v>الآيس كريم</v>
      </c>
      <c r="C281" s="58">
        <f>IF('AYIRA MINI MART FINAL MENU - Pr'!C281="", "", 'AYIRA MINI MART FINAL MENU - Pr'!C281)</f>
        <v>10</v>
      </c>
      <c r="D281" s="58" t="str">
        <f>IF('AYIRA MINI MART FINAL MENU - Pr'!D281="", "", 'AYIRA MINI MART FINAL MENU - Pr'!D281)</f>
        <v>برّد أيامك الحارة مع كادبوري،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81" s="56" t="str">
        <f>IF('AYIRA MINI MART FINAL MENU - Pr'!E281="", "", 'AYIRA MINI MART FINAL MENU - Pr'!E281)</f>
        <v/>
      </c>
      <c r="F281" s="56" t="str">
        <f>IF('AYIRA MINI MART FINAL MENU - Pr'!F281="", "", 'AYIRA MINI MART FINAL MENU - Pr'!F281)</f>
        <v/>
      </c>
      <c r="G281" s="56" t="str">
        <f>IF('AYIRA MINI MART FINAL MENU - Pr'!G281="", "", 'AYIRA MINI MART FINAL MENU - Pr'!G281)</f>
        <v/>
      </c>
      <c r="H281" s="56" t="str">
        <f>IF('AYIRA MINI MART FINAL MENU - Pr'!H281="", "", 'AYIRA MINI MART FINAL MENU - Pr'!H281)</f>
        <v/>
      </c>
      <c r="I281" s="56" t="str">
        <f>IF('AYIRA MINI MART FINAL MENU - Pr'!I281="", "", 'AYIRA MINI MART FINAL MENU - Pr'!I281)</f>
        <v/>
      </c>
      <c r="J281" s="56" t="str">
        <f>IFERROR(__xludf.DUMMYFUNCTION("IF('AYIRA MINI MART FINAL MENU - Pr'!J281="""", """", GOOGLETRANSLATE('AYIRA MINI MART FINAL MENU - Pr'!J281, ""en"", ""ar""))"),"يعرض")</f>
        <v>يعرض</v>
      </c>
      <c r="K281" s="56" t="str">
        <f>IF('AYIRA MINI MART FINAL MENU - Pr'!K281="", "", 'AYIRA MINI MART FINAL MENU - Pr'!K281)</f>
        <v/>
      </c>
      <c r="L281" s="56" t="str">
        <f>IF('AYIRA MINI MART FINAL MENU - Pr'!L281="", "", 'AYIRA MINI MART FINAL MENU - Pr'!L281)</f>
        <v/>
      </c>
      <c r="M281" s="56" t="str">
        <f>IF('AYIRA MINI MART FINAL MENU - Pr'!M281="", "", 'AYIRA MINI MART FINAL MENU - Pr'!M281)</f>
        <v/>
      </c>
      <c r="N281" s="56" t="str">
        <f>IF('AYIRA MINI MART FINAL MENU - Pr'!N281="", "", 'AYIRA MINI MART FINAL MENU - Pr'!N281)</f>
        <v/>
      </c>
      <c r="O281" s="57"/>
      <c r="P281" s="57"/>
      <c r="Q281" s="57"/>
      <c r="R281" s="57"/>
      <c r="S281" s="57"/>
      <c r="T281" s="57"/>
      <c r="U281" s="57"/>
      <c r="V281" s="57"/>
      <c r="W281" s="57"/>
      <c r="X281" s="57"/>
      <c r="Y281" s="57"/>
      <c r="Z281" s="57"/>
    </row>
    <row r="282">
      <c r="A282" s="56" t="str">
        <f>IFERROR(__xludf.DUMMYFUNCTION("IF('AYIRA MINI MART FINAL MENU - Pr'!A282="""", """", IF(LEN(TRIM(REGEXREPLACE(REGEXREPLACE('AYIRA MINI MART FINAL MENU - Pr'!A282, ""^[^\x{0600}-\x{06FF}]+"", """"), ""^[-–\s]+"", """")))&gt;0, TRIM(REGEXREPLACE(REGEXREPLACE('AYIRA MINI MART FINAL MENU - Pr"&amp;"'!A282, ""^[^\x{0600}-\x{06FF}]+"", """"), ""^[-–\s]+"", """")), GOOGLETRANSLATE('AYIRA MINI MART FINAL MENU - Pr'!A282, ""en"", ""ar"")))"),"فيريرو روشيه كلاسيك آيس كريم 50 غرام")</f>
        <v>فيريرو روشيه كلاسيك آيس كريم 50 غرام</v>
      </c>
      <c r="B282" s="56" t="str">
        <f>IFERROR(__xludf.DUMMYFUNCTION("IF('AYIRA MINI MART FINAL MENU - Pr'!B282="""", """", IF(LEN(TRIM(REGEXREPLACE(REGEXREPLACE('AYIRA MINI MART FINAL MENU - Pr'!B282, ""^[^\x{0600}-\x{06FF}]+"", """"), ""^[-–\s]+"", """")))&gt;0, TRIM(REGEXREPLACE(REGEXREPLACE('AYIRA MINI MART FINAL MENU - Pr"&amp;"'!B282, ""^[^\x{0600}-\x{06FF}]+"", """"), ""^[-–\s]+"", """")), GOOGLETRANSLATE('AYIRA MINI MART FINAL MENU - Pr'!B282, ""en"", ""ar"")))"),"الآيس كريم")</f>
        <v>الآيس كريم</v>
      </c>
      <c r="C282" s="58">
        <f>IF('AYIRA MINI MART FINAL MENU - Pr'!C282="", "", 'AYIRA MINI MART FINAL MENU - Pr'!C282)</f>
        <v>10</v>
      </c>
      <c r="D282" s="58" t="str">
        <f>IF('AYIRA MINI MART FINAL MENU - Pr'!D282="", "", 'AYIRA MINI MART FINAL MENU - Pr'!D282)</f>
        <v>برّد أيامك الحارة مع فيريرو،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82" s="56" t="str">
        <f>IF('AYIRA MINI MART FINAL MENU - Pr'!E282="", "", 'AYIRA MINI MART FINAL MENU - Pr'!E282)</f>
        <v/>
      </c>
      <c r="F282" s="56" t="str">
        <f>IF('AYIRA MINI MART FINAL MENU - Pr'!F282="", "", 'AYIRA MINI MART FINAL MENU - Pr'!F282)</f>
        <v/>
      </c>
      <c r="G282" s="56" t="str">
        <f>IF('AYIRA MINI MART FINAL MENU - Pr'!G282="", "", 'AYIRA MINI MART FINAL MENU - Pr'!G282)</f>
        <v/>
      </c>
      <c r="H282" s="56" t="str">
        <f>IF('AYIRA MINI MART FINAL MENU - Pr'!H282="", "", 'AYIRA MINI MART FINAL MENU - Pr'!H282)</f>
        <v/>
      </c>
      <c r="I282" s="56" t="str">
        <f>IF('AYIRA MINI MART FINAL MENU - Pr'!I282="", "", 'AYIRA MINI MART FINAL MENU - Pr'!I282)</f>
        <v/>
      </c>
      <c r="J282" s="56" t="str">
        <f>IFERROR(__xludf.DUMMYFUNCTION("IF('AYIRA MINI MART FINAL MENU - Pr'!J282="""", """", GOOGLETRANSLATE('AYIRA MINI MART FINAL MENU - Pr'!J282, ""en"", ""ar""))"),"إنتهى من المخزن")</f>
        <v>إنتهى من المخزن</v>
      </c>
      <c r="K282" s="56" t="str">
        <f>IF('AYIRA MINI MART FINAL MENU - Pr'!K282="", "", 'AYIRA MINI MART FINAL MENU - Pr'!K282)</f>
        <v/>
      </c>
      <c r="L282" s="56" t="str">
        <f>IF('AYIRA MINI MART FINAL MENU - Pr'!L282="", "", 'AYIRA MINI MART FINAL MENU - Pr'!L282)</f>
        <v/>
      </c>
      <c r="M282" s="56" t="str">
        <f>IF('AYIRA MINI MART FINAL MENU - Pr'!M282="", "", 'AYIRA MINI MART FINAL MENU - Pr'!M282)</f>
        <v/>
      </c>
      <c r="N282" s="56" t="str">
        <f>IF('AYIRA MINI MART FINAL MENU - Pr'!N282="", "", 'AYIRA MINI MART FINAL MENU - Pr'!N282)</f>
        <v/>
      </c>
      <c r="O282" s="57"/>
      <c r="P282" s="57"/>
      <c r="Q282" s="57"/>
      <c r="R282" s="57"/>
      <c r="S282" s="57"/>
      <c r="T282" s="57"/>
      <c r="U282" s="57"/>
      <c r="V282" s="57"/>
      <c r="W282" s="57"/>
      <c r="X282" s="57"/>
      <c r="Y282" s="57"/>
      <c r="Z282" s="57"/>
    </row>
    <row r="283">
      <c r="A283" s="56" t="str">
        <f>IFERROR(__xludf.DUMMYFUNCTION("IF('AYIRA MINI MART FINAL MENU - Pr'!A283="""", """", IF(LEN(TRIM(REGEXREPLACE(REGEXREPLACE('AYIRA MINI MART FINAL MENU - Pr'!A283, ""^[^\x{0600}-\x{06FF}]+"", """"), ""^[-–\s]+"", """")))&gt;0, TRIM(REGEXREPLACE(REGEXREPLACE('AYIRA MINI MART FINAL MENU - Pr"&amp;"'!A283, ""^[^\x{0600}-\x{06FF}]+"", """"), ""^[-–\s]+"", """")), GOOGLETRANSLATE('AYIRA MINI MART FINAL MENU - Pr'!A283, ""en"", ""ar"")))"),"توبليرون آيس كريم 65 غرام")</f>
        <v>توبليرون آيس كريم 65 غرام</v>
      </c>
      <c r="B283" s="56" t="str">
        <f>IFERROR(__xludf.DUMMYFUNCTION("IF('AYIRA MINI MART FINAL MENU - Pr'!B283="""", """", IF(LEN(TRIM(REGEXREPLACE(REGEXREPLACE('AYIRA MINI MART FINAL MENU - Pr'!B283, ""^[^\x{0600}-\x{06FF}]+"", """"), ""^[-–\s]+"", """")))&gt;0, TRIM(REGEXREPLACE(REGEXREPLACE('AYIRA MINI MART FINAL MENU - Pr"&amp;"'!B283, ""^[^\x{0600}-\x{06FF}]+"", """"), ""^[-–\s]+"", """")), GOOGLETRANSLATE('AYIRA MINI MART FINAL MENU - Pr'!B283, ""en"", ""ar"")))"),"الآيس كريم")</f>
        <v>الآيس كريم</v>
      </c>
      <c r="C283" s="58">
        <f>IF('AYIRA MINI MART FINAL MENU - Pr'!C283="", "", 'AYIRA MINI MART FINAL MENU - Pr'!C283)</f>
        <v>9.5</v>
      </c>
      <c r="D283" s="58" t="str">
        <f>IF('AYIRA MINI MART FINAL MENU - Pr'!D283="", "", 'AYIRA MINI MART FINAL MENU - Pr'!D283)</f>
        <v>برّد أيامك الحارة مع توبليرون،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83" s="56" t="str">
        <f>IF('AYIRA MINI MART FINAL MENU - Pr'!E283="", "", 'AYIRA MINI MART FINAL MENU - Pr'!E283)</f>
        <v/>
      </c>
      <c r="F283" s="56" t="str">
        <f>IF('AYIRA MINI MART FINAL MENU - Pr'!F283="", "", 'AYIRA MINI MART FINAL MENU - Pr'!F283)</f>
        <v/>
      </c>
      <c r="G283" s="56" t="str">
        <f>IF('AYIRA MINI MART FINAL MENU - Pr'!G283="", "", 'AYIRA MINI MART FINAL MENU - Pr'!G283)</f>
        <v/>
      </c>
      <c r="H283" s="56" t="str">
        <f>IF('AYIRA MINI MART FINAL MENU - Pr'!H283="", "", 'AYIRA MINI MART FINAL MENU - Pr'!H283)</f>
        <v/>
      </c>
      <c r="I283" s="56" t="str">
        <f>IF('AYIRA MINI MART FINAL MENU - Pr'!I283="", "", 'AYIRA MINI MART FINAL MENU - Pr'!I283)</f>
        <v/>
      </c>
      <c r="J283" s="56" t="str">
        <f>IFERROR(__xludf.DUMMYFUNCTION("IF('AYIRA MINI MART FINAL MENU - Pr'!J283="""", """", GOOGLETRANSLATE('AYIRA MINI MART FINAL MENU - Pr'!J283, ""en"", ""ar""))"),"يعرض")</f>
        <v>يعرض</v>
      </c>
      <c r="K283" s="56" t="str">
        <f>IF('AYIRA MINI MART FINAL MENU - Pr'!K283="", "", 'AYIRA MINI MART FINAL MENU - Pr'!K283)</f>
        <v/>
      </c>
      <c r="L283" s="56" t="str">
        <f>IF('AYIRA MINI MART FINAL MENU - Pr'!L283="", "", 'AYIRA MINI MART FINAL MENU - Pr'!L283)</f>
        <v/>
      </c>
      <c r="M283" s="56" t="str">
        <f>IF('AYIRA MINI MART FINAL MENU - Pr'!M283="", "", 'AYIRA MINI MART FINAL MENU - Pr'!M283)</f>
        <v/>
      </c>
      <c r="N283" s="56" t="str">
        <f>IF('AYIRA MINI MART FINAL MENU - Pr'!N283="", "", 'AYIRA MINI MART FINAL MENU - Pr'!N283)</f>
        <v/>
      </c>
      <c r="O283" s="57"/>
      <c r="P283" s="57"/>
      <c r="Q283" s="57"/>
      <c r="R283" s="57"/>
      <c r="S283" s="57"/>
      <c r="T283" s="57"/>
      <c r="U283" s="57"/>
      <c r="V283" s="57"/>
      <c r="W283" s="57"/>
      <c r="X283" s="57"/>
      <c r="Y283" s="57"/>
      <c r="Z283" s="57"/>
    </row>
    <row r="284">
      <c r="A284" s="56" t="str">
        <f>IFERROR(__xludf.DUMMYFUNCTION("IF('AYIRA MINI MART FINAL MENU - Pr'!A284="""", """", IF(LEN(TRIM(REGEXREPLACE(REGEXREPLACE('AYIRA MINI MART FINAL MENU - Pr'!A284, ""^[^\x{0600}-\x{06FF}]+"", """"), ""^[-–\s]+"", """")))&gt;0, TRIM(REGEXREPLACE(REGEXREPLACE('AYIRA MINI MART FINAL MENU - Pr"&amp;"'!A284, ""^[^\x{0600}-\x{06FF}]+"", """"), ""^[-–\s]+"", """")), GOOGLETRANSLATE('AYIRA MINI MART FINAL MENU - Pr'!A284, ""en"", ""ar"")))"),"قطن Candy 120 مل")</f>
        <v>قطن Candy 120 مل</v>
      </c>
      <c r="B284" s="56" t="str">
        <f>IFERROR(__xludf.DUMMYFUNCTION("IF('AYIRA MINI MART FINAL MENU - Pr'!B284="""", """", IF(LEN(TRIM(REGEXREPLACE(REGEXREPLACE('AYIRA MINI MART FINAL MENU - Pr'!B284, ""^[^\x{0600}-\x{06FF}]+"", """"), ""^[-–\s]+"", """")))&gt;0, TRIM(REGEXREPLACE(REGEXREPLACE('AYIRA MINI MART FINAL MENU - Pr"&amp;"'!B284, ""^[^\x{0600}-\x{06FF}]+"", """"), ""^[-–\s]+"", """")), GOOGLETRANSLATE('AYIRA MINI MART FINAL MENU - Pr'!B284, ""en"", ""ar"")))"),"الآيس كريم")</f>
        <v>الآيس كريم</v>
      </c>
      <c r="C284" s="58">
        <f>IF('AYIRA MINI MART FINAL MENU - Pr'!C284="", "", 'AYIRA MINI MART FINAL MENU - Pr'!C284)</f>
        <v>10</v>
      </c>
      <c r="D284" s="58" t="str">
        <f>IF('AYIRA MINI MART FINAL MENU - Pr'!D284="", "", 'AYIRA MINI MART FINAL MENU - Pr'!D284)</f>
        <v>أضف لحظة حلوة إلى يومك مع BR Baskin-Robbins Cotton Candy 120ml،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284" s="56" t="str">
        <f>IF('AYIRA MINI MART FINAL MENU - Pr'!E284="", "", 'AYIRA MINI MART FINAL MENU - Pr'!E284)</f>
        <v/>
      </c>
      <c r="F284" s="56" t="str">
        <f>IF('AYIRA MINI MART FINAL MENU - Pr'!F284="", "", 'AYIRA MINI MART FINAL MENU - Pr'!F284)</f>
        <v/>
      </c>
      <c r="G284" s="56" t="str">
        <f>IF('AYIRA MINI MART FINAL MENU - Pr'!G284="", "", 'AYIRA MINI MART FINAL MENU - Pr'!G284)</f>
        <v/>
      </c>
      <c r="H284" s="56" t="str">
        <f>IF('AYIRA MINI MART FINAL MENU - Pr'!H284="", "", 'AYIRA MINI MART FINAL MENU - Pr'!H284)</f>
        <v/>
      </c>
      <c r="I284" s="56" t="str">
        <f>IF('AYIRA MINI MART FINAL MENU - Pr'!I284="", "", 'AYIRA MINI MART FINAL MENU - Pr'!I284)</f>
        <v/>
      </c>
      <c r="J284" s="56" t="str">
        <f>IFERROR(__xludf.DUMMYFUNCTION("IF('AYIRA MINI MART FINAL MENU - Pr'!J284="""", """", GOOGLETRANSLATE('AYIRA MINI MART FINAL MENU - Pr'!J284, ""en"", ""ar""))"),"يعرض")</f>
        <v>يعرض</v>
      </c>
      <c r="K284" s="56" t="str">
        <f>IF('AYIRA MINI MART FINAL MENU - Pr'!K284="", "", 'AYIRA MINI MART FINAL MENU - Pr'!K284)</f>
        <v/>
      </c>
      <c r="L284" s="56" t="str">
        <f>IF('AYIRA MINI MART FINAL MENU - Pr'!L284="", "", 'AYIRA MINI MART FINAL MENU - Pr'!L284)</f>
        <v/>
      </c>
      <c r="M284" s="56" t="str">
        <f>IF('AYIRA MINI MART FINAL MENU - Pr'!M284="", "", 'AYIRA MINI MART FINAL MENU - Pr'!M284)</f>
        <v/>
      </c>
      <c r="N284" s="56" t="str">
        <f>IF('AYIRA MINI MART FINAL MENU - Pr'!N284="", "", 'AYIRA MINI MART FINAL MENU - Pr'!N284)</f>
        <v/>
      </c>
      <c r="O284" s="57"/>
      <c r="P284" s="57"/>
      <c r="Q284" s="57"/>
      <c r="R284" s="57"/>
      <c r="S284" s="57"/>
      <c r="T284" s="57"/>
      <c r="U284" s="57"/>
      <c r="V284" s="57"/>
      <c r="W284" s="57"/>
      <c r="X284" s="57"/>
      <c r="Y284" s="57"/>
      <c r="Z284" s="57"/>
    </row>
    <row r="285">
      <c r="A285" s="56" t="str">
        <f>IFERROR(__xludf.DUMMYFUNCTION("IF('AYIRA MINI MART FINAL MENU - Pr'!A285="""", """", IF(LEN(TRIM(REGEXREPLACE(REGEXREPLACE('AYIRA MINI MART FINAL MENU - Pr'!A285, ""^[^\x{0600}-\x{06FF}]+"", """"), ""^[-–\s]+"", """")))&gt;0, TRIM(REGEXREPLACE(REGEXREPLACE('AYIRA MINI MART FINAL MENU - Pr"&amp;"'!A285, ""^[^\x{0600}-\x{06FF}]+"", """"), ""^[-–\s]+"", """")), GOOGLETRANSLATE('AYIRA MINI MART FINAL MENU - Pr'!A285, ""en"", ""ar"")))"),"كيندر Bueno آيس كريم 62 غرام")</f>
        <v>كيندر Bueno آيس كريم 62 غرام</v>
      </c>
      <c r="B285" s="56" t="str">
        <f>IFERROR(__xludf.DUMMYFUNCTION("IF('AYIRA MINI MART FINAL MENU - Pr'!B285="""", """", IF(LEN(TRIM(REGEXREPLACE(REGEXREPLACE('AYIRA MINI MART FINAL MENU - Pr'!B285, ""^[^\x{0600}-\x{06FF}]+"", """"), ""^[-–\s]+"", """")))&gt;0, TRIM(REGEXREPLACE(REGEXREPLACE('AYIRA MINI MART FINAL MENU - Pr"&amp;"'!B285, ""^[^\x{0600}-\x{06FF}]+"", """"), ""^[-–\s]+"", """")), GOOGLETRANSLATE('AYIRA MINI MART FINAL MENU - Pr'!B285, ""en"", ""ar"")))"),"الآيس كريم")</f>
        <v>الآيس كريم</v>
      </c>
      <c r="C285" s="58">
        <f>IF('AYIRA MINI MART FINAL MENU - Pr'!C285="", "", 'AYIRA MINI MART FINAL MENU - Pr'!C285)</f>
        <v>10</v>
      </c>
      <c r="D285" s="58" t="str">
        <f>IF('AYIRA MINI MART FINAL MENU - Pr'!D285="", "", 'AYIRA MINI MART FINAL MENU - Pr'!D285)</f>
        <v>برّد أيامك الحارة مع كيندر،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85" s="56" t="str">
        <f>IF('AYIRA MINI MART FINAL MENU - Pr'!E285="", "", 'AYIRA MINI MART FINAL MENU - Pr'!E285)</f>
        <v/>
      </c>
      <c r="F285" s="56" t="str">
        <f>IF('AYIRA MINI MART FINAL MENU - Pr'!F285="", "", 'AYIRA MINI MART FINAL MENU - Pr'!F285)</f>
        <v/>
      </c>
      <c r="G285" s="56" t="str">
        <f>IF('AYIRA MINI MART FINAL MENU - Pr'!G285="", "", 'AYIRA MINI MART FINAL MENU - Pr'!G285)</f>
        <v/>
      </c>
      <c r="H285" s="56" t="str">
        <f>IF('AYIRA MINI MART FINAL MENU - Pr'!H285="", "", 'AYIRA MINI MART FINAL MENU - Pr'!H285)</f>
        <v/>
      </c>
      <c r="I285" s="56" t="str">
        <f>IF('AYIRA MINI MART FINAL MENU - Pr'!I285="", "", 'AYIRA MINI MART FINAL MENU - Pr'!I285)</f>
        <v/>
      </c>
      <c r="J285" s="56" t="str">
        <f>IFERROR(__xludf.DUMMYFUNCTION("IF('AYIRA MINI MART FINAL MENU - Pr'!J285="""", """", GOOGLETRANSLATE('AYIRA MINI MART FINAL MENU - Pr'!J285, ""en"", ""ar""))"),"إنتهى من المخزن")</f>
        <v>إنتهى من المخزن</v>
      </c>
      <c r="K285" s="56" t="str">
        <f>IF('AYIRA MINI MART FINAL MENU - Pr'!K285="", "", 'AYIRA MINI MART FINAL MENU - Pr'!K285)</f>
        <v/>
      </c>
      <c r="L285" s="56" t="str">
        <f>IF('AYIRA MINI MART FINAL MENU - Pr'!L285="", "", 'AYIRA MINI MART FINAL MENU - Pr'!L285)</f>
        <v/>
      </c>
      <c r="M285" s="56" t="str">
        <f>IF('AYIRA MINI MART FINAL MENU - Pr'!M285="", "", 'AYIRA MINI MART FINAL MENU - Pr'!M285)</f>
        <v/>
      </c>
      <c r="N285" s="56" t="str">
        <f>IF('AYIRA MINI MART FINAL MENU - Pr'!N285="", "", 'AYIRA MINI MART FINAL MENU - Pr'!N285)</f>
        <v/>
      </c>
      <c r="O285" s="57"/>
      <c r="P285" s="57"/>
      <c r="Q285" s="57"/>
      <c r="R285" s="57"/>
      <c r="S285" s="57"/>
      <c r="T285" s="57"/>
      <c r="U285" s="57"/>
      <c r="V285" s="57"/>
      <c r="W285" s="57"/>
      <c r="X285" s="57"/>
      <c r="Y285" s="57"/>
      <c r="Z285" s="57"/>
    </row>
    <row r="286">
      <c r="A286" s="56" t="str">
        <f>IFERROR(__xludf.DUMMYFUNCTION("IF('AYIRA MINI MART FINAL MENU - Pr'!A286="""", """", IF(LEN(TRIM(REGEXREPLACE(REGEXREPLACE('AYIRA MINI MART FINAL MENU - Pr'!A286, ""^[^\x{0600}-\x{06FF}]+"", """"), ""^[-–\s]+"", """")))&gt;0, TRIM(REGEXREPLACE(REGEXREPLACE('AYIRA MINI MART FINAL MENU - Pr"&amp;"'!A286, ""^[^\x{0600}-\x{06FF}]+"", """"), ""^[-–\s]+"", """")), GOOGLETRANSLATE('AYIRA MINI MART FINAL MENU - Pr'!A286, ""en"", ""ar"")))"),"كريم 120 مل")</f>
        <v>كريم 120 مل</v>
      </c>
      <c r="B286" s="56" t="str">
        <f>IFERROR(__xludf.DUMMYFUNCTION("IF('AYIRA MINI MART FINAL MENU - Pr'!B286="""", """", IF(LEN(TRIM(REGEXREPLACE(REGEXREPLACE('AYIRA MINI MART FINAL MENU - Pr'!B286, ""^[^\x{0600}-\x{06FF}]+"", """"), ""^[-–\s]+"", """")))&gt;0, TRIM(REGEXREPLACE(REGEXREPLACE('AYIRA MINI MART FINAL MENU - Pr"&amp;"'!B286, ""^[^\x{0600}-\x{06FF}]+"", """"), ""^[-–\s]+"", """")), GOOGLETRANSLATE('AYIRA MINI MART FINAL MENU - Pr'!B286, ""en"", ""ar"")))"),"الآيس كريم")</f>
        <v>الآيس كريم</v>
      </c>
      <c r="C286" s="58">
        <f>IF('AYIRA MINI MART FINAL MENU - Pr'!C286="", "", 'AYIRA MINI MART FINAL MENU - Pr'!C286)</f>
        <v>10</v>
      </c>
      <c r="D286" s="58" t="str">
        <f>IF('AYIRA MINI MART FINAL MENU - Pr'!D286="", "", 'AYIRA MINI MART FINAL MENU - Pr'!D286)</f>
        <v>برّد أيامك الحارة مع BR Baskin-Robbins Pralines ’n Cream 120ml،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86" s="56" t="str">
        <f>IF('AYIRA MINI MART FINAL MENU - Pr'!E286="", "", 'AYIRA MINI MART FINAL MENU - Pr'!E286)</f>
        <v/>
      </c>
      <c r="F286" s="56" t="str">
        <f>IF('AYIRA MINI MART FINAL MENU - Pr'!F286="", "", 'AYIRA MINI MART FINAL MENU - Pr'!F286)</f>
        <v/>
      </c>
      <c r="G286" s="56" t="str">
        <f>IF('AYIRA MINI MART FINAL MENU - Pr'!G286="", "", 'AYIRA MINI MART FINAL MENU - Pr'!G286)</f>
        <v/>
      </c>
      <c r="H286" s="56" t="str">
        <f>IF('AYIRA MINI MART FINAL MENU - Pr'!H286="", "", 'AYIRA MINI MART FINAL MENU - Pr'!H286)</f>
        <v/>
      </c>
      <c r="I286" s="56" t="str">
        <f>IF('AYIRA MINI MART FINAL MENU - Pr'!I286="", "", 'AYIRA MINI MART FINAL MENU - Pr'!I286)</f>
        <v/>
      </c>
      <c r="J286" s="56" t="str">
        <f>IFERROR(__xludf.DUMMYFUNCTION("IF('AYIRA MINI MART FINAL MENU - Pr'!J286="""", """", GOOGLETRANSLATE('AYIRA MINI MART FINAL MENU - Pr'!J286, ""en"", ""ar""))"),"يعرض")</f>
        <v>يعرض</v>
      </c>
      <c r="K286" s="56" t="str">
        <f>IF('AYIRA MINI MART FINAL MENU - Pr'!K286="", "", 'AYIRA MINI MART FINAL MENU - Pr'!K286)</f>
        <v/>
      </c>
      <c r="L286" s="56" t="str">
        <f>IF('AYIRA MINI MART FINAL MENU - Pr'!L286="", "", 'AYIRA MINI MART FINAL MENU - Pr'!L286)</f>
        <v/>
      </c>
      <c r="M286" s="56" t="str">
        <f>IF('AYIRA MINI MART FINAL MENU - Pr'!M286="", "", 'AYIRA MINI MART FINAL MENU - Pr'!M286)</f>
        <v/>
      </c>
      <c r="N286" s="56" t="str">
        <f>IF('AYIRA MINI MART FINAL MENU - Pr'!N286="", "", 'AYIRA MINI MART FINAL MENU - Pr'!N286)</f>
        <v/>
      </c>
      <c r="O286" s="57"/>
      <c r="P286" s="57"/>
      <c r="Q286" s="57"/>
      <c r="R286" s="57"/>
      <c r="S286" s="57"/>
      <c r="T286" s="57"/>
      <c r="U286" s="57"/>
      <c r="V286" s="57"/>
      <c r="W286" s="57"/>
      <c r="X286" s="57"/>
      <c r="Y286" s="57"/>
      <c r="Z286" s="57"/>
    </row>
    <row r="287">
      <c r="A287" s="56" t="str">
        <f>IFERROR(__xludf.DUMMYFUNCTION("IF('AYIRA MINI MART FINAL MENU - Pr'!A287="""", """", IF(LEN(TRIM(REGEXREPLACE(REGEXREPLACE('AYIRA MINI MART FINAL MENU - Pr'!A287, ""^[^\x{0600}-\x{06FF}]+"", """"), ""^[-–\s]+"", """")))&gt;0, TRIM(REGEXREPLACE(REGEXREPLACE('AYIRA MINI MART FINAL MENU - Pr"&amp;"'!A287, ""^[^\x{0600}-\x{06FF}]+"", """"), ""^[-–\s]+"", """")), GOOGLETRANSLATE('AYIRA MINI MART FINAL MENU - Pr'!A287, ""en"", ""ar"")))"),"إيغلو Kulfi Alphonso مانجو 65 مل")</f>
        <v>إيغلو Kulfi Alphonso مانجو 65 مل</v>
      </c>
      <c r="B287" s="56" t="str">
        <f>IFERROR(__xludf.DUMMYFUNCTION("IF('AYIRA MINI MART FINAL MENU - Pr'!B287="""", """", IF(LEN(TRIM(REGEXREPLACE(REGEXREPLACE('AYIRA MINI MART FINAL MENU - Pr'!B287, ""^[^\x{0600}-\x{06FF}]+"", """"), ""^[-–\s]+"", """")))&gt;0, TRIM(REGEXREPLACE(REGEXREPLACE('AYIRA MINI MART FINAL MENU - Pr"&amp;"'!B287, ""^[^\x{0600}-\x{06FF}]+"", """"), ""^[-–\s]+"", """")), GOOGLETRANSLATE('AYIRA MINI MART FINAL MENU - Pr'!B287, ""en"", ""ar"")))"),"الآيس كريم")</f>
        <v>الآيس كريم</v>
      </c>
      <c r="C287" s="58">
        <f>IF('AYIRA MINI MART FINAL MENU - Pr'!C287="", "", 'AYIRA MINI MART FINAL MENU - Pr'!C287)</f>
        <v>3</v>
      </c>
      <c r="D287" s="58" t="str">
        <f>IF('AYIRA MINI MART FINAL MENU - Pr'!D287="", "", 'AYIRA MINI MART FINAL MENU - Pr'!D287)</f>
        <v>برّد أيامك الحارة مع Igloo Kulfi Alphonso Mango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87" s="56" t="str">
        <f>IF('AYIRA MINI MART FINAL MENU - Pr'!E287="", "", 'AYIRA MINI MART FINAL MENU - Pr'!E287)</f>
        <v/>
      </c>
      <c r="F287" s="56" t="str">
        <f>IF('AYIRA MINI MART FINAL MENU - Pr'!F287="", "", 'AYIRA MINI MART FINAL MENU - Pr'!F287)</f>
        <v/>
      </c>
      <c r="G287" s="56" t="str">
        <f>IF('AYIRA MINI MART FINAL MENU - Pr'!G287="", "", 'AYIRA MINI MART FINAL MENU - Pr'!G287)</f>
        <v/>
      </c>
      <c r="H287" s="56" t="str">
        <f>IF('AYIRA MINI MART FINAL MENU - Pr'!H287="", "", 'AYIRA MINI MART FINAL MENU - Pr'!H287)</f>
        <v/>
      </c>
      <c r="I287" s="56" t="str">
        <f>IF('AYIRA MINI MART FINAL MENU - Pr'!I287="", "", 'AYIRA MINI MART FINAL MENU - Pr'!I287)</f>
        <v/>
      </c>
      <c r="J287" s="56" t="str">
        <f>IFERROR(__xludf.DUMMYFUNCTION("IF('AYIRA MINI MART FINAL MENU - Pr'!J287="""", """", GOOGLETRANSLATE('AYIRA MINI MART FINAL MENU - Pr'!J287, ""en"", ""ar""))"),"يعرض")</f>
        <v>يعرض</v>
      </c>
      <c r="K287" s="56" t="str">
        <f>IF('AYIRA MINI MART FINAL MENU - Pr'!K287="", "", 'AYIRA MINI MART FINAL MENU - Pr'!K287)</f>
        <v/>
      </c>
      <c r="L287" s="56" t="str">
        <f>IF('AYIRA MINI MART FINAL MENU - Pr'!L287="", "", 'AYIRA MINI MART FINAL MENU - Pr'!L287)</f>
        <v/>
      </c>
      <c r="M287" s="56" t="str">
        <f>IF('AYIRA MINI MART FINAL MENU - Pr'!M287="", "", 'AYIRA MINI MART FINAL MENU - Pr'!M287)</f>
        <v/>
      </c>
      <c r="N287" s="56" t="str">
        <f>IF('AYIRA MINI MART FINAL MENU - Pr'!N287="", "", 'AYIRA MINI MART FINAL MENU - Pr'!N287)</f>
        <v/>
      </c>
      <c r="O287" s="57"/>
      <c r="P287" s="57"/>
      <c r="Q287" s="57"/>
      <c r="R287" s="57"/>
      <c r="S287" s="57"/>
      <c r="T287" s="57"/>
      <c r="U287" s="57"/>
      <c r="V287" s="57"/>
      <c r="W287" s="57"/>
      <c r="X287" s="57"/>
      <c r="Y287" s="57"/>
      <c r="Z287" s="57"/>
    </row>
    <row r="288">
      <c r="A288" s="56" t="str">
        <f>IFERROR(__xludf.DUMMYFUNCTION("IF('AYIRA MINI MART FINAL MENU - Pr'!A288="""", """", IF(LEN(TRIM(REGEXREPLACE(REGEXREPLACE('AYIRA MINI MART FINAL MENU - Pr'!A288, ""^[^\x{0600}-\x{06FF}]+"", """"), ""^[-–\s]+"", """")))&gt;0, TRIM(REGEXREPLACE(REGEXREPLACE('AYIRA MINI MART FINAL MENU - Pr"&amp;"'!A288, ""^[^\x{0600}-\x{06FF}]+"", """"), ""^[-–\s]+"", """")), GOOGLETRANSLATE('AYIRA MINI MART FINAL MENU - Pr'!A288, ""en"", ""ar"")))"),"إيغلو Kulfi Creamy Pista 65 مل")</f>
        <v>إيغلو Kulfi Creamy Pista 65 مل</v>
      </c>
      <c r="B288" s="56" t="str">
        <f>IFERROR(__xludf.DUMMYFUNCTION("IF('AYIRA MINI MART FINAL MENU - Pr'!B288="""", """", IF(LEN(TRIM(REGEXREPLACE(REGEXREPLACE('AYIRA MINI MART FINAL MENU - Pr'!B288, ""^[^\x{0600}-\x{06FF}]+"", """"), ""^[-–\s]+"", """")))&gt;0, TRIM(REGEXREPLACE(REGEXREPLACE('AYIRA MINI MART FINAL MENU - Pr"&amp;"'!B288, ""^[^\x{0600}-\x{06FF}]+"", """"), ""^[-–\s]+"", """")), GOOGLETRANSLATE('AYIRA MINI MART FINAL MENU - Pr'!B288, ""en"", ""ar"")))"),"الآيس كريم")</f>
        <v>الآيس كريم</v>
      </c>
      <c r="C288" s="58">
        <f>IF('AYIRA MINI MART FINAL MENU - Pr'!C288="", "", 'AYIRA MINI MART FINAL MENU - Pr'!C288)</f>
        <v>3</v>
      </c>
      <c r="D288" s="58" t="str">
        <f>IF('AYIRA MINI MART FINAL MENU - Pr'!D288="", "", 'AYIRA MINI MART FINAL MENU - Pr'!D288)</f>
        <v>برّد أيامك الحارة مع Igloo Kulfi Creamy Pista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88" s="56" t="str">
        <f>IF('AYIRA MINI MART FINAL MENU - Pr'!E288="", "", 'AYIRA MINI MART FINAL MENU - Pr'!E288)</f>
        <v/>
      </c>
      <c r="F288" s="56" t="str">
        <f>IF('AYIRA MINI MART FINAL MENU - Pr'!F288="", "", 'AYIRA MINI MART FINAL MENU - Pr'!F288)</f>
        <v/>
      </c>
      <c r="G288" s="56" t="str">
        <f>IF('AYIRA MINI MART FINAL MENU - Pr'!G288="", "", 'AYIRA MINI MART FINAL MENU - Pr'!G288)</f>
        <v/>
      </c>
      <c r="H288" s="56" t="str">
        <f>IF('AYIRA MINI MART FINAL MENU - Pr'!H288="", "", 'AYIRA MINI MART FINAL MENU - Pr'!H288)</f>
        <v/>
      </c>
      <c r="I288" s="56" t="str">
        <f>IF('AYIRA MINI MART FINAL MENU - Pr'!I288="", "", 'AYIRA MINI MART FINAL MENU - Pr'!I288)</f>
        <v/>
      </c>
      <c r="J288" s="56" t="str">
        <f>IFERROR(__xludf.DUMMYFUNCTION("IF('AYIRA MINI MART FINAL MENU - Pr'!J288="""", """", GOOGLETRANSLATE('AYIRA MINI MART FINAL MENU - Pr'!J288, ""en"", ""ar""))"),"يعرض")</f>
        <v>يعرض</v>
      </c>
      <c r="K288" s="56" t="str">
        <f>IF('AYIRA MINI MART FINAL MENU - Pr'!K288="", "", 'AYIRA MINI MART FINAL MENU - Pr'!K288)</f>
        <v/>
      </c>
      <c r="L288" s="56" t="str">
        <f>IF('AYIRA MINI MART FINAL MENU - Pr'!L288="", "", 'AYIRA MINI MART FINAL MENU - Pr'!L288)</f>
        <v/>
      </c>
      <c r="M288" s="56" t="str">
        <f>IF('AYIRA MINI MART FINAL MENU - Pr'!M288="", "", 'AYIRA MINI MART FINAL MENU - Pr'!M288)</f>
        <v/>
      </c>
      <c r="N288" s="56" t="str">
        <f>IF('AYIRA MINI MART FINAL MENU - Pr'!N288="", "", 'AYIRA MINI MART FINAL MENU - Pr'!N288)</f>
        <v/>
      </c>
      <c r="O288" s="57"/>
      <c r="P288" s="57"/>
      <c r="Q288" s="57"/>
      <c r="R288" s="57"/>
      <c r="S288" s="57"/>
      <c r="T288" s="57"/>
      <c r="U288" s="57"/>
      <c r="V288" s="57"/>
      <c r="W288" s="57"/>
      <c r="X288" s="57"/>
      <c r="Y288" s="57"/>
      <c r="Z288" s="57"/>
    </row>
    <row r="289">
      <c r="A289" s="56" t="str">
        <f>IFERROR(__xludf.DUMMYFUNCTION("IF('AYIRA MINI MART FINAL MENU - Pr'!A289="""", """", IF(LEN(TRIM(REGEXREPLACE(REGEXREPLACE('AYIRA MINI MART FINAL MENU - Pr'!A289, ""^[^\x{0600}-\x{06FF}]+"", """"), ""^[-–\s]+"", """")))&gt;0, TRIM(REGEXREPLACE(REGEXREPLACE('AYIRA MINI MART FINAL MENU - Pr"&amp;"'!A289, ""^[^\x{0600}-\x{06FF}]+"", """"), ""^[-–\s]+"", """")), GOOGLETRANSLATE('AYIRA MINI MART FINAL MENU - Pr'!A289, ""en"", ""ar"")))"),"إيغلو Traditional Malai Kulfi فستق &amp; كاجو 85 غرام")</f>
        <v>إيغلو Traditional Malai Kulfi فستق &amp; كاجو 85 غرام</v>
      </c>
      <c r="B289" s="56" t="str">
        <f>IFERROR(__xludf.DUMMYFUNCTION("IF('AYIRA MINI MART FINAL MENU - Pr'!B289="""", """", IF(LEN(TRIM(REGEXREPLACE(REGEXREPLACE('AYIRA MINI MART FINAL MENU - Pr'!B289, ""^[^\x{0600}-\x{06FF}]+"", """"), ""^[-–\s]+"", """")))&gt;0, TRIM(REGEXREPLACE(REGEXREPLACE('AYIRA MINI MART FINAL MENU - Pr"&amp;"'!B289, ""^[^\x{0600}-\x{06FF}]+"", """"), ""^[-–\s]+"", """")), GOOGLETRANSLATE('AYIRA MINI MART FINAL MENU - Pr'!B289, ""en"", ""ar"")))"),"الآيس كريم")</f>
        <v>الآيس كريم</v>
      </c>
      <c r="C289" s="58">
        <f>IF('AYIRA MINI MART FINAL MENU - Pr'!C289="", "", 'AYIRA MINI MART FINAL MENU - Pr'!C289)</f>
        <v>3.5</v>
      </c>
      <c r="D289" s="58" t="str">
        <f>IF('AYIRA MINI MART FINAL MENU - Pr'!D289="", "", 'AYIRA MINI MART FINAL MENU - Pr'!D289)</f>
        <v>اختر Igloo Traditional Malai Kulfi Pistachio &amp; Cashew 85g،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289" s="56" t="str">
        <f>IF('AYIRA MINI MART FINAL MENU - Pr'!E289="", "", 'AYIRA MINI MART FINAL MENU - Pr'!E289)</f>
        <v/>
      </c>
      <c r="F289" s="56" t="str">
        <f>IF('AYIRA MINI MART FINAL MENU - Pr'!F289="", "", 'AYIRA MINI MART FINAL MENU - Pr'!F289)</f>
        <v/>
      </c>
      <c r="G289" s="56" t="str">
        <f>IF('AYIRA MINI MART FINAL MENU - Pr'!G289="", "", 'AYIRA MINI MART FINAL MENU - Pr'!G289)</f>
        <v/>
      </c>
      <c r="H289" s="56" t="str">
        <f>IF('AYIRA MINI MART FINAL MENU - Pr'!H289="", "", 'AYIRA MINI MART FINAL MENU - Pr'!H289)</f>
        <v/>
      </c>
      <c r="I289" s="56" t="str">
        <f>IF('AYIRA MINI MART FINAL MENU - Pr'!I289="", "", 'AYIRA MINI MART FINAL MENU - Pr'!I289)</f>
        <v/>
      </c>
      <c r="J289" s="56" t="str">
        <f>IFERROR(__xludf.DUMMYFUNCTION("IF('AYIRA MINI MART FINAL MENU - Pr'!J289="""", """", GOOGLETRANSLATE('AYIRA MINI MART FINAL MENU - Pr'!J289, ""en"", ""ar""))"),"يعرض")</f>
        <v>يعرض</v>
      </c>
      <c r="K289" s="56" t="str">
        <f>IF('AYIRA MINI MART FINAL MENU - Pr'!K289="", "", 'AYIRA MINI MART FINAL MENU - Pr'!K289)</f>
        <v/>
      </c>
      <c r="L289" s="56" t="str">
        <f>IF('AYIRA MINI MART FINAL MENU - Pr'!L289="", "", 'AYIRA MINI MART FINAL MENU - Pr'!L289)</f>
        <v/>
      </c>
      <c r="M289" s="56" t="str">
        <f>IF('AYIRA MINI MART FINAL MENU - Pr'!M289="", "", 'AYIRA MINI MART FINAL MENU - Pr'!M289)</f>
        <v/>
      </c>
      <c r="N289" s="56" t="str">
        <f>IF('AYIRA MINI MART FINAL MENU - Pr'!N289="", "", 'AYIRA MINI MART FINAL MENU - Pr'!N289)</f>
        <v/>
      </c>
      <c r="O289" s="57"/>
      <c r="P289" s="57"/>
      <c r="Q289" s="57"/>
      <c r="R289" s="57"/>
      <c r="S289" s="57"/>
      <c r="T289" s="57"/>
      <c r="U289" s="57"/>
      <c r="V289" s="57"/>
      <c r="W289" s="57"/>
      <c r="X289" s="57"/>
      <c r="Y289" s="57"/>
      <c r="Z289" s="57"/>
    </row>
    <row r="290">
      <c r="A290" s="56" t="str">
        <f>IFERROR(__xludf.DUMMYFUNCTION("IF('AYIRA MINI MART FINAL MENU - Pr'!A290="""", """", IF(LEN(TRIM(REGEXREPLACE(REGEXREPLACE('AYIRA MINI MART FINAL MENU - Pr'!A290, ""^[^\x{0600}-\x{06FF}]+"", """"), ""^[-–\s]+"", """")))&gt;0, TRIM(REGEXREPLACE(REGEXREPLACE('AYIRA MINI MART FINAL MENU - Pr"&amp;"'!A290, ""^[^\x{0600}-\x{06FF}]+"", """"), ""^[-–\s]+"", """")), GOOGLETRANSLATE('AYIRA MINI MART FINAL MENU - Pr'!A290, ""en"", ""ar"")))"),"إيغلو Kulfi Royal Kesari 65 مل")</f>
        <v>إيغلو Kulfi Royal Kesari 65 مل</v>
      </c>
      <c r="B290" s="56" t="str">
        <f>IFERROR(__xludf.DUMMYFUNCTION("IF('AYIRA MINI MART FINAL MENU - Pr'!B290="""", """", IF(LEN(TRIM(REGEXREPLACE(REGEXREPLACE('AYIRA MINI MART FINAL MENU - Pr'!B290, ""^[^\x{0600}-\x{06FF}]+"", """"), ""^[-–\s]+"", """")))&gt;0, TRIM(REGEXREPLACE(REGEXREPLACE('AYIRA MINI MART FINAL MENU - Pr"&amp;"'!B290, ""^[^\x{0600}-\x{06FF}]+"", """"), ""^[-–\s]+"", """")), GOOGLETRANSLATE('AYIRA MINI MART FINAL MENU - Pr'!B290, ""en"", ""ar"")))"),"الآيس كريم")</f>
        <v>الآيس كريم</v>
      </c>
      <c r="C290" s="58">
        <f>IF('AYIRA MINI MART FINAL MENU - Pr'!C290="", "", 'AYIRA MINI MART FINAL MENU - Pr'!C290)</f>
        <v>3</v>
      </c>
      <c r="D290" s="58" t="str">
        <f>IF('AYIRA MINI MART FINAL MENU - Pr'!D290="", "", 'AYIRA MINI MART FINAL MENU - Pr'!D290)</f>
        <v>برّد أيامك الحارة مع Igloo Kulfi Royal Kesari 65ml،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0" s="56" t="str">
        <f>IF('AYIRA MINI MART FINAL MENU - Pr'!E290="", "", 'AYIRA MINI MART FINAL MENU - Pr'!E290)</f>
        <v/>
      </c>
      <c r="F290" s="56" t="str">
        <f>IF('AYIRA MINI MART FINAL MENU - Pr'!F290="", "", 'AYIRA MINI MART FINAL MENU - Pr'!F290)</f>
        <v/>
      </c>
      <c r="G290" s="56" t="str">
        <f>IF('AYIRA MINI MART FINAL MENU - Pr'!G290="", "", 'AYIRA MINI MART FINAL MENU - Pr'!G290)</f>
        <v/>
      </c>
      <c r="H290" s="56" t="str">
        <f>IF('AYIRA MINI MART FINAL MENU - Pr'!H290="", "", 'AYIRA MINI MART FINAL MENU - Pr'!H290)</f>
        <v/>
      </c>
      <c r="I290" s="56" t="str">
        <f>IF('AYIRA MINI MART FINAL MENU - Pr'!I290="", "", 'AYIRA MINI MART FINAL MENU - Pr'!I290)</f>
        <v/>
      </c>
      <c r="J290" s="56" t="str">
        <f>IFERROR(__xludf.DUMMYFUNCTION("IF('AYIRA MINI MART FINAL MENU - Pr'!J290="""", """", GOOGLETRANSLATE('AYIRA MINI MART FINAL MENU - Pr'!J290, ""en"", ""ar""))"),"يعرض")</f>
        <v>يعرض</v>
      </c>
      <c r="K290" s="56" t="str">
        <f>IF('AYIRA MINI MART FINAL MENU - Pr'!K290="", "", 'AYIRA MINI MART FINAL MENU - Pr'!K290)</f>
        <v/>
      </c>
      <c r="L290" s="56" t="str">
        <f>IF('AYIRA MINI MART FINAL MENU - Pr'!L290="", "", 'AYIRA MINI MART FINAL MENU - Pr'!L290)</f>
        <v/>
      </c>
      <c r="M290" s="56" t="str">
        <f>IF('AYIRA MINI MART FINAL MENU - Pr'!M290="", "", 'AYIRA MINI MART FINAL MENU - Pr'!M290)</f>
        <v/>
      </c>
      <c r="N290" s="56" t="str">
        <f>IF('AYIRA MINI MART FINAL MENU - Pr'!N290="", "", 'AYIRA MINI MART FINAL MENU - Pr'!N290)</f>
        <v/>
      </c>
      <c r="O290" s="57"/>
      <c r="P290" s="57"/>
      <c r="Q290" s="57"/>
      <c r="R290" s="57"/>
      <c r="S290" s="57"/>
      <c r="T290" s="57"/>
      <c r="U290" s="57"/>
      <c r="V290" s="57"/>
      <c r="W290" s="57"/>
      <c r="X290" s="57"/>
      <c r="Y290" s="57"/>
      <c r="Z290" s="57"/>
    </row>
    <row r="291">
      <c r="A291" s="56" t="str">
        <f>IFERROR(__xludf.DUMMYFUNCTION("IF('AYIRA MINI MART FINAL MENU - Pr'!A291="""", """", IF(LEN(TRIM(REGEXREPLACE(REGEXREPLACE('AYIRA MINI MART FINAL MENU - Pr'!A291, ""^[^\x{0600}-\x{06FF}]+"", """"), ""^[-–\s]+"", """")))&gt;0, TRIM(REGEXREPLACE(REGEXREPLACE('AYIRA MINI MART FINAL MENU - Pr"&amp;"'!A291, ""^[^\x{0600}-\x{06FF}]+"", """"), ""^[-–\s]+"", """")), GOOGLETRANSLATE('AYIRA MINI MART FINAL MENU - Pr'!A291, ""en"", ""ar"")))"),"إيغلو بوش أب Semi-Milk")</f>
        <v>إيغلو بوش أب Semi-Milk</v>
      </c>
      <c r="B291" s="56" t="str">
        <f>IFERROR(__xludf.DUMMYFUNCTION("IF('AYIRA MINI MART FINAL MENU - Pr'!B291="""", """", IF(LEN(TRIM(REGEXREPLACE(REGEXREPLACE('AYIRA MINI MART FINAL MENU - Pr'!B291, ""^[^\x{0600}-\x{06FF}]+"", """"), ""^[-–\s]+"", """")))&gt;0, TRIM(REGEXREPLACE(REGEXREPLACE('AYIRA MINI MART FINAL MENU - Pr"&amp;"'!B291, ""^[^\x{0600}-\x{06FF}]+"", """"), ""^[-–\s]+"", """")), GOOGLETRANSLATE('AYIRA MINI MART FINAL MENU - Pr'!B291, ""en"", ""ar"")))"),"الآيس كريم")</f>
        <v>الآيس كريم</v>
      </c>
      <c r="C291" s="58">
        <f>IF('AYIRA MINI MART FINAL MENU - Pr'!C291="", "", 'AYIRA MINI MART FINAL MENU - Pr'!C291)</f>
        <v>3.5</v>
      </c>
      <c r="D291" s="58" t="str">
        <f>IF('AYIRA MINI MART FINAL MENU - Pr'!D291="", "", 'AYIRA MINI MART FINAL MENU - Pr'!D291)</f>
        <v>برّد أيامك الحارة مع Igloo Push Up Semi-Milk،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1" s="56" t="str">
        <f>IF('AYIRA MINI MART FINAL MENU - Pr'!E291="", "", 'AYIRA MINI MART FINAL MENU - Pr'!E291)</f>
        <v/>
      </c>
      <c r="F291" s="56" t="str">
        <f>IF('AYIRA MINI MART FINAL MENU - Pr'!F291="", "", 'AYIRA MINI MART FINAL MENU - Pr'!F291)</f>
        <v/>
      </c>
      <c r="G291" s="56" t="str">
        <f>IF('AYIRA MINI MART FINAL MENU - Pr'!G291="", "", 'AYIRA MINI MART FINAL MENU - Pr'!G291)</f>
        <v/>
      </c>
      <c r="H291" s="56" t="str">
        <f>IF('AYIRA MINI MART FINAL MENU - Pr'!H291="", "", 'AYIRA MINI MART FINAL MENU - Pr'!H291)</f>
        <v/>
      </c>
      <c r="I291" s="56" t="str">
        <f>IF('AYIRA MINI MART FINAL MENU - Pr'!I291="", "", 'AYIRA MINI MART FINAL MENU - Pr'!I291)</f>
        <v/>
      </c>
      <c r="J291" s="56" t="str">
        <f>IFERROR(__xludf.DUMMYFUNCTION("IF('AYIRA MINI MART FINAL MENU - Pr'!J291="""", """", GOOGLETRANSLATE('AYIRA MINI MART FINAL MENU - Pr'!J291, ""en"", ""ar""))"),"يعرض")</f>
        <v>يعرض</v>
      </c>
      <c r="K291" s="56" t="str">
        <f>IF('AYIRA MINI MART FINAL MENU - Pr'!K291="", "", 'AYIRA MINI MART FINAL MENU - Pr'!K291)</f>
        <v/>
      </c>
      <c r="L291" s="56" t="str">
        <f>IF('AYIRA MINI MART FINAL MENU - Pr'!L291="", "", 'AYIRA MINI MART FINAL MENU - Pr'!L291)</f>
        <v/>
      </c>
      <c r="M291" s="56" t="str">
        <f>IF('AYIRA MINI MART FINAL MENU - Pr'!M291="", "", 'AYIRA MINI MART FINAL MENU - Pr'!M291)</f>
        <v/>
      </c>
      <c r="N291" s="56" t="str">
        <f>IF('AYIRA MINI MART FINAL MENU - Pr'!N291="", "", 'AYIRA MINI MART FINAL MENU - Pr'!N291)</f>
        <v/>
      </c>
      <c r="O291" s="57"/>
      <c r="P291" s="57"/>
      <c r="Q291" s="57"/>
      <c r="R291" s="57"/>
      <c r="S291" s="57"/>
      <c r="T291" s="57"/>
      <c r="U291" s="57"/>
      <c r="V291" s="57"/>
      <c r="W291" s="57"/>
      <c r="X291" s="57"/>
      <c r="Y291" s="57"/>
      <c r="Z291" s="57"/>
    </row>
    <row r="292">
      <c r="A292" s="56" t="str">
        <f>IFERROR(__xludf.DUMMYFUNCTION("IF('AYIRA MINI MART FINAL MENU - Pr'!A292="""", """", IF(LEN(TRIM(REGEXREPLACE(REGEXREPLACE('AYIRA MINI MART FINAL MENU - Pr'!A292, ""^[^\x{0600}-\x{06FF}]+"", """"), ""^[-–\s]+"", """")))&gt;0, TRIM(REGEXREPLACE(REGEXREPLACE('AYIRA MINI MART FINAL MENU - Pr"&amp;"'!A292, ""^[^\x{0600}-\x{06FF}]+"", """"), ""^[-–\s]+"", """")), GOOGLETRANSLATE('AYIRA MINI MART FINAL MENU - Pr'!A292, ""en"", ""ar"")))"),"آيس كريم 90 غرام")</f>
        <v>آيس كريم 90 غرام</v>
      </c>
      <c r="B292" s="56" t="str">
        <f>IFERROR(__xludf.DUMMYFUNCTION("IF('AYIRA MINI MART FINAL MENU - Pr'!B292="""", """", IF(LEN(TRIM(REGEXREPLACE(REGEXREPLACE('AYIRA MINI MART FINAL MENU - Pr'!B292, ""^[^\x{0600}-\x{06FF}]+"", """"), ""^[-–\s]+"", """")))&gt;0, TRIM(REGEXREPLACE(REGEXREPLACE('AYIRA MINI MART FINAL MENU - Pr"&amp;"'!B292, ""^[^\x{0600}-\x{06FF}]+"", """"), ""^[-–\s]+"", """")), GOOGLETRANSLATE('AYIRA MINI MART FINAL MENU - Pr'!B292, ""en"", ""ar"")))"),"الآيس كريم")</f>
        <v>الآيس كريم</v>
      </c>
      <c r="C292" s="58">
        <f>IF('AYIRA MINI MART FINAL MENU - Pr'!C292="", "", 'AYIRA MINI MART FINAL MENU - Pr'!C292)</f>
        <v>4.5</v>
      </c>
      <c r="D292" s="58" t="str">
        <f>IF('AYIRA MINI MART FINAL MENU - Pr'!D292="", "", 'AYIRA MINI MART FINAL MENU - Pr'!D292)</f>
        <v>برّد أيامك الحارة مع Dairy Sarin Ice Cream 90g،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2" s="56" t="str">
        <f>IF('AYIRA MINI MART FINAL MENU - Pr'!E292="", "", 'AYIRA MINI MART FINAL MENU - Pr'!E292)</f>
        <v/>
      </c>
      <c r="F292" s="56" t="str">
        <f>IF('AYIRA MINI MART FINAL MENU - Pr'!F292="", "", 'AYIRA MINI MART FINAL MENU - Pr'!F292)</f>
        <v/>
      </c>
      <c r="G292" s="56" t="str">
        <f>IF('AYIRA MINI MART FINAL MENU - Pr'!G292="", "", 'AYIRA MINI MART FINAL MENU - Pr'!G292)</f>
        <v/>
      </c>
      <c r="H292" s="56" t="str">
        <f>IF('AYIRA MINI MART FINAL MENU - Pr'!H292="", "", 'AYIRA MINI MART FINAL MENU - Pr'!H292)</f>
        <v/>
      </c>
      <c r="I292" s="56" t="str">
        <f>IF('AYIRA MINI MART FINAL MENU - Pr'!I292="", "", 'AYIRA MINI MART FINAL MENU - Pr'!I292)</f>
        <v/>
      </c>
      <c r="J292" s="56" t="str">
        <f>IFERROR(__xludf.DUMMYFUNCTION("IF('AYIRA MINI MART FINAL MENU - Pr'!J292="""", """", GOOGLETRANSLATE('AYIRA MINI MART FINAL MENU - Pr'!J292, ""en"", ""ar""))"),"يعرض")</f>
        <v>يعرض</v>
      </c>
      <c r="K292" s="56" t="str">
        <f>IF('AYIRA MINI MART FINAL MENU - Pr'!K292="", "", 'AYIRA MINI MART FINAL MENU - Pr'!K292)</f>
        <v/>
      </c>
      <c r="L292" s="56" t="str">
        <f>IF('AYIRA MINI MART FINAL MENU - Pr'!L292="", "", 'AYIRA MINI MART FINAL MENU - Pr'!L292)</f>
        <v/>
      </c>
      <c r="M292" s="56" t="str">
        <f>IF('AYIRA MINI MART FINAL MENU - Pr'!M292="", "", 'AYIRA MINI MART FINAL MENU - Pr'!M292)</f>
        <v/>
      </c>
      <c r="N292" s="56" t="str">
        <f>IF('AYIRA MINI MART FINAL MENU - Pr'!N292="", "", 'AYIRA MINI MART FINAL MENU - Pr'!N292)</f>
        <v/>
      </c>
      <c r="O292" s="57"/>
      <c r="P292" s="57"/>
      <c r="Q292" s="57"/>
      <c r="R292" s="57"/>
      <c r="S292" s="57"/>
      <c r="T292" s="57"/>
      <c r="U292" s="57"/>
      <c r="V292" s="57"/>
      <c r="W292" s="57"/>
      <c r="X292" s="57"/>
      <c r="Y292" s="57"/>
      <c r="Z292" s="57"/>
    </row>
    <row r="293">
      <c r="A293" s="56" t="str">
        <f>IFERROR(__xludf.DUMMYFUNCTION("IF('AYIRA MINI MART FINAL MENU - Pr'!A293="""", """", IF(LEN(TRIM(REGEXREPLACE(REGEXREPLACE('AYIRA MINI MART FINAL MENU - Pr'!A293, ""^[^\x{0600}-\x{06FF}]+"", """"), ""^[-–\s]+"", """")))&gt;0, TRIM(REGEXREPLACE(REGEXREPLACE('AYIRA MINI MART FINAL MENU - Pr"&amp;"'!A293, ""^[^\x{0600}-\x{06FF}]+"", """"), ""^[-–\s]+"", """")), GOOGLETRANSLATE('AYIRA MINI MART FINAL MENU - Pr'!A293, ""en"", ""ar"")))"),"إيغلو Big 3 in 1 آيس كريم 58 غرام")</f>
        <v>إيغلو Big 3 in 1 آيس كريم 58 غرام</v>
      </c>
      <c r="B293" s="56" t="str">
        <f>IFERROR(__xludf.DUMMYFUNCTION("IF('AYIRA MINI MART FINAL MENU - Pr'!B293="""", """", IF(LEN(TRIM(REGEXREPLACE(REGEXREPLACE('AYIRA MINI MART FINAL MENU - Pr'!B293, ""^[^\x{0600}-\x{06FF}]+"", """"), ""^[-–\s]+"", """")))&gt;0, TRIM(REGEXREPLACE(REGEXREPLACE('AYIRA MINI MART FINAL MENU - Pr"&amp;"'!B293, ""^[^\x{0600}-\x{06FF}]+"", """"), ""^[-–\s]+"", """")), GOOGLETRANSLATE('AYIRA MINI MART FINAL MENU - Pr'!B293, ""en"", ""ar"")))"),"الآيس كريم")</f>
        <v>الآيس كريم</v>
      </c>
      <c r="C293" s="58">
        <f>IF('AYIRA MINI MART FINAL MENU - Pr'!C293="", "", 'AYIRA MINI MART FINAL MENU - Pr'!C293)</f>
        <v>2</v>
      </c>
      <c r="D293" s="58" t="str">
        <f>IF('AYIRA MINI MART FINAL MENU - Pr'!D293="", "", 'AYIRA MINI MART FINAL MENU - Pr'!D293)</f>
        <v>برّد أيامك الحارة مع Igloo Big 3 in 1 Ice Cream 58g،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3" s="56" t="str">
        <f>IF('AYIRA MINI MART FINAL MENU - Pr'!E293="", "", 'AYIRA MINI MART FINAL MENU - Pr'!E293)</f>
        <v/>
      </c>
      <c r="F293" s="56" t="str">
        <f>IF('AYIRA MINI MART FINAL MENU - Pr'!F293="", "", 'AYIRA MINI MART FINAL MENU - Pr'!F293)</f>
        <v/>
      </c>
      <c r="G293" s="56" t="str">
        <f>IF('AYIRA MINI MART FINAL MENU - Pr'!G293="", "", 'AYIRA MINI MART FINAL MENU - Pr'!G293)</f>
        <v/>
      </c>
      <c r="H293" s="56" t="str">
        <f>IF('AYIRA MINI MART FINAL MENU - Pr'!H293="", "", 'AYIRA MINI MART FINAL MENU - Pr'!H293)</f>
        <v/>
      </c>
      <c r="I293" s="56" t="str">
        <f>IF('AYIRA MINI MART FINAL MENU - Pr'!I293="", "", 'AYIRA MINI MART FINAL MENU - Pr'!I293)</f>
        <v/>
      </c>
      <c r="J293" s="56" t="str">
        <f>IFERROR(__xludf.DUMMYFUNCTION("IF('AYIRA MINI MART FINAL MENU - Pr'!J293="""", """", GOOGLETRANSLATE('AYIRA MINI MART FINAL MENU - Pr'!J293, ""en"", ""ar""))"),"يعرض")</f>
        <v>يعرض</v>
      </c>
      <c r="K293" s="56" t="str">
        <f>IF('AYIRA MINI MART FINAL MENU - Pr'!K293="", "", 'AYIRA MINI MART FINAL MENU - Pr'!K293)</f>
        <v/>
      </c>
      <c r="L293" s="56" t="str">
        <f>IF('AYIRA MINI MART FINAL MENU - Pr'!L293="", "", 'AYIRA MINI MART FINAL MENU - Pr'!L293)</f>
        <v/>
      </c>
      <c r="M293" s="56" t="str">
        <f>IF('AYIRA MINI MART FINAL MENU - Pr'!M293="", "", 'AYIRA MINI MART FINAL MENU - Pr'!M293)</f>
        <v/>
      </c>
      <c r="N293" s="56" t="str">
        <f>IF('AYIRA MINI MART FINAL MENU - Pr'!N293="", "", 'AYIRA MINI MART FINAL MENU - Pr'!N293)</f>
        <v/>
      </c>
      <c r="O293" s="57"/>
      <c r="P293" s="57"/>
      <c r="Q293" s="57"/>
      <c r="R293" s="57"/>
      <c r="S293" s="57"/>
      <c r="T293" s="57"/>
      <c r="U293" s="57"/>
      <c r="V293" s="57"/>
      <c r="W293" s="57"/>
      <c r="X293" s="57"/>
      <c r="Y293" s="57"/>
      <c r="Z293" s="57"/>
    </row>
    <row r="294">
      <c r="A294" s="56" t="str">
        <f>IFERROR(__xludf.DUMMYFUNCTION("IF('AYIRA MINI MART FINAL MENU - Pr'!A294="""", """", IF(LEN(TRIM(REGEXREPLACE(REGEXREPLACE('AYIRA MINI MART FINAL MENU - Pr'!A294, ""^[^\x{0600}-\x{06FF}]+"", """"), ""^[-–\s]+"", """")))&gt;0, TRIM(REGEXREPLACE(REGEXREPLACE('AYIRA MINI MART FINAL MENU - Pr"&amp;"'!A294, ""^[^\x{0600}-\x{06FF}]+"", """"), ""^[-–\s]+"", """")), GOOGLETRANSLATE('AYIRA MINI MART FINAL MENU - Pr'!A294, ""en"", ""ar"")))"),"إيغلو Hyperloop آيس كريم 68 غرام")</f>
        <v>إيغلو Hyperloop آيس كريم 68 غرام</v>
      </c>
      <c r="B294" s="56" t="str">
        <f>IFERROR(__xludf.DUMMYFUNCTION("IF('AYIRA MINI MART FINAL MENU - Pr'!B294="""", """", IF(LEN(TRIM(REGEXREPLACE(REGEXREPLACE('AYIRA MINI MART FINAL MENU - Pr'!B294, ""^[^\x{0600}-\x{06FF}]+"", """"), ""^[-–\s]+"", """")))&gt;0, TRIM(REGEXREPLACE(REGEXREPLACE('AYIRA MINI MART FINAL MENU - Pr"&amp;"'!B294, ""^[^\x{0600}-\x{06FF}]+"", """"), ""^[-–\s]+"", """")), GOOGLETRANSLATE('AYIRA MINI MART FINAL MENU - Pr'!B294, ""en"", ""ar"")))"),"الآيس كريم")</f>
        <v>الآيس كريم</v>
      </c>
      <c r="C294" s="58">
        <f>IF('AYIRA MINI MART FINAL MENU - Pr'!C294="", "", 'AYIRA MINI MART FINAL MENU - Pr'!C294)</f>
        <v>2.5</v>
      </c>
      <c r="D294" s="58" t="str">
        <f>IF('AYIRA MINI MART FINAL MENU - Pr'!D294="", "", 'AYIRA MINI MART FINAL MENU - Pr'!D294)</f>
        <v>برّد أيامك الحارة مع Igloo Hyperloop Ice Cream 68g،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4" s="56" t="str">
        <f>IF('AYIRA MINI MART FINAL MENU - Pr'!E294="", "", 'AYIRA MINI MART FINAL MENU - Pr'!E294)</f>
        <v/>
      </c>
      <c r="F294" s="56" t="str">
        <f>IF('AYIRA MINI MART FINAL MENU - Pr'!F294="", "", 'AYIRA MINI MART FINAL MENU - Pr'!F294)</f>
        <v/>
      </c>
      <c r="G294" s="56" t="str">
        <f>IF('AYIRA MINI MART FINAL MENU - Pr'!G294="", "", 'AYIRA MINI MART FINAL MENU - Pr'!G294)</f>
        <v/>
      </c>
      <c r="H294" s="56" t="str">
        <f>IF('AYIRA MINI MART FINAL MENU - Pr'!H294="", "", 'AYIRA MINI MART FINAL MENU - Pr'!H294)</f>
        <v/>
      </c>
      <c r="I294" s="56" t="str">
        <f>IF('AYIRA MINI MART FINAL MENU - Pr'!I294="", "", 'AYIRA MINI MART FINAL MENU - Pr'!I294)</f>
        <v/>
      </c>
      <c r="J294" s="56" t="str">
        <f>IFERROR(__xludf.DUMMYFUNCTION("IF('AYIRA MINI MART FINAL MENU - Pr'!J294="""", """", GOOGLETRANSLATE('AYIRA MINI MART FINAL MENU - Pr'!J294, ""en"", ""ar""))"),"يعرض")</f>
        <v>يعرض</v>
      </c>
      <c r="K294" s="56" t="str">
        <f>IF('AYIRA MINI MART FINAL MENU - Pr'!K294="", "", 'AYIRA MINI MART FINAL MENU - Pr'!K294)</f>
        <v/>
      </c>
      <c r="L294" s="56" t="str">
        <f>IF('AYIRA MINI MART FINAL MENU - Pr'!L294="", "", 'AYIRA MINI MART FINAL MENU - Pr'!L294)</f>
        <v/>
      </c>
      <c r="M294" s="56" t="str">
        <f>IF('AYIRA MINI MART FINAL MENU - Pr'!M294="", "", 'AYIRA MINI MART FINAL MENU - Pr'!M294)</f>
        <v/>
      </c>
      <c r="N294" s="56" t="str">
        <f>IF('AYIRA MINI MART FINAL MENU - Pr'!N294="", "", 'AYIRA MINI MART FINAL MENU - Pr'!N294)</f>
        <v/>
      </c>
      <c r="O294" s="57"/>
      <c r="P294" s="57"/>
      <c r="Q294" s="57"/>
      <c r="R294" s="57"/>
      <c r="S294" s="57"/>
      <c r="T294" s="57"/>
      <c r="U294" s="57"/>
      <c r="V294" s="57"/>
      <c r="W294" s="57"/>
      <c r="X294" s="57"/>
      <c r="Y294" s="57"/>
      <c r="Z294" s="57"/>
    </row>
    <row r="295">
      <c r="A295" s="56" t="str">
        <f>IFERROR(__xludf.DUMMYFUNCTION("IF('AYIRA MINI MART FINAL MENU - Pr'!A295="""", """", IF(LEN(TRIM(REGEXREPLACE(REGEXREPLACE('AYIRA MINI MART FINAL MENU - Pr'!A295, ""^[^\x{0600}-\x{06FF}]+"", """"), ""^[-–\s]+"", """")))&gt;0, TRIM(REGEXREPLACE(REGEXREPLACE('AYIRA MINI MART FINAL MENU - Pr"&amp;"'!A295, ""^[^\x{0600}-\x{06FF}]+"", """"), ""^[-–\s]+"", """")), GOOGLETRANSLATE('AYIRA MINI MART FINAL MENU - Pr'!A295, ""en"", ""ar"")))"),"إيغلو فانيليا ساندويتش Evens 55 غرام")</f>
        <v>إيغلو فانيليا ساندويتش Evens 55 غرام</v>
      </c>
      <c r="B295" s="56" t="str">
        <f>IFERROR(__xludf.DUMMYFUNCTION("IF('AYIRA MINI MART FINAL MENU - Pr'!B295="""", """", IF(LEN(TRIM(REGEXREPLACE(REGEXREPLACE('AYIRA MINI MART FINAL MENU - Pr'!B295, ""^[^\x{0600}-\x{06FF}]+"", """"), ""^[-–\s]+"", """")))&gt;0, TRIM(REGEXREPLACE(REGEXREPLACE('AYIRA MINI MART FINAL MENU - Pr"&amp;"'!B295, ""^[^\x{0600}-\x{06FF}]+"", """"), ""^[-–\s]+"", """")), GOOGLETRANSLATE('AYIRA MINI MART FINAL MENU - Pr'!B295, ""en"", ""ar"")))"),"الآيس كريم")</f>
        <v>الآيس كريم</v>
      </c>
      <c r="C295" s="58">
        <f>IF('AYIRA MINI MART FINAL MENU - Pr'!C295="", "", 'AYIRA MINI MART FINAL MENU - Pr'!C295)</f>
        <v>2.5</v>
      </c>
      <c r="D295" s="58" t="str">
        <f>IF('AYIRA MINI MART FINAL MENU - Pr'!D295="", "", 'AYIRA MINI MART FINAL MENU - Pr'!D295)</f>
        <v>برّد أيامك الحارة مع Igloo Vanilla Sandwich Evens 55g،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5" s="56" t="str">
        <f>IF('AYIRA MINI MART FINAL MENU - Pr'!E295="", "", 'AYIRA MINI MART FINAL MENU - Pr'!E295)</f>
        <v/>
      </c>
      <c r="F295" s="56" t="str">
        <f>IF('AYIRA MINI MART FINAL MENU - Pr'!F295="", "", 'AYIRA MINI MART FINAL MENU - Pr'!F295)</f>
        <v/>
      </c>
      <c r="G295" s="56" t="str">
        <f>IF('AYIRA MINI MART FINAL MENU - Pr'!G295="", "", 'AYIRA MINI MART FINAL MENU - Pr'!G295)</f>
        <v/>
      </c>
      <c r="H295" s="56" t="str">
        <f>IF('AYIRA MINI MART FINAL MENU - Pr'!H295="", "", 'AYIRA MINI MART FINAL MENU - Pr'!H295)</f>
        <v/>
      </c>
      <c r="I295" s="56" t="str">
        <f>IF('AYIRA MINI MART FINAL MENU - Pr'!I295="", "", 'AYIRA MINI MART FINAL MENU - Pr'!I295)</f>
        <v/>
      </c>
      <c r="J295" s="56" t="str">
        <f>IFERROR(__xludf.DUMMYFUNCTION("IF('AYIRA MINI MART FINAL MENU - Pr'!J295="""", """", GOOGLETRANSLATE('AYIRA MINI MART FINAL MENU - Pr'!J295, ""en"", ""ar""))"),"يعرض")</f>
        <v>يعرض</v>
      </c>
      <c r="K295" s="56" t="str">
        <f>IF('AYIRA MINI MART FINAL MENU - Pr'!K295="", "", 'AYIRA MINI MART FINAL MENU - Pr'!K295)</f>
        <v/>
      </c>
      <c r="L295" s="56" t="str">
        <f>IF('AYIRA MINI MART FINAL MENU - Pr'!L295="", "", 'AYIRA MINI MART FINAL MENU - Pr'!L295)</f>
        <v/>
      </c>
      <c r="M295" s="56" t="str">
        <f>IF('AYIRA MINI MART FINAL MENU - Pr'!M295="", "", 'AYIRA MINI MART FINAL MENU - Pr'!M295)</f>
        <v/>
      </c>
      <c r="N295" s="56" t="str">
        <f>IF('AYIRA MINI MART FINAL MENU - Pr'!N295="", "", 'AYIRA MINI MART FINAL MENU - Pr'!N295)</f>
        <v/>
      </c>
      <c r="O295" s="57"/>
      <c r="P295" s="57"/>
      <c r="Q295" s="57"/>
      <c r="R295" s="57"/>
      <c r="S295" s="57"/>
      <c r="T295" s="57"/>
      <c r="U295" s="57"/>
      <c r="V295" s="57"/>
      <c r="W295" s="57"/>
      <c r="X295" s="57"/>
      <c r="Y295" s="57"/>
      <c r="Z295" s="57"/>
    </row>
    <row r="296">
      <c r="A296" s="56" t="str">
        <f>IFERROR(__xludf.DUMMYFUNCTION("IF('AYIRA MINI MART FINAL MENU - Pr'!A296="""", """", IF(LEN(TRIM(REGEXREPLACE(REGEXREPLACE('AYIRA MINI MART FINAL MENU - Pr'!A296, ""^[^\x{0600}-\x{06FF}]+"", """"), ""^[-–\s]+"", """")))&gt;0, TRIM(REGEXREPLACE(REGEXREPLACE('AYIRA MINI MART FINAL MENU - Pr"&amp;"'!A296, ""^[^\x{0600}-\x{06FF}]+"", """"), ""^[-–\s]+"", """")), GOOGLETRANSLATE('AYIRA MINI MART FINAL MENU - Pr'!A296, ""en"", ""ar"")))"),"غرام")</f>
        <v>غرام</v>
      </c>
      <c r="B296" s="56" t="str">
        <f>IFERROR(__xludf.DUMMYFUNCTION("IF('AYIRA MINI MART FINAL MENU - Pr'!B296="""", """", IF(LEN(TRIM(REGEXREPLACE(REGEXREPLACE('AYIRA MINI MART FINAL MENU - Pr'!B296, ""^[^\x{0600}-\x{06FF}]+"", """"), ""^[-–\s]+"", """")))&gt;0, TRIM(REGEXREPLACE(REGEXREPLACE('AYIRA MINI MART FINAL MENU - Pr"&amp;"'!B296, ""^[^\x{0600}-\x{06FF}]+"", """"), ""^[-–\s]+"", """")), GOOGLETRANSLATE('AYIRA MINI MART FINAL MENU - Pr'!B296, ""en"", ""ar"")))"),"الآيس كريم")</f>
        <v>الآيس كريم</v>
      </c>
      <c r="C296" s="58">
        <f>IF('AYIRA MINI MART FINAL MENU - Pr'!C296="", "", 'AYIRA MINI MART FINAL MENU - Pr'!C296)</f>
        <v>1.5</v>
      </c>
      <c r="D296" s="58" t="str">
        <f>IF('AYIRA MINI MART FINAL MENU - Pr'!D296="", "", 'AYIRA MINI MART FINAL MENU - Pr'!D296)</f>
        <v>برّد أيامك الحارة مع Ice Pop Blue Raspberry 54g،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6" s="56" t="str">
        <f>IF('AYIRA MINI MART FINAL MENU - Pr'!E296="", "", 'AYIRA MINI MART FINAL MENU - Pr'!E296)</f>
        <v/>
      </c>
      <c r="F296" s="56" t="str">
        <f>IF('AYIRA MINI MART FINAL MENU - Pr'!F296="", "", 'AYIRA MINI MART FINAL MENU - Pr'!F296)</f>
        <v/>
      </c>
      <c r="G296" s="56" t="str">
        <f>IF('AYIRA MINI MART FINAL MENU - Pr'!G296="", "", 'AYIRA MINI MART FINAL MENU - Pr'!G296)</f>
        <v/>
      </c>
      <c r="H296" s="56" t="str">
        <f>IF('AYIRA MINI MART FINAL MENU - Pr'!H296="", "", 'AYIRA MINI MART FINAL MENU - Pr'!H296)</f>
        <v/>
      </c>
      <c r="I296" s="56" t="str">
        <f>IF('AYIRA MINI MART FINAL MENU - Pr'!I296="", "", 'AYIRA MINI MART FINAL MENU - Pr'!I296)</f>
        <v/>
      </c>
      <c r="J296" s="56" t="str">
        <f>IFERROR(__xludf.DUMMYFUNCTION("IF('AYIRA MINI MART FINAL MENU - Pr'!J296="""", """", GOOGLETRANSLATE('AYIRA MINI MART FINAL MENU - Pr'!J296, ""en"", ""ar""))"),"يعرض")</f>
        <v>يعرض</v>
      </c>
      <c r="K296" s="56" t="str">
        <f>IF('AYIRA MINI MART FINAL MENU - Pr'!K296="", "", 'AYIRA MINI MART FINAL MENU - Pr'!K296)</f>
        <v/>
      </c>
      <c r="L296" s="56" t="str">
        <f>IF('AYIRA MINI MART FINAL MENU - Pr'!L296="", "", 'AYIRA MINI MART FINAL MENU - Pr'!L296)</f>
        <v/>
      </c>
      <c r="M296" s="56" t="str">
        <f>IF('AYIRA MINI MART FINAL MENU - Pr'!M296="", "", 'AYIRA MINI MART FINAL MENU - Pr'!M296)</f>
        <v/>
      </c>
      <c r="N296" s="56" t="str">
        <f>IF('AYIRA MINI MART FINAL MENU - Pr'!N296="", "", 'AYIRA MINI MART FINAL MENU - Pr'!N296)</f>
        <v/>
      </c>
      <c r="O296" s="57"/>
      <c r="P296" s="57"/>
      <c r="Q296" s="57"/>
      <c r="R296" s="57"/>
      <c r="S296" s="57"/>
      <c r="T296" s="57"/>
      <c r="U296" s="57"/>
      <c r="V296" s="57"/>
      <c r="W296" s="57"/>
      <c r="X296" s="57"/>
      <c r="Y296" s="57"/>
      <c r="Z296" s="57"/>
    </row>
    <row r="297">
      <c r="A297" s="56" t="str">
        <f>IFERROR(__xludf.DUMMYFUNCTION("IF('AYIRA MINI MART FINAL MENU - Pr'!A297="""", """", IF(LEN(TRIM(REGEXREPLACE(REGEXREPLACE('AYIRA MINI MART FINAL MENU - Pr'!A297, ""^[^\x{0600}-\x{06FF}]+"", """"), ""^[-–\s]+"", """")))&gt;0, TRIM(REGEXREPLACE(REGEXREPLACE('AYIRA MINI MART FINAL MENU - Pr"&amp;"'!A297, ""^[^\x{0600}-\x{06FF}]+"", """"), ""^[-–\s]+"", """")), GOOGLETRANSLATE('AYIRA MINI MART FINAL MENU - Pr'!A297, ""en"", ""ar"")))"),"حليب فانيليا 44 غرام")</f>
        <v>حليب فانيليا 44 غرام</v>
      </c>
      <c r="B297" s="56" t="str">
        <f>IFERROR(__xludf.DUMMYFUNCTION("IF('AYIRA MINI MART FINAL MENU - Pr'!B297="""", """", IF(LEN(TRIM(REGEXREPLACE(REGEXREPLACE('AYIRA MINI MART FINAL MENU - Pr'!B297, ""^[^\x{0600}-\x{06FF}]+"", """"), ""^[-–\s]+"", """")))&gt;0, TRIM(REGEXREPLACE(REGEXREPLACE('AYIRA MINI MART FINAL MENU - Pr"&amp;"'!B297, ""^[^\x{0600}-\x{06FF}]+"", """"), ""^[-–\s]+"", """")), GOOGLETRANSLATE('AYIRA MINI MART FINAL MENU - Pr'!B297, ""en"", ""ar"")))"),"الآيس كريم")</f>
        <v>الآيس كريم</v>
      </c>
      <c r="C297" s="58">
        <f>IF('AYIRA MINI MART FINAL MENU - Pr'!C297="", "", 'AYIRA MINI MART FINAL MENU - Pr'!C297)</f>
        <v>1.5</v>
      </c>
      <c r="D297" s="58" t="str">
        <f>IF('AYIRA MINI MART FINAL MENU - Pr'!D297="", "", 'AYIRA MINI MART FINAL MENU - Pr'!D297)</f>
        <v>برّد أيامك الحارة مع Semi-Ice Milk Vanilla 44g،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7" s="56" t="str">
        <f>IF('AYIRA MINI MART FINAL MENU - Pr'!E297="", "", 'AYIRA MINI MART FINAL MENU - Pr'!E297)</f>
        <v/>
      </c>
      <c r="F297" s="56" t="str">
        <f>IF('AYIRA MINI MART FINAL MENU - Pr'!F297="", "", 'AYIRA MINI MART FINAL MENU - Pr'!F297)</f>
        <v/>
      </c>
      <c r="G297" s="56" t="str">
        <f>IF('AYIRA MINI MART FINAL MENU - Pr'!G297="", "", 'AYIRA MINI MART FINAL MENU - Pr'!G297)</f>
        <v/>
      </c>
      <c r="H297" s="56" t="str">
        <f>IF('AYIRA MINI MART FINAL MENU - Pr'!H297="", "", 'AYIRA MINI MART FINAL MENU - Pr'!H297)</f>
        <v/>
      </c>
      <c r="I297" s="56" t="str">
        <f>IF('AYIRA MINI MART FINAL MENU - Pr'!I297="", "", 'AYIRA MINI MART FINAL MENU - Pr'!I297)</f>
        <v/>
      </c>
      <c r="J297" s="56" t="str">
        <f>IFERROR(__xludf.DUMMYFUNCTION("IF('AYIRA MINI MART FINAL MENU - Pr'!J297="""", """", GOOGLETRANSLATE('AYIRA MINI MART FINAL MENU - Pr'!J297, ""en"", ""ar""))"),"يعرض")</f>
        <v>يعرض</v>
      </c>
      <c r="K297" s="56" t="str">
        <f>IF('AYIRA MINI MART FINAL MENU - Pr'!K297="", "", 'AYIRA MINI MART FINAL MENU - Pr'!K297)</f>
        <v/>
      </c>
      <c r="L297" s="56" t="str">
        <f>IF('AYIRA MINI MART FINAL MENU - Pr'!L297="", "", 'AYIRA MINI MART FINAL MENU - Pr'!L297)</f>
        <v/>
      </c>
      <c r="M297" s="56" t="str">
        <f>IF('AYIRA MINI MART FINAL MENU - Pr'!M297="", "", 'AYIRA MINI MART FINAL MENU - Pr'!M297)</f>
        <v/>
      </c>
      <c r="N297" s="56" t="str">
        <f>IF('AYIRA MINI MART FINAL MENU - Pr'!N297="", "", 'AYIRA MINI MART FINAL MENU - Pr'!N297)</f>
        <v/>
      </c>
      <c r="O297" s="57"/>
      <c r="P297" s="57"/>
      <c r="Q297" s="57"/>
      <c r="R297" s="57"/>
      <c r="S297" s="57"/>
      <c r="T297" s="57"/>
      <c r="U297" s="57"/>
      <c r="V297" s="57"/>
      <c r="W297" s="57"/>
      <c r="X297" s="57"/>
      <c r="Y297" s="57"/>
      <c r="Z297" s="57"/>
    </row>
    <row r="298">
      <c r="A298" s="56" t="str">
        <f>IFERROR(__xludf.DUMMYFUNCTION("IF('AYIRA MINI MART FINAL MENU - Pr'!A298="""", """", IF(LEN(TRIM(REGEXREPLACE(REGEXREPLACE('AYIRA MINI MART FINAL MENU - Pr'!A298, ""^[^\x{0600}-\x{06FF}]+"", """"), ""^[-–\s]+"", """")))&gt;0, TRIM(REGEXREPLACE(REGEXREPLACE('AYIRA MINI MART FINAL MENU - Pr"&amp;"'!A298, ""^[^\x{0600}-\x{06FF}]+"", """"), ""^[-–\s]+"", """")), GOOGLETRANSLATE('AYIRA MINI MART FINAL MENU - Pr'!A298, ""en"", ""ar"")))"),"غرام")</f>
        <v>غرام</v>
      </c>
      <c r="B298" s="56" t="str">
        <f>IFERROR(__xludf.DUMMYFUNCTION("IF('AYIRA MINI MART FINAL MENU - Pr'!B298="""", """", IF(LEN(TRIM(REGEXREPLACE(REGEXREPLACE('AYIRA MINI MART FINAL MENU - Pr'!B298, ""^[^\x{0600}-\x{06FF}]+"", """"), ""^[-–\s]+"", """")))&gt;0, TRIM(REGEXREPLACE(REGEXREPLACE('AYIRA MINI MART FINAL MENU - Pr"&amp;"'!B298, ""^[^\x{0600}-\x{06FF}]+"", """"), ""^[-–\s]+"", """")), GOOGLETRANSLATE('AYIRA MINI MART FINAL MENU - Pr'!B298, ""en"", ""ar"")))"),"الآيس كريم")</f>
        <v>الآيس كريم</v>
      </c>
      <c r="C298" s="58">
        <f>IF('AYIRA MINI MART FINAL MENU - Pr'!C298="", "", 'AYIRA MINI MART FINAL MENU - Pr'!C298)</f>
        <v>3.5</v>
      </c>
      <c r="D298" s="58" t="str">
        <f>IF('AYIRA MINI MART FINAL MENU - Pr'!D298="", "", 'AYIRA MINI MART FINAL MENU - Pr'!D298)</f>
        <v>برّد أيامك الحارة مع Dairy Fruity Spiral 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8" s="56" t="str">
        <f>IF('AYIRA MINI MART FINAL MENU - Pr'!E298="", "", 'AYIRA MINI MART FINAL MENU - Pr'!E298)</f>
        <v/>
      </c>
      <c r="F298" s="56" t="str">
        <f>IF('AYIRA MINI MART FINAL MENU - Pr'!F298="", "", 'AYIRA MINI MART FINAL MENU - Pr'!F298)</f>
        <v/>
      </c>
      <c r="G298" s="56" t="str">
        <f>IF('AYIRA MINI MART FINAL MENU - Pr'!G298="", "", 'AYIRA MINI MART FINAL MENU - Pr'!G298)</f>
        <v/>
      </c>
      <c r="H298" s="56" t="str">
        <f>IF('AYIRA MINI MART FINAL MENU - Pr'!H298="", "", 'AYIRA MINI MART FINAL MENU - Pr'!H298)</f>
        <v/>
      </c>
      <c r="I298" s="56" t="str">
        <f>IF('AYIRA MINI MART FINAL MENU - Pr'!I298="", "", 'AYIRA MINI MART FINAL MENU - Pr'!I298)</f>
        <v/>
      </c>
      <c r="J298" s="56" t="str">
        <f>IFERROR(__xludf.DUMMYFUNCTION("IF('AYIRA MINI MART FINAL MENU - Pr'!J298="""", """", GOOGLETRANSLATE('AYIRA MINI MART FINAL MENU - Pr'!J298, ""en"", ""ar""))"),"يعرض")</f>
        <v>يعرض</v>
      </c>
      <c r="K298" s="56" t="str">
        <f>IF('AYIRA MINI MART FINAL MENU - Pr'!K298="", "", 'AYIRA MINI MART FINAL MENU - Pr'!K298)</f>
        <v/>
      </c>
      <c r="L298" s="56" t="str">
        <f>IF('AYIRA MINI MART FINAL MENU - Pr'!L298="", "", 'AYIRA MINI MART FINAL MENU - Pr'!L298)</f>
        <v/>
      </c>
      <c r="M298" s="56" t="str">
        <f>IF('AYIRA MINI MART FINAL MENU - Pr'!M298="", "", 'AYIRA MINI MART FINAL MENU - Pr'!M298)</f>
        <v/>
      </c>
      <c r="N298" s="56" t="str">
        <f>IF('AYIRA MINI MART FINAL MENU - Pr'!N298="", "", 'AYIRA MINI MART FINAL MENU - Pr'!N298)</f>
        <v/>
      </c>
      <c r="O298" s="57"/>
      <c r="P298" s="57"/>
      <c r="Q298" s="57"/>
      <c r="R298" s="57"/>
      <c r="S298" s="57"/>
      <c r="T298" s="57"/>
      <c r="U298" s="57"/>
      <c r="V298" s="57"/>
      <c r="W298" s="57"/>
      <c r="X298" s="57"/>
      <c r="Y298" s="57"/>
      <c r="Z298" s="57"/>
    </row>
    <row r="299">
      <c r="A299" s="56" t="str">
        <f>IFERROR(__xludf.DUMMYFUNCTION("IF('AYIRA MINI MART FINAL MENU - Pr'!A299="""", """", IF(LEN(TRIM(REGEXREPLACE(REGEXREPLACE('AYIRA MINI MART FINAL MENU - Pr'!A299, ""^[^\x{0600}-\x{06FF}]+"", """"), ""^[-–\s]+"", """")))&gt;0, TRIM(REGEXREPLACE(REGEXREPLACE('AYIRA MINI MART FINAL MENU - Pr"&amp;"'!A299, ""^[^\x{0600}-\x{06FF}]+"", """"), ""^[-–\s]+"", """")), GOOGLETRANSLATE('AYIRA MINI MART FINAL MENU - Pr'!A299, ""en"", ""ar"")))"),"داندي Swirly آيس كريم 80 مل")</f>
        <v>داندي Swirly آيس كريم 80 مل</v>
      </c>
      <c r="B299" s="56" t="str">
        <f>IFERROR(__xludf.DUMMYFUNCTION("IF('AYIRA MINI MART FINAL MENU - Pr'!B299="""", """", IF(LEN(TRIM(REGEXREPLACE(REGEXREPLACE('AYIRA MINI MART FINAL MENU - Pr'!B299, ""^[^\x{0600}-\x{06FF}]+"", """"), ""^[-–\s]+"", """")))&gt;0, TRIM(REGEXREPLACE(REGEXREPLACE('AYIRA MINI MART FINAL MENU - Pr"&amp;"'!B299, ""^[^\x{0600}-\x{06FF}]+"", """"), ""^[-–\s]+"", """")), GOOGLETRANSLATE('AYIRA MINI MART FINAL MENU - Pr'!B299, ""en"", ""ar"")))"),"الآيس كريم")</f>
        <v>الآيس كريم</v>
      </c>
      <c r="C299" s="58">
        <f>IF('AYIRA MINI MART FINAL MENU - Pr'!C299="", "", 'AYIRA MINI MART FINAL MENU - Pr'!C299)</f>
        <v>1.5</v>
      </c>
      <c r="D299" s="58" t="str">
        <f>IF('AYIRA MINI MART FINAL MENU - Pr'!D299="", "", 'AYIRA MINI MART FINAL MENU - Pr'!D299)</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299" s="56" t="str">
        <f>IF('AYIRA MINI MART FINAL MENU - Pr'!E299="", "", 'AYIRA MINI MART FINAL MENU - Pr'!E299)</f>
        <v/>
      </c>
      <c r="F299" s="56" t="str">
        <f>IF('AYIRA MINI MART FINAL MENU - Pr'!F299="", "", 'AYIRA MINI MART FINAL MENU - Pr'!F299)</f>
        <v/>
      </c>
      <c r="G299" s="56" t="str">
        <f>IF('AYIRA MINI MART FINAL MENU - Pr'!G299="", "", 'AYIRA MINI MART FINAL MENU - Pr'!G299)</f>
        <v/>
      </c>
      <c r="H299" s="56" t="str">
        <f>IF('AYIRA MINI MART FINAL MENU - Pr'!H299="", "", 'AYIRA MINI MART FINAL MENU - Pr'!H299)</f>
        <v/>
      </c>
      <c r="I299" s="56" t="str">
        <f>IF('AYIRA MINI MART FINAL MENU - Pr'!I299="", "", 'AYIRA MINI MART FINAL MENU - Pr'!I299)</f>
        <v/>
      </c>
      <c r="J299" s="56" t="str">
        <f>IFERROR(__xludf.DUMMYFUNCTION("IF('AYIRA MINI MART FINAL MENU - Pr'!J299="""", """", GOOGLETRANSLATE('AYIRA MINI MART FINAL MENU - Pr'!J299, ""en"", ""ar""))"),"يعرض")</f>
        <v>يعرض</v>
      </c>
      <c r="K299" s="56" t="str">
        <f>IF('AYIRA MINI MART FINAL MENU - Pr'!K299="", "", 'AYIRA MINI MART FINAL MENU - Pr'!K299)</f>
        <v/>
      </c>
      <c r="L299" s="56" t="str">
        <f>IF('AYIRA MINI MART FINAL MENU - Pr'!L299="", "", 'AYIRA MINI MART FINAL MENU - Pr'!L299)</f>
        <v/>
      </c>
      <c r="M299" s="56" t="str">
        <f>IF('AYIRA MINI MART FINAL MENU - Pr'!M299="", "", 'AYIRA MINI MART FINAL MENU - Pr'!M299)</f>
        <v/>
      </c>
      <c r="N299" s="56" t="str">
        <f>IF('AYIRA MINI MART FINAL MENU - Pr'!N299="", "", 'AYIRA MINI MART FINAL MENU - Pr'!N299)</f>
        <v/>
      </c>
      <c r="O299" s="57"/>
      <c r="P299" s="57"/>
      <c r="Q299" s="57"/>
      <c r="R299" s="57"/>
      <c r="S299" s="57"/>
      <c r="T299" s="57"/>
      <c r="U299" s="57"/>
      <c r="V299" s="57"/>
      <c r="W299" s="57"/>
      <c r="X299" s="57"/>
      <c r="Y299" s="57"/>
      <c r="Z299" s="57"/>
    </row>
    <row r="300">
      <c r="A300" s="56" t="str">
        <f>IFERROR(__xludf.DUMMYFUNCTION("IF('AYIRA MINI MART FINAL MENU - Pr'!A300="""", """", IF(LEN(TRIM(REGEXREPLACE(REGEXREPLACE('AYIRA MINI MART FINAL MENU - Pr'!A300, ""^[^\x{0600}-\x{06FF}]+"", """"), ""^[-–\s]+"", """")))&gt;0, TRIM(REGEXREPLACE(REGEXREPLACE('AYIRA MINI MART FINAL MENU - Pr"&amp;"'!A300, ""^[^\x{0600}-\x{06FF}]+"", """"), ""^[-–\s]+"", """")), GOOGLETRANSLATE('AYIRA MINI MART FINAL MENU - Pr'!A300, ""en"", ""ar"")))"),"داندي فول سوداني Delight آيس كريم 100 مل")</f>
        <v>داندي فول سوداني Delight آيس كريم 100 مل</v>
      </c>
      <c r="B300" s="56" t="str">
        <f>IFERROR(__xludf.DUMMYFUNCTION("IF('AYIRA MINI MART FINAL MENU - Pr'!B300="""", """", IF(LEN(TRIM(REGEXREPLACE(REGEXREPLACE('AYIRA MINI MART FINAL MENU - Pr'!B300, ""^[^\x{0600}-\x{06FF}]+"", """"), ""^[-–\s]+"", """")))&gt;0, TRIM(REGEXREPLACE(REGEXREPLACE('AYIRA MINI MART FINAL MENU - Pr"&amp;"'!B300, ""^[^\x{0600}-\x{06FF}]+"", """"), ""^[-–\s]+"", """")), GOOGLETRANSLATE('AYIRA MINI MART FINAL MENU - Pr'!B300, ""en"", ""ar"")))"),"الآيس كريم")</f>
        <v>الآيس كريم</v>
      </c>
      <c r="C300" s="58">
        <f>IF('AYIRA MINI MART FINAL MENU - Pr'!C300="", "", 'AYIRA MINI MART FINAL MENU - Pr'!C300)</f>
        <v>3.5</v>
      </c>
      <c r="D300" s="58" t="str">
        <f>IF('AYIRA MINI MART FINAL MENU - Pr'!D300="", "", 'AYIRA MINI MART FINAL MENU - Pr'!D300)</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0" s="56" t="str">
        <f>IF('AYIRA MINI MART FINAL MENU - Pr'!E300="", "", 'AYIRA MINI MART FINAL MENU - Pr'!E300)</f>
        <v/>
      </c>
      <c r="F300" s="56" t="str">
        <f>IF('AYIRA MINI MART FINAL MENU - Pr'!F300="", "", 'AYIRA MINI MART FINAL MENU - Pr'!F300)</f>
        <v/>
      </c>
      <c r="G300" s="56" t="str">
        <f>IF('AYIRA MINI MART FINAL MENU - Pr'!G300="", "", 'AYIRA MINI MART FINAL MENU - Pr'!G300)</f>
        <v/>
      </c>
      <c r="H300" s="56" t="str">
        <f>IF('AYIRA MINI MART FINAL MENU - Pr'!H300="", "", 'AYIRA MINI MART FINAL MENU - Pr'!H300)</f>
        <v/>
      </c>
      <c r="I300" s="56" t="str">
        <f>IF('AYIRA MINI MART FINAL MENU - Pr'!I300="", "", 'AYIRA MINI MART FINAL MENU - Pr'!I300)</f>
        <v/>
      </c>
      <c r="J300" s="56" t="str">
        <f>IFERROR(__xludf.DUMMYFUNCTION("IF('AYIRA MINI MART FINAL MENU - Pr'!J300="""", """", GOOGLETRANSLATE('AYIRA MINI MART FINAL MENU - Pr'!J300, ""en"", ""ar""))"),"يعرض")</f>
        <v>يعرض</v>
      </c>
      <c r="K300" s="56" t="str">
        <f>IF('AYIRA MINI MART FINAL MENU - Pr'!K300="", "", 'AYIRA MINI MART FINAL MENU - Pr'!K300)</f>
        <v/>
      </c>
      <c r="L300" s="56" t="str">
        <f>IF('AYIRA MINI MART FINAL MENU - Pr'!L300="", "", 'AYIRA MINI MART FINAL MENU - Pr'!L300)</f>
        <v/>
      </c>
      <c r="M300" s="56" t="str">
        <f>IF('AYIRA MINI MART FINAL MENU - Pr'!M300="", "", 'AYIRA MINI MART FINAL MENU - Pr'!M300)</f>
        <v/>
      </c>
      <c r="N300" s="56" t="str">
        <f>IF('AYIRA MINI MART FINAL MENU - Pr'!N300="", "", 'AYIRA MINI MART FINAL MENU - Pr'!N300)</f>
        <v/>
      </c>
      <c r="O300" s="57"/>
      <c r="P300" s="57"/>
      <c r="Q300" s="57"/>
      <c r="R300" s="57"/>
      <c r="S300" s="57"/>
      <c r="T300" s="57"/>
      <c r="U300" s="57"/>
      <c r="V300" s="57"/>
      <c r="W300" s="57"/>
      <c r="X300" s="57"/>
      <c r="Y300" s="57"/>
      <c r="Z300" s="57"/>
    </row>
    <row r="301">
      <c r="A301" s="56" t="str">
        <f>IFERROR(__xludf.DUMMYFUNCTION("IF('AYIRA MINI MART FINAL MENU - Pr'!A301="""", """", IF(LEN(TRIM(REGEXREPLACE(REGEXREPLACE('AYIRA MINI MART FINAL MENU - Pr'!A301, ""^[^\x{0600}-\x{06FF}]+"", """"), ""^[-–\s]+"", """")))&gt;0, TRIM(REGEXREPLACE(REGEXREPLACE('AYIRA MINI MART FINAL MENU - Pr"&amp;"'!A301, ""^[^\x{0600}-\x{06FF}]+"", """"), ""^[-–\s]+"", """")), GOOGLETRANSLATE('AYIRA MINI MART FINAL MENU - Pr'!A301, ""en"", ""ar"")))"),"داندي Choco مكسرات آيس كريم 85 مل")</f>
        <v>داندي Choco مكسرات آيس كريم 85 مل</v>
      </c>
      <c r="B301" s="56" t="str">
        <f>IFERROR(__xludf.DUMMYFUNCTION("IF('AYIRA MINI MART FINAL MENU - Pr'!B301="""", """", IF(LEN(TRIM(REGEXREPLACE(REGEXREPLACE('AYIRA MINI MART FINAL MENU - Pr'!B301, ""^[^\x{0600}-\x{06FF}]+"", """"), ""^[-–\s]+"", """")))&gt;0, TRIM(REGEXREPLACE(REGEXREPLACE('AYIRA MINI MART FINAL MENU - Pr"&amp;"'!B301, ""^[^\x{0600}-\x{06FF}]+"", """"), ""^[-–\s]+"", """")), GOOGLETRANSLATE('AYIRA MINI MART FINAL MENU - Pr'!B301, ""en"", ""ar"")))"),"الآيس كريم")</f>
        <v>الآيس كريم</v>
      </c>
      <c r="C301" s="58">
        <f>IF('AYIRA MINI MART FINAL MENU - Pr'!C301="", "", 'AYIRA MINI MART FINAL MENU - Pr'!C301)</f>
        <v>3</v>
      </c>
      <c r="D301" s="58" t="str">
        <f>IF('AYIRA MINI MART FINAL MENU - Pr'!D301="", "", 'AYIRA MINI MART FINAL MENU - Pr'!D301)</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1" s="56" t="str">
        <f>IF('AYIRA MINI MART FINAL MENU - Pr'!E301="", "", 'AYIRA MINI MART FINAL MENU - Pr'!E301)</f>
        <v/>
      </c>
      <c r="F301" s="56" t="str">
        <f>IF('AYIRA MINI MART FINAL MENU - Pr'!F301="", "", 'AYIRA MINI MART FINAL MENU - Pr'!F301)</f>
        <v/>
      </c>
      <c r="G301" s="56" t="str">
        <f>IF('AYIRA MINI MART FINAL MENU - Pr'!G301="", "", 'AYIRA MINI MART FINAL MENU - Pr'!G301)</f>
        <v/>
      </c>
      <c r="H301" s="56" t="str">
        <f>IF('AYIRA MINI MART FINAL MENU - Pr'!H301="", "", 'AYIRA MINI MART FINAL MENU - Pr'!H301)</f>
        <v/>
      </c>
      <c r="I301" s="56" t="str">
        <f>IF('AYIRA MINI MART FINAL MENU - Pr'!I301="", "", 'AYIRA MINI MART FINAL MENU - Pr'!I301)</f>
        <v/>
      </c>
      <c r="J301" s="56" t="str">
        <f>IFERROR(__xludf.DUMMYFUNCTION("IF('AYIRA MINI MART FINAL MENU - Pr'!J301="""", """", GOOGLETRANSLATE('AYIRA MINI MART FINAL MENU - Pr'!J301, ""en"", ""ar""))"),"يعرض")</f>
        <v>يعرض</v>
      </c>
      <c r="K301" s="56" t="str">
        <f>IF('AYIRA MINI MART FINAL MENU - Pr'!K301="", "", 'AYIRA MINI MART FINAL MENU - Pr'!K301)</f>
        <v/>
      </c>
      <c r="L301" s="56" t="str">
        <f>IF('AYIRA MINI MART FINAL MENU - Pr'!L301="", "", 'AYIRA MINI MART FINAL MENU - Pr'!L301)</f>
        <v/>
      </c>
      <c r="M301" s="56" t="str">
        <f>IF('AYIRA MINI MART FINAL MENU - Pr'!M301="", "", 'AYIRA MINI MART FINAL MENU - Pr'!M301)</f>
        <v/>
      </c>
      <c r="N301" s="56" t="str">
        <f>IF('AYIRA MINI MART FINAL MENU - Pr'!N301="", "", 'AYIRA MINI MART FINAL MENU - Pr'!N301)</f>
        <v/>
      </c>
      <c r="O301" s="57"/>
      <c r="P301" s="57"/>
      <c r="Q301" s="57"/>
      <c r="R301" s="57"/>
      <c r="S301" s="57"/>
      <c r="T301" s="57"/>
      <c r="U301" s="57"/>
      <c r="V301" s="57"/>
      <c r="W301" s="57"/>
      <c r="X301" s="57"/>
      <c r="Y301" s="57"/>
      <c r="Z301" s="57"/>
    </row>
    <row r="302">
      <c r="A302" s="56" t="str">
        <f>IFERROR(__xludf.DUMMYFUNCTION("IF('AYIRA MINI MART FINAL MENU - Pr'!A302="""", """", IF(LEN(TRIM(REGEXREPLACE(REGEXREPLACE('AYIRA MINI MART FINAL MENU - Pr'!A302, ""^[^\x{0600}-\x{06FF}]+"", """"), ""^[-–\s]+"", """")))&gt;0, TRIM(REGEXREPLACE(REGEXREPLACE('AYIRA MINI MART FINAL MENU - Pr"&amp;"'!A302, ""^[^\x{0600}-\x{06FF}]+"", """"), ""^[-–\s]+"", """")), GOOGLETRANSLATE('AYIRA MINI MART FINAL MENU - Pr'!A302, ""en"", ""ar"")))"),"داندي لوز Delight آيس كريم 100 مل")</f>
        <v>داندي لوز Delight آيس كريم 100 مل</v>
      </c>
      <c r="B302" s="56" t="str">
        <f>IFERROR(__xludf.DUMMYFUNCTION("IF('AYIRA MINI MART FINAL MENU - Pr'!B302="""", """", IF(LEN(TRIM(REGEXREPLACE(REGEXREPLACE('AYIRA MINI MART FINAL MENU - Pr'!B302, ""^[^\x{0600}-\x{06FF}]+"", """"), ""^[-–\s]+"", """")))&gt;0, TRIM(REGEXREPLACE(REGEXREPLACE('AYIRA MINI MART FINAL MENU - Pr"&amp;"'!B302, ""^[^\x{0600}-\x{06FF}]+"", """"), ""^[-–\s]+"", """")), GOOGLETRANSLATE('AYIRA MINI MART FINAL MENU - Pr'!B302, ""en"", ""ar"")))"),"الآيس كريم")</f>
        <v>الآيس كريم</v>
      </c>
      <c r="C302" s="58">
        <f>IF('AYIRA MINI MART FINAL MENU - Pr'!C302="", "", 'AYIRA MINI MART FINAL MENU - Pr'!C302)</f>
        <v>3.5</v>
      </c>
      <c r="D302" s="58" t="str">
        <f>IF('AYIRA MINI MART FINAL MENU - Pr'!D302="", "", 'AYIRA MINI MART FINAL MENU - Pr'!D302)</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2" s="56" t="str">
        <f>IF('AYIRA MINI MART FINAL MENU - Pr'!E302="", "", 'AYIRA MINI MART FINAL MENU - Pr'!E302)</f>
        <v/>
      </c>
      <c r="F302" s="56" t="str">
        <f>IF('AYIRA MINI MART FINAL MENU - Pr'!F302="", "", 'AYIRA MINI MART FINAL MENU - Pr'!F302)</f>
        <v/>
      </c>
      <c r="G302" s="56" t="str">
        <f>IF('AYIRA MINI MART FINAL MENU - Pr'!G302="", "", 'AYIRA MINI MART FINAL MENU - Pr'!G302)</f>
        <v/>
      </c>
      <c r="H302" s="56" t="str">
        <f>IF('AYIRA MINI MART FINAL MENU - Pr'!H302="", "", 'AYIRA MINI MART FINAL MENU - Pr'!H302)</f>
        <v/>
      </c>
      <c r="I302" s="56" t="str">
        <f>IF('AYIRA MINI MART FINAL MENU - Pr'!I302="", "", 'AYIRA MINI MART FINAL MENU - Pr'!I302)</f>
        <v/>
      </c>
      <c r="J302" s="56" t="str">
        <f>IFERROR(__xludf.DUMMYFUNCTION("IF('AYIRA MINI MART FINAL MENU - Pr'!J302="""", """", GOOGLETRANSLATE('AYIRA MINI MART FINAL MENU - Pr'!J302, ""en"", ""ar""))"),"يعرض")</f>
        <v>يعرض</v>
      </c>
      <c r="K302" s="56" t="str">
        <f>IF('AYIRA MINI MART FINAL MENU - Pr'!K302="", "", 'AYIRA MINI MART FINAL MENU - Pr'!K302)</f>
        <v/>
      </c>
      <c r="L302" s="56" t="str">
        <f>IF('AYIRA MINI MART FINAL MENU - Pr'!L302="", "", 'AYIRA MINI MART FINAL MENU - Pr'!L302)</f>
        <v/>
      </c>
      <c r="M302" s="56" t="str">
        <f>IF('AYIRA MINI MART FINAL MENU - Pr'!M302="", "", 'AYIRA MINI MART FINAL MENU - Pr'!M302)</f>
        <v/>
      </c>
      <c r="N302" s="56" t="str">
        <f>IF('AYIRA MINI MART FINAL MENU - Pr'!N302="", "", 'AYIRA MINI MART FINAL MENU - Pr'!N302)</f>
        <v/>
      </c>
      <c r="O302" s="57"/>
      <c r="P302" s="57"/>
      <c r="Q302" s="57"/>
      <c r="R302" s="57"/>
      <c r="S302" s="57"/>
      <c r="T302" s="57"/>
      <c r="U302" s="57"/>
      <c r="V302" s="57"/>
      <c r="W302" s="57"/>
      <c r="X302" s="57"/>
      <c r="Y302" s="57"/>
      <c r="Z302" s="57"/>
    </row>
    <row r="303">
      <c r="A303" s="56" t="str">
        <f>IFERROR(__xludf.DUMMYFUNCTION("IF('AYIRA MINI MART FINAL MENU - Pr'!A303="""", """", IF(LEN(TRIM(REGEXREPLACE(REGEXREPLACE('AYIRA MINI MART FINAL MENU - Pr'!A303, ""^[^\x{0600}-\x{06FF}]+"", """"), ""^[-–\s]+"", """")))&gt;0, TRIM(REGEXREPLACE(REGEXREPLACE('AYIRA MINI MART FINAL MENU - Pr"&amp;"'!A303, ""^[^\x{0600}-\x{06FF}]+"", """"), ""^[-–\s]+"", """")), GOOGLETRANSLATE('AYIRA MINI MART FINAL MENU - Pr'!A303, ""en"", ""ar"")))"),"داندي 50-50 آيس كريم 100 مل")</f>
        <v>داندي 50-50 آيس كريم 100 مل</v>
      </c>
      <c r="B303" s="56" t="str">
        <f>IFERROR(__xludf.DUMMYFUNCTION("IF('AYIRA MINI MART FINAL MENU - Pr'!B303="""", """", IF(LEN(TRIM(REGEXREPLACE(REGEXREPLACE('AYIRA MINI MART FINAL MENU - Pr'!B303, ""^[^\x{0600}-\x{06FF}]+"", """"), ""^[-–\s]+"", """")))&gt;0, TRIM(REGEXREPLACE(REGEXREPLACE('AYIRA MINI MART FINAL MENU - Pr"&amp;"'!B303, ""^[^\x{0600}-\x{06FF}]+"", """"), ""^[-–\s]+"", """")), GOOGLETRANSLATE('AYIRA MINI MART FINAL MENU - Pr'!B303, ""en"", ""ar"")))"),"الآيس كريم")</f>
        <v>الآيس كريم</v>
      </c>
      <c r="C303" s="58">
        <f>IF('AYIRA MINI MART FINAL MENU - Pr'!C303="", "", 'AYIRA MINI MART FINAL MENU - Pr'!C303)</f>
        <v>3.5</v>
      </c>
      <c r="D303" s="58" t="str">
        <f>IF('AYIRA MINI MART FINAL MENU - Pr'!D303="", "", 'AYIRA MINI MART FINAL MENU - Pr'!D303)</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3" s="56" t="str">
        <f>IF('AYIRA MINI MART FINAL MENU - Pr'!E303="", "", 'AYIRA MINI MART FINAL MENU - Pr'!E303)</f>
        <v/>
      </c>
      <c r="F303" s="56" t="str">
        <f>IF('AYIRA MINI MART FINAL MENU - Pr'!F303="", "", 'AYIRA MINI MART FINAL MENU - Pr'!F303)</f>
        <v/>
      </c>
      <c r="G303" s="56" t="str">
        <f>IF('AYIRA MINI MART FINAL MENU - Pr'!G303="", "", 'AYIRA MINI MART FINAL MENU - Pr'!G303)</f>
        <v/>
      </c>
      <c r="H303" s="56" t="str">
        <f>IF('AYIRA MINI MART FINAL MENU - Pr'!H303="", "", 'AYIRA MINI MART FINAL MENU - Pr'!H303)</f>
        <v/>
      </c>
      <c r="I303" s="56" t="str">
        <f>IF('AYIRA MINI MART FINAL MENU - Pr'!I303="", "", 'AYIRA MINI MART FINAL MENU - Pr'!I303)</f>
        <v/>
      </c>
      <c r="J303" s="56" t="str">
        <f>IFERROR(__xludf.DUMMYFUNCTION("IF('AYIRA MINI MART FINAL MENU - Pr'!J303="""", """", GOOGLETRANSLATE('AYIRA MINI MART FINAL MENU - Pr'!J303, ""en"", ""ar""))"),"يعرض")</f>
        <v>يعرض</v>
      </c>
      <c r="K303" s="56" t="str">
        <f>IF('AYIRA MINI MART FINAL MENU - Pr'!K303="", "", 'AYIRA MINI MART FINAL MENU - Pr'!K303)</f>
        <v/>
      </c>
      <c r="L303" s="56" t="str">
        <f>IF('AYIRA MINI MART FINAL MENU - Pr'!L303="", "", 'AYIRA MINI MART FINAL MENU - Pr'!L303)</f>
        <v/>
      </c>
      <c r="M303" s="56" t="str">
        <f>IF('AYIRA MINI MART FINAL MENU - Pr'!M303="", "", 'AYIRA MINI MART FINAL MENU - Pr'!M303)</f>
        <v/>
      </c>
      <c r="N303" s="56" t="str">
        <f>IF('AYIRA MINI MART FINAL MENU - Pr'!N303="", "", 'AYIRA MINI MART FINAL MENU - Pr'!N303)</f>
        <v/>
      </c>
      <c r="O303" s="57"/>
      <c r="P303" s="57"/>
      <c r="Q303" s="57"/>
      <c r="R303" s="57"/>
      <c r="S303" s="57"/>
      <c r="T303" s="57"/>
      <c r="U303" s="57"/>
      <c r="V303" s="57"/>
      <c r="W303" s="57"/>
      <c r="X303" s="57"/>
      <c r="Y303" s="57"/>
      <c r="Z303" s="57"/>
    </row>
    <row r="304">
      <c r="A304" s="56" t="str">
        <f>IFERROR(__xludf.DUMMYFUNCTION("IF('AYIRA MINI MART FINAL MENU - Pr'!A304="""", """", IF(LEN(TRIM(REGEXREPLACE(REGEXREPLACE('AYIRA MINI MART FINAL MENU - Pr'!A304, ""^[^\x{0600}-\x{06FF}]+"", """"), ""^[-–\s]+"", """")))&gt;0, TRIM(REGEXREPLACE(REGEXREPLACE('AYIRA MINI MART FINAL MENU - Pr"&amp;"'!A304, ""^[^\x{0600}-\x{06FF}]+"", """"), ""^[-–\s]+"", """")), GOOGLETRANSLATE('AYIRA MINI MART FINAL MENU - Pr'!A304, ""en"", ""ar"")))"),"داندي Choco قطعة آيس كريم 60 مل")</f>
        <v>داندي Choco قطعة آيس كريم 60 مل</v>
      </c>
      <c r="B304" s="56" t="str">
        <f>IFERROR(__xludf.DUMMYFUNCTION("IF('AYIRA MINI MART FINAL MENU - Pr'!B304="""", """", IF(LEN(TRIM(REGEXREPLACE(REGEXREPLACE('AYIRA MINI MART FINAL MENU - Pr'!B304, ""^[^\x{0600}-\x{06FF}]+"", """"), ""^[-–\s]+"", """")))&gt;0, TRIM(REGEXREPLACE(REGEXREPLACE('AYIRA MINI MART FINAL MENU - Pr"&amp;"'!B304, ""^[^\x{0600}-\x{06FF}]+"", """"), ""^[-–\s]+"", """")), GOOGLETRANSLATE('AYIRA MINI MART FINAL MENU - Pr'!B304, ""en"", ""ar"")))"),"الآيس كريم")</f>
        <v>الآيس كريم</v>
      </c>
      <c r="C304" s="58">
        <f>IF('AYIRA MINI MART FINAL MENU - Pr'!C304="", "", 'AYIRA MINI MART FINAL MENU - Pr'!C304)</f>
        <v>2</v>
      </c>
      <c r="D304" s="58" t="str">
        <f>IF('AYIRA MINI MART FINAL MENU - Pr'!D304="", "", 'AYIRA MINI MART FINAL MENU - Pr'!D304)</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4" s="56" t="str">
        <f>IF('AYIRA MINI MART FINAL MENU - Pr'!E304="", "", 'AYIRA MINI MART FINAL MENU - Pr'!E304)</f>
        <v/>
      </c>
      <c r="F304" s="56" t="str">
        <f>IF('AYIRA MINI MART FINAL MENU - Pr'!F304="", "", 'AYIRA MINI MART FINAL MENU - Pr'!F304)</f>
        <v/>
      </c>
      <c r="G304" s="56" t="str">
        <f>IF('AYIRA MINI MART FINAL MENU - Pr'!G304="", "", 'AYIRA MINI MART FINAL MENU - Pr'!G304)</f>
        <v/>
      </c>
      <c r="H304" s="56" t="str">
        <f>IF('AYIRA MINI MART FINAL MENU - Pr'!H304="", "", 'AYIRA MINI MART FINAL MENU - Pr'!H304)</f>
        <v/>
      </c>
      <c r="I304" s="56" t="str">
        <f>IF('AYIRA MINI MART FINAL MENU - Pr'!I304="", "", 'AYIRA MINI MART FINAL MENU - Pr'!I304)</f>
        <v/>
      </c>
      <c r="J304" s="56" t="str">
        <f>IFERROR(__xludf.DUMMYFUNCTION("IF('AYIRA MINI MART FINAL MENU - Pr'!J304="""", """", GOOGLETRANSLATE('AYIRA MINI MART FINAL MENU - Pr'!J304, ""en"", ""ar""))"),"يعرض")</f>
        <v>يعرض</v>
      </c>
      <c r="K304" s="56" t="str">
        <f>IF('AYIRA MINI MART FINAL MENU - Pr'!K304="", "", 'AYIRA MINI MART FINAL MENU - Pr'!K304)</f>
        <v/>
      </c>
      <c r="L304" s="56" t="str">
        <f>IF('AYIRA MINI MART FINAL MENU - Pr'!L304="", "", 'AYIRA MINI MART FINAL MENU - Pr'!L304)</f>
        <v/>
      </c>
      <c r="M304" s="56" t="str">
        <f>IF('AYIRA MINI MART FINAL MENU - Pr'!M304="", "", 'AYIRA MINI MART FINAL MENU - Pr'!M304)</f>
        <v/>
      </c>
      <c r="N304" s="56" t="str">
        <f>IF('AYIRA MINI MART FINAL MENU - Pr'!N304="", "", 'AYIRA MINI MART FINAL MENU - Pr'!N304)</f>
        <v/>
      </c>
      <c r="O304" s="57"/>
      <c r="P304" s="57"/>
      <c r="Q304" s="57"/>
      <c r="R304" s="57"/>
      <c r="S304" s="57"/>
      <c r="T304" s="57"/>
      <c r="U304" s="57"/>
      <c r="V304" s="57"/>
      <c r="W304" s="57"/>
      <c r="X304" s="57"/>
      <c r="Y304" s="57"/>
      <c r="Z304" s="57"/>
    </row>
    <row r="305">
      <c r="A305" s="56" t="str">
        <f>IFERROR(__xludf.DUMMYFUNCTION("IF('AYIRA MINI MART FINAL MENU - Pr'!A305="""", """", IF(LEN(TRIM(REGEXREPLACE(REGEXREPLACE('AYIRA MINI MART FINAL MENU - Pr'!A305, ""^[^\x{0600}-\x{06FF}]+"", """"), ""^[-–\s]+"", """")))&gt;0, TRIM(REGEXREPLACE(REGEXREPLACE('AYIRA MINI MART FINAL MENU - Pr"&amp;"'!A305, ""^[^\x{0600}-\x{06FF}]+"", """"), ""^[-–\s]+"", """")), GOOGLETRANSLATE('AYIRA MINI MART FINAL MENU - Pr'!A305, ""en"", ""ar"")))"),"داندي Stack Up آيس كريم 80 مل")</f>
        <v>داندي Stack Up آيس كريم 80 مل</v>
      </c>
      <c r="B305" s="56" t="str">
        <f>IFERROR(__xludf.DUMMYFUNCTION("IF('AYIRA MINI MART FINAL MENU - Pr'!B305="""", """", IF(LEN(TRIM(REGEXREPLACE(REGEXREPLACE('AYIRA MINI MART FINAL MENU - Pr'!B305, ""^[^\x{0600}-\x{06FF}]+"", """"), ""^[-–\s]+"", """")))&gt;0, TRIM(REGEXREPLACE(REGEXREPLACE('AYIRA MINI MART FINAL MENU - Pr"&amp;"'!B305, ""^[^\x{0600}-\x{06FF}]+"", """"), ""^[-–\s]+"", """")), GOOGLETRANSLATE('AYIRA MINI MART FINAL MENU - Pr'!B305, ""en"", ""ar"")))"),"الآيس كريم")</f>
        <v>الآيس كريم</v>
      </c>
      <c r="C305" s="58">
        <f>IF('AYIRA MINI MART FINAL MENU - Pr'!C305="", "", 'AYIRA MINI MART FINAL MENU - Pr'!C305)</f>
        <v>1.5</v>
      </c>
      <c r="D305" s="58" t="str">
        <f>IF('AYIRA MINI MART FINAL MENU - Pr'!D305="", "", 'AYIRA MINI MART FINAL MENU - Pr'!D305)</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5" s="56" t="str">
        <f>IF('AYIRA MINI MART FINAL MENU - Pr'!E305="", "", 'AYIRA MINI MART FINAL MENU - Pr'!E305)</f>
        <v/>
      </c>
      <c r="F305" s="56" t="str">
        <f>IF('AYIRA MINI MART FINAL MENU - Pr'!F305="", "", 'AYIRA MINI MART FINAL MENU - Pr'!F305)</f>
        <v/>
      </c>
      <c r="G305" s="56" t="str">
        <f>IF('AYIRA MINI MART FINAL MENU - Pr'!G305="", "", 'AYIRA MINI MART FINAL MENU - Pr'!G305)</f>
        <v/>
      </c>
      <c r="H305" s="56" t="str">
        <f>IF('AYIRA MINI MART FINAL MENU - Pr'!H305="", "", 'AYIRA MINI MART FINAL MENU - Pr'!H305)</f>
        <v/>
      </c>
      <c r="I305" s="56" t="str">
        <f>IF('AYIRA MINI MART FINAL MENU - Pr'!I305="", "", 'AYIRA MINI MART FINAL MENU - Pr'!I305)</f>
        <v/>
      </c>
      <c r="J305" s="56" t="str">
        <f>IFERROR(__xludf.DUMMYFUNCTION("IF('AYIRA MINI MART FINAL MENU - Pr'!J305="""", """", GOOGLETRANSLATE('AYIRA MINI MART FINAL MENU - Pr'!J305, ""en"", ""ar""))"),"يعرض")</f>
        <v>يعرض</v>
      </c>
      <c r="K305" s="56" t="str">
        <f>IF('AYIRA MINI MART FINAL MENU - Pr'!K305="", "", 'AYIRA MINI MART FINAL MENU - Pr'!K305)</f>
        <v/>
      </c>
      <c r="L305" s="56" t="str">
        <f>IF('AYIRA MINI MART FINAL MENU - Pr'!L305="", "", 'AYIRA MINI MART FINAL MENU - Pr'!L305)</f>
        <v/>
      </c>
      <c r="M305" s="56" t="str">
        <f>IF('AYIRA MINI MART FINAL MENU - Pr'!M305="", "", 'AYIRA MINI MART FINAL MENU - Pr'!M305)</f>
        <v/>
      </c>
      <c r="N305" s="56" t="str">
        <f>IF('AYIRA MINI MART FINAL MENU - Pr'!N305="", "", 'AYIRA MINI MART FINAL MENU - Pr'!N305)</f>
        <v/>
      </c>
      <c r="O305" s="57"/>
      <c r="P305" s="57"/>
      <c r="Q305" s="57"/>
      <c r="R305" s="57"/>
      <c r="S305" s="57"/>
      <c r="T305" s="57"/>
      <c r="U305" s="57"/>
      <c r="V305" s="57"/>
      <c r="W305" s="57"/>
      <c r="X305" s="57"/>
      <c r="Y305" s="57"/>
      <c r="Z305" s="57"/>
    </row>
    <row r="306">
      <c r="A306" s="56" t="str">
        <f>IFERROR(__xludf.DUMMYFUNCTION("IF('AYIRA MINI MART FINAL MENU - Pr'!A306="""", """", IF(LEN(TRIM(REGEXREPLACE(REGEXREPLACE('AYIRA MINI MART FINAL MENU - Pr'!A306, ""^[^\x{0600}-\x{06FF}]+"", """"), ""^[-–\s]+"", """")))&gt;0, TRIM(REGEXREPLACE(REGEXREPLACE('AYIRA MINI MART FINAL MENU - Pr"&amp;"'!A306, ""^[^\x{0600}-\x{06FF}]+"", """"), ""^[-–\s]+"", """")), GOOGLETRANSLATE('AYIRA MINI MART FINAL MENU - Pr'!A306, ""en"", ""ar"")))"),"آيس كريم 90 مل")</f>
        <v>آيس كريم 90 مل</v>
      </c>
      <c r="B306" s="56" t="str">
        <f>IFERROR(__xludf.DUMMYFUNCTION("IF('AYIRA MINI MART FINAL MENU - Pr'!B306="""", """", IF(LEN(TRIM(REGEXREPLACE(REGEXREPLACE('AYIRA MINI MART FINAL MENU - Pr'!B306, ""^[^\x{0600}-\x{06FF}]+"", """"), ""^[-–\s]+"", """")))&gt;0, TRIM(REGEXREPLACE(REGEXREPLACE('AYIRA MINI MART FINAL MENU - Pr"&amp;"'!B306, ""^[^\x{0600}-\x{06FF}]+"", """"), ""^[-–\s]+"", """")), GOOGLETRANSLATE('AYIRA MINI MART FINAL MENU - Pr'!B306, ""en"", ""ar"")))"),"الآيس كريم")</f>
        <v>الآيس كريم</v>
      </c>
      <c r="C306" s="58">
        <f>IF('AYIRA MINI MART FINAL MENU - Pr'!C306="", "", 'AYIRA MINI MART FINAL MENU - Pr'!C306)</f>
        <v>5</v>
      </c>
      <c r="D306" s="58" t="str">
        <f>IF('AYIRA MINI MART FINAL MENU - Pr'!D306="", "", 'AYIRA MINI MART FINAL MENU - Pr'!D306)</f>
        <v>برّد أيامك الحارة مع Daity Sarin Ice Cream 90ml،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6" s="56" t="str">
        <f>IF('AYIRA MINI MART FINAL MENU - Pr'!E306="", "", 'AYIRA MINI MART FINAL MENU - Pr'!E306)</f>
        <v/>
      </c>
      <c r="F306" s="56" t="str">
        <f>IF('AYIRA MINI MART FINAL MENU - Pr'!F306="", "", 'AYIRA MINI MART FINAL MENU - Pr'!F306)</f>
        <v/>
      </c>
      <c r="G306" s="56" t="str">
        <f>IF('AYIRA MINI MART FINAL MENU - Pr'!G306="", "", 'AYIRA MINI MART FINAL MENU - Pr'!G306)</f>
        <v/>
      </c>
      <c r="H306" s="56" t="str">
        <f>IF('AYIRA MINI MART FINAL MENU - Pr'!H306="", "", 'AYIRA MINI MART FINAL MENU - Pr'!H306)</f>
        <v/>
      </c>
      <c r="I306" s="56" t="str">
        <f>IF('AYIRA MINI MART FINAL MENU - Pr'!I306="", "", 'AYIRA MINI MART FINAL MENU - Pr'!I306)</f>
        <v/>
      </c>
      <c r="J306" s="56" t="str">
        <f>IFERROR(__xludf.DUMMYFUNCTION("IF('AYIRA MINI MART FINAL MENU - Pr'!J306="""", """", GOOGLETRANSLATE('AYIRA MINI MART FINAL MENU - Pr'!J306, ""en"", ""ar""))"),"يعرض")</f>
        <v>يعرض</v>
      </c>
      <c r="K306" s="56" t="str">
        <f>IF('AYIRA MINI MART FINAL MENU - Pr'!K306="", "", 'AYIRA MINI MART FINAL MENU - Pr'!K306)</f>
        <v/>
      </c>
      <c r="L306" s="56" t="str">
        <f>IF('AYIRA MINI MART FINAL MENU - Pr'!L306="", "", 'AYIRA MINI MART FINAL MENU - Pr'!L306)</f>
        <v/>
      </c>
      <c r="M306" s="56" t="str">
        <f>IF('AYIRA MINI MART FINAL MENU - Pr'!M306="", "", 'AYIRA MINI MART FINAL MENU - Pr'!M306)</f>
        <v/>
      </c>
      <c r="N306" s="56" t="str">
        <f>IF('AYIRA MINI MART FINAL MENU - Pr'!N306="", "", 'AYIRA MINI MART FINAL MENU - Pr'!N306)</f>
        <v/>
      </c>
      <c r="O306" s="57"/>
      <c r="P306" s="57"/>
      <c r="Q306" s="57"/>
      <c r="R306" s="57"/>
      <c r="S306" s="57"/>
      <c r="T306" s="57"/>
      <c r="U306" s="57"/>
      <c r="V306" s="57"/>
      <c r="W306" s="57"/>
      <c r="X306" s="57"/>
      <c r="Y306" s="57"/>
      <c r="Z306" s="57"/>
    </row>
    <row r="307">
      <c r="A307" s="56" t="str">
        <f>IFERROR(__xludf.DUMMYFUNCTION("IF('AYIRA MINI MART FINAL MENU - Pr'!A307="""", """", IF(LEN(TRIM(REGEXREPLACE(REGEXREPLACE('AYIRA MINI MART FINAL MENU - Pr'!A307, ""^[^\x{0600}-\x{06FF}]+"", """"), ""^[-–\s]+"", """")))&gt;0, TRIM(REGEXREPLACE(REGEXREPLACE('AYIRA MINI MART FINAL MENU - Pr"&amp;"'!A307, ""^[^\x{0600}-\x{06FF}]+"", """"), ""^[-–\s]+"", """")), GOOGLETRANSLATE('AYIRA MINI MART FINAL MENU - Pr'!A307, ""en"", ""ar"")))"),"آيس كريم 80 غرام")</f>
        <v>آيس كريم 80 غرام</v>
      </c>
      <c r="B307" s="56" t="str">
        <f>IFERROR(__xludf.DUMMYFUNCTION("IF('AYIRA MINI MART FINAL MENU - Pr'!B307="""", """", IF(LEN(TRIM(REGEXREPLACE(REGEXREPLACE('AYIRA MINI MART FINAL MENU - Pr'!B307, ""^[^\x{0600}-\x{06FF}]+"", """"), ""^[-–\s]+"", """")))&gt;0, TRIM(REGEXREPLACE(REGEXREPLACE('AYIRA MINI MART FINAL MENU - Pr"&amp;"'!B307, ""^[^\x{0600}-\x{06FF}]+"", """"), ""^[-–\s]+"", """")), GOOGLETRANSLATE('AYIRA MINI MART FINAL MENU - Pr'!B307, ""en"", ""ar"")))"),"الآيس كريم")</f>
        <v>الآيس كريم</v>
      </c>
      <c r="C307" s="58">
        <f>IF('AYIRA MINI MART FINAL MENU - Pr'!C307="", "", 'AYIRA MINI MART FINAL MENU - Pr'!C307)</f>
        <v>5</v>
      </c>
      <c r="D307" s="58" t="str">
        <f>IF('AYIRA MINI MART FINAL MENU - Pr'!D307="", "", 'AYIRA MINI MART FINAL MENU - Pr'!D307)</f>
        <v>برّد أيامك الحارة مع Daity Amiral Ice Cream 80g،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7" s="56" t="str">
        <f>IF('AYIRA MINI MART FINAL MENU - Pr'!E307="", "", 'AYIRA MINI MART FINAL MENU - Pr'!E307)</f>
        <v/>
      </c>
      <c r="F307" s="56" t="str">
        <f>IF('AYIRA MINI MART FINAL MENU - Pr'!F307="", "", 'AYIRA MINI MART FINAL MENU - Pr'!F307)</f>
        <v/>
      </c>
      <c r="G307" s="56" t="str">
        <f>IF('AYIRA MINI MART FINAL MENU - Pr'!G307="", "", 'AYIRA MINI MART FINAL MENU - Pr'!G307)</f>
        <v/>
      </c>
      <c r="H307" s="56" t="str">
        <f>IF('AYIRA MINI MART FINAL MENU - Pr'!H307="", "", 'AYIRA MINI MART FINAL MENU - Pr'!H307)</f>
        <v/>
      </c>
      <c r="I307" s="56" t="str">
        <f>IF('AYIRA MINI MART FINAL MENU - Pr'!I307="", "", 'AYIRA MINI MART FINAL MENU - Pr'!I307)</f>
        <v/>
      </c>
      <c r="J307" s="56" t="str">
        <f>IFERROR(__xludf.DUMMYFUNCTION("IF('AYIRA MINI MART FINAL MENU - Pr'!J307="""", """", GOOGLETRANSLATE('AYIRA MINI MART FINAL MENU - Pr'!J307, ""en"", ""ar""))"),"يعرض")</f>
        <v>يعرض</v>
      </c>
      <c r="K307" s="56" t="str">
        <f>IF('AYIRA MINI MART FINAL MENU - Pr'!K307="", "", 'AYIRA MINI MART FINAL MENU - Pr'!K307)</f>
        <v/>
      </c>
      <c r="L307" s="56" t="str">
        <f>IF('AYIRA MINI MART FINAL MENU - Pr'!L307="", "", 'AYIRA MINI MART FINAL MENU - Pr'!L307)</f>
        <v/>
      </c>
      <c r="M307" s="56" t="str">
        <f>IF('AYIRA MINI MART FINAL MENU - Pr'!M307="", "", 'AYIRA MINI MART FINAL MENU - Pr'!M307)</f>
        <v/>
      </c>
      <c r="N307" s="56" t="str">
        <f>IF('AYIRA MINI MART FINAL MENU - Pr'!N307="", "", 'AYIRA MINI MART FINAL MENU - Pr'!N307)</f>
        <v/>
      </c>
      <c r="O307" s="57"/>
      <c r="P307" s="57"/>
      <c r="Q307" s="57"/>
      <c r="R307" s="57"/>
      <c r="S307" s="57"/>
      <c r="T307" s="57"/>
      <c r="U307" s="57"/>
      <c r="V307" s="57"/>
      <c r="W307" s="57"/>
      <c r="X307" s="57"/>
      <c r="Y307" s="57"/>
      <c r="Z307" s="57"/>
    </row>
    <row r="308">
      <c r="A308" s="56" t="str">
        <f>IFERROR(__xludf.DUMMYFUNCTION("IF('AYIRA MINI MART FINAL MENU - Pr'!A308="""", """", IF(LEN(TRIM(REGEXREPLACE(REGEXREPLACE('AYIRA MINI MART FINAL MENU - Pr'!A308, ""^[^\x{0600}-\x{06FF}]+"", """"), ""^[-–\s]+"", """")))&gt;0, TRIM(REGEXREPLACE(REGEXREPLACE('AYIRA MINI MART FINAL MENU - Pr"&amp;"'!A308, ""^[^\x{0600}-\x{06FF}]+"", """"), ""^[-–\s]+"", """")), GOOGLETRANSLATE('AYIRA MINI MART FINAL MENU - Pr'!A308, ""en"", ""ar"")))"),"داندي ساندويتش آيس كريم 100 مل")</f>
        <v>داندي ساندويتش آيس كريم 100 مل</v>
      </c>
      <c r="B308" s="56" t="str">
        <f>IFERROR(__xludf.DUMMYFUNCTION("IF('AYIRA MINI MART FINAL MENU - Pr'!B308="""", """", IF(LEN(TRIM(REGEXREPLACE(REGEXREPLACE('AYIRA MINI MART FINAL MENU - Pr'!B308, ""^[^\x{0600}-\x{06FF}]+"", """"), ""^[-–\s]+"", """")))&gt;0, TRIM(REGEXREPLACE(REGEXREPLACE('AYIRA MINI MART FINAL MENU - Pr"&amp;"'!B308, ""^[^\x{0600}-\x{06FF}]+"", """"), ""^[-–\s]+"", """")), GOOGLETRANSLATE('AYIRA MINI MART FINAL MENU - Pr'!B308, ""en"", ""ar"")))"),"الآيس كريم")</f>
        <v>الآيس كريم</v>
      </c>
      <c r="C308" s="58">
        <f>IF('AYIRA MINI MART FINAL MENU - Pr'!C308="", "", 'AYIRA MINI MART FINAL MENU - Pr'!C308)</f>
        <v>2.5</v>
      </c>
      <c r="D308" s="58" t="str">
        <f>IF('AYIRA MINI MART FINAL MENU - Pr'!D308="", "", 'AYIRA MINI MART FINAL MENU - Pr'!D308)</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8" s="56" t="str">
        <f>IF('AYIRA MINI MART FINAL MENU - Pr'!E308="", "", 'AYIRA MINI MART FINAL MENU - Pr'!E308)</f>
        <v/>
      </c>
      <c r="F308" s="56" t="str">
        <f>IF('AYIRA MINI MART FINAL MENU - Pr'!F308="", "", 'AYIRA MINI MART FINAL MENU - Pr'!F308)</f>
        <v/>
      </c>
      <c r="G308" s="56" t="str">
        <f>IF('AYIRA MINI MART FINAL MENU - Pr'!G308="", "", 'AYIRA MINI MART FINAL MENU - Pr'!G308)</f>
        <v/>
      </c>
      <c r="H308" s="56" t="str">
        <f>IF('AYIRA MINI MART FINAL MENU - Pr'!H308="", "", 'AYIRA MINI MART FINAL MENU - Pr'!H308)</f>
        <v/>
      </c>
      <c r="I308" s="56" t="str">
        <f>IF('AYIRA MINI MART FINAL MENU - Pr'!I308="", "", 'AYIRA MINI MART FINAL MENU - Pr'!I308)</f>
        <v/>
      </c>
      <c r="J308" s="56" t="str">
        <f>IFERROR(__xludf.DUMMYFUNCTION("IF('AYIRA MINI MART FINAL MENU - Pr'!J308="""", """", GOOGLETRANSLATE('AYIRA MINI MART FINAL MENU - Pr'!J308, ""en"", ""ar""))"),"يعرض")</f>
        <v>يعرض</v>
      </c>
      <c r="K308" s="56" t="str">
        <f>IF('AYIRA MINI MART FINAL MENU - Pr'!K308="", "", 'AYIRA MINI MART FINAL MENU - Pr'!K308)</f>
        <v/>
      </c>
      <c r="L308" s="56" t="str">
        <f>IF('AYIRA MINI MART FINAL MENU - Pr'!L308="", "", 'AYIRA MINI MART FINAL MENU - Pr'!L308)</f>
        <v/>
      </c>
      <c r="M308" s="56" t="str">
        <f>IF('AYIRA MINI MART FINAL MENU - Pr'!M308="", "", 'AYIRA MINI MART FINAL MENU - Pr'!M308)</f>
        <v/>
      </c>
      <c r="N308" s="56" t="str">
        <f>IF('AYIRA MINI MART FINAL MENU - Pr'!N308="", "", 'AYIRA MINI MART FINAL MENU - Pr'!N308)</f>
        <v/>
      </c>
      <c r="O308" s="57"/>
      <c r="P308" s="57"/>
      <c r="Q308" s="57"/>
      <c r="R308" s="57"/>
      <c r="S308" s="57"/>
      <c r="T308" s="57"/>
      <c r="U308" s="57"/>
      <c r="V308" s="57"/>
      <c r="W308" s="57"/>
      <c r="X308" s="57"/>
      <c r="Y308" s="57"/>
      <c r="Z308" s="57"/>
    </row>
    <row r="309">
      <c r="A309" s="56" t="str">
        <f>IFERROR(__xludf.DUMMYFUNCTION("IF('AYIRA MINI MART FINAL MENU - Pr'!A309="""", """", IF(LEN(TRIM(REGEXREPLACE(REGEXREPLACE('AYIRA MINI MART FINAL MENU - Pr'!A309, ""^[^\x{0600}-\x{06FF}]+"", """"), ""^[-–\s]+"", """")))&gt;0, TRIM(REGEXREPLACE(REGEXREPLACE('AYIRA MINI MART FINAL MENU - Pr"&amp;"'!A309, ""^[^\x{0600}-\x{06FF}]+"", """"), ""^[-–\s]+"", """")), GOOGLETRANSLATE('AYIRA MINI MART FINAL MENU - Pr'!A309, ""en"", ""ar"")))"),"داندي Trio آيس كريم 80 مل")</f>
        <v>داندي Trio آيس كريم 80 مل</v>
      </c>
      <c r="B309" s="56" t="str">
        <f>IFERROR(__xludf.DUMMYFUNCTION("IF('AYIRA MINI MART FINAL MENU - Pr'!B309="""", """", IF(LEN(TRIM(REGEXREPLACE(REGEXREPLACE('AYIRA MINI MART FINAL MENU - Pr'!B309, ""^[^\x{0600}-\x{06FF}]+"", """"), ""^[-–\s]+"", """")))&gt;0, TRIM(REGEXREPLACE(REGEXREPLACE('AYIRA MINI MART FINAL MENU - Pr"&amp;"'!B309, ""^[^\x{0600}-\x{06FF}]+"", """"), ""^[-–\s]+"", """")), GOOGLETRANSLATE('AYIRA MINI MART FINAL MENU - Pr'!B309, ""en"", ""ar"")))"),"الآيس كريم")</f>
        <v>الآيس كريم</v>
      </c>
      <c r="C309" s="58">
        <f>IF('AYIRA MINI MART FINAL MENU - Pr'!C309="", "", 'AYIRA MINI MART FINAL MENU - Pr'!C309)</f>
        <v>1.5</v>
      </c>
      <c r="D309" s="58" t="str">
        <f>IF('AYIRA MINI MART FINAL MENU - Pr'!D309="", "", 'AYIRA MINI MART FINAL MENU - Pr'!D309)</f>
        <v>برّد أيامك الحارة مع داندي،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09" s="56" t="str">
        <f>IF('AYIRA MINI MART FINAL MENU - Pr'!E309="", "", 'AYIRA MINI MART FINAL MENU - Pr'!E309)</f>
        <v/>
      </c>
      <c r="F309" s="56" t="str">
        <f>IF('AYIRA MINI MART FINAL MENU - Pr'!F309="", "", 'AYIRA MINI MART FINAL MENU - Pr'!F309)</f>
        <v/>
      </c>
      <c r="G309" s="56" t="str">
        <f>IF('AYIRA MINI MART FINAL MENU - Pr'!G309="", "", 'AYIRA MINI MART FINAL MENU - Pr'!G309)</f>
        <v/>
      </c>
      <c r="H309" s="56" t="str">
        <f>IF('AYIRA MINI MART FINAL MENU - Pr'!H309="", "", 'AYIRA MINI MART FINAL MENU - Pr'!H309)</f>
        <v/>
      </c>
      <c r="I309" s="56" t="str">
        <f>IF('AYIRA MINI MART FINAL MENU - Pr'!I309="", "", 'AYIRA MINI MART FINAL MENU - Pr'!I309)</f>
        <v/>
      </c>
      <c r="J309" s="56" t="str">
        <f>IFERROR(__xludf.DUMMYFUNCTION("IF('AYIRA MINI MART FINAL MENU - Pr'!J309="""", """", GOOGLETRANSLATE('AYIRA MINI MART FINAL MENU - Pr'!J309, ""en"", ""ar""))"),"يعرض")</f>
        <v>يعرض</v>
      </c>
      <c r="K309" s="56" t="str">
        <f>IF('AYIRA MINI MART FINAL MENU - Pr'!K309="", "", 'AYIRA MINI MART FINAL MENU - Pr'!K309)</f>
        <v/>
      </c>
      <c r="L309" s="56" t="str">
        <f>IF('AYIRA MINI MART FINAL MENU - Pr'!L309="", "", 'AYIRA MINI MART FINAL MENU - Pr'!L309)</f>
        <v/>
      </c>
      <c r="M309" s="56" t="str">
        <f>IF('AYIRA MINI MART FINAL MENU - Pr'!M309="", "", 'AYIRA MINI MART FINAL MENU - Pr'!M309)</f>
        <v/>
      </c>
      <c r="N309" s="56" t="str">
        <f>IF('AYIRA MINI MART FINAL MENU - Pr'!N309="", "", 'AYIRA MINI MART FINAL MENU - Pr'!N309)</f>
        <v/>
      </c>
      <c r="O309" s="57"/>
      <c r="P309" s="57"/>
      <c r="Q309" s="57"/>
      <c r="R309" s="57"/>
      <c r="S309" s="57"/>
      <c r="T309" s="57"/>
      <c r="U309" s="57"/>
      <c r="V309" s="57"/>
      <c r="W309" s="57"/>
      <c r="X309" s="57"/>
      <c r="Y309" s="57"/>
      <c r="Z309" s="57"/>
    </row>
    <row r="310">
      <c r="A310" s="56" t="str">
        <f>IFERROR(__xludf.DUMMYFUNCTION("IF('AYIRA MINI MART FINAL MENU - Pr'!A310="""", """", IF(LEN(TRIM(REGEXREPLACE(REGEXREPLACE('AYIRA MINI MART FINAL MENU - Pr'!A310, ""^[^\x{0600}-\x{06FF}]+"", """"), ""^[-–\s]+"", """")))&gt;0, TRIM(REGEXREPLACE(REGEXREPLACE('AYIRA MINI MART FINAL MENU - Pr"&amp;"'!A310, ""^[^\x{0600}-\x{06FF}]+"", """"), ""^[-–\s]+"", """")), GOOGLETRANSLATE('AYIRA MINI MART FINAL MENU - Pr'!A310, ""en"", ""ar"")))"),"كي دي دي فانيليا آيس كريم بسكويت ساندويتش 77 مل")</f>
        <v>كي دي دي فانيليا آيس كريم بسكويت ساندويتش 77 مل</v>
      </c>
      <c r="B310" s="56" t="str">
        <f>IFERROR(__xludf.DUMMYFUNCTION("IF('AYIRA MINI MART FINAL MENU - Pr'!B310="""", """", IF(LEN(TRIM(REGEXREPLACE(REGEXREPLACE('AYIRA MINI MART FINAL MENU - Pr'!B310, ""^[^\x{0600}-\x{06FF}]+"", """"), ""^[-–\s]+"", """")))&gt;0, TRIM(REGEXREPLACE(REGEXREPLACE('AYIRA MINI MART FINAL MENU - Pr"&amp;"'!B310, ""^[^\x{0600}-\x{06FF}]+"", """"), ""^[-–\s]+"", """")), GOOGLETRANSLATE('AYIRA MINI MART FINAL MENU - Pr'!B310, ""en"", ""ar"")))"),"الآيس كريم")</f>
        <v>الآيس كريم</v>
      </c>
      <c r="C310" s="58">
        <f>IF('AYIRA MINI MART FINAL MENU - Pr'!C310="", "", 'AYIRA MINI MART FINAL MENU - Pr'!C310)</f>
        <v>1</v>
      </c>
      <c r="D310" s="58" t="str">
        <f>IF('AYIRA MINI MART FINAL MENU - Pr'!D310="", "", 'AYIRA MINI MART FINAL MENU - Pr'!D310)</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10" s="56" t="str">
        <f>IF('AYIRA MINI MART FINAL MENU - Pr'!E310="", "", 'AYIRA MINI MART FINAL MENU - Pr'!E310)</f>
        <v/>
      </c>
      <c r="F310" s="56" t="str">
        <f>IF('AYIRA MINI MART FINAL MENU - Pr'!F310="", "", 'AYIRA MINI MART FINAL MENU - Pr'!F310)</f>
        <v/>
      </c>
      <c r="G310" s="56" t="str">
        <f>IF('AYIRA MINI MART FINAL MENU - Pr'!G310="", "", 'AYIRA MINI MART FINAL MENU - Pr'!G310)</f>
        <v/>
      </c>
      <c r="H310" s="56" t="str">
        <f>IF('AYIRA MINI MART FINAL MENU - Pr'!H310="", "", 'AYIRA MINI MART FINAL MENU - Pr'!H310)</f>
        <v/>
      </c>
      <c r="I310" s="56" t="str">
        <f>IF('AYIRA MINI MART FINAL MENU - Pr'!I310="", "", 'AYIRA MINI MART FINAL MENU - Pr'!I310)</f>
        <v/>
      </c>
      <c r="J310" s="56" t="str">
        <f>IFERROR(__xludf.DUMMYFUNCTION("IF('AYIRA MINI MART FINAL MENU - Pr'!J310="""", """", GOOGLETRANSLATE('AYIRA MINI MART FINAL MENU - Pr'!J310, ""en"", ""ar""))"),"يعرض")</f>
        <v>يعرض</v>
      </c>
      <c r="K310" s="56" t="str">
        <f>IF('AYIRA MINI MART FINAL MENU - Pr'!K310="", "", 'AYIRA MINI MART FINAL MENU - Pr'!K310)</f>
        <v/>
      </c>
      <c r="L310" s="56" t="str">
        <f>IF('AYIRA MINI MART FINAL MENU - Pr'!L310="", "", 'AYIRA MINI MART FINAL MENU - Pr'!L310)</f>
        <v/>
      </c>
      <c r="M310" s="56" t="str">
        <f>IF('AYIRA MINI MART FINAL MENU - Pr'!M310="", "", 'AYIRA MINI MART FINAL MENU - Pr'!M310)</f>
        <v/>
      </c>
      <c r="N310" s="56" t="str">
        <f>IF('AYIRA MINI MART FINAL MENU - Pr'!N310="", "", 'AYIRA MINI MART FINAL MENU - Pr'!N310)</f>
        <v/>
      </c>
      <c r="O310" s="57"/>
      <c r="P310" s="57"/>
      <c r="Q310" s="57"/>
      <c r="R310" s="57"/>
      <c r="S310" s="57"/>
      <c r="T310" s="57"/>
      <c r="U310" s="57"/>
      <c r="V310" s="57"/>
      <c r="W310" s="57"/>
      <c r="X310" s="57"/>
      <c r="Y310" s="57"/>
      <c r="Z310" s="57"/>
    </row>
    <row r="311">
      <c r="A311" s="56" t="str">
        <f>IFERROR(__xludf.DUMMYFUNCTION("IF('AYIRA MINI MART FINAL MENU - Pr'!A311="""", """", IF(LEN(TRIM(REGEXREPLACE(REGEXREPLACE('AYIRA MINI MART FINAL MENU - Pr'!A311, ""^[^\x{0600}-\x{06FF}]+"", """"), ""^[-–\s]+"", """")))&gt;0, TRIM(REGEXREPLACE(REGEXREPLACE('AYIRA MINI MART FINAL MENU - Pr"&amp;"'!A311, ""^[^\x{0600}-\x{06FF}]+"", """"), ""^[-–\s]+"", """")), GOOGLETRANSLATE('AYIRA MINI MART FINAL MENU - Pr'!A311, ""en"", ""ar"")))"),"كي دي دي Lulu آيس كريم – شوكولاتة &amp; Nougat 100 مل")</f>
        <v>كي دي دي Lulu آيس كريم – شوكولاتة &amp; Nougat 100 مل</v>
      </c>
      <c r="B311" s="56" t="str">
        <f>IFERROR(__xludf.DUMMYFUNCTION("IF('AYIRA MINI MART FINAL MENU - Pr'!B311="""", """", IF(LEN(TRIM(REGEXREPLACE(REGEXREPLACE('AYIRA MINI MART FINAL MENU - Pr'!B311, ""^[^\x{0600}-\x{06FF}]+"", """"), ""^[-–\s]+"", """")))&gt;0, TRIM(REGEXREPLACE(REGEXREPLACE('AYIRA MINI MART FINAL MENU - Pr"&amp;"'!B311, ""^[^\x{0600}-\x{06FF}]+"", """"), ""^[-–\s]+"", """")), GOOGLETRANSLATE('AYIRA MINI MART FINAL MENU - Pr'!B311, ""en"", ""ar"")))"),"الآيس كريم")</f>
        <v>الآيس كريم</v>
      </c>
      <c r="C311" s="58">
        <f>IF('AYIRA MINI MART FINAL MENU - Pr'!C311="", "", 'AYIRA MINI MART FINAL MENU - Pr'!C311)</f>
        <v>3.5</v>
      </c>
      <c r="D311" s="58" t="str">
        <f>IF('AYIRA MINI MART FINAL MENU - Pr'!D311="", "", 'AYIRA MINI MART FINAL MENU - Pr'!D311)</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11" s="56" t="str">
        <f>IF('AYIRA MINI MART FINAL MENU - Pr'!E311="", "", 'AYIRA MINI MART FINAL MENU - Pr'!E311)</f>
        <v/>
      </c>
      <c r="F311" s="56" t="str">
        <f>IF('AYIRA MINI MART FINAL MENU - Pr'!F311="", "", 'AYIRA MINI MART FINAL MENU - Pr'!F311)</f>
        <v/>
      </c>
      <c r="G311" s="56" t="str">
        <f>IF('AYIRA MINI MART FINAL MENU - Pr'!G311="", "", 'AYIRA MINI MART FINAL MENU - Pr'!G311)</f>
        <v/>
      </c>
      <c r="H311" s="56" t="str">
        <f>IF('AYIRA MINI MART FINAL MENU - Pr'!H311="", "", 'AYIRA MINI MART FINAL MENU - Pr'!H311)</f>
        <v/>
      </c>
      <c r="I311" s="56" t="str">
        <f>IF('AYIRA MINI MART FINAL MENU - Pr'!I311="", "", 'AYIRA MINI MART FINAL MENU - Pr'!I311)</f>
        <v/>
      </c>
      <c r="J311" s="56" t="str">
        <f>IFERROR(__xludf.DUMMYFUNCTION("IF('AYIRA MINI MART FINAL MENU - Pr'!J311="""", """", GOOGLETRANSLATE('AYIRA MINI MART FINAL MENU - Pr'!J311, ""en"", ""ar""))"),"يعرض")</f>
        <v>يعرض</v>
      </c>
      <c r="K311" s="56" t="str">
        <f>IF('AYIRA MINI MART FINAL MENU - Pr'!K311="", "", 'AYIRA MINI MART FINAL MENU - Pr'!K311)</f>
        <v/>
      </c>
      <c r="L311" s="56" t="str">
        <f>IF('AYIRA MINI MART FINAL MENU - Pr'!L311="", "", 'AYIRA MINI MART FINAL MENU - Pr'!L311)</f>
        <v/>
      </c>
      <c r="M311" s="56" t="str">
        <f>IF('AYIRA MINI MART FINAL MENU - Pr'!M311="", "", 'AYIRA MINI MART FINAL MENU - Pr'!M311)</f>
        <v/>
      </c>
      <c r="N311" s="56" t="str">
        <f>IF('AYIRA MINI MART FINAL MENU - Pr'!N311="", "", 'AYIRA MINI MART FINAL MENU - Pr'!N311)</f>
        <v/>
      </c>
      <c r="O311" s="57"/>
      <c r="P311" s="57"/>
      <c r="Q311" s="57"/>
      <c r="R311" s="57"/>
      <c r="S311" s="57"/>
      <c r="T311" s="57"/>
      <c r="U311" s="57"/>
      <c r="V311" s="57"/>
      <c r="W311" s="57"/>
      <c r="X311" s="57"/>
      <c r="Y311" s="57"/>
      <c r="Z311" s="57"/>
    </row>
    <row r="312">
      <c r="A312" s="56" t="str">
        <f>IFERROR(__xludf.DUMMYFUNCTION("IF('AYIRA MINI MART FINAL MENU - Pr'!A312="""", """", IF(LEN(TRIM(REGEXREPLACE(REGEXREPLACE('AYIRA MINI MART FINAL MENU - Pr'!A312, ""^[^\x{0600}-\x{06FF}]+"", """"), ""^[-–\s]+"", """")))&gt;0, TRIM(REGEXREPLACE(REGEXREPLACE('AYIRA MINI MART FINAL MENU - Pr"&amp;"'!A312, ""^[^\x{0600}-\x{06FF}]+"", """"), ""^[-–\s]+"", """")), GOOGLETRANSLATE('AYIRA MINI MART FINAL MENU - Pr'!A312, ""en"", ""ar"")))"),"كي دي دي برتقال Lolly مياه Ice 62.5 غرام")</f>
        <v>كي دي دي برتقال Lolly مياه Ice 62.5 غرام</v>
      </c>
      <c r="B312" s="56" t="str">
        <f>IFERROR(__xludf.DUMMYFUNCTION("IF('AYIRA MINI MART FINAL MENU - Pr'!B312="""", """", IF(LEN(TRIM(REGEXREPLACE(REGEXREPLACE('AYIRA MINI MART FINAL MENU - Pr'!B312, ""^[^\x{0600}-\x{06FF}]+"", """"), ""^[-–\s]+"", """")))&gt;0, TRIM(REGEXREPLACE(REGEXREPLACE('AYIRA MINI MART FINAL MENU - Pr"&amp;"'!B312, ""^[^\x{0600}-\x{06FF}]+"", """"), ""^[-–\s]+"", """")), GOOGLETRANSLATE('AYIRA MINI MART FINAL MENU - Pr'!B312, ""en"", ""ar"")))"),"الآيس كريم")</f>
        <v>الآيس كريم</v>
      </c>
      <c r="C312" s="58">
        <f>IF('AYIRA MINI MART FINAL MENU - Pr'!C312="", "", 'AYIRA MINI MART FINAL MENU - Pr'!C312)</f>
        <v>1</v>
      </c>
      <c r="D312" s="58" t="str">
        <f>IF('AYIRA MINI MART FINAL MENU - Pr'!D312="", "", 'AYIRA MINI MART FINAL MENU - Pr'!D312)</f>
        <v>اشرب كي دي دي،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312" s="56" t="str">
        <f>IF('AYIRA MINI MART FINAL MENU - Pr'!E312="", "", 'AYIRA MINI MART FINAL MENU - Pr'!E312)</f>
        <v/>
      </c>
      <c r="F312" s="56" t="str">
        <f>IF('AYIRA MINI MART FINAL MENU - Pr'!F312="", "", 'AYIRA MINI MART FINAL MENU - Pr'!F312)</f>
        <v/>
      </c>
      <c r="G312" s="56" t="str">
        <f>IF('AYIRA MINI MART FINAL MENU - Pr'!G312="", "", 'AYIRA MINI MART FINAL MENU - Pr'!G312)</f>
        <v/>
      </c>
      <c r="H312" s="56" t="str">
        <f>IF('AYIRA MINI MART FINAL MENU - Pr'!H312="", "", 'AYIRA MINI MART FINAL MENU - Pr'!H312)</f>
        <v/>
      </c>
      <c r="I312" s="56" t="str">
        <f>IF('AYIRA MINI MART FINAL MENU - Pr'!I312="", "", 'AYIRA MINI MART FINAL MENU - Pr'!I312)</f>
        <v/>
      </c>
      <c r="J312" s="56" t="str">
        <f>IFERROR(__xludf.DUMMYFUNCTION("IF('AYIRA MINI MART FINAL MENU - Pr'!J312="""", """", GOOGLETRANSLATE('AYIRA MINI MART FINAL MENU - Pr'!J312, ""en"", ""ar""))"),"يعرض")</f>
        <v>يعرض</v>
      </c>
      <c r="K312" s="56" t="str">
        <f>IF('AYIRA MINI MART FINAL MENU - Pr'!K312="", "", 'AYIRA MINI MART FINAL MENU - Pr'!K312)</f>
        <v/>
      </c>
      <c r="L312" s="56" t="str">
        <f>IF('AYIRA MINI MART FINAL MENU - Pr'!L312="", "", 'AYIRA MINI MART FINAL MENU - Pr'!L312)</f>
        <v/>
      </c>
      <c r="M312" s="56" t="str">
        <f>IF('AYIRA MINI MART FINAL MENU - Pr'!M312="", "", 'AYIRA MINI MART FINAL MENU - Pr'!M312)</f>
        <v/>
      </c>
      <c r="N312" s="56" t="str">
        <f>IF('AYIRA MINI MART FINAL MENU - Pr'!N312="", "", 'AYIRA MINI MART FINAL MENU - Pr'!N312)</f>
        <v/>
      </c>
      <c r="O312" s="57"/>
      <c r="P312" s="57"/>
      <c r="Q312" s="57"/>
      <c r="R312" s="57"/>
      <c r="S312" s="57"/>
      <c r="T312" s="57"/>
      <c r="U312" s="57"/>
      <c r="V312" s="57"/>
      <c r="W312" s="57"/>
      <c r="X312" s="57"/>
      <c r="Y312" s="57"/>
      <c r="Z312" s="57"/>
    </row>
    <row r="313">
      <c r="A313" s="56" t="str">
        <f>IFERROR(__xludf.DUMMYFUNCTION("IF('AYIRA MINI MART FINAL MENU - Pr'!A313="""", """", IF(LEN(TRIM(REGEXREPLACE(REGEXREPLACE('AYIRA MINI MART FINAL MENU - Pr'!A313, ""^[^\x{0600}-\x{06FF}]+"", """"), ""^[-–\s]+"", """")))&gt;0, TRIM(REGEXREPLACE(REGEXREPLACE('AYIRA MINI MART FINAL MENU - Pr"&amp;"'!A313, ""^[^\x{0600}-\x{06FF}]+"", """"), ""^[-–\s]+"", """")), GOOGLETRANSLATE('AYIRA MINI MART FINAL MENU - Pr'!A313, ""en"", ""ar"")))"),"كي دي دي فانيليا لوز آيس كريم 95 غرام")</f>
        <v>كي دي دي فانيليا لوز آيس كريم 95 غرام</v>
      </c>
      <c r="B313" s="56" t="str">
        <f>IFERROR(__xludf.DUMMYFUNCTION("IF('AYIRA MINI MART FINAL MENU - Pr'!B313="""", """", IF(LEN(TRIM(REGEXREPLACE(REGEXREPLACE('AYIRA MINI MART FINAL MENU - Pr'!B313, ""^[^\x{0600}-\x{06FF}]+"", """"), ""^[-–\s]+"", """")))&gt;0, TRIM(REGEXREPLACE(REGEXREPLACE('AYIRA MINI MART FINAL MENU - Pr"&amp;"'!B313, ""^[^\x{0600}-\x{06FF}]+"", """"), ""^[-–\s]+"", """")), GOOGLETRANSLATE('AYIRA MINI MART FINAL MENU - Pr'!B313, ""en"", ""ar"")))"),"الآيس كريم")</f>
        <v>الآيس كريم</v>
      </c>
      <c r="C313" s="58">
        <f>IF('AYIRA MINI MART FINAL MENU - Pr'!C313="", "", 'AYIRA MINI MART FINAL MENU - Pr'!C313)</f>
        <v>3</v>
      </c>
      <c r="D313" s="58" t="str">
        <f>IF('AYIRA MINI MART FINAL MENU - Pr'!D313="", "", 'AYIRA MINI MART FINAL MENU - Pr'!D313)</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13" s="56" t="str">
        <f>IF('AYIRA MINI MART FINAL MENU - Pr'!E313="", "", 'AYIRA MINI MART FINAL MENU - Pr'!E313)</f>
        <v/>
      </c>
      <c r="F313" s="56" t="str">
        <f>IF('AYIRA MINI MART FINAL MENU - Pr'!F313="", "", 'AYIRA MINI MART FINAL MENU - Pr'!F313)</f>
        <v/>
      </c>
      <c r="G313" s="56" t="str">
        <f>IF('AYIRA MINI MART FINAL MENU - Pr'!G313="", "", 'AYIRA MINI MART FINAL MENU - Pr'!G313)</f>
        <v/>
      </c>
      <c r="H313" s="56" t="str">
        <f>IF('AYIRA MINI MART FINAL MENU - Pr'!H313="", "", 'AYIRA MINI MART FINAL MENU - Pr'!H313)</f>
        <v/>
      </c>
      <c r="I313" s="56" t="str">
        <f>IF('AYIRA MINI MART FINAL MENU - Pr'!I313="", "", 'AYIRA MINI MART FINAL MENU - Pr'!I313)</f>
        <v/>
      </c>
      <c r="J313" s="56" t="str">
        <f>IFERROR(__xludf.DUMMYFUNCTION("IF('AYIRA MINI MART FINAL MENU - Pr'!J313="""", """", GOOGLETRANSLATE('AYIRA MINI MART FINAL MENU - Pr'!J313, ""en"", ""ar""))"),"يعرض")</f>
        <v>يعرض</v>
      </c>
      <c r="K313" s="56" t="str">
        <f>IF('AYIRA MINI MART FINAL MENU - Pr'!K313="", "", 'AYIRA MINI MART FINAL MENU - Pr'!K313)</f>
        <v/>
      </c>
      <c r="L313" s="56" t="str">
        <f>IF('AYIRA MINI MART FINAL MENU - Pr'!L313="", "", 'AYIRA MINI MART FINAL MENU - Pr'!L313)</f>
        <v/>
      </c>
      <c r="M313" s="56" t="str">
        <f>IF('AYIRA MINI MART FINAL MENU - Pr'!M313="", "", 'AYIRA MINI MART FINAL MENU - Pr'!M313)</f>
        <v/>
      </c>
      <c r="N313" s="56" t="str">
        <f>IF('AYIRA MINI MART FINAL MENU - Pr'!N313="", "", 'AYIRA MINI MART FINAL MENU - Pr'!N313)</f>
        <v/>
      </c>
      <c r="O313" s="57"/>
      <c r="P313" s="57"/>
      <c r="Q313" s="57"/>
      <c r="R313" s="57"/>
      <c r="S313" s="57"/>
      <c r="T313" s="57"/>
      <c r="U313" s="57"/>
      <c r="V313" s="57"/>
      <c r="W313" s="57"/>
      <c r="X313" s="57"/>
      <c r="Y313" s="57"/>
      <c r="Z313" s="57"/>
    </row>
    <row r="314">
      <c r="A314" s="56" t="str">
        <f>IFERROR(__xludf.DUMMYFUNCTION("IF('AYIRA MINI MART FINAL MENU - Pr'!A314="""", """", IF(LEN(TRIM(REGEXREPLACE(REGEXREPLACE('AYIRA MINI MART FINAL MENU - Pr'!A314, ""^[^\x{0600}-\x{06FF}]+"", """"), ""^[-–\s]+"", """")))&gt;0, TRIM(REGEXREPLACE(REGEXREPLACE('AYIRA MINI MART FINAL MENU - Pr"&amp;"'!A314, ""^[^\x{0600}-\x{06FF}]+"", """"), ""^[-–\s]+"", """")), GOOGLETRANSLATE('AYIRA MINI MART FINAL MENU - Pr'!A314, ""en"", ""ar"")))"),"كي دي دي Choco Rico آيس كريم 62.5 غرام")</f>
        <v>كي دي دي Choco Rico آيس كريم 62.5 غرام</v>
      </c>
      <c r="B314" s="56" t="str">
        <f>IFERROR(__xludf.DUMMYFUNCTION("IF('AYIRA MINI MART FINAL MENU - Pr'!B314="""", """", IF(LEN(TRIM(REGEXREPLACE(REGEXREPLACE('AYIRA MINI MART FINAL MENU - Pr'!B314, ""^[^\x{0600}-\x{06FF}]+"", """"), ""^[-–\s]+"", """")))&gt;0, TRIM(REGEXREPLACE(REGEXREPLACE('AYIRA MINI MART FINAL MENU - Pr"&amp;"'!B314, ""^[^\x{0600}-\x{06FF}]+"", """"), ""^[-–\s]+"", """")), GOOGLETRANSLATE('AYIRA MINI MART FINAL MENU - Pr'!B314, ""en"", ""ar"")))"),"الآيس كريم")</f>
        <v>الآيس كريم</v>
      </c>
      <c r="C314" s="58">
        <f>IF('AYIRA MINI MART FINAL MENU - Pr'!C314="", "", 'AYIRA MINI MART FINAL MENU - Pr'!C314)</f>
        <v>1.5</v>
      </c>
      <c r="D314" s="58" t="str">
        <f>IF('AYIRA MINI MART FINAL MENU - Pr'!D314="", "", 'AYIRA MINI MART FINAL MENU - Pr'!D314)</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14" s="56" t="str">
        <f>IF('AYIRA MINI MART FINAL MENU - Pr'!E314="", "", 'AYIRA MINI MART FINAL MENU - Pr'!E314)</f>
        <v/>
      </c>
      <c r="F314" s="56" t="str">
        <f>IF('AYIRA MINI MART FINAL MENU - Pr'!F314="", "", 'AYIRA MINI MART FINAL MENU - Pr'!F314)</f>
        <v/>
      </c>
      <c r="G314" s="56" t="str">
        <f>IF('AYIRA MINI MART FINAL MENU - Pr'!G314="", "", 'AYIRA MINI MART FINAL MENU - Pr'!G314)</f>
        <v/>
      </c>
      <c r="H314" s="56" t="str">
        <f>IF('AYIRA MINI MART FINAL MENU - Pr'!H314="", "", 'AYIRA MINI MART FINAL MENU - Pr'!H314)</f>
        <v/>
      </c>
      <c r="I314" s="56" t="str">
        <f>IF('AYIRA MINI MART FINAL MENU - Pr'!I314="", "", 'AYIRA MINI MART FINAL MENU - Pr'!I314)</f>
        <v/>
      </c>
      <c r="J314" s="56" t="str">
        <f>IFERROR(__xludf.DUMMYFUNCTION("IF('AYIRA MINI MART FINAL MENU - Pr'!J314="""", """", GOOGLETRANSLATE('AYIRA MINI MART FINAL MENU - Pr'!J314, ""en"", ""ar""))"),"يعرض")</f>
        <v>يعرض</v>
      </c>
      <c r="K314" s="56" t="str">
        <f>IF('AYIRA MINI MART FINAL MENU - Pr'!K314="", "", 'AYIRA MINI MART FINAL MENU - Pr'!K314)</f>
        <v/>
      </c>
      <c r="L314" s="56" t="str">
        <f>IF('AYIRA MINI MART FINAL MENU - Pr'!L314="", "", 'AYIRA MINI MART FINAL MENU - Pr'!L314)</f>
        <v/>
      </c>
      <c r="M314" s="56" t="str">
        <f>IF('AYIRA MINI MART FINAL MENU - Pr'!M314="", "", 'AYIRA MINI MART FINAL MENU - Pr'!M314)</f>
        <v/>
      </c>
      <c r="N314" s="56" t="str">
        <f>IF('AYIRA MINI MART FINAL MENU - Pr'!N314="", "", 'AYIRA MINI MART FINAL MENU - Pr'!N314)</f>
        <v/>
      </c>
      <c r="O314" s="57"/>
      <c r="P314" s="57"/>
      <c r="Q314" s="57"/>
      <c r="R314" s="57"/>
      <c r="S314" s="57"/>
      <c r="T314" s="57"/>
      <c r="U314" s="57"/>
      <c r="V314" s="57"/>
      <c r="W314" s="57"/>
      <c r="X314" s="57"/>
      <c r="Y314" s="57"/>
      <c r="Z314" s="57"/>
    </row>
    <row r="315">
      <c r="A315" s="56" t="str">
        <f>IFERROR(__xludf.DUMMYFUNCTION("IF('AYIRA MINI MART FINAL MENU - Pr'!A315="""", """", IF(LEN(TRIM(REGEXREPLACE(REGEXREPLACE('AYIRA MINI MART FINAL MENU - Pr'!A315, ""^[^\x{0600}-\x{06FF}]+"", """"), ""^[-–\s]+"", """")))&gt;0, TRIM(REGEXREPLACE(REGEXREPLACE('AYIRA MINI MART FINAL MENU - Pr"&amp;"'!A315, ""^[^\x{0600}-\x{06FF}]+"", """"), ""^[-–\s]+"", """")), GOOGLETRANSLATE('AYIRA MINI MART FINAL MENU - Pr'!A315, ""en"", ""ar"")))"),"كي دي دي فراولة آيس كريم 100 غرام")</f>
        <v>كي دي دي فراولة آيس كريم 100 غرام</v>
      </c>
      <c r="B315" s="56" t="str">
        <f>IFERROR(__xludf.DUMMYFUNCTION("IF('AYIRA MINI MART FINAL MENU - Pr'!B315="""", """", IF(LEN(TRIM(REGEXREPLACE(REGEXREPLACE('AYIRA MINI MART FINAL MENU - Pr'!B315, ""^[^\x{0600}-\x{06FF}]+"", """"), ""^[-–\s]+"", """")))&gt;0, TRIM(REGEXREPLACE(REGEXREPLACE('AYIRA MINI MART FINAL MENU - Pr"&amp;"'!B315, ""^[^\x{0600}-\x{06FF}]+"", """"), ""^[-–\s]+"", """")), GOOGLETRANSLATE('AYIRA MINI MART FINAL MENU - Pr'!B315, ""en"", ""ar"")))"),"الآيس كريم")</f>
        <v>الآيس كريم</v>
      </c>
      <c r="C315" s="58">
        <f>IF('AYIRA MINI MART FINAL MENU - Pr'!C315="", "", 'AYIRA MINI MART FINAL MENU - Pr'!C315)</f>
        <v>1.5</v>
      </c>
      <c r="D315" s="58" t="str">
        <f>IF('AYIRA MINI MART FINAL MENU - Pr'!D315="", "", 'AYIRA MINI MART FINAL MENU - Pr'!D315)</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15" s="56" t="str">
        <f>IF('AYIRA MINI MART FINAL MENU - Pr'!E315="", "", 'AYIRA MINI MART FINAL MENU - Pr'!E315)</f>
        <v/>
      </c>
      <c r="F315" s="56" t="str">
        <f>IF('AYIRA MINI MART FINAL MENU - Pr'!F315="", "", 'AYIRA MINI MART FINAL MENU - Pr'!F315)</f>
        <v/>
      </c>
      <c r="G315" s="56" t="str">
        <f>IF('AYIRA MINI MART FINAL MENU - Pr'!G315="", "", 'AYIRA MINI MART FINAL MENU - Pr'!G315)</f>
        <v/>
      </c>
      <c r="H315" s="56" t="str">
        <f>IF('AYIRA MINI MART FINAL MENU - Pr'!H315="", "", 'AYIRA MINI MART FINAL MENU - Pr'!H315)</f>
        <v/>
      </c>
      <c r="I315" s="56" t="str">
        <f>IF('AYIRA MINI MART FINAL MENU - Pr'!I315="", "", 'AYIRA MINI MART FINAL MENU - Pr'!I315)</f>
        <v/>
      </c>
      <c r="J315" s="56" t="str">
        <f>IFERROR(__xludf.DUMMYFUNCTION("IF('AYIRA MINI MART FINAL MENU - Pr'!J315="""", """", GOOGLETRANSLATE('AYIRA MINI MART FINAL MENU - Pr'!J315, ""en"", ""ar""))"),"يعرض")</f>
        <v>يعرض</v>
      </c>
      <c r="K315" s="56" t="str">
        <f>IF('AYIRA MINI MART FINAL MENU - Pr'!K315="", "", 'AYIRA MINI MART FINAL MENU - Pr'!K315)</f>
        <v/>
      </c>
      <c r="L315" s="56" t="str">
        <f>IF('AYIRA MINI MART FINAL MENU - Pr'!L315="", "", 'AYIRA MINI MART FINAL MENU - Pr'!L315)</f>
        <v/>
      </c>
      <c r="M315" s="56" t="str">
        <f>IF('AYIRA MINI MART FINAL MENU - Pr'!M315="", "", 'AYIRA MINI MART FINAL MENU - Pr'!M315)</f>
        <v/>
      </c>
      <c r="N315" s="56" t="str">
        <f>IF('AYIRA MINI MART FINAL MENU - Pr'!N315="", "", 'AYIRA MINI MART FINAL MENU - Pr'!N315)</f>
        <v/>
      </c>
      <c r="O315" s="57"/>
      <c r="P315" s="57"/>
      <c r="Q315" s="57"/>
      <c r="R315" s="57"/>
      <c r="S315" s="57"/>
      <c r="T315" s="57"/>
      <c r="U315" s="57"/>
      <c r="V315" s="57"/>
      <c r="W315" s="57"/>
      <c r="X315" s="57"/>
      <c r="Y315" s="57"/>
      <c r="Z315" s="57"/>
    </row>
    <row r="316">
      <c r="A316" s="56" t="str">
        <f>IFERROR(__xludf.DUMMYFUNCTION("IF('AYIRA MINI MART FINAL MENU - Pr'!A316="""", """", IF(LEN(TRIM(REGEXREPLACE(REGEXREPLACE('AYIRA MINI MART FINAL MENU - Pr'!A316, ""^[^\x{0600}-\x{06FF}]+"", """"), ""^[-–\s]+"", """")))&gt;0, TRIM(REGEXREPLACE(REGEXREPLACE('AYIRA MINI MART FINAL MENU - Pr"&amp;"'!A316, ""^[^\x{0600}-\x{06FF}]+"", """"), ""^[-–\s]+"", """")), GOOGLETRANSLATE('AYIRA MINI MART FINAL MENU - Pr'!A316, ""en"", ""ar"")))"),"كي دي دي Blitz فانيليا آيس كريم with Raspberry 62.5 غرام")</f>
        <v>كي دي دي Blitz فانيليا آيس كريم with Raspberry 62.5 غرام</v>
      </c>
      <c r="B316" s="56" t="str">
        <f>IFERROR(__xludf.DUMMYFUNCTION("IF('AYIRA MINI MART FINAL MENU - Pr'!B316="""", """", IF(LEN(TRIM(REGEXREPLACE(REGEXREPLACE('AYIRA MINI MART FINAL MENU - Pr'!B316, ""^[^\x{0600}-\x{06FF}]+"", """"), ""^[-–\s]+"", """")))&gt;0, TRIM(REGEXREPLACE(REGEXREPLACE('AYIRA MINI MART FINAL MENU - Pr"&amp;"'!B316, ""^[^\x{0600}-\x{06FF}]+"", """"), ""^[-–\s]+"", """")), GOOGLETRANSLATE('AYIRA MINI MART FINAL MENU - Pr'!B316, ""en"", ""ar"")))"),"الآيس كريم")</f>
        <v>الآيس كريم</v>
      </c>
      <c r="C316" s="58">
        <f>IF('AYIRA MINI MART FINAL MENU - Pr'!C316="", "", 'AYIRA MINI MART FINAL MENU - Pr'!C316)</f>
        <v>1.5</v>
      </c>
      <c r="D316" s="58" t="str">
        <f>IF('AYIRA MINI MART FINAL MENU - Pr'!D316="", "", 'AYIRA MINI MART FINAL MENU - Pr'!D316)</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16" s="56" t="str">
        <f>IF('AYIRA MINI MART FINAL MENU - Pr'!E316="", "", 'AYIRA MINI MART FINAL MENU - Pr'!E316)</f>
        <v/>
      </c>
      <c r="F316" s="56" t="str">
        <f>IF('AYIRA MINI MART FINAL MENU - Pr'!F316="", "", 'AYIRA MINI MART FINAL MENU - Pr'!F316)</f>
        <v/>
      </c>
      <c r="G316" s="56" t="str">
        <f>IF('AYIRA MINI MART FINAL MENU - Pr'!G316="", "", 'AYIRA MINI MART FINAL MENU - Pr'!G316)</f>
        <v/>
      </c>
      <c r="H316" s="56" t="str">
        <f>IF('AYIRA MINI MART FINAL MENU - Pr'!H316="", "", 'AYIRA MINI MART FINAL MENU - Pr'!H316)</f>
        <v/>
      </c>
      <c r="I316" s="56" t="str">
        <f>IF('AYIRA MINI MART FINAL MENU - Pr'!I316="", "", 'AYIRA MINI MART FINAL MENU - Pr'!I316)</f>
        <v/>
      </c>
      <c r="J316" s="56" t="str">
        <f>IFERROR(__xludf.DUMMYFUNCTION("IF('AYIRA MINI MART FINAL MENU - Pr'!J316="""", """", GOOGLETRANSLATE('AYIRA MINI MART FINAL MENU - Pr'!J316, ""en"", ""ar""))"),"يعرض")</f>
        <v>يعرض</v>
      </c>
      <c r="K316" s="56" t="str">
        <f>IF('AYIRA MINI MART FINAL MENU - Pr'!K316="", "", 'AYIRA MINI MART FINAL MENU - Pr'!K316)</f>
        <v/>
      </c>
      <c r="L316" s="56" t="str">
        <f>IF('AYIRA MINI MART FINAL MENU - Pr'!L316="", "", 'AYIRA MINI MART FINAL MENU - Pr'!L316)</f>
        <v/>
      </c>
      <c r="M316" s="56" t="str">
        <f>IF('AYIRA MINI MART FINAL MENU - Pr'!M316="", "", 'AYIRA MINI MART FINAL MENU - Pr'!M316)</f>
        <v/>
      </c>
      <c r="N316" s="56" t="str">
        <f>IF('AYIRA MINI MART FINAL MENU - Pr'!N316="", "", 'AYIRA MINI MART FINAL MENU - Pr'!N316)</f>
        <v/>
      </c>
      <c r="O316" s="57"/>
      <c r="P316" s="57"/>
      <c r="Q316" s="57"/>
      <c r="R316" s="57"/>
      <c r="S316" s="57"/>
      <c r="T316" s="57"/>
      <c r="U316" s="57"/>
      <c r="V316" s="57"/>
      <c r="W316" s="57"/>
      <c r="X316" s="57"/>
      <c r="Y316" s="57"/>
      <c r="Z316" s="57"/>
    </row>
    <row r="317">
      <c r="A317" s="56" t="str">
        <f>IFERROR(__xludf.DUMMYFUNCTION("IF('AYIRA MINI MART FINAL MENU - Pr'!A317="""", """", IF(LEN(TRIM(REGEXREPLACE(REGEXREPLACE('AYIRA MINI MART FINAL MENU - Pr'!A317, ""^[^\x{0600}-\x{06FF}]+"", """"), ""^[-–\s]+"", """")))&gt;0, TRIM(REGEXREPLACE(REGEXREPLACE('AYIRA MINI MART FINAL MENU - Pr"&amp;"'!A317, ""^[^\x{0600}-\x{06FF}]+"", """"), ""^[-–\s]+"", """")), GOOGLETRANSLATE('AYIRA MINI MART FINAL MENU - Pr'!A317, ""en"", ""ar"")))"),"كي دي دي شوكولاتة آيس كريم 100 غرام")</f>
        <v>كي دي دي شوكولاتة آيس كريم 100 غرام</v>
      </c>
      <c r="B317" s="56" t="str">
        <f>IFERROR(__xludf.DUMMYFUNCTION("IF('AYIRA MINI MART FINAL MENU - Pr'!B317="""", """", IF(LEN(TRIM(REGEXREPLACE(REGEXREPLACE('AYIRA MINI MART FINAL MENU - Pr'!B317, ""^[^\x{0600}-\x{06FF}]+"", """"), ""^[-–\s]+"", """")))&gt;0, TRIM(REGEXREPLACE(REGEXREPLACE('AYIRA MINI MART FINAL MENU - Pr"&amp;"'!B317, ""^[^\x{0600}-\x{06FF}]+"", """"), ""^[-–\s]+"", """")), GOOGLETRANSLATE('AYIRA MINI MART FINAL MENU - Pr'!B317, ""en"", ""ar"")))"),"الآيس كريم")</f>
        <v>الآيس كريم</v>
      </c>
      <c r="C317" s="58">
        <f>IF('AYIRA MINI MART FINAL MENU - Pr'!C317="", "", 'AYIRA MINI MART FINAL MENU - Pr'!C317)</f>
        <v>1.5</v>
      </c>
      <c r="D317" s="58" t="str">
        <f>IF('AYIRA MINI MART FINAL MENU - Pr'!D317="", "", 'AYIRA MINI MART FINAL MENU - Pr'!D317)</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17" s="56" t="str">
        <f>IF('AYIRA MINI MART FINAL MENU - Pr'!E317="", "", 'AYIRA MINI MART FINAL MENU - Pr'!E317)</f>
        <v/>
      </c>
      <c r="F317" s="56" t="str">
        <f>IF('AYIRA MINI MART FINAL MENU - Pr'!F317="", "", 'AYIRA MINI MART FINAL MENU - Pr'!F317)</f>
        <v/>
      </c>
      <c r="G317" s="56" t="str">
        <f>IF('AYIRA MINI MART FINAL MENU - Pr'!G317="", "", 'AYIRA MINI MART FINAL MENU - Pr'!G317)</f>
        <v/>
      </c>
      <c r="H317" s="56" t="str">
        <f>IF('AYIRA MINI MART FINAL MENU - Pr'!H317="", "", 'AYIRA MINI MART FINAL MENU - Pr'!H317)</f>
        <v/>
      </c>
      <c r="I317" s="56" t="str">
        <f>IF('AYIRA MINI MART FINAL MENU - Pr'!I317="", "", 'AYIRA MINI MART FINAL MENU - Pr'!I317)</f>
        <v/>
      </c>
      <c r="J317" s="56" t="str">
        <f>IFERROR(__xludf.DUMMYFUNCTION("IF('AYIRA MINI MART FINAL MENU - Pr'!J317="""", """", GOOGLETRANSLATE('AYIRA MINI MART FINAL MENU - Pr'!J317, ""en"", ""ar""))"),"إنتهى من المخزن")</f>
        <v>إنتهى من المخزن</v>
      </c>
      <c r="K317" s="56" t="str">
        <f>IF('AYIRA MINI MART FINAL MENU - Pr'!K317="", "", 'AYIRA MINI MART FINAL MENU - Pr'!K317)</f>
        <v/>
      </c>
      <c r="L317" s="56" t="str">
        <f>IF('AYIRA MINI MART FINAL MENU - Pr'!L317="", "", 'AYIRA MINI MART FINAL MENU - Pr'!L317)</f>
        <v/>
      </c>
      <c r="M317" s="56" t="str">
        <f>IF('AYIRA MINI MART FINAL MENU - Pr'!M317="", "", 'AYIRA MINI MART FINAL MENU - Pr'!M317)</f>
        <v/>
      </c>
      <c r="N317" s="56" t="str">
        <f>IF('AYIRA MINI MART FINAL MENU - Pr'!N317="", "", 'AYIRA MINI MART FINAL MENU - Pr'!N317)</f>
        <v/>
      </c>
      <c r="O317" s="57"/>
      <c r="P317" s="57"/>
      <c r="Q317" s="57"/>
      <c r="R317" s="57"/>
      <c r="S317" s="57"/>
      <c r="T317" s="57"/>
      <c r="U317" s="57"/>
      <c r="V317" s="57"/>
      <c r="W317" s="57"/>
      <c r="X317" s="57"/>
      <c r="Y317" s="57"/>
      <c r="Z317" s="57"/>
    </row>
    <row r="318">
      <c r="A318" s="56" t="str">
        <f>IFERROR(__xludf.DUMMYFUNCTION("IF('AYIRA MINI MART FINAL MENU - Pr'!A318="""", """", IF(LEN(TRIM(REGEXREPLACE(REGEXREPLACE('AYIRA MINI MART FINAL MENU - Pr'!A318, ""^[^\x{0600}-\x{06FF}]+"", """"), ""^[-–\s]+"", """")))&gt;0, TRIM(REGEXREPLACE(REGEXREPLACE('AYIRA MINI MART FINAL MENU - Pr"&amp;"'!A318, ""^[^\x{0600}-\x{06FF}]+"", """"), ""^[-–\s]+"", """")), GOOGLETRANSLATE('AYIRA MINI MART FINAL MENU - Pr'!A318, ""en"", ""ar"")))"),"كي دي دي Lulu آيس كريم – شوكولاتة &amp; Nougat 100 مل")</f>
        <v>كي دي دي Lulu آيس كريم – شوكولاتة &amp; Nougat 100 مل</v>
      </c>
      <c r="B318" s="56" t="str">
        <f>IFERROR(__xludf.DUMMYFUNCTION("IF('AYIRA MINI MART FINAL MENU - Pr'!B318="""", """", IF(LEN(TRIM(REGEXREPLACE(REGEXREPLACE('AYIRA MINI MART FINAL MENU - Pr'!B318, ""^[^\x{0600}-\x{06FF}]+"", """"), ""^[-–\s]+"", """")))&gt;0, TRIM(REGEXREPLACE(REGEXREPLACE('AYIRA MINI MART FINAL MENU - Pr"&amp;"'!B318, ""^[^\x{0600}-\x{06FF}]+"", """"), ""^[-–\s]+"", """")), GOOGLETRANSLATE('AYIRA MINI MART FINAL MENU - Pr'!B318, ""en"", ""ar"")))"),"الآيس كريم")</f>
        <v>الآيس كريم</v>
      </c>
      <c r="C318" s="58">
        <f>IF('AYIRA MINI MART FINAL MENU - Pr'!C318="", "", 'AYIRA MINI MART FINAL MENU - Pr'!C318)</f>
        <v>3.5</v>
      </c>
      <c r="D318" s="58" t="str">
        <f>IF('AYIRA MINI MART FINAL MENU - Pr'!D318="", "", 'AYIRA MINI MART FINAL MENU - Pr'!D318)</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18" s="56" t="str">
        <f>IF('AYIRA MINI MART FINAL MENU - Pr'!E318="", "", 'AYIRA MINI MART FINAL MENU - Pr'!E318)</f>
        <v/>
      </c>
      <c r="F318" s="56" t="str">
        <f>IF('AYIRA MINI MART FINAL MENU - Pr'!F318="", "", 'AYIRA MINI MART FINAL MENU - Pr'!F318)</f>
        <v/>
      </c>
      <c r="G318" s="56" t="str">
        <f>IF('AYIRA MINI MART FINAL MENU - Pr'!G318="", "", 'AYIRA MINI MART FINAL MENU - Pr'!G318)</f>
        <v/>
      </c>
      <c r="H318" s="56" t="str">
        <f>IF('AYIRA MINI MART FINAL MENU - Pr'!H318="", "", 'AYIRA MINI MART FINAL MENU - Pr'!H318)</f>
        <v/>
      </c>
      <c r="I318" s="56" t="str">
        <f>IF('AYIRA MINI MART FINAL MENU - Pr'!I318="", "", 'AYIRA MINI MART FINAL MENU - Pr'!I318)</f>
        <v/>
      </c>
      <c r="J318" s="56" t="str">
        <f>IFERROR(__xludf.DUMMYFUNCTION("IF('AYIRA MINI MART FINAL MENU - Pr'!J318="""", """", GOOGLETRANSLATE('AYIRA MINI MART FINAL MENU - Pr'!J318, ""en"", ""ar""))"),"يعرض")</f>
        <v>يعرض</v>
      </c>
      <c r="K318" s="56" t="str">
        <f>IF('AYIRA MINI MART FINAL MENU - Pr'!K318="", "", 'AYIRA MINI MART FINAL MENU - Pr'!K318)</f>
        <v/>
      </c>
      <c r="L318" s="56" t="str">
        <f>IF('AYIRA MINI MART FINAL MENU - Pr'!L318="", "", 'AYIRA MINI MART FINAL MENU - Pr'!L318)</f>
        <v/>
      </c>
      <c r="M318" s="56" t="str">
        <f>IF('AYIRA MINI MART FINAL MENU - Pr'!M318="", "", 'AYIRA MINI MART FINAL MENU - Pr'!M318)</f>
        <v/>
      </c>
      <c r="N318" s="56" t="str">
        <f>IF('AYIRA MINI MART FINAL MENU - Pr'!N318="", "", 'AYIRA MINI MART FINAL MENU - Pr'!N318)</f>
        <v/>
      </c>
      <c r="O318" s="57"/>
      <c r="P318" s="57"/>
      <c r="Q318" s="57"/>
      <c r="R318" s="57"/>
      <c r="S318" s="57"/>
      <c r="T318" s="57"/>
      <c r="U318" s="57"/>
      <c r="V318" s="57"/>
      <c r="W318" s="57"/>
      <c r="X318" s="57"/>
      <c r="Y318" s="57"/>
      <c r="Z318" s="57"/>
    </row>
    <row r="319">
      <c r="A319" s="56" t="str">
        <f>IFERROR(__xludf.DUMMYFUNCTION("IF('AYIRA MINI MART FINAL MENU - Pr'!A319="""", """", IF(LEN(TRIM(REGEXREPLACE(REGEXREPLACE('AYIRA MINI MART FINAL MENU - Pr'!A319, ""^[^\x{0600}-\x{06FF}]+"", """"), ""^[-–\s]+"", """")))&gt;0, TRIM(REGEXREPLACE(REGEXREPLACE('AYIRA MINI MART FINAL MENU - Pr"&amp;"'!A319, ""^[^\x{0600}-\x{06FF}]+"", """"), ""^[-–\s]+"", """")), GOOGLETRANSLATE('AYIRA MINI MART FINAL MENU - Pr'!A319, ""en"", ""ar"")))"),"كي دي دي برتقال Lolly مياه Ice 62.5 غرام")</f>
        <v>كي دي دي برتقال Lolly مياه Ice 62.5 غرام</v>
      </c>
      <c r="B319" s="56" t="str">
        <f>IFERROR(__xludf.DUMMYFUNCTION("IF('AYIRA MINI MART FINAL MENU - Pr'!B319="""", """", IF(LEN(TRIM(REGEXREPLACE(REGEXREPLACE('AYIRA MINI MART FINAL MENU - Pr'!B319, ""^[^\x{0600}-\x{06FF}]+"", """"), ""^[-–\s]+"", """")))&gt;0, TRIM(REGEXREPLACE(REGEXREPLACE('AYIRA MINI MART FINAL MENU - Pr"&amp;"'!B319, ""^[^\x{0600}-\x{06FF}]+"", """"), ""^[-–\s]+"", """")), GOOGLETRANSLATE('AYIRA MINI MART FINAL MENU - Pr'!B319, ""en"", ""ar"")))"),"الآيس كريم")</f>
        <v>الآيس كريم</v>
      </c>
      <c r="C319" s="58">
        <f>IF('AYIRA MINI MART FINAL MENU - Pr'!C319="", "", 'AYIRA MINI MART FINAL MENU - Pr'!C319)</f>
        <v>1</v>
      </c>
      <c r="D319" s="58" t="str">
        <f>IF('AYIRA MINI MART FINAL MENU - Pr'!D319="", "", 'AYIRA MINI MART FINAL MENU - Pr'!D319)</f>
        <v>اشرب كي دي دي،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319" s="56" t="str">
        <f>IF('AYIRA MINI MART FINAL MENU - Pr'!E319="", "", 'AYIRA MINI MART FINAL MENU - Pr'!E319)</f>
        <v/>
      </c>
      <c r="F319" s="56" t="str">
        <f>IF('AYIRA MINI MART FINAL MENU - Pr'!F319="", "", 'AYIRA MINI MART FINAL MENU - Pr'!F319)</f>
        <v/>
      </c>
      <c r="G319" s="56" t="str">
        <f>IF('AYIRA MINI MART FINAL MENU - Pr'!G319="", "", 'AYIRA MINI MART FINAL MENU - Pr'!G319)</f>
        <v/>
      </c>
      <c r="H319" s="56" t="str">
        <f>IF('AYIRA MINI MART FINAL MENU - Pr'!H319="", "", 'AYIRA MINI MART FINAL MENU - Pr'!H319)</f>
        <v/>
      </c>
      <c r="I319" s="56" t="str">
        <f>IF('AYIRA MINI MART FINAL MENU - Pr'!I319="", "", 'AYIRA MINI MART FINAL MENU - Pr'!I319)</f>
        <v/>
      </c>
      <c r="J319" s="56" t="str">
        <f>IFERROR(__xludf.DUMMYFUNCTION("IF('AYIRA MINI MART FINAL MENU - Pr'!J319="""", """", GOOGLETRANSLATE('AYIRA MINI MART FINAL MENU - Pr'!J319, ""en"", ""ar""))"),"يعرض")</f>
        <v>يعرض</v>
      </c>
      <c r="K319" s="56" t="str">
        <f>IF('AYIRA MINI MART FINAL MENU - Pr'!K319="", "", 'AYIRA MINI MART FINAL MENU - Pr'!K319)</f>
        <v/>
      </c>
      <c r="L319" s="56" t="str">
        <f>IF('AYIRA MINI MART FINAL MENU - Pr'!L319="", "", 'AYIRA MINI MART FINAL MENU - Pr'!L319)</f>
        <v/>
      </c>
      <c r="M319" s="56" t="str">
        <f>IF('AYIRA MINI MART FINAL MENU - Pr'!M319="", "", 'AYIRA MINI MART FINAL MENU - Pr'!M319)</f>
        <v/>
      </c>
      <c r="N319" s="56" t="str">
        <f>IF('AYIRA MINI MART FINAL MENU - Pr'!N319="", "", 'AYIRA MINI MART FINAL MENU - Pr'!N319)</f>
        <v/>
      </c>
      <c r="O319" s="57"/>
      <c r="P319" s="57"/>
      <c r="Q319" s="57"/>
      <c r="R319" s="57"/>
      <c r="S319" s="57"/>
      <c r="T319" s="57"/>
      <c r="U319" s="57"/>
      <c r="V319" s="57"/>
      <c r="W319" s="57"/>
      <c r="X319" s="57"/>
      <c r="Y319" s="57"/>
      <c r="Z319" s="57"/>
    </row>
    <row r="320">
      <c r="A320" s="56" t="str">
        <f>IFERROR(__xludf.DUMMYFUNCTION("IF('AYIRA MINI MART FINAL MENU - Pr'!A320="""", """", IF(LEN(TRIM(REGEXREPLACE(REGEXREPLACE('AYIRA MINI MART FINAL MENU - Pr'!A320, ""^[^\x{0600}-\x{06FF}]+"", """"), ""^[-–\s]+"", """")))&gt;0, TRIM(REGEXREPLACE(REGEXREPLACE('AYIRA MINI MART FINAL MENU - Pr"&amp;"'!A320, ""^[^\x{0600}-\x{06FF}]+"", """"), ""^[-–\s]+"", """")), GOOGLETRANSLATE('AYIRA MINI MART FINAL MENU - Pr'!A320, ""en"", ""ar"")))"),"كي دي دي فانيليا لوز آيس كريم 95 غرام")</f>
        <v>كي دي دي فانيليا لوز آيس كريم 95 غرام</v>
      </c>
      <c r="B320" s="56" t="str">
        <f>IFERROR(__xludf.DUMMYFUNCTION("IF('AYIRA MINI MART FINAL MENU - Pr'!B320="""", """", IF(LEN(TRIM(REGEXREPLACE(REGEXREPLACE('AYIRA MINI MART FINAL MENU - Pr'!B320, ""^[^\x{0600}-\x{06FF}]+"", """"), ""^[-–\s]+"", """")))&gt;0, TRIM(REGEXREPLACE(REGEXREPLACE('AYIRA MINI MART FINAL MENU - Pr"&amp;"'!B320, ""^[^\x{0600}-\x{06FF}]+"", """"), ""^[-–\s]+"", """")), GOOGLETRANSLATE('AYIRA MINI MART FINAL MENU - Pr'!B320, ""en"", ""ar"")))"),"الآيس كريم")</f>
        <v>الآيس كريم</v>
      </c>
      <c r="C320" s="56" t="str">
        <f>IF('AYIRA MINI MART FINAL MENU - Pr'!C320="", "", 'AYIRA MINI MART FINAL MENU - Pr'!C320)</f>
        <v/>
      </c>
      <c r="D320" s="58" t="str">
        <f>IF('AYIRA MINI MART FINAL MENU - Pr'!D320="", "", 'AYIRA MINI MART FINAL MENU - Pr'!D320)</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0" s="56" t="str">
        <f>IF('AYIRA MINI MART FINAL MENU - Pr'!E320="", "", 'AYIRA MINI MART FINAL MENU - Pr'!E320)</f>
        <v/>
      </c>
      <c r="F320" s="56" t="str">
        <f>IF('AYIRA MINI MART FINAL MENU - Pr'!F320="", "", 'AYIRA MINI MART FINAL MENU - Pr'!F320)</f>
        <v/>
      </c>
      <c r="G320" s="56" t="str">
        <f>IF('AYIRA MINI MART FINAL MENU - Pr'!G320="", "", 'AYIRA MINI MART FINAL MENU - Pr'!G320)</f>
        <v/>
      </c>
      <c r="H320" s="56" t="str">
        <f>IF('AYIRA MINI MART FINAL MENU - Pr'!H320="", "", 'AYIRA MINI MART FINAL MENU - Pr'!H320)</f>
        <v/>
      </c>
      <c r="I320" s="56" t="str">
        <f>IF('AYIRA MINI MART FINAL MENU - Pr'!I320="", "", 'AYIRA MINI MART FINAL MENU - Pr'!I320)</f>
        <v/>
      </c>
      <c r="J320" s="56" t="str">
        <f>IFERROR(__xludf.DUMMYFUNCTION("IF('AYIRA MINI MART FINAL MENU - Pr'!J320="""", """", GOOGLETRANSLATE('AYIRA MINI MART FINAL MENU - Pr'!J320, ""en"", ""ar""))"),"إنتهى من المخزن")</f>
        <v>إنتهى من المخزن</v>
      </c>
      <c r="K320" s="56" t="str">
        <f>IF('AYIRA MINI MART FINAL MENU - Pr'!K320="", "", 'AYIRA MINI MART FINAL MENU - Pr'!K320)</f>
        <v/>
      </c>
      <c r="L320" s="56" t="str">
        <f>IF('AYIRA MINI MART FINAL MENU - Pr'!L320="", "", 'AYIRA MINI MART FINAL MENU - Pr'!L320)</f>
        <v/>
      </c>
      <c r="M320" s="56" t="str">
        <f>IF('AYIRA MINI MART FINAL MENU - Pr'!M320="", "", 'AYIRA MINI MART FINAL MENU - Pr'!M320)</f>
        <v/>
      </c>
      <c r="N320" s="56" t="str">
        <f>IF('AYIRA MINI MART FINAL MENU - Pr'!N320="", "", 'AYIRA MINI MART FINAL MENU - Pr'!N320)</f>
        <v/>
      </c>
      <c r="O320" s="57"/>
      <c r="P320" s="57"/>
      <c r="Q320" s="57"/>
      <c r="R320" s="57"/>
      <c r="S320" s="57"/>
      <c r="T320" s="57"/>
      <c r="U320" s="57"/>
      <c r="V320" s="57"/>
      <c r="W320" s="57"/>
      <c r="X320" s="57"/>
      <c r="Y320" s="57"/>
      <c r="Z320" s="57"/>
    </row>
    <row r="321">
      <c r="A321" s="56" t="str">
        <f>IFERROR(__xludf.DUMMYFUNCTION("IF('AYIRA MINI MART FINAL MENU - Pr'!A321="""", """", IF(LEN(TRIM(REGEXREPLACE(REGEXREPLACE('AYIRA MINI MART FINAL MENU - Pr'!A321, ""^[^\x{0600}-\x{06FF}]+"", """"), ""^[-–\s]+"", """")))&gt;0, TRIM(REGEXREPLACE(REGEXREPLACE('AYIRA MINI MART FINAL MENU - Pr"&amp;"'!A321, ""^[^\x{0600}-\x{06FF}]+"", """"), ""^[-–\s]+"", """")), GOOGLETRANSLATE('AYIRA MINI MART FINAL MENU - Pr'!A321, ""en"", ""ar"")))"),"كي دي دي Choco Rico آيس كريم 62.5 غرام")</f>
        <v>كي دي دي Choco Rico آيس كريم 62.5 غرام</v>
      </c>
      <c r="B321" s="56" t="str">
        <f>IFERROR(__xludf.DUMMYFUNCTION("IF('AYIRA MINI MART FINAL MENU - Pr'!B321="""", """", IF(LEN(TRIM(REGEXREPLACE(REGEXREPLACE('AYIRA MINI MART FINAL MENU - Pr'!B321, ""^[^\x{0600}-\x{06FF}]+"", """"), ""^[-–\s]+"", """")))&gt;0, TRIM(REGEXREPLACE(REGEXREPLACE('AYIRA MINI MART FINAL MENU - Pr"&amp;"'!B321, ""^[^\x{0600}-\x{06FF}]+"", """"), ""^[-–\s]+"", """")), GOOGLETRANSLATE('AYIRA MINI MART FINAL MENU - Pr'!B321, ""en"", ""ar"")))"),"الآيس كريم")</f>
        <v>الآيس كريم</v>
      </c>
      <c r="C321" s="56" t="str">
        <f>IF('AYIRA MINI MART FINAL MENU - Pr'!C321="", "", 'AYIRA MINI MART FINAL MENU - Pr'!C321)</f>
        <v/>
      </c>
      <c r="D321" s="58" t="str">
        <f>IF('AYIRA MINI MART FINAL MENU - Pr'!D321="", "", 'AYIRA MINI MART FINAL MENU - Pr'!D321)</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1" s="56" t="str">
        <f>IF('AYIRA MINI MART FINAL MENU - Pr'!E321="", "", 'AYIRA MINI MART FINAL MENU - Pr'!E321)</f>
        <v/>
      </c>
      <c r="F321" s="56" t="str">
        <f>IF('AYIRA MINI MART FINAL MENU - Pr'!F321="", "", 'AYIRA MINI MART FINAL MENU - Pr'!F321)</f>
        <v/>
      </c>
      <c r="G321" s="56" t="str">
        <f>IF('AYIRA MINI MART FINAL MENU - Pr'!G321="", "", 'AYIRA MINI MART FINAL MENU - Pr'!G321)</f>
        <v/>
      </c>
      <c r="H321" s="56" t="str">
        <f>IF('AYIRA MINI MART FINAL MENU - Pr'!H321="", "", 'AYIRA MINI MART FINAL MENU - Pr'!H321)</f>
        <v/>
      </c>
      <c r="I321" s="56" t="str">
        <f>IF('AYIRA MINI MART FINAL MENU - Pr'!I321="", "", 'AYIRA MINI MART FINAL MENU - Pr'!I321)</f>
        <v/>
      </c>
      <c r="J321" s="56" t="str">
        <f>IFERROR(__xludf.DUMMYFUNCTION("IF('AYIRA MINI MART FINAL MENU - Pr'!J321="""", """", GOOGLETRANSLATE('AYIRA MINI MART FINAL MENU - Pr'!J321, ""en"", ""ar""))"),"إنتهى من المخزن")</f>
        <v>إنتهى من المخزن</v>
      </c>
      <c r="K321" s="56" t="str">
        <f>IF('AYIRA MINI MART FINAL MENU - Pr'!K321="", "", 'AYIRA MINI MART FINAL MENU - Pr'!K321)</f>
        <v/>
      </c>
      <c r="L321" s="56" t="str">
        <f>IF('AYIRA MINI MART FINAL MENU - Pr'!L321="", "", 'AYIRA MINI MART FINAL MENU - Pr'!L321)</f>
        <v/>
      </c>
      <c r="M321" s="56" t="str">
        <f>IF('AYIRA MINI MART FINAL MENU - Pr'!M321="", "", 'AYIRA MINI MART FINAL MENU - Pr'!M321)</f>
        <v/>
      </c>
      <c r="N321" s="56" t="str">
        <f>IF('AYIRA MINI MART FINAL MENU - Pr'!N321="", "", 'AYIRA MINI MART FINAL MENU - Pr'!N321)</f>
        <v/>
      </c>
      <c r="O321" s="57"/>
      <c r="P321" s="57"/>
      <c r="Q321" s="57"/>
      <c r="R321" s="57"/>
      <c r="S321" s="57"/>
      <c r="T321" s="57"/>
      <c r="U321" s="57"/>
      <c r="V321" s="57"/>
      <c r="W321" s="57"/>
      <c r="X321" s="57"/>
      <c r="Y321" s="57"/>
      <c r="Z321" s="57"/>
    </row>
    <row r="322">
      <c r="A322" s="56" t="str">
        <f>IFERROR(__xludf.DUMMYFUNCTION("IF('AYIRA MINI MART FINAL MENU - Pr'!A322="""", """", IF(LEN(TRIM(REGEXREPLACE(REGEXREPLACE('AYIRA MINI MART FINAL MENU - Pr'!A322, ""^[^\x{0600}-\x{06FF}]+"", """"), ""^[-–\s]+"", """")))&gt;0, TRIM(REGEXREPLACE(REGEXREPLACE('AYIRA MINI MART FINAL MENU - Pr"&amp;"'!A322, ""^[^\x{0600}-\x{06FF}]+"", """"), ""^[-–\s]+"", """")), GOOGLETRANSLATE('AYIRA MINI MART FINAL MENU - Pr'!A322, ""en"", ""ar"")))"),"كي دي دي فراولة آيس كريم 100 غرام")</f>
        <v>كي دي دي فراولة آيس كريم 100 غرام</v>
      </c>
      <c r="B322" s="56" t="str">
        <f>IFERROR(__xludf.DUMMYFUNCTION("IF('AYIRA MINI MART FINAL MENU - Pr'!B322="""", """", IF(LEN(TRIM(REGEXREPLACE(REGEXREPLACE('AYIRA MINI MART FINAL MENU - Pr'!B322, ""^[^\x{0600}-\x{06FF}]+"", """"), ""^[-–\s]+"", """")))&gt;0, TRIM(REGEXREPLACE(REGEXREPLACE('AYIRA MINI MART FINAL MENU - Pr"&amp;"'!B322, ""^[^\x{0600}-\x{06FF}]+"", """"), ""^[-–\s]+"", """")), GOOGLETRANSLATE('AYIRA MINI MART FINAL MENU - Pr'!B322, ""en"", ""ar"")))"),"الآيس كريم")</f>
        <v>الآيس كريم</v>
      </c>
      <c r="C322" s="56" t="str">
        <f>IF('AYIRA MINI MART FINAL MENU - Pr'!C322="", "", 'AYIRA MINI MART FINAL MENU - Pr'!C322)</f>
        <v/>
      </c>
      <c r="D322" s="58" t="str">
        <f>IF('AYIRA MINI MART FINAL MENU - Pr'!D322="", "", 'AYIRA MINI MART FINAL MENU - Pr'!D322)</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2" s="56" t="str">
        <f>IF('AYIRA MINI MART FINAL MENU - Pr'!E322="", "", 'AYIRA MINI MART FINAL MENU - Pr'!E322)</f>
        <v/>
      </c>
      <c r="F322" s="56" t="str">
        <f>IF('AYIRA MINI MART FINAL MENU - Pr'!F322="", "", 'AYIRA MINI MART FINAL MENU - Pr'!F322)</f>
        <v/>
      </c>
      <c r="G322" s="56" t="str">
        <f>IF('AYIRA MINI MART FINAL MENU - Pr'!G322="", "", 'AYIRA MINI MART FINAL MENU - Pr'!G322)</f>
        <v/>
      </c>
      <c r="H322" s="56" t="str">
        <f>IF('AYIRA MINI MART FINAL MENU - Pr'!H322="", "", 'AYIRA MINI MART FINAL MENU - Pr'!H322)</f>
        <v/>
      </c>
      <c r="I322" s="56" t="str">
        <f>IF('AYIRA MINI MART FINAL MENU - Pr'!I322="", "", 'AYIRA MINI MART FINAL MENU - Pr'!I322)</f>
        <v/>
      </c>
      <c r="J322" s="56" t="str">
        <f>IFERROR(__xludf.DUMMYFUNCTION("IF('AYIRA MINI MART FINAL MENU - Pr'!J322="""", """", GOOGLETRANSLATE('AYIRA MINI MART FINAL MENU - Pr'!J322, ""en"", ""ar""))"),"إنتهى من المخزن")</f>
        <v>إنتهى من المخزن</v>
      </c>
      <c r="K322" s="56" t="str">
        <f>IF('AYIRA MINI MART FINAL MENU - Pr'!K322="", "", 'AYIRA MINI MART FINAL MENU - Pr'!K322)</f>
        <v/>
      </c>
      <c r="L322" s="56" t="str">
        <f>IF('AYIRA MINI MART FINAL MENU - Pr'!L322="", "", 'AYIRA MINI MART FINAL MENU - Pr'!L322)</f>
        <v/>
      </c>
      <c r="M322" s="56" t="str">
        <f>IF('AYIRA MINI MART FINAL MENU - Pr'!M322="", "", 'AYIRA MINI MART FINAL MENU - Pr'!M322)</f>
        <v/>
      </c>
      <c r="N322" s="56" t="str">
        <f>IF('AYIRA MINI MART FINAL MENU - Pr'!N322="", "", 'AYIRA MINI MART FINAL MENU - Pr'!N322)</f>
        <v/>
      </c>
      <c r="O322" s="57"/>
      <c r="P322" s="57"/>
      <c r="Q322" s="57"/>
      <c r="R322" s="57"/>
      <c r="S322" s="57"/>
      <c r="T322" s="57"/>
      <c r="U322" s="57"/>
      <c r="V322" s="57"/>
      <c r="W322" s="57"/>
      <c r="X322" s="57"/>
      <c r="Y322" s="57"/>
      <c r="Z322" s="57"/>
    </row>
    <row r="323">
      <c r="A323" s="56" t="str">
        <f>IFERROR(__xludf.DUMMYFUNCTION("IF('AYIRA MINI MART FINAL MENU - Pr'!A323="""", """", IF(LEN(TRIM(REGEXREPLACE(REGEXREPLACE('AYIRA MINI MART FINAL MENU - Pr'!A323, ""^[^\x{0600}-\x{06FF}]+"", """"), ""^[-–\s]+"", """")))&gt;0, TRIM(REGEXREPLACE(REGEXREPLACE('AYIRA MINI MART FINAL MENU - Pr"&amp;"'!A323, ""^[^\x{0600}-\x{06FF}]+"", """"), ""^[-–\s]+"", """")), GOOGLETRANSLATE('AYIRA MINI MART FINAL MENU - Pr'!A323, ""en"", ""ar"")))"),"كي دي دي Blitz فانيليا آيس كريم with Raspberry 62.5 غرام")</f>
        <v>كي دي دي Blitz فانيليا آيس كريم with Raspberry 62.5 غرام</v>
      </c>
      <c r="B323" s="56" t="str">
        <f>IFERROR(__xludf.DUMMYFUNCTION("IF('AYIRA MINI MART FINAL MENU - Pr'!B323="""", """", IF(LEN(TRIM(REGEXREPLACE(REGEXREPLACE('AYIRA MINI MART FINAL MENU - Pr'!B323, ""^[^\x{0600}-\x{06FF}]+"", """"), ""^[-–\s]+"", """")))&gt;0, TRIM(REGEXREPLACE(REGEXREPLACE('AYIRA MINI MART FINAL MENU - Pr"&amp;"'!B323, ""^[^\x{0600}-\x{06FF}]+"", """"), ""^[-–\s]+"", """")), GOOGLETRANSLATE('AYIRA MINI MART FINAL MENU - Pr'!B323, ""en"", ""ar"")))"),"الآيس كريم")</f>
        <v>الآيس كريم</v>
      </c>
      <c r="C323" s="56" t="str">
        <f>IF('AYIRA MINI MART FINAL MENU - Pr'!C323="", "", 'AYIRA MINI MART FINAL MENU - Pr'!C323)</f>
        <v/>
      </c>
      <c r="D323" s="58" t="str">
        <f>IF('AYIRA MINI MART FINAL MENU - Pr'!D323="", "", 'AYIRA MINI MART FINAL MENU - Pr'!D323)</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3" s="56" t="str">
        <f>IF('AYIRA MINI MART FINAL MENU - Pr'!E323="", "", 'AYIRA MINI MART FINAL MENU - Pr'!E323)</f>
        <v/>
      </c>
      <c r="F323" s="56" t="str">
        <f>IF('AYIRA MINI MART FINAL MENU - Pr'!F323="", "", 'AYIRA MINI MART FINAL MENU - Pr'!F323)</f>
        <v/>
      </c>
      <c r="G323" s="56" t="str">
        <f>IF('AYIRA MINI MART FINAL MENU - Pr'!G323="", "", 'AYIRA MINI MART FINAL MENU - Pr'!G323)</f>
        <v/>
      </c>
      <c r="H323" s="56" t="str">
        <f>IF('AYIRA MINI MART FINAL MENU - Pr'!H323="", "", 'AYIRA MINI MART FINAL MENU - Pr'!H323)</f>
        <v/>
      </c>
      <c r="I323" s="56" t="str">
        <f>IF('AYIRA MINI MART FINAL MENU - Pr'!I323="", "", 'AYIRA MINI MART FINAL MENU - Pr'!I323)</f>
        <v/>
      </c>
      <c r="J323" s="56" t="str">
        <f>IFERROR(__xludf.DUMMYFUNCTION("IF('AYIRA MINI MART FINAL MENU - Pr'!J323="""", """", GOOGLETRANSLATE('AYIRA MINI MART FINAL MENU - Pr'!J323, ""en"", ""ar""))"),"يعرض")</f>
        <v>يعرض</v>
      </c>
      <c r="K323" s="56" t="str">
        <f>IF('AYIRA MINI MART FINAL MENU - Pr'!K323="", "", 'AYIRA MINI MART FINAL MENU - Pr'!K323)</f>
        <v/>
      </c>
      <c r="L323" s="56" t="str">
        <f>IF('AYIRA MINI MART FINAL MENU - Pr'!L323="", "", 'AYIRA MINI MART FINAL MENU - Pr'!L323)</f>
        <v/>
      </c>
      <c r="M323" s="56" t="str">
        <f>IF('AYIRA MINI MART FINAL MENU - Pr'!M323="", "", 'AYIRA MINI MART FINAL MENU - Pr'!M323)</f>
        <v/>
      </c>
      <c r="N323" s="56" t="str">
        <f>IF('AYIRA MINI MART FINAL MENU - Pr'!N323="", "", 'AYIRA MINI MART FINAL MENU - Pr'!N323)</f>
        <v/>
      </c>
      <c r="O323" s="57"/>
      <c r="P323" s="57"/>
      <c r="Q323" s="57"/>
      <c r="R323" s="57"/>
      <c r="S323" s="57"/>
      <c r="T323" s="57"/>
      <c r="U323" s="57"/>
      <c r="V323" s="57"/>
      <c r="W323" s="57"/>
      <c r="X323" s="57"/>
      <c r="Y323" s="57"/>
      <c r="Z323" s="57"/>
    </row>
    <row r="324">
      <c r="A324" s="56" t="str">
        <f>IFERROR(__xludf.DUMMYFUNCTION("IF('AYIRA MINI MART FINAL MENU - Pr'!A324="""", """", IF(LEN(TRIM(REGEXREPLACE(REGEXREPLACE('AYIRA MINI MART FINAL MENU - Pr'!A324, ""^[^\x{0600}-\x{06FF}]+"", """"), ""^[-–\s]+"", """")))&gt;0, TRIM(REGEXREPLACE(REGEXREPLACE('AYIRA MINI MART FINAL MENU - Pr"&amp;"'!A324, ""^[^\x{0600}-\x{06FF}]+"", """"), ""^[-–\s]+"", """")), GOOGLETRANSLATE('AYIRA MINI MART FINAL MENU - Pr'!A324, ""en"", ""ar"")))"),"كي دي دي شوكولاتة آيس كريم 100 غرام")</f>
        <v>كي دي دي شوكولاتة آيس كريم 100 غرام</v>
      </c>
      <c r="B324" s="56" t="str">
        <f>IFERROR(__xludf.DUMMYFUNCTION("IF('AYIRA MINI MART FINAL MENU - Pr'!B324="""", """", IF(LEN(TRIM(REGEXREPLACE(REGEXREPLACE('AYIRA MINI MART FINAL MENU - Pr'!B324, ""^[^\x{0600}-\x{06FF}]+"", """"), ""^[-–\s]+"", """")))&gt;0, TRIM(REGEXREPLACE(REGEXREPLACE('AYIRA MINI MART FINAL MENU - Pr"&amp;"'!B324, ""^[^\x{0600}-\x{06FF}]+"", """"), ""^[-–\s]+"", """")), GOOGLETRANSLATE('AYIRA MINI MART FINAL MENU - Pr'!B324, ""en"", ""ar"")))"),"الآيس كريم")</f>
        <v>الآيس كريم</v>
      </c>
      <c r="C324" s="58">
        <f>IF('AYIRA MINI MART FINAL MENU - Pr'!C324="", "", 'AYIRA MINI MART FINAL MENU - Pr'!C324)</f>
        <v>3.5</v>
      </c>
      <c r="D324" s="58" t="str">
        <f>IF('AYIRA MINI MART FINAL MENU - Pr'!D324="", "", 'AYIRA MINI MART FINAL MENU - Pr'!D324)</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4" s="56" t="str">
        <f>IF('AYIRA MINI MART FINAL MENU - Pr'!E324="", "", 'AYIRA MINI MART FINAL MENU - Pr'!E324)</f>
        <v/>
      </c>
      <c r="F324" s="56" t="str">
        <f>IF('AYIRA MINI MART FINAL MENU - Pr'!F324="", "", 'AYIRA MINI MART FINAL MENU - Pr'!F324)</f>
        <v/>
      </c>
      <c r="G324" s="56" t="str">
        <f>IF('AYIRA MINI MART FINAL MENU - Pr'!G324="", "", 'AYIRA MINI MART FINAL MENU - Pr'!G324)</f>
        <v/>
      </c>
      <c r="H324" s="56" t="str">
        <f>IF('AYIRA MINI MART FINAL MENU - Pr'!H324="", "", 'AYIRA MINI MART FINAL MENU - Pr'!H324)</f>
        <v/>
      </c>
      <c r="I324" s="56" t="str">
        <f>IF('AYIRA MINI MART FINAL MENU - Pr'!I324="", "", 'AYIRA MINI MART FINAL MENU - Pr'!I324)</f>
        <v/>
      </c>
      <c r="J324" s="56" t="str">
        <f>IFERROR(__xludf.DUMMYFUNCTION("IF('AYIRA MINI MART FINAL MENU - Pr'!J324="""", """", GOOGLETRANSLATE('AYIRA MINI MART FINAL MENU - Pr'!J324, ""en"", ""ar""))"),"يعرض")</f>
        <v>يعرض</v>
      </c>
      <c r="K324" s="56" t="str">
        <f>IF('AYIRA MINI MART FINAL MENU - Pr'!K324="", "", 'AYIRA MINI MART FINAL MENU - Pr'!K324)</f>
        <v/>
      </c>
      <c r="L324" s="56" t="str">
        <f>IF('AYIRA MINI MART FINAL MENU - Pr'!L324="", "", 'AYIRA MINI MART FINAL MENU - Pr'!L324)</f>
        <v/>
      </c>
      <c r="M324" s="56" t="str">
        <f>IF('AYIRA MINI MART FINAL MENU - Pr'!M324="", "", 'AYIRA MINI MART FINAL MENU - Pr'!M324)</f>
        <v/>
      </c>
      <c r="N324" s="56" t="str">
        <f>IF('AYIRA MINI MART FINAL MENU - Pr'!N324="", "", 'AYIRA MINI MART FINAL MENU - Pr'!N324)</f>
        <v/>
      </c>
      <c r="O324" s="57"/>
      <c r="P324" s="57"/>
      <c r="Q324" s="57"/>
      <c r="R324" s="57"/>
      <c r="S324" s="57"/>
      <c r="T324" s="57"/>
      <c r="U324" s="57"/>
      <c r="V324" s="57"/>
      <c r="W324" s="57"/>
      <c r="X324" s="57"/>
      <c r="Y324" s="57"/>
      <c r="Z324" s="57"/>
    </row>
    <row r="325">
      <c r="A325" s="56" t="str">
        <f>IFERROR(__xludf.DUMMYFUNCTION("IF('AYIRA MINI MART FINAL MENU - Pr'!A325="""", """", IF(LEN(TRIM(REGEXREPLACE(REGEXREPLACE('AYIRA MINI MART FINAL MENU - Pr'!A325, ""^[^\x{0600}-\x{06FF}]+"", """"), ""^[-–\s]+"", """")))&gt;0, TRIM(REGEXREPLACE(REGEXREPLACE('AYIRA MINI MART FINAL MENU - Pr"&amp;"'!A325, ""^[^\x{0600}-\x{06FF}]+"", """"), ""^[-–\s]+"", """")), GOOGLETRANSLATE('AYIRA MINI MART FINAL MENU - Pr'!A325, ""en"", ""ar"")))"),"غالاكسي بندق &amp; شوكولاتة آيس كريم 73 غرام")</f>
        <v>غالاكسي بندق &amp; شوكولاتة آيس كريم 73 غرام</v>
      </c>
      <c r="B325" s="56" t="str">
        <f>IFERROR(__xludf.DUMMYFUNCTION("IF('AYIRA MINI MART FINAL MENU - Pr'!B325="""", """", IF(LEN(TRIM(REGEXREPLACE(REGEXREPLACE('AYIRA MINI MART FINAL MENU - Pr'!B325, ""^[^\x{0600}-\x{06FF}]+"", """"), ""^[-–\s]+"", """")))&gt;0, TRIM(REGEXREPLACE(REGEXREPLACE('AYIRA MINI MART FINAL MENU - Pr"&amp;"'!B325, ""^[^\x{0600}-\x{06FF}]+"", """"), ""^[-–\s]+"", """")), GOOGLETRANSLATE('AYIRA MINI MART FINAL MENU - Pr'!B325, ""en"", ""ar"")))"),"الآيس كريم")</f>
        <v>الآيس كريم</v>
      </c>
      <c r="C325" s="58">
        <f>IF('AYIRA MINI MART FINAL MENU - Pr'!C325="", "", 'AYIRA MINI MART FINAL MENU - Pr'!C325)</f>
        <v>6</v>
      </c>
      <c r="D325" s="58" t="str">
        <f>IF('AYIRA MINI MART FINAL MENU - Pr'!D325="", "", 'AYIRA MINI MART FINAL MENU - Pr'!D325)</f>
        <v>برّد أيامك الحارة مع Galaxy Hazelnut &amp; Chocolate Ice Cream 73g،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5" s="56" t="str">
        <f>IF('AYIRA MINI MART FINAL MENU - Pr'!E325="", "", 'AYIRA MINI MART FINAL MENU - Pr'!E325)</f>
        <v/>
      </c>
      <c r="F325" s="56" t="str">
        <f>IF('AYIRA MINI MART FINAL MENU - Pr'!F325="", "", 'AYIRA MINI MART FINAL MENU - Pr'!F325)</f>
        <v/>
      </c>
      <c r="G325" s="56" t="str">
        <f>IF('AYIRA MINI MART FINAL MENU - Pr'!G325="", "", 'AYIRA MINI MART FINAL MENU - Pr'!G325)</f>
        <v/>
      </c>
      <c r="H325" s="56" t="str">
        <f>IF('AYIRA MINI MART FINAL MENU - Pr'!H325="", "", 'AYIRA MINI MART FINAL MENU - Pr'!H325)</f>
        <v/>
      </c>
      <c r="I325" s="56" t="str">
        <f>IF('AYIRA MINI MART FINAL MENU - Pr'!I325="", "", 'AYIRA MINI MART FINAL MENU - Pr'!I325)</f>
        <v/>
      </c>
      <c r="J325" s="56" t="str">
        <f>IFERROR(__xludf.DUMMYFUNCTION("IF('AYIRA MINI MART FINAL MENU - Pr'!J325="""", """", GOOGLETRANSLATE('AYIRA MINI MART FINAL MENU - Pr'!J325, ""en"", ""ar""))"),"يعرض")</f>
        <v>يعرض</v>
      </c>
      <c r="K325" s="56" t="str">
        <f>IF('AYIRA MINI MART FINAL MENU - Pr'!K325="", "", 'AYIRA MINI MART FINAL MENU - Pr'!K325)</f>
        <v/>
      </c>
      <c r="L325" s="56" t="str">
        <f>IF('AYIRA MINI MART FINAL MENU - Pr'!L325="", "", 'AYIRA MINI MART FINAL MENU - Pr'!L325)</f>
        <v/>
      </c>
      <c r="M325" s="56" t="str">
        <f>IF('AYIRA MINI MART FINAL MENU - Pr'!M325="", "", 'AYIRA MINI MART FINAL MENU - Pr'!M325)</f>
        <v/>
      </c>
      <c r="N325" s="56" t="str">
        <f>IF('AYIRA MINI MART FINAL MENU - Pr'!N325="", "", 'AYIRA MINI MART FINAL MENU - Pr'!N325)</f>
        <v/>
      </c>
      <c r="O325" s="57"/>
      <c r="P325" s="57"/>
      <c r="Q325" s="57"/>
      <c r="R325" s="57"/>
      <c r="S325" s="57"/>
      <c r="T325" s="57"/>
      <c r="U325" s="57"/>
      <c r="V325" s="57"/>
      <c r="W325" s="57"/>
      <c r="X325" s="57"/>
      <c r="Y325" s="57"/>
      <c r="Z325" s="57"/>
    </row>
    <row r="326">
      <c r="A326" s="56" t="str">
        <f>IFERROR(__xludf.DUMMYFUNCTION("IF('AYIRA MINI MART FINAL MENU - Pr'!A326="""", """", IF(LEN(TRIM(REGEXREPLACE(REGEXREPLACE('AYIRA MINI MART FINAL MENU - Pr'!A326, ""^[^\x{0600}-\x{06FF}]+"", """"), ""^[-–\s]+"", """")))&gt;0, TRIM(REGEXREPLACE(REGEXREPLACE('AYIRA MINI MART FINAL MENU - Pr"&amp;"'!A326, ""^[^\x{0600}-\x{06FF}]+"", """"), ""^[-–\s]+"", """")), GOOGLETRANSLATE('AYIRA MINI MART FINAL MENU - Pr'!A326, ""en"", ""ar"")))"),"فانيليا آيس كريم 59 غرام")</f>
        <v>فانيليا آيس كريم 59 غرام</v>
      </c>
      <c r="B326" s="56" t="str">
        <f>IFERROR(__xludf.DUMMYFUNCTION("IF('AYIRA MINI MART FINAL MENU - Pr'!B326="""", """", IF(LEN(TRIM(REGEXREPLACE(REGEXREPLACE('AYIRA MINI MART FINAL MENU - Pr'!B326, ""^[^\x{0600}-\x{06FF}]+"", """"), ""^[-–\s]+"", """")))&gt;0, TRIM(REGEXREPLACE(REGEXREPLACE('AYIRA MINI MART FINAL MENU - Pr"&amp;"'!B326, ""^[^\x{0600}-\x{06FF}]+"", """"), ""^[-–\s]+"", """")), GOOGLETRANSLATE('AYIRA MINI MART FINAL MENU - Pr'!B326, ""en"", ""ar"")))"),"الآيس كريم")</f>
        <v>الآيس كريم</v>
      </c>
      <c r="C326" s="58">
        <f>IF('AYIRA MINI MART FINAL MENU - Pr'!C326="", "", 'AYIRA MINI MART FINAL MENU - Pr'!C326)</f>
        <v>6</v>
      </c>
      <c r="D326" s="58" t="str">
        <f>IF('AYIRA MINI MART FINAL MENU - Pr'!D326="", "", 'AYIRA MINI MART FINAL MENU - Pr'!D326)</f>
        <v>برّد أيامك الحارة مع Glace Vanilla Ice Cream 59g،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6" s="56" t="str">
        <f>IF('AYIRA MINI MART FINAL MENU - Pr'!E326="", "", 'AYIRA MINI MART FINAL MENU - Pr'!E326)</f>
        <v/>
      </c>
      <c r="F326" s="56" t="str">
        <f>IF('AYIRA MINI MART FINAL MENU - Pr'!F326="", "", 'AYIRA MINI MART FINAL MENU - Pr'!F326)</f>
        <v/>
      </c>
      <c r="G326" s="56" t="str">
        <f>IF('AYIRA MINI MART FINAL MENU - Pr'!G326="", "", 'AYIRA MINI MART FINAL MENU - Pr'!G326)</f>
        <v/>
      </c>
      <c r="H326" s="56" t="str">
        <f>IF('AYIRA MINI MART FINAL MENU - Pr'!H326="", "", 'AYIRA MINI MART FINAL MENU - Pr'!H326)</f>
        <v/>
      </c>
      <c r="I326" s="56" t="str">
        <f>IF('AYIRA MINI MART FINAL MENU - Pr'!I326="", "", 'AYIRA MINI MART FINAL MENU - Pr'!I326)</f>
        <v/>
      </c>
      <c r="J326" s="56" t="str">
        <f>IFERROR(__xludf.DUMMYFUNCTION("IF('AYIRA MINI MART FINAL MENU - Pr'!J326="""", """", GOOGLETRANSLATE('AYIRA MINI MART FINAL MENU - Pr'!J326, ""en"", ""ar""))"),"يعرض")</f>
        <v>يعرض</v>
      </c>
      <c r="K326" s="56" t="str">
        <f>IF('AYIRA MINI MART FINAL MENU - Pr'!K326="", "", 'AYIRA MINI MART FINAL MENU - Pr'!K326)</f>
        <v/>
      </c>
      <c r="L326" s="56" t="str">
        <f>IF('AYIRA MINI MART FINAL MENU - Pr'!L326="", "", 'AYIRA MINI MART FINAL MENU - Pr'!L326)</f>
        <v/>
      </c>
      <c r="M326" s="56" t="str">
        <f>IF('AYIRA MINI MART FINAL MENU - Pr'!M326="", "", 'AYIRA MINI MART FINAL MENU - Pr'!M326)</f>
        <v/>
      </c>
      <c r="N326" s="56" t="str">
        <f>IF('AYIRA MINI MART FINAL MENU - Pr'!N326="", "", 'AYIRA MINI MART FINAL MENU - Pr'!N326)</f>
        <v/>
      </c>
      <c r="O326" s="57"/>
      <c r="P326" s="57"/>
      <c r="Q326" s="57"/>
      <c r="R326" s="57"/>
      <c r="S326" s="57"/>
      <c r="T326" s="57"/>
      <c r="U326" s="57"/>
      <c r="V326" s="57"/>
      <c r="W326" s="57"/>
      <c r="X326" s="57"/>
      <c r="Y326" s="57"/>
      <c r="Z326" s="57"/>
    </row>
    <row r="327">
      <c r="A327" s="56" t="str">
        <f>IFERROR(__xludf.DUMMYFUNCTION("IF('AYIRA MINI MART FINAL MENU - Pr'!A327="""", """", IF(LEN(TRIM(REGEXREPLACE(REGEXREPLACE('AYIRA MINI MART FINAL MENU - Pr'!A327, ""^[^\x{0600}-\x{06FF}]+"", """"), ""^[-–\s]+"", """")))&gt;0, TRIM(REGEXREPLACE(REGEXREPLACE('AYIRA MINI MART FINAL MENU - Pr"&amp;"'!A327, ""^[^\x{0600}-\x{06FF}]+"", """"), ""^[-–\s]+"", """")), GOOGLETRANSLATE('AYIRA MINI MART FINAL MENU - Pr'!A327, ""en"", ""ar"")))"),"آيس كريم 70 غرام")</f>
        <v>آيس كريم 70 غرام</v>
      </c>
      <c r="B327" s="56" t="str">
        <f>IFERROR(__xludf.DUMMYFUNCTION("IF('AYIRA MINI MART FINAL MENU - Pr'!B327="""", """", IF(LEN(TRIM(REGEXREPLACE(REGEXREPLACE('AYIRA MINI MART FINAL MENU - Pr'!B327, ""^[^\x{0600}-\x{06FF}]+"", """"), ""^[-–\s]+"", """")))&gt;0, TRIM(REGEXREPLACE(REGEXREPLACE('AYIRA MINI MART FINAL MENU - Pr"&amp;"'!B327, ""^[^\x{0600}-\x{06FF}]+"", """"), ""^[-–\s]+"", """")), GOOGLETRANSLATE('AYIRA MINI MART FINAL MENU - Pr'!B327, ""en"", ""ar"")))"),"الآيس كريم")</f>
        <v>الآيس كريم</v>
      </c>
      <c r="C327" s="58">
        <f>IF('AYIRA MINI MART FINAL MENU - Pr'!C327="", "", 'AYIRA MINI MART FINAL MENU - Pr'!C327)</f>
        <v>7</v>
      </c>
      <c r="D327" s="58" t="str">
        <f>IF('AYIRA MINI MART FINAL MENU - Pr'!D327="", "", 'AYIRA MINI MART FINAL MENU - Pr'!D327)</f>
        <v>برّد أيامك الحارة مع Stickers Ice Cream 70g،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7" s="56" t="str">
        <f>IF('AYIRA MINI MART FINAL MENU - Pr'!E327="", "", 'AYIRA MINI MART FINAL MENU - Pr'!E327)</f>
        <v/>
      </c>
      <c r="F327" s="56" t="str">
        <f>IF('AYIRA MINI MART FINAL MENU - Pr'!F327="", "", 'AYIRA MINI MART FINAL MENU - Pr'!F327)</f>
        <v/>
      </c>
      <c r="G327" s="56" t="str">
        <f>IF('AYIRA MINI MART FINAL MENU - Pr'!G327="", "", 'AYIRA MINI MART FINAL MENU - Pr'!G327)</f>
        <v/>
      </c>
      <c r="H327" s="56" t="str">
        <f>IF('AYIRA MINI MART FINAL MENU - Pr'!H327="", "", 'AYIRA MINI MART FINAL MENU - Pr'!H327)</f>
        <v/>
      </c>
      <c r="I327" s="56" t="str">
        <f>IF('AYIRA MINI MART FINAL MENU - Pr'!I327="", "", 'AYIRA MINI MART FINAL MENU - Pr'!I327)</f>
        <v/>
      </c>
      <c r="J327" s="56" t="str">
        <f>IFERROR(__xludf.DUMMYFUNCTION("IF('AYIRA MINI MART FINAL MENU - Pr'!J327="""", """", GOOGLETRANSLATE('AYIRA MINI MART FINAL MENU - Pr'!J327, ""en"", ""ar""))"),"يعرض")</f>
        <v>يعرض</v>
      </c>
      <c r="K327" s="56" t="str">
        <f>IF('AYIRA MINI MART FINAL MENU - Pr'!K327="", "", 'AYIRA MINI MART FINAL MENU - Pr'!K327)</f>
        <v/>
      </c>
      <c r="L327" s="56" t="str">
        <f>IF('AYIRA MINI MART FINAL MENU - Pr'!L327="", "", 'AYIRA MINI MART FINAL MENU - Pr'!L327)</f>
        <v/>
      </c>
      <c r="M327" s="56" t="str">
        <f>IF('AYIRA MINI MART FINAL MENU - Pr'!M327="", "", 'AYIRA MINI MART FINAL MENU - Pr'!M327)</f>
        <v/>
      </c>
      <c r="N327" s="56" t="str">
        <f>IF('AYIRA MINI MART FINAL MENU - Pr'!N327="", "", 'AYIRA MINI MART FINAL MENU - Pr'!N327)</f>
        <v/>
      </c>
      <c r="O327" s="57"/>
      <c r="P327" s="57"/>
      <c r="Q327" s="57"/>
      <c r="R327" s="57"/>
      <c r="S327" s="57"/>
      <c r="T327" s="57"/>
      <c r="U327" s="57"/>
      <c r="V327" s="57"/>
      <c r="W327" s="57"/>
      <c r="X327" s="57"/>
      <c r="Y327" s="57"/>
      <c r="Z327" s="57"/>
    </row>
    <row r="328">
      <c r="A328" s="56" t="str">
        <f>IFERROR(__xludf.DUMMYFUNCTION("IF('AYIRA MINI MART FINAL MENU - Pr'!A328="""", """", IF(LEN(TRIM(REGEXREPLACE(REGEXREPLACE('AYIRA MINI MART FINAL MENU - Pr'!A328, ""^[^\x{0600}-\x{06FF}]+"", """"), ""^[-–\s]+"", """")))&gt;0, TRIM(REGEXREPLACE(REGEXREPLACE('AYIRA MINI MART FINAL MENU - Pr"&amp;"'!A328, ""^[^\x{0600}-\x{06FF}]+"", """"), ""^[-–\s]+"", """")), GOOGLETRANSLATE('AYIRA MINI MART FINAL MENU - Pr'!A328, ""en"", ""ar"")))"),"غالاكسي لوز آيس كريم 58 غرام")</f>
        <v>غالاكسي لوز آيس كريم 58 غرام</v>
      </c>
      <c r="B328" s="56" t="str">
        <f>IFERROR(__xludf.DUMMYFUNCTION("IF('AYIRA MINI MART FINAL MENU - Pr'!B328="""", """", IF(LEN(TRIM(REGEXREPLACE(REGEXREPLACE('AYIRA MINI MART FINAL MENU - Pr'!B328, ""^[^\x{0600}-\x{06FF}]+"", """"), ""^[-–\s]+"", """")))&gt;0, TRIM(REGEXREPLACE(REGEXREPLACE('AYIRA MINI MART FINAL MENU - Pr"&amp;"'!B328, ""^[^\x{0600}-\x{06FF}]+"", """"), ""^[-–\s]+"", """")), GOOGLETRANSLATE('AYIRA MINI MART FINAL MENU - Pr'!B328, ""en"", ""ar"")))"),"الآيس كريم")</f>
        <v>الآيس كريم</v>
      </c>
      <c r="C328" s="58">
        <f>IF('AYIRA MINI MART FINAL MENU - Pr'!C328="", "", 'AYIRA MINI MART FINAL MENU - Pr'!C328)</f>
        <v>7</v>
      </c>
      <c r="D328" s="58" t="str">
        <f>IF('AYIRA MINI MART FINAL MENU - Pr'!D328="", "", 'AYIRA MINI MART FINAL MENU - Pr'!D328)</f>
        <v>برّد أيامك الحارة مع Galaxy Almond Ice Cream 58g،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8" s="56" t="str">
        <f>IF('AYIRA MINI MART FINAL MENU - Pr'!E328="", "", 'AYIRA MINI MART FINAL MENU - Pr'!E328)</f>
        <v/>
      </c>
      <c r="F328" s="56" t="str">
        <f>IF('AYIRA MINI MART FINAL MENU - Pr'!F328="", "", 'AYIRA MINI MART FINAL MENU - Pr'!F328)</f>
        <v/>
      </c>
      <c r="G328" s="56" t="str">
        <f>IF('AYIRA MINI MART FINAL MENU - Pr'!G328="", "", 'AYIRA MINI MART FINAL MENU - Pr'!G328)</f>
        <v/>
      </c>
      <c r="H328" s="56" t="str">
        <f>IF('AYIRA MINI MART FINAL MENU - Pr'!H328="", "", 'AYIRA MINI MART FINAL MENU - Pr'!H328)</f>
        <v/>
      </c>
      <c r="I328" s="56" t="str">
        <f>IF('AYIRA MINI MART FINAL MENU - Pr'!I328="", "", 'AYIRA MINI MART FINAL MENU - Pr'!I328)</f>
        <v/>
      </c>
      <c r="J328" s="56" t="str">
        <f>IFERROR(__xludf.DUMMYFUNCTION("IF('AYIRA MINI MART FINAL MENU - Pr'!J328="""", """", GOOGLETRANSLATE('AYIRA MINI MART FINAL MENU - Pr'!J328, ""en"", ""ar""))"),"يعرض")</f>
        <v>يعرض</v>
      </c>
      <c r="K328" s="56" t="str">
        <f>IF('AYIRA MINI MART FINAL MENU - Pr'!K328="", "", 'AYIRA MINI MART FINAL MENU - Pr'!K328)</f>
        <v/>
      </c>
      <c r="L328" s="56" t="str">
        <f>IF('AYIRA MINI MART FINAL MENU - Pr'!L328="", "", 'AYIRA MINI MART FINAL MENU - Pr'!L328)</f>
        <v/>
      </c>
      <c r="M328" s="56" t="str">
        <f>IF('AYIRA MINI MART FINAL MENU - Pr'!M328="", "", 'AYIRA MINI MART FINAL MENU - Pr'!M328)</f>
        <v/>
      </c>
      <c r="N328" s="56" t="str">
        <f>IF('AYIRA MINI MART FINAL MENU - Pr'!N328="", "", 'AYIRA MINI MART FINAL MENU - Pr'!N328)</f>
        <v/>
      </c>
      <c r="O328" s="57"/>
      <c r="P328" s="57"/>
      <c r="Q328" s="57"/>
      <c r="R328" s="57"/>
      <c r="S328" s="57"/>
      <c r="T328" s="57"/>
      <c r="U328" s="57"/>
      <c r="V328" s="57"/>
      <c r="W328" s="57"/>
      <c r="X328" s="57"/>
      <c r="Y328" s="57"/>
      <c r="Z328" s="57"/>
    </row>
    <row r="329">
      <c r="A329" s="56" t="str">
        <f>IFERROR(__xludf.DUMMYFUNCTION("IF('AYIRA MINI MART FINAL MENU - Pr'!A329="""", """", IF(LEN(TRIM(REGEXREPLACE(REGEXREPLACE('AYIRA MINI MART FINAL MENU - Pr'!A329, ""^[^\x{0600}-\x{06FF}]+"", """"), ""^[-–\s]+"", """")))&gt;0, TRIM(REGEXREPLACE(REGEXREPLACE('AYIRA MINI MART FINAL MENU - Pr"&amp;"'!A329, ""^[^\x{0600}-\x{06FF}]+"", """"), ""^[-–\s]+"", """")), GOOGLETRANSLATE('AYIRA MINI MART FINAL MENU - Pr'!A329, ""en"", ""ar"")))"),"آيس كريم 73.5 غرام")</f>
        <v>آيس كريم 73.5 غرام</v>
      </c>
      <c r="B329" s="56" t="str">
        <f>IFERROR(__xludf.DUMMYFUNCTION("IF('AYIRA MINI MART FINAL MENU - Pr'!B329="""", """", IF(LEN(TRIM(REGEXREPLACE(REGEXREPLACE('AYIRA MINI MART FINAL MENU - Pr'!B329, ""^[^\x{0600}-\x{06FF}]+"", """"), ""^[-–\s]+"", """")))&gt;0, TRIM(REGEXREPLACE(REGEXREPLACE('AYIRA MINI MART FINAL MENU - Pr"&amp;"'!B329, ""^[^\x{0600}-\x{06FF}]+"", """"), ""^[-–\s]+"", """")), GOOGLETRANSLATE('AYIRA MINI MART FINAL MENU - Pr'!B329, ""en"", ""ar"")))"),"الآيس كريم")</f>
        <v>الآيس كريم</v>
      </c>
      <c r="C329" s="58">
        <f>IF('AYIRA MINI MART FINAL MENU - Pr'!C329="", "", 'AYIRA MINI MART FINAL MENU - Pr'!C329)</f>
        <v>8</v>
      </c>
      <c r="D329" s="58" t="str">
        <f>IF('AYIRA MINI MART FINAL MENU - Pr'!D329="", "", 'AYIRA MINI MART FINAL MENU - Pr'!D329)</f>
        <v>برّد أيامك الحارة مع Stickers Ice Cream 73.5g،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29" s="56" t="str">
        <f>IF('AYIRA MINI MART FINAL MENU - Pr'!E329="", "", 'AYIRA MINI MART FINAL MENU - Pr'!E329)</f>
        <v/>
      </c>
      <c r="F329" s="56" t="str">
        <f>IF('AYIRA MINI MART FINAL MENU - Pr'!F329="", "", 'AYIRA MINI MART FINAL MENU - Pr'!F329)</f>
        <v/>
      </c>
      <c r="G329" s="56" t="str">
        <f>IF('AYIRA MINI MART FINAL MENU - Pr'!G329="", "", 'AYIRA MINI MART FINAL MENU - Pr'!G329)</f>
        <v/>
      </c>
      <c r="H329" s="56" t="str">
        <f>IF('AYIRA MINI MART FINAL MENU - Pr'!H329="", "", 'AYIRA MINI MART FINAL MENU - Pr'!H329)</f>
        <v/>
      </c>
      <c r="I329" s="56" t="str">
        <f>IF('AYIRA MINI MART FINAL MENU - Pr'!I329="", "", 'AYIRA MINI MART FINAL MENU - Pr'!I329)</f>
        <v/>
      </c>
      <c r="J329" s="56" t="str">
        <f>IFERROR(__xludf.DUMMYFUNCTION("IF('AYIRA MINI MART FINAL MENU - Pr'!J329="""", """", GOOGLETRANSLATE('AYIRA MINI MART FINAL MENU - Pr'!J329, ""en"", ""ar""))"),"يعرض")</f>
        <v>يعرض</v>
      </c>
      <c r="K329" s="56" t="str">
        <f>IF('AYIRA MINI MART FINAL MENU - Pr'!K329="", "", 'AYIRA MINI MART FINAL MENU - Pr'!K329)</f>
        <v/>
      </c>
      <c r="L329" s="56" t="str">
        <f>IF('AYIRA MINI MART FINAL MENU - Pr'!L329="", "", 'AYIRA MINI MART FINAL MENU - Pr'!L329)</f>
        <v/>
      </c>
      <c r="M329" s="56" t="str">
        <f>IF('AYIRA MINI MART FINAL MENU - Pr'!M329="", "", 'AYIRA MINI MART FINAL MENU - Pr'!M329)</f>
        <v/>
      </c>
      <c r="N329" s="56" t="str">
        <f>IF('AYIRA MINI MART FINAL MENU - Pr'!N329="", "", 'AYIRA MINI MART FINAL MENU - Pr'!N329)</f>
        <v/>
      </c>
      <c r="O329" s="57"/>
      <c r="P329" s="57"/>
      <c r="Q329" s="57"/>
      <c r="R329" s="57"/>
      <c r="S329" s="57"/>
      <c r="T329" s="57"/>
      <c r="U329" s="57"/>
      <c r="V329" s="57"/>
      <c r="W329" s="57"/>
      <c r="X329" s="57"/>
      <c r="Y329" s="57"/>
      <c r="Z329" s="57"/>
    </row>
    <row r="330">
      <c r="A330" s="56" t="str">
        <f>IFERROR(__xludf.DUMMYFUNCTION("IF('AYIRA MINI MART FINAL MENU - Pr'!A330="""", """", IF(LEN(TRIM(REGEXREPLACE(REGEXREPLACE('AYIRA MINI MART FINAL MENU - Pr'!A330, ""^[^\x{0600}-\x{06FF}]+"", """"), ""^[-–\s]+"", """")))&gt;0, TRIM(REGEXREPLACE(REGEXREPLACE('AYIRA MINI MART FINAL MENU - Pr"&amp;"'!A330, ""^[^\x{0600}-\x{06FF}]+"", """"), ""^[-–\s]+"", """")), GOOGLETRANSLATE('AYIRA MINI MART FINAL MENU - Pr'!A330, ""en"", ""ar"")))"),"مارس آيس كريم 51 غرام")</f>
        <v>مارس آيس كريم 51 غرام</v>
      </c>
      <c r="B330" s="56" t="str">
        <f>IFERROR(__xludf.DUMMYFUNCTION("IF('AYIRA MINI MART FINAL MENU - Pr'!B330="""", """", IF(LEN(TRIM(REGEXREPLACE(REGEXREPLACE('AYIRA MINI MART FINAL MENU - Pr'!B330, ""^[^\x{0600}-\x{06FF}]+"", """"), ""^[-–\s]+"", """")))&gt;0, TRIM(REGEXREPLACE(REGEXREPLACE('AYIRA MINI MART FINAL MENU - Pr"&amp;"'!B330, ""^[^\x{0600}-\x{06FF}]+"", """"), ""^[-–\s]+"", """")), GOOGLETRANSLATE('AYIRA MINI MART FINAL MENU - Pr'!B330, ""en"", ""ar"")))"),"الآيس كريم")</f>
        <v>الآيس كريم</v>
      </c>
      <c r="C330" s="58">
        <f>IF('AYIRA MINI MART FINAL MENU - Pr'!C330="", "", 'AYIRA MINI MART FINAL MENU - Pr'!C330)</f>
        <v>4.5</v>
      </c>
      <c r="D330" s="58" t="str">
        <f>IF('AYIRA MINI MART FINAL MENU - Pr'!D330="", "", 'AYIRA MINI MART FINAL MENU - Pr'!D330)</f>
        <v>برّد أيامك الحارة مع مارس،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0" s="56" t="str">
        <f>IF('AYIRA MINI MART FINAL MENU - Pr'!E330="", "", 'AYIRA MINI MART FINAL MENU - Pr'!E330)</f>
        <v/>
      </c>
      <c r="F330" s="56" t="str">
        <f>IF('AYIRA MINI MART FINAL MENU - Pr'!F330="", "", 'AYIRA MINI MART FINAL MENU - Pr'!F330)</f>
        <v/>
      </c>
      <c r="G330" s="56" t="str">
        <f>IF('AYIRA MINI MART FINAL MENU - Pr'!G330="", "", 'AYIRA MINI MART FINAL MENU - Pr'!G330)</f>
        <v/>
      </c>
      <c r="H330" s="56" t="str">
        <f>IF('AYIRA MINI MART FINAL MENU - Pr'!H330="", "", 'AYIRA MINI MART FINAL MENU - Pr'!H330)</f>
        <v/>
      </c>
      <c r="I330" s="56" t="str">
        <f>IF('AYIRA MINI MART FINAL MENU - Pr'!I330="", "", 'AYIRA MINI MART FINAL MENU - Pr'!I330)</f>
        <v/>
      </c>
      <c r="J330" s="56" t="str">
        <f>IFERROR(__xludf.DUMMYFUNCTION("IF('AYIRA MINI MART FINAL MENU - Pr'!J330="""", """", GOOGLETRANSLATE('AYIRA MINI MART FINAL MENU - Pr'!J330, ""en"", ""ar""))"),"يعرض")</f>
        <v>يعرض</v>
      </c>
      <c r="K330" s="56" t="str">
        <f>IF('AYIRA MINI MART FINAL MENU - Pr'!K330="", "", 'AYIRA MINI MART FINAL MENU - Pr'!K330)</f>
        <v/>
      </c>
      <c r="L330" s="56" t="str">
        <f>IF('AYIRA MINI MART FINAL MENU - Pr'!L330="", "", 'AYIRA MINI MART FINAL MENU - Pr'!L330)</f>
        <v/>
      </c>
      <c r="M330" s="56" t="str">
        <f>IF('AYIRA MINI MART FINAL MENU - Pr'!M330="", "", 'AYIRA MINI MART FINAL MENU - Pr'!M330)</f>
        <v/>
      </c>
      <c r="N330" s="56" t="str">
        <f>IF('AYIRA MINI MART FINAL MENU - Pr'!N330="", "", 'AYIRA MINI MART FINAL MENU - Pr'!N330)</f>
        <v/>
      </c>
      <c r="O330" s="57"/>
      <c r="P330" s="57"/>
      <c r="Q330" s="57"/>
      <c r="R330" s="57"/>
      <c r="S330" s="57"/>
      <c r="T330" s="57"/>
      <c r="U330" s="57"/>
      <c r="V330" s="57"/>
      <c r="W330" s="57"/>
      <c r="X330" s="57"/>
      <c r="Y330" s="57"/>
      <c r="Z330" s="57"/>
    </row>
    <row r="331">
      <c r="A331" s="56" t="str">
        <f>IFERROR(__xludf.DUMMYFUNCTION("IF('AYIRA MINI MART FINAL MENU - Pr'!A331="""", """", IF(LEN(TRIM(REGEXREPLACE(REGEXREPLACE('AYIRA MINI MART FINAL MENU - Pr'!A331, ""^[^\x{0600}-\x{06FF}]+"", """"), ""^[-–\s]+"", """")))&gt;0, TRIM(REGEXREPLACE(REGEXREPLACE('AYIRA MINI MART FINAL MENU - Pr"&amp;"'!A331, ""^[^\x{0600}-\x{06FF}]+"", """"), ""^[-–\s]+"", """")), GOOGLETRANSLATE('AYIRA MINI MART FINAL MENU - Pr'!A331, ""en"", ""ar"")))"),"فول سوداني زبدة Creamy آيس كريم 36.5 غرام")</f>
        <v>فول سوداني زبدة Creamy آيس كريم 36.5 غرام</v>
      </c>
      <c r="B331" s="56" t="str">
        <f>IFERROR(__xludf.DUMMYFUNCTION("IF('AYIRA MINI MART FINAL MENU - Pr'!B331="""", """", IF(LEN(TRIM(REGEXREPLACE(REGEXREPLACE('AYIRA MINI MART FINAL MENU - Pr'!B331, ""^[^\x{0600}-\x{06FF}]+"", """"), ""^[-–\s]+"", """")))&gt;0, TRIM(REGEXREPLACE(REGEXREPLACE('AYIRA MINI MART FINAL MENU - Pr"&amp;"'!B331, ""^[^\x{0600}-\x{06FF}]+"", """"), ""^[-–\s]+"", """")), GOOGLETRANSLATE('AYIRA MINI MART FINAL MENU - Pr'!B331, ""en"", ""ar"")))"),"الآيس كريم")</f>
        <v>الآيس كريم</v>
      </c>
      <c r="C331" s="58">
        <f>IF('AYIRA MINI MART FINAL MENU - Pr'!C331="", "", 'AYIRA MINI MART FINAL MENU - Pr'!C331)</f>
        <v>4.5</v>
      </c>
      <c r="D331" s="58" t="str">
        <f>IF('AYIRA MINI MART FINAL MENU - Pr'!D331="", "", 'AYIRA MINI MART FINAL MENU - Pr'!D331)</f>
        <v>برّد أيامك الحارة مع Stickers Peanut Butter Creamy Ice Cream 36.5g،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1" s="56" t="str">
        <f>IF('AYIRA MINI MART FINAL MENU - Pr'!E331="", "", 'AYIRA MINI MART FINAL MENU - Pr'!E331)</f>
        <v/>
      </c>
      <c r="F331" s="56" t="str">
        <f>IF('AYIRA MINI MART FINAL MENU - Pr'!F331="", "", 'AYIRA MINI MART FINAL MENU - Pr'!F331)</f>
        <v/>
      </c>
      <c r="G331" s="56" t="str">
        <f>IF('AYIRA MINI MART FINAL MENU - Pr'!G331="", "", 'AYIRA MINI MART FINAL MENU - Pr'!G331)</f>
        <v/>
      </c>
      <c r="H331" s="56" t="str">
        <f>IF('AYIRA MINI MART FINAL MENU - Pr'!H331="", "", 'AYIRA MINI MART FINAL MENU - Pr'!H331)</f>
        <v/>
      </c>
      <c r="I331" s="56" t="str">
        <f>IF('AYIRA MINI MART FINAL MENU - Pr'!I331="", "", 'AYIRA MINI MART FINAL MENU - Pr'!I331)</f>
        <v/>
      </c>
      <c r="J331" s="56" t="str">
        <f>IFERROR(__xludf.DUMMYFUNCTION("IF('AYIRA MINI MART FINAL MENU - Pr'!J331="""", """", GOOGLETRANSLATE('AYIRA MINI MART FINAL MENU - Pr'!J331, ""en"", ""ar""))"),"يعرض")</f>
        <v>يعرض</v>
      </c>
      <c r="K331" s="56" t="str">
        <f>IF('AYIRA MINI MART FINAL MENU - Pr'!K331="", "", 'AYIRA MINI MART FINAL MENU - Pr'!K331)</f>
        <v/>
      </c>
      <c r="L331" s="56" t="str">
        <f>IF('AYIRA MINI MART FINAL MENU - Pr'!L331="", "", 'AYIRA MINI MART FINAL MENU - Pr'!L331)</f>
        <v/>
      </c>
      <c r="M331" s="56" t="str">
        <f>IF('AYIRA MINI MART FINAL MENU - Pr'!M331="", "", 'AYIRA MINI MART FINAL MENU - Pr'!M331)</f>
        <v/>
      </c>
      <c r="N331" s="56" t="str">
        <f>IF('AYIRA MINI MART FINAL MENU - Pr'!N331="", "", 'AYIRA MINI MART FINAL MENU - Pr'!N331)</f>
        <v/>
      </c>
      <c r="O331" s="57"/>
      <c r="P331" s="57"/>
      <c r="Q331" s="57"/>
      <c r="R331" s="57"/>
      <c r="S331" s="57"/>
      <c r="T331" s="57"/>
      <c r="U331" s="57"/>
      <c r="V331" s="57"/>
      <c r="W331" s="57"/>
      <c r="X331" s="57"/>
      <c r="Y331" s="57"/>
      <c r="Z331" s="57"/>
    </row>
    <row r="332">
      <c r="A332" s="56" t="str">
        <f>IFERROR(__xludf.DUMMYFUNCTION("IF('AYIRA MINI MART FINAL MENU - Pr'!A332="""", """", IF(LEN(TRIM(REGEXREPLACE(REGEXREPLACE('AYIRA MINI MART FINAL MENU - Pr'!A332, ""^[^\x{0600}-\x{06FF}]+"", """"), ""^[-–\s]+"", """")))&gt;0, TRIM(REGEXREPLACE(REGEXREPLACE('AYIRA MINI MART FINAL MENU - Pr"&amp;"'!A332, ""^[^\x{0600}-\x{06FF}]+"", """"), ""^[-–\s]+"", """")), GOOGLETRANSLATE('AYIRA MINI MART FINAL MENU - Pr'!A332, ""en"", ""ar"")))"),"تويكس آيس كريم 40 غرام")</f>
        <v>تويكس آيس كريم 40 غرام</v>
      </c>
      <c r="B332" s="56" t="str">
        <f>IFERROR(__xludf.DUMMYFUNCTION("IF('AYIRA MINI MART FINAL MENU - Pr'!B332="""", """", IF(LEN(TRIM(REGEXREPLACE(REGEXREPLACE('AYIRA MINI MART FINAL MENU - Pr'!B332, ""^[^\x{0600}-\x{06FF}]+"", """"), ""^[-–\s]+"", """")))&gt;0, TRIM(REGEXREPLACE(REGEXREPLACE('AYIRA MINI MART FINAL MENU - Pr"&amp;"'!B332, ""^[^\x{0600}-\x{06FF}]+"", """"), ""^[-–\s]+"", """")), GOOGLETRANSLATE('AYIRA MINI MART FINAL MENU - Pr'!B332, ""en"", ""ar"")))"),"الآيس كريم")</f>
        <v>الآيس كريم</v>
      </c>
      <c r="C332" s="58">
        <f>IF('AYIRA MINI MART FINAL MENU - Pr'!C332="", "", 'AYIRA MINI MART FINAL MENU - Pr'!C332)</f>
        <v>4.5</v>
      </c>
      <c r="D332" s="58" t="str">
        <f>IF('AYIRA MINI MART FINAL MENU - Pr'!D332="", "", 'AYIRA MINI MART FINAL MENU - Pr'!D332)</f>
        <v>برّد أيامك الحارة مع تويكس،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2" s="56" t="str">
        <f>IF('AYIRA MINI MART FINAL MENU - Pr'!E332="", "", 'AYIRA MINI MART FINAL MENU - Pr'!E332)</f>
        <v/>
      </c>
      <c r="F332" s="56" t="str">
        <f>IF('AYIRA MINI MART FINAL MENU - Pr'!F332="", "", 'AYIRA MINI MART FINAL MENU - Pr'!F332)</f>
        <v/>
      </c>
      <c r="G332" s="56" t="str">
        <f>IF('AYIRA MINI MART FINAL MENU - Pr'!G332="", "", 'AYIRA MINI MART FINAL MENU - Pr'!G332)</f>
        <v/>
      </c>
      <c r="H332" s="56" t="str">
        <f>IF('AYIRA MINI MART FINAL MENU - Pr'!H332="", "", 'AYIRA MINI MART FINAL MENU - Pr'!H332)</f>
        <v/>
      </c>
      <c r="I332" s="56" t="str">
        <f>IF('AYIRA MINI MART FINAL MENU - Pr'!I332="", "", 'AYIRA MINI MART FINAL MENU - Pr'!I332)</f>
        <v/>
      </c>
      <c r="J332" s="56" t="str">
        <f>IFERROR(__xludf.DUMMYFUNCTION("IF('AYIRA MINI MART FINAL MENU - Pr'!J332="""", """", GOOGLETRANSLATE('AYIRA MINI MART FINAL MENU - Pr'!J332, ""en"", ""ar""))"),"يعرض")</f>
        <v>يعرض</v>
      </c>
      <c r="K332" s="56" t="str">
        <f>IF('AYIRA MINI MART FINAL MENU - Pr'!K332="", "", 'AYIRA MINI MART FINAL MENU - Pr'!K332)</f>
        <v/>
      </c>
      <c r="L332" s="56" t="str">
        <f>IF('AYIRA MINI MART FINAL MENU - Pr'!L332="", "", 'AYIRA MINI MART FINAL MENU - Pr'!L332)</f>
        <v/>
      </c>
      <c r="M332" s="56" t="str">
        <f>IF('AYIRA MINI MART FINAL MENU - Pr'!M332="", "", 'AYIRA MINI MART FINAL MENU - Pr'!M332)</f>
        <v/>
      </c>
      <c r="N332" s="56" t="str">
        <f>IF('AYIRA MINI MART FINAL MENU - Pr'!N332="", "", 'AYIRA MINI MART FINAL MENU - Pr'!N332)</f>
        <v/>
      </c>
      <c r="O332" s="57"/>
      <c r="P332" s="57"/>
      <c r="Q332" s="57"/>
      <c r="R332" s="57"/>
      <c r="S332" s="57"/>
      <c r="T332" s="57"/>
      <c r="U332" s="57"/>
      <c r="V332" s="57"/>
      <c r="W332" s="57"/>
      <c r="X332" s="57"/>
      <c r="Y332" s="57"/>
      <c r="Z332" s="57"/>
    </row>
    <row r="333">
      <c r="A333" s="56" t="str">
        <f>IFERROR(__xludf.DUMMYFUNCTION("IF('AYIRA MINI MART FINAL MENU - Pr'!A333="""", """", IF(LEN(TRIM(REGEXREPLACE(REGEXREPLACE('AYIRA MINI MART FINAL MENU - Pr'!A333, ""^[^\x{0600}-\x{06FF}]+"", """"), ""^[-–\s]+"", """")))&gt;0, TRIM(REGEXREPLACE(REGEXREPLACE('AYIRA MINI MART FINAL MENU - Pr"&amp;"'!A333, ""^[^\x{0600}-\x{06FF}]+"", """"), ""^[-–\s]+"", """")), GOOGLETRANSLATE('AYIRA MINI MART FINAL MENU - Pr'!A333, ""en"", ""ar"")))"),"باونتي آيس كريم 50 غرام")</f>
        <v>باونتي آيس كريم 50 غرام</v>
      </c>
      <c r="B333" s="56" t="str">
        <f>IFERROR(__xludf.DUMMYFUNCTION("IF('AYIRA MINI MART FINAL MENU - Pr'!B333="""", """", IF(LEN(TRIM(REGEXREPLACE(REGEXREPLACE('AYIRA MINI MART FINAL MENU - Pr'!B333, ""^[^\x{0600}-\x{06FF}]+"", """"), ""^[-–\s]+"", """")))&gt;0, TRIM(REGEXREPLACE(REGEXREPLACE('AYIRA MINI MART FINAL MENU - Pr"&amp;"'!B333, ""^[^\x{0600}-\x{06FF}]+"", """"), ""^[-–\s]+"", """")), GOOGLETRANSLATE('AYIRA MINI MART FINAL MENU - Pr'!B333, ""en"", ""ar"")))"),"الآيس كريم")</f>
        <v>الآيس كريم</v>
      </c>
      <c r="C333" s="58">
        <f>IF('AYIRA MINI MART FINAL MENU - Pr'!C333="", "", 'AYIRA MINI MART FINAL MENU - Pr'!C333)</f>
        <v>4.5</v>
      </c>
      <c r="D333" s="58" t="str">
        <f>IF('AYIRA MINI MART FINAL MENU - Pr'!D333="", "", 'AYIRA MINI MART FINAL MENU - Pr'!D333)</f>
        <v>برّد أيامك الحارة مع باونتي،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3" s="56" t="str">
        <f>IF('AYIRA MINI MART FINAL MENU - Pr'!E333="", "", 'AYIRA MINI MART FINAL MENU - Pr'!E333)</f>
        <v/>
      </c>
      <c r="F333" s="56" t="str">
        <f>IF('AYIRA MINI MART FINAL MENU - Pr'!F333="", "", 'AYIRA MINI MART FINAL MENU - Pr'!F333)</f>
        <v/>
      </c>
      <c r="G333" s="56" t="str">
        <f>IF('AYIRA MINI MART FINAL MENU - Pr'!G333="", "", 'AYIRA MINI MART FINAL MENU - Pr'!G333)</f>
        <v/>
      </c>
      <c r="H333" s="56" t="str">
        <f>IF('AYIRA MINI MART FINAL MENU - Pr'!H333="", "", 'AYIRA MINI MART FINAL MENU - Pr'!H333)</f>
        <v/>
      </c>
      <c r="I333" s="56" t="str">
        <f>IF('AYIRA MINI MART FINAL MENU - Pr'!I333="", "", 'AYIRA MINI MART FINAL MENU - Pr'!I333)</f>
        <v/>
      </c>
      <c r="J333" s="56" t="str">
        <f>IFERROR(__xludf.DUMMYFUNCTION("IF('AYIRA MINI MART FINAL MENU - Pr'!J333="""", """", GOOGLETRANSLATE('AYIRA MINI MART FINAL MENU - Pr'!J333, ""en"", ""ar""))"),"يعرض")</f>
        <v>يعرض</v>
      </c>
      <c r="K333" s="56" t="str">
        <f>IF('AYIRA MINI MART FINAL MENU - Pr'!K333="", "", 'AYIRA MINI MART FINAL MENU - Pr'!K333)</f>
        <v/>
      </c>
      <c r="L333" s="56" t="str">
        <f>IF('AYIRA MINI MART FINAL MENU - Pr'!L333="", "", 'AYIRA MINI MART FINAL MENU - Pr'!L333)</f>
        <v/>
      </c>
      <c r="M333" s="56" t="str">
        <f>IF('AYIRA MINI MART FINAL MENU - Pr'!M333="", "", 'AYIRA MINI MART FINAL MENU - Pr'!M333)</f>
        <v/>
      </c>
      <c r="N333" s="56" t="str">
        <f>IF('AYIRA MINI MART FINAL MENU - Pr'!N333="", "", 'AYIRA MINI MART FINAL MENU - Pr'!N333)</f>
        <v/>
      </c>
      <c r="O333" s="57"/>
      <c r="P333" s="57"/>
      <c r="Q333" s="57"/>
      <c r="R333" s="57"/>
      <c r="S333" s="57"/>
      <c r="T333" s="57"/>
      <c r="U333" s="57"/>
      <c r="V333" s="57"/>
      <c r="W333" s="57"/>
      <c r="X333" s="57"/>
      <c r="Y333" s="57"/>
      <c r="Z333" s="57"/>
    </row>
    <row r="334">
      <c r="A334" s="56" t="str">
        <f>IFERROR(__xludf.DUMMYFUNCTION("IF('AYIRA MINI MART FINAL MENU - Pr'!A334="""", """", IF(LEN(TRIM(REGEXREPLACE(REGEXREPLACE('AYIRA MINI MART FINAL MENU - Pr'!A334, ""^[^\x{0600}-\x{06FF}]+"", """"), ""^[-–\s]+"", """")))&gt;0, TRIM(REGEXREPLACE(REGEXREPLACE('AYIRA MINI MART FINAL MENU - Pr"&amp;"'!A334, ""^[^\x{0600}-\x{06FF}]+"", """"), ""^[-–\s]+"", """")), GOOGLETRANSLATE('AYIRA MINI MART FINAL MENU - Pr'!A334, ""en"", ""ar"")))"),"غالاكسي فانيليا آيس كريم 50 غرام")</f>
        <v>غالاكسي فانيليا آيس كريم 50 غرام</v>
      </c>
      <c r="B334" s="56" t="str">
        <f>IFERROR(__xludf.DUMMYFUNCTION("IF('AYIRA MINI MART FINAL MENU - Pr'!B334="""", """", IF(LEN(TRIM(REGEXREPLACE(REGEXREPLACE('AYIRA MINI MART FINAL MENU - Pr'!B334, ""^[^\x{0600}-\x{06FF}]+"", """"), ""^[-–\s]+"", """")))&gt;0, TRIM(REGEXREPLACE(REGEXREPLACE('AYIRA MINI MART FINAL MENU - Pr"&amp;"'!B334, ""^[^\x{0600}-\x{06FF}]+"", """"), ""^[-–\s]+"", """")), GOOGLETRANSLATE('AYIRA MINI MART FINAL MENU - Pr'!B334, ""en"", ""ar"")))"),"الآيس كريم")</f>
        <v>الآيس كريم</v>
      </c>
      <c r="C334" s="58">
        <f>IF('AYIRA MINI MART FINAL MENU - Pr'!C334="", "", 'AYIRA MINI MART FINAL MENU - Pr'!C334)</f>
        <v>4.5</v>
      </c>
      <c r="D334" s="58" t="str">
        <f>IF('AYIRA MINI MART FINAL MENU - Pr'!D334="", "", 'AYIRA MINI MART FINAL MENU - Pr'!D334)</f>
        <v>برّد أيامك الحارة مع Galaxy Vanilla Ice Cream 50g،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4" s="56" t="str">
        <f>IF('AYIRA MINI MART FINAL MENU - Pr'!E334="", "", 'AYIRA MINI MART FINAL MENU - Pr'!E334)</f>
        <v/>
      </c>
      <c r="F334" s="56" t="str">
        <f>IF('AYIRA MINI MART FINAL MENU - Pr'!F334="", "", 'AYIRA MINI MART FINAL MENU - Pr'!F334)</f>
        <v/>
      </c>
      <c r="G334" s="56" t="str">
        <f>IF('AYIRA MINI MART FINAL MENU - Pr'!G334="", "", 'AYIRA MINI MART FINAL MENU - Pr'!G334)</f>
        <v/>
      </c>
      <c r="H334" s="56" t="str">
        <f>IF('AYIRA MINI MART FINAL MENU - Pr'!H334="", "", 'AYIRA MINI MART FINAL MENU - Pr'!H334)</f>
        <v/>
      </c>
      <c r="I334" s="56" t="str">
        <f>IF('AYIRA MINI MART FINAL MENU - Pr'!I334="", "", 'AYIRA MINI MART FINAL MENU - Pr'!I334)</f>
        <v/>
      </c>
      <c r="J334" s="56" t="str">
        <f>IFERROR(__xludf.DUMMYFUNCTION("IF('AYIRA MINI MART FINAL MENU - Pr'!J334="""", """", GOOGLETRANSLATE('AYIRA MINI MART FINAL MENU - Pr'!J334, ""en"", ""ar""))"),"يعرض")</f>
        <v>يعرض</v>
      </c>
      <c r="K334" s="56" t="str">
        <f>IF('AYIRA MINI MART FINAL MENU - Pr'!K334="", "", 'AYIRA MINI MART FINAL MENU - Pr'!K334)</f>
        <v/>
      </c>
      <c r="L334" s="56" t="str">
        <f>IF('AYIRA MINI MART FINAL MENU - Pr'!L334="", "", 'AYIRA MINI MART FINAL MENU - Pr'!L334)</f>
        <v/>
      </c>
      <c r="M334" s="56" t="str">
        <f>IF('AYIRA MINI MART FINAL MENU - Pr'!M334="", "", 'AYIRA MINI MART FINAL MENU - Pr'!M334)</f>
        <v/>
      </c>
      <c r="N334" s="56" t="str">
        <f>IF('AYIRA MINI MART FINAL MENU - Pr'!N334="", "", 'AYIRA MINI MART FINAL MENU - Pr'!N334)</f>
        <v/>
      </c>
      <c r="O334" s="57"/>
      <c r="P334" s="57"/>
      <c r="Q334" s="57"/>
      <c r="R334" s="57"/>
      <c r="S334" s="57"/>
      <c r="T334" s="57"/>
      <c r="U334" s="57"/>
      <c r="V334" s="57"/>
      <c r="W334" s="57"/>
      <c r="X334" s="57"/>
      <c r="Y334" s="57"/>
      <c r="Z334" s="57"/>
    </row>
    <row r="335">
      <c r="A335" s="56" t="str">
        <f>IFERROR(__xludf.DUMMYFUNCTION("IF('AYIRA MINI MART FINAL MENU - Pr'!A335="""", """", IF(LEN(TRIM(REGEXREPLACE(REGEXREPLACE('AYIRA MINI MART FINAL MENU - Pr'!A335, ""^[^\x{0600}-\x{06FF}]+"", """"), ""^[-–\s]+"", """")))&gt;0, TRIM(REGEXREPLACE(REGEXREPLACE('AYIRA MINI MART FINAL MENU - Pr"&amp;"'!A335, ""^[^\x{0600}-\x{06FF}]+"", """"), ""^[-–\s]+"", """")), GOOGLETRANSLATE('AYIRA MINI MART FINAL MENU - Pr'!A335, ""en"", ""ar"")))"),"فول سوداني زبدة آيس كريم 100 مل")</f>
        <v>فول سوداني زبدة آيس كريم 100 مل</v>
      </c>
      <c r="B335" s="56" t="str">
        <f>IFERROR(__xludf.DUMMYFUNCTION("IF('AYIRA MINI MART FINAL MENU - Pr'!B335="""", """", IF(LEN(TRIM(REGEXREPLACE(REGEXREPLACE('AYIRA MINI MART FINAL MENU - Pr'!B335, ""^[^\x{0600}-\x{06FF}]+"", """"), ""^[-–\s]+"", """")))&gt;0, TRIM(REGEXREPLACE(REGEXREPLACE('AYIRA MINI MART FINAL MENU - Pr"&amp;"'!B335, ""^[^\x{0600}-\x{06FF}]+"", """"), ""^[-–\s]+"", """")), GOOGLETRANSLATE('AYIRA MINI MART FINAL MENU - Pr'!B335, ""en"", ""ar"")))"),"الآيس كريم")</f>
        <v>الآيس كريم</v>
      </c>
      <c r="C335" s="58">
        <f>IF('AYIRA MINI MART FINAL MENU - Pr'!C335="", "", 'AYIRA MINI MART FINAL MENU - Pr'!C335)</f>
        <v>7.5</v>
      </c>
      <c r="D335" s="58" t="str">
        <f>IF('AYIRA MINI MART FINAL MENU - Pr'!D335="", "", 'AYIRA MINI MART FINAL MENU - Pr'!D335)</f>
        <v>برّد أيامك الحارة مع Reese’s Peanut Butter Ice Cream 100ml،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5" s="56" t="str">
        <f>IF('AYIRA MINI MART FINAL MENU - Pr'!E335="", "", 'AYIRA MINI MART FINAL MENU - Pr'!E335)</f>
        <v/>
      </c>
      <c r="F335" s="56" t="str">
        <f>IF('AYIRA MINI MART FINAL MENU - Pr'!F335="", "", 'AYIRA MINI MART FINAL MENU - Pr'!F335)</f>
        <v/>
      </c>
      <c r="G335" s="56" t="str">
        <f>IF('AYIRA MINI MART FINAL MENU - Pr'!G335="", "", 'AYIRA MINI MART FINAL MENU - Pr'!G335)</f>
        <v/>
      </c>
      <c r="H335" s="56" t="str">
        <f>IF('AYIRA MINI MART FINAL MENU - Pr'!H335="", "", 'AYIRA MINI MART FINAL MENU - Pr'!H335)</f>
        <v/>
      </c>
      <c r="I335" s="56" t="str">
        <f>IF('AYIRA MINI MART FINAL MENU - Pr'!I335="", "", 'AYIRA MINI MART FINAL MENU - Pr'!I335)</f>
        <v/>
      </c>
      <c r="J335" s="56" t="str">
        <f>IFERROR(__xludf.DUMMYFUNCTION("IF('AYIRA MINI MART FINAL MENU - Pr'!J335="""", """", GOOGLETRANSLATE('AYIRA MINI MART FINAL MENU - Pr'!J335, ""en"", ""ar""))"),"إنتهى من المخزن")</f>
        <v>إنتهى من المخزن</v>
      </c>
      <c r="K335" s="56" t="str">
        <f>IF('AYIRA MINI MART FINAL MENU - Pr'!K335="", "", 'AYIRA MINI MART FINAL MENU - Pr'!K335)</f>
        <v/>
      </c>
      <c r="L335" s="56" t="str">
        <f>IF('AYIRA MINI MART FINAL MENU - Pr'!L335="", "", 'AYIRA MINI MART FINAL MENU - Pr'!L335)</f>
        <v/>
      </c>
      <c r="M335" s="56" t="str">
        <f>IF('AYIRA MINI MART FINAL MENU - Pr'!M335="", "", 'AYIRA MINI MART FINAL MENU - Pr'!M335)</f>
        <v/>
      </c>
      <c r="N335" s="56" t="str">
        <f>IF('AYIRA MINI MART FINAL MENU - Pr'!N335="", "", 'AYIRA MINI MART FINAL MENU - Pr'!N335)</f>
        <v/>
      </c>
      <c r="O335" s="57"/>
      <c r="P335" s="57"/>
      <c r="Q335" s="57"/>
      <c r="R335" s="57"/>
      <c r="S335" s="57"/>
      <c r="T335" s="57"/>
      <c r="U335" s="57"/>
      <c r="V335" s="57"/>
      <c r="W335" s="57"/>
      <c r="X335" s="57"/>
      <c r="Y335" s="57"/>
      <c r="Z335" s="57"/>
    </row>
    <row r="336">
      <c r="A336" s="56" t="str">
        <f>IFERROR(__xludf.DUMMYFUNCTION("IF('AYIRA MINI MART FINAL MENU - Pr'!A336="""", """", IF(LEN(TRIM(REGEXREPLACE(REGEXREPLACE('AYIRA MINI MART FINAL MENU - Pr'!A336, ""^[^\x{0600}-\x{06FF}]+"", """"), ""^[-–\s]+"", """")))&gt;0, TRIM(REGEXREPLACE(REGEXREPLACE('AYIRA MINI MART FINAL MENU - Pr"&amp;"'!A336, ""^[^\x{0600}-\x{06FF}]+"", """"), ""^[-–\s]+"", """")), GOOGLETRANSLATE('AYIRA MINI MART FINAL MENU - Pr'!A336, ""en"", ""ar"")))"),"فول سوداني زبدة ساندويتش آيس كريم 63 غرام")</f>
        <v>فول سوداني زبدة ساندويتش آيس كريم 63 غرام</v>
      </c>
      <c r="B336" s="56" t="str">
        <f>IFERROR(__xludf.DUMMYFUNCTION("IF('AYIRA MINI MART FINAL MENU - Pr'!B336="""", """", IF(LEN(TRIM(REGEXREPLACE(REGEXREPLACE('AYIRA MINI MART FINAL MENU - Pr'!B336, ""^[^\x{0600}-\x{06FF}]+"", """"), ""^[-–\s]+"", """")))&gt;0, TRIM(REGEXREPLACE(REGEXREPLACE('AYIRA MINI MART FINAL MENU - Pr"&amp;"'!B336, ""^[^\x{0600}-\x{06FF}]+"", """"), ""^[-–\s]+"", """")), GOOGLETRANSLATE('AYIRA MINI MART FINAL MENU - Pr'!B336, ""en"", ""ar"")))"),"الآيس كريم")</f>
        <v>الآيس كريم</v>
      </c>
      <c r="C336" s="58">
        <f>IF('AYIRA MINI MART FINAL MENU - Pr'!C336="", "", 'AYIRA MINI MART FINAL MENU - Pr'!C336)</f>
        <v>7.5</v>
      </c>
      <c r="D336" s="58" t="str">
        <f>IF('AYIRA MINI MART FINAL MENU - Pr'!D336="", "", 'AYIRA MINI MART FINAL MENU - Pr'!D336)</f>
        <v>برّد أيامك الحارة مع Reese’s Peanut Butter Sandwich Ice Cream 63g،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6" s="56" t="str">
        <f>IF('AYIRA MINI MART FINAL MENU - Pr'!E336="", "", 'AYIRA MINI MART FINAL MENU - Pr'!E336)</f>
        <v/>
      </c>
      <c r="F336" s="56" t="str">
        <f>IF('AYIRA MINI MART FINAL MENU - Pr'!F336="", "", 'AYIRA MINI MART FINAL MENU - Pr'!F336)</f>
        <v/>
      </c>
      <c r="G336" s="56" t="str">
        <f>IF('AYIRA MINI MART FINAL MENU - Pr'!G336="", "", 'AYIRA MINI MART FINAL MENU - Pr'!G336)</f>
        <v/>
      </c>
      <c r="H336" s="56" t="str">
        <f>IF('AYIRA MINI MART FINAL MENU - Pr'!H336="", "", 'AYIRA MINI MART FINAL MENU - Pr'!H336)</f>
        <v/>
      </c>
      <c r="I336" s="56" t="str">
        <f>IF('AYIRA MINI MART FINAL MENU - Pr'!I336="", "", 'AYIRA MINI MART FINAL MENU - Pr'!I336)</f>
        <v/>
      </c>
      <c r="J336" s="56" t="str">
        <f>IFERROR(__xludf.DUMMYFUNCTION("IF('AYIRA MINI MART FINAL MENU - Pr'!J336="""", """", GOOGLETRANSLATE('AYIRA MINI MART FINAL MENU - Pr'!J336, ""en"", ""ar""))"),"يعرض")</f>
        <v>يعرض</v>
      </c>
      <c r="K336" s="56" t="str">
        <f>IF('AYIRA MINI MART FINAL MENU - Pr'!K336="", "", 'AYIRA MINI MART FINAL MENU - Pr'!K336)</f>
        <v/>
      </c>
      <c r="L336" s="56" t="str">
        <f>IF('AYIRA MINI MART FINAL MENU - Pr'!L336="", "", 'AYIRA MINI MART FINAL MENU - Pr'!L336)</f>
        <v/>
      </c>
      <c r="M336" s="56" t="str">
        <f>IF('AYIRA MINI MART FINAL MENU - Pr'!M336="", "", 'AYIRA MINI MART FINAL MENU - Pr'!M336)</f>
        <v/>
      </c>
      <c r="N336" s="56" t="str">
        <f>IF('AYIRA MINI MART FINAL MENU - Pr'!N336="", "", 'AYIRA MINI MART FINAL MENU - Pr'!N336)</f>
        <v/>
      </c>
      <c r="O336" s="57"/>
      <c r="P336" s="57"/>
      <c r="Q336" s="57"/>
      <c r="R336" s="57"/>
      <c r="S336" s="57"/>
      <c r="T336" s="57"/>
      <c r="U336" s="57"/>
      <c r="V336" s="57"/>
      <c r="W336" s="57"/>
      <c r="X336" s="57"/>
      <c r="Y336" s="57"/>
      <c r="Z336" s="57"/>
    </row>
    <row r="337">
      <c r="A337" s="56" t="str">
        <f>IFERROR(__xludf.DUMMYFUNCTION("IF('AYIRA MINI MART FINAL MENU - Pr'!A337="""", """", IF(LEN(TRIM(REGEXREPLACE(REGEXREPLACE('AYIRA MINI MART FINAL MENU - Pr'!A337, ""^[^\x{0600}-\x{06FF}]+"", """"), ""^[-–\s]+"", """")))&gt;0, TRIM(REGEXREPLACE(REGEXREPLACE('AYIRA MINI MART FINAL MENU - Pr"&amp;"'!A337, ""^[^\x{0600}-\x{06FF}]+"", """"), ""^[-–\s]+"", """")), GOOGLETRANSLATE('AYIRA MINI MART FINAL MENU - Pr'!A337, ""en"", ""ar"")))"),"فول سوداني زبدة شوكولاتة آيس كريم 61 مل")</f>
        <v>فول سوداني زبدة شوكولاتة آيس كريم 61 مل</v>
      </c>
      <c r="B337" s="56" t="str">
        <f>IFERROR(__xludf.DUMMYFUNCTION("IF('AYIRA MINI MART FINAL MENU - Pr'!B337="""", """", IF(LEN(TRIM(REGEXREPLACE(REGEXREPLACE('AYIRA MINI MART FINAL MENU - Pr'!B337, ""^[^\x{0600}-\x{06FF}]+"", """"), ""^[-–\s]+"", """")))&gt;0, TRIM(REGEXREPLACE(REGEXREPLACE('AYIRA MINI MART FINAL MENU - Pr"&amp;"'!B337, ""^[^\x{0600}-\x{06FF}]+"", """"), ""^[-–\s]+"", """")), GOOGLETRANSLATE('AYIRA MINI MART FINAL MENU - Pr'!B337, ""en"", ""ar"")))"),"الآيس كريم")</f>
        <v>الآيس كريم</v>
      </c>
      <c r="C337" s="58">
        <f>IF('AYIRA MINI MART FINAL MENU - Pr'!C337="", "", 'AYIRA MINI MART FINAL MENU - Pr'!C337)</f>
        <v>9.5</v>
      </c>
      <c r="D337" s="58" t="str">
        <f>IF('AYIRA MINI MART FINAL MENU - Pr'!D337="", "", 'AYIRA MINI MART FINAL MENU - Pr'!D337)</f>
        <v>برّد أيامك الحارة مع Reese’s Peanut Butter Chocolate Ice Cream 61ml،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7" s="56" t="str">
        <f>IF('AYIRA MINI MART FINAL MENU - Pr'!E337="", "", 'AYIRA MINI MART FINAL MENU - Pr'!E337)</f>
        <v/>
      </c>
      <c r="F337" s="56" t="str">
        <f>IF('AYIRA MINI MART FINAL MENU - Pr'!F337="", "", 'AYIRA MINI MART FINAL MENU - Pr'!F337)</f>
        <v/>
      </c>
      <c r="G337" s="56" t="str">
        <f>IF('AYIRA MINI MART FINAL MENU - Pr'!G337="", "", 'AYIRA MINI MART FINAL MENU - Pr'!G337)</f>
        <v/>
      </c>
      <c r="H337" s="56" t="str">
        <f>IF('AYIRA MINI MART FINAL MENU - Pr'!H337="", "", 'AYIRA MINI MART FINAL MENU - Pr'!H337)</f>
        <v/>
      </c>
      <c r="I337" s="56" t="str">
        <f>IF('AYIRA MINI MART FINAL MENU - Pr'!I337="", "", 'AYIRA MINI MART FINAL MENU - Pr'!I337)</f>
        <v/>
      </c>
      <c r="J337" s="56" t="str">
        <f>IFERROR(__xludf.DUMMYFUNCTION("IF('AYIRA MINI MART FINAL MENU - Pr'!J337="""", """", GOOGLETRANSLATE('AYIRA MINI MART FINAL MENU - Pr'!J337, ""en"", ""ar""))"),"إنتهى من المخزن")</f>
        <v>إنتهى من المخزن</v>
      </c>
      <c r="K337" s="56" t="str">
        <f>IF('AYIRA MINI MART FINAL MENU - Pr'!K337="", "", 'AYIRA MINI MART FINAL MENU - Pr'!K337)</f>
        <v/>
      </c>
      <c r="L337" s="56" t="str">
        <f>IF('AYIRA MINI MART FINAL MENU - Pr'!L337="", "", 'AYIRA MINI MART FINAL MENU - Pr'!L337)</f>
        <v/>
      </c>
      <c r="M337" s="56" t="str">
        <f>IF('AYIRA MINI MART FINAL MENU - Pr'!M337="", "", 'AYIRA MINI MART FINAL MENU - Pr'!M337)</f>
        <v/>
      </c>
      <c r="N337" s="56" t="str">
        <f>IF('AYIRA MINI MART FINAL MENU - Pr'!N337="", "", 'AYIRA MINI MART FINAL MENU - Pr'!N337)</f>
        <v/>
      </c>
      <c r="O337" s="57"/>
      <c r="P337" s="57"/>
      <c r="Q337" s="57"/>
      <c r="R337" s="57"/>
      <c r="S337" s="57"/>
      <c r="T337" s="57"/>
      <c r="U337" s="57"/>
      <c r="V337" s="57"/>
      <c r="W337" s="57"/>
      <c r="X337" s="57"/>
      <c r="Y337" s="57"/>
      <c r="Z337" s="57"/>
    </row>
    <row r="338">
      <c r="A338" s="56" t="str">
        <f>IFERROR(__xludf.DUMMYFUNCTION("IF('AYIRA MINI MART FINAL MENU - Pr'!A338="""", """", IF(LEN(TRIM(REGEXREPLACE(REGEXREPLACE('AYIRA MINI MART FINAL MENU - Pr'!A338, ""^[^\x{0600}-\x{06FF}]+"", """"), ""^[-–\s]+"", """")))&gt;0, TRIM(REGEXREPLACE(REGEXREPLACE('AYIRA MINI MART FINAL MENU - Pr"&amp;"'!A338, ""^[^\x{0600}-\x{06FF}]+"", """"), ""^[-–\s]+"", """")), GOOGLETRANSLATE('AYIRA MINI MART FINAL MENU - Pr'!A338, ""en"", ""ar"")))"),"كوكيز &amp; شوكولاتة آيس كريم 61 غرام")</f>
        <v>كوكيز &amp; شوكولاتة آيس كريم 61 غرام</v>
      </c>
      <c r="B338" s="56" t="str">
        <f>IFERROR(__xludf.DUMMYFUNCTION("IF('AYIRA MINI MART FINAL MENU - Pr'!B338="""", """", IF(LEN(TRIM(REGEXREPLACE(REGEXREPLACE('AYIRA MINI MART FINAL MENU - Pr'!B338, ""^[^\x{0600}-\x{06FF}]+"", """"), ""^[-–\s]+"", """")))&gt;0, TRIM(REGEXREPLACE(REGEXREPLACE('AYIRA MINI MART FINAL MENU - Pr"&amp;"'!B338, ""^[^\x{0600}-\x{06FF}]+"", """"), ""^[-–\s]+"", """")), GOOGLETRANSLATE('AYIRA MINI MART FINAL MENU - Pr'!B338, ""en"", ""ar"")))"),"الآيس كريم")</f>
        <v>الآيس كريم</v>
      </c>
      <c r="C338" s="58">
        <f>IF('AYIRA MINI MART FINAL MENU - Pr'!C338="", "", 'AYIRA MINI MART FINAL MENU - Pr'!C338)</f>
        <v>9.5</v>
      </c>
      <c r="D338" s="58" t="str">
        <f>IF('AYIRA MINI MART FINAL MENU - Pr'!D338="", "", 'AYIRA MINI MART FINAL MENU - Pr'!D338)</f>
        <v>برّد أيامك الحارة مع Hershey’s Cookie &amp; Chocolate Ice Cream 61g،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8" s="56" t="str">
        <f>IF('AYIRA MINI MART FINAL MENU - Pr'!E338="", "", 'AYIRA MINI MART FINAL MENU - Pr'!E338)</f>
        <v/>
      </c>
      <c r="F338" s="56" t="str">
        <f>IF('AYIRA MINI MART FINAL MENU - Pr'!F338="", "", 'AYIRA MINI MART FINAL MENU - Pr'!F338)</f>
        <v/>
      </c>
      <c r="G338" s="56" t="str">
        <f>IF('AYIRA MINI MART FINAL MENU - Pr'!G338="", "", 'AYIRA MINI MART FINAL MENU - Pr'!G338)</f>
        <v/>
      </c>
      <c r="H338" s="56" t="str">
        <f>IF('AYIRA MINI MART FINAL MENU - Pr'!H338="", "", 'AYIRA MINI MART FINAL MENU - Pr'!H338)</f>
        <v/>
      </c>
      <c r="I338" s="56" t="str">
        <f>IF('AYIRA MINI MART FINAL MENU - Pr'!I338="", "", 'AYIRA MINI MART FINAL MENU - Pr'!I338)</f>
        <v/>
      </c>
      <c r="J338" s="56" t="str">
        <f>IFERROR(__xludf.DUMMYFUNCTION("IF('AYIRA MINI MART FINAL MENU - Pr'!J338="""", """", GOOGLETRANSLATE('AYIRA MINI MART FINAL MENU - Pr'!J338, ""en"", ""ar""))"),"إنتهى من المخزن")</f>
        <v>إنتهى من المخزن</v>
      </c>
      <c r="K338" s="56" t="str">
        <f>IF('AYIRA MINI MART FINAL MENU - Pr'!K338="", "", 'AYIRA MINI MART FINAL MENU - Pr'!K338)</f>
        <v/>
      </c>
      <c r="L338" s="56" t="str">
        <f>IF('AYIRA MINI MART FINAL MENU - Pr'!L338="", "", 'AYIRA MINI MART FINAL MENU - Pr'!L338)</f>
        <v/>
      </c>
      <c r="M338" s="56" t="str">
        <f>IF('AYIRA MINI MART FINAL MENU - Pr'!M338="", "", 'AYIRA MINI MART FINAL MENU - Pr'!M338)</f>
        <v/>
      </c>
      <c r="N338" s="56" t="str">
        <f>IF('AYIRA MINI MART FINAL MENU - Pr'!N338="", "", 'AYIRA MINI MART FINAL MENU - Pr'!N338)</f>
        <v/>
      </c>
      <c r="O338" s="57"/>
      <c r="P338" s="57"/>
      <c r="Q338" s="57"/>
      <c r="R338" s="57"/>
      <c r="S338" s="57"/>
      <c r="T338" s="57"/>
      <c r="U338" s="57"/>
      <c r="V338" s="57"/>
      <c r="W338" s="57"/>
      <c r="X338" s="57"/>
      <c r="Y338" s="57"/>
      <c r="Z338" s="57"/>
    </row>
    <row r="339">
      <c r="A339" s="56" t="str">
        <f>IFERROR(__xludf.DUMMYFUNCTION("IF('AYIRA MINI MART FINAL MENU - Pr'!A339="""", """", IF(LEN(TRIM(REGEXREPLACE(REGEXREPLACE('AYIRA MINI MART FINAL MENU - Pr'!A339, ""^[^\x{0600}-\x{06FF}]+"", """"), ""^[-–\s]+"", """")))&gt;0, TRIM(REGEXREPLACE(REGEXREPLACE('AYIRA MINI MART FINAL MENU - Pr"&amp;"'!A339, ""^[^\x{0600}-\x{06FF}]+"", """"), ""^[-–\s]+"", """")), GOOGLETRANSLATE('AYIRA MINI MART FINAL MENU - Pr'!A339, ""en"", ""ar"")))"),"كريم آيس كريم 61 غرام")</f>
        <v>كريم آيس كريم 61 غرام</v>
      </c>
      <c r="B339" s="56" t="str">
        <f>IFERROR(__xludf.DUMMYFUNCTION("IF('AYIRA MINI MART FINAL MENU - Pr'!B339="""", """", IF(LEN(TRIM(REGEXREPLACE(REGEXREPLACE('AYIRA MINI MART FINAL MENU - Pr'!B339, ""^[^\x{0600}-\x{06FF}]+"", """"), ""^[-–\s]+"", """")))&gt;0, TRIM(REGEXREPLACE(REGEXREPLACE('AYIRA MINI MART FINAL MENU - Pr"&amp;"'!B339, ""^[^\x{0600}-\x{06FF}]+"", """"), ""^[-–\s]+"", """")), GOOGLETRANSLATE('AYIRA MINI MART FINAL MENU - Pr'!B339, ""en"", ""ar"")))"),"الآيس كريم")</f>
        <v>الآيس كريم</v>
      </c>
      <c r="C339" s="58">
        <f>IF('AYIRA MINI MART FINAL MENU - Pr'!C339="", "", 'AYIRA MINI MART FINAL MENU - Pr'!C339)</f>
        <v>9.5</v>
      </c>
      <c r="D339" s="58" t="str">
        <f>IF('AYIRA MINI MART FINAL MENU - Pr'!D339="", "", 'AYIRA MINI MART FINAL MENU - Pr'!D339)</f>
        <v>برّد أيامك الحارة مع Hershey’s Cookies &amp; Cream Ice Cream 61g،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39" s="56" t="str">
        <f>IF('AYIRA MINI MART FINAL MENU - Pr'!E339="", "", 'AYIRA MINI MART FINAL MENU - Pr'!E339)</f>
        <v/>
      </c>
      <c r="F339" s="56" t="str">
        <f>IF('AYIRA MINI MART FINAL MENU - Pr'!F339="", "", 'AYIRA MINI MART FINAL MENU - Pr'!F339)</f>
        <v/>
      </c>
      <c r="G339" s="56" t="str">
        <f>IF('AYIRA MINI MART FINAL MENU - Pr'!G339="", "", 'AYIRA MINI MART FINAL MENU - Pr'!G339)</f>
        <v/>
      </c>
      <c r="H339" s="56" t="str">
        <f>IF('AYIRA MINI MART FINAL MENU - Pr'!H339="", "", 'AYIRA MINI MART FINAL MENU - Pr'!H339)</f>
        <v/>
      </c>
      <c r="I339" s="56" t="str">
        <f>IF('AYIRA MINI MART FINAL MENU - Pr'!I339="", "", 'AYIRA MINI MART FINAL MENU - Pr'!I339)</f>
        <v/>
      </c>
      <c r="J339" s="56" t="str">
        <f>IFERROR(__xludf.DUMMYFUNCTION("IF('AYIRA MINI MART FINAL MENU - Pr'!J339="""", """", GOOGLETRANSLATE('AYIRA MINI MART FINAL MENU - Pr'!J339, ""en"", ""ar""))"),"إنتهى من المخزن")</f>
        <v>إنتهى من المخزن</v>
      </c>
      <c r="K339" s="56" t="str">
        <f>IF('AYIRA MINI MART FINAL MENU - Pr'!K339="", "", 'AYIRA MINI MART FINAL MENU - Pr'!K339)</f>
        <v/>
      </c>
      <c r="L339" s="56" t="str">
        <f>IF('AYIRA MINI MART FINAL MENU - Pr'!L339="", "", 'AYIRA MINI MART FINAL MENU - Pr'!L339)</f>
        <v/>
      </c>
      <c r="M339" s="56" t="str">
        <f>IF('AYIRA MINI MART FINAL MENU - Pr'!M339="", "", 'AYIRA MINI MART FINAL MENU - Pr'!M339)</f>
        <v/>
      </c>
      <c r="N339" s="56" t="str">
        <f>IF('AYIRA MINI MART FINAL MENU - Pr'!N339="", "", 'AYIRA MINI MART FINAL MENU - Pr'!N339)</f>
        <v/>
      </c>
      <c r="O339" s="57"/>
      <c r="P339" s="57"/>
      <c r="Q339" s="57"/>
      <c r="R339" s="57"/>
      <c r="S339" s="57"/>
      <c r="T339" s="57"/>
      <c r="U339" s="57"/>
      <c r="V339" s="57"/>
      <c r="W339" s="57"/>
      <c r="X339" s="57"/>
      <c r="Y339" s="57"/>
      <c r="Z339" s="57"/>
    </row>
    <row r="340">
      <c r="A340" s="56" t="str">
        <f>IFERROR(__xludf.DUMMYFUNCTION("IF('AYIRA MINI MART FINAL MENU - Pr'!A340="""", """", IF(LEN(TRIM(REGEXREPLACE(REGEXREPLACE('AYIRA MINI MART FINAL MENU - Pr'!A340, ""^[^\x{0600}-\x{06FF}]+"", """"), ""^[-–\s]+"", """")))&gt;0, TRIM(REGEXREPLACE(REGEXREPLACE('AYIRA MINI MART FINAL MENU - Pr"&amp;"'!A340, ""^[^\x{0600}-\x{06FF}]+"", """"), ""^[-–\s]+"", """")), GOOGLETRANSLATE('AYIRA MINI MART FINAL MENU - Pr'!A340, ""en"", ""ar"")))"),"آيس ميلك 80 غرام")</f>
        <v>آيس ميلك 80 غرام</v>
      </c>
      <c r="B340" s="56" t="str">
        <f>IFERROR(__xludf.DUMMYFUNCTION("IF('AYIRA MINI MART FINAL MENU - Pr'!B340="""", """", IF(LEN(TRIM(REGEXREPLACE(REGEXREPLACE('AYIRA MINI MART FINAL MENU - Pr'!B340, ""^[^\x{0600}-\x{06FF}]+"", """"), ""^[-–\s]+"", """")))&gt;0, TRIM(REGEXREPLACE(REGEXREPLACE('AYIRA MINI MART FINAL MENU - Pr"&amp;"'!B340, ""^[^\x{0600}-\x{06FF}]+"", """"), ""^[-–\s]+"", """")), GOOGLETRANSLATE('AYIRA MINI MART FINAL MENU - Pr'!B340, ""en"", ""ar"")))"),"الآيس كريم")</f>
        <v>الآيس كريم</v>
      </c>
      <c r="C340" s="58">
        <f>IF('AYIRA MINI MART FINAL MENU - Pr'!C340="", "", 'AYIRA MINI MART FINAL MENU - Pr'!C340)</f>
        <v>4.5</v>
      </c>
      <c r="D340" s="58" t="str">
        <f>IF('AYIRA MINI MART FINAL MENU - Pr'!D340="", "", 'AYIRA MINI MART FINAL MENU - Pr'!D340)</f>
        <v>برّد أيامك الحارة مع Maharaj Kulfi Semi Ice Milk 80g،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40" s="56" t="str">
        <f>IF('AYIRA MINI MART FINAL MENU - Pr'!E340="", "", 'AYIRA MINI MART FINAL MENU - Pr'!E340)</f>
        <v/>
      </c>
      <c r="F340" s="56" t="str">
        <f>IF('AYIRA MINI MART FINAL MENU - Pr'!F340="", "", 'AYIRA MINI MART FINAL MENU - Pr'!F340)</f>
        <v/>
      </c>
      <c r="G340" s="56" t="str">
        <f>IF('AYIRA MINI MART FINAL MENU - Pr'!G340="", "", 'AYIRA MINI MART FINAL MENU - Pr'!G340)</f>
        <v/>
      </c>
      <c r="H340" s="56" t="str">
        <f>IF('AYIRA MINI MART FINAL MENU - Pr'!H340="", "", 'AYIRA MINI MART FINAL MENU - Pr'!H340)</f>
        <v/>
      </c>
      <c r="I340" s="56" t="str">
        <f>IF('AYIRA MINI MART FINAL MENU - Pr'!I340="", "", 'AYIRA MINI MART FINAL MENU - Pr'!I340)</f>
        <v/>
      </c>
      <c r="J340" s="56" t="str">
        <f>IFERROR(__xludf.DUMMYFUNCTION("IF('AYIRA MINI MART FINAL MENU - Pr'!J340="""", """", GOOGLETRANSLATE('AYIRA MINI MART FINAL MENU - Pr'!J340, ""en"", ""ar""))"),"يعرض")</f>
        <v>يعرض</v>
      </c>
      <c r="K340" s="56" t="str">
        <f>IF('AYIRA MINI MART FINAL MENU - Pr'!K340="", "", 'AYIRA MINI MART FINAL MENU - Pr'!K340)</f>
        <v/>
      </c>
      <c r="L340" s="56" t="str">
        <f>IF('AYIRA MINI MART FINAL MENU - Pr'!L340="", "", 'AYIRA MINI MART FINAL MENU - Pr'!L340)</f>
        <v/>
      </c>
      <c r="M340" s="56" t="str">
        <f>IF('AYIRA MINI MART FINAL MENU - Pr'!M340="", "", 'AYIRA MINI MART FINAL MENU - Pr'!M340)</f>
        <v/>
      </c>
      <c r="N340" s="56" t="str">
        <f>IF('AYIRA MINI MART FINAL MENU - Pr'!N340="", "", 'AYIRA MINI MART FINAL MENU - Pr'!N340)</f>
        <v/>
      </c>
      <c r="O340" s="57"/>
      <c r="P340" s="57"/>
      <c r="Q340" s="57"/>
      <c r="R340" s="57"/>
      <c r="S340" s="57"/>
      <c r="T340" s="57"/>
      <c r="U340" s="57"/>
      <c r="V340" s="57"/>
      <c r="W340" s="57"/>
      <c r="X340" s="57"/>
      <c r="Y340" s="57"/>
      <c r="Z340" s="57"/>
    </row>
    <row r="341">
      <c r="A341" s="56" t="str">
        <f>IFERROR(__xludf.DUMMYFUNCTION("IF('AYIRA MINI MART FINAL MENU - Pr'!A341="""", """", IF(LEN(TRIM(REGEXREPLACE(REGEXREPLACE('AYIRA MINI MART FINAL MENU - Pr'!A341, ""^[^\x{0600}-\x{06FF}]+"", """"), ""^[-–\s]+"", """")))&gt;0, TRIM(REGEXREPLACE(REGEXREPLACE('AYIRA MINI MART FINAL MENU - Pr"&amp;"'!A341, ""^[^\x{0600}-\x{06FF}]+"", """"), ""^[-–\s]+"", """")), GOOGLETRANSLATE('AYIRA MINI MART FINAL MENU - Pr'!A341, ""en"", ""ar"")))"),"لوز Semi آيس ميلك 120 مل")</f>
        <v>لوز Semi آيس ميلك 120 مل</v>
      </c>
      <c r="B341" s="56" t="str">
        <f>IFERROR(__xludf.DUMMYFUNCTION("IF('AYIRA MINI MART FINAL MENU - Pr'!B341="""", """", IF(LEN(TRIM(REGEXREPLACE(REGEXREPLACE('AYIRA MINI MART FINAL MENU - Pr'!B341, ""^[^\x{0600}-\x{06FF}]+"", """"), ""^[-–\s]+"", """")))&gt;0, TRIM(REGEXREPLACE(REGEXREPLACE('AYIRA MINI MART FINAL MENU - Pr"&amp;"'!B341, ""^[^\x{0600}-\x{06FF}]+"", """"), ""^[-–\s]+"", """")), GOOGLETRANSLATE('AYIRA MINI MART FINAL MENU - Pr'!B341, ""en"", ""ar"")))"),"الآيس كريم")</f>
        <v>الآيس كريم</v>
      </c>
      <c r="C341" s="58">
        <f>IF('AYIRA MINI MART FINAL MENU - Pr'!C341="", "", 'AYIRA MINI MART FINAL MENU - Pr'!C341)</f>
        <v>4</v>
      </c>
      <c r="D341" s="58" t="str">
        <f>IF('AYIRA MINI MART FINAL MENU - Pr'!D341="", "", 'AYIRA MINI MART FINAL MENU - Pr'!D341)</f>
        <v>برّد أيامك الحارة مع Muncho Almond Semi Ice Milk 120ml،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41" s="56" t="str">
        <f>IF('AYIRA MINI MART FINAL MENU - Pr'!E341="", "", 'AYIRA MINI MART FINAL MENU - Pr'!E341)</f>
        <v/>
      </c>
      <c r="F341" s="56" t="str">
        <f>IF('AYIRA MINI MART FINAL MENU - Pr'!F341="", "", 'AYIRA MINI MART FINAL MENU - Pr'!F341)</f>
        <v/>
      </c>
      <c r="G341" s="56" t="str">
        <f>IF('AYIRA MINI MART FINAL MENU - Pr'!G341="", "", 'AYIRA MINI MART FINAL MENU - Pr'!G341)</f>
        <v/>
      </c>
      <c r="H341" s="56" t="str">
        <f>IF('AYIRA MINI MART FINAL MENU - Pr'!H341="", "", 'AYIRA MINI MART FINAL MENU - Pr'!H341)</f>
        <v/>
      </c>
      <c r="I341" s="56" t="str">
        <f>IF('AYIRA MINI MART FINAL MENU - Pr'!I341="", "", 'AYIRA MINI MART FINAL MENU - Pr'!I341)</f>
        <v/>
      </c>
      <c r="J341" s="56" t="str">
        <f>IFERROR(__xludf.DUMMYFUNCTION("IF('AYIRA MINI MART FINAL MENU - Pr'!J341="""", """", GOOGLETRANSLATE('AYIRA MINI MART FINAL MENU - Pr'!J341, ""en"", ""ar""))"),"يعرض")</f>
        <v>يعرض</v>
      </c>
      <c r="K341" s="56" t="str">
        <f>IF('AYIRA MINI MART FINAL MENU - Pr'!K341="", "", 'AYIRA MINI MART FINAL MENU - Pr'!K341)</f>
        <v/>
      </c>
      <c r="L341" s="56" t="str">
        <f>IF('AYIRA MINI MART FINAL MENU - Pr'!L341="", "", 'AYIRA MINI MART FINAL MENU - Pr'!L341)</f>
        <v/>
      </c>
      <c r="M341" s="56" t="str">
        <f>IF('AYIRA MINI MART FINAL MENU - Pr'!M341="", "", 'AYIRA MINI MART FINAL MENU - Pr'!M341)</f>
        <v/>
      </c>
      <c r="N341" s="56" t="str">
        <f>IF('AYIRA MINI MART FINAL MENU - Pr'!N341="", "", 'AYIRA MINI MART FINAL MENU - Pr'!N341)</f>
        <v/>
      </c>
      <c r="O341" s="57"/>
      <c r="P341" s="57"/>
      <c r="Q341" s="57"/>
      <c r="R341" s="57"/>
      <c r="S341" s="57"/>
      <c r="T341" s="57"/>
      <c r="U341" s="57"/>
      <c r="V341" s="57"/>
      <c r="W341" s="57"/>
      <c r="X341" s="57"/>
      <c r="Y341" s="57"/>
      <c r="Z341" s="57"/>
    </row>
    <row r="342">
      <c r="A342" s="56" t="str">
        <f>IFERROR(__xludf.DUMMYFUNCTION("IF('AYIRA MINI MART FINAL MENU - Pr'!A342="""", """", IF(LEN(TRIM(REGEXREPLACE(REGEXREPLACE('AYIRA MINI MART FINAL MENU - Pr'!A342, ""^[^\x{0600}-\x{06FF}]+"", """"), ""^[-–\s]+"", """")))&gt;0, TRIM(REGEXREPLACE(REGEXREPLACE('AYIRA MINI MART FINAL MENU - Pr"&amp;"'!A342, ""^[^\x{0600}-\x{06FF}]+"", """"), ""^[-–\s]+"", """")), GOOGLETRANSLATE('AYIRA MINI MART FINAL MENU - Pr'!A342, ""en"", ""ar"")))"),"فراولة &amp; ليمون مياه آيس كريم 65 غرام")</f>
        <v>فراولة &amp; ليمون مياه آيس كريم 65 غرام</v>
      </c>
      <c r="B342" s="56" t="str">
        <f>IFERROR(__xludf.DUMMYFUNCTION("IF('AYIRA MINI MART FINAL MENU - Pr'!B342="""", """", IF(LEN(TRIM(REGEXREPLACE(REGEXREPLACE('AYIRA MINI MART FINAL MENU - Pr'!B342, ""^[^\x{0600}-\x{06FF}]+"", """"), ""^[-–\s]+"", """")))&gt;0, TRIM(REGEXREPLACE(REGEXREPLACE('AYIRA MINI MART FINAL MENU - Pr"&amp;"'!B342, ""^[^\x{0600}-\x{06FF}]+"", """"), ""^[-–\s]+"", """")), GOOGLETRANSLATE('AYIRA MINI MART FINAL MENU - Pr'!B342, ""en"", ""ar"")))"),"الآيس كريم")</f>
        <v>الآيس كريم</v>
      </c>
      <c r="C342" s="58">
        <f>IF('AYIRA MINI MART FINAL MENU - Pr'!C342="", "", 'AYIRA MINI MART FINAL MENU - Pr'!C342)</f>
        <v>2</v>
      </c>
      <c r="D342" s="58" t="str">
        <f>IF('AYIRA MINI MART FINAL MENU - Pr'!D342="", "", 'AYIRA MINI MART FINAL MENU - Pr'!D342)</f>
        <v>اشرب Twistee Strawberry &amp; Lemon Water Ice Cream 65g،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342" s="56" t="str">
        <f>IF('AYIRA MINI MART FINAL MENU - Pr'!E342="", "", 'AYIRA MINI MART FINAL MENU - Pr'!E342)</f>
        <v/>
      </c>
      <c r="F342" s="56" t="str">
        <f>IF('AYIRA MINI MART FINAL MENU - Pr'!F342="", "", 'AYIRA MINI MART FINAL MENU - Pr'!F342)</f>
        <v/>
      </c>
      <c r="G342" s="56" t="str">
        <f>IF('AYIRA MINI MART FINAL MENU - Pr'!G342="", "", 'AYIRA MINI MART FINAL MENU - Pr'!G342)</f>
        <v/>
      </c>
      <c r="H342" s="56" t="str">
        <f>IF('AYIRA MINI MART FINAL MENU - Pr'!H342="", "", 'AYIRA MINI MART FINAL MENU - Pr'!H342)</f>
        <v/>
      </c>
      <c r="I342" s="56" t="str">
        <f>IF('AYIRA MINI MART FINAL MENU - Pr'!I342="", "", 'AYIRA MINI MART FINAL MENU - Pr'!I342)</f>
        <v/>
      </c>
      <c r="J342" s="56" t="str">
        <f>IFERROR(__xludf.DUMMYFUNCTION("IF('AYIRA MINI MART FINAL MENU - Pr'!J342="""", """", GOOGLETRANSLATE('AYIRA MINI MART FINAL MENU - Pr'!J342, ""en"", ""ar""))"),"يعرض")</f>
        <v>يعرض</v>
      </c>
      <c r="K342" s="56" t="str">
        <f>IF('AYIRA MINI MART FINAL MENU - Pr'!K342="", "", 'AYIRA MINI MART FINAL MENU - Pr'!K342)</f>
        <v/>
      </c>
      <c r="L342" s="56" t="str">
        <f>IF('AYIRA MINI MART FINAL MENU - Pr'!L342="", "", 'AYIRA MINI MART FINAL MENU - Pr'!L342)</f>
        <v/>
      </c>
      <c r="M342" s="56" t="str">
        <f>IF('AYIRA MINI MART FINAL MENU - Pr'!M342="", "", 'AYIRA MINI MART FINAL MENU - Pr'!M342)</f>
        <v/>
      </c>
      <c r="N342" s="56" t="str">
        <f>IF('AYIRA MINI MART FINAL MENU - Pr'!N342="", "", 'AYIRA MINI MART FINAL MENU - Pr'!N342)</f>
        <v/>
      </c>
      <c r="O342" s="57"/>
      <c r="P342" s="57"/>
      <c r="Q342" s="57"/>
      <c r="R342" s="57"/>
      <c r="S342" s="57"/>
      <c r="T342" s="57"/>
      <c r="U342" s="57"/>
      <c r="V342" s="57"/>
      <c r="W342" s="57"/>
      <c r="X342" s="57"/>
      <c r="Y342" s="57"/>
      <c r="Z342" s="57"/>
    </row>
    <row r="343">
      <c r="A343" s="56" t="str">
        <f>IFERROR(__xludf.DUMMYFUNCTION("IF('AYIRA MINI MART FINAL MENU - Pr'!A343="""", """", IF(LEN(TRIM(REGEXREPLACE(REGEXREPLACE('AYIRA MINI MART FINAL MENU - Pr'!A343, ""^[^\x{0600}-\x{06FF}]+"", """"), ""^[-–\s]+"", """")))&gt;0, TRIM(REGEXREPLACE(REGEXREPLACE('AYIRA MINI MART FINAL MENU - Pr"&amp;"'!A343, ""^[^\x{0600}-\x{06FF}]+"", """"), ""^[-–\s]+"", """")), GOOGLETRANSLATE('AYIRA MINI MART FINAL MENU - Pr'!A343, ""en"", ""ar"")))"),"آيس كريم 60 مل")</f>
        <v>آيس كريم 60 مل</v>
      </c>
      <c r="B343" s="56" t="str">
        <f>IFERROR(__xludf.DUMMYFUNCTION("IF('AYIRA MINI MART FINAL MENU - Pr'!B343="""", """", IF(LEN(TRIM(REGEXREPLACE(REGEXREPLACE('AYIRA MINI MART FINAL MENU - Pr'!B343, ""^[^\x{0600}-\x{06FF}]+"", """"), ""^[-–\s]+"", """")))&gt;0, TRIM(REGEXREPLACE(REGEXREPLACE('AYIRA MINI MART FINAL MENU - Pr"&amp;"'!B343, ""^[^\x{0600}-\x{06FF}]+"", """"), ""^[-–\s]+"", """")), GOOGLETRANSLATE('AYIRA MINI MART FINAL MENU - Pr'!B343, ""en"", ""ar"")))"),"الآيس كريم")</f>
        <v>الآيس كريم</v>
      </c>
      <c r="C343" s="58">
        <f>IF('AYIRA MINI MART FINAL MENU - Pr'!C343="", "", 'AYIRA MINI MART FINAL MENU - Pr'!C343)</f>
        <v>2</v>
      </c>
      <c r="D343" s="58" t="str">
        <f>IF('AYIRA MINI MART FINAL MENU - Pr'!D343="", "", 'AYIRA MINI MART FINAL MENU - Pr'!D343)</f>
        <v>برّد أيامك الحارة مع Xtreme Pop Ice Cream 60ml،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43" s="56" t="str">
        <f>IF('AYIRA MINI MART FINAL MENU - Pr'!E343="", "", 'AYIRA MINI MART FINAL MENU - Pr'!E343)</f>
        <v/>
      </c>
      <c r="F343" s="56" t="str">
        <f>IF('AYIRA MINI MART FINAL MENU - Pr'!F343="", "", 'AYIRA MINI MART FINAL MENU - Pr'!F343)</f>
        <v/>
      </c>
      <c r="G343" s="56" t="str">
        <f>IF('AYIRA MINI MART FINAL MENU - Pr'!G343="", "", 'AYIRA MINI MART FINAL MENU - Pr'!G343)</f>
        <v/>
      </c>
      <c r="H343" s="56" t="str">
        <f>IF('AYIRA MINI MART FINAL MENU - Pr'!H343="", "", 'AYIRA MINI MART FINAL MENU - Pr'!H343)</f>
        <v/>
      </c>
      <c r="I343" s="56" t="str">
        <f>IF('AYIRA MINI MART FINAL MENU - Pr'!I343="", "", 'AYIRA MINI MART FINAL MENU - Pr'!I343)</f>
        <v/>
      </c>
      <c r="J343" s="56" t="str">
        <f>IFERROR(__xludf.DUMMYFUNCTION("IF('AYIRA MINI MART FINAL MENU - Pr'!J343="""", """", GOOGLETRANSLATE('AYIRA MINI MART FINAL MENU - Pr'!J343, ""en"", ""ar""))"),"يعرض")</f>
        <v>يعرض</v>
      </c>
      <c r="K343" s="56" t="str">
        <f>IF('AYIRA MINI MART FINAL MENU - Pr'!K343="", "", 'AYIRA MINI MART FINAL MENU - Pr'!K343)</f>
        <v/>
      </c>
      <c r="L343" s="56" t="str">
        <f>IF('AYIRA MINI MART FINAL MENU - Pr'!L343="", "", 'AYIRA MINI MART FINAL MENU - Pr'!L343)</f>
        <v/>
      </c>
      <c r="M343" s="56" t="str">
        <f>IF('AYIRA MINI MART FINAL MENU - Pr'!M343="", "", 'AYIRA MINI MART FINAL MENU - Pr'!M343)</f>
        <v/>
      </c>
      <c r="N343" s="56" t="str">
        <f>IF('AYIRA MINI MART FINAL MENU - Pr'!N343="", "", 'AYIRA MINI MART FINAL MENU - Pr'!N343)</f>
        <v/>
      </c>
      <c r="O343" s="57"/>
      <c r="P343" s="57"/>
      <c r="Q343" s="57"/>
      <c r="R343" s="57"/>
      <c r="S343" s="57"/>
      <c r="T343" s="57"/>
      <c r="U343" s="57"/>
      <c r="V343" s="57"/>
      <c r="W343" s="57"/>
      <c r="X343" s="57"/>
      <c r="Y343" s="57"/>
      <c r="Z343" s="57"/>
    </row>
    <row r="344">
      <c r="A344" s="56" t="str">
        <f>IFERROR(__xludf.DUMMYFUNCTION("IF('AYIRA MINI MART FINAL MENU - Pr'!A344="""", """", IF(LEN(TRIM(REGEXREPLACE(REGEXREPLACE('AYIRA MINI MART FINAL MENU - Pr'!A344, ""^[^\x{0600}-\x{06FF}]+"", """"), ""^[-–\s]+"", """")))&gt;0, TRIM(REGEXREPLACE(REGEXREPLACE('AYIRA MINI MART FINAL MENU - Pr"&amp;"'!A344, ""^[^\x{0600}-\x{06FF}]+"", """"), ""^[-–\s]+"", """")), GOOGLETRANSLATE('AYIRA MINI MART FINAL MENU - Pr'!A344, ""en"", ""ar"")))"),"مياه Ice 70 غرام")</f>
        <v>مياه Ice 70 غرام</v>
      </c>
      <c r="B344" s="56" t="str">
        <f>IFERROR(__xludf.DUMMYFUNCTION("IF('AYIRA MINI MART FINAL MENU - Pr'!B344="""", """", IF(LEN(TRIM(REGEXREPLACE(REGEXREPLACE('AYIRA MINI MART FINAL MENU - Pr'!B344, ""^[^\x{0600}-\x{06FF}]+"", """"), ""^[-–\s]+"", """")))&gt;0, TRIM(REGEXREPLACE(REGEXREPLACE('AYIRA MINI MART FINAL MENU - Pr"&amp;"'!B344, ""^[^\x{0600}-\x{06FF}]+"", """"), ""^[-–\s]+"", """")), GOOGLETRANSLATE('AYIRA MINI MART FINAL MENU - Pr'!B344, ""en"", ""ar"")))"),"الآيس كريم")</f>
        <v>الآيس كريم</v>
      </c>
      <c r="C344" s="58">
        <f>IF('AYIRA MINI MART FINAL MENU - Pr'!C344="", "", 'AYIRA MINI MART FINAL MENU - Pr'!C344)</f>
        <v>2</v>
      </c>
      <c r="D344" s="58" t="str">
        <f>IF('AYIRA MINI MART FINAL MENU - Pr'!D344="", "", 'AYIRA MINI MART FINAL MENU - Pr'!D344)</f>
        <v>اشرب Melon Water Ice 70g،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344" s="56" t="str">
        <f>IF('AYIRA MINI MART FINAL MENU - Pr'!E344="", "", 'AYIRA MINI MART FINAL MENU - Pr'!E344)</f>
        <v/>
      </c>
      <c r="F344" s="56" t="str">
        <f>IF('AYIRA MINI MART FINAL MENU - Pr'!F344="", "", 'AYIRA MINI MART FINAL MENU - Pr'!F344)</f>
        <v/>
      </c>
      <c r="G344" s="56" t="str">
        <f>IF('AYIRA MINI MART FINAL MENU - Pr'!G344="", "", 'AYIRA MINI MART FINAL MENU - Pr'!G344)</f>
        <v/>
      </c>
      <c r="H344" s="56" t="str">
        <f>IF('AYIRA MINI MART FINAL MENU - Pr'!H344="", "", 'AYIRA MINI MART FINAL MENU - Pr'!H344)</f>
        <v/>
      </c>
      <c r="I344" s="56" t="str">
        <f>IF('AYIRA MINI MART FINAL MENU - Pr'!I344="", "", 'AYIRA MINI MART FINAL MENU - Pr'!I344)</f>
        <v/>
      </c>
      <c r="J344" s="56" t="str">
        <f>IFERROR(__xludf.DUMMYFUNCTION("IF('AYIRA MINI MART FINAL MENU - Pr'!J344="""", """", GOOGLETRANSLATE('AYIRA MINI MART FINAL MENU - Pr'!J344, ""en"", ""ar""))"),"يعرض")</f>
        <v>يعرض</v>
      </c>
      <c r="K344" s="56" t="str">
        <f>IF('AYIRA MINI MART FINAL MENU - Pr'!K344="", "", 'AYIRA MINI MART FINAL MENU - Pr'!K344)</f>
        <v/>
      </c>
      <c r="L344" s="56" t="str">
        <f>IF('AYIRA MINI MART FINAL MENU - Pr'!L344="", "", 'AYIRA MINI MART FINAL MENU - Pr'!L344)</f>
        <v/>
      </c>
      <c r="M344" s="56" t="str">
        <f>IF('AYIRA MINI MART FINAL MENU - Pr'!M344="", "", 'AYIRA MINI MART FINAL MENU - Pr'!M344)</f>
        <v/>
      </c>
      <c r="N344" s="56" t="str">
        <f>IF('AYIRA MINI MART FINAL MENU - Pr'!N344="", "", 'AYIRA MINI MART FINAL MENU - Pr'!N344)</f>
        <v/>
      </c>
      <c r="O344" s="57"/>
      <c r="P344" s="57"/>
      <c r="Q344" s="57"/>
      <c r="R344" s="57"/>
      <c r="S344" s="57"/>
      <c r="T344" s="57"/>
      <c r="U344" s="57"/>
      <c r="V344" s="57"/>
      <c r="W344" s="57"/>
      <c r="X344" s="57"/>
      <c r="Y344" s="57"/>
      <c r="Z344" s="57"/>
    </row>
    <row r="345">
      <c r="A345" s="56" t="str">
        <f>IFERROR(__xludf.DUMMYFUNCTION("IF('AYIRA MINI MART FINAL MENU - Pr'!A345="""", """", IF(LEN(TRIM(REGEXREPLACE(REGEXREPLACE('AYIRA MINI MART FINAL MENU - Pr'!A345, ""^[^\x{0600}-\x{06FF}]+"", """"), ""^[-–\s]+"", """")))&gt;0, TRIM(REGEXREPLACE(REGEXREPLACE('AYIRA MINI MART FINAL MENU - Pr"&amp;"'!A345, ""^[^\x{0600}-\x{06FF}]+"", """"), ""^[-–\s]+"", """")), GOOGLETRANSLATE('AYIRA MINI MART FINAL MENU - Pr'!A345, ""en"", ""ar"")))"),"آيس كريم 64 غرام")</f>
        <v>آيس كريم 64 غرام</v>
      </c>
      <c r="B345" s="56" t="str">
        <f>IFERROR(__xludf.DUMMYFUNCTION("IF('AYIRA MINI MART FINAL MENU - Pr'!B345="""", """", IF(LEN(TRIM(REGEXREPLACE(REGEXREPLACE('AYIRA MINI MART FINAL MENU - Pr'!B345, ""^[^\x{0600}-\x{06FF}]+"", """"), ""^[-–\s]+"", """")))&gt;0, TRIM(REGEXREPLACE(REGEXREPLACE('AYIRA MINI MART FINAL MENU - Pr"&amp;"'!B345, ""^[^\x{0600}-\x{06FF}]+"", """"), ""^[-–\s]+"", """")), GOOGLETRANSLATE('AYIRA MINI MART FINAL MENU - Pr'!B345, ""en"", ""ar"")))"),"الآيس كريم")</f>
        <v>الآيس كريم</v>
      </c>
      <c r="C345" s="58">
        <f>IF('AYIRA MINI MART FINAL MENU - Pr'!C345="", "", 'AYIRA MINI MART FINAL MENU - Pr'!C345)</f>
        <v>3</v>
      </c>
      <c r="D345" s="58" t="str">
        <f>IF('AYIRA MINI MART FINAL MENU - Pr'!D345="", "", 'AYIRA MINI MART FINAL MENU - Pr'!D345)</f>
        <v>برّد أيامك الحارة مع Big 4 in 1 Ice Cream 64g،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45" s="56" t="str">
        <f>IF('AYIRA MINI MART FINAL MENU - Pr'!E345="", "", 'AYIRA MINI MART FINAL MENU - Pr'!E345)</f>
        <v/>
      </c>
      <c r="F345" s="56" t="str">
        <f>IF('AYIRA MINI MART FINAL MENU - Pr'!F345="", "", 'AYIRA MINI MART FINAL MENU - Pr'!F345)</f>
        <v/>
      </c>
      <c r="G345" s="56" t="str">
        <f>IF('AYIRA MINI MART FINAL MENU - Pr'!G345="", "", 'AYIRA MINI MART FINAL MENU - Pr'!G345)</f>
        <v/>
      </c>
      <c r="H345" s="56" t="str">
        <f>IF('AYIRA MINI MART FINAL MENU - Pr'!H345="", "", 'AYIRA MINI MART FINAL MENU - Pr'!H345)</f>
        <v/>
      </c>
      <c r="I345" s="56" t="str">
        <f>IF('AYIRA MINI MART FINAL MENU - Pr'!I345="", "", 'AYIRA MINI MART FINAL MENU - Pr'!I345)</f>
        <v/>
      </c>
      <c r="J345" s="56" t="str">
        <f>IFERROR(__xludf.DUMMYFUNCTION("IF('AYIRA MINI MART FINAL MENU - Pr'!J345="""", """", GOOGLETRANSLATE('AYIRA MINI MART FINAL MENU - Pr'!J345, ""en"", ""ar""))"),"يعرض")</f>
        <v>يعرض</v>
      </c>
      <c r="K345" s="56" t="str">
        <f>IF('AYIRA MINI MART FINAL MENU - Pr'!K345="", "", 'AYIRA MINI MART FINAL MENU - Pr'!K345)</f>
        <v/>
      </c>
      <c r="L345" s="56" t="str">
        <f>IF('AYIRA MINI MART FINAL MENU - Pr'!L345="", "", 'AYIRA MINI MART FINAL MENU - Pr'!L345)</f>
        <v/>
      </c>
      <c r="M345" s="56" t="str">
        <f>IF('AYIRA MINI MART FINAL MENU - Pr'!M345="", "", 'AYIRA MINI MART FINAL MENU - Pr'!M345)</f>
        <v/>
      </c>
      <c r="N345" s="56" t="str">
        <f>IF('AYIRA MINI MART FINAL MENU - Pr'!N345="", "", 'AYIRA MINI MART FINAL MENU - Pr'!N345)</f>
        <v/>
      </c>
      <c r="O345" s="57"/>
      <c r="P345" s="57"/>
      <c r="Q345" s="57"/>
      <c r="R345" s="57"/>
      <c r="S345" s="57"/>
      <c r="T345" s="57"/>
      <c r="U345" s="57"/>
      <c r="V345" s="57"/>
      <c r="W345" s="57"/>
      <c r="X345" s="57"/>
      <c r="Y345" s="57"/>
      <c r="Z345" s="57"/>
    </row>
    <row r="346">
      <c r="A346" s="56" t="str">
        <f>IFERROR(__xludf.DUMMYFUNCTION("IF('AYIRA MINI MART FINAL MENU - Pr'!A346="""", """", IF(LEN(TRIM(REGEXREPLACE(REGEXREPLACE('AYIRA MINI MART FINAL MENU - Pr'!A346, ""^[^\x{0600}-\x{06FF}]+"", """"), ""^[-–\s]+"", """")))&gt;0, TRIM(REGEXREPLACE(REGEXREPLACE('AYIRA MINI MART FINAL MENU - Pr"&amp;"'!A346, ""^[^\x{0600}-\x{06FF}]+"", """"), ""^[-–\s]+"", """")), GOOGLETRANSLATE('AYIRA MINI MART FINAL MENU - Pr'!A346, ""en"", ""ar"")))"),"آيس كريم 110 مل")</f>
        <v>آيس كريم 110 مل</v>
      </c>
      <c r="B346" s="56" t="str">
        <f>IFERROR(__xludf.DUMMYFUNCTION("IF('AYIRA MINI MART FINAL MENU - Pr'!B346="""", """", IF(LEN(TRIM(REGEXREPLACE(REGEXREPLACE('AYIRA MINI MART FINAL MENU - Pr'!B346, ""^[^\x{0600}-\x{06FF}]+"", """"), ""^[-–\s]+"", """")))&gt;0, TRIM(REGEXREPLACE(REGEXREPLACE('AYIRA MINI MART FINAL MENU - Pr"&amp;"'!B346, ""^[^\x{0600}-\x{06FF}]+"", """"), ""^[-–\s]+"", """")), GOOGLETRANSLATE('AYIRA MINI MART FINAL MENU - Pr'!B346, ""en"", ""ar"")))"),"الآيس كريم")</f>
        <v>الآيس كريم</v>
      </c>
      <c r="C346" s="58">
        <f>IF('AYIRA MINI MART FINAL MENU - Pr'!C346="", "", 'AYIRA MINI MART FINAL MENU - Pr'!C346)</f>
        <v>4</v>
      </c>
      <c r="D346" s="58" t="str">
        <f>IF('AYIRA MINI MART FINAL MENU - Pr'!D346="", "", 'AYIRA MINI MART FINAL MENU - Pr'!D346)</f>
        <v>برّد أيامك الحارة مع Xtreme Butterscotch Ice Cream 110ml،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46" s="56" t="str">
        <f>IF('AYIRA MINI MART FINAL MENU - Pr'!E346="", "", 'AYIRA MINI MART FINAL MENU - Pr'!E346)</f>
        <v/>
      </c>
      <c r="F346" s="56" t="str">
        <f>IF('AYIRA MINI MART FINAL MENU - Pr'!F346="", "", 'AYIRA MINI MART FINAL MENU - Pr'!F346)</f>
        <v/>
      </c>
      <c r="G346" s="56" t="str">
        <f>IF('AYIRA MINI MART FINAL MENU - Pr'!G346="", "", 'AYIRA MINI MART FINAL MENU - Pr'!G346)</f>
        <v/>
      </c>
      <c r="H346" s="56" t="str">
        <f>IF('AYIRA MINI MART FINAL MENU - Pr'!H346="", "", 'AYIRA MINI MART FINAL MENU - Pr'!H346)</f>
        <v/>
      </c>
      <c r="I346" s="56" t="str">
        <f>IF('AYIRA MINI MART FINAL MENU - Pr'!I346="", "", 'AYIRA MINI MART FINAL MENU - Pr'!I346)</f>
        <v/>
      </c>
      <c r="J346" s="56" t="str">
        <f>IFERROR(__xludf.DUMMYFUNCTION("IF('AYIRA MINI MART FINAL MENU - Pr'!J346="""", """", GOOGLETRANSLATE('AYIRA MINI MART FINAL MENU - Pr'!J346, ""en"", ""ar""))"),"يعرض")</f>
        <v>يعرض</v>
      </c>
      <c r="K346" s="56" t="str">
        <f>IF('AYIRA MINI MART FINAL MENU - Pr'!K346="", "", 'AYIRA MINI MART FINAL MENU - Pr'!K346)</f>
        <v/>
      </c>
      <c r="L346" s="56" t="str">
        <f>IF('AYIRA MINI MART FINAL MENU - Pr'!L346="", "", 'AYIRA MINI MART FINAL MENU - Pr'!L346)</f>
        <v/>
      </c>
      <c r="M346" s="56" t="str">
        <f>IF('AYIRA MINI MART FINAL MENU - Pr'!M346="", "", 'AYIRA MINI MART FINAL MENU - Pr'!M346)</f>
        <v/>
      </c>
      <c r="N346" s="56" t="str">
        <f>IF('AYIRA MINI MART FINAL MENU - Pr'!N346="", "", 'AYIRA MINI MART FINAL MENU - Pr'!N346)</f>
        <v/>
      </c>
      <c r="O346" s="57"/>
      <c r="P346" s="57"/>
      <c r="Q346" s="57"/>
      <c r="R346" s="57"/>
      <c r="S346" s="57"/>
      <c r="T346" s="57"/>
      <c r="U346" s="57"/>
      <c r="V346" s="57"/>
      <c r="W346" s="57"/>
      <c r="X346" s="57"/>
      <c r="Y346" s="57"/>
      <c r="Z346" s="57"/>
    </row>
    <row r="347">
      <c r="A347" s="56" t="str">
        <f>IFERROR(__xludf.DUMMYFUNCTION("IF('AYIRA MINI MART FINAL MENU - Pr'!A347="""", """", IF(LEN(TRIM(REGEXREPLACE(REGEXREPLACE('AYIRA MINI MART FINAL MENU - Pr'!A347, ""^[^\x{0600}-\x{06FF}]+"", """"), ""^[-–\s]+"", """")))&gt;0, TRIM(REGEXREPLACE(REGEXREPLACE('AYIRA MINI MART FINAL MENU - Pr"&amp;"'!A347, ""^[^\x{0600}-\x{06FF}]+"", """"), ""^[-–\s]+"", """")), GOOGLETRANSLATE('AYIRA MINI MART FINAL MENU - Pr'!A347, ""en"", ""ar"")))"),"آيس كريم 70 مل")</f>
        <v>آيس كريم 70 مل</v>
      </c>
      <c r="B347" s="56" t="str">
        <f>IFERROR(__xludf.DUMMYFUNCTION("IF('AYIRA MINI MART FINAL MENU - Pr'!B347="""", """", IF(LEN(TRIM(REGEXREPLACE(REGEXREPLACE('AYIRA MINI MART FINAL MENU - Pr'!B347, ""^[^\x{0600}-\x{06FF}]+"", """"), ""^[-–\s]+"", """")))&gt;0, TRIM(REGEXREPLACE(REGEXREPLACE('AYIRA MINI MART FINAL MENU - Pr"&amp;"'!B347, ""^[^\x{0600}-\x{06FF}]+"", """"), ""^[-–\s]+"", """")), GOOGLETRANSLATE('AYIRA MINI MART FINAL MENU - Pr'!B347, ""en"", ""ar"")))"),"الآيس كريم")</f>
        <v>الآيس كريم</v>
      </c>
      <c r="C347" s="58">
        <f>IF('AYIRA MINI MART FINAL MENU - Pr'!C347="", "", 'AYIRA MINI MART FINAL MENU - Pr'!C347)</f>
        <v>2</v>
      </c>
      <c r="D347" s="58" t="str">
        <f>IF('AYIRA MINI MART FINAL MENU - Pr'!D347="", "", 'AYIRA MINI MART FINAL MENU - Pr'!D347)</f>
        <v>برّد أيامك الحارة مع Anquria Melon Ice Cream 70ml،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47" s="56" t="str">
        <f>IF('AYIRA MINI MART FINAL MENU - Pr'!E347="", "", 'AYIRA MINI MART FINAL MENU - Pr'!E347)</f>
        <v/>
      </c>
      <c r="F347" s="56" t="str">
        <f>IF('AYIRA MINI MART FINAL MENU - Pr'!F347="", "", 'AYIRA MINI MART FINAL MENU - Pr'!F347)</f>
        <v/>
      </c>
      <c r="G347" s="56" t="str">
        <f>IF('AYIRA MINI MART FINAL MENU - Pr'!G347="", "", 'AYIRA MINI MART FINAL MENU - Pr'!G347)</f>
        <v/>
      </c>
      <c r="H347" s="56" t="str">
        <f>IF('AYIRA MINI MART FINAL MENU - Pr'!H347="", "", 'AYIRA MINI MART FINAL MENU - Pr'!H347)</f>
        <v/>
      </c>
      <c r="I347" s="56" t="str">
        <f>IF('AYIRA MINI MART FINAL MENU - Pr'!I347="", "", 'AYIRA MINI MART FINAL MENU - Pr'!I347)</f>
        <v/>
      </c>
      <c r="J347" s="56" t="str">
        <f>IFERROR(__xludf.DUMMYFUNCTION("IF('AYIRA MINI MART FINAL MENU - Pr'!J347="""", """", GOOGLETRANSLATE('AYIRA MINI MART FINAL MENU - Pr'!J347, ""en"", ""ar""))"),"يعرض")</f>
        <v>يعرض</v>
      </c>
      <c r="K347" s="56" t="str">
        <f>IF('AYIRA MINI MART FINAL MENU - Pr'!K347="", "", 'AYIRA MINI MART FINAL MENU - Pr'!K347)</f>
        <v/>
      </c>
      <c r="L347" s="56" t="str">
        <f>IF('AYIRA MINI MART FINAL MENU - Pr'!L347="", "", 'AYIRA MINI MART FINAL MENU - Pr'!L347)</f>
        <v/>
      </c>
      <c r="M347" s="56" t="str">
        <f>IF('AYIRA MINI MART FINAL MENU - Pr'!M347="", "", 'AYIRA MINI MART FINAL MENU - Pr'!M347)</f>
        <v/>
      </c>
      <c r="N347" s="56" t="str">
        <f>IF('AYIRA MINI MART FINAL MENU - Pr'!N347="", "", 'AYIRA MINI MART FINAL MENU - Pr'!N347)</f>
        <v/>
      </c>
      <c r="O347" s="57"/>
      <c r="P347" s="57"/>
      <c r="Q347" s="57"/>
      <c r="R347" s="57"/>
      <c r="S347" s="57"/>
      <c r="T347" s="57"/>
      <c r="U347" s="57"/>
      <c r="V347" s="57"/>
      <c r="W347" s="57"/>
      <c r="X347" s="57"/>
      <c r="Y347" s="57"/>
      <c r="Z347" s="57"/>
    </row>
    <row r="348">
      <c r="A348" s="56" t="str">
        <f>IFERROR(__xludf.DUMMYFUNCTION("IF('AYIRA MINI MART FINAL MENU - Pr'!A348="""", """", IF(LEN(TRIM(REGEXREPLACE(REGEXREPLACE('AYIRA MINI MART FINAL MENU - Pr'!A348, ""^[^\x{0600}-\x{06FF}]+"", """"), ""^[-–\s]+"", """")))&gt;0, TRIM(REGEXREPLACE(REGEXREPLACE('AYIRA MINI MART FINAL MENU - Pr"&amp;"'!A348, ""^[^\x{0600}-\x{06FF}]+"", """"), ""^[-–\s]+"", """")), GOOGLETRANSLATE('AYIRA MINI MART FINAL MENU - Pr'!A348, ""en"", ""ar"")))"),"آيس كريم 70 مل")</f>
        <v>آيس كريم 70 مل</v>
      </c>
      <c r="B348" s="56" t="str">
        <f>IFERROR(__xludf.DUMMYFUNCTION("IF('AYIRA MINI MART FINAL MENU - Pr'!B348="""", """", IF(LEN(TRIM(REGEXREPLACE(REGEXREPLACE('AYIRA MINI MART FINAL MENU - Pr'!B348, ""^[^\x{0600}-\x{06FF}]+"", """"), ""^[-–\s]+"", """")))&gt;0, TRIM(REGEXREPLACE(REGEXREPLACE('AYIRA MINI MART FINAL MENU - Pr"&amp;"'!B348, ""^[^\x{0600}-\x{06FF}]+"", """"), ""^[-–\s]+"", """")), GOOGLETRANSLATE('AYIRA MINI MART FINAL MENU - Pr'!B348, ""en"", ""ar"")))"),"الآيس كريم")</f>
        <v>الآيس كريم</v>
      </c>
      <c r="C348" s="58">
        <f>IF('AYIRA MINI MART FINAL MENU - Pr'!C348="", "", 'AYIRA MINI MART FINAL MENU - Pr'!C348)</f>
        <v>2</v>
      </c>
      <c r="D348" s="58" t="str">
        <f>IF('AYIRA MINI MART FINAL MENU - Pr'!D348="", "", 'AYIRA MINI MART FINAL MENU - Pr'!D348)</f>
        <v>اشرب Anquria Watermelon Ice Cream 70ml،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348" s="56" t="str">
        <f>IF('AYIRA MINI MART FINAL MENU - Pr'!E348="", "", 'AYIRA MINI MART FINAL MENU - Pr'!E348)</f>
        <v/>
      </c>
      <c r="F348" s="56" t="str">
        <f>IF('AYIRA MINI MART FINAL MENU - Pr'!F348="", "", 'AYIRA MINI MART FINAL MENU - Pr'!F348)</f>
        <v/>
      </c>
      <c r="G348" s="56" t="str">
        <f>IF('AYIRA MINI MART FINAL MENU - Pr'!G348="", "", 'AYIRA MINI MART FINAL MENU - Pr'!G348)</f>
        <v/>
      </c>
      <c r="H348" s="56" t="str">
        <f>IF('AYIRA MINI MART FINAL MENU - Pr'!H348="", "", 'AYIRA MINI MART FINAL MENU - Pr'!H348)</f>
        <v/>
      </c>
      <c r="I348" s="56" t="str">
        <f>IF('AYIRA MINI MART FINAL MENU - Pr'!I348="", "", 'AYIRA MINI MART FINAL MENU - Pr'!I348)</f>
        <v/>
      </c>
      <c r="J348" s="56" t="str">
        <f>IFERROR(__xludf.DUMMYFUNCTION("IF('AYIRA MINI MART FINAL MENU - Pr'!J348="""", """", GOOGLETRANSLATE('AYIRA MINI MART FINAL MENU - Pr'!J348, ""en"", ""ar""))"),"يعرض")</f>
        <v>يعرض</v>
      </c>
      <c r="K348" s="56" t="str">
        <f>IF('AYIRA MINI MART FINAL MENU - Pr'!K348="", "", 'AYIRA MINI MART FINAL MENU - Pr'!K348)</f>
        <v/>
      </c>
      <c r="L348" s="56" t="str">
        <f>IF('AYIRA MINI MART FINAL MENU - Pr'!L348="", "", 'AYIRA MINI MART FINAL MENU - Pr'!L348)</f>
        <v/>
      </c>
      <c r="M348" s="56" t="str">
        <f>IF('AYIRA MINI MART FINAL MENU - Pr'!M348="", "", 'AYIRA MINI MART FINAL MENU - Pr'!M348)</f>
        <v/>
      </c>
      <c r="N348" s="56" t="str">
        <f>IF('AYIRA MINI MART FINAL MENU - Pr'!N348="", "", 'AYIRA MINI MART FINAL MENU - Pr'!N348)</f>
        <v/>
      </c>
      <c r="O348" s="57"/>
      <c r="P348" s="57"/>
      <c r="Q348" s="57"/>
      <c r="R348" s="57"/>
      <c r="S348" s="57"/>
      <c r="T348" s="57"/>
      <c r="U348" s="57"/>
      <c r="V348" s="57"/>
      <c r="W348" s="57"/>
      <c r="X348" s="57"/>
      <c r="Y348" s="57"/>
      <c r="Z348" s="57"/>
    </row>
    <row r="349">
      <c r="A349" s="56" t="str">
        <f>IFERROR(__xludf.DUMMYFUNCTION("IF('AYIRA MINI MART FINAL MENU - Pr'!A349="""", """", IF(LEN(TRIM(REGEXREPLACE(REGEXREPLACE('AYIRA MINI MART FINAL MENU - Pr'!A349, ""^[^\x{0600}-\x{06FF}]+"", """"), ""^[-–\s]+"", """")))&gt;0, TRIM(REGEXREPLACE(REGEXREPLACE('AYIRA MINI MART FINAL MENU - Pr"&amp;"'!A349, ""^[^\x{0600}-\x{06FF}]+"", """"), ""^[-–\s]+"", """")), GOOGLETRANSLATE('AYIRA MINI MART FINAL MENU - Pr'!A349, ""en"", ""ar"")))"),"آيس كريم 170 مل")</f>
        <v>آيس كريم 170 مل</v>
      </c>
      <c r="B349" s="56" t="str">
        <f>IFERROR(__xludf.DUMMYFUNCTION("IF('AYIRA MINI MART FINAL MENU - Pr'!B349="""", """", IF(LEN(TRIM(REGEXREPLACE(REGEXREPLACE('AYIRA MINI MART FINAL MENU - Pr'!B349, ""^[^\x{0600}-\x{06FF}]+"", """"), ""^[-–\s]+"", """")))&gt;0, TRIM(REGEXREPLACE(REGEXREPLACE('AYIRA MINI MART FINAL MENU - Pr"&amp;"'!B349, ""^[^\x{0600}-\x{06FF}]+"", """"), ""^[-–\s]+"", """")), GOOGLETRANSLATE('AYIRA MINI MART FINAL MENU - Pr'!B349, ""en"", ""ar"")))"),"الآيس كريم")</f>
        <v>الآيس كريم</v>
      </c>
      <c r="C349" s="58">
        <f>IF('AYIRA MINI MART FINAL MENU - Pr'!C349="", "", 'AYIRA MINI MART FINAL MENU - Pr'!C349)</f>
        <v>3</v>
      </c>
      <c r="D349" s="58" t="str">
        <f>IF('AYIRA MINI MART FINAL MENU - Pr'!D349="", "", 'AYIRA MINI MART FINAL MENU - Pr'!D349)</f>
        <v>برّد أيامك الحارة مع Spiner Ice Cream 170ml،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49" s="56" t="str">
        <f>IF('AYIRA MINI MART FINAL MENU - Pr'!E349="", "", 'AYIRA MINI MART FINAL MENU - Pr'!E349)</f>
        <v/>
      </c>
      <c r="F349" s="56" t="str">
        <f>IF('AYIRA MINI MART FINAL MENU - Pr'!F349="", "", 'AYIRA MINI MART FINAL MENU - Pr'!F349)</f>
        <v/>
      </c>
      <c r="G349" s="56" t="str">
        <f>IF('AYIRA MINI MART FINAL MENU - Pr'!G349="", "", 'AYIRA MINI MART FINAL MENU - Pr'!G349)</f>
        <v/>
      </c>
      <c r="H349" s="56" t="str">
        <f>IF('AYIRA MINI MART FINAL MENU - Pr'!H349="", "", 'AYIRA MINI MART FINAL MENU - Pr'!H349)</f>
        <v/>
      </c>
      <c r="I349" s="56" t="str">
        <f>IF('AYIRA MINI MART FINAL MENU - Pr'!I349="", "", 'AYIRA MINI MART FINAL MENU - Pr'!I349)</f>
        <v/>
      </c>
      <c r="J349" s="56" t="str">
        <f>IFERROR(__xludf.DUMMYFUNCTION("IF('AYIRA MINI MART FINAL MENU - Pr'!J349="""", """", GOOGLETRANSLATE('AYIRA MINI MART FINAL MENU - Pr'!J349, ""en"", ""ar""))"),"يعرض")</f>
        <v>يعرض</v>
      </c>
      <c r="K349" s="56" t="str">
        <f>IF('AYIRA MINI MART FINAL MENU - Pr'!K349="", "", 'AYIRA MINI MART FINAL MENU - Pr'!K349)</f>
        <v/>
      </c>
      <c r="L349" s="56" t="str">
        <f>IF('AYIRA MINI MART FINAL MENU - Pr'!L349="", "", 'AYIRA MINI MART FINAL MENU - Pr'!L349)</f>
        <v/>
      </c>
      <c r="M349" s="56" t="str">
        <f>IF('AYIRA MINI MART FINAL MENU - Pr'!M349="", "", 'AYIRA MINI MART FINAL MENU - Pr'!M349)</f>
        <v/>
      </c>
      <c r="N349" s="56" t="str">
        <f>IF('AYIRA MINI MART FINAL MENU - Pr'!N349="", "", 'AYIRA MINI MART FINAL MENU - Pr'!N349)</f>
        <v/>
      </c>
      <c r="O349" s="57"/>
      <c r="P349" s="57"/>
      <c r="Q349" s="57"/>
      <c r="R349" s="57"/>
      <c r="S349" s="57"/>
      <c r="T349" s="57"/>
      <c r="U349" s="57"/>
      <c r="V349" s="57"/>
      <c r="W349" s="57"/>
      <c r="X349" s="57"/>
      <c r="Y349" s="57"/>
      <c r="Z349" s="57"/>
    </row>
    <row r="350">
      <c r="A350" s="56" t="str">
        <f>IFERROR(__xludf.DUMMYFUNCTION("IF('AYIRA MINI MART FINAL MENU - Pr'!A350="""", """", IF(LEN(TRIM(REGEXREPLACE(REGEXREPLACE('AYIRA MINI MART FINAL MENU - Pr'!A350, ""^[^\x{0600}-\x{06FF}]+"", """"), ""^[-–\s]+"", """")))&gt;0, TRIM(REGEXREPLACE(REGEXREPLACE('AYIRA MINI MART FINAL MENU - Pr"&amp;"'!A350, ""^[^\x{0600}-\x{06FF}]+"", """"), ""^[-–\s]+"", """")), GOOGLETRANSLATE('AYIRA MINI MART FINAL MENU - Pr'!A350, ""en"", ""ar"")))"),"فراولة آيس كريم 85 مل")</f>
        <v>فراولة آيس كريم 85 مل</v>
      </c>
      <c r="B350" s="56" t="str">
        <f>IFERROR(__xludf.DUMMYFUNCTION("IF('AYIRA MINI MART FINAL MENU - Pr'!B350="""", """", IF(LEN(TRIM(REGEXREPLACE(REGEXREPLACE('AYIRA MINI MART FINAL MENU - Pr'!B350, ""^[^\x{0600}-\x{06FF}]+"", """"), ""^[-–\s]+"", """")))&gt;0, TRIM(REGEXREPLACE(REGEXREPLACE('AYIRA MINI MART FINAL MENU - Pr"&amp;"'!B350, ""^[^\x{0600}-\x{06FF}]+"", """"), ""^[-–\s]+"", """")), GOOGLETRANSLATE('AYIRA MINI MART FINAL MENU - Pr'!B350, ""en"", ""ar"")))"),"الآيس كريم")</f>
        <v>الآيس كريم</v>
      </c>
      <c r="C350" s="58">
        <f>IF('AYIRA MINI MART FINAL MENU - Pr'!C350="", "", 'AYIRA MINI MART FINAL MENU - Pr'!C350)</f>
        <v>3.5</v>
      </c>
      <c r="D350" s="58" t="str">
        <f>IF('AYIRA MINI MART FINAL MENU - Pr'!D350="", "", 'AYIRA MINI MART FINAL MENU - Pr'!D350)</f>
        <v>برّد أيامك الحارة مع Donut Strawberry Ice Cream 85ml،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50" s="56" t="str">
        <f>IF('AYIRA MINI MART FINAL MENU - Pr'!E350="", "", 'AYIRA MINI MART FINAL MENU - Pr'!E350)</f>
        <v/>
      </c>
      <c r="F350" s="56" t="str">
        <f>IF('AYIRA MINI MART FINAL MENU - Pr'!F350="", "", 'AYIRA MINI MART FINAL MENU - Pr'!F350)</f>
        <v/>
      </c>
      <c r="G350" s="56" t="str">
        <f>IF('AYIRA MINI MART FINAL MENU - Pr'!G350="", "", 'AYIRA MINI MART FINAL MENU - Pr'!G350)</f>
        <v/>
      </c>
      <c r="H350" s="56" t="str">
        <f>IF('AYIRA MINI MART FINAL MENU - Pr'!H350="", "", 'AYIRA MINI MART FINAL MENU - Pr'!H350)</f>
        <v/>
      </c>
      <c r="I350" s="56" t="str">
        <f>IF('AYIRA MINI MART FINAL MENU - Pr'!I350="", "", 'AYIRA MINI MART FINAL MENU - Pr'!I350)</f>
        <v/>
      </c>
      <c r="J350" s="56" t="str">
        <f>IFERROR(__xludf.DUMMYFUNCTION("IF('AYIRA MINI MART FINAL MENU - Pr'!J350="""", """", GOOGLETRANSLATE('AYIRA MINI MART FINAL MENU - Pr'!J350, ""en"", ""ar""))"),"يعرض")</f>
        <v>يعرض</v>
      </c>
      <c r="K350" s="56" t="str">
        <f>IF('AYIRA MINI MART FINAL MENU - Pr'!K350="", "", 'AYIRA MINI MART FINAL MENU - Pr'!K350)</f>
        <v/>
      </c>
      <c r="L350" s="56" t="str">
        <f>IF('AYIRA MINI MART FINAL MENU - Pr'!L350="", "", 'AYIRA MINI MART FINAL MENU - Pr'!L350)</f>
        <v/>
      </c>
      <c r="M350" s="56" t="str">
        <f>IF('AYIRA MINI MART FINAL MENU - Pr'!M350="", "", 'AYIRA MINI MART FINAL MENU - Pr'!M350)</f>
        <v/>
      </c>
      <c r="N350" s="56" t="str">
        <f>IF('AYIRA MINI MART FINAL MENU - Pr'!N350="", "", 'AYIRA MINI MART FINAL MENU - Pr'!N350)</f>
        <v/>
      </c>
      <c r="O350" s="57"/>
      <c r="P350" s="57"/>
      <c r="Q350" s="57"/>
      <c r="R350" s="57"/>
      <c r="S350" s="57"/>
      <c r="T350" s="57"/>
      <c r="U350" s="57"/>
      <c r="V350" s="57"/>
      <c r="W350" s="57"/>
      <c r="X350" s="57"/>
      <c r="Y350" s="57"/>
      <c r="Z350" s="57"/>
    </row>
    <row r="351">
      <c r="A351" s="56" t="str">
        <f>IFERROR(__xludf.DUMMYFUNCTION("IF('AYIRA MINI MART FINAL MENU - Pr'!A351="""", """", IF(LEN(TRIM(REGEXREPLACE(REGEXREPLACE('AYIRA MINI MART FINAL MENU - Pr'!A351, ""^[^\x{0600}-\x{06FF}]+"", """"), ""^[-–\s]+"", """")))&gt;0, TRIM(REGEXREPLACE(REGEXREPLACE('AYIRA MINI MART FINAL MENU - Pr"&amp;"'!A351, ""^[^\x{0600}-\x{06FF}]+"", """"), ""^[-–\s]+"", """")), GOOGLETRANSLATE('AYIRA MINI MART FINAL MENU - Pr'!A351, ""en"", ""ar"")))"),"ليمون مياه Ice 70 مل")</f>
        <v>ليمون مياه Ice 70 مل</v>
      </c>
      <c r="B351" s="56" t="str">
        <f>IFERROR(__xludf.DUMMYFUNCTION("IF('AYIRA MINI MART FINAL MENU - Pr'!B351="""", """", IF(LEN(TRIM(REGEXREPLACE(REGEXREPLACE('AYIRA MINI MART FINAL MENU - Pr'!B351, ""^[^\x{0600}-\x{06FF}]+"", """"), ""^[-–\s]+"", """")))&gt;0, TRIM(REGEXREPLACE(REGEXREPLACE('AYIRA MINI MART FINAL MENU - Pr"&amp;"'!B351, ""^[^\x{0600}-\x{06FF}]+"", """"), ""^[-–\s]+"", """")), GOOGLETRANSLATE('AYIRA MINI MART FINAL MENU - Pr'!B351, ""en"", ""ar"")))"),"الآيس كريم")</f>
        <v>الآيس كريم</v>
      </c>
      <c r="C351" s="58">
        <f>IF('AYIRA MINI MART FINAL MENU - Pr'!C351="", "", 'AYIRA MINI MART FINAL MENU - Pr'!C351)</f>
        <v>2</v>
      </c>
      <c r="D351" s="58" t="str">
        <f>IF('AYIRA MINI MART FINAL MENU - Pr'!D351="", "", 'AYIRA MINI MART FINAL MENU - Pr'!D351)</f>
        <v>اشرب Feloudeh Lemon Water Ice 70ml،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351" s="56" t="str">
        <f>IF('AYIRA MINI MART FINAL MENU - Pr'!E351="", "", 'AYIRA MINI MART FINAL MENU - Pr'!E351)</f>
        <v/>
      </c>
      <c r="F351" s="56" t="str">
        <f>IF('AYIRA MINI MART FINAL MENU - Pr'!F351="", "", 'AYIRA MINI MART FINAL MENU - Pr'!F351)</f>
        <v/>
      </c>
      <c r="G351" s="56" t="str">
        <f>IF('AYIRA MINI MART FINAL MENU - Pr'!G351="", "", 'AYIRA MINI MART FINAL MENU - Pr'!G351)</f>
        <v/>
      </c>
      <c r="H351" s="56" t="str">
        <f>IF('AYIRA MINI MART FINAL MENU - Pr'!H351="", "", 'AYIRA MINI MART FINAL MENU - Pr'!H351)</f>
        <v/>
      </c>
      <c r="I351" s="56" t="str">
        <f>IF('AYIRA MINI MART FINAL MENU - Pr'!I351="", "", 'AYIRA MINI MART FINAL MENU - Pr'!I351)</f>
        <v/>
      </c>
      <c r="J351" s="56" t="str">
        <f>IFERROR(__xludf.DUMMYFUNCTION("IF('AYIRA MINI MART FINAL MENU - Pr'!J351="""", """", GOOGLETRANSLATE('AYIRA MINI MART FINAL MENU - Pr'!J351, ""en"", ""ar""))"),"يعرض")</f>
        <v>يعرض</v>
      </c>
      <c r="K351" s="56" t="str">
        <f>IF('AYIRA MINI MART FINAL MENU - Pr'!K351="", "", 'AYIRA MINI MART FINAL MENU - Pr'!K351)</f>
        <v/>
      </c>
      <c r="L351" s="56" t="str">
        <f>IF('AYIRA MINI MART FINAL MENU - Pr'!L351="", "", 'AYIRA MINI MART FINAL MENU - Pr'!L351)</f>
        <v/>
      </c>
      <c r="M351" s="56" t="str">
        <f>IF('AYIRA MINI MART FINAL MENU - Pr'!M351="", "", 'AYIRA MINI MART FINAL MENU - Pr'!M351)</f>
        <v/>
      </c>
      <c r="N351" s="56" t="str">
        <f>IF('AYIRA MINI MART FINAL MENU - Pr'!N351="", "", 'AYIRA MINI MART FINAL MENU - Pr'!N351)</f>
        <v/>
      </c>
      <c r="O351" s="57"/>
      <c r="P351" s="57"/>
      <c r="Q351" s="57"/>
      <c r="R351" s="57"/>
      <c r="S351" s="57"/>
      <c r="T351" s="57"/>
      <c r="U351" s="57"/>
      <c r="V351" s="57"/>
      <c r="W351" s="57"/>
      <c r="X351" s="57"/>
      <c r="Y351" s="57"/>
      <c r="Z351" s="57"/>
    </row>
    <row r="352">
      <c r="A352" s="56" t="str">
        <f>IFERROR(__xludf.DUMMYFUNCTION("IF('AYIRA MINI MART FINAL MENU - Pr'!A352="""", """", IF(LEN(TRIM(REGEXREPLACE(REGEXREPLACE('AYIRA MINI MART FINAL MENU - Pr'!A352, ""^[^\x{0600}-\x{06FF}]+"", """"), ""^[-–\s]+"", """")))&gt;0, TRIM(REGEXREPLACE(REGEXREPLACE('AYIRA MINI MART FINAL MENU - Pr"&amp;"'!A352, ""^[^\x{0600}-\x{06FF}]+"", """"), ""^[-–\s]+"", """")), GOOGLETRANSLATE('AYIRA MINI MART FINAL MENU - Pr'!A352, ""en"", ""ar"")))"),"فانيليا &amp; فراولة ساندويتش آيس كريم 160 مل")</f>
        <v>فانيليا &amp; فراولة ساندويتش آيس كريم 160 مل</v>
      </c>
      <c r="B352" s="56" t="str">
        <f>IFERROR(__xludf.DUMMYFUNCTION("IF('AYIRA MINI MART FINAL MENU - Pr'!B352="""", """", IF(LEN(TRIM(REGEXREPLACE(REGEXREPLACE('AYIRA MINI MART FINAL MENU - Pr'!B352, ""^[^\x{0600}-\x{06FF}]+"", """"), ""^[-–\s]+"", """")))&gt;0, TRIM(REGEXREPLACE(REGEXREPLACE('AYIRA MINI MART FINAL MENU - Pr"&amp;"'!B352, ""^[^\x{0600}-\x{06FF}]+"", """"), ""^[-–\s]+"", """")), GOOGLETRANSLATE('AYIRA MINI MART FINAL MENU - Pr'!B352, ""en"", ""ar"")))"),"الآيس كريم")</f>
        <v>الآيس كريم</v>
      </c>
      <c r="C352" s="58">
        <f>IF('AYIRA MINI MART FINAL MENU - Pr'!C352="", "", 'AYIRA MINI MART FINAL MENU - Pr'!C352)</f>
        <v>4</v>
      </c>
      <c r="D352" s="58" t="str">
        <f>IF('AYIRA MINI MART FINAL MENU - Pr'!D352="", "", 'AYIRA MINI MART FINAL MENU - Pr'!D352)</f>
        <v>برّد أيامك الحارة مع Vanilla &amp; Strawberry Sandwich Ice Cream 160ml،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52" s="56" t="str">
        <f>IF('AYIRA MINI MART FINAL MENU - Pr'!E352="", "", 'AYIRA MINI MART FINAL MENU - Pr'!E352)</f>
        <v/>
      </c>
      <c r="F352" s="56" t="str">
        <f>IF('AYIRA MINI MART FINAL MENU - Pr'!F352="", "", 'AYIRA MINI MART FINAL MENU - Pr'!F352)</f>
        <v/>
      </c>
      <c r="G352" s="56" t="str">
        <f>IF('AYIRA MINI MART FINAL MENU - Pr'!G352="", "", 'AYIRA MINI MART FINAL MENU - Pr'!G352)</f>
        <v/>
      </c>
      <c r="H352" s="56" t="str">
        <f>IF('AYIRA MINI MART FINAL MENU - Pr'!H352="", "", 'AYIRA MINI MART FINAL MENU - Pr'!H352)</f>
        <v/>
      </c>
      <c r="I352" s="56" t="str">
        <f>IF('AYIRA MINI MART FINAL MENU - Pr'!I352="", "", 'AYIRA MINI MART FINAL MENU - Pr'!I352)</f>
        <v/>
      </c>
      <c r="J352" s="56" t="str">
        <f>IFERROR(__xludf.DUMMYFUNCTION("IF('AYIRA MINI MART FINAL MENU - Pr'!J352="""", """", GOOGLETRANSLATE('AYIRA MINI MART FINAL MENU - Pr'!J352, ""en"", ""ar""))"),"يعرض")</f>
        <v>يعرض</v>
      </c>
      <c r="K352" s="56" t="str">
        <f>IF('AYIRA MINI MART FINAL MENU - Pr'!K352="", "", 'AYIRA MINI MART FINAL MENU - Pr'!K352)</f>
        <v/>
      </c>
      <c r="L352" s="56" t="str">
        <f>IF('AYIRA MINI MART FINAL MENU - Pr'!L352="", "", 'AYIRA MINI MART FINAL MENU - Pr'!L352)</f>
        <v/>
      </c>
      <c r="M352" s="56" t="str">
        <f>IF('AYIRA MINI MART FINAL MENU - Pr'!M352="", "", 'AYIRA MINI MART FINAL MENU - Pr'!M352)</f>
        <v/>
      </c>
      <c r="N352" s="56" t="str">
        <f>IF('AYIRA MINI MART FINAL MENU - Pr'!N352="", "", 'AYIRA MINI MART FINAL MENU - Pr'!N352)</f>
        <v/>
      </c>
      <c r="O352" s="57"/>
      <c r="P352" s="57"/>
      <c r="Q352" s="57"/>
      <c r="R352" s="57"/>
      <c r="S352" s="57"/>
      <c r="T352" s="57"/>
      <c r="U352" s="57"/>
      <c r="V352" s="57"/>
      <c r="W352" s="57"/>
      <c r="X352" s="57"/>
      <c r="Y352" s="57"/>
      <c r="Z352" s="57"/>
    </row>
    <row r="353">
      <c r="A353" s="56" t="str">
        <f>IFERROR(__xludf.DUMMYFUNCTION("IF('AYIRA MINI MART FINAL MENU - Pr'!A353="""", """", IF(LEN(TRIM(REGEXREPLACE(REGEXREPLACE('AYIRA MINI MART FINAL MENU - Pr'!A353, ""^[^\x{0600}-\x{06FF}]+"", """"), ""^[-–\s]+"", """")))&gt;0, TRIM(REGEXREPLACE(REGEXREPLACE('AYIRA MINI MART FINAL MENU - Pr"&amp;"'!A353, ""^[^\x{0600}-\x{06FF}]+"", """"), ""^[-–\s]+"", """")), GOOGLETRANSLATE('AYIRA MINI MART FINAL MENU - Pr'!A353, ""en"", ""ar"")))"),"آيس كريم 80 مل")</f>
        <v>آيس كريم 80 مل</v>
      </c>
      <c r="B353" s="56" t="str">
        <f>IFERROR(__xludf.DUMMYFUNCTION("IF('AYIRA MINI MART FINAL MENU - Pr'!B353="""", """", IF(LEN(TRIM(REGEXREPLACE(REGEXREPLACE('AYIRA MINI MART FINAL MENU - Pr'!B353, ""^[^\x{0600}-\x{06FF}]+"", """"), ""^[-–\s]+"", """")))&gt;0, TRIM(REGEXREPLACE(REGEXREPLACE('AYIRA MINI MART FINAL MENU - Pr"&amp;"'!B353, ""^[^\x{0600}-\x{06FF}]+"", """"), ""^[-–\s]+"", """")), GOOGLETRANSLATE('AYIRA MINI MART FINAL MENU - Pr'!B353, ""en"", ""ar"")))"),"الآيس كريم")</f>
        <v>الآيس كريم</v>
      </c>
      <c r="C353" s="58">
        <f>IF('AYIRA MINI MART FINAL MENU - Pr'!C353="", "", 'AYIRA MINI MART FINAL MENU - Pr'!C353)</f>
        <v>3.5</v>
      </c>
      <c r="D353" s="58" t="str">
        <f>IF('AYIRA MINI MART FINAL MENU - Pr'!D353="", "", 'AYIRA MINI MART FINAL MENU - Pr'!D353)</f>
        <v>برّد أيامك الحارة مع ICE QUEEN Bom Bom Ice Cream 80ml،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53" s="56" t="str">
        <f>IF('AYIRA MINI MART FINAL MENU - Pr'!E353="", "", 'AYIRA MINI MART FINAL MENU - Pr'!E353)</f>
        <v/>
      </c>
      <c r="F353" s="56" t="str">
        <f>IF('AYIRA MINI MART FINAL MENU - Pr'!F353="", "", 'AYIRA MINI MART FINAL MENU - Pr'!F353)</f>
        <v/>
      </c>
      <c r="G353" s="56" t="str">
        <f>IF('AYIRA MINI MART FINAL MENU - Pr'!G353="", "", 'AYIRA MINI MART FINAL MENU - Pr'!G353)</f>
        <v/>
      </c>
      <c r="H353" s="56" t="str">
        <f>IF('AYIRA MINI MART FINAL MENU - Pr'!H353="", "", 'AYIRA MINI MART FINAL MENU - Pr'!H353)</f>
        <v/>
      </c>
      <c r="I353" s="56" t="str">
        <f>IF('AYIRA MINI MART FINAL MENU - Pr'!I353="", "", 'AYIRA MINI MART FINAL MENU - Pr'!I353)</f>
        <v/>
      </c>
      <c r="J353" s="56" t="str">
        <f>IFERROR(__xludf.DUMMYFUNCTION("IF('AYIRA MINI MART FINAL MENU - Pr'!J353="""", """", GOOGLETRANSLATE('AYIRA MINI MART FINAL MENU - Pr'!J353, ""en"", ""ar""))"),"يعرض")</f>
        <v>يعرض</v>
      </c>
      <c r="K353" s="56" t="str">
        <f>IF('AYIRA MINI MART FINAL MENU - Pr'!K353="", "", 'AYIRA MINI MART FINAL MENU - Pr'!K353)</f>
        <v/>
      </c>
      <c r="L353" s="56" t="str">
        <f>IF('AYIRA MINI MART FINAL MENU - Pr'!L353="", "", 'AYIRA MINI MART FINAL MENU - Pr'!L353)</f>
        <v/>
      </c>
      <c r="M353" s="56" t="str">
        <f>IF('AYIRA MINI MART FINAL MENU - Pr'!M353="", "", 'AYIRA MINI MART FINAL MENU - Pr'!M353)</f>
        <v/>
      </c>
      <c r="N353" s="56" t="str">
        <f>IF('AYIRA MINI MART FINAL MENU - Pr'!N353="", "", 'AYIRA MINI MART FINAL MENU - Pr'!N353)</f>
        <v/>
      </c>
      <c r="O353" s="57"/>
      <c r="P353" s="57"/>
      <c r="Q353" s="57"/>
      <c r="R353" s="57"/>
      <c r="S353" s="57"/>
      <c r="T353" s="57"/>
      <c r="U353" s="57"/>
      <c r="V353" s="57"/>
      <c r="W353" s="57"/>
      <c r="X353" s="57"/>
      <c r="Y353" s="57"/>
      <c r="Z353" s="57"/>
    </row>
    <row r="354">
      <c r="A354" s="56" t="str">
        <f>IFERROR(__xludf.DUMMYFUNCTION("IF('AYIRA MINI MART FINAL MENU - Pr'!A354="""", """", IF(LEN(TRIM(REGEXREPLACE(REGEXREPLACE('AYIRA MINI MART FINAL MENU - Pr'!A354, ""^[^\x{0600}-\x{06FF}]+"", """"), ""^[-–\s]+"", """")))&gt;0, TRIM(REGEXREPLACE(REGEXREPLACE('AYIRA MINI MART FINAL MENU - Pr"&amp;"'!A354, ""^[^\x{0600}-\x{06FF}]+"", """"), ""^[-–\s]+"", """")), GOOGLETRANSLATE('AYIRA MINI MART FINAL MENU - Pr'!A354, ""en"", ""ar"")))"),"آيس كريم 80 مل")</f>
        <v>آيس كريم 80 مل</v>
      </c>
      <c r="B354" s="56" t="str">
        <f>IFERROR(__xludf.DUMMYFUNCTION("IF('AYIRA MINI MART FINAL MENU - Pr'!B354="""", """", IF(LEN(TRIM(REGEXREPLACE(REGEXREPLACE('AYIRA MINI MART FINAL MENU - Pr'!B354, ""^[^\x{0600}-\x{06FF}]+"", """"), ""^[-–\s]+"", """")))&gt;0, TRIM(REGEXREPLACE(REGEXREPLACE('AYIRA MINI MART FINAL MENU - Pr"&amp;"'!B354, ""^[^\x{0600}-\x{06FF}]+"", """"), ""^[-–\s]+"", """")), GOOGLETRANSLATE('AYIRA MINI MART FINAL MENU - Pr'!B354, ""en"", ""ar"")))"),"الآيس كريم")</f>
        <v>الآيس كريم</v>
      </c>
      <c r="C354" s="58">
        <f>IF('AYIRA MINI MART FINAL MENU - Pr'!C354="", "", 'AYIRA MINI MART FINAL MENU - Pr'!C354)</f>
        <v>2</v>
      </c>
      <c r="D354" s="58" t="str">
        <f>IF('AYIRA MINI MART FINAL MENU - Pr'!D354="", "", 'AYIRA MINI MART FINAL MENU - Pr'!D354)</f>
        <v>برّد أيامك الحارة مع Ice Queen Bubble Gum Ice Cream 80ml،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54" s="56" t="str">
        <f>IF('AYIRA MINI MART FINAL MENU - Pr'!E354="", "", 'AYIRA MINI MART FINAL MENU - Pr'!E354)</f>
        <v/>
      </c>
      <c r="F354" s="56" t="str">
        <f>IF('AYIRA MINI MART FINAL MENU - Pr'!F354="", "", 'AYIRA MINI MART FINAL MENU - Pr'!F354)</f>
        <v/>
      </c>
      <c r="G354" s="56" t="str">
        <f>IF('AYIRA MINI MART FINAL MENU - Pr'!G354="", "", 'AYIRA MINI MART FINAL MENU - Pr'!G354)</f>
        <v/>
      </c>
      <c r="H354" s="56" t="str">
        <f>IF('AYIRA MINI MART FINAL MENU - Pr'!H354="", "", 'AYIRA MINI MART FINAL MENU - Pr'!H354)</f>
        <v/>
      </c>
      <c r="I354" s="56" t="str">
        <f>IF('AYIRA MINI MART FINAL MENU - Pr'!I354="", "", 'AYIRA MINI MART FINAL MENU - Pr'!I354)</f>
        <v/>
      </c>
      <c r="J354" s="56" t="str">
        <f>IFERROR(__xludf.DUMMYFUNCTION("IF('AYIRA MINI MART FINAL MENU - Pr'!J354="""", """", GOOGLETRANSLATE('AYIRA MINI MART FINAL MENU - Pr'!J354, ""en"", ""ar""))"),"يعرض")</f>
        <v>يعرض</v>
      </c>
      <c r="K354" s="56" t="str">
        <f>IF('AYIRA MINI MART FINAL MENU - Pr'!K354="", "", 'AYIRA MINI MART FINAL MENU - Pr'!K354)</f>
        <v/>
      </c>
      <c r="L354" s="56" t="str">
        <f>IF('AYIRA MINI MART FINAL MENU - Pr'!L354="", "", 'AYIRA MINI MART FINAL MENU - Pr'!L354)</f>
        <v/>
      </c>
      <c r="M354" s="56" t="str">
        <f>IF('AYIRA MINI MART FINAL MENU - Pr'!M354="", "", 'AYIRA MINI MART FINAL MENU - Pr'!M354)</f>
        <v/>
      </c>
      <c r="N354" s="56" t="str">
        <f>IF('AYIRA MINI MART FINAL MENU - Pr'!N354="", "", 'AYIRA MINI MART FINAL MENU - Pr'!N354)</f>
        <v/>
      </c>
      <c r="O354" s="57"/>
      <c r="P354" s="57"/>
      <c r="Q354" s="57"/>
      <c r="R354" s="57"/>
      <c r="S354" s="57"/>
      <c r="T354" s="57"/>
      <c r="U354" s="57"/>
      <c r="V354" s="57"/>
      <c r="W354" s="57"/>
      <c r="X354" s="57"/>
      <c r="Y354" s="57"/>
      <c r="Z354" s="57"/>
    </row>
    <row r="355">
      <c r="A355" s="56" t="str">
        <f>IFERROR(__xludf.DUMMYFUNCTION("IF('AYIRA MINI MART FINAL MENU - Pr'!A355="""", """", IF(LEN(TRIM(REGEXREPLACE(REGEXREPLACE('AYIRA MINI MART FINAL MENU - Pr'!A355, ""^[^\x{0600}-\x{06FF}]+"", """"), ""^[-–\s]+"", """")))&gt;0, TRIM(REGEXREPLACE(REGEXREPLACE('AYIRA MINI MART FINAL MENU - Pr"&amp;"'!A355, ""^[^\x{0600}-\x{06FF}]+"", """"), ""^[-–\s]+"", """")), GOOGLETRANSLATE('AYIRA MINI MART FINAL MENU - Pr'!A355, ""en"", ""ar"")))"),"آيس كريم 70 مل")</f>
        <v>آيس كريم 70 مل</v>
      </c>
      <c r="B355" s="56" t="str">
        <f>IFERROR(__xludf.DUMMYFUNCTION("IF('AYIRA MINI MART FINAL MENU - Pr'!B355="""", """", IF(LEN(TRIM(REGEXREPLACE(REGEXREPLACE('AYIRA MINI MART FINAL MENU - Pr'!B355, ""^[^\x{0600}-\x{06FF}]+"", """"), ""^[-–\s]+"", """")))&gt;0, TRIM(REGEXREPLACE(REGEXREPLACE('AYIRA MINI MART FINAL MENU - Pr"&amp;"'!B355, ""^[^\x{0600}-\x{06FF}]+"", """"), ""^[-–\s]+"", """")), GOOGLETRANSLATE('AYIRA MINI MART FINAL MENU - Pr'!B355, ""en"", ""ar"")))"),"الآيس كريم")</f>
        <v>الآيس كريم</v>
      </c>
      <c r="C355" s="58">
        <f>IF('AYIRA MINI MART FINAL MENU - Pr'!C355="", "", 'AYIRA MINI MART FINAL MENU - Pr'!C355)</f>
        <v>2</v>
      </c>
      <c r="D355" s="58" t="str">
        <f>IF('AYIRA MINI MART FINAL MENU - Pr'!D355="", "", 'AYIRA MINI MART FINAL MENU - Pr'!D355)</f>
        <v>برّد أيامك الحارة مع Ice Queen Koro Ice Cream 70ml،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55" s="56" t="str">
        <f>IF('AYIRA MINI MART FINAL MENU - Pr'!E355="", "", 'AYIRA MINI MART FINAL MENU - Pr'!E355)</f>
        <v/>
      </c>
      <c r="F355" s="56" t="str">
        <f>IF('AYIRA MINI MART FINAL MENU - Pr'!F355="", "", 'AYIRA MINI MART FINAL MENU - Pr'!F355)</f>
        <v/>
      </c>
      <c r="G355" s="56" t="str">
        <f>IF('AYIRA MINI MART FINAL MENU - Pr'!G355="", "", 'AYIRA MINI MART FINAL MENU - Pr'!G355)</f>
        <v/>
      </c>
      <c r="H355" s="56" t="str">
        <f>IF('AYIRA MINI MART FINAL MENU - Pr'!H355="", "", 'AYIRA MINI MART FINAL MENU - Pr'!H355)</f>
        <v/>
      </c>
      <c r="I355" s="56" t="str">
        <f>IF('AYIRA MINI MART FINAL MENU - Pr'!I355="", "", 'AYIRA MINI MART FINAL MENU - Pr'!I355)</f>
        <v/>
      </c>
      <c r="J355" s="56" t="str">
        <f>IFERROR(__xludf.DUMMYFUNCTION("IF('AYIRA MINI MART FINAL MENU - Pr'!J355="""", """", GOOGLETRANSLATE('AYIRA MINI MART FINAL MENU - Pr'!J355, ""en"", ""ar""))"),"يعرض")</f>
        <v>يعرض</v>
      </c>
      <c r="K355" s="56" t="str">
        <f>IF('AYIRA MINI MART FINAL MENU - Pr'!K355="", "", 'AYIRA MINI MART FINAL MENU - Pr'!K355)</f>
        <v/>
      </c>
      <c r="L355" s="56" t="str">
        <f>IF('AYIRA MINI MART FINAL MENU - Pr'!L355="", "", 'AYIRA MINI MART FINAL MENU - Pr'!L355)</f>
        <v/>
      </c>
      <c r="M355" s="56" t="str">
        <f>IF('AYIRA MINI MART FINAL MENU - Pr'!M355="", "", 'AYIRA MINI MART FINAL MENU - Pr'!M355)</f>
        <v/>
      </c>
      <c r="N355" s="56" t="str">
        <f>IF('AYIRA MINI MART FINAL MENU - Pr'!N355="", "", 'AYIRA MINI MART FINAL MENU - Pr'!N355)</f>
        <v/>
      </c>
      <c r="O355" s="57"/>
      <c r="P355" s="57"/>
      <c r="Q355" s="57"/>
      <c r="R355" s="57"/>
      <c r="S355" s="57"/>
      <c r="T355" s="57"/>
      <c r="U355" s="57"/>
      <c r="V355" s="57"/>
      <c r="W355" s="57"/>
      <c r="X355" s="57"/>
      <c r="Y355" s="57"/>
      <c r="Z355" s="57"/>
    </row>
    <row r="356">
      <c r="A356" s="56" t="str">
        <f>IFERROR(__xludf.DUMMYFUNCTION("IF('AYIRA MINI MART FINAL MENU - Pr'!A356="""", """", IF(LEN(TRIM(REGEXREPLACE(REGEXREPLACE('AYIRA MINI MART FINAL MENU - Pr'!A356, ""^[^\x{0600}-\x{06FF}]+"", """"), ""^[-–\s]+"", """")))&gt;0, TRIM(REGEXREPLACE(REGEXREPLACE('AYIRA MINI MART FINAL MENU - Pr"&amp;"'!A356, ""^[^\x{0600}-\x{06FF}]+"", """"), ""^[-–\s]+"", """")), GOOGLETRANSLATE('AYIRA MINI MART FINAL MENU - Pr'!A356, ""en"", ""ar"")))"),"حليب آيس كريم 80 مل")</f>
        <v>حليب آيس كريم 80 مل</v>
      </c>
      <c r="B356" s="56" t="str">
        <f>IFERROR(__xludf.DUMMYFUNCTION("IF('AYIRA MINI MART FINAL MENU - Pr'!B356="""", """", IF(LEN(TRIM(REGEXREPLACE(REGEXREPLACE('AYIRA MINI MART FINAL MENU - Pr'!B356, ""^[^\x{0600}-\x{06FF}]+"", """"), ""^[-–\s]+"", """")))&gt;0, TRIM(REGEXREPLACE(REGEXREPLACE('AYIRA MINI MART FINAL MENU - Pr"&amp;"'!B356, ""^[^\x{0600}-\x{06FF}]+"", """"), ""^[-–\s]+"", """")), GOOGLETRANSLATE('AYIRA MINI MART FINAL MENU - Pr'!B356, ""en"", ""ar"")))"),"الآيس كريم")</f>
        <v>الآيس كريم</v>
      </c>
      <c r="C356" s="58">
        <f>IF('AYIRA MINI MART FINAL MENU - Pr'!C356="", "", 'AYIRA MINI MART FINAL MENU - Pr'!C356)</f>
        <v>5</v>
      </c>
      <c r="D356" s="58" t="str">
        <f>IF('AYIRA MINI MART FINAL MENU - Pr'!D356="", "", 'AYIRA MINI MART FINAL MENU - Pr'!D356)</f>
        <v>برّد أيامك الحارة مع Daity Amiral with Milk Ice Cream 80ml،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56" s="56" t="str">
        <f>IF('AYIRA MINI MART FINAL MENU - Pr'!E356="", "", 'AYIRA MINI MART FINAL MENU - Pr'!E356)</f>
        <v/>
      </c>
      <c r="F356" s="56" t="str">
        <f>IF('AYIRA MINI MART FINAL MENU - Pr'!F356="", "", 'AYIRA MINI MART FINAL MENU - Pr'!F356)</f>
        <v/>
      </c>
      <c r="G356" s="56" t="str">
        <f>IF('AYIRA MINI MART FINAL MENU - Pr'!G356="", "", 'AYIRA MINI MART FINAL MENU - Pr'!G356)</f>
        <v/>
      </c>
      <c r="H356" s="56" t="str">
        <f>IF('AYIRA MINI MART FINAL MENU - Pr'!H356="", "", 'AYIRA MINI MART FINAL MENU - Pr'!H356)</f>
        <v/>
      </c>
      <c r="I356" s="56" t="str">
        <f>IF('AYIRA MINI MART FINAL MENU - Pr'!I356="", "", 'AYIRA MINI MART FINAL MENU - Pr'!I356)</f>
        <v/>
      </c>
      <c r="J356" s="56" t="str">
        <f>IFERROR(__xludf.DUMMYFUNCTION("IF('AYIRA MINI MART FINAL MENU - Pr'!J356="""", """", GOOGLETRANSLATE('AYIRA MINI MART FINAL MENU - Pr'!J356, ""en"", ""ar""))"),"يعرض")</f>
        <v>يعرض</v>
      </c>
      <c r="K356" s="56" t="str">
        <f>IF('AYIRA MINI MART FINAL MENU - Pr'!K356="", "", 'AYIRA MINI MART FINAL MENU - Pr'!K356)</f>
        <v/>
      </c>
      <c r="L356" s="56" t="str">
        <f>IF('AYIRA MINI MART FINAL MENU - Pr'!L356="", "", 'AYIRA MINI MART FINAL MENU - Pr'!L356)</f>
        <v/>
      </c>
      <c r="M356" s="56" t="str">
        <f>IF('AYIRA MINI MART FINAL MENU - Pr'!M356="", "", 'AYIRA MINI MART FINAL MENU - Pr'!M356)</f>
        <v/>
      </c>
      <c r="N356" s="56" t="str">
        <f>IF('AYIRA MINI MART FINAL MENU - Pr'!N356="", "", 'AYIRA MINI MART FINAL MENU - Pr'!N356)</f>
        <v/>
      </c>
      <c r="O356" s="57"/>
      <c r="P356" s="57"/>
      <c r="Q356" s="57"/>
      <c r="R356" s="57"/>
      <c r="S356" s="57"/>
      <c r="T356" s="57"/>
      <c r="U356" s="57"/>
      <c r="V356" s="57"/>
      <c r="W356" s="57"/>
      <c r="X356" s="57"/>
      <c r="Y356" s="57"/>
      <c r="Z356" s="57"/>
    </row>
    <row r="357">
      <c r="A357" s="56" t="str">
        <f>IFERROR(__xludf.DUMMYFUNCTION("IF('AYIRA MINI MART FINAL MENU - Pr'!A357="""", """", IF(LEN(TRIM(REGEXREPLACE(REGEXREPLACE('AYIRA MINI MART FINAL MENU - Pr'!A357, ""^[^\x{0600}-\x{06FF}]+"", """"), ""^[-–\s]+"", """")))&gt;0, TRIM(REGEXREPLACE(REGEXREPLACE('AYIRA MINI MART FINAL MENU - Pr"&amp;"'!A357, ""^[^\x{0600}-\x{06FF}]+"", """"), ""^[-–\s]+"", """")), GOOGLETRANSLATE('AYIRA MINI MART FINAL MENU - Pr'!A357, ""en"", ""ar"")))"),"كي دي دي فانيليا آيس كريم 100 غرام")</f>
        <v>كي دي دي فانيليا آيس كريم 100 غرام</v>
      </c>
      <c r="B357" s="56" t="str">
        <f>IFERROR(__xludf.DUMMYFUNCTION("IF('AYIRA MINI MART FINAL MENU - Pr'!B357="""", """", IF(LEN(TRIM(REGEXREPLACE(REGEXREPLACE('AYIRA MINI MART FINAL MENU - Pr'!B357, ""^[^\x{0600}-\x{06FF}]+"", """"), ""^[-–\s]+"", """")))&gt;0, TRIM(REGEXREPLACE(REGEXREPLACE('AYIRA MINI MART FINAL MENU - Pr"&amp;"'!B357, ""^[^\x{0600}-\x{06FF}]+"", """"), ""^[-–\s]+"", """")), GOOGLETRANSLATE('AYIRA MINI MART FINAL MENU - Pr'!B357, ""en"", ""ar"")))"),"الآيس كريم")</f>
        <v>الآيس كريم</v>
      </c>
      <c r="C357" s="58">
        <f>IF('AYIRA MINI MART FINAL MENU - Pr'!C357="", "", 'AYIRA MINI MART FINAL MENU - Pr'!C357)</f>
        <v>1.5</v>
      </c>
      <c r="D357" s="58" t="str">
        <f>IF('AYIRA MINI MART FINAL MENU - Pr'!D357="", "", 'AYIRA MINI MART FINAL MENU - Pr'!D357)</f>
        <v>برّد أيامك الحارة مع كي دي دي،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57" s="56" t="str">
        <f>IF('AYIRA MINI MART FINAL MENU - Pr'!E357="", "", 'AYIRA MINI MART FINAL MENU - Pr'!E357)</f>
        <v/>
      </c>
      <c r="F357" s="56" t="str">
        <f>IF('AYIRA MINI MART FINAL MENU - Pr'!F357="", "", 'AYIRA MINI MART FINAL MENU - Pr'!F357)</f>
        <v/>
      </c>
      <c r="G357" s="56" t="str">
        <f>IF('AYIRA MINI MART FINAL MENU - Pr'!G357="", "", 'AYIRA MINI MART FINAL MENU - Pr'!G357)</f>
        <v/>
      </c>
      <c r="H357" s="56" t="str">
        <f>IF('AYIRA MINI MART FINAL MENU - Pr'!H357="", "", 'AYIRA MINI MART FINAL MENU - Pr'!H357)</f>
        <v/>
      </c>
      <c r="I357" s="56" t="str">
        <f>IF('AYIRA MINI MART FINAL MENU - Pr'!I357="", "", 'AYIRA MINI MART FINAL MENU - Pr'!I357)</f>
        <v/>
      </c>
      <c r="J357" s="56" t="str">
        <f>IFERROR(__xludf.DUMMYFUNCTION("IF('AYIRA MINI MART FINAL MENU - Pr'!J357="""", """", GOOGLETRANSLATE('AYIRA MINI MART FINAL MENU - Pr'!J357, ""en"", ""ar""))"),"يعرض")</f>
        <v>يعرض</v>
      </c>
      <c r="K357" s="56" t="str">
        <f>IF('AYIRA MINI MART FINAL MENU - Pr'!K357="", "", 'AYIRA MINI MART FINAL MENU - Pr'!K357)</f>
        <v/>
      </c>
      <c r="L357" s="56" t="str">
        <f>IF('AYIRA MINI MART FINAL MENU - Pr'!L357="", "", 'AYIRA MINI MART FINAL MENU - Pr'!L357)</f>
        <v/>
      </c>
      <c r="M357" s="56" t="str">
        <f>IF('AYIRA MINI MART FINAL MENU - Pr'!M357="", "", 'AYIRA MINI MART FINAL MENU - Pr'!M357)</f>
        <v/>
      </c>
      <c r="N357" s="56" t="str">
        <f>IF('AYIRA MINI MART FINAL MENU - Pr'!N357="", "", 'AYIRA MINI MART FINAL MENU - Pr'!N357)</f>
        <v/>
      </c>
      <c r="O357" s="57"/>
      <c r="P357" s="57"/>
      <c r="Q357" s="57"/>
      <c r="R357" s="57"/>
      <c r="S357" s="57"/>
      <c r="T357" s="57"/>
      <c r="U357" s="57"/>
      <c r="V357" s="57"/>
      <c r="W357" s="57"/>
      <c r="X357" s="57"/>
      <c r="Y357" s="57"/>
      <c r="Z357" s="57"/>
    </row>
    <row r="358">
      <c r="A358" s="56" t="str">
        <f>IFERROR(__xludf.DUMMYFUNCTION("IF('AYIRA MINI MART FINAL MENU - Pr'!A358="""", """", IF(LEN(TRIM(REGEXREPLACE(REGEXREPLACE('AYIRA MINI MART FINAL MENU - Pr'!A358, ""^[^\x{0600}-\x{06FF}]+"", """"), ""^[-–\s]+"", """")))&gt;0, TRIM(REGEXREPLACE(REGEXREPLACE('AYIRA MINI MART FINAL MENU - Pr"&amp;"'!A358, ""^[^\x{0600}-\x{06FF}]+"", """"), ""^[-–\s]+"", """")), GOOGLETRANSLATE('AYIRA MINI MART FINAL MENU - Pr'!A358, ""en"", ""ar"")))"),"لوز ’n كراميل آيس كريم قطعة 90 مل")</f>
        <v>لوز ’n كراميل آيس كريم قطعة 90 مل</v>
      </c>
      <c r="B358" s="56" t="str">
        <f>IFERROR(__xludf.DUMMYFUNCTION("IF('AYIRA MINI MART FINAL MENU - Pr'!B358="""", """", IF(LEN(TRIM(REGEXREPLACE(REGEXREPLACE('AYIRA MINI MART FINAL MENU - Pr'!B358, ""^[^\x{0600}-\x{06FF}]+"", """"), ""^[-–\s]+"", """")))&gt;0, TRIM(REGEXREPLACE(REGEXREPLACE('AYIRA MINI MART FINAL MENU - Pr"&amp;"'!B358, ""^[^\x{0600}-\x{06FF}]+"", """"), ""^[-–\s]+"", """")), GOOGLETRANSLATE('AYIRA MINI MART FINAL MENU - Pr'!B358, ""en"", ""ar"")))"),"الآيس كريم")</f>
        <v>الآيس كريم</v>
      </c>
      <c r="C358" s="58">
        <f>IF('AYIRA MINI MART FINAL MENU - Pr'!C358="", "", 'AYIRA MINI MART FINAL MENU - Pr'!C358)</f>
        <v>13.5</v>
      </c>
      <c r="D358" s="58" t="str">
        <f>IF('AYIRA MINI MART FINAL MENU - Pr'!D358="", "", 'AYIRA MINI MART FINAL MENU - Pr'!D358)</f>
        <v>برّد أيامك الحارة مع Baskin Robbins Almond ’n Caramel Ice Cream Bar 90ml،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358" s="56" t="str">
        <f>IF('AYIRA MINI MART FINAL MENU - Pr'!E358="", "", 'AYIRA MINI MART FINAL MENU - Pr'!E358)</f>
        <v/>
      </c>
      <c r="F358" s="56" t="str">
        <f>IF('AYIRA MINI MART FINAL MENU - Pr'!F358="", "", 'AYIRA MINI MART FINAL MENU - Pr'!F358)</f>
        <v/>
      </c>
      <c r="G358" s="56" t="str">
        <f>IF('AYIRA MINI MART FINAL MENU - Pr'!G358="", "", 'AYIRA MINI MART FINAL MENU - Pr'!G358)</f>
        <v/>
      </c>
      <c r="H358" s="56" t="str">
        <f>IF('AYIRA MINI MART FINAL MENU - Pr'!H358="", "", 'AYIRA MINI MART FINAL MENU - Pr'!H358)</f>
        <v/>
      </c>
      <c r="I358" s="56" t="str">
        <f>IF('AYIRA MINI MART FINAL MENU - Pr'!I358="", "", 'AYIRA MINI MART FINAL MENU - Pr'!I358)</f>
        <v/>
      </c>
      <c r="J358" s="56" t="str">
        <f>IFERROR(__xludf.DUMMYFUNCTION("IF('AYIRA MINI MART FINAL MENU - Pr'!J358="""", """", GOOGLETRANSLATE('AYIRA MINI MART FINAL MENU - Pr'!J358, ""en"", ""ar""))"),"يعرض")</f>
        <v>يعرض</v>
      </c>
      <c r="K358" s="56" t="str">
        <f>IF('AYIRA MINI MART FINAL MENU - Pr'!K358="", "", 'AYIRA MINI MART FINAL MENU - Pr'!K358)</f>
        <v/>
      </c>
      <c r="L358" s="56" t="str">
        <f>IF('AYIRA MINI MART FINAL MENU - Pr'!L358="", "", 'AYIRA MINI MART FINAL MENU - Pr'!L358)</f>
        <v/>
      </c>
      <c r="M358" s="56" t="str">
        <f>IF('AYIRA MINI MART FINAL MENU - Pr'!M358="", "", 'AYIRA MINI MART FINAL MENU - Pr'!M358)</f>
        <v/>
      </c>
      <c r="N358" s="56" t="str">
        <f>IF('AYIRA MINI MART FINAL MENU - Pr'!N358="", "", 'AYIRA MINI MART FINAL MENU - Pr'!N358)</f>
        <v/>
      </c>
      <c r="O358" s="57"/>
      <c r="P358" s="57"/>
      <c r="Q358" s="57"/>
      <c r="R358" s="57"/>
      <c r="S358" s="57"/>
      <c r="T358" s="57"/>
      <c r="U358" s="57"/>
      <c r="V358" s="57"/>
      <c r="W358" s="57"/>
      <c r="X358" s="57"/>
      <c r="Y358" s="57"/>
      <c r="Z358" s="57"/>
    </row>
    <row r="359">
      <c r="A359" s="56" t="str">
        <f>IFERROR(__xludf.DUMMYFUNCTION("IF('AYIRA MINI MART FINAL MENU - Pr'!A359="""", """", IF(LEN(TRIM(REGEXREPLACE(REGEXREPLACE('AYIRA MINI MART FINAL MENU - Pr'!A359, ""^[^\x{0600}-\x{06FF}]+"", """"), ""^[-–\s]+"", """")))&gt;0, TRIM(REGEXREPLACE(REGEXREPLACE('AYIRA MINI MART FINAL MENU - Pr"&amp;"'!A359, ""^[^\x{0600}-\x{06FF}]+"", """"), ""^[-–\s]+"", """")), GOOGLETRANSLATE('AYIRA MINI MART FINAL MENU - Pr'!A359, ""en"", ""ar"")))"),"عصير Pop Beetroot Berry 50 مل")</f>
        <v>عصير Pop Beetroot Berry 50 مل</v>
      </c>
      <c r="B359" s="56" t="str">
        <f>IFERROR(__xludf.DUMMYFUNCTION("IF('AYIRA MINI MART FINAL MENU - Pr'!B359="""", """", IF(LEN(TRIM(REGEXREPLACE(REGEXREPLACE('AYIRA MINI MART FINAL MENU - Pr'!B359, ""^[^\x{0600}-\x{06FF}]+"", """"), ""^[-–\s]+"", """")))&gt;0, TRIM(REGEXREPLACE(REGEXREPLACE('AYIRA MINI MART FINAL MENU - Pr"&amp;"'!B359, ""^[^\x{0600}-\x{06FF}]+"", """"), ""^[-–\s]+"", """")), GOOGLETRANSLATE('AYIRA MINI MART FINAL MENU - Pr'!B359, ""en"", ""ar"")))"),"الآيس كريم")</f>
        <v>الآيس كريم</v>
      </c>
      <c r="C359" s="58">
        <f>IF('AYIRA MINI MART FINAL MENU - Pr'!C359="", "", 'AYIRA MINI MART FINAL MENU - Pr'!C359)</f>
        <v>6</v>
      </c>
      <c r="D359" s="58" t="str">
        <f>IF('AYIRA MINI MART FINAL MENU - Pr'!D359="", "", 'AYIRA MINI MART FINAL MENU - Pr'!D359)</f>
        <v>احرص على صحتك مع Barakat Juice Pop Beetroot Berry 50ml،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59" s="56" t="str">
        <f>IF('AYIRA MINI MART FINAL MENU - Pr'!E359="", "", 'AYIRA MINI MART FINAL MENU - Pr'!E359)</f>
        <v/>
      </c>
      <c r="F359" s="56" t="str">
        <f>IF('AYIRA MINI MART FINAL MENU - Pr'!F359="", "", 'AYIRA MINI MART FINAL MENU - Pr'!F359)</f>
        <v/>
      </c>
      <c r="G359" s="56" t="str">
        <f>IF('AYIRA MINI MART FINAL MENU - Pr'!G359="", "", 'AYIRA MINI MART FINAL MENU - Pr'!G359)</f>
        <v/>
      </c>
      <c r="H359" s="56" t="str">
        <f>IF('AYIRA MINI MART FINAL MENU - Pr'!H359="", "", 'AYIRA MINI MART FINAL MENU - Pr'!H359)</f>
        <v/>
      </c>
      <c r="I359" s="56" t="str">
        <f>IF('AYIRA MINI MART FINAL MENU - Pr'!I359="", "", 'AYIRA MINI MART FINAL MENU - Pr'!I359)</f>
        <v/>
      </c>
      <c r="J359" s="56" t="str">
        <f>IFERROR(__xludf.DUMMYFUNCTION("IF('AYIRA MINI MART FINAL MENU - Pr'!J359="""", """", GOOGLETRANSLATE('AYIRA MINI MART FINAL MENU - Pr'!J359, ""en"", ""ar""))"),"يعرض")</f>
        <v>يعرض</v>
      </c>
      <c r="K359" s="56" t="str">
        <f>IF('AYIRA MINI MART FINAL MENU - Pr'!K359="", "", 'AYIRA MINI MART FINAL MENU - Pr'!K359)</f>
        <v/>
      </c>
      <c r="L359" s="56" t="str">
        <f>IF('AYIRA MINI MART FINAL MENU - Pr'!L359="", "", 'AYIRA MINI MART FINAL MENU - Pr'!L359)</f>
        <v/>
      </c>
      <c r="M359" s="56" t="str">
        <f>IF('AYIRA MINI MART FINAL MENU - Pr'!M359="", "", 'AYIRA MINI MART FINAL MENU - Pr'!M359)</f>
        <v/>
      </c>
      <c r="N359" s="56" t="str">
        <f>IF('AYIRA MINI MART FINAL MENU - Pr'!N359="", "", 'AYIRA MINI MART FINAL MENU - Pr'!N359)</f>
        <v/>
      </c>
      <c r="O359" s="57"/>
      <c r="P359" s="57"/>
      <c r="Q359" s="57"/>
      <c r="R359" s="57"/>
      <c r="S359" s="57"/>
      <c r="T359" s="57"/>
      <c r="U359" s="57"/>
      <c r="V359" s="57"/>
      <c r="W359" s="57"/>
      <c r="X359" s="57"/>
      <c r="Y359" s="57"/>
      <c r="Z359" s="57"/>
    </row>
    <row r="360">
      <c r="A360" s="56" t="str">
        <f>IFERROR(__xludf.DUMMYFUNCTION("IF('AYIRA MINI MART FINAL MENU - Pr'!A360="""", """", IF(LEN(TRIM(REGEXREPLACE(REGEXREPLACE('AYIRA MINI MART FINAL MENU - Pr'!A360, ""^[^\x{0600}-\x{06FF}]+"", """"), ""^[-–\s]+"", """")))&gt;0, TRIM(REGEXREPLACE(REGEXREPLACE('AYIRA MINI MART FINAL MENU - Pr"&amp;"'!A360, ""^[^\x{0600}-\x{06FF}]+"", """"), ""^[-–\s]+"", """")), GOOGLETRANSLATE('AYIRA MINI MART FINAL MENU - Pr'!A360, ""en"", ""ar"")))"),"عصير Pop فراولة Banana 50 مل")</f>
        <v>عصير Pop فراولة Banana 50 مل</v>
      </c>
      <c r="B360" s="56" t="str">
        <f>IFERROR(__xludf.DUMMYFUNCTION("IF('AYIRA MINI MART FINAL MENU - Pr'!B360="""", """", IF(LEN(TRIM(REGEXREPLACE(REGEXREPLACE('AYIRA MINI MART FINAL MENU - Pr'!B360, ""^[^\x{0600}-\x{06FF}]+"", """"), ""^[-–\s]+"", """")))&gt;0, TRIM(REGEXREPLACE(REGEXREPLACE('AYIRA MINI MART FINAL MENU - Pr"&amp;"'!B360, ""^[^\x{0600}-\x{06FF}]+"", """"), ""^[-–\s]+"", """")), GOOGLETRANSLATE('AYIRA MINI MART FINAL MENU - Pr'!B360, ""en"", ""ar"")))"),"الآيس كريم")</f>
        <v>الآيس كريم</v>
      </c>
      <c r="C360" s="58">
        <f>IF('AYIRA MINI MART FINAL MENU - Pr'!C360="", "", 'AYIRA MINI MART FINAL MENU - Pr'!C360)</f>
        <v>6</v>
      </c>
      <c r="D360" s="58" t="str">
        <f>IF('AYIRA MINI MART FINAL MENU - Pr'!D360="", "", 'AYIRA MINI MART FINAL MENU - Pr'!D360)</f>
        <v>احرص على صحتك مع Barakat Juice Pop Strawberry Banana 50ml،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60" s="56" t="str">
        <f>IF('AYIRA MINI MART FINAL MENU - Pr'!E360="", "", 'AYIRA MINI MART FINAL MENU - Pr'!E360)</f>
        <v/>
      </c>
      <c r="F360" s="56" t="str">
        <f>IF('AYIRA MINI MART FINAL MENU - Pr'!F360="", "", 'AYIRA MINI MART FINAL MENU - Pr'!F360)</f>
        <v/>
      </c>
      <c r="G360" s="56" t="str">
        <f>IF('AYIRA MINI MART FINAL MENU - Pr'!G360="", "", 'AYIRA MINI MART FINAL MENU - Pr'!G360)</f>
        <v/>
      </c>
      <c r="H360" s="56" t="str">
        <f>IF('AYIRA MINI MART FINAL MENU - Pr'!H360="", "", 'AYIRA MINI MART FINAL MENU - Pr'!H360)</f>
        <v/>
      </c>
      <c r="I360" s="56" t="str">
        <f>IF('AYIRA MINI MART FINAL MENU - Pr'!I360="", "", 'AYIRA MINI MART FINAL MENU - Pr'!I360)</f>
        <v/>
      </c>
      <c r="J360" s="56" t="str">
        <f>IFERROR(__xludf.DUMMYFUNCTION("IF('AYIRA MINI MART FINAL MENU - Pr'!J360="""", """", GOOGLETRANSLATE('AYIRA MINI MART FINAL MENU - Pr'!J360, ""en"", ""ar""))"),"يعرض")</f>
        <v>يعرض</v>
      </c>
      <c r="K360" s="56" t="str">
        <f>IF('AYIRA MINI MART FINAL MENU - Pr'!K360="", "", 'AYIRA MINI MART FINAL MENU - Pr'!K360)</f>
        <v/>
      </c>
      <c r="L360" s="56" t="str">
        <f>IF('AYIRA MINI MART FINAL MENU - Pr'!L360="", "", 'AYIRA MINI MART FINAL MENU - Pr'!L360)</f>
        <v/>
      </c>
      <c r="M360" s="56" t="str">
        <f>IF('AYIRA MINI MART FINAL MENU - Pr'!M360="", "", 'AYIRA MINI MART FINAL MENU - Pr'!M360)</f>
        <v/>
      </c>
      <c r="N360" s="56" t="str">
        <f>IF('AYIRA MINI MART FINAL MENU - Pr'!N360="", "", 'AYIRA MINI MART FINAL MENU - Pr'!N360)</f>
        <v/>
      </c>
      <c r="O360" s="57"/>
      <c r="P360" s="57"/>
      <c r="Q360" s="57"/>
      <c r="R360" s="57"/>
      <c r="S360" s="57"/>
      <c r="T360" s="57"/>
      <c r="U360" s="57"/>
      <c r="V360" s="57"/>
      <c r="W360" s="57"/>
      <c r="X360" s="57"/>
      <c r="Y360" s="57"/>
      <c r="Z360" s="57"/>
    </row>
    <row r="361">
      <c r="A361" s="56" t="str">
        <f>IFERROR(__xludf.DUMMYFUNCTION("IF('AYIRA MINI MART FINAL MENU - Pr'!A361="""", """", IF(LEN(TRIM(REGEXREPLACE(REGEXREPLACE('AYIRA MINI MART FINAL MENU - Pr'!A361, ""^[^\x{0600}-\x{06FF}]+"", """"), ""^[-–\s]+"", """")))&gt;0, TRIM(REGEXREPLACE(REGEXREPLACE('AYIRA MINI MART FINAL MENU - Pr"&amp;"'!A361, ""^[^\x{0600}-\x{06FF}]+"", """"), ""^[-–\s]+"", """")), GOOGLETRANSLATE('AYIRA MINI MART FINAL MENU - Pr'!A361, ""en"", ""ar"")))"),"عصير Pop برتقال 50 مل")</f>
        <v>عصير Pop برتقال 50 مل</v>
      </c>
      <c r="B361" s="56" t="str">
        <f>IFERROR(__xludf.DUMMYFUNCTION("IF('AYIRA MINI MART FINAL MENU - Pr'!B361="""", """", IF(LEN(TRIM(REGEXREPLACE(REGEXREPLACE('AYIRA MINI MART FINAL MENU - Pr'!B361, ""^[^\x{0600}-\x{06FF}]+"", """"), ""^[-–\s]+"", """")))&gt;0, TRIM(REGEXREPLACE(REGEXREPLACE('AYIRA MINI MART FINAL MENU - Pr"&amp;"'!B361, ""^[^\x{0600}-\x{06FF}]+"", """"), ""^[-–\s]+"", """")), GOOGLETRANSLATE('AYIRA MINI MART FINAL MENU - Pr'!B361, ""en"", ""ar"")))"),"الآيس كريم")</f>
        <v>الآيس كريم</v>
      </c>
      <c r="C361" s="58">
        <f>IF('AYIRA MINI MART FINAL MENU - Pr'!C361="", "", 'AYIRA MINI MART FINAL MENU - Pr'!C361)</f>
        <v>6</v>
      </c>
      <c r="D361" s="58" t="str">
        <f>IF('AYIRA MINI MART FINAL MENU - Pr'!D361="", "", 'AYIRA MINI MART FINAL MENU - Pr'!D361)</f>
        <v>احرص على صحتك مع Barakat Juice Pop Orange 50ml،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61" s="56" t="str">
        <f>IF('AYIRA MINI MART FINAL MENU - Pr'!E361="", "", 'AYIRA MINI MART FINAL MENU - Pr'!E361)</f>
        <v/>
      </c>
      <c r="F361" s="56" t="str">
        <f>IF('AYIRA MINI MART FINAL MENU - Pr'!F361="", "", 'AYIRA MINI MART FINAL MENU - Pr'!F361)</f>
        <v/>
      </c>
      <c r="G361" s="56" t="str">
        <f>IF('AYIRA MINI MART FINAL MENU - Pr'!G361="", "", 'AYIRA MINI MART FINAL MENU - Pr'!G361)</f>
        <v/>
      </c>
      <c r="H361" s="56" t="str">
        <f>IF('AYIRA MINI MART FINAL MENU - Pr'!H361="", "", 'AYIRA MINI MART FINAL MENU - Pr'!H361)</f>
        <v/>
      </c>
      <c r="I361" s="56" t="str">
        <f>IF('AYIRA MINI MART FINAL MENU - Pr'!I361="", "", 'AYIRA MINI MART FINAL MENU - Pr'!I361)</f>
        <v/>
      </c>
      <c r="J361" s="56" t="str">
        <f>IFERROR(__xludf.DUMMYFUNCTION("IF('AYIRA MINI MART FINAL MENU - Pr'!J361="""", """", GOOGLETRANSLATE('AYIRA MINI MART FINAL MENU - Pr'!J361, ""en"", ""ar""))"),"يعرض")</f>
        <v>يعرض</v>
      </c>
      <c r="K361" s="56" t="str">
        <f>IF('AYIRA MINI MART FINAL MENU - Pr'!K361="", "", 'AYIRA MINI MART FINAL MENU - Pr'!K361)</f>
        <v/>
      </c>
      <c r="L361" s="56" t="str">
        <f>IF('AYIRA MINI MART FINAL MENU - Pr'!L361="", "", 'AYIRA MINI MART FINAL MENU - Pr'!L361)</f>
        <v/>
      </c>
      <c r="M361" s="56" t="str">
        <f>IF('AYIRA MINI MART FINAL MENU - Pr'!M361="", "", 'AYIRA MINI MART FINAL MENU - Pr'!M361)</f>
        <v/>
      </c>
      <c r="N361" s="56" t="str">
        <f>IF('AYIRA MINI MART FINAL MENU - Pr'!N361="", "", 'AYIRA MINI MART FINAL MENU - Pr'!N361)</f>
        <v/>
      </c>
      <c r="O361" s="57"/>
      <c r="P361" s="57"/>
      <c r="Q361" s="57"/>
      <c r="R361" s="57"/>
      <c r="S361" s="57"/>
      <c r="T361" s="57"/>
      <c r="U361" s="57"/>
      <c r="V361" s="57"/>
      <c r="W361" s="57"/>
      <c r="X361" s="57"/>
      <c r="Y361" s="57"/>
      <c r="Z361" s="57"/>
    </row>
    <row r="362">
      <c r="A362" s="56" t="str">
        <f>IFERROR(__xludf.DUMMYFUNCTION("IF('AYIRA MINI MART FINAL MENU - Pr'!A362="""", """", IF(LEN(TRIM(REGEXREPLACE(REGEXREPLACE('AYIRA MINI MART FINAL MENU - Pr'!A362, ""^[^\x{0600}-\x{06FF}]+"", """"), ""^[-–\s]+"", """")))&gt;0, TRIM(REGEXREPLACE(REGEXREPLACE('AYIRA MINI MART FINAL MENU - Pr"&amp;"'!A362, ""^[^\x{0600}-\x{06FF}]+"", """"), ""^[-–\s]+"", """")), GOOGLETRANSLATE('AYIRA MINI MART FINAL MENU - Pr'!A362, ""en"", ""ar"")))"),"عصير Pop مانجو Passion 50 مل")</f>
        <v>عصير Pop مانجو Passion 50 مل</v>
      </c>
      <c r="B362" s="56" t="str">
        <f>IFERROR(__xludf.DUMMYFUNCTION("IF('AYIRA MINI MART FINAL MENU - Pr'!B362="""", """", IF(LEN(TRIM(REGEXREPLACE(REGEXREPLACE('AYIRA MINI MART FINAL MENU - Pr'!B362, ""^[^\x{0600}-\x{06FF}]+"", """"), ""^[-–\s]+"", """")))&gt;0, TRIM(REGEXREPLACE(REGEXREPLACE('AYIRA MINI MART FINAL MENU - Pr"&amp;"'!B362, ""^[^\x{0600}-\x{06FF}]+"", """"), ""^[-–\s]+"", """")), GOOGLETRANSLATE('AYIRA MINI MART FINAL MENU - Pr'!B362, ""en"", ""ar"")))"),"الآيس كريم")</f>
        <v>الآيس كريم</v>
      </c>
      <c r="C362" s="58">
        <f>IF('AYIRA MINI MART FINAL MENU - Pr'!C362="", "", 'AYIRA MINI MART FINAL MENU - Pr'!C362)</f>
        <v>6</v>
      </c>
      <c r="D362" s="58" t="str">
        <f>IF('AYIRA MINI MART FINAL MENU - Pr'!D362="", "", 'AYIRA MINI MART FINAL MENU - Pr'!D362)</f>
        <v>احرص على صحتك مع Barakat Juice Pop Mango Passion 50ml،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362" s="56" t="str">
        <f>IF('AYIRA MINI MART FINAL MENU - Pr'!E362="", "", 'AYIRA MINI MART FINAL MENU - Pr'!E362)</f>
        <v/>
      </c>
      <c r="F362" s="56" t="str">
        <f>IF('AYIRA MINI MART FINAL MENU - Pr'!F362="", "", 'AYIRA MINI MART FINAL MENU - Pr'!F362)</f>
        <v/>
      </c>
      <c r="G362" s="56" t="str">
        <f>IF('AYIRA MINI MART FINAL MENU - Pr'!G362="", "", 'AYIRA MINI MART FINAL MENU - Pr'!G362)</f>
        <v/>
      </c>
      <c r="H362" s="56" t="str">
        <f>IF('AYIRA MINI MART FINAL MENU - Pr'!H362="", "", 'AYIRA MINI MART FINAL MENU - Pr'!H362)</f>
        <v/>
      </c>
      <c r="I362" s="56" t="str">
        <f>IF('AYIRA MINI MART FINAL MENU - Pr'!I362="", "", 'AYIRA MINI MART FINAL MENU - Pr'!I362)</f>
        <v/>
      </c>
      <c r="J362" s="56" t="str">
        <f>IFERROR(__xludf.DUMMYFUNCTION("IF('AYIRA MINI MART FINAL MENU - Pr'!J362="""", """", GOOGLETRANSLATE('AYIRA MINI MART FINAL MENU - Pr'!J362, ""en"", ""ar""))"),"يعرض")</f>
        <v>يعرض</v>
      </c>
      <c r="K362" s="56" t="str">
        <f>IF('AYIRA MINI MART FINAL MENU - Pr'!K362="", "", 'AYIRA MINI MART FINAL MENU - Pr'!K362)</f>
        <v/>
      </c>
      <c r="L362" s="56" t="str">
        <f>IF('AYIRA MINI MART FINAL MENU - Pr'!L362="", "", 'AYIRA MINI MART FINAL MENU - Pr'!L362)</f>
        <v/>
      </c>
      <c r="M362" s="56" t="str">
        <f>IF('AYIRA MINI MART FINAL MENU - Pr'!M362="", "", 'AYIRA MINI MART FINAL MENU - Pr'!M362)</f>
        <v/>
      </c>
      <c r="N362" s="56" t="str">
        <f>IF('AYIRA MINI MART FINAL MENU - Pr'!N362="", "", 'AYIRA MINI MART FINAL MENU - Pr'!N362)</f>
        <v/>
      </c>
      <c r="O362" s="57"/>
      <c r="P362" s="57"/>
      <c r="Q362" s="57"/>
      <c r="R362" s="57"/>
      <c r="S362" s="57"/>
      <c r="T362" s="57"/>
      <c r="U362" s="57"/>
      <c r="V362" s="57"/>
      <c r="W362" s="57"/>
      <c r="X362" s="57"/>
      <c r="Y362" s="57"/>
      <c r="Z362" s="57"/>
    </row>
    <row r="363">
      <c r="A363" s="56" t="str">
        <f>IFERROR(__xludf.DUMMYFUNCTION("IF('AYIRA MINI MART FINAL MENU - Pr'!A363="""", """", IF(LEN(TRIM(REGEXREPLACE(REGEXREPLACE('AYIRA MINI MART FINAL MENU - Pr'!A363, ""^[^\x{0600}-\x{06FF}]+"", """"), ""^[-–\s]+"", """")))&gt;0, TRIM(REGEXREPLACE(REGEXREPLACE('AYIRA MINI MART FINAL MENU - Pr"&amp;"'!A363, ""^[^\x{0600}-\x{06FF}]+"", """"), ""^[-–\s]+"", """")), GOOGLETRANSLATE('AYIRA MINI MART FINAL MENU - Pr'!A363, ""en"", ""ar"")))"),"سنيكرز شوكولاتة قطعة 40 غرام")</f>
        <v>سنيكرز شوكولاتة قطعة 40 غرام</v>
      </c>
      <c r="B363" s="56" t="str">
        <f>IFERROR(__xludf.DUMMYFUNCTION("IF('AYIRA MINI MART FINAL MENU - Pr'!B363="""", """", IF(LEN(TRIM(REGEXREPLACE(REGEXREPLACE('AYIRA MINI MART FINAL MENU - Pr'!B363, ""^[^\x{0600}-\x{06FF}]+"", """"), ""^[-–\s]+"", """")))&gt;0, TRIM(REGEXREPLACE(REGEXREPLACE('AYIRA MINI MART FINAL MENU - Pr"&amp;"'!B363, ""^[^\x{0600}-\x{06FF}]+"", """"), ""^[-–\s]+"", """")), GOOGLETRANSLATE('AYIRA MINI MART FINAL MENU - Pr'!B363, ""en"", ""ar"")))"),"الشوكولاتة")</f>
        <v>الشوكولاتة</v>
      </c>
      <c r="C363" s="58">
        <f>IF('AYIRA MINI MART FINAL MENU - Pr'!C363="", "", 'AYIRA MINI MART FINAL MENU - Pr'!C363)</f>
        <v>3</v>
      </c>
      <c r="D363" s="58" t="str">
        <f>IF('AYIRA MINI MART FINAL MENU - Pr'!D363="", "", 'AYIRA MINI MART FINAL MENU - Pr'!D363)</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63" s="56" t="str">
        <f>IF('AYIRA MINI MART FINAL MENU - Pr'!E363="", "", 'AYIRA MINI MART FINAL MENU - Pr'!E363)</f>
        <v/>
      </c>
      <c r="F363" s="56" t="str">
        <f>IF('AYIRA MINI MART FINAL MENU - Pr'!F363="", "", 'AYIRA MINI MART FINAL MENU - Pr'!F363)</f>
        <v/>
      </c>
      <c r="G363" s="56" t="str">
        <f>IF('AYIRA MINI MART FINAL MENU - Pr'!G363="", "", 'AYIRA MINI MART FINAL MENU - Pr'!G363)</f>
        <v/>
      </c>
      <c r="H363" s="56" t="str">
        <f>IF('AYIRA MINI MART FINAL MENU - Pr'!H363="", "", 'AYIRA MINI MART FINAL MENU - Pr'!H363)</f>
        <v/>
      </c>
      <c r="I363" s="56" t="str">
        <f>IF('AYIRA MINI MART FINAL MENU - Pr'!I363="", "", 'AYIRA MINI MART FINAL MENU - Pr'!I363)</f>
        <v/>
      </c>
      <c r="J363" s="56" t="str">
        <f>IFERROR(__xludf.DUMMYFUNCTION("IF('AYIRA MINI MART FINAL MENU - Pr'!J363="""", """", GOOGLETRANSLATE('AYIRA MINI MART FINAL MENU - Pr'!J363, ""en"", ""ar""))"),"يعرض")</f>
        <v>يعرض</v>
      </c>
      <c r="K363" s="56" t="str">
        <f>IF('AYIRA MINI MART FINAL MENU - Pr'!K363="", "", 'AYIRA MINI MART FINAL MENU - Pr'!K363)</f>
        <v/>
      </c>
      <c r="L363" s="56" t="str">
        <f>IF('AYIRA MINI MART FINAL MENU - Pr'!L363="", "", 'AYIRA MINI MART FINAL MENU - Pr'!L363)</f>
        <v/>
      </c>
      <c r="M363" s="56" t="str">
        <f>IF('AYIRA MINI MART FINAL MENU - Pr'!M363="", "", 'AYIRA MINI MART FINAL MENU - Pr'!M363)</f>
        <v/>
      </c>
      <c r="N363" s="56" t="str">
        <f>IF('AYIRA MINI MART FINAL MENU - Pr'!N363="", "", 'AYIRA MINI MART FINAL MENU - Pr'!N363)</f>
        <v/>
      </c>
      <c r="O363" s="57"/>
      <c r="P363" s="57"/>
      <c r="Q363" s="57"/>
      <c r="R363" s="57"/>
      <c r="S363" s="57"/>
      <c r="T363" s="57"/>
      <c r="U363" s="57"/>
      <c r="V363" s="57"/>
      <c r="W363" s="57"/>
      <c r="X363" s="57"/>
      <c r="Y363" s="57"/>
      <c r="Z363" s="57"/>
    </row>
    <row r="364">
      <c r="A364" s="56" t="str">
        <f>IFERROR(__xludf.DUMMYFUNCTION("IF('AYIRA MINI MART FINAL MENU - Pr'!A364="""", """", IF(LEN(TRIM(REGEXREPLACE(REGEXREPLACE('AYIRA MINI MART FINAL MENU - Pr'!A364, ""^[^\x{0600}-\x{06FF}]+"", """"), ""^[-–\s]+"", """")))&gt;0, TRIM(REGEXREPLACE(REGEXREPLACE('AYIRA MINI MART FINAL MENU - Pr"&amp;"'!A364, ""^[^\x{0600}-\x{06FF}]+"", """"), ""^[-–\s]+"", """")), GOOGLETRANSLATE('AYIRA MINI MART FINAL MENU - Pr'!A364, ""en"", ""ar"")))"),"مشكل Minis شوكولاتة عبوة 400 غرام × 2")</f>
        <v>مشكل Minis شوكولاتة عبوة 400 غرام × 2</v>
      </c>
      <c r="B364" s="56" t="str">
        <f>IFERROR(__xludf.DUMMYFUNCTION("IF('AYIRA MINI MART FINAL MENU - Pr'!B364="""", """", IF(LEN(TRIM(REGEXREPLACE(REGEXREPLACE('AYIRA MINI MART FINAL MENU - Pr'!B364, ""^[^\x{0600}-\x{06FF}]+"", """"), ""^[-–\s]+"", """")))&gt;0, TRIM(REGEXREPLACE(REGEXREPLACE('AYIRA MINI MART FINAL MENU - Pr"&amp;"'!B364, ""^[^\x{0600}-\x{06FF}]+"", """"), ""^[-–\s]+"", """")), GOOGLETRANSLATE('AYIRA MINI MART FINAL MENU - Pr'!B364, ""en"", ""ar"")))"),"الشوكولاتة")</f>
        <v>الشوكولاتة</v>
      </c>
      <c r="C364" s="58">
        <f>IF('AYIRA MINI MART FINAL MENU - Pr'!C364="", "", 'AYIRA MINI MART FINAL MENU - Pr'!C364)</f>
        <v>55</v>
      </c>
      <c r="D364" s="58" t="str">
        <f>IF('AYIRA MINI MART FINAL MENU - Pr'!D364="", "", 'AYIRA MINI MART FINAL MENU - Pr'!D364)</f>
        <v>دلّل حواسك مع Mixed Minis Chocolate Pack 400g × 2،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64" s="56" t="str">
        <f>IF('AYIRA MINI MART FINAL MENU - Pr'!E364="", "", 'AYIRA MINI MART FINAL MENU - Pr'!E364)</f>
        <v/>
      </c>
      <c r="F364" s="56" t="str">
        <f>IF('AYIRA MINI MART FINAL MENU - Pr'!F364="", "", 'AYIRA MINI MART FINAL MENU - Pr'!F364)</f>
        <v/>
      </c>
      <c r="G364" s="56" t="str">
        <f>IF('AYIRA MINI MART FINAL MENU - Pr'!G364="", "", 'AYIRA MINI MART FINAL MENU - Pr'!G364)</f>
        <v/>
      </c>
      <c r="H364" s="56" t="str">
        <f>IF('AYIRA MINI MART FINAL MENU - Pr'!H364="", "", 'AYIRA MINI MART FINAL MENU - Pr'!H364)</f>
        <v/>
      </c>
      <c r="I364" s="56" t="str">
        <f>IF('AYIRA MINI MART FINAL MENU - Pr'!I364="", "", 'AYIRA MINI MART FINAL MENU - Pr'!I364)</f>
        <v/>
      </c>
      <c r="J364" s="56" t="str">
        <f>IFERROR(__xludf.DUMMYFUNCTION("IF('AYIRA MINI MART FINAL MENU - Pr'!J364="""", """", GOOGLETRANSLATE('AYIRA MINI MART FINAL MENU - Pr'!J364, ""en"", ""ar""))"),"يعرض")</f>
        <v>يعرض</v>
      </c>
      <c r="K364" s="56" t="str">
        <f>IF('AYIRA MINI MART FINAL MENU - Pr'!K364="", "", 'AYIRA MINI MART FINAL MENU - Pr'!K364)</f>
        <v/>
      </c>
      <c r="L364" s="56" t="str">
        <f>IF('AYIRA MINI MART FINAL MENU - Pr'!L364="", "", 'AYIRA MINI MART FINAL MENU - Pr'!L364)</f>
        <v/>
      </c>
      <c r="M364" s="56" t="str">
        <f>IF('AYIRA MINI MART FINAL MENU - Pr'!M364="", "", 'AYIRA MINI MART FINAL MENU - Pr'!M364)</f>
        <v/>
      </c>
      <c r="N364" s="56" t="str">
        <f>IF('AYIRA MINI MART FINAL MENU - Pr'!N364="", "", 'AYIRA MINI MART FINAL MENU - Pr'!N364)</f>
        <v/>
      </c>
      <c r="O364" s="57"/>
      <c r="P364" s="57"/>
      <c r="Q364" s="57"/>
      <c r="R364" s="57"/>
      <c r="S364" s="57"/>
      <c r="T364" s="57"/>
      <c r="U364" s="57"/>
      <c r="V364" s="57"/>
      <c r="W364" s="57"/>
      <c r="X364" s="57"/>
      <c r="Y364" s="57"/>
      <c r="Z364" s="57"/>
    </row>
    <row r="365">
      <c r="A365" s="56" t="str">
        <f>IFERROR(__xludf.DUMMYFUNCTION("IF('AYIRA MINI MART FINAL MENU - Pr'!A365="""", """", IF(LEN(TRIM(REGEXREPLACE(REGEXREPLACE('AYIRA MINI MART FINAL MENU - Pr'!A365, ""^[^\x{0600}-\x{06FF}]+"", """"), ""^[-–\s]+"", """")))&gt;0, TRIM(REGEXREPLACE(REGEXREPLACE('AYIRA MINI MART FINAL MENU - Pr"&amp;"'!A365, ""^[^\x{0600}-\x{06FF}]+"", """"), ""^[-–\s]+"", """")), GOOGLETRANSLATE('AYIRA MINI MART FINAL MENU - Pr'!A365, ""en"", ""ar"")))"),"سنيكرز شوكولاتة قطعة 45 غرام")</f>
        <v>سنيكرز شوكولاتة قطعة 45 غرام</v>
      </c>
      <c r="B365" s="56" t="str">
        <f>IFERROR(__xludf.DUMMYFUNCTION("IF('AYIRA MINI MART FINAL MENU - Pr'!B365="""", """", IF(LEN(TRIM(REGEXREPLACE(REGEXREPLACE('AYIRA MINI MART FINAL MENU - Pr'!B365, ""^[^\x{0600}-\x{06FF}]+"", """"), ""^[-–\s]+"", """")))&gt;0, TRIM(REGEXREPLACE(REGEXREPLACE('AYIRA MINI MART FINAL MENU - Pr"&amp;"'!B365, ""^[^\x{0600}-\x{06FF}]+"", """"), ""^[-–\s]+"", """")), GOOGLETRANSLATE('AYIRA MINI MART FINAL MENU - Pr'!B365, ""en"", ""ar"")))"),"الشوكولاتة")</f>
        <v>الشوكولاتة</v>
      </c>
      <c r="C365" s="58">
        <f>IF('AYIRA MINI MART FINAL MENU - Pr'!C365="", "", 'AYIRA MINI MART FINAL MENU - Pr'!C365)</f>
        <v>4</v>
      </c>
      <c r="D365" s="58" t="str">
        <f>IF('AYIRA MINI MART FINAL MENU - Pr'!D365="", "", 'AYIRA MINI MART FINAL MENU - Pr'!D365)</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65" s="56" t="str">
        <f>IF('AYIRA MINI MART FINAL MENU - Pr'!E365="", "", 'AYIRA MINI MART FINAL MENU - Pr'!E365)</f>
        <v/>
      </c>
      <c r="F365" s="56" t="str">
        <f>IF('AYIRA MINI MART FINAL MENU - Pr'!F365="", "", 'AYIRA MINI MART FINAL MENU - Pr'!F365)</f>
        <v/>
      </c>
      <c r="G365" s="56" t="str">
        <f>IF('AYIRA MINI MART FINAL MENU - Pr'!G365="", "", 'AYIRA MINI MART FINAL MENU - Pr'!G365)</f>
        <v/>
      </c>
      <c r="H365" s="56" t="str">
        <f>IF('AYIRA MINI MART FINAL MENU - Pr'!H365="", "", 'AYIRA MINI MART FINAL MENU - Pr'!H365)</f>
        <v/>
      </c>
      <c r="I365" s="56" t="str">
        <f>IF('AYIRA MINI MART FINAL MENU - Pr'!I365="", "", 'AYIRA MINI MART FINAL MENU - Pr'!I365)</f>
        <v/>
      </c>
      <c r="J365" s="56" t="str">
        <f>IFERROR(__xludf.DUMMYFUNCTION("IF('AYIRA MINI MART FINAL MENU - Pr'!J365="""", """", GOOGLETRANSLATE('AYIRA MINI MART FINAL MENU - Pr'!J365, ""en"", ""ar""))"),"إنتهى من المخزن")</f>
        <v>إنتهى من المخزن</v>
      </c>
      <c r="K365" s="56" t="str">
        <f>IF('AYIRA MINI MART FINAL MENU - Pr'!K365="", "", 'AYIRA MINI MART FINAL MENU - Pr'!K365)</f>
        <v/>
      </c>
      <c r="L365" s="56" t="str">
        <f>IF('AYIRA MINI MART FINAL MENU - Pr'!L365="", "", 'AYIRA MINI MART FINAL MENU - Pr'!L365)</f>
        <v/>
      </c>
      <c r="M365" s="56" t="str">
        <f>IF('AYIRA MINI MART FINAL MENU - Pr'!M365="", "", 'AYIRA MINI MART FINAL MENU - Pr'!M365)</f>
        <v/>
      </c>
      <c r="N365" s="56" t="str">
        <f>IF('AYIRA MINI MART FINAL MENU - Pr'!N365="", "", 'AYIRA MINI MART FINAL MENU - Pr'!N365)</f>
        <v/>
      </c>
      <c r="O365" s="57"/>
      <c r="P365" s="57"/>
      <c r="Q365" s="57"/>
      <c r="R365" s="57"/>
      <c r="S365" s="57"/>
      <c r="T365" s="57"/>
      <c r="U365" s="57"/>
      <c r="V365" s="57"/>
      <c r="W365" s="57"/>
      <c r="X365" s="57"/>
      <c r="Y365" s="57"/>
      <c r="Z365" s="57"/>
    </row>
    <row r="366">
      <c r="A366" s="56" t="str">
        <f>IFERROR(__xludf.DUMMYFUNCTION("IF('AYIRA MINI MART FINAL MENU - Pr'!A366="""", """", IF(LEN(TRIM(REGEXREPLACE(REGEXREPLACE('AYIRA MINI MART FINAL MENU - Pr'!A366, ""^[^\x{0600}-\x{06FF}]+"", """"), ""^[-–\s]+"", """")))&gt;0, TRIM(REGEXREPLACE(REGEXREPLACE('AYIRA MINI MART FINAL MENU - Pr"&amp;"'!A366, ""^[^\x{0600}-\x{06FF}]+"", """"), ""^[-–\s]+"", """")), GOOGLETRANSLATE('AYIRA MINI MART FINAL MENU - Pr'!A366, ""en"", ""ar"")))"),"سنيكرز Xtreme Extra مكسرات &amp; كراميل شوكولاتة قطعة 42 غرام")</f>
        <v>سنيكرز Xtreme Extra مكسرات &amp; كراميل شوكولاتة قطعة 42 غرام</v>
      </c>
      <c r="B366" s="56" t="str">
        <f>IFERROR(__xludf.DUMMYFUNCTION("IF('AYIRA MINI MART FINAL MENU - Pr'!B366="""", """", IF(LEN(TRIM(REGEXREPLACE(REGEXREPLACE('AYIRA MINI MART FINAL MENU - Pr'!B366, ""^[^\x{0600}-\x{06FF}]+"", """"), ""^[-–\s]+"", """")))&gt;0, TRIM(REGEXREPLACE(REGEXREPLACE('AYIRA MINI MART FINAL MENU - Pr"&amp;"'!B366, ""^[^\x{0600}-\x{06FF}]+"", """"), ""^[-–\s]+"", """")), GOOGLETRANSLATE('AYIRA MINI MART FINAL MENU - Pr'!B366, ""en"", ""ar"")))"),"الشوكولاتة")</f>
        <v>الشوكولاتة</v>
      </c>
      <c r="C366" s="58">
        <f>IF('AYIRA MINI MART FINAL MENU - Pr'!C366="", "", 'AYIRA MINI MART FINAL MENU - Pr'!C366)</f>
        <v>3.5</v>
      </c>
      <c r="D366" s="58" t="str">
        <f>IF('AYIRA MINI MART FINAL MENU - Pr'!D366="", "", 'AYIRA MINI MART FINAL MENU - Pr'!D366)</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66" s="56" t="str">
        <f>IF('AYIRA MINI MART FINAL MENU - Pr'!E366="", "", 'AYIRA MINI MART FINAL MENU - Pr'!E366)</f>
        <v/>
      </c>
      <c r="F366" s="56" t="str">
        <f>IF('AYIRA MINI MART FINAL MENU - Pr'!F366="", "", 'AYIRA MINI MART FINAL MENU - Pr'!F366)</f>
        <v/>
      </c>
      <c r="G366" s="56" t="str">
        <f>IF('AYIRA MINI MART FINAL MENU - Pr'!G366="", "", 'AYIRA MINI MART FINAL MENU - Pr'!G366)</f>
        <v/>
      </c>
      <c r="H366" s="56" t="str">
        <f>IF('AYIRA MINI MART FINAL MENU - Pr'!H366="", "", 'AYIRA MINI MART FINAL MENU - Pr'!H366)</f>
        <v/>
      </c>
      <c r="I366" s="56" t="str">
        <f>IF('AYIRA MINI MART FINAL MENU - Pr'!I366="", "", 'AYIRA MINI MART FINAL MENU - Pr'!I366)</f>
        <v/>
      </c>
      <c r="J366" s="56" t="str">
        <f>IFERROR(__xludf.DUMMYFUNCTION("IF('AYIRA MINI MART FINAL MENU - Pr'!J366="""", """", GOOGLETRANSLATE('AYIRA MINI MART FINAL MENU - Pr'!J366, ""en"", ""ar""))"),"يعرض")</f>
        <v>يعرض</v>
      </c>
      <c r="K366" s="56" t="str">
        <f>IF('AYIRA MINI MART FINAL MENU - Pr'!K366="", "", 'AYIRA MINI MART FINAL MENU - Pr'!K366)</f>
        <v/>
      </c>
      <c r="L366" s="56" t="str">
        <f>IF('AYIRA MINI MART FINAL MENU - Pr'!L366="", "", 'AYIRA MINI MART FINAL MENU - Pr'!L366)</f>
        <v/>
      </c>
      <c r="M366" s="56" t="str">
        <f>IF('AYIRA MINI MART FINAL MENU - Pr'!M366="", "", 'AYIRA MINI MART FINAL MENU - Pr'!M366)</f>
        <v/>
      </c>
      <c r="N366" s="56" t="str">
        <f>IF('AYIRA MINI MART FINAL MENU - Pr'!N366="", "", 'AYIRA MINI MART FINAL MENU - Pr'!N366)</f>
        <v/>
      </c>
      <c r="O366" s="57"/>
      <c r="P366" s="57"/>
      <c r="Q366" s="57"/>
      <c r="R366" s="57"/>
      <c r="S366" s="57"/>
      <c r="T366" s="57"/>
      <c r="U366" s="57"/>
      <c r="V366" s="57"/>
      <c r="W366" s="57"/>
      <c r="X366" s="57"/>
      <c r="Y366" s="57"/>
      <c r="Z366" s="57"/>
    </row>
    <row r="367">
      <c r="A367" s="56" t="str">
        <f>IFERROR(__xludf.DUMMYFUNCTION("IF('AYIRA MINI MART FINAL MENU - Pr'!A367="""", """", IF(LEN(TRIM(REGEXREPLACE(REGEXREPLACE('AYIRA MINI MART FINAL MENU - Pr'!A367, ""^[^\x{0600}-\x{06FF}]+"", """"), ""^[-–\s]+"", """")))&gt;0, TRIM(REGEXREPLACE(REGEXREPLACE('AYIRA MINI MART FINAL MENU - Pr"&amp;"'!A367, ""^[^\x{0600}-\x{06FF}]+"", """"), ""^[-–\s]+"", """")), GOOGLETRANSLATE('AYIRA MINI MART FINAL MENU - Pr'!A367, ""en"", ""ar"")))"),"سنيكرز Creamy فول سوداني زبدة 36.5 غرام")</f>
        <v>سنيكرز Creamy فول سوداني زبدة 36.5 غرام</v>
      </c>
      <c r="B367" s="56" t="str">
        <f>IFERROR(__xludf.DUMMYFUNCTION("IF('AYIRA MINI MART FINAL MENU - Pr'!B367="""", """", IF(LEN(TRIM(REGEXREPLACE(REGEXREPLACE('AYIRA MINI MART FINAL MENU - Pr'!B367, ""^[^\x{0600}-\x{06FF}]+"", """"), ""^[-–\s]+"", """")))&gt;0, TRIM(REGEXREPLACE(REGEXREPLACE('AYIRA MINI MART FINAL MENU - Pr"&amp;"'!B367, ""^[^\x{0600}-\x{06FF}]+"", """"), ""^[-–\s]+"", """")), GOOGLETRANSLATE('AYIRA MINI MART FINAL MENU - Pr'!B367, ""en"", ""ar"")))"),"الشوكولاتة")</f>
        <v>الشوكولاتة</v>
      </c>
      <c r="C367" s="58">
        <f>IF('AYIRA MINI MART FINAL MENU - Pr'!C367="", "", 'AYIRA MINI MART FINAL MENU - Pr'!C367)</f>
        <v>3.5</v>
      </c>
      <c r="D367" s="58" t="str">
        <f>IF('AYIRA MINI MART FINAL MENU - Pr'!D367="", "", 'AYIRA MINI MART FINAL MENU - Pr'!D367)</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67" s="56" t="str">
        <f>IF('AYIRA MINI MART FINAL MENU - Pr'!E367="", "", 'AYIRA MINI MART FINAL MENU - Pr'!E367)</f>
        <v/>
      </c>
      <c r="F367" s="56" t="str">
        <f>IF('AYIRA MINI MART FINAL MENU - Pr'!F367="", "", 'AYIRA MINI MART FINAL MENU - Pr'!F367)</f>
        <v/>
      </c>
      <c r="G367" s="56" t="str">
        <f>IF('AYIRA MINI MART FINAL MENU - Pr'!G367="", "", 'AYIRA MINI MART FINAL MENU - Pr'!G367)</f>
        <v/>
      </c>
      <c r="H367" s="56" t="str">
        <f>IF('AYIRA MINI MART FINAL MENU - Pr'!H367="", "", 'AYIRA MINI MART FINAL MENU - Pr'!H367)</f>
        <v/>
      </c>
      <c r="I367" s="56" t="str">
        <f>IF('AYIRA MINI MART FINAL MENU - Pr'!I367="", "", 'AYIRA MINI MART FINAL MENU - Pr'!I367)</f>
        <v/>
      </c>
      <c r="J367" s="56" t="str">
        <f>IFERROR(__xludf.DUMMYFUNCTION("IF('AYIRA MINI MART FINAL MENU - Pr'!J367="""", """", GOOGLETRANSLATE('AYIRA MINI MART FINAL MENU - Pr'!J367, ""en"", ""ar""))"),"يعرض")</f>
        <v>يعرض</v>
      </c>
      <c r="K367" s="56" t="str">
        <f>IF('AYIRA MINI MART FINAL MENU - Pr'!K367="", "", 'AYIRA MINI MART FINAL MENU - Pr'!K367)</f>
        <v/>
      </c>
      <c r="L367" s="56" t="str">
        <f>IF('AYIRA MINI MART FINAL MENU - Pr'!L367="", "", 'AYIRA MINI MART FINAL MENU - Pr'!L367)</f>
        <v/>
      </c>
      <c r="M367" s="56" t="str">
        <f>IF('AYIRA MINI MART FINAL MENU - Pr'!M367="", "", 'AYIRA MINI MART FINAL MENU - Pr'!M367)</f>
        <v/>
      </c>
      <c r="N367" s="56" t="str">
        <f>IF('AYIRA MINI MART FINAL MENU - Pr'!N367="", "", 'AYIRA MINI MART FINAL MENU - Pr'!N367)</f>
        <v/>
      </c>
      <c r="O367" s="57"/>
      <c r="P367" s="57"/>
      <c r="Q367" s="57"/>
      <c r="R367" s="57"/>
      <c r="S367" s="57"/>
      <c r="T367" s="57"/>
      <c r="U367" s="57"/>
      <c r="V367" s="57"/>
      <c r="W367" s="57"/>
      <c r="X367" s="57"/>
      <c r="Y367" s="57"/>
      <c r="Z367" s="57"/>
    </row>
    <row r="368">
      <c r="A368" s="56" t="str">
        <f>IFERROR(__xludf.DUMMYFUNCTION("IF('AYIRA MINI MART FINAL MENU - Pr'!A368="""", """", IF(LEN(TRIM(REGEXREPLACE(REGEXREPLACE('AYIRA MINI MART FINAL MENU - Pr'!A368, ""^[^\x{0600}-\x{06FF}]+"", """"), ""^[-–\s]+"", """")))&gt;0, TRIM(REGEXREPLACE(REGEXREPLACE('AYIRA MINI MART FINAL MENU - Pr"&amp;"'!A368, ""^[^\x{0600}-\x{06FF}]+"", """"), ""^[-–\s]+"", """")), GOOGLETRANSLATE('AYIRA MINI MART FINAL MENU - Pr'!A368, ""en"", ""ar"")))"),"مارس شوكولاتة قطعة 51 غرام")</f>
        <v>مارس شوكولاتة قطعة 51 غرام</v>
      </c>
      <c r="B368" s="56" t="str">
        <f>IFERROR(__xludf.DUMMYFUNCTION("IF('AYIRA MINI MART FINAL MENU - Pr'!B368="""", """", IF(LEN(TRIM(REGEXREPLACE(REGEXREPLACE('AYIRA MINI MART FINAL MENU - Pr'!B368, ""^[^\x{0600}-\x{06FF}]+"", """"), ""^[-–\s]+"", """")))&gt;0, TRIM(REGEXREPLACE(REGEXREPLACE('AYIRA MINI MART FINAL MENU - Pr"&amp;"'!B368, ""^[^\x{0600}-\x{06FF}]+"", """"), ""^[-–\s]+"", """")), GOOGLETRANSLATE('AYIRA MINI MART FINAL MENU - Pr'!B368, ""en"", ""ar"")))"),"الشوكولاتة")</f>
        <v>الشوكولاتة</v>
      </c>
      <c r="C368" s="58">
        <f>IF('AYIRA MINI MART FINAL MENU - Pr'!C368="", "", 'AYIRA MINI MART FINAL MENU - Pr'!C368)</f>
        <v>4</v>
      </c>
      <c r="D368" s="58" t="str">
        <f>IF('AYIRA MINI MART FINAL MENU - Pr'!D368="", "", 'AYIRA MINI MART FINAL MENU - Pr'!D368)</f>
        <v>دلّل حواسك مع مارس،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68" s="56" t="str">
        <f>IF('AYIRA MINI MART FINAL MENU - Pr'!E368="", "", 'AYIRA MINI MART FINAL MENU - Pr'!E368)</f>
        <v/>
      </c>
      <c r="F368" s="56" t="str">
        <f>IF('AYIRA MINI MART FINAL MENU - Pr'!F368="", "", 'AYIRA MINI MART FINAL MENU - Pr'!F368)</f>
        <v/>
      </c>
      <c r="G368" s="56" t="str">
        <f>IF('AYIRA MINI MART FINAL MENU - Pr'!G368="", "", 'AYIRA MINI MART FINAL MENU - Pr'!G368)</f>
        <v/>
      </c>
      <c r="H368" s="56" t="str">
        <f>IF('AYIRA MINI MART FINAL MENU - Pr'!H368="", "", 'AYIRA MINI MART FINAL MENU - Pr'!H368)</f>
        <v/>
      </c>
      <c r="I368" s="56" t="str">
        <f>IF('AYIRA MINI MART FINAL MENU - Pr'!I368="", "", 'AYIRA MINI MART FINAL MENU - Pr'!I368)</f>
        <v/>
      </c>
      <c r="J368" s="56" t="str">
        <f>IFERROR(__xludf.DUMMYFUNCTION("IF('AYIRA MINI MART FINAL MENU - Pr'!J368="""", """", GOOGLETRANSLATE('AYIRA MINI MART FINAL MENU - Pr'!J368, ""en"", ""ar""))"),"يعرض")</f>
        <v>يعرض</v>
      </c>
      <c r="K368" s="56" t="str">
        <f>IF('AYIRA MINI MART FINAL MENU - Pr'!K368="", "", 'AYIRA MINI MART FINAL MENU - Pr'!K368)</f>
        <v/>
      </c>
      <c r="L368" s="56" t="str">
        <f>IF('AYIRA MINI MART FINAL MENU - Pr'!L368="", "", 'AYIRA MINI MART FINAL MENU - Pr'!L368)</f>
        <v/>
      </c>
      <c r="M368" s="56" t="str">
        <f>IF('AYIRA MINI MART FINAL MENU - Pr'!M368="", "", 'AYIRA MINI MART FINAL MENU - Pr'!M368)</f>
        <v/>
      </c>
      <c r="N368" s="56" t="str">
        <f>IF('AYIRA MINI MART FINAL MENU - Pr'!N368="", "", 'AYIRA MINI MART FINAL MENU - Pr'!N368)</f>
        <v/>
      </c>
      <c r="O368" s="57"/>
      <c r="P368" s="57"/>
      <c r="Q368" s="57"/>
      <c r="R368" s="57"/>
      <c r="S368" s="57"/>
      <c r="T368" s="57"/>
      <c r="U368" s="57"/>
      <c r="V368" s="57"/>
      <c r="W368" s="57"/>
      <c r="X368" s="57"/>
      <c r="Y368" s="57"/>
      <c r="Z368" s="57"/>
    </row>
    <row r="369">
      <c r="A369" s="56" t="str">
        <f>IFERROR(__xludf.DUMMYFUNCTION("IF('AYIRA MINI MART FINAL MENU - Pr'!A369="""", """", IF(LEN(TRIM(REGEXREPLACE(REGEXREPLACE('AYIRA MINI MART FINAL MENU - Pr'!A369, ""^[^\x{0600}-\x{06FF}]+"", """"), ""^[-–\s]+"", """")))&gt;0, TRIM(REGEXREPLACE(REGEXREPLACE('AYIRA MINI MART FINAL MENU - Pr"&amp;"'!A369, ""^[^\x{0600}-\x{06FF}]+"", """"), ""^[-–\s]+"", """")), GOOGLETRANSLATE('AYIRA MINI MART FINAL MENU - Pr'!A369, ""en"", ""ar"")))"),"شيبس with Tomato كاتشاب 167 غرام")</f>
        <v>شيبس with Tomato كاتشاب 167 غرام</v>
      </c>
      <c r="B369" s="56" t="str">
        <f>IFERROR(__xludf.DUMMYFUNCTION("IF('AYIRA MINI MART FINAL MENU - Pr'!B369="""", """", IF(LEN(TRIM(REGEXREPLACE(REGEXREPLACE('AYIRA MINI MART FINAL MENU - Pr'!B369, ""^[^\x{0600}-\x{06FF}]+"", """"), ""^[-–\s]+"", """")))&gt;0, TRIM(REGEXREPLACE(REGEXREPLACE('AYIRA MINI MART FINAL MENU - Pr"&amp;"'!B369, ""^[^\x{0600}-\x{06FF}]+"", """"), ""^[-–\s]+"", """")), GOOGLETRANSLATE('AYIRA MINI MART FINAL MENU - Pr'!B369, ""en"", ""ar"")))"),"الشيبس والمقرمشات")</f>
        <v>الشيبس والمقرمشات</v>
      </c>
      <c r="C369" s="58">
        <f>IF('AYIRA MINI MART FINAL MENU - Pr'!C369="", "", 'AYIRA MINI MART FINAL MENU - Pr'!C369)</f>
        <v>7</v>
      </c>
      <c r="D369" s="58" t="str">
        <f>IF('AYIRA MINI MART FINAL MENU - Pr'!D369="", "", 'AYIRA MINI MART FINAL MENU - Pr'!D369)</f>
        <v>لا تقاوم طعم Nice Chips with Tomato Ketchup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69" s="56" t="str">
        <f>IF('AYIRA MINI MART FINAL MENU - Pr'!E369="", "", 'AYIRA MINI MART FINAL MENU - Pr'!E369)</f>
        <v/>
      </c>
      <c r="F369" s="56" t="str">
        <f>IF('AYIRA MINI MART FINAL MENU - Pr'!F369="", "", 'AYIRA MINI MART FINAL MENU - Pr'!F369)</f>
        <v/>
      </c>
      <c r="G369" s="56" t="str">
        <f>IF('AYIRA MINI MART FINAL MENU - Pr'!G369="", "", 'AYIRA MINI MART FINAL MENU - Pr'!G369)</f>
        <v/>
      </c>
      <c r="H369" s="56" t="str">
        <f>IF('AYIRA MINI MART FINAL MENU - Pr'!H369="", "", 'AYIRA MINI MART FINAL MENU - Pr'!H369)</f>
        <v/>
      </c>
      <c r="I369" s="56" t="str">
        <f>IF('AYIRA MINI MART FINAL MENU - Pr'!I369="", "", 'AYIRA MINI MART FINAL MENU - Pr'!I369)</f>
        <v/>
      </c>
      <c r="J369" s="56" t="str">
        <f>IFERROR(__xludf.DUMMYFUNCTION("IF('AYIRA MINI MART FINAL MENU - Pr'!J369="""", """", GOOGLETRANSLATE('AYIRA MINI MART FINAL MENU - Pr'!J369, ""en"", ""ar""))"),"يعرض")</f>
        <v>يعرض</v>
      </c>
      <c r="K369" s="56" t="str">
        <f>IF('AYIRA MINI MART FINAL MENU - Pr'!K369="", "", 'AYIRA MINI MART FINAL MENU - Pr'!K369)</f>
        <v/>
      </c>
      <c r="L369" s="56" t="str">
        <f>IF('AYIRA MINI MART FINAL MENU - Pr'!L369="", "", 'AYIRA MINI MART FINAL MENU - Pr'!L369)</f>
        <v/>
      </c>
      <c r="M369" s="56" t="str">
        <f>IF('AYIRA MINI MART FINAL MENU - Pr'!M369="", "", 'AYIRA MINI MART FINAL MENU - Pr'!M369)</f>
        <v/>
      </c>
      <c r="N369" s="56" t="str">
        <f>IF('AYIRA MINI MART FINAL MENU - Pr'!N369="", "", 'AYIRA MINI MART FINAL MENU - Pr'!N369)</f>
        <v/>
      </c>
      <c r="O369" s="57"/>
      <c r="P369" s="57"/>
      <c r="Q369" s="57"/>
      <c r="R369" s="57"/>
      <c r="S369" s="57"/>
      <c r="T369" s="57"/>
      <c r="U369" s="57"/>
      <c r="V369" s="57"/>
      <c r="W369" s="57"/>
      <c r="X369" s="57"/>
      <c r="Y369" s="57"/>
      <c r="Z369" s="57"/>
    </row>
    <row r="370">
      <c r="A370" s="56" t="str">
        <f>IFERROR(__xludf.DUMMYFUNCTION("IF('AYIRA MINI MART FINAL MENU - Pr'!A370="""", """", IF(LEN(TRIM(REGEXREPLACE(REGEXREPLACE('AYIRA MINI MART FINAL MENU - Pr'!A370, ""^[^\x{0600}-\x{06FF}]+"", """"), ""^[-–\s]+"", """")))&gt;0, TRIM(REGEXREPLACE(REGEXREPLACE('AYIRA MINI MART FINAL MENU - Pr"&amp;"'!A370, ""^[^\x{0600}-\x{06FF}]+"", """"), ""^[-–\s]+"", """")), GOOGLETRANSLATE('AYIRA MINI MART FINAL MENU - Pr'!A370, ""en"", ""ar"")))"),"شيبس with لايت ملح 167 غرام")</f>
        <v>شيبس with لايت ملح 167 غرام</v>
      </c>
      <c r="B370" s="56" t="str">
        <f>IFERROR(__xludf.DUMMYFUNCTION("IF('AYIRA MINI MART FINAL MENU - Pr'!B370="""", """", IF(LEN(TRIM(REGEXREPLACE(REGEXREPLACE('AYIRA MINI MART FINAL MENU - Pr'!B370, ""^[^\x{0600}-\x{06FF}]+"", """"), ""^[-–\s]+"", """")))&gt;0, TRIM(REGEXREPLACE(REGEXREPLACE('AYIRA MINI MART FINAL MENU - Pr"&amp;"'!B370, ""^[^\x{0600}-\x{06FF}]+"", """"), ""^[-–\s]+"", """")), GOOGLETRANSLATE('AYIRA MINI MART FINAL MENU - Pr'!B370, ""en"", ""ar"")))"),"الشيبس والمقرمشات")</f>
        <v>الشيبس والمقرمشات</v>
      </c>
      <c r="C370" s="58">
        <f>IF('AYIRA MINI MART FINAL MENU - Pr'!C370="", "", 'AYIRA MINI MART FINAL MENU - Pr'!C370)</f>
        <v>7</v>
      </c>
      <c r="D370" s="58" t="str">
        <f>IF('AYIRA MINI MART FINAL MENU - Pr'!D370="", "", 'AYIRA MINI MART FINAL MENU - Pr'!D370)</f>
        <v>لا تقاوم طعم Nice Chips with Light Salt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0" s="56" t="str">
        <f>IF('AYIRA MINI MART FINAL MENU - Pr'!E370="", "", 'AYIRA MINI MART FINAL MENU - Pr'!E370)</f>
        <v/>
      </c>
      <c r="F370" s="56" t="str">
        <f>IF('AYIRA MINI MART FINAL MENU - Pr'!F370="", "", 'AYIRA MINI MART FINAL MENU - Pr'!F370)</f>
        <v/>
      </c>
      <c r="G370" s="56" t="str">
        <f>IF('AYIRA MINI MART FINAL MENU - Pr'!G370="", "", 'AYIRA MINI MART FINAL MENU - Pr'!G370)</f>
        <v/>
      </c>
      <c r="H370" s="56" t="str">
        <f>IF('AYIRA MINI MART FINAL MENU - Pr'!H370="", "", 'AYIRA MINI MART FINAL MENU - Pr'!H370)</f>
        <v/>
      </c>
      <c r="I370" s="56" t="str">
        <f>IF('AYIRA MINI MART FINAL MENU - Pr'!I370="", "", 'AYIRA MINI MART FINAL MENU - Pr'!I370)</f>
        <v/>
      </c>
      <c r="J370" s="56" t="str">
        <f>IFERROR(__xludf.DUMMYFUNCTION("IF('AYIRA MINI MART FINAL MENU - Pr'!J370="""", """", GOOGLETRANSLATE('AYIRA MINI MART FINAL MENU - Pr'!J370, ""en"", ""ar""))"),"يعرض")</f>
        <v>يعرض</v>
      </c>
      <c r="K370" s="56" t="str">
        <f>IF('AYIRA MINI MART FINAL MENU - Pr'!K370="", "", 'AYIRA MINI MART FINAL MENU - Pr'!K370)</f>
        <v/>
      </c>
      <c r="L370" s="56" t="str">
        <f>IF('AYIRA MINI MART FINAL MENU - Pr'!L370="", "", 'AYIRA MINI MART FINAL MENU - Pr'!L370)</f>
        <v/>
      </c>
      <c r="M370" s="56" t="str">
        <f>IF('AYIRA MINI MART FINAL MENU - Pr'!M370="", "", 'AYIRA MINI MART FINAL MENU - Pr'!M370)</f>
        <v/>
      </c>
      <c r="N370" s="56" t="str">
        <f>IF('AYIRA MINI MART FINAL MENU - Pr'!N370="", "", 'AYIRA MINI MART FINAL MENU - Pr'!N370)</f>
        <v/>
      </c>
      <c r="O370" s="57"/>
      <c r="P370" s="57"/>
      <c r="Q370" s="57"/>
      <c r="R370" s="57"/>
      <c r="S370" s="57"/>
      <c r="T370" s="57"/>
      <c r="U370" s="57"/>
      <c r="V370" s="57"/>
      <c r="W370" s="57"/>
      <c r="X370" s="57"/>
      <c r="Y370" s="57"/>
      <c r="Z370" s="57"/>
    </row>
    <row r="371">
      <c r="A371" s="56" t="str">
        <f>IFERROR(__xludf.DUMMYFUNCTION("IF('AYIRA MINI MART FINAL MENU - Pr'!A371="""", """", IF(LEN(TRIM(REGEXREPLACE(REGEXREPLACE('AYIRA MINI MART FINAL MENU - Pr'!A371, ""^[^\x{0600}-\x{06FF}]+"", """"), ""^[-–\s]+"", """")))&gt;0, TRIM(REGEXREPLACE(REGEXREPLACE('AYIRA MINI MART FINAL MENU - Pr"&amp;"'!A371, ""^[^\x{0600}-\x{06FF}]+"", """"), ""^[-–\s]+"", """")), GOOGLETRANSLATE('AYIRA MINI MART FINAL MENU - Pr'!A371, ""en"", ""ar"")))"),"كيتكو Nice شيبس Chilly 16 غرام × 20")</f>
        <v>كيتكو Nice شيبس Chilly 16 غرام × 20</v>
      </c>
      <c r="B371" s="56" t="str">
        <f>IFERROR(__xludf.DUMMYFUNCTION("IF('AYIRA MINI MART FINAL MENU - Pr'!B371="""", """", IF(LEN(TRIM(REGEXREPLACE(REGEXREPLACE('AYIRA MINI MART FINAL MENU - Pr'!B371, ""^[^\x{0600}-\x{06FF}]+"", """"), ""^[-–\s]+"", """")))&gt;0, TRIM(REGEXREPLACE(REGEXREPLACE('AYIRA MINI MART FINAL MENU - Pr"&amp;"'!B371, ""^[^\x{0600}-\x{06FF}]+"", """"), ""^[-–\s]+"", """")), GOOGLETRANSLATE('AYIRA MINI MART FINAL MENU - Pr'!B371, ""en"", ""ar"")))"),"الشيبس والمقرمشات")</f>
        <v>الشيبس والمقرمشات</v>
      </c>
      <c r="C371" s="58">
        <f>IF('AYIRA MINI MART FINAL MENU - Pr'!C371="", "", 'AYIRA MINI MART FINAL MENU - Pr'!C371)</f>
        <v>18</v>
      </c>
      <c r="D371" s="58" t="str">
        <f>IF('AYIRA MINI MART FINAL MENU - Pr'!D371="", "", 'AYIRA MINI MART FINAL MENU - Pr'!D371)</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1" s="56" t="str">
        <f>IF('AYIRA MINI MART FINAL MENU - Pr'!E371="", "", 'AYIRA MINI MART FINAL MENU - Pr'!E371)</f>
        <v/>
      </c>
      <c r="F371" s="56" t="str">
        <f>IF('AYIRA MINI MART FINAL MENU - Pr'!F371="", "", 'AYIRA MINI MART FINAL MENU - Pr'!F371)</f>
        <v/>
      </c>
      <c r="G371" s="56" t="str">
        <f>IF('AYIRA MINI MART FINAL MENU - Pr'!G371="", "", 'AYIRA MINI MART FINAL MENU - Pr'!G371)</f>
        <v/>
      </c>
      <c r="H371" s="56" t="str">
        <f>IF('AYIRA MINI MART FINAL MENU - Pr'!H371="", "", 'AYIRA MINI MART FINAL MENU - Pr'!H371)</f>
        <v/>
      </c>
      <c r="I371" s="56" t="str">
        <f>IF('AYIRA MINI MART FINAL MENU - Pr'!I371="", "", 'AYIRA MINI MART FINAL MENU - Pr'!I371)</f>
        <v/>
      </c>
      <c r="J371" s="56" t="str">
        <f>IFERROR(__xludf.DUMMYFUNCTION("IF('AYIRA MINI MART FINAL MENU - Pr'!J371="""", """", GOOGLETRANSLATE('AYIRA MINI MART FINAL MENU - Pr'!J371, ""en"", ""ar""))"),"يعرض")</f>
        <v>يعرض</v>
      </c>
      <c r="K371" s="56" t="str">
        <f>IF('AYIRA MINI MART FINAL MENU - Pr'!K371="", "", 'AYIRA MINI MART FINAL MENU - Pr'!K371)</f>
        <v/>
      </c>
      <c r="L371" s="56" t="str">
        <f>IF('AYIRA MINI MART FINAL MENU - Pr'!L371="", "", 'AYIRA MINI MART FINAL MENU - Pr'!L371)</f>
        <v/>
      </c>
      <c r="M371" s="56" t="str">
        <f>IF('AYIRA MINI MART FINAL MENU - Pr'!M371="", "", 'AYIRA MINI MART FINAL MENU - Pr'!M371)</f>
        <v/>
      </c>
      <c r="N371" s="56" t="str">
        <f>IF('AYIRA MINI MART FINAL MENU - Pr'!N371="", "", 'AYIRA MINI MART FINAL MENU - Pr'!N371)</f>
        <v/>
      </c>
      <c r="O371" s="57"/>
      <c r="P371" s="57"/>
      <c r="Q371" s="57"/>
      <c r="R371" s="57"/>
      <c r="S371" s="57"/>
      <c r="T371" s="57"/>
      <c r="U371" s="57"/>
      <c r="V371" s="57"/>
      <c r="W371" s="57"/>
      <c r="X371" s="57"/>
      <c r="Y371" s="57"/>
      <c r="Z371" s="57"/>
    </row>
    <row r="372">
      <c r="A372" s="56" t="str">
        <f>IFERROR(__xludf.DUMMYFUNCTION("IF('AYIRA MINI MART FINAL MENU - Pr'!A372="""", """", IF(LEN(TRIM(REGEXREPLACE(REGEXREPLACE('AYIRA MINI MART FINAL MENU - Pr'!A372, ""^[^\x{0600}-\x{06FF}]+"", """"), ""^[-–\s]+"", """")))&gt;0, TRIM(REGEXREPLACE(REGEXREPLACE('AYIRA MINI MART FINAL MENU - Pr"&amp;"'!A372, ""^[^\x{0600}-\x{06FF}]+"", """"), ""^[-–\s]+"", """")), GOOGLETRANSLATE('AYIRA MINI MART FINAL MENU - Pr'!A372, ""en"", ""ar"")))"),"كيتكو Nice شيبس Paprika 80 غرام")</f>
        <v>كيتكو Nice شيبس Paprika 80 غرام</v>
      </c>
      <c r="B372" s="56" t="str">
        <f>IFERROR(__xludf.DUMMYFUNCTION("IF('AYIRA MINI MART FINAL MENU - Pr'!B372="""", """", IF(LEN(TRIM(REGEXREPLACE(REGEXREPLACE('AYIRA MINI MART FINAL MENU - Pr'!B372, ""^[^\x{0600}-\x{06FF}]+"", """"), ""^[-–\s]+"", """")))&gt;0, TRIM(REGEXREPLACE(REGEXREPLACE('AYIRA MINI MART FINAL MENU - Pr"&amp;"'!B372, ""^[^\x{0600}-\x{06FF}]+"", """"), ""^[-–\s]+"", """")), GOOGLETRANSLATE('AYIRA MINI MART FINAL MENU - Pr'!B372, ""en"", ""ar"")))"),"الشيبس والمقرمشات")</f>
        <v>الشيبس والمقرمشات</v>
      </c>
      <c r="C372" s="58">
        <f>IF('AYIRA MINI MART FINAL MENU - Pr'!C372="", "", 'AYIRA MINI MART FINAL MENU - Pr'!C372)</f>
        <v>4</v>
      </c>
      <c r="D372" s="58" t="str">
        <f>IF('AYIRA MINI MART FINAL MENU - Pr'!D372="", "", 'AYIRA MINI MART FINAL MENU - Pr'!D372)</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2" s="56" t="str">
        <f>IF('AYIRA MINI MART FINAL MENU - Pr'!E372="", "", 'AYIRA MINI MART FINAL MENU - Pr'!E372)</f>
        <v/>
      </c>
      <c r="F372" s="56" t="str">
        <f>IF('AYIRA MINI MART FINAL MENU - Pr'!F372="", "", 'AYIRA MINI MART FINAL MENU - Pr'!F372)</f>
        <v/>
      </c>
      <c r="G372" s="56" t="str">
        <f>IF('AYIRA MINI MART FINAL MENU - Pr'!G372="", "", 'AYIRA MINI MART FINAL MENU - Pr'!G372)</f>
        <v/>
      </c>
      <c r="H372" s="56" t="str">
        <f>IF('AYIRA MINI MART FINAL MENU - Pr'!H372="", "", 'AYIRA MINI MART FINAL MENU - Pr'!H372)</f>
        <v/>
      </c>
      <c r="I372" s="56" t="str">
        <f>IF('AYIRA MINI MART FINAL MENU - Pr'!I372="", "", 'AYIRA MINI MART FINAL MENU - Pr'!I372)</f>
        <v/>
      </c>
      <c r="J372" s="56" t="str">
        <f>IFERROR(__xludf.DUMMYFUNCTION("IF('AYIRA MINI MART FINAL MENU - Pr'!J372="""", """", GOOGLETRANSLATE('AYIRA MINI MART FINAL MENU - Pr'!J372, ""en"", ""ar""))"),"يعرض")</f>
        <v>يعرض</v>
      </c>
      <c r="K372" s="56" t="str">
        <f>IF('AYIRA MINI MART FINAL MENU - Pr'!K372="", "", 'AYIRA MINI MART FINAL MENU - Pr'!K372)</f>
        <v/>
      </c>
      <c r="L372" s="56" t="str">
        <f>IF('AYIRA MINI MART FINAL MENU - Pr'!L372="", "", 'AYIRA MINI MART FINAL MENU - Pr'!L372)</f>
        <v/>
      </c>
      <c r="M372" s="56" t="str">
        <f>IF('AYIRA MINI MART FINAL MENU - Pr'!M372="", "", 'AYIRA MINI MART FINAL MENU - Pr'!M372)</f>
        <v/>
      </c>
      <c r="N372" s="56" t="str">
        <f>IF('AYIRA MINI MART FINAL MENU - Pr'!N372="", "", 'AYIRA MINI MART FINAL MENU - Pr'!N372)</f>
        <v/>
      </c>
      <c r="O372" s="57"/>
      <c r="P372" s="57"/>
      <c r="Q372" s="57"/>
      <c r="R372" s="57"/>
      <c r="S372" s="57"/>
      <c r="T372" s="57"/>
      <c r="U372" s="57"/>
      <c r="V372" s="57"/>
      <c r="W372" s="57"/>
      <c r="X372" s="57"/>
      <c r="Y372" s="57"/>
      <c r="Z372" s="57"/>
    </row>
    <row r="373">
      <c r="A373" s="56" t="str">
        <f>IFERROR(__xludf.DUMMYFUNCTION("IF('AYIRA MINI MART FINAL MENU - Pr'!A373="""", """", IF(LEN(TRIM(REGEXREPLACE(REGEXREPLACE('AYIRA MINI MART FINAL MENU - Pr'!A373, ""^[^\x{0600}-\x{06FF}]+"", """"), ""^[-–\s]+"", """")))&gt;0, TRIM(REGEXREPLACE(REGEXREPLACE('AYIRA MINI MART FINAL MENU - Pr"&amp;"'!A373, ""^[^\x{0600}-\x{06FF}]+"", """"), ""^[-–\s]+"", """")), GOOGLETRANSLATE('AYIRA MINI MART FINAL MENU - Pr'!A373, ""en"", ""ar"")))"),"كيتكو Nice حار &amp; حار شيبس 80 غرام")</f>
        <v>كيتكو Nice حار &amp; حار شيبس 80 غرام</v>
      </c>
      <c r="B373" s="56" t="str">
        <f>IFERROR(__xludf.DUMMYFUNCTION("IF('AYIRA MINI MART FINAL MENU - Pr'!B373="""", """", IF(LEN(TRIM(REGEXREPLACE(REGEXREPLACE('AYIRA MINI MART FINAL MENU - Pr'!B373, ""^[^\x{0600}-\x{06FF}]+"", """"), ""^[-–\s]+"", """")))&gt;0, TRIM(REGEXREPLACE(REGEXREPLACE('AYIRA MINI MART FINAL MENU - Pr"&amp;"'!B373, ""^[^\x{0600}-\x{06FF}]+"", """"), ""^[-–\s]+"", """")), GOOGLETRANSLATE('AYIRA MINI MART FINAL MENU - Pr'!B373, ""en"", ""ar"")))"),"الشيبس والمقرمشات")</f>
        <v>الشيبس والمقرمشات</v>
      </c>
      <c r="C373" s="58">
        <f>IF('AYIRA MINI MART FINAL MENU - Pr'!C373="", "", 'AYIRA MINI MART FINAL MENU - Pr'!C373)</f>
        <v>4</v>
      </c>
      <c r="D373" s="58" t="str">
        <f>IF('AYIRA MINI MART FINAL MENU - Pr'!D373="", "", 'AYIRA MINI MART FINAL MENU - Pr'!D373)</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3" s="56" t="str">
        <f>IF('AYIRA MINI MART FINAL MENU - Pr'!E373="", "", 'AYIRA MINI MART FINAL MENU - Pr'!E373)</f>
        <v/>
      </c>
      <c r="F373" s="56" t="str">
        <f>IF('AYIRA MINI MART FINAL MENU - Pr'!F373="", "", 'AYIRA MINI MART FINAL MENU - Pr'!F373)</f>
        <v/>
      </c>
      <c r="G373" s="56" t="str">
        <f>IF('AYIRA MINI MART FINAL MENU - Pr'!G373="", "", 'AYIRA MINI MART FINAL MENU - Pr'!G373)</f>
        <v/>
      </c>
      <c r="H373" s="56" t="str">
        <f>IF('AYIRA MINI MART FINAL MENU - Pr'!H373="", "", 'AYIRA MINI MART FINAL MENU - Pr'!H373)</f>
        <v/>
      </c>
      <c r="I373" s="56" t="str">
        <f>IF('AYIRA MINI MART FINAL MENU - Pr'!I373="", "", 'AYIRA MINI MART FINAL MENU - Pr'!I373)</f>
        <v/>
      </c>
      <c r="J373" s="56" t="str">
        <f>IFERROR(__xludf.DUMMYFUNCTION("IF('AYIRA MINI MART FINAL MENU - Pr'!J373="""", """", GOOGLETRANSLATE('AYIRA MINI MART FINAL MENU - Pr'!J373, ""en"", ""ar""))"),"يعرض")</f>
        <v>يعرض</v>
      </c>
      <c r="K373" s="56" t="str">
        <f>IF('AYIRA MINI MART FINAL MENU - Pr'!K373="", "", 'AYIRA MINI MART FINAL MENU - Pr'!K373)</f>
        <v/>
      </c>
      <c r="L373" s="56" t="str">
        <f>IF('AYIRA MINI MART FINAL MENU - Pr'!L373="", "", 'AYIRA MINI MART FINAL MENU - Pr'!L373)</f>
        <v/>
      </c>
      <c r="M373" s="56" t="str">
        <f>IF('AYIRA MINI MART FINAL MENU - Pr'!M373="", "", 'AYIRA MINI MART FINAL MENU - Pr'!M373)</f>
        <v/>
      </c>
      <c r="N373" s="56" t="str">
        <f>IF('AYIRA MINI MART FINAL MENU - Pr'!N373="", "", 'AYIRA MINI MART FINAL MENU - Pr'!N373)</f>
        <v/>
      </c>
      <c r="O373" s="57"/>
      <c r="P373" s="57"/>
      <c r="Q373" s="57"/>
      <c r="R373" s="57"/>
      <c r="S373" s="57"/>
      <c r="T373" s="57"/>
      <c r="U373" s="57"/>
      <c r="V373" s="57"/>
      <c r="W373" s="57"/>
      <c r="X373" s="57"/>
      <c r="Y373" s="57"/>
      <c r="Z373" s="57"/>
    </row>
    <row r="374">
      <c r="A374" s="56" t="str">
        <f>IFERROR(__xludf.DUMMYFUNCTION("IF('AYIRA MINI MART FINAL MENU - Pr'!A374="""", """", IF(LEN(TRIM(REGEXREPLACE(REGEXREPLACE('AYIRA MINI MART FINAL MENU - Pr'!A374, ""^[^\x{0600}-\x{06FF}]+"", """"), ""^[-–\s]+"", """")))&gt;0, TRIM(REGEXREPLACE(REGEXREPLACE('AYIRA MINI MART FINAL MENU - Pr"&amp;"'!A374, ""^[^\x{0600}-\x{06FF}]+"", """"), ""^[-–\s]+"", """")), GOOGLETRANSLATE('AYIRA MINI MART FINAL MENU - Pr'!A374, ""en"", ""ar"")))"),"كيتكو Nice French جبنة شيبس 80 غرام")</f>
        <v>كيتكو Nice French جبنة شيبس 80 غرام</v>
      </c>
      <c r="B374" s="56" t="str">
        <f>IFERROR(__xludf.DUMMYFUNCTION("IF('AYIRA MINI MART FINAL MENU - Pr'!B374="""", """", IF(LEN(TRIM(REGEXREPLACE(REGEXREPLACE('AYIRA MINI MART FINAL MENU - Pr'!B374, ""^[^\x{0600}-\x{06FF}]+"", """"), ""^[-–\s]+"", """")))&gt;0, TRIM(REGEXREPLACE(REGEXREPLACE('AYIRA MINI MART FINAL MENU - Pr"&amp;"'!B374, ""^[^\x{0600}-\x{06FF}]+"", """"), ""^[-–\s]+"", """")), GOOGLETRANSLATE('AYIRA MINI MART FINAL MENU - Pr'!B374, ""en"", ""ar"")))"),"الشيبس والمقرمشات")</f>
        <v>الشيبس والمقرمشات</v>
      </c>
      <c r="C374" s="58">
        <f>IF('AYIRA MINI MART FINAL MENU - Pr'!C374="", "", 'AYIRA MINI MART FINAL MENU - Pr'!C374)</f>
        <v>4</v>
      </c>
      <c r="D374" s="58" t="str">
        <f>IF('AYIRA MINI MART FINAL MENU - Pr'!D374="", "", 'AYIRA MINI MART FINAL MENU - Pr'!D374)</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4" s="56" t="str">
        <f>IF('AYIRA MINI MART FINAL MENU - Pr'!E374="", "", 'AYIRA MINI MART FINAL MENU - Pr'!E374)</f>
        <v/>
      </c>
      <c r="F374" s="56" t="str">
        <f>IF('AYIRA MINI MART FINAL MENU - Pr'!F374="", "", 'AYIRA MINI MART FINAL MENU - Pr'!F374)</f>
        <v/>
      </c>
      <c r="G374" s="56" t="str">
        <f>IF('AYIRA MINI MART FINAL MENU - Pr'!G374="", "", 'AYIRA MINI MART FINAL MENU - Pr'!G374)</f>
        <v/>
      </c>
      <c r="H374" s="56" t="str">
        <f>IF('AYIRA MINI MART FINAL MENU - Pr'!H374="", "", 'AYIRA MINI MART FINAL MENU - Pr'!H374)</f>
        <v/>
      </c>
      <c r="I374" s="56" t="str">
        <f>IF('AYIRA MINI MART FINAL MENU - Pr'!I374="", "", 'AYIRA MINI MART FINAL MENU - Pr'!I374)</f>
        <v/>
      </c>
      <c r="J374" s="56" t="str">
        <f>IFERROR(__xludf.DUMMYFUNCTION("IF('AYIRA MINI MART FINAL MENU - Pr'!J374="""", """", GOOGLETRANSLATE('AYIRA MINI MART FINAL MENU - Pr'!J374, ""en"", ""ar""))"),"يعرض")</f>
        <v>يعرض</v>
      </c>
      <c r="K374" s="56" t="str">
        <f>IF('AYIRA MINI MART FINAL MENU - Pr'!K374="", "", 'AYIRA MINI MART FINAL MENU - Pr'!K374)</f>
        <v/>
      </c>
      <c r="L374" s="56" t="str">
        <f>IF('AYIRA MINI MART FINAL MENU - Pr'!L374="", "", 'AYIRA MINI MART FINAL MENU - Pr'!L374)</f>
        <v/>
      </c>
      <c r="M374" s="56" t="str">
        <f>IF('AYIRA MINI MART FINAL MENU - Pr'!M374="", "", 'AYIRA MINI MART FINAL MENU - Pr'!M374)</f>
        <v/>
      </c>
      <c r="N374" s="56" t="str">
        <f>IF('AYIRA MINI MART FINAL MENU - Pr'!N374="", "", 'AYIRA MINI MART FINAL MENU - Pr'!N374)</f>
        <v/>
      </c>
      <c r="O374" s="57"/>
      <c r="P374" s="57"/>
      <c r="Q374" s="57"/>
      <c r="R374" s="57"/>
      <c r="S374" s="57"/>
      <c r="T374" s="57"/>
      <c r="U374" s="57"/>
      <c r="V374" s="57"/>
      <c r="W374" s="57"/>
      <c r="X374" s="57"/>
      <c r="Y374" s="57"/>
      <c r="Z374" s="57"/>
    </row>
    <row r="375">
      <c r="A375" s="56" t="str">
        <f>IFERROR(__xludf.DUMMYFUNCTION("IF('AYIRA MINI MART FINAL MENU - Pr'!A375="""", """", IF(LEN(TRIM(REGEXREPLACE(REGEXREPLACE('AYIRA MINI MART FINAL MENU - Pr'!A375, ""^[^\x{0600}-\x{06FF}]+"", """"), ""^[-–\s]+"", """")))&gt;0, TRIM(REGEXREPLACE(REGEXREPLACE('AYIRA MINI MART FINAL MENU - Pr"&amp;"'!A375, ""^[^\x{0600}-\x{06FF}]+"", """"), ""^[-–\s]+"", """")), GOOGLETRANSLATE('AYIRA MINI MART FINAL MENU - Pr'!A375, ""en"", ""ar"")))"),"كيتكو Nice شيبس French جبنة عبوة 20 × 16 غرام")</f>
        <v>كيتكو Nice شيبس French جبنة عبوة 20 × 16 غرام</v>
      </c>
      <c r="B375" s="56" t="str">
        <f>IFERROR(__xludf.DUMMYFUNCTION("IF('AYIRA MINI MART FINAL MENU - Pr'!B375="""", """", IF(LEN(TRIM(REGEXREPLACE(REGEXREPLACE('AYIRA MINI MART FINAL MENU - Pr'!B375, ""^[^\x{0600}-\x{06FF}]+"", """"), ""^[-–\s]+"", """")))&gt;0, TRIM(REGEXREPLACE(REGEXREPLACE('AYIRA MINI MART FINAL MENU - Pr"&amp;"'!B375, ""^[^\x{0600}-\x{06FF}]+"", """"), ""^[-–\s]+"", """")), GOOGLETRANSLATE('AYIRA MINI MART FINAL MENU - Pr'!B375, ""en"", ""ar"")))"),"الشيبس والمقرمشات")</f>
        <v>الشيبس والمقرمشات</v>
      </c>
      <c r="C375" s="58">
        <f>IF('AYIRA MINI MART FINAL MENU - Pr'!C375="", "", 'AYIRA MINI MART FINAL MENU - Pr'!C375)</f>
        <v>18</v>
      </c>
      <c r="D375" s="58" t="str">
        <f>IF('AYIRA MINI MART FINAL MENU - Pr'!D375="", "", 'AYIRA MINI MART FINAL MENU - Pr'!D375)</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5" s="56" t="str">
        <f>IF('AYIRA MINI MART FINAL MENU - Pr'!E375="", "", 'AYIRA MINI MART FINAL MENU - Pr'!E375)</f>
        <v/>
      </c>
      <c r="F375" s="56" t="str">
        <f>IF('AYIRA MINI MART FINAL MENU - Pr'!F375="", "", 'AYIRA MINI MART FINAL MENU - Pr'!F375)</f>
        <v/>
      </c>
      <c r="G375" s="56" t="str">
        <f>IF('AYIRA MINI MART FINAL MENU - Pr'!G375="", "", 'AYIRA MINI MART FINAL MENU - Pr'!G375)</f>
        <v/>
      </c>
      <c r="H375" s="56" t="str">
        <f>IF('AYIRA MINI MART FINAL MENU - Pr'!H375="", "", 'AYIRA MINI MART FINAL MENU - Pr'!H375)</f>
        <v/>
      </c>
      <c r="I375" s="56" t="str">
        <f>IF('AYIRA MINI MART FINAL MENU - Pr'!I375="", "", 'AYIRA MINI MART FINAL MENU - Pr'!I375)</f>
        <v/>
      </c>
      <c r="J375" s="56" t="str">
        <f>IFERROR(__xludf.DUMMYFUNCTION("IF('AYIRA MINI MART FINAL MENU - Pr'!J375="""", """", GOOGLETRANSLATE('AYIRA MINI MART FINAL MENU - Pr'!J375, ""en"", ""ar""))"),"يعرض")</f>
        <v>يعرض</v>
      </c>
      <c r="K375" s="56" t="str">
        <f>IF('AYIRA MINI MART FINAL MENU - Pr'!K375="", "", 'AYIRA MINI MART FINAL MENU - Pr'!K375)</f>
        <v/>
      </c>
      <c r="L375" s="56" t="str">
        <f>IF('AYIRA MINI MART FINAL MENU - Pr'!L375="", "", 'AYIRA MINI MART FINAL MENU - Pr'!L375)</f>
        <v/>
      </c>
      <c r="M375" s="56" t="str">
        <f>IF('AYIRA MINI MART FINAL MENU - Pr'!M375="", "", 'AYIRA MINI MART FINAL MENU - Pr'!M375)</f>
        <v/>
      </c>
      <c r="N375" s="56" t="str">
        <f>IF('AYIRA MINI MART FINAL MENU - Pr'!N375="", "", 'AYIRA MINI MART FINAL MENU - Pr'!N375)</f>
        <v/>
      </c>
      <c r="O375" s="57"/>
      <c r="P375" s="57"/>
      <c r="Q375" s="57"/>
      <c r="R375" s="57"/>
      <c r="S375" s="57"/>
      <c r="T375" s="57"/>
      <c r="U375" s="57"/>
      <c r="V375" s="57"/>
      <c r="W375" s="57"/>
      <c r="X375" s="57"/>
      <c r="Y375" s="57"/>
      <c r="Z375" s="57"/>
    </row>
    <row r="376">
      <c r="A376" s="56" t="str">
        <f>IFERROR(__xludf.DUMMYFUNCTION("IF('AYIRA MINI MART FINAL MENU - Pr'!A376="""", """", IF(LEN(TRIM(REGEXREPLACE(REGEXREPLACE('AYIRA MINI MART FINAL MENU - Pr'!A376, ""^[^\x{0600}-\x{06FF}]+"", """"), ""^[-–\s]+"", """")))&gt;0, TRIM(REGEXREPLACE(REGEXREPLACE('AYIRA MINI MART FINAL MENU - Pr"&amp;"'!A376, ""^[^\x{0600}-\x{06FF}]+"", """"), ""^[-–\s]+"", """")), GOOGLETRANSLATE('AYIRA MINI MART FINAL MENU - Pr'!A376, ""en"", ""ar"")))"),"كيتكو Nice شيبس Chicken Flavor عبوة 20 × 16 غرام")</f>
        <v>كيتكو Nice شيبس Chicken Flavor عبوة 20 × 16 غرام</v>
      </c>
      <c r="B376" s="56" t="str">
        <f>IFERROR(__xludf.DUMMYFUNCTION("IF('AYIRA MINI MART FINAL MENU - Pr'!B376="""", """", IF(LEN(TRIM(REGEXREPLACE(REGEXREPLACE('AYIRA MINI MART FINAL MENU - Pr'!B376, ""^[^\x{0600}-\x{06FF}]+"", """"), ""^[-–\s]+"", """")))&gt;0, TRIM(REGEXREPLACE(REGEXREPLACE('AYIRA MINI MART FINAL MENU - Pr"&amp;"'!B376, ""^[^\x{0600}-\x{06FF}]+"", """"), ""^[-–\s]+"", """")), GOOGLETRANSLATE('AYIRA MINI MART FINAL MENU - Pr'!B376, ""en"", ""ar"")))"),"الشيبس والمقرمشات")</f>
        <v>الشيبس والمقرمشات</v>
      </c>
      <c r="C376" s="58">
        <f>IF('AYIRA MINI MART FINAL MENU - Pr'!C376="", "", 'AYIRA MINI MART FINAL MENU - Pr'!C376)</f>
        <v>18</v>
      </c>
      <c r="D376" s="58" t="str">
        <f>IF('AYIRA MINI MART FINAL MENU - Pr'!D376="", "", 'AYIRA MINI MART FINAL MENU - Pr'!D376)</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6" s="56" t="str">
        <f>IF('AYIRA MINI MART FINAL MENU - Pr'!E376="", "", 'AYIRA MINI MART FINAL MENU - Pr'!E376)</f>
        <v/>
      </c>
      <c r="F376" s="56" t="str">
        <f>IF('AYIRA MINI MART FINAL MENU - Pr'!F376="", "", 'AYIRA MINI MART FINAL MENU - Pr'!F376)</f>
        <v/>
      </c>
      <c r="G376" s="56" t="str">
        <f>IF('AYIRA MINI MART FINAL MENU - Pr'!G376="", "", 'AYIRA MINI MART FINAL MENU - Pr'!G376)</f>
        <v/>
      </c>
      <c r="H376" s="56" t="str">
        <f>IF('AYIRA MINI MART FINAL MENU - Pr'!H376="", "", 'AYIRA MINI MART FINAL MENU - Pr'!H376)</f>
        <v/>
      </c>
      <c r="I376" s="56" t="str">
        <f>IF('AYIRA MINI MART FINAL MENU - Pr'!I376="", "", 'AYIRA MINI MART FINAL MENU - Pr'!I376)</f>
        <v/>
      </c>
      <c r="J376" s="56" t="str">
        <f>IFERROR(__xludf.DUMMYFUNCTION("IF('AYIRA MINI MART FINAL MENU - Pr'!J376="""", """", GOOGLETRANSLATE('AYIRA MINI MART FINAL MENU - Pr'!J376, ""en"", ""ar""))"),"يعرض")</f>
        <v>يعرض</v>
      </c>
      <c r="K376" s="56" t="str">
        <f>IF('AYIRA MINI MART FINAL MENU - Pr'!K376="", "", 'AYIRA MINI MART FINAL MENU - Pr'!K376)</f>
        <v/>
      </c>
      <c r="L376" s="56" t="str">
        <f>IF('AYIRA MINI MART FINAL MENU - Pr'!L376="", "", 'AYIRA MINI MART FINAL MENU - Pr'!L376)</f>
        <v/>
      </c>
      <c r="M376" s="56" t="str">
        <f>IF('AYIRA MINI MART FINAL MENU - Pr'!M376="", "", 'AYIRA MINI MART FINAL MENU - Pr'!M376)</f>
        <v/>
      </c>
      <c r="N376" s="56" t="str">
        <f>IF('AYIRA MINI MART FINAL MENU - Pr'!N376="", "", 'AYIRA MINI MART FINAL MENU - Pr'!N376)</f>
        <v/>
      </c>
      <c r="O376" s="57"/>
      <c r="P376" s="57"/>
      <c r="Q376" s="57"/>
      <c r="R376" s="57"/>
      <c r="S376" s="57"/>
      <c r="T376" s="57"/>
      <c r="U376" s="57"/>
      <c r="V376" s="57"/>
      <c r="W376" s="57"/>
      <c r="X376" s="57"/>
      <c r="Y376" s="57"/>
      <c r="Z376" s="57"/>
    </row>
    <row r="377">
      <c r="A377" s="56" t="str">
        <f>IFERROR(__xludf.DUMMYFUNCTION("IF('AYIRA MINI MART FINAL MENU - Pr'!A377="""", """", IF(LEN(TRIM(REGEXREPLACE(REGEXREPLACE('AYIRA MINI MART FINAL MENU - Pr'!A377, ""^[^\x{0600}-\x{06FF}]+"", """"), ""^[-–\s]+"", """")))&gt;0, TRIM(REGEXREPLACE(REGEXREPLACE('AYIRA MINI MART FINAL MENU - Pr"&amp;"'!A377, ""^[^\x{0600}-\x{06FF}]+"", """"), ""^[-–\s]+"", """")), GOOGLETRANSLATE('AYIRA MINI MART FINAL MENU - Pr'!A377, ""en"", ""ar"")))"),"كيتكو Nice شيبس ملح &amp; Vinegar عبوة 20 × 16 غرام")</f>
        <v>كيتكو Nice شيبس ملح &amp; Vinegar عبوة 20 × 16 غرام</v>
      </c>
      <c r="B377" s="56" t="str">
        <f>IFERROR(__xludf.DUMMYFUNCTION("IF('AYIRA MINI MART FINAL MENU - Pr'!B377="""", """", IF(LEN(TRIM(REGEXREPLACE(REGEXREPLACE('AYIRA MINI MART FINAL MENU - Pr'!B377, ""^[^\x{0600}-\x{06FF}]+"", """"), ""^[-–\s]+"", """")))&gt;0, TRIM(REGEXREPLACE(REGEXREPLACE('AYIRA MINI MART FINAL MENU - Pr"&amp;"'!B377, ""^[^\x{0600}-\x{06FF}]+"", """"), ""^[-–\s]+"", """")), GOOGLETRANSLATE('AYIRA MINI MART FINAL MENU - Pr'!B377, ""en"", ""ar"")))"),"الشيبس والمقرمشات")</f>
        <v>الشيبس والمقرمشات</v>
      </c>
      <c r="C377" s="58">
        <f>IF('AYIRA MINI MART FINAL MENU - Pr'!C377="", "", 'AYIRA MINI MART FINAL MENU - Pr'!C377)</f>
        <v>18</v>
      </c>
      <c r="D377" s="58" t="str">
        <f>IF('AYIRA MINI MART FINAL MENU - Pr'!D377="", "", 'AYIRA MINI MART FINAL MENU - Pr'!D377)</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7" s="56" t="str">
        <f>IF('AYIRA MINI MART FINAL MENU - Pr'!E377="", "", 'AYIRA MINI MART FINAL MENU - Pr'!E377)</f>
        <v/>
      </c>
      <c r="F377" s="56" t="str">
        <f>IF('AYIRA MINI MART FINAL MENU - Pr'!F377="", "", 'AYIRA MINI MART FINAL MENU - Pr'!F377)</f>
        <v/>
      </c>
      <c r="G377" s="56" t="str">
        <f>IF('AYIRA MINI MART FINAL MENU - Pr'!G377="", "", 'AYIRA MINI MART FINAL MENU - Pr'!G377)</f>
        <v/>
      </c>
      <c r="H377" s="56" t="str">
        <f>IF('AYIRA MINI MART FINAL MENU - Pr'!H377="", "", 'AYIRA MINI MART FINAL MENU - Pr'!H377)</f>
        <v/>
      </c>
      <c r="I377" s="56" t="str">
        <f>IF('AYIRA MINI MART FINAL MENU - Pr'!I377="", "", 'AYIRA MINI MART FINAL MENU - Pr'!I377)</f>
        <v/>
      </c>
      <c r="J377" s="56" t="str">
        <f>IFERROR(__xludf.DUMMYFUNCTION("IF('AYIRA MINI MART FINAL MENU - Pr'!J377="""", """", GOOGLETRANSLATE('AYIRA MINI MART FINAL MENU - Pr'!J377, ""en"", ""ar""))"),"يعرض")</f>
        <v>يعرض</v>
      </c>
      <c r="K377" s="56" t="str">
        <f>IF('AYIRA MINI MART FINAL MENU - Pr'!K377="", "", 'AYIRA MINI MART FINAL MENU - Pr'!K377)</f>
        <v/>
      </c>
      <c r="L377" s="56" t="str">
        <f>IF('AYIRA MINI MART FINAL MENU - Pr'!L377="", "", 'AYIRA MINI MART FINAL MENU - Pr'!L377)</f>
        <v/>
      </c>
      <c r="M377" s="56" t="str">
        <f>IF('AYIRA MINI MART FINAL MENU - Pr'!M377="", "", 'AYIRA MINI MART FINAL MENU - Pr'!M377)</f>
        <v/>
      </c>
      <c r="N377" s="56" t="str">
        <f>IF('AYIRA MINI MART FINAL MENU - Pr'!N377="", "", 'AYIRA MINI MART FINAL MENU - Pr'!N377)</f>
        <v/>
      </c>
      <c r="O377" s="57"/>
      <c r="P377" s="57"/>
      <c r="Q377" s="57"/>
      <c r="R377" s="57"/>
      <c r="S377" s="57"/>
      <c r="T377" s="57"/>
      <c r="U377" s="57"/>
      <c r="V377" s="57"/>
      <c r="W377" s="57"/>
      <c r="X377" s="57"/>
      <c r="Y377" s="57"/>
      <c r="Z377" s="57"/>
    </row>
    <row r="378">
      <c r="A378" s="56" t="str">
        <f>IFERROR(__xludf.DUMMYFUNCTION("IF('AYIRA MINI MART FINAL MENU - Pr'!A378="""", """", IF(LEN(TRIM(REGEXREPLACE(REGEXREPLACE('AYIRA MINI MART FINAL MENU - Pr'!A378, ""^[^\x{0600}-\x{06FF}]+"", """"), ""^[-–\s]+"", """")))&gt;0, TRIM(REGEXREPLACE(REGEXREPLACE('AYIRA MINI MART FINAL MENU - Pr"&amp;"'!A378, ""^[^\x{0600}-\x{06FF}]+"", """"), ""^[-–\s]+"", """")), GOOGLETRANSLATE('AYIRA MINI MART FINAL MENU - Pr'!A378, ""en"", ""ar"")))"),"كيتكو Nice شيبس Tomato كاتشاب عبوة 20 × 16 غرام")</f>
        <v>كيتكو Nice شيبس Tomato كاتشاب عبوة 20 × 16 غرام</v>
      </c>
      <c r="B378" s="56" t="str">
        <f>IFERROR(__xludf.DUMMYFUNCTION("IF('AYIRA MINI MART FINAL MENU - Pr'!B378="""", """", IF(LEN(TRIM(REGEXREPLACE(REGEXREPLACE('AYIRA MINI MART FINAL MENU - Pr'!B378, ""^[^\x{0600}-\x{06FF}]+"", """"), ""^[-–\s]+"", """")))&gt;0, TRIM(REGEXREPLACE(REGEXREPLACE('AYIRA MINI MART FINAL MENU - Pr"&amp;"'!B378, ""^[^\x{0600}-\x{06FF}]+"", """"), ""^[-–\s]+"", """")), GOOGLETRANSLATE('AYIRA MINI MART FINAL MENU - Pr'!B378, ""en"", ""ar"")))"),"الشيبس والمقرمشات")</f>
        <v>الشيبس والمقرمشات</v>
      </c>
      <c r="C378" s="58">
        <f>IF('AYIRA MINI MART FINAL MENU - Pr'!C378="", "", 'AYIRA MINI MART FINAL MENU - Pr'!C378)</f>
        <v>18</v>
      </c>
      <c r="D378" s="58" t="str">
        <f>IF('AYIRA MINI MART FINAL MENU - Pr'!D378="", "", 'AYIRA MINI MART FINAL MENU - Pr'!D378)</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8" s="56" t="str">
        <f>IF('AYIRA MINI MART FINAL MENU - Pr'!E378="", "", 'AYIRA MINI MART FINAL MENU - Pr'!E378)</f>
        <v/>
      </c>
      <c r="F378" s="56" t="str">
        <f>IF('AYIRA MINI MART FINAL MENU - Pr'!F378="", "", 'AYIRA MINI MART FINAL MENU - Pr'!F378)</f>
        <v/>
      </c>
      <c r="G378" s="56" t="str">
        <f>IF('AYIRA MINI MART FINAL MENU - Pr'!G378="", "", 'AYIRA MINI MART FINAL MENU - Pr'!G378)</f>
        <v/>
      </c>
      <c r="H378" s="56" t="str">
        <f>IF('AYIRA MINI MART FINAL MENU - Pr'!H378="", "", 'AYIRA MINI MART FINAL MENU - Pr'!H378)</f>
        <v/>
      </c>
      <c r="I378" s="56" t="str">
        <f>IF('AYIRA MINI MART FINAL MENU - Pr'!I378="", "", 'AYIRA MINI MART FINAL MENU - Pr'!I378)</f>
        <v/>
      </c>
      <c r="J378" s="56" t="str">
        <f>IFERROR(__xludf.DUMMYFUNCTION("IF('AYIRA MINI MART FINAL MENU - Pr'!J378="""", """", GOOGLETRANSLATE('AYIRA MINI MART FINAL MENU - Pr'!J378, ""en"", ""ar""))"),"يعرض")</f>
        <v>يعرض</v>
      </c>
      <c r="K378" s="56" t="str">
        <f>IF('AYIRA MINI MART FINAL MENU - Pr'!K378="", "", 'AYIRA MINI MART FINAL MENU - Pr'!K378)</f>
        <v/>
      </c>
      <c r="L378" s="56" t="str">
        <f>IF('AYIRA MINI MART FINAL MENU - Pr'!L378="", "", 'AYIRA MINI MART FINAL MENU - Pr'!L378)</f>
        <v/>
      </c>
      <c r="M378" s="56" t="str">
        <f>IF('AYIRA MINI MART FINAL MENU - Pr'!M378="", "", 'AYIRA MINI MART FINAL MENU - Pr'!M378)</f>
        <v/>
      </c>
      <c r="N378" s="56" t="str">
        <f>IF('AYIRA MINI MART FINAL MENU - Pr'!N378="", "", 'AYIRA MINI MART FINAL MENU - Pr'!N378)</f>
        <v/>
      </c>
      <c r="O378" s="57"/>
      <c r="P378" s="57"/>
      <c r="Q378" s="57"/>
      <c r="R378" s="57"/>
      <c r="S378" s="57"/>
      <c r="T378" s="57"/>
      <c r="U378" s="57"/>
      <c r="V378" s="57"/>
      <c r="W378" s="57"/>
      <c r="X378" s="57"/>
      <c r="Y378" s="57"/>
      <c r="Z378" s="57"/>
    </row>
    <row r="379">
      <c r="A379" s="56" t="str">
        <f>IFERROR(__xludf.DUMMYFUNCTION("IF('AYIRA MINI MART FINAL MENU - Pr'!A379="""", """", IF(LEN(TRIM(REGEXREPLACE(REGEXREPLACE('AYIRA MINI MART FINAL MENU - Pr'!A379, ""^[^\x{0600}-\x{06FF}]+"", """"), ""^[-–\s]+"", """")))&gt;0, TRIM(REGEXREPLACE(REGEXREPLACE('AYIRA MINI MART FINAL MENU - Pr"&amp;"'!A379, ""^[^\x{0600}-\x{06FF}]+"", """"), ""^[-–\s]+"", """")), GOOGLETRANSLATE('AYIRA MINI MART FINAL MENU - Pr'!A379, ""en"", ""ar"")))"),"كيتكو Nice Chicken Flavor شيبس 16 غرام")</f>
        <v>كيتكو Nice Chicken Flavor شيبس 16 غرام</v>
      </c>
      <c r="B379" s="56" t="str">
        <f>IFERROR(__xludf.DUMMYFUNCTION("IF('AYIRA MINI MART FINAL MENU - Pr'!B379="""", """", IF(LEN(TRIM(REGEXREPLACE(REGEXREPLACE('AYIRA MINI MART FINAL MENU - Pr'!B379, ""^[^\x{0600}-\x{06FF}]+"", """"), ""^[-–\s]+"", """")))&gt;0, TRIM(REGEXREPLACE(REGEXREPLACE('AYIRA MINI MART FINAL MENU - Pr"&amp;"'!B379, ""^[^\x{0600}-\x{06FF}]+"", """"), ""^[-–\s]+"", """")), GOOGLETRANSLATE('AYIRA MINI MART FINAL MENU - Pr'!B379, ""en"", ""ar"")))"),"الشيبس والمقرمشات")</f>
        <v>الشيبس والمقرمشات</v>
      </c>
      <c r="C379" s="58">
        <f>IF('AYIRA MINI MART FINAL MENU - Pr'!C379="", "", 'AYIRA MINI MART FINAL MENU - Pr'!C379)</f>
        <v>1</v>
      </c>
      <c r="D379" s="58" t="str">
        <f>IF('AYIRA MINI MART FINAL MENU - Pr'!D379="", "", 'AYIRA MINI MART FINAL MENU - Pr'!D379)</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79" s="56" t="str">
        <f>IF('AYIRA MINI MART FINAL MENU - Pr'!E379="", "", 'AYIRA MINI MART FINAL MENU - Pr'!E379)</f>
        <v/>
      </c>
      <c r="F379" s="56" t="str">
        <f>IF('AYIRA MINI MART FINAL MENU - Pr'!F379="", "", 'AYIRA MINI MART FINAL MENU - Pr'!F379)</f>
        <v/>
      </c>
      <c r="G379" s="56" t="str">
        <f>IF('AYIRA MINI MART FINAL MENU - Pr'!G379="", "", 'AYIRA MINI MART FINAL MENU - Pr'!G379)</f>
        <v/>
      </c>
      <c r="H379" s="56" t="str">
        <f>IF('AYIRA MINI MART FINAL MENU - Pr'!H379="", "", 'AYIRA MINI MART FINAL MENU - Pr'!H379)</f>
        <v/>
      </c>
      <c r="I379" s="56" t="str">
        <f>IF('AYIRA MINI MART FINAL MENU - Pr'!I379="", "", 'AYIRA MINI MART FINAL MENU - Pr'!I379)</f>
        <v/>
      </c>
      <c r="J379" s="56" t="str">
        <f>IFERROR(__xludf.DUMMYFUNCTION("IF('AYIRA MINI MART FINAL MENU - Pr'!J379="""", """", GOOGLETRANSLATE('AYIRA MINI MART FINAL MENU - Pr'!J379, ""en"", ""ar""))"),"يعرض")</f>
        <v>يعرض</v>
      </c>
      <c r="K379" s="56" t="str">
        <f>IF('AYIRA MINI MART FINAL MENU - Pr'!K379="", "", 'AYIRA MINI MART FINAL MENU - Pr'!K379)</f>
        <v/>
      </c>
      <c r="L379" s="56" t="str">
        <f>IF('AYIRA MINI MART FINAL MENU - Pr'!L379="", "", 'AYIRA MINI MART FINAL MENU - Pr'!L379)</f>
        <v/>
      </c>
      <c r="M379" s="56" t="str">
        <f>IF('AYIRA MINI MART FINAL MENU - Pr'!M379="", "", 'AYIRA MINI MART FINAL MENU - Pr'!M379)</f>
        <v/>
      </c>
      <c r="N379" s="56" t="str">
        <f>IF('AYIRA MINI MART FINAL MENU - Pr'!N379="", "", 'AYIRA MINI MART FINAL MENU - Pr'!N379)</f>
        <v/>
      </c>
      <c r="O379" s="57"/>
      <c r="P379" s="57"/>
      <c r="Q379" s="57"/>
      <c r="R379" s="57"/>
      <c r="S379" s="57"/>
      <c r="T379" s="57"/>
      <c r="U379" s="57"/>
      <c r="V379" s="57"/>
      <c r="W379" s="57"/>
      <c r="X379" s="57"/>
      <c r="Y379" s="57"/>
      <c r="Z379" s="57"/>
    </row>
    <row r="380">
      <c r="A380" s="56" t="str">
        <f>IFERROR(__xludf.DUMMYFUNCTION("IF('AYIRA MINI MART FINAL MENU - Pr'!A380="""", """", IF(LEN(TRIM(REGEXREPLACE(REGEXREPLACE('AYIRA MINI MART FINAL MENU - Pr'!A380, ""^[^\x{0600}-\x{06FF}]+"", """"), ""^[-–\s]+"", """")))&gt;0, TRIM(REGEXREPLACE(REGEXREPLACE('AYIRA MINI MART FINAL MENU - Pr"&amp;"'!A380, ""^[^\x{0600}-\x{06FF}]+"", """"), ""^[-–\s]+"", """")), GOOGLETRANSLATE('AYIRA MINI MART FINAL MENU - Pr'!A380, ""en"", ""ar"")))"),"كيتكو Nice حار &amp; حار شيبس 16 غرام")</f>
        <v>كيتكو Nice حار &amp; حار شيبس 16 غرام</v>
      </c>
      <c r="B380" s="56" t="str">
        <f>IFERROR(__xludf.DUMMYFUNCTION("IF('AYIRA MINI MART FINAL MENU - Pr'!B380="""", """", IF(LEN(TRIM(REGEXREPLACE(REGEXREPLACE('AYIRA MINI MART FINAL MENU - Pr'!B380, ""^[^\x{0600}-\x{06FF}]+"", """"), ""^[-–\s]+"", """")))&gt;0, TRIM(REGEXREPLACE(REGEXREPLACE('AYIRA MINI MART FINAL MENU - Pr"&amp;"'!B380, ""^[^\x{0600}-\x{06FF}]+"", """"), ""^[-–\s]+"", """")), GOOGLETRANSLATE('AYIRA MINI MART FINAL MENU - Pr'!B380, ""en"", ""ar"")))"),"الشيبس والمقرمشات")</f>
        <v>الشيبس والمقرمشات</v>
      </c>
      <c r="C380" s="58">
        <f>IF('AYIRA MINI MART FINAL MENU - Pr'!C380="", "", 'AYIRA MINI MART FINAL MENU - Pr'!C380)</f>
        <v>1</v>
      </c>
      <c r="D380" s="58" t="str">
        <f>IF('AYIRA MINI MART FINAL MENU - Pr'!D380="", "", 'AYIRA MINI MART FINAL MENU - Pr'!D380)</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0" s="56" t="str">
        <f>IF('AYIRA MINI MART FINAL MENU - Pr'!E380="", "", 'AYIRA MINI MART FINAL MENU - Pr'!E380)</f>
        <v/>
      </c>
      <c r="F380" s="56" t="str">
        <f>IF('AYIRA MINI MART FINAL MENU - Pr'!F380="", "", 'AYIRA MINI MART FINAL MENU - Pr'!F380)</f>
        <v/>
      </c>
      <c r="G380" s="56" t="str">
        <f>IF('AYIRA MINI MART FINAL MENU - Pr'!G380="", "", 'AYIRA MINI MART FINAL MENU - Pr'!G380)</f>
        <v/>
      </c>
      <c r="H380" s="56" t="str">
        <f>IF('AYIRA MINI MART FINAL MENU - Pr'!H380="", "", 'AYIRA MINI MART FINAL MENU - Pr'!H380)</f>
        <v/>
      </c>
      <c r="I380" s="56" t="str">
        <f>IF('AYIRA MINI MART FINAL MENU - Pr'!I380="", "", 'AYIRA MINI MART FINAL MENU - Pr'!I380)</f>
        <v/>
      </c>
      <c r="J380" s="56" t="str">
        <f>IFERROR(__xludf.DUMMYFUNCTION("IF('AYIRA MINI MART FINAL MENU - Pr'!J380="""", """", GOOGLETRANSLATE('AYIRA MINI MART FINAL MENU - Pr'!J380, ""en"", ""ar""))"),"يعرض")</f>
        <v>يعرض</v>
      </c>
      <c r="K380" s="56" t="str">
        <f>IF('AYIRA MINI MART FINAL MENU - Pr'!K380="", "", 'AYIRA MINI MART FINAL MENU - Pr'!K380)</f>
        <v/>
      </c>
      <c r="L380" s="56" t="str">
        <f>IF('AYIRA MINI MART FINAL MENU - Pr'!L380="", "", 'AYIRA MINI MART FINAL MENU - Pr'!L380)</f>
        <v/>
      </c>
      <c r="M380" s="56" t="str">
        <f>IF('AYIRA MINI MART FINAL MENU - Pr'!M380="", "", 'AYIRA MINI MART FINAL MENU - Pr'!M380)</f>
        <v/>
      </c>
      <c r="N380" s="56" t="str">
        <f>IF('AYIRA MINI MART FINAL MENU - Pr'!N380="", "", 'AYIRA MINI MART FINAL MENU - Pr'!N380)</f>
        <v/>
      </c>
      <c r="O380" s="57"/>
      <c r="P380" s="57"/>
      <c r="Q380" s="57"/>
      <c r="R380" s="57"/>
      <c r="S380" s="57"/>
      <c r="T380" s="57"/>
      <c r="U380" s="57"/>
      <c r="V380" s="57"/>
      <c r="W380" s="57"/>
      <c r="X380" s="57"/>
      <c r="Y380" s="57"/>
      <c r="Z380" s="57"/>
    </row>
    <row r="381">
      <c r="A381" s="56" t="str">
        <f>IFERROR(__xludf.DUMMYFUNCTION("IF('AYIRA MINI MART FINAL MENU - Pr'!A381="""", """", IF(LEN(TRIM(REGEXREPLACE(REGEXREPLACE('AYIRA MINI MART FINAL MENU - Pr'!A381, ""^[^\x{0600}-\x{06FF}]+"", """"), ""^[-–\s]+"", """")))&gt;0, TRIM(REGEXREPLACE(REGEXREPLACE('AYIRA MINI MART FINAL MENU - Pr"&amp;"'!A381, ""^[^\x{0600}-\x{06FF}]+"", """"), ""^[-–\s]+"", """")), GOOGLETRANSLATE('AYIRA MINI MART FINAL MENU - Pr'!A381, ""en"", ""ar"")))"),"كيتكو Nice French جبنة شيبس 16 غرام")</f>
        <v>كيتكو Nice French جبنة شيبس 16 غرام</v>
      </c>
      <c r="B381" s="56" t="str">
        <f>IFERROR(__xludf.DUMMYFUNCTION("IF('AYIRA MINI MART FINAL MENU - Pr'!B381="""", """", IF(LEN(TRIM(REGEXREPLACE(REGEXREPLACE('AYIRA MINI MART FINAL MENU - Pr'!B381, ""^[^\x{0600}-\x{06FF}]+"", """"), ""^[-–\s]+"", """")))&gt;0, TRIM(REGEXREPLACE(REGEXREPLACE('AYIRA MINI MART FINAL MENU - Pr"&amp;"'!B381, ""^[^\x{0600}-\x{06FF}]+"", """"), ""^[-–\s]+"", """")), GOOGLETRANSLATE('AYIRA MINI MART FINAL MENU - Pr'!B381, ""en"", ""ar"")))"),"الشيبس والمقرمشات")</f>
        <v>الشيبس والمقرمشات</v>
      </c>
      <c r="C381" s="58">
        <f>IF('AYIRA MINI MART FINAL MENU - Pr'!C381="", "", 'AYIRA MINI MART FINAL MENU - Pr'!C381)</f>
        <v>1</v>
      </c>
      <c r="D381" s="58" t="str">
        <f>IF('AYIRA MINI MART FINAL MENU - Pr'!D381="", "", 'AYIRA MINI MART FINAL MENU - Pr'!D381)</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1" s="56" t="str">
        <f>IF('AYIRA MINI MART FINAL MENU - Pr'!E381="", "", 'AYIRA MINI MART FINAL MENU - Pr'!E381)</f>
        <v/>
      </c>
      <c r="F381" s="56" t="str">
        <f>IF('AYIRA MINI MART FINAL MENU - Pr'!F381="", "", 'AYIRA MINI MART FINAL MENU - Pr'!F381)</f>
        <v/>
      </c>
      <c r="G381" s="56" t="str">
        <f>IF('AYIRA MINI MART FINAL MENU - Pr'!G381="", "", 'AYIRA MINI MART FINAL MENU - Pr'!G381)</f>
        <v/>
      </c>
      <c r="H381" s="56" t="str">
        <f>IF('AYIRA MINI MART FINAL MENU - Pr'!H381="", "", 'AYIRA MINI MART FINAL MENU - Pr'!H381)</f>
        <v/>
      </c>
      <c r="I381" s="56" t="str">
        <f>IF('AYIRA MINI MART FINAL MENU - Pr'!I381="", "", 'AYIRA MINI MART FINAL MENU - Pr'!I381)</f>
        <v/>
      </c>
      <c r="J381" s="56" t="str">
        <f>IFERROR(__xludf.DUMMYFUNCTION("IF('AYIRA MINI MART FINAL MENU - Pr'!J381="""", """", GOOGLETRANSLATE('AYIRA MINI MART FINAL MENU - Pr'!J381, ""en"", ""ar""))"),"يعرض")</f>
        <v>يعرض</v>
      </c>
      <c r="K381" s="56" t="str">
        <f>IF('AYIRA MINI MART FINAL MENU - Pr'!K381="", "", 'AYIRA MINI MART FINAL MENU - Pr'!K381)</f>
        <v/>
      </c>
      <c r="L381" s="56" t="str">
        <f>IF('AYIRA MINI MART FINAL MENU - Pr'!L381="", "", 'AYIRA MINI MART FINAL MENU - Pr'!L381)</f>
        <v/>
      </c>
      <c r="M381" s="56" t="str">
        <f>IF('AYIRA MINI MART FINAL MENU - Pr'!M381="", "", 'AYIRA MINI MART FINAL MENU - Pr'!M381)</f>
        <v/>
      </c>
      <c r="N381" s="56" t="str">
        <f>IF('AYIRA MINI MART FINAL MENU - Pr'!N381="", "", 'AYIRA MINI MART FINAL MENU - Pr'!N381)</f>
        <v/>
      </c>
      <c r="O381" s="57"/>
      <c r="P381" s="57"/>
      <c r="Q381" s="57"/>
      <c r="R381" s="57"/>
      <c r="S381" s="57"/>
      <c r="T381" s="57"/>
      <c r="U381" s="57"/>
      <c r="V381" s="57"/>
      <c r="W381" s="57"/>
      <c r="X381" s="57"/>
      <c r="Y381" s="57"/>
      <c r="Z381" s="57"/>
    </row>
    <row r="382">
      <c r="A382" s="56" t="str">
        <f>IFERROR(__xludf.DUMMYFUNCTION("IF('AYIRA MINI MART FINAL MENU - Pr'!A382="""", """", IF(LEN(TRIM(REGEXREPLACE(REGEXREPLACE('AYIRA MINI MART FINAL MENU - Pr'!A382, ""^[^\x{0600}-\x{06FF}]+"", """"), ""^[-–\s]+"", """")))&gt;0, TRIM(REGEXREPLACE(REGEXREPLACE('AYIRA MINI MART FINAL MENU - Pr"&amp;"'!A382, ""^[^\x{0600}-\x{06FF}]+"", """"), ""^[-–\s]+"", """")), GOOGLETRANSLATE('AYIRA MINI MART FINAL MENU - Pr'!A382, ""en"", ""ar"")))"),"كيتكو Nice ملح &amp; Vinegar شيبس 80 غرام")</f>
        <v>كيتكو Nice ملح &amp; Vinegar شيبس 80 غرام</v>
      </c>
      <c r="B382" s="56" t="str">
        <f>IFERROR(__xludf.DUMMYFUNCTION("IF('AYIRA MINI MART FINAL MENU - Pr'!B382="""", """", IF(LEN(TRIM(REGEXREPLACE(REGEXREPLACE('AYIRA MINI MART FINAL MENU - Pr'!B382, ""^[^\x{0600}-\x{06FF}]+"", """"), ""^[-–\s]+"", """")))&gt;0, TRIM(REGEXREPLACE(REGEXREPLACE('AYIRA MINI MART FINAL MENU - Pr"&amp;"'!B382, ""^[^\x{0600}-\x{06FF}]+"", """"), ""^[-–\s]+"", """")), GOOGLETRANSLATE('AYIRA MINI MART FINAL MENU - Pr'!B382, ""en"", ""ar"")))"),"الشيبس والمقرمشات")</f>
        <v>الشيبس والمقرمشات</v>
      </c>
      <c r="C382" s="58">
        <f>IF('AYIRA MINI MART FINAL MENU - Pr'!C382="", "", 'AYIRA MINI MART FINAL MENU - Pr'!C382)</f>
        <v>4</v>
      </c>
      <c r="D382" s="58" t="str">
        <f>IF('AYIRA MINI MART FINAL MENU - Pr'!D382="", "", 'AYIRA MINI MART FINAL MENU - Pr'!D382)</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2" s="56" t="str">
        <f>IF('AYIRA MINI MART FINAL MENU - Pr'!E382="", "", 'AYIRA MINI MART FINAL MENU - Pr'!E382)</f>
        <v/>
      </c>
      <c r="F382" s="56" t="str">
        <f>IF('AYIRA MINI MART FINAL MENU - Pr'!F382="", "", 'AYIRA MINI MART FINAL MENU - Pr'!F382)</f>
        <v/>
      </c>
      <c r="G382" s="56" t="str">
        <f>IF('AYIRA MINI MART FINAL MENU - Pr'!G382="", "", 'AYIRA MINI MART FINAL MENU - Pr'!G382)</f>
        <v/>
      </c>
      <c r="H382" s="56" t="str">
        <f>IF('AYIRA MINI MART FINAL MENU - Pr'!H382="", "", 'AYIRA MINI MART FINAL MENU - Pr'!H382)</f>
        <v/>
      </c>
      <c r="I382" s="56" t="str">
        <f>IF('AYIRA MINI MART FINAL MENU - Pr'!I382="", "", 'AYIRA MINI MART FINAL MENU - Pr'!I382)</f>
        <v/>
      </c>
      <c r="J382" s="56" t="str">
        <f>IFERROR(__xludf.DUMMYFUNCTION("IF('AYIRA MINI MART FINAL MENU - Pr'!J382="""", """", GOOGLETRANSLATE('AYIRA MINI MART FINAL MENU - Pr'!J382, ""en"", ""ar""))"),"يعرض")</f>
        <v>يعرض</v>
      </c>
      <c r="K382" s="56" t="str">
        <f>IF('AYIRA MINI MART FINAL MENU - Pr'!K382="", "", 'AYIRA MINI MART FINAL MENU - Pr'!K382)</f>
        <v/>
      </c>
      <c r="L382" s="56" t="str">
        <f>IF('AYIRA MINI MART FINAL MENU - Pr'!L382="", "", 'AYIRA MINI MART FINAL MENU - Pr'!L382)</f>
        <v/>
      </c>
      <c r="M382" s="56" t="str">
        <f>IF('AYIRA MINI MART FINAL MENU - Pr'!M382="", "", 'AYIRA MINI MART FINAL MENU - Pr'!M382)</f>
        <v/>
      </c>
      <c r="N382" s="56" t="str">
        <f>IF('AYIRA MINI MART FINAL MENU - Pr'!N382="", "", 'AYIRA MINI MART FINAL MENU - Pr'!N382)</f>
        <v/>
      </c>
      <c r="O382" s="57"/>
      <c r="P382" s="57"/>
      <c r="Q382" s="57"/>
      <c r="R382" s="57"/>
      <c r="S382" s="57"/>
      <c r="T382" s="57"/>
      <c r="U382" s="57"/>
      <c r="V382" s="57"/>
      <c r="W382" s="57"/>
      <c r="X382" s="57"/>
      <c r="Y382" s="57"/>
      <c r="Z382" s="57"/>
    </row>
    <row r="383">
      <c r="A383" s="56" t="str">
        <f>IFERROR(__xludf.DUMMYFUNCTION("IF('AYIRA MINI MART FINAL MENU - Pr'!A383="""", """", IF(LEN(TRIM(REGEXREPLACE(REGEXREPLACE('AYIRA MINI MART FINAL MENU - Pr'!A383, ""^[^\x{0600}-\x{06FF}]+"", """"), ""^[-–\s]+"", """")))&gt;0, TRIM(REGEXREPLACE(REGEXREPLACE('AYIRA MINI MART FINAL MENU - Pr"&amp;"'!A383, ""^[^\x{0600}-\x{06FF}]+"", """"), ""^[-–\s]+"", """")), GOOGLETRANSLATE('AYIRA MINI MART FINAL MENU - Pr'!A383, ""en"", ""ar"")))"),"كيتكو Nice Tomato كاتشاب شيبس 16 غرام")</f>
        <v>كيتكو Nice Tomato كاتشاب شيبس 16 غرام</v>
      </c>
      <c r="B383" s="56" t="str">
        <f>IFERROR(__xludf.DUMMYFUNCTION("IF('AYIRA MINI MART FINAL MENU - Pr'!B383="""", """", IF(LEN(TRIM(REGEXREPLACE(REGEXREPLACE('AYIRA MINI MART FINAL MENU - Pr'!B383, ""^[^\x{0600}-\x{06FF}]+"", """"), ""^[-–\s]+"", """")))&gt;0, TRIM(REGEXREPLACE(REGEXREPLACE('AYIRA MINI MART FINAL MENU - Pr"&amp;"'!B383, ""^[^\x{0600}-\x{06FF}]+"", """"), ""^[-–\s]+"", """")), GOOGLETRANSLATE('AYIRA MINI MART FINAL MENU - Pr'!B383, ""en"", ""ar"")))"),"الشيبس والمقرمشات")</f>
        <v>الشيبس والمقرمشات</v>
      </c>
      <c r="C383" s="58">
        <f>IF('AYIRA MINI MART FINAL MENU - Pr'!C383="", "", 'AYIRA MINI MART FINAL MENU - Pr'!C383)</f>
        <v>1</v>
      </c>
      <c r="D383" s="58" t="str">
        <f>IF('AYIRA MINI MART FINAL MENU - Pr'!D383="", "", 'AYIRA MINI MART FINAL MENU - Pr'!D383)</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3" s="56" t="str">
        <f>IF('AYIRA MINI MART FINAL MENU - Pr'!E383="", "", 'AYIRA MINI MART FINAL MENU - Pr'!E383)</f>
        <v/>
      </c>
      <c r="F383" s="56" t="str">
        <f>IF('AYIRA MINI MART FINAL MENU - Pr'!F383="", "", 'AYIRA MINI MART FINAL MENU - Pr'!F383)</f>
        <v/>
      </c>
      <c r="G383" s="56" t="str">
        <f>IF('AYIRA MINI MART FINAL MENU - Pr'!G383="", "", 'AYIRA MINI MART FINAL MENU - Pr'!G383)</f>
        <v/>
      </c>
      <c r="H383" s="56" t="str">
        <f>IF('AYIRA MINI MART FINAL MENU - Pr'!H383="", "", 'AYIRA MINI MART FINAL MENU - Pr'!H383)</f>
        <v/>
      </c>
      <c r="I383" s="56" t="str">
        <f>IF('AYIRA MINI MART FINAL MENU - Pr'!I383="", "", 'AYIRA MINI MART FINAL MENU - Pr'!I383)</f>
        <v/>
      </c>
      <c r="J383" s="56" t="str">
        <f>IFERROR(__xludf.DUMMYFUNCTION("IF('AYIRA MINI MART FINAL MENU - Pr'!J383="""", """", GOOGLETRANSLATE('AYIRA MINI MART FINAL MENU - Pr'!J383, ""en"", ""ar""))"),"يعرض")</f>
        <v>يعرض</v>
      </c>
      <c r="K383" s="56" t="str">
        <f>IF('AYIRA MINI MART FINAL MENU - Pr'!K383="", "", 'AYIRA MINI MART FINAL MENU - Pr'!K383)</f>
        <v/>
      </c>
      <c r="L383" s="56" t="str">
        <f>IF('AYIRA MINI MART FINAL MENU - Pr'!L383="", "", 'AYIRA MINI MART FINAL MENU - Pr'!L383)</f>
        <v/>
      </c>
      <c r="M383" s="56" t="str">
        <f>IF('AYIRA MINI MART FINAL MENU - Pr'!M383="", "", 'AYIRA MINI MART FINAL MENU - Pr'!M383)</f>
        <v/>
      </c>
      <c r="N383" s="56" t="str">
        <f>IF('AYIRA MINI MART FINAL MENU - Pr'!N383="", "", 'AYIRA MINI MART FINAL MENU - Pr'!N383)</f>
        <v/>
      </c>
      <c r="O383" s="57"/>
      <c r="P383" s="57"/>
      <c r="Q383" s="57"/>
      <c r="R383" s="57"/>
      <c r="S383" s="57"/>
      <c r="T383" s="57"/>
      <c r="U383" s="57"/>
      <c r="V383" s="57"/>
      <c r="W383" s="57"/>
      <c r="X383" s="57"/>
      <c r="Y383" s="57"/>
      <c r="Z383" s="57"/>
    </row>
    <row r="384">
      <c r="A384" s="56" t="str">
        <f>IFERROR(__xludf.DUMMYFUNCTION("IF('AYIRA MINI MART FINAL MENU - Pr'!A384="""", """", IF(LEN(TRIM(REGEXREPLACE(REGEXREPLACE('AYIRA MINI MART FINAL MENU - Pr'!A384, ""^[^\x{0600}-\x{06FF}]+"", """"), ""^[-–\s]+"", """")))&gt;0, TRIM(REGEXREPLACE(REGEXREPLACE('AYIRA MINI MART FINAL MENU - Pr"&amp;"'!A384, ""^[^\x{0600}-\x{06FF}]+"", """"), ""^[-–\s]+"", """")), GOOGLETRANSLATE('AYIRA MINI MART FINAL MENU - Pr'!A384, ""en"", ""ar"")))"),"كيتكو Nice شيبس Lightly مملح 80 غرام")</f>
        <v>كيتكو Nice شيبس Lightly مملح 80 غرام</v>
      </c>
      <c r="B384" s="56" t="str">
        <f>IFERROR(__xludf.DUMMYFUNCTION("IF('AYIRA MINI MART FINAL MENU - Pr'!B384="""", """", IF(LEN(TRIM(REGEXREPLACE(REGEXREPLACE('AYIRA MINI MART FINAL MENU - Pr'!B384, ""^[^\x{0600}-\x{06FF}]+"", """"), ""^[-–\s]+"", """")))&gt;0, TRIM(REGEXREPLACE(REGEXREPLACE('AYIRA MINI MART FINAL MENU - Pr"&amp;"'!B384, ""^[^\x{0600}-\x{06FF}]+"", """"), ""^[-–\s]+"", """")), GOOGLETRANSLATE('AYIRA MINI MART FINAL MENU - Pr'!B384, ""en"", ""ar"")))"),"الشيبس والمقرمشات")</f>
        <v>الشيبس والمقرمشات</v>
      </c>
      <c r="C384" s="58">
        <f>IF('AYIRA MINI MART FINAL MENU - Pr'!C384="", "", 'AYIRA MINI MART FINAL MENU - Pr'!C384)</f>
        <v>4</v>
      </c>
      <c r="D384" s="58" t="str">
        <f>IF('AYIRA MINI MART FINAL MENU - Pr'!D384="", "", 'AYIRA MINI MART FINAL MENU - Pr'!D384)</f>
        <v>لا تقاوم طعم كيتكو،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4" s="56" t="str">
        <f>IF('AYIRA MINI MART FINAL MENU - Pr'!E384="", "", 'AYIRA MINI MART FINAL MENU - Pr'!E384)</f>
        <v/>
      </c>
      <c r="F384" s="56" t="str">
        <f>IF('AYIRA MINI MART FINAL MENU - Pr'!F384="", "", 'AYIRA MINI MART FINAL MENU - Pr'!F384)</f>
        <v/>
      </c>
      <c r="G384" s="56" t="str">
        <f>IF('AYIRA MINI MART FINAL MENU - Pr'!G384="", "", 'AYIRA MINI MART FINAL MENU - Pr'!G384)</f>
        <v/>
      </c>
      <c r="H384" s="56" t="str">
        <f>IF('AYIRA MINI MART FINAL MENU - Pr'!H384="", "", 'AYIRA MINI MART FINAL MENU - Pr'!H384)</f>
        <v/>
      </c>
      <c r="I384" s="56" t="str">
        <f>IF('AYIRA MINI MART FINAL MENU - Pr'!I384="", "", 'AYIRA MINI MART FINAL MENU - Pr'!I384)</f>
        <v/>
      </c>
      <c r="J384" s="56" t="str">
        <f>IFERROR(__xludf.DUMMYFUNCTION("IF('AYIRA MINI MART FINAL MENU - Pr'!J384="""", """", GOOGLETRANSLATE('AYIRA MINI MART FINAL MENU - Pr'!J384, ""en"", ""ar""))"),"يعرض")</f>
        <v>يعرض</v>
      </c>
      <c r="K384" s="56" t="str">
        <f>IF('AYIRA MINI MART FINAL MENU - Pr'!K384="", "", 'AYIRA MINI MART FINAL MENU - Pr'!K384)</f>
        <v/>
      </c>
      <c r="L384" s="56" t="str">
        <f>IF('AYIRA MINI MART FINAL MENU - Pr'!L384="", "", 'AYIRA MINI MART FINAL MENU - Pr'!L384)</f>
        <v/>
      </c>
      <c r="M384" s="56" t="str">
        <f>IF('AYIRA MINI MART FINAL MENU - Pr'!M384="", "", 'AYIRA MINI MART FINAL MENU - Pr'!M384)</f>
        <v/>
      </c>
      <c r="N384" s="56" t="str">
        <f>IF('AYIRA MINI MART FINAL MENU - Pr'!N384="", "", 'AYIRA MINI MART FINAL MENU - Pr'!N384)</f>
        <v/>
      </c>
      <c r="O384" s="57"/>
      <c r="P384" s="57"/>
      <c r="Q384" s="57"/>
      <c r="R384" s="57"/>
      <c r="S384" s="57"/>
      <c r="T384" s="57"/>
      <c r="U384" s="57"/>
      <c r="V384" s="57"/>
      <c r="W384" s="57"/>
      <c r="X384" s="57"/>
      <c r="Y384" s="57"/>
      <c r="Z384" s="57"/>
    </row>
    <row r="385">
      <c r="A385" s="56" t="str">
        <f>IFERROR(__xludf.DUMMYFUNCTION("IF('AYIRA MINI MART FINAL MENU - Pr'!A385="""", """", IF(LEN(TRIM(REGEXREPLACE(REGEXREPLACE('AYIRA MINI MART FINAL MENU - Pr'!A385, ""^[^\x{0600}-\x{06FF}]+"", """"), ""^[-–\s]+"", """")))&gt;0, TRIM(REGEXREPLACE(REGEXREPLACE('AYIRA MINI MART FINAL MENU - Pr"&amp;"'!A385, ""^[^\x{0600}-\x{06FF}]+"", """"), ""^[-–\s]+"", """")), GOOGLETRANSLATE('AYIRA MINI MART FINAL MENU - Pr'!A385, ""en"", ""ar"")))"),"شيبس Chilli Flavor 15 غرام")</f>
        <v>شيبس Chilli Flavor 15 غرام</v>
      </c>
      <c r="B385" s="56" t="str">
        <f>IFERROR(__xludf.DUMMYFUNCTION("IF('AYIRA MINI MART FINAL MENU - Pr'!B385="""", """", IF(LEN(TRIM(REGEXREPLACE(REGEXREPLACE('AYIRA MINI MART FINAL MENU - Pr'!B385, ""^[^\x{0600}-\x{06FF}]+"", """"), ""^[-–\s]+"", """")))&gt;0, TRIM(REGEXREPLACE(REGEXREPLACE('AYIRA MINI MART FINAL MENU - Pr"&amp;"'!B385, ""^[^\x{0600}-\x{06FF}]+"", """"), ""^[-–\s]+"", """")), GOOGLETRANSLATE('AYIRA MINI MART FINAL MENU - Pr'!B385, ""en"", ""ar"")))"),"الشيبس والمقرمشات")</f>
        <v>الشيبس والمقرمشات</v>
      </c>
      <c r="C385" s="58">
        <f>IF('AYIRA MINI MART FINAL MENU - Pr'!C385="", "", 'AYIRA MINI MART FINAL MENU - Pr'!C385)</f>
        <v>1</v>
      </c>
      <c r="D385" s="58" t="str">
        <f>IF('AYIRA MINI MART FINAL MENU - Pr'!D385="", "", 'AYIRA MINI MART FINAL MENU - Pr'!D385)</f>
        <v>لا تقاوم طعم OMAN Chips Chilli Flavor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5" s="56" t="str">
        <f>IF('AYIRA MINI MART FINAL MENU - Pr'!E385="", "", 'AYIRA MINI MART FINAL MENU - Pr'!E385)</f>
        <v/>
      </c>
      <c r="F385" s="56" t="str">
        <f>IF('AYIRA MINI MART FINAL MENU - Pr'!F385="", "", 'AYIRA MINI MART FINAL MENU - Pr'!F385)</f>
        <v/>
      </c>
      <c r="G385" s="56" t="str">
        <f>IF('AYIRA MINI MART FINAL MENU - Pr'!G385="", "", 'AYIRA MINI MART FINAL MENU - Pr'!G385)</f>
        <v/>
      </c>
      <c r="H385" s="56" t="str">
        <f>IF('AYIRA MINI MART FINAL MENU - Pr'!H385="", "", 'AYIRA MINI MART FINAL MENU - Pr'!H385)</f>
        <v/>
      </c>
      <c r="I385" s="56" t="str">
        <f>IF('AYIRA MINI MART FINAL MENU - Pr'!I385="", "", 'AYIRA MINI MART FINAL MENU - Pr'!I385)</f>
        <v/>
      </c>
      <c r="J385" s="56" t="str">
        <f>IFERROR(__xludf.DUMMYFUNCTION("IF('AYIRA MINI MART FINAL MENU - Pr'!J385="""", """", GOOGLETRANSLATE('AYIRA MINI MART FINAL MENU - Pr'!J385, ""en"", ""ar""))"),"يعرض")</f>
        <v>يعرض</v>
      </c>
      <c r="K385" s="56" t="str">
        <f>IF('AYIRA MINI MART FINAL MENU - Pr'!K385="", "", 'AYIRA MINI MART FINAL MENU - Pr'!K385)</f>
        <v/>
      </c>
      <c r="L385" s="56" t="str">
        <f>IF('AYIRA MINI MART FINAL MENU - Pr'!L385="", "", 'AYIRA MINI MART FINAL MENU - Pr'!L385)</f>
        <v/>
      </c>
      <c r="M385" s="56" t="str">
        <f>IF('AYIRA MINI MART FINAL MENU - Pr'!M385="", "", 'AYIRA MINI MART FINAL MENU - Pr'!M385)</f>
        <v/>
      </c>
      <c r="N385" s="56" t="str">
        <f>IF('AYIRA MINI MART FINAL MENU - Pr'!N385="", "", 'AYIRA MINI MART FINAL MENU - Pr'!N385)</f>
        <v/>
      </c>
      <c r="O385" s="57"/>
      <c r="P385" s="57"/>
      <c r="Q385" s="57"/>
      <c r="R385" s="57"/>
      <c r="S385" s="57"/>
      <c r="T385" s="57"/>
      <c r="U385" s="57"/>
      <c r="V385" s="57"/>
      <c r="W385" s="57"/>
      <c r="X385" s="57"/>
      <c r="Y385" s="57"/>
      <c r="Z385" s="57"/>
    </row>
    <row r="386">
      <c r="A386" s="56" t="str">
        <f>IFERROR(__xludf.DUMMYFUNCTION("IF('AYIRA MINI MART FINAL MENU - Pr'!A386="""", """", IF(LEN(TRIM(REGEXREPLACE(REGEXREPLACE('AYIRA MINI MART FINAL MENU - Pr'!A386, ""^[^\x{0600}-\x{06FF}]+"", """"), ""^[-–\s]+"", """")))&gt;0, TRIM(REGEXREPLACE(REGEXREPLACE('AYIRA MINI MART FINAL MENU - Pr"&amp;"'!A386, ""^[^\x{0600}-\x{06FF}]+"", """"), ""^[-–\s]+"", """")), GOOGLETRANSLATE('AYIRA MINI MART FINAL MENU - Pr'!A386, ""en"", ""ar"")))"),"شيبس 75 غرام")</f>
        <v>شيبس 75 غرام</v>
      </c>
      <c r="B386" s="56" t="str">
        <f>IFERROR(__xludf.DUMMYFUNCTION("IF('AYIRA MINI MART FINAL MENU - Pr'!B386="""", """", IF(LEN(TRIM(REGEXREPLACE(REGEXREPLACE('AYIRA MINI MART FINAL MENU - Pr'!B386, ""^[^\x{0600}-\x{06FF}]+"", """"), ""^[-–\s]+"", """")))&gt;0, TRIM(REGEXREPLACE(REGEXREPLACE('AYIRA MINI MART FINAL MENU - Pr"&amp;"'!B386, ""^[^\x{0600}-\x{06FF}]+"", """"), ""^[-–\s]+"", """")), GOOGLETRANSLATE('AYIRA MINI MART FINAL MENU - Pr'!B386, ""en"", ""ar"")))"),"الشيبس والمقرمشات")</f>
        <v>الشيبس والمقرمشات</v>
      </c>
      <c r="C386" s="58">
        <f>IF('AYIRA MINI MART FINAL MENU - Pr'!C386="", "", 'AYIRA MINI MART FINAL MENU - Pr'!C386)</f>
        <v>4</v>
      </c>
      <c r="D386" s="58" t="str">
        <f>IF('AYIRA MINI MART FINAL MENU - Pr'!D386="", "", 'AYIRA MINI MART FINAL MENU - Pr'!D386)</f>
        <v>لا تقاوم طعم Al Mudhish Ripple Chilli Chips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6" s="56" t="str">
        <f>IF('AYIRA MINI MART FINAL MENU - Pr'!E386="", "", 'AYIRA MINI MART FINAL MENU - Pr'!E386)</f>
        <v/>
      </c>
      <c r="F386" s="56" t="str">
        <f>IF('AYIRA MINI MART FINAL MENU - Pr'!F386="", "", 'AYIRA MINI MART FINAL MENU - Pr'!F386)</f>
        <v/>
      </c>
      <c r="G386" s="56" t="str">
        <f>IF('AYIRA MINI MART FINAL MENU - Pr'!G386="", "", 'AYIRA MINI MART FINAL MENU - Pr'!G386)</f>
        <v/>
      </c>
      <c r="H386" s="56" t="str">
        <f>IF('AYIRA MINI MART FINAL MENU - Pr'!H386="", "", 'AYIRA MINI MART FINAL MENU - Pr'!H386)</f>
        <v/>
      </c>
      <c r="I386" s="56" t="str">
        <f>IF('AYIRA MINI MART FINAL MENU - Pr'!I386="", "", 'AYIRA MINI MART FINAL MENU - Pr'!I386)</f>
        <v/>
      </c>
      <c r="J386" s="56" t="str">
        <f>IFERROR(__xludf.DUMMYFUNCTION("IF('AYIRA MINI MART FINAL MENU - Pr'!J386="""", """", GOOGLETRANSLATE('AYIRA MINI MART FINAL MENU - Pr'!J386, ""en"", ""ar""))"),"يعرض")</f>
        <v>يعرض</v>
      </c>
      <c r="K386" s="56" t="str">
        <f>IF('AYIRA MINI MART FINAL MENU - Pr'!K386="", "", 'AYIRA MINI MART FINAL MENU - Pr'!K386)</f>
        <v/>
      </c>
      <c r="L386" s="56" t="str">
        <f>IF('AYIRA MINI MART FINAL MENU - Pr'!L386="", "", 'AYIRA MINI MART FINAL MENU - Pr'!L386)</f>
        <v/>
      </c>
      <c r="M386" s="56" t="str">
        <f>IF('AYIRA MINI MART FINAL MENU - Pr'!M386="", "", 'AYIRA MINI MART FINAL MENU - Pr'!M386)</f>
        <v/>
      </c>
      <c r="N386" s="56" t="str">
        <f>IF('AYIRA MINI MART FINAL MENU - Pr'!N386="", "", 'AYIRA MINI MART FINAL MENU - Pr'!N386)</f>
        <v/>
      </c>
      <c r="O386" s="57"/>
      <c r="P386" s="57"/>
      <c r="Q386" s="57"/>
      <c r="R386" s="57"/>
      <c r="S386" s="57"/>
      <c r="T386" s="57"/>
      <c r="U386" s="57"/>
      <c r="V386" s="57"/>
      <c r="W386" s="57"/>
      <c r="X386" s="57"/>
      <c r="Y386" s="57"/>
      <c r="Z386" s="57"/>
    </row>
    <row r="387">
      <c r="A387" s="56" t="str">
        <f>IFERROR(__xludf.DUMMYFUNCTION("IF('AYIRA MINI MART FINAL MENU - Pr'!A387="""", """", IF(LEN(TRIM(REGEXREPLACE(REGEXREPLACE('AYIRA MINI MART FINAL MENU - Pr'!A387, ""^[^\x{0600}-\x{06FF}]+"", """"), ""^[-–\s]+"", """")))&gt;0, TRIM(REGEXREPLACE(REGEXREPLACE('AYIRA MINI MART FINAL MENU - Pr"&amp;"'!A387, ""^[^\x{0600}-\x{06FF}]+"", """"), ""^[-–\s]+"", """")), GOOGLETRANSLATE('AYIRA MINI MART FINAL MENU - Pr'!A387, ""en"", ""ar"")))"),"جبنة 16 غرام")</f>
        <v>جبنة 16 غرام</v>
      </c>
      <c r="B387" s="56" t="str">
        <f>IFERROR(__xludf.DUMMYFUNCTION("IF('AYIRA MINI MART FINAL MENU - Pr'!B387="""", """", IF(LEN(TRIM(REGEXREPLACE(REGEXREPLACE('AYIRA MINI MART FINAL MENU - Pr'!B387, ""^[^\x{0600}-\x{06FF}]+"", """"), ""^[-–\s]+"", """")))&gt;0, TRIM(REGEXREPLACE(REGEXREPLACE('AYIRA MINI MART FINAL MENU - Pr"&amp;"'!B387, ""^[^\x{0600}-\x{06FF}]+"", """"), ""^[-–\s]+"", """")), GOOGLETRANSLATE('AYIRA MINI MART FINAL MENU - Pr'!B387, ""en"", ""ar"")))"),"الشيبس والمقرمشات")</f>
        <v>الشيبس والمقرمشات</v>
      </c>
      <c r="C387" s="58">
        <f>IF('AYIRA MINI MART FINAL MENU - Pr'!C387="", "", 'AYIRA MINI MART FINAL MENU - Pr'!C387)</f>
        <v>1</v>
      </c>
      <c r="D387" s="58" t="str">
        <f>IF('AYIRA MINI MART FINAL MENU - Pr'!D387="", "", 'AYIRA MINI MART FINAL MENU - Pr'!D387)</f>
        <v>لا تقاوم طعم ALBADIA Corn Cones Cheese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7" s="56" t="str">
        <f>IF('AYIRA MINI MART FINAL MENU - Pr'!E387="", "", 'AYIRA MINI MART FINAL MENU - Pr'!E387)</f>
        <v/>
      </c>
      <c r="F387" s="56" t="str">
        <f>IF('AYIRA MINI MART FINAL MENU - Pr'!F387="", "", 'AYIRA MINI MART FINAL MENU - Pr'!F387)</f>
        <v/>
      </c>
      <c r="G387" s="56" t="str">
        <f>IF('AYIRA MINI MART FINAL MENU - Pr'!G387="", "", 'AYIRA MINI MART FINAL MENU - Pr'!G387)</f>
        <v/>
      </c>
      <c r="H387" s="56" t="str">
        <f>IF('AYIRA MINI MART FINAL MENU - Pr'!H387="", "", 'AYIRA MINI MART FINAL MENU - Pr'!H387)</f>
        <v/>
      </c>
      <c r="I387" s="56" t="str">
        <f>IF('AYIRA MINI MART FINAL MENU - Pr'!I387="", "", 'AYIRA MINI MART FINAL MENU - Pr'!I387)</f>
        <v/>
      </c>
      <c r="J387" s="56" t="str">
        <f>IFERROR(__xludf.DUMMYFUNCTION("IF('AYIRA MINI MART FINAL MENU - Pr'!J387="""", """", GOOGLETRANSLATE('AYIRA MINI MART FINAL MENU - Pr'!J387, ""en"", ""ar""))"),"إنتهى من المخزن")</f>
        <v>إنتهى من المخزن</v>
      </c>
      <c r="K387" s="56" t="str">
        <f>IF('AYIRA MINI MART FINAL MENU - Pr'!K387="", "", 'AYIRA MINI MART FINAL MENU - Pr'!K387)</f>
        <v/>
      </c>
      <c r="L387" s="56" t="str">
        <f>IF('AYIRA MINI MART FINAL MENU - Pr'!L387="", "", 'AYIRA MINI MART FINAL MENU - Pr'!L387)</f>
        <v/>
      </c>
      <c r="M387" s="56" t="str">
        <f>IF('AYIRA MINI MART FINAL MENU - Pr'!M387="", "", 'AYIRA MINI MART FINAL MENU - Pr'!M387)</f>
        <v/>
      </c>
      <c r="N387" s="56" t="str">
        <f>IF('AYIRA MINI MART FINAL MENU - Pr'!N387="", "", 'AYIRA MINI MART FINAL MENU - Pr'!N387)</f>
        <v/>
      </c>
      <c r="O387" s="57"/>
      <c r="P387" s="57"/>
      <c r="Q387" s="57"/>
      <c r="R387" s="57"/>
      <c r="S387" s="57"/>
      <c r="T387" s="57"/>
      <c r="U387" s="57"/>
      <c r="V387" s="57"/>
      <c r="W387" s="57"/>
      <c r="X387" s="57"/>
      <c r="Y387" s="57"/>
      <c r="Z387" s="57"/>
    </row>
    <row r="388">
      <c r="A388" s="56" t="str">
        <f>IFERROR(__xludf.DUMMYFUNCTION("IF('AYIRA MINI MART FINAL MENU - Pr'!A388="""", """", IF(LEN(TRIM(REGEXREPLACE(REGEXREPLACE('AYIRA MINI MART FINAL MENU - Pr'!A388, ""^[^\x{0600}-\x{06FF}]+"", """"), ""^[-–\s]+"", """")))&gt;0, TRIM(REGEXREPLACE(REGEXREPLACE('AYIRA MINI MART FINAL MENU - Pr"&amp;"'!A388, ""^[^\x{0600}-\x{06FF}]+"", """"), ""^[-–\s]+"", """")), GOOGLETRANSLATE('AYIRA MINI MART FINAL MENU - Pr'!A388, ""en"", ""ar"")))"),"جبنة 15 غرام")</f>
        <v>جبنة 15 غرام</v>
      </c>
      <c r="B388" s="56" t="str">
        <f>IFERROR(__xludf.DUMMYFUNCTION("IF('AYIRA MINI MART FINAL MENU - Pr'!B388="""", """", IF(LEN(TRIM(REGEXREPLACE(REGEXREPLACE('AYIRA MINI MART FINAL MENU - Pr'!B388, ""^[^\x{0600}-\x{06FF}]+"", """"), ""^[-–\s]+"", """")))&gt;0, TRIM(REGEXREPLACE(REGEXREPLACE('AYIRA MINI MART FINAL MENU - Pr"&amp;"'!B388, ""^[^\x{0600}-\x{06FF}]+"", """"), ""^[-–\s]+"", """")), GOOGLETRANSLATE('AYIRA MINI MART FINAL MENU - Pr'!B388, ""en"", ""ar"")))"),"الشيبس والمقرمشات")</f>
        <v>الشيبس والمقرمشات</v>
      </c>
      <c r="C388" s="58">
        <f>IF('AYIRA MINI MART FINAL MENU - Pr'!C388="", "", 'AYIRA MINI MART FINAL MENU - Pr'!C388)</f>
        <v>1</v>
      </c>
      <c r="D388" s="58" t="str">
        <f>IF('AYIRA MINI MART FINAL MENU - Pr'!D388="", "", 'AYIRA MINI MART FINAL MENU - Pr'!D388)</f>
        <v>لا تقاوم طعم AL MUDHISH Potato Ripples Crunchy Cheese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8" s="56" t="str">
        <f>IF('AYIRA MINI MART FINAL MENU - Pr'!E388="", "", 'AYIRA MINI MART FINAL MENU - Pr'!E388)</f>
        <v/>
      </c>
      <c r="F388" s="56" t="str">
        <f>IF('AYIRA MINI MART FINAL MENU - Pr'!F388="", "", 'AYIRA MINI MART FINAL MENU - Pr'!F388)</f>
        <v/>
      </c>
      <c r="G388" s="56" t="str">
        <f>IF('AYIRA MINI MART FINAL MENU - Pr'!G388="", "", 'AYIRA MINI MART FINAL MENU - Pr'!G388)</f>
        <v/>
      </c>
      <c r="H388" s="56" t="str">
        <f>IF('AYIRA MINI MART FINAL MENU - Pr'!H388="", "", 'AYIRA MINI MART FINAL MENU - Pr'!H388)</f>
        <v/>
      </c>
      <c r="I388" s="56" t="str">
        <f>IF('AYIRA MINI MART FINAL MENU - Pr'!I388="", "", 'AYIRA MINI MART FINAL MENU - Pr'!I388)</f>
        <v/>
      </c>
      <c r="J388" s="56" t="str">
        <f>IFERROR(__xludf.DUMMYFUNCTION("IF('AYIRA MINI MART FINAL MENU - Pr'!J388="""", """", GOOGLETRANSLATE('AYIRA MINI MART FINAL MENU - Pr'!J388, ""en"", ""ar""))"),"يعرض")</f>
        <v>يعرض</v>
      </c>
      <c r="K388" s="56" t="str">
        <f>IF('AYIRA MINI MART FINAL MENU - Pr'!K388="", "", 'AYIRA MINI MART FINAL MENU - Pr'!K388)</f>
        <v/>
      </c>
      <c r="L388" s="56" t="str">
        <f>IF('AYIRA MINI MART FINAL MENU - Pr'!L388="", "", 'AYIRA MINI MART FINAL MENU - Pr'!L388)</f>
        <v/>
      </c>
      <c r="M388" s="56" t="str">
        <f>IF('AYIRA MINI MART FINAL MENU - Pr'!M388="", "", 'AYIRA MINI MART FINAL MENU - Pr'!M388)</f>
        <v/>
      </c>
      <c r="N388" s="56" t="str">
        <f>IF('AYIRA MINI MART FINAL MENU - Pr'!N388="", "", 'AYIRA MINI MART FINAL MENU - Pr'!N388)</f>
        <v/>
      </c>
      <c r="O388" s="57"/>
      <c r="P388" s="57"/>
      <c r="Q388" s="57"/>
      <c r="R388" s="57"/>
      <c r="S388" s="57"/>
      <c r="T388" s="57"/>
      <c r="U388" s="57"/>
      <c r="V388" s="57"/>
      <c r="W388" s="57"/>
      <c r="X388" s="57"/>
      <c r="Y388" s="57"/>
      <c r="Z388" s="57"/>
    </row>
    <row r="389">
      <c r="A389" s="56" t="str">
        <f>IFERROR(__xludf.DUMMYFUNCTION("IF('AYIRA MINI MART FINAL MENU - Pr'!A389="""", """", IF(LEN(TRIM(REGEXREPLACE(REGEXREPLACE('AYIRA MINI MART FINAL MENU - Pr'!A389, ""^[^\x{0600}-\x{06FF}]+"", """"), ""^[-–\s]+"", """")))&gt;0, TRIM(REGEXREPLACE(REGEXREPLACE('AYIRA MINI MART FINAL MENU - Pr"&amp;"'!A389, ""^[^\x{0600}-\x{06FF}]+"", """"), ""^[-–\s]+"", """")), GOOGLETRANSLATE('AYIRA MINI MART FINAL MENU - Pr'!A389, ""en"", ""ar"")))"),"غرام")</f>
        <v>غرام</v>
      </c>
      <c r="B389" s="56" t="str">
        <f>IFERROR(__xludf.DUMMYFUNCTION("IF('AYIRA MINI MART FINAL MENU - Pr'!B389="""", """", IF(LEN(TRIM(REGEXREPLACE(REGEXREPLACE('AYIRA MINI MART FINAL MENU - Pr'!B389, ""^[^\x{0600}-\x{06FF}]+"", """"), ""^[-–\s]+"", """")))&gt;0, TRIM(REGEXREPLACE(REGEXREPLACE('AYIRA MINI MART FINAL MENU - Pr"&amp;"'!B389, ""^[^\x{0600}-\x{06FF}]+"", """"), ""^[-–\s]+"", """")), GOOGLETRANSLATE('AYIRA MINI MART FINAL MENU - Pr'!B389, ""en"", ""ar"")))"),"الشيبس والمقرمشات")</f>
        <v>الشيبس والمقرمشات</v>
      </c>
      <c r="C389" s="58">
        <f>IF('AYIRA MINI MART FINAL MENU - Pr'!C389="", "", 'AYIRA MINI MART FINAL MENU - Pr'!C389)</f>
        <v>1</v>
      </c>
      <c r="D389" s="58" t="str">
        <f>IF('AYIRA MINI MART FINAL MENU - Pr'!D389="", "", 'AYIRA MINI MART FINAL MENU - Pr'!D389)</f>
        <v>لا تقاوم طعم AL MUDHISH Potato Ripples Crunchy Chilli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89" s="56" t="str">
        <f>IF('AYIRA MINI MART FINAL MENU - Pr'!E389="", "", 'AYIRA MINI MART FINAL MENU - Pr'!E389)</f>
        <v/>
      </c>
      <c r="F389" s="56" t="str">
        <f>IF('AYIRA MINI MART FINAL MENU - Pr'!F389="", "", 'AYIRA MINI MART FINAL MENU - Pr'!F389)</f>
        <v/>
      </c>
      <c r="G389" s="56" t="str">
        <f>IF('AYIRA MINI MART FINAL MENU - Pr'!G389="", "", 'AYIRA MINI MART FINAL MENU - Pr'!G389)</f>
        <v/>
      </c>
      <c r="H389" s="56" t="str">
        <f>IF('AYIRA MINI MART FINAL MENU - Pr'!H389="", "", 'AYIRA MINI MART FINAL MENU - Pr'!H389)</f>
        <v/>
      </c>
      <c r="I389" s="56" t="str">
        <f>IF('AYIRA MINI MART FINAL MENU - Pr'!I389="", "", 'AYIRA MINI MART FINAL MENU - Pr'!I389)</f>
        <v/>
      </c>
      <c r="J389" s="56" t="str">
        <f>IFERROR(__xludf.DUMMYFUNCTION("IF('AYIRA MINI MART FINAL MENU - Pr'!J389="""", """", GOOGLETRANSLATE('AYIRA MINI MART FINAL MENU - Pr'!J389, ""en"", ""ar""))"),"يعرض")</f>
        <v>يعرض</v>
      </c>
      <c r="K389" s="56" t="str">
        <f>IF('AYIRA MINI MART FINAL MENU - Pr'!K389="", "", 'AYIRA MINI MART FINAL MENU - Pr'!K389)</f>
        <v/>
      </c>
      <c r="L389" s="56" t="str">
        <f>IF('AYIRA MINI MART FINAL MENU - Pr'!L389="", "", 'AYIRA MINI MART FINAL MENU - Pr'!L389)</f>
        <v/>
      </c>
      <c r="M389" s="56" t="str">
        <f>IF('AYIRA MINI MART FINAL MENU - Pr'!M389="", "", 'AYIRA MINI MART FINAL MENU - Pr'!M389)</f>
        <v/>
      </c>
      <c r="N389" s="56" t="str">
        <f>IF('AYIRA MINI MART FINAL MENU - Pr'!N389="", "", 'AYIRA MINI MART FINAL MENU - Pr'!N389)</f>
        <v/>
      </c>
      <c r="O389" s="57"/>
      <c r="P389" s="57"/>
      <c r="Q389" s="57"/>
      <c r="R389" s="57"/>
      <c r="S389" s="57"/>
      <c r="T389" s="57"/>
      <c r="U389" s="57"/>
      <c r="V389" s="57"/>
      <c r="W389" s="57"/>
      <c r="X389" s="57"/>
      <c r="Y389" s="57"/>
      <c r="Z389" s="57"/>
    </row>
    <row r="390">
      <c r="A390" s="56" t="str">
        <f>IFERROR(__xludf.DUMMYFUNCTION("IF('AYIRA MINI MART FINAL MENU - Pr'!A390="""", """", IF(LEN(TRIM(REGEXREPLACE(REGEXREPLACE('AYIRA MINI MART FINAL MENU - Pr'!A390, ""^[^\x{0600}-\x{06FF}]+"", """"), ""^[-–\s]+"", """")))&gt;0, TRIM(REGEXREPLACE(REGEXREPLACE('AYIRA MINI MART FINAL MENU - Pr"&amp;"'!A390, ""^[^\x{0600}-\x{06FF}]+"", """"), ""^[-–\s]+"", """")), GOOGLETRANSLATE('AYIRA MINI MART FINAL MENU - Pr'!A390, ""en"", ""ar"")))"),"كريم &amp; بصل 15 غرام")</f>
        <v>كريم &amp; بصل 15 غرام</v>
      </c>
      <c r="B390" s="56" t="str">
        <f>IFERROR(__xludf.DUMMYFUNCTION("IF('AYIRA MINI MART FINAL MENU - Pr'!B390="""", """", IF(LEN(TRIM(REGEXREPLACE(REGEXREPLACE('AYIRA MINI MART FINAL MENU - Pr'!B390, ""^[^\x{0600}-\x{06FF}]+"", """"), ""^[-–\s]+"", """")))&gt;0, TRIM(REGEXREPLACE(REGEXREPLACE('AYIRA MINI MART FINAL MENU - Pr"&amp;"'!B390, ""^[^\x{0600}-\x{06FF}]+"", """"), ""^[-–\s]+"", """")), GOOGLETRANSLATE('AYIRA MINI MART FINAL MENU - Pr'!B390, ""en"", ""ar"")))"),"الشيبس والمقرمشات")</f>
        <v>الشيبس والمقرمشات</v>
      </c>
      <c r="C390" s="58">
        <f>IF('AYIRA MINI MART FINAL MENU - Pr'!C390="", "", 'AYIRA MINI MART FINAL MENU - Pr'!C390)</f>
        <v>1</v>
      </c>
      <c r="D390" s="58" t="str">
        <f>IF('AYIRA MINI MART FINAL MENU - Pr'!D390="", "", 'AYIRA MINI MART FINAL MENU - Pr'!D390)</f>
        <v>لا تقاوم طعم AL MUDHISH Potato Ripples Sour Cream &amp; Onion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90" s="56" t="str">
        <f>IF('AYIRA MINI MART FINAL MENU - Pr'!E390="", "", 'AYIRA MINI MART FINAL MENU - Pr'!E390)</f>
        <v/>
      </c>
      <c r="F390" s="56" t="str">
        <f>IF('AYIRA MINI MART FINAL MENU - Pr'!F390="", "", 'AYIRA MINI MART FINAL MENU - Pr'!F390)</f>
        <v/>
      </c>
      <c r="G390" s="56" t="str">
        <f>IF('AYIRA MINI MART FINAL MENU - Pr'!G390="", "", 'AYIRA MINI MART FINAL MENU - Pr'!G390)</f>
        <v/>
      </c>
      <c r="H390" s="56" t="str">
        <f>IF('AYIRA MINI MART FINAL MENU - Pr'!H390="", "", 'AYIRA MINI MART FINAL MENU - Pr'!H390)</f>
        <v/>
      </c>
      <c r="I390" s="56" t="str">
        <f>IF('AYIRA MINI MART FINAL MENU - Pr'!I390="", "", 'AYIRA MINI MART FINAL MENU - Pr'!I390)</f>
        <v/>
      </c>
      <c r="J390" s="56" t="str">
        <f>IFERROR(__xludf.DUMMYFUNCTION("IF('AYIRA MINI MART FINAL MENU - Pr'!J390="""", """", GOOGLETRANSLATE('AYIRA MINI MART FINAL MENU - Pr'!J390, ""en"", ""ar""))"),"يعرض")</f>
        <v>يعرض</v>
      </c>
      <c r="K390" s="56" t="str">
        <f>IF('AYIRA MINI MART FINAL MENU - Pr'!K390="", "", 'AYIRA MINI MART FINAL MENU - Pr'!K390)</f>
        <v/>
      </c>
      <c r="L390" s="56" t="str">
        <f>IF('AYIRA MINI MART FINAL MENU - Pr'!L390="", "", 'AYIRA MINI MART FINAL MENU - Pr'!L390)</f>
        <v/>
      </c>
      <c r="M390" s="56" t="str">
        <f>IF('AYIRA MINI MART FINAL MENU - Pr'!M390="", "", 'AYIRA MINI MART FINAL MENU - Pr'!M390)</f>
        <v/>
      </c>
      <c r="N390" s="56" t="str">
        <f>IF('AYIRA MINI MART FINAL MENU - Pr'!N390="", "", 'AYIRA MINI MART FINAL MENU - Pr'!N390)</f>
        <v/>
      </c>
      <c r="O390" s="57"/>
      <c r="P390" s="57"/>
      <c r="Q390" s="57"/>
      <c r="R390" s="57"/>
      <c r="S390" s="57"/>
      <c r="T390" s="57"/>
      <c r="U390" s="57"/>
      <c r="V390" s="57"/>
      <c r="W390" s="57"/>
      <c r="X390" s="57"/>
      <c r="Y390" s="57"/>
      <c r="Z390" s="57"/>
    </row>
    <row r="391">
      <c r="A391" s="56" t="str">
        <f>IFERROR(__xludf.DUMMYFUNCTION("IF('AYIRA MINI MART FINAL MENU - Pr'!A391="""", """", IF(LEN(TRIM(REGEXREPLACE(REGEXREPLACE('AYIRA MINI MART FINAL MENU - Pr'!A391, ""^[^\x{0600}-\x{06FF}]+"", """"), ""^[-–\s]+"", """")))&gt;0, TRIM(REGEXREPLACE(REGEXREPLACE('AYIRA MINI MART FINAL MENU - Pr"&amp;"'!A391, ""^[^\x{0600}-\x{06FF}]+"", """"), ""^[-–\s]+"", """")), GOOGLETRANSLATE('AYIRA MINI MART FINAL MENU - Pr'!A391, ""en"", ""ar"")))"),"غرام")</f>
        <v>غرام</v>
      </c>
      <c r="B391" s="56" t="str">
        <f>IFERROR(__xludf.DUMMYFUNCTION("IF('AYIRA MINI MART FINAL MENU - Pr'!B391="""", """", IF(LEN(TRIM(REGEXREPLACE(REGEXREPLACE('AYIRA MINI MART FINAL MENU - Pr'!B391, ""^[^\x{0600}-\x{06FF}]+"", """"), ""^[-–\s]+"", """")))&gt;0, TRIM(REGEXREPLACE(REGEXREPLACE('AYIRA MINI MART FINAL MENU - Pr"&amp;"'!B391, ""^[^\x{0600}-\x{06FF}]+"", """"), ""^[-–\s]+"", """")), GOOGLETRANSLATE('AYIRA MINI MART FINAL MENU - Pr'!B391, ""en"", ""ar"")))"),"الشيبس والمقرمشات")</f>
        <v>الشيبس والمقرمشات</v>
      </c>
      <c r="C391" s="58">
        <f>IF('AYIRA MINI MART FINAL MENU - Pr'!C391="", "", 'AYIRA MINI MART FINAL MENU - Pr'!C391)</f>
        <v>1</v>
      </c>
      <c r="D391" s="58" t="str">
        <f>IF('AYIRA MINI MART FINAL MENU - Pr'!D391="", "", 'AYIRA MINI MART FINAL MENU - Pr'!D391)</f>
        <v>لا تقاوم طعم AL MUDHISH Rings Salsa Crunchy Potato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91" s="56" t="str">
        <f>IF('AYIRA MINI MART FINAL MENU - Pr'!E391="", "", 'AYIRA MINI MART FINAL MENU - Pr'!E391)</f>
        <v/>
      </c>
      <c r="F391" s="56" t="str">
        <f>IF('AYIRA MINI MART FINAL MENU - Pr'!F391="", "", 'AYIRA MINI MART FINAL MENU - Pr'!F391)</f>
        <v/>
      </c>
      <c r="G391" s="56" t="str">
        <f>IF('AYIRA MINI MART FINAL MENU - Pr'!G391="", "", 'AYIRA MINI MART FINAL MENU - Pr'!G391)</f>
        <v/>
      </c>
      <c r="H391" s="56" t="str">
        <f>IF('AYIRA MINI MART FINAL MENU - Pr'!H391="", "", 'AYIRA MINI MART FINAL MENU - Pr'!H391)</f>
        <v/>
      </c>
      <c r="I391" s="56" t="str">
        <f>IF('AYIRA MINI MART FINAL MENU - Pr'!I391="", "", 'AYIRA MINI MART FINAL MENU - Pr'!I391)</f>
        <v/>
      </c>
      <c r="J391" s="56" t="str">
        <f>IFERROR(__xludf.DUMMYFUNCTION("IF('AYIRA MINI MART FINAL MENU - Pr'!J391="""", """", GOOGLETRANSLATE('AYIRA MINI MART FINAL MENU - Pr'!J391, ""en"", ""ar""))"),"يعرض")</f>
        <v>يعرض</v>
      </c>
      <c r="K391" s="56" t="str">
        <f>IF('AYIRA MINI MART FINAL MENU - Pr'!K391="", "", 'AYIRA MINI MART FINAL MENU - Pr'!K391)</f>
        <v/>
      </c>
      <c r="L391" s="56" t="str">
        <f>IF('AYIRA MINI MART FINAL MENU - Pr'!L391="", "", 'AYIRA MINI MART FINAL MENU - Pr'!L391)</f>
        <v/>
      </c>
      <c r="M391" s="56" t="str">
        <f>IF('AYIRA MINI MART FINAL MENU - Pr'!M391="", "", 'AYIRA MINI MART FINAL MENU - Pr'!M391)</f>
        <v/>
      </c>
      <c r="N391" s="56" t="str">
        <f>IF('AYIRA MINI MART FINAL MENU - Pr'!N391="", "", 'AYIRA MINI MART FINAL MENU - Pr'!N391)</f>
        <v/>
      </c>
      <c r="O391" s="57"/>
      <c r="P391" s="57"/>
      <c r="Q391" s="57"/>
      <c r="R391" s="57"/>
      <c r="S391" s="57"/>
      <c r="T391" s="57"/>
      <c r="U391" s="57"/>
      <c r="V391" s="57"/>
      <c r="W391" s="57"/>
      <c r="X391" s="57"/>
      <c r="Y391" s="57"/>
      <c r="Z391" s="57"/>
    </row>
    <row r="392">
      <c r="A392" s="56" t="str">
        <f>IFERROR(__xludf.DUMMYFUNCTION("IF('AYIRA MINI MART FINAL MENU - Pr'!A392="""", """", IF(LEN(TRIM(REGEXREPLACE(REGEXREPLACE('AYIRA MINI MART FINAL MENU - Pr'!A392, ""^[^\x{0600}-\x{06FF}]+"", """"), ""^[-–\s]+"", """")))&gt;0, TRIM(REGEXREPLACE(REGEXREPLACE('AYIRA MINI MART FINAL MENU - Pr"&amp;"'!A392, ""^[^\x{0600}-\x{06FF}]+"", """"), ""^[-–\s]+"", """")), GOOGLETRANSLATE('AYIRA MINI MART FINAL MENU - Pr'!A392, ""en"", ""ar"")))"),"شيبس ملح &amp; Vinegar 15 غرام")</f>
        <v>شيبس ملح &amp; Vinegar 15 غرام</v>
      </c>
      <c r="B392" s="56" t="str">
        <f>IFERROR(__xludf.DUMMYFUNCTION("IF('AYIRA MINI MART FINAL MENU - Pr'!B392="""", """", IF(LEN(TRIM(REGEXREPLACE(REGEXREPLACE('AYIRA MINI MART FINAL MENU - Pr'!B392, ""^[^\x{0600}-\x{06FF}]+"", """"), ""^[-–\s]+"", """")))&gt;0, TRIM(REGEXREPLACE(REGEXREPLACE('AYIRA MINI MART FINAL MENU - Pr"&amp;"'!B392, ""^[^\x{0600}-\x{06FF}]+"", """"), ""^[-–\s]+"", """")), GOOGLETRANSLATE('AYIRA MINI MART FINAL MENU - Pr'!B392, ""en"", ""ar"")))"),"الشيبس والمقرمشات")</f>
        <v>الشيبس والمقرمشات</v>
      </c>
      <c r="C392" s="58">
        <f>IF('AYIRA MINI MART FINAL MENU - Pr'!C392="", "", 'AYIRA MINI MART FINAL MENU - Pr'!C392)</f>
        <v>1</v>
      </c>
      <c r="D392" s="58" t="str">
        <f>IF('AYIRA MINI MART FINAL MENU - Pr'!D392="", "", 'AYIRA MINI MART FINAL MENU - Pr'!D392)</f>
        <v>لا تقاوم طعم AL MUDHISH Potato Chips Salt &amp; Vinegar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92" s="56" t="str">
        <f>IF('AYIRA MINI MART FINAL MENU - Pr'!E392="", "", 'AYIRA MINI MART FINAL MENU - Pr'!E392)</f>
        <v/>
      </c>
      <c r="F392" s="56" t="str">
        <f>IF('AYIRA MINI MART FINAL MENU - Pr'!F392="", "", 'AYIRA MINI MART FINAL MENU - Pr'!F392)</f>
        <v/>
      </c>
      <c r="G392" s="56" t="str">
        <f>IF('AYIRA MINI MART FINAL MENU - Pr'!G392="", "", 'AYIRA MINI MART FINAL MENU - Pr'!G392)</f>
        <v/>
      </c>
      <c r="H392" s="56" t="str">
        <f>IF('AYIRA MINI MART FINAL MENU - Pr'!H392="", "", 'AYIRA MINI MART FINAL MENU - Pr'!H392)</f>
        <v/>
      </c>
      <c r="I392" s="56" t="str">
        <f>IF('AYIRA MINI MART FINAL MENU - Pr'!I392="", "", 'AYIRA MINI MART FINAL MENU - Pr'!I392)</f>
        <v/>
      </c>
      <c r="J392" s="56" t="str">
        <f>IFERROR(__xludf.DUMMYFUNCTION("IF('AYIRA MINI MART FINAL MENU - Pr'!J392="""", """", GOOGLETRANSLATE('AYIRA MINI MART FINAL MENU - Pr'!J392, ""en"", ""ar""))"),"يعرض")</f>
        <v>يعرض</v>
      </c>
      <c r="K392" s="56" t="str">
        <f>IF('AYIRA MINI MART FINAL MENU - Pr'!K392="", "", 'AYIRA MINI MART FINAL MENU - Pr'!K392)</f>
        <v/>
      </c>
      <c r="L392" s="56" t="str">
        <f>IF('AYIRA MINI MART FINAL MENU - Pr'!L392="", "", 'AYIRA MINI MART FINAL MENU - Pr'!L392)</f>
        <v/>
      </c>
      <c r="M392" s="56" t="str">
        <f>IF('AYIRA MINI MART FINAL MENU - Pr'!M392="", "", 'AYIRA MINI MART FINAL MENU - Pr'!M392)</f>
        <v/>
      </c>
      <c r="N392" s="56" t="str">
        <f>IF('AYIRA MINI MART FINAL MENU - Pr'!N392="", "", 'AYIRA MINI MART FINAL MENU - Pr'!N392)</f>
        <v/>
      </c>
      <c r="O392" s="57"/>
      <c r="P392" s="57"/>
      <c r="Q392" s="57"/>
      <c r="R392" s="57"/>
      <c r="S392" s="57"/>
      <c r="T392" s="57"/>
      <c r="U392" s="57"/>
      <c r="V392" s="57"/>
      <c r="W392" s="57"/>
      <c r="X392" s="57"/>
      <c r="Y392" s="57"/>
      <c r="Z392" s="57"/>
    </row>
    <row r="393">
      <c r="A393" s="56" t="str">
        <f>IFERROR(__xludf.DUMMYFUNCTION("IF('AYIRA MINI MART FINAL MENU - Pr'!A393="""", """", IF(LEN(TRIM(REGEXREPLACE(REGEXREPLACE('AYIRA MINI MART FINAL MENU - Pr'!A393, ""^[^\x{0600}-\x{06FF}]+"", """"), ""^[-–\s]+"", """")))&gt;0, TRIM(REGEXREPLACE(REGEXREPLACE('AYIRA MINI MART FINAL MENU - Pr"&amp;"'!A393, ""^[^\x{0600}-\x{06FF}]+"", """"), ""^[-–\s]+"", """")), GOOGLETRANSLATE('AYIRA MINI MART FINAL MENU - Pr'!A393, ""en"", ""ar"")))"),"شيبس مملح 15 غرام")</f>
        <v>شيبس مملح 15 غرام</v>
      </c>
      <c r="B393" s="56" t="str">
        <f>IFERROR(__xludf.DUMMYFUNCTION("IF('AYIRA MINI MART FINAL MENU - Pr'!B393="""", """", IF(LEN(TRIM(REGEXREPLACE(REGEXREPLACE('AYIRA MINI MART FINAL MENU - Pr'!B393, ""^[^\x{0600}-\x{06FF}]+"", """"), ""^[-–\s]+"", """")))&gt;0, TRIM(REGEXREPLACE(REGEXREPLACE('AYIRA MINI MART FINAL MENU - Pr"&amp;"'!B393, ""^[^\x{0600}-\x{06FF}]+"", """"), ""^[-–\s]+"", """")), GOOGLETRANSLATE('AYIRA MINI MART FINAL MENU - Pr'!B393, ""en"", ""ar"")))"),"الشيبس والمقرمشات")</f>
        <v>الشيبس والمقرمشات</v>
      </c>
      <c r="C393" s="58">
        <f>IF('AYIRA MINI MART FINAL MENU - Pr'!C393="", "", 'AYIRA MINI MART FINAL MENU - Pr'!C393)</f>
        <v>1</v>
      </c>
      <c r="D393" s="58" t="str">
        <f>IF('AYIRA MINI MART FINAL MENU - Pr'!D393="", "", 'AYIRA MINI MART FINAL MENU - Pr'!D393)</f>
        <v>لا تقاوم طعم AL MUDHISH Potato Chips Salted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93" s="56" t="str">
        <f>IF('AYIRA MINI MART FINAL MENU - Pr'!E393="", "", 'AYIRA MINI MART FINAL MENU - Pr'!E393)</f>
        <v/>
      </c>
      <c r="F393" s="56" t="str">
        <f>IF('AYIRA MINI MART FINAL MENU - Pr'!F393="", "", 'AYIRA MINI MART FINAL MENU - Pr'!F393)</f>
        <v/>
      </c>
      <c r="G393" s="56" t="str">
        <f>IF('AYIRA MINI MART FINAL MENU - Pr'!G393="", "", 'AYIRA MINI MART FINAL MENU - Pr'!G393)</f>
        <v/>
      </c>
      <c r="H393" s="56" t="str">
        <f>IF('AYIRA MINI MART FINAL MENU - Pr'!H393="", "", 'AYIRA MINI MART FINAL MENU - Pr'!H393)</f>
        <v/>
      </c>
      <c r="I393" s="56" t="str">
        <f>IF('AYIRA MINI MART FINAL MENU - Pr'!I393="", "", 'AYIRA MINI MART FINAL MENU - Pr'!I393)</f>
        <v/>
      </c>
      <c r="J393" s="56" t="str">
        <f>IFERROR(__xludf.DUMMYFUNCTION("IF('AYIRA MINI MART FINAL MENU - Pr'!J393="""", """", GOOGLETRANSLATE('AYIRA MINI MART FINAL MENU - Pr'!J393, ""en"", ""ar""))"),"يعرض")</f>
        <v>يعرض</v>
      </c>
      <c r="K393" s="56" t="str">
        <f>IF('AYIRA MINI MART FINAL MENU - Pr'!K393="", "", 'AYIRA MINI MART FINAL MENU - Pr'!K393)</f>
        <v/>
      </c>
      <c r="L393" s="56" t="str">
        <f>IF('AYIRA MINI MART FINAL MENU - Pr'!L393="", "", 'AYIRA MINI MART FINAL MENU - Pr'!L393)</f>
        <v/>
      </c>
      <c r="M393" s="56" t="str">
        <f>IF('AYIRA MINI MART FINAL MENU - Pr'!M393="", "", 'AYIRA MINI MART FINAL MENU - Pr'!M393)</f>
        <v/>
      </c>
      <c r="N393" s="56" t="str">
        <f>IF('AYIRA MINI MART FINAL MENU - Pr'!N393="", "", 'AYIRA MINI MART FINAL MENU - Pr'!N393)</f>
        <v/>
      </c>
      <c r="O393" s="57"/>
      <c r="P393" s="57"/>
      <c r="Q393" s="57"/>
      <c r="R393" s="57"/>
      <c r="S393" s="57"/>
      <c r="T393" s="57"/>
      <c r="U393" s="57"/>
      <c r="V393" s="57"/>
      <c r="W393" s="57"/>
      <c r="X393" s="57"/>
      <c r="Y393" s="57"/>
      <c r="Z393" s="57"/>
    </row>
    <row r="394">
      <c r="A394" s="56" t="str">
        <f>IFERROR(__xludf.DUMMYFUNCTION("IF('AYIRA MINI MART FINAL MENU - Pr'!A394="""", """", IF(LEN(TRIM(REGEXREPLACE(REGEXREPLACE('AYIRA MINI MART FINAL MENU - Pr'!A394, ""^[^\x{0600}-\x{06FF}]+"", """"), ""^[-–\s]+"", """")))&gt;0, TRIM(REGEXREPLACE(REGEXREPLACE('AYIRA MINI MART FINAL MENU - Pr"&amp;"'!A394, ""^[^\x{0600}-\x{06FF}]+"", """"), ""^[-–\s]+"", """")), GOOGLETRANSLATE('AYIRA MINI MART FINAL MENU - Pr'!A394, ""en"", ""ar"")))"),"ملح &amp; Vinegar Potato شيبس 75 غرام")</f>
        <v>ملح &amp; Vinegar Potato شيبس 75 غرام</v>
      </c>
      <c r="B394" s="56" t="str">
        <f>IFERROR(__xludf.DUMMYFUNCTION("IF('AYIRA MINI MART FINAL MENU - Pr'!B394="""", """", IF(LEN(TRIM(REGEXREPLACE(REGEXREPLACE('AYIRA MINI MART FINAL MENU - Pr'!B394, ""^[^\x{0600}-\x{06FF}]+"", """"), ""^[-–\s]+"", """")))&gt;0, TRIM(REGEXREPLACE(REGEXREPLACE('AYIRA MINI MART FINAL MENU - Pr"&amp;"'!B394, ""^[^\x{0600}-\x{06FF}]+"", """"), ""^[-–\s]+"", """")), GOOGLETRANSLATE('AYIRA MINI MART FINAL MENU - Pr'!B394, ""en"", ""ar"")))"),"الشيبس والمقرمشات")</f>
        <v>الشيبس والمقرمشات</v>
      </c>
      <c r="C394" s="58">
        <f>IF('AYIRA MINI MART FINAL MENU - Pr'!C394="", "", 'AYIRA MINI MART FINAL MENU - Pr'!C394)</f>
        <v>4</v>
      </c>
      <c r="D394" s="58" t="str">
        <f>IF('AYIRA MINI MART FINAL MENU - Pr'!D394="", "", 'AYIRA MINI MART FINAL MENU - Pr'!D394)</f>
        <v>لا تقاوم طعم AL MUDHISH Salt &amp; Vinegar Potato Chips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94" s="56" t="str">
        <f>IF('AYIRA MINI MART FINAL MENU - Pr'!E394="", "", 'AYIRA MINI MART FINAL MENU - Pr'!E394)</f>
        <v/>
      </c>
      <c r="F394" s="56" t="str">
        <f>IF('AYIRA MINI MART FINAL MENU - Pr'!F394="", "", 'AYIRA MINI MART FINAL MENU - Pr'!F394)</f>
        <v/>
      </c>
      <c r="G394" s="56" t="str">
        <f>IF('AYIRA MINI MART FINAL MENU - Pr'!G394="", "", 'AYIRA MINI MART FINAL MENU - Pr'!G394)</f>
        <v/>
      </c>
      <c r="H394" s="56" t="str">
        <f>IF('AYIRA MINI MART FINAL MENU - Pr'!H394="", "", 'AYIRA MINI MART FINAL MENU - Pr'!H394)</f>
        <v/>
      </c>
      <c r="I394" s="56" t="str">
        <f>IF('AYIRA MINI MART FINAL MENU - Pr'!I394="", "", 'AYIRA MINI MART FINAL MENU - Pr'!I394)</f>
        <v/>
      </c>
      <c r="J394" s="56" t="str">
        <f>IFERROR(__xludf.DUMMYFUNCTION("IF('AYIRA MINI MART FINAL MENU - Pr'!J394="""", """", GOOGLETRANSLATE('AYIRA MINI MART FINAL MENU - Pr'!J394, ""en"", ""ar""))"),"يعرض")</f>
        <v>يعرض</v>
      </c>
      <c r="K394" s="56" t="str">
        <f>IF('AYIRA MINI MART FINAL MENU - Pr'!K394="", "", 'AYIRA MINI MART FINAL MENU - Pr'!K394)</f>
        <v/>
      </c>
      <c r="L394" s="56" t="str">
        <f>IF('AYIRA MINI MART FINAL MENU - Pr'!L394="", "", 'AYIRA MINI MART FINAL MENU - Pr'!L394)</f>
        <v/>
      </c>
      <c r="M394" s="56" t="str">
        <f>IF('AYIRA MINI MART FINAL MENU - Pr'!M394="", "", 'AYIRA MINI MART FINAL MENU - Pr'!M394)</f>
        <v/>
      </c>
      <c r="N394" s="56" t="str">
        <f>IF('AYIRA MINI MART FINAL MENU - Pr'!N394="", "", 'AYIRA MINI MART FINAL MENU - Pr'!N394)</f>
        <v/>
      </c>
      <c r="O394" s="57"/>
      <c r="P394" s="57"/>
      <c r="Q394" s="57"/>
      <c r="R394" s="57"/>
      <c r="S394" s="57"/>
      <c r="T394" s="57"/>
      <c r="U394" s="57"/>
      <c r="V394" s="57"/>
      <c r="W394" s="57"/>
      <c r="X394" s="57"/>
      <c r="Y394" s="57"/>
      <c r="Z394" s="57"/>
    </row>
    <row r="395">
      <c r="A395" s="56" t="str">
        <f>IFERROR(__xludf.DUMMYFUNCTION("IF('AYIRA MINI MART FINAL MENU - Pr'!A395="""", """", IF(LEN(TRIM(REGEXREPLACE(REGEXREPLACE('AYIRA MINI MART FINAL MENU - Pr'!A395, ""^[^\x{0600}-\x{06FF}]+"", """"), ""^[-–\s]+"", """")))&gt;0, TRIM(REGEXREPLACE(REGEXREPLACE('AYIRA MINI MART FINAL MENU - Pr"&amp;"'!A395, ""^[^\x{0600}-\x{06FF}]+"", """"), ""^[-–\s]+"", """")), GOOGLETRANSLATE('AYIRA MINI MART FINAL MENU - Pr'!A395, ""en"", ""ar"")))"),"جبنة Potato شيبس 75 غرام")</f>
        <v>جبنة Potato شيبس 75 غرام</v>
      </c>
      <c r="B395" s="56" t="str">
        <f>IFERROR(__xludf.DUMMYFUNCTION("IF('AYIRA MINI MART FINAL MENU - Pr'!B395="""", """", IF(LEN(TRIM(REGEXREPLACE(REGEXREPLACE('AYIRA MINI MART FINAL MENU - Pr'!B395, ""^[^\x{0600}-\x{06FF}]+"", """"), ""^[-–\s]+"", """")))&gt;0, TRIM(REGEXREPLACE(REGEXREPLACE('AYIRA MINI MART FINAL MENU - Pr"&amp;"'!B395, ""^[^\x{0600}-\x{06FF}]+"", """"), ""^[-–\s]+"", """")), GOOGLETRANSLATE('AYIRA MINI MART FINAL MENU - Pr'!B395, ""en"", ""ar"")))"),"الشيبس والمقرمشات")</f>
        <v>الشيبس والمقرمشات</v>
      </c>
      <c r="C395" s="58">
        <f>IF('AYIRA MINI MART FINAL MENU - Pr'!C395="", "", 'AYIRA MINI MART FINAL MENU - Pr'!C395)</f>
        <v>4</v>
      </c>
      <c r="D395" s="58" t="str">
        <f>IF('AYIRA MINI MART FINAL MENU - Pr'!D395="", "", 'AYIRA MINI MART FINAL MENU - Pr'!D395)</f>
        <v>لا تقاوم طعم AL MUDHISH Ripples Cheese Potato Chips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395" s="56" t="str">
        <f>IF('AYIRA MINI MART FINAL MENU - Pr'!E395="", "", 'AYIRA MINI MART FINAL MENU - Pr'!E395)</f>
        <v/>
      </c>
      <c r="F395" s="56" t="str">
        <f>IF('AYIRA MINI MART FINAL MENU - Pr'!F395="", "", 'AYIRA MINI MART FINAL MENU - Pr'!F395)</f>
        <v/>
      </c>
      <c r="G395" s="56" t="str">
        <f>IF('AYIRA MINI MART FINAL MENU - Pr'!G395="", "", 'AYIRA MINI MART FINAL MENU - Pr'!G395)</f>
        <v/>
      </c>
      <c r="H395" s="56" t="str">
        <f>IF('AYIRA MINI MART FINAL MENU - Pr'!H395="", "", 'AYIRA MINI MART FINAL MENU - Pr'!H395)</f>
        <v/>
      </c>
      <c r="I395" s="56" t="str">
        <f>IF('AYIRA MINI MART FINAL MENU - Pr'!I395="", "", 'AYIRA MINI MART FINAL MENU - Pr'!I395)</f>
        <v/>
      </c>
      <c r="J395" s="56" t="str">
        <f>IFERROR(__xludf.DUMMYFUNCTION("IF('AYIRA MINI MART FINAL MENU - Pr'!J395="""", """", GOOGLETRANSLATE('AYIRA MINI MART FINAL MENU - Pr'!J395, ""en"", ""ar""))"),"يعرض")</f>
        <v>يعرض</v>
      </c>
      <c r="K395" s="56" t="str">
        <f>IF('AYIRA MINI MART FINAL MENU - Pr'!K395="", "", 'AYIRA MINI MART FINAL MENU - Pr'!K395)</f>
        <v/>
      </c>
      <c r="L395" s="56" t="str">
        <f>IF('AYIRA MINI MART FINAL MENU - Pr'!L395="", "", 'AYIRA MINI MART FINAL MENU - Pr'!L395)</f>
        <v/>
      </c>
      <c r="M395" s="56" t="str">
        <f>IF('AYIRA MINI MART FINAL MENU - Pr'!M395="", "", 'AYIRA MINI MART FINAL MENU - Pr'!M395)</f>
        <v/>
      </c>
      <c r="N395" s="56" t="str">
        <f>IF('AYIRA MINI MART FINAL MENU - Pr'!N395="", "", 'AYIRA MINI MART FINAL MENU - Pr'!N395)</f>
        <v/>
      </c>
      <c r="O395" s="57"/>
      <c r="P395" s="57"/>
      <c r="Q395" s="57"/>
      <c r="R395" s="57"/>
      <c r="S395" s="57"/>
      <c r="T395" s="57"/>
      <c r="U395" s="57"/>
      <c r="V395" s="57"/>
      <c r="W395" s="57"/>
      <c r="X395" s="57"/>
      <c r="Y395" s="57"/>
      <c r="Z395" s="57"/>
    </row>
    <row r="396">
      <c r="A396" s="56" t="str">
        <f>IFERROR(__xludf.DUMMYFUNCTION("IF('AYIRA MINI MART FINAL MENU - Pr'!A396="""", """", IF(LEN(TRIM(REGEXREPLACE(REGEXREPLACE('AYIRA MINI MART FINAL MENU - Pr'!A396, ""^[^\x{0600}-\x{06FF}]+"", """"), ""^[-–\s]+"", """")))&gt;0, TRIM(REGEXREPLACE(REGEXREPLACE('AYIRA MINI MART FINAL MENU - Pr"&amp;"'!A396, ""^[^\x{0600}-\x{06FF}]+"", """"), ""^[-–\s]+"", """")), GOOGLETRANSLATE('AYIRA MINI MART FINAL MENU - Pr'!A396, ""en"", ""ar"")))"),"كادبوري ديري ميلك Bubbly حليب شوكولاتة 28 غرام")</f>
        <v>كادبوري ديري ميلك Bubbly حليب شوكولاتة 28 غرام</v>
      </c>
      <c r="B396" s="56" t="str">
        <f>IFERROR(__xludf.DUMMYFUNCTION("IF('AYIRA MINI MART FINAL MENU - Pr'!B396="""", """", IF(LEN(TRIM(REGEXREPLACE(REGEXREPLACE('AYIRA MINI MART FINAL MENU - Pr'!B396, ""^[^\x{0600}-\x{06FF}]+"", """"), ""^[-–\s]+"", """")))&gt;0, TRIM(REGEXREPLACE(REGEXREPLACE('AYIRA MINI MART FINAL MENU - Pr"&amp;"'!B396, ""^[^\x{0600}-\x{06FF}]+"", """"), ""^[-–\s]+"", """")), GOOGLETRANSLATE('AYIRA MINI MART FINAL MENU - Pr'!B396, ""en"", ""ar"")))"),"الشوكولاتة")</f>
        <v>الشوكولاتة</v>
      </c>
      <c r="C396" s="58">
        <f>IF('AYIRA MINI MART FINAL MENU - Pr'!C396="", "", 'AYIRA MINI MART FINAL MENU - Pr'!C396)</f>
        <v>3.5</v>
      </c>
      <c r="D396" s="58" t="str">
        <f>IF('AYIRA MINI MART FINAL MENU - Pr'!D396="", "", 'AYIRA MINI MART FINAL MENU - Pr'!D396)</f>
        <v>دلّل حواسك مع كادبوري،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96" s="56" t="str">
        <f>IF('AYIRA MINI MART FINAL MENU - Pr'!E396="", "", 'AYIRA MINI MART FINAL MENU - Pr'!E396)</f>
        <v/>
      </c>
      <c r="F396" s="56" t="str">
        <f>IF('AYIRA MINI MART FINAL MENU - Pr'!F396="", "", 'AYIRA MINI MART FINAL MENU - Pr'!F396)</f>
        <v/>
      </c>
      <c r="G396" s="56" t="str">
        <f>IF('AYIRA MINI MART FINAL MENU - Pr'!G396="", "", 'AYIRA MINI MART FINAL MENU - Pr'!G396)</f>
        <v/>
      </c>
      <c r="H396" s="56" t="str">
        <f>IF('AYIRA MINI MART FINAL MENU - Pr'!H396="", "", 'AYIRA MINI MART FINAL MENU - Pr'!H396)</f>
        <v/>
      </c>
      <c r="I396" s="56" t="str">
        <f>IF('AYIRA MINI MART FINAL MENU - Pr'!I396="", "", 'AYIRA MINI MART FINAL MENU - Pr'!I396)</f>
        <v/>
      </c>
      <c r="J396" s="56" t="str">
        <f>IFERROR(__xludf.DUMMYFUNCTION("IF('AYIRA MINI MART FINAL MENU - Pr'!J396="""", """", GOOGLETRANSLATE('AYIRA MINI MART FINAL MENU - Pr'!J396, ""en"", ""ar""))"),"يعرض")</f>
        <v>يعرض</v>
      </c>
      <c r="K396" s="56" t="str">
        <f>IF('AYIRA MINI MART FINAL MENU - Pr'!K396="", "", 'AYIRA MINI MART FINAL MENU - Pr'!K396)</f>
        <v/>
      </c>
      <c r="L396" s="56" t="str">
        <f>IF('AYIRA MINI MART FINAL MENU - Pr'!L396="", "", 'AYIRA MINI MART FINAL MENU - Pr'!L396)</f>
        <v/>
      </c>
      <c r="M396" s="56" t="str">
        <f>IF('AYIRA MINI MART FINAL MENU - Pr'!M396="", "", 'AYIRA MINI MART FINAL MENU - Pr'!M396)</f>
        <v/>
      </c>
      <c r="N396" s="56" t="str">
        <f>IF('AYIRA MINI MART FINAL MENU - Pr'!N396="", "", 'AYIRA MINI MART FINAL MENU - Pr'!N396)</f>
        <v/>
      </c>
      <c r="O396" s="57"/>
      <c r="P396" s="57"/>
      <c r="Q396" s="57"/>
      <c r="R396" s="57"/>
      <c r="S396" s="57"/>
      <c r="T396" s="57"/>
      <c r="U396" s="57"/>
      <c r="V396" s="57"/>
      <c r="W396" s="57"/>
      <c r="X396" s="57"/>
      <c r="Y396" s="57"/>
      <c r="Z396" s="57"/>
    </row>
    <row r="397">
      <c r="A397" s="56" t="str">
        <f>IFERROR(__xludf.DUMMYFUNCTION("IF('AYIRA MINI MART FINAL MENU - Pr'!A397="""", """", IF(LEN(TRIM(REGEXREPLACE(REGEXREPLACE('AYIRA MINI MART FINAL MENU - Pr'!A397, ""^[^\x{0600}-\x{06FF}]+"", """"), ""^[-–\s]+"", """")))&gt;0, TRIM(REGEXREPLACE(REGEXREPLACE('AYIRA MINI MART FINAL MENU - Pr"&amp;"'!A397, ""^[^\x{0600}-\x{06FF}]+"", """"), ""^[-–\s]+"", """")), GOOGLETRANSLATE('AYIRA MINI MART FINAL MENU - Pr'!A397, ""en"", ""ar"")))"),"كادبوري ديري ميلك بندق شوكولاتة قطعة 32 غرام")</f>
        <v>كادبوري ديري ميلك بندق شوكولاتة قطعة 32 غرام</v>
      </c>
      <c r="B397" s="56" t="str">
        <f>IFERROR(__xludf.DUMMYFUNCTION("IF('AYIRA MINI MART FINAL MENU - Pr'!B397="""", """", IF(LEN(TRIM(REGEXREPLACE(REGEXREPLACE('AYIRA MINI MART FINAL MENU - Pr'!B397, ""^[^\x{0600}-\x{06FF}]+"", """"), ""^[-–\s]+"", """")))&gt;0, TRIM(REGEXREPLACE(REGEXREPLACE('AYIRA MINI MART FINAL MENU - Pr"&amp;"'!B397, ""^[^\x{0600}-\x{06FF}]+"", """"), ""^[-–\s]+"", """")), GOOGLETRANSLATE('AYIRA MINI MART FINAL MENU - Pr'!B397, ""en"", ""ar"")))"),"الشوكولاتة")</f>
        <v>الشوكولاتة</v>
      </c>
      <c r="C397" s="58">
        <f>IF('AYIRA MINI MART FINAL MENU - Pr'!C397="", "", 'AYIRA MINI MART FINAL MENU - Pr'!C397)</f>
        <v>3.5</v>
      </c>
      <c r="D397" s="58" t="str">
        <f>IF('AYIRA MINI MART FINAL MENU - Pr'!D397="", "", 'AYIRA MINI MART FINAL MENU - Pr'!D397)</f>
        <v>دلّل حواسك مع كادبوري،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97" s="56" t="str">
        <f>IF('AYIRA MINI MART FINAL MENU - Pr'!E397="", "", 'AYIRA MINI MART FINAL MENU - Pr'!E397)</f>
        <v/>
      </c>
      <c r="F397" s="56" t="str">
        <f>IF('AYIRA MINI MART FINAL MENU - Pr'!F397="", "", 'AYIRA MINI MART FINAL MENU - Pr'!F397)</f>
        <v/>
      </c>
      <c r="G397" s="56" t="str">
        <f>IF('AYIRA MINI MART FINAL MENU - Pr'!G397="", "", 'AYIRA MINI MART FINAL MENU - Pr'!G397)</f>
        <v/>
      </c>
      <c r="H397" s="56" t="str">
        <f>IF('AYIRA MINI MART FINAL MENU - Pr'!H397="", "", 'AYIRA MINI MART FINAL MENU - Pr'!H397)</f>
        <v/>
      </c>
      <c r="I397" s="56" t="str">
        <f>IF('AYIRA MINI MART FINAL MENU - Pr'!I397="", "", 'AYIRA MINI MART FINAL MENU - Pr'!I397)</f>
        <v/>
      </c>
      <c r="J397" s="56" t="str">
        <f>IFERROR(__xludf.DUMMYFUNCTION("IF('AYIRA MINI MART FINAL MENU - Pr'!J397="""", """", GOOGLETRANSLATE('AYIRA MINI MART FINAL MENU - Pr'!J397, ""en"", ""ar""))"),"يعرض")</f>
        <v>يعرض</v>
      </c>
      <c r="K397" s="56" t="str">
        <f>IF('AYIRA MINI MART FINAL MENU - Pr'!K397="", "", 'AYIRA MINI MART FINAL MENU - Pr'!K397)</f>
        <v/>
      </c>
      <c r="L397" s="56" t="str">
        <f>IF('AYIRA MINI MART FINAL MENU - Pr'!L397="", "", 'AYIRA MINI MART FINAL MENU - Pr'!L397)</f>
        <v/>
      </c>
      <c r="M397" s="56" t="str">
        <f>IF('AYIRA MINI MART FINAL MENU - Pr'!M397="", "", 'AYIRA MINI MART FINAL MENU - Pr'!M397)</f>
        <v/>
      </c>
      <c r="N397" s="56" t="str">
        <f>IF('AYIRA MINI MART FINAL MENU - Pr'!N397="", "", 'AYIRA MINI MART FINAL MENU - Pr'!N397)</f>
        <v/>
      </c>
      <c r="O397" s="57"/>
      <c r="P397" s="57"/>
      <c r="Q397" s="57"/>
      <c r="R397" s="57"/>
      <c r="S397" s="57"/>
      <c r="T397" s="57"/>
      <c r="U397" s="57"/>
      <c r="V397" s="57"/>
      <c r="W397" s="57"/>
      <c r="X397" s="57"/>
      <c r="Y397" s="57"/>
      <c r="Z397" s="57"/>
    </row>
    <row r="398">
      <c r="A398" s="56" t="str">
        <f>IFERROR(__xludf.DUMMYFUNCTION("IF('AYIRA MINI MART FINAL MENU - Pr'!A398="""", """", IF(LEN(TRIM(REGEXREPLACE(REGEXREPLACE('AYIRA MINI MART FINAL MENU - Pr'!A398, ""^[^\x{0600}-\x{06FF}]+"", """"), ""^[-–\s]+"", """")))&gt;0, TRIM(REGEXREPLACE(REGEXREPLACE('AYIRA MINI MART FINAL MENU - Pr"&amp;"'!A398, ""^[^\x{0600}-\x{06FF}]+"", """"), ""^[-–\s]+"", """")), GOOGLETRANSLATE('AYIRA MINI MART FINAL MENU - Pr'!A398, ""en"", ""ar"")))"),"كادبوري ديري ميلك Fruit &amp; Nut شوكولاتة قطعة 32 غرام")</f>
        <v>كادبوري ديري ميلك Fruit &amp; Nut شوكولاتة قطعة 32 غرام</v>
      </c>
      <c r="B398" s="56" t="str">
        <f>IFERROR(__xludf.DUMMYFUNCTION("IF('AYIRA MINI MART FINAL MENU - Pr'!B398="""", """", IF(LEN(TRIM(REGEXREPLACE(REGEXREPLACE('AYIRA MINI MART FINAL MENU - Pr'!B398, ""^[^\x{0600}-\x{06FF}]+"", """"), ""^[-–\s]+"", """")))&gt;0, TRIM(REGEXREPLACE(REGEXREPLACE('AYIRA MINI MART FINAL MENU - Pr"&amp;"'!B398, ""^[^\x{0600}-\x{06FF}]+"", """"), ""^[-–\s]+"", """")), GOOGLETRANSLATE('AYIRA MINI MART FINAL MENU - Pr'!B398, ""en"", ""ar"")))"),"الشوكولاتة")</f>
        <v>الشوكولاتة</v>
      </c>
      <c r="C398" s="58">
        <f>IF('AYIRA MINI MART FINAL MENU - Pr'!C398="", "", 'AYIRA MINI MART FINAL MENU - Pr'!C398)</f>
        <v>3.5</v>
      </c>
      <c r="D398" s="58" t="str">
        <f>IF('AYIRA MINI MART FINAL MENU - Pr'!D398="", "", 'AYIRA MINI MART FINAL MENU - Pr'!D398)</f>
        <v>دلّل حواسك مع كادبوري،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98" s="56" t="str">
        <f>IF('AYIRA MINI MART FINAL MENU - Pr'!E398="", "", 'AYIRA MINI MART FINAL MENU - Pr'!E398)</f>
        <v/>
      </c>
      <c r="F398" s="56" t="str">
        <f>IF('AYIRA MINI MART FINAL MENU - Pr'!F398="", "", 'AYIRA MINI MART FINAL MENU - Pr'!F398)</f>
        <v/>
      </c>
      <c r="G398" s="56" t="str">
        <f>IF('AYIRA MINI MART FINAL MENU - Pr'!G398="", "", 'AYIRA MINI MART FINAL MENU - Pr'!G398)</f>
        <v/>
      </c>
      <c r="H398" s="56" t="str">
        <f>IF('AYIRA MINI MART FINAL MENU - Pr'!H398="", "", 'AYIRA MINI MART FINAL MENU - Pr'!H398)</f>
        <v/>
      </c>
      <c r="I398" s="56" t="str">
        <f>IF('AYIRA MINI MART FINAL MENU - Pr'!I398="", "", 'AYIRA MINI MART FINAL MENU - Pr'!I398)</f>
        <v/>
      </c>
      <c r="J398" s="56" t="str">
        <f>IFERROR(__xludf.DUMMYFUNCTION("IF('AYIRA MINI MART FINAL MENU - Pr'!J398="""", """", GOOGLETRANSLATE('AYIRA MINI MART FINAL MENU - Pr'!J398, ""en"", ""ar""))"),"يعرض")</f>
        <v>يعرض</v>
      </c>
      <c r="K398" s="56" t="str">
        <f>IF('AYIRA MINI MART FINAL MENU - Pr'!K398="", "", 'AYIRA MINI MART FINAL MENU - Pr'!K398)</f>
        <v/>
      </c>
      <c r="L398" s="56" t="str">
        <f>IF('AYIRA MINI MART FINAL MENU - Pr'!L398="", "", 'AYIRA MINI MART FINAL MENU - Pr'!L398)</f>
        <v/>
      </c>
      <c r="M398" s="56" t="str">
        <f>IF('AYIRA MINI MART FINAL MENU - Pr'!M398="", "", 'AYIRA MINI MART FINAL MENU - Pr'!M398)</f>
        <v/>
      </c>
      <c r="N398" s="56" t="str">
        <f>IF('AYIRA MINI MART FINAL MENU - Pr'!N398="", "", 'AYIRA MINI MART FINAL MENU - Pr'!N398)</f>
        <v/>
      </c>
      <c r="O398" s="57"/>
      <c r="P398" s="57"/>
      <c r="Q398" s="57"/>
      <c r="R398" s="57"/>
      <c r="S398" s="57"/>
      <c r="T398" s="57"/>
      <c r="U398" s="57"/>
      <c r="V398" s="57"/>
      <c r="W398" s="57"/>
      <c r="X398" s="57"/>
      <c r="Y398" s="57"/>
      <c r="Z398" s="57"/>
    </row>
    <row r="399">
      <c r="A399" s="56" t="str">
        <f>IFERROR(__xludf.DUMMYFUNCTION("IF('AYIRA MINI MART FINAL MENU - Pr'!A399="""", """", IF(LEN(TRIM(REGEXREPLACE(REGEXREPLACE('AYIRA MINI MART FINAL MENU - Pr'!A399, ""^[^\x{0600}-\x{06FF}]+"", """"), ""^[-–\s]+"", """")))&gt;0, TRIM(REGEXREPLACE(REGEXREPLACE('AYIRA MINI MART FINAL MENU - Pr"&amp;"'!A399, ""^[^\x{0600}-\x{06FF}]+"", """"), ""^[-–\s]+"", """")), GOOGLETRANSLATE('AYIRA MINI MART FINAL MENU - Pr'!A399, ""en"", ""ar"")))"),"كادبوري Time Out Crunch ويفر 28 غرام")</f>
        <v>كادبوري Time Out Crunch ويفر 28 غرام</v>
      </c>
      <c r="B399" s="56" t="str">
        <f>IFERROR(__xludf.DUMMYFUNCTION("IF('AYIRA MINI MART FINAL MENU - Pr'!B399="""", """", IF(LEN(TRIM(REGEXREPLACE(REGEXREPLACE('AYIRA MINI MART FINAL MENU - Pr'!B399, ""^[^\x{0600}-\x{06FF}]+"", """"), ""^[-–\s]+"", """")))&gt;0, TRIM(REGEXREPLACE(REGEXREPLACE('AYIRA MINI MART FINAL MENU - Pr"&amp;"'!B399, ""^[^\x{0600}-\x{06FF}]+"", """"), ""^[-–\s]+"", """")), GOOGLETRANSLATE('AYIRA MINI MART FINAL MENU - Pr'!B399, ""en"", ""ar"")))"),"الشوكولاتة")</f>
        <v>الشوكولاتة</v>
      </c>
      <c r="C399" s="58">
        <f>IF('AYIRA MINI MART FINAL MENU - Pr'!C399="", "", 'AYIRA MINI MART FINAL MENU - Pr'!C399)</f>
        <v>1.5</v>
      </c>
      <c r="D399" s="58" t="str">
        <f>IF('AYIRA MINI MART FINAL MENU - Pr'!D399="", "", 'AYIRA MINI MART FINAL MENU - Pr'!D399)</f>
        <v>دلّل حواسك مع كادبوري،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399" s="56" t="str">
        <f>IF('AYIRA MINI MART FINAL MENU - Pr'!E399="", "", 'AYIRA MINI MART FINAL MENU - Pr'!E399)</f>
        <v/>
      </c>
      <c r="F399" s="56" t="str">
        <f>IF('AYIRA MINI MART FINAL MENU - Pr'!F399="", "", 'AYIRA MINI MART FINAL MENU - Pr'!F399)</f>
        <v/>
      </c>
      <c r="G399" s="56" t="str">
        <f>IF('AYIRA MINI MART FINAL MENU - Pr'!G399="", "", 'AYIRA MINI MART FINAL MENU - Pr'!G399)</f>
        <v/>
      </c>
      <c r="H399" s="56" t="str">
        <f>IF('AYIRA MINI MART FINAL MENU - Pr'!H399="", "", 'AYIRA MINI MART FINAL MENU - Pr'!H399)</f>
        <v/>
      </c>
      <c r="I399" s="56" t="str">
        <f>IF('AYIRA MINI MART FINAL MENU - Pr'!I399="", "", 'AYIRA MINI MART FINAL MENU - Pr'!I399)</f>
        <v/>
      </c>
      <c r="J399" s="56" t="str">
        <f>IFERROR(__xludf.DUMMYFUNCTION("IF('AYIRA MINI MART FINAL MENU - Pr'!J399="""", """", GOOGLETRANSLATE('AYIRA MINI MART FINAL MENU - Pr'!J399, ""en"", ""ar""))"),"يعرض")</f>
        <v>يعرض</v>
      </c>
      <c r="K399" s="56" t="str">
        <f>IF('AYIRA MINI MART FINAL MENU - Pr'!K399="", "", 'AYIRA MINI MART FINAL MENU - Pr'!K399)</f>
        <v/>
      </c>
      <c r="L399" s="56" t="str">
        <f>IF('AYIRA MINI MART FINAL MENU - Pr'!L399="", "", 'AYIRA MINI MART FINAL MENU - Pr'!L399)</f>
        <v/>
      </c>
      <c r="M399" s="56" t="str">
        <f>IF('AYIRA MINI MART FINAL MENU - Pr'!M399="", "", 'AYIRA MINI MART FINAL MENU - Pr'!M399)</f>
        <v/>
      </c>
      <c r="N399" s="56" t="str">
        <f>IF('AYIRA MINI MART FINAL MENU - Pr'!N399="", "", 'AYIRA MINI MART FINAL MENU - Pr'!N399)</f>
        <v/>
      </c>
      <c r="O399" s="57"/>
      <c r="P399" s="57"/>
      <c r="Q399" s="57"/>
      <c r="R399" s="57"/>
      <c r="S399" s="57"/>
      <c r="T399" s="57"/>
      <c r="U399" s="57"/>
      <c r="V399" s="57"/>
      <c r="W399" s="57"/>
      <c r="X399" s="57"/>
      <c r="Y399" s="57"/>
      <c r="Z399" s="57"/>
    </row>
    <row r="400">
      <c r="A400" s="56" t="str">
        <f>IFERROR(__xludf.DUMMYFUNCTION("IF('AYIRA MINI MART FINAL MENU - Pr'!A400="""", """", IF(LEN(TRIM(REGEXREPLACE(REGEXREPLACE('AYIRA MINI MART FINAL MENU - Pr'!A400, ""^[^\x{0600}-\x{06FF}]+"", """"), ""^[-–\s]+"", """")))&gt;0, TRIM(REGEXREPLACE(REGEXREPLACE('AYIRA MINI MART FINAL MENU - Pr"&amp;"'!A400, ""^[^\x{0600}-\x{06FF}]+"", """"), ""^[-–\s]+"", """")), GOOGLETRANSLATE('AYIRA MINI MART FINAL MENU - Pr'!A400, ""en"", ""ar"")))"),"كادبوري Flake Minis شوكولاتة 28 غرام")</f>
        <v>كادبوري Flake Minis شوكولاتة 28 غرام</v>
      </c>
      <c r="B400" s="56" t="str">
        <f>IFERROR(__xludf.DUMMYFUNCTION("IF('AYIRA MINI MART FINAL MENU - Pr'!B400="""", """", IF(LEN(TRIM(REGEXREPLACE(REGEXREPLACE('AYIRA MINI MART FINAL MENU - Pr'!B400, ""^[^\x{0600}-\x{06FF}]+"", """"), ""^[-–\s]+"", """")))&gt;0, TRIM(REGEXREPLACE(REGEXREPLACE('AYIRA MINI MART FINAL MENU - Pr"&amp;"'!B400, ""^[^\x{0600}-\x{06FF}]+"", """"), ""^[-–\s]+"", """")), GOOGLETRANSLATE('AYIRA MINI MART FINAL MENU - Pr'!B400, ""en"", ""ar"")))"),"الشوكولاتة")</f>
        <v>الشوكولاتة</v>
      </c>
      <c r="C400" s="58">
        <f>IF('AYIRA MINI MART FINAL MENU - Pr'!C400="", "", 'AYIRA MINI MART FINAL MENU - Pr'!C400)</f>
        <v>3.5</v>
      </c>
      <c r="D400" s="58" t="str">
        <f>IF('AYIRA MINI MART FINAL MENU - Pr'!D400="", "", 'AYIRA MINI MART FINAL MENU - Pr'!D400)</f>
        <v>دلّل حواسك مع كادبوري،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00" s="56" t="str">
        <f>IF('AYIRA MINI MART FINAL MENU - Pr'!E400="", "", 'AYIRA MINI MART FINAL MENU - Pr'!E400)</f>
        <v/>
      </c>
      <c r="F400" s="56" t="str">
        <f>IF('AYIRA MINI MART FINAL MENU - Pr'!F400="", "", 'AYIRA MINI MART FINAL MENU - Pr'!F400)</f>
        <v/>
      </c>
      <c r="G400" s="56" t="str">
        <f>IF('AYIRA MINI MART FINAL MENU - Pr'!G400="", "", 'AYIRA MINI MART FINAL MENU - Pr'!G400)</f>
        <v/>
      </c>
      <c r="H400" s="56" t="str">
        <f>IF('AYIRA MINI MART FINAL MENU - Pr'!H400="", "", 'AYIRA MINI MART FINAL MENU - Pr'!H400)</f>
        <v/>
      </c>
      <c r="I400" s="56" t="str">
        <f>IF('AYIRA MINI MART FINAL MENU - Pr'!I400="", "", 'AYIRA MINI MART FINAL MENU - Pr'!I400)</f>
        <v/>
      </c>
      <c r="J400" s="56" t="str">
        <f>IFERROR(__xludf.DUMMYFUNCTION("IF('AYIRA MINI MART FINAL MENU - Pr'!J400="""", """", GOOGLETRANSLATE('AYIRA MINI MART FINAL MENU - Pr'!J400, ""en"", ""ar""))"),"يعرض")</f>
        <v>يعرض</v>
      </c>
      <c r="K400" s="56" t="str">
        <f>IF('AYIRA MINI MART FINAL MENU - Pr'!K400="", "", 'AYIRA MINI MART FINAL MENU - Pr'!K400)</f>
        <v/>
      </c>
      <c r="L400" s="56" t="str">
        <f>IF('AYIRA MINI MART FINAL MENU - Pr'!L400="", "", 'AYIRA MINI MART FINAL MENU - Pr'!L400)</f>
        <v/>
      </c>
      <c r="M400" s="56" t="str">
        <f>IF('AYIRA MINI MART FINAL MENU - Pr'!M400="", "", 'AYIRA MINI MART FINAL MENU - Pr'!M400)</f>
        <v/>
      </c>
      <c r="N400" s="56" t="str">
        <f>IF('AYIRA MINI MART FINAL MENU - Pr'!N400="", "", 'AYIRA MINI MART FINAL MENU - Pr'!N400)</f>
        <v/>
      </c>
      <c r="O400" s="57"/>
      <c r="P400" s="57"/>
      <c r="Q400" s="57"/>
      <c r="R400" s="57"/>
      <c r="S400" s="57"/>
      <c r="T400" s="57"/>
      <c r="U400" s="57"/>
      <c r="V400" s="57"/>
      <c r="W400" s="57"/>
      <c r="X400" s="57"/>
      <c r="Y400" s="57"/>
      <c r="Z400" s="57"/>
    </row>
    <row r="401">
      <c r="A401" s="56" t="str">
        <f>IFERROR(__xludf.DUMMYFUNCTION("IF('AYIRA MINI MART FINAL MENU - Pr'!A401="""", """", IF(LEN(TRIM(REGEXREPLACE(REGEXREPLACE('AYIRA MINI MART FINAL MENU - Pr'!A401, ""^[^\x{0600}-\x{06FF}]+"", """"), ""^[-–\s]+"", """")))&gt;0, TRIM(REGEXREPLACE(REGEXREPLACE('AYIRA MINI MART FINAL MENU - Pr"&amp;"'!A401, ""^[^\x{0600}-\x{06FF}]+"", """"), ""^[-–\s]+"", """")), GOOGLETRANSLATE('AYIRA MINI MART FINAL MENU - Pr'!A401, ""en"", ""ar"")))"),"ويفر Balls فستق Kunafa 27 غرام")</f>
        <v>ويفر Balls فستق Kunafa 27 غرام</v>
      </c>
      <c r="B401" s="56" t="str">
        <f>IFERROR(__xludf.DUMMYFUNCTION("IF('AYIRA MINI MART FINAL MENU - Pr'!B401="""", """", IF(LEN(TRIM(REGEXREPLACE(REGEXREPLACE('AYIRA MINI MART FINAL MENU - Pr'!B401, ""^[^\x{0600}-\x{06FF}]+"", """"), ""^[-–\s]+"", """")))&gt;0, TRIM(REGEXREPLACE(REGEXREPLACE('AYIRA MINI MART FINAL MENU - Pr"&amp;"'!B401, ""^[^\x{0600}-\x{06FF}]+"", """"), ""^[-–\s]+"", """")), GOOGLETRANSLATE('AYIRA MINI MART FINAL MENU - Pr'!B401, ""en"", ""ar"")))"),"الشوكولاتة")</f>
        <v>الشوكولاتة</v>
      </c>
      <c r="C401" s="58">
        <f>IF('AYIRA MINI MART FINAL MENU - Pr'!C401="", "", 'AYIRA MINI MART FINAL MENU - Pr'!C401)</f>
        <v>3</v>
      </c>
      <c r="D401" s="58" t="str">
        <f>IF('AYIRA MINI MART FINAL MENU - Pr'!D401="", "", 'AYIRA MINI MART FINAL MENU - Pr'!D401)</f>
        <v>اختر Konak Hoop Dubai Wafer Balls Pistachio Kunafa 27g،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01" s="56" t="str">
        <f>IF('AYIRA MINI MART FINAL MENU - Pr'!E401="", "", 'AYIRA MINI MART FINAL MENU - Pr'!E401)</f>
        <v/>
      </c>
      <c r="F401" s="56" t="str">
        <f>IF('AYIRA MINI MART FINAL MENU - Pr'!F401="", "", 'AYIRA MINI MART FINAL MENU - Pr'!F401)</f>
        <v/>
      </c>
      <c r="G401" s="56" t="str">
        <f>IF('AYIRA MINI MART FINAL MENU - Pr'!G401="", "", 'AYIRA MINI MART FINAL MENU - Pr'!G401)</f>
        <v/>
      </c>
      <c r="H401" s="56" t="str">
        <f>IF('AYIRA MINI MART FINAL MENU - Pr'!H401="", "", 'AYIRA MINI MART FINAL MENU - Pr'!H401)</f>
        <v/>
      </c>
      <c r="I401" s="56" t="str">
        <f>IF('AYIRA MINI MART FINAL MENU - Pr'!I401="", "", 'AYIRA MINI MART FINAL MENU - Pr'!I401)</f>
        <v/>
      </c>
      <c r="J401" s="56" t="str">
        <f>IFERROR(__xludf.DUMMYFUNCTION("IF('AYIRA MINI MART FINAL MENU - Pr'!J401="""", """", GOOGLETRANSLATE('AYIRA MINI MART FINAL MENU - Pr'!J401, ""en"", ""ar""))"),"يعرض")</f>
        <v>يعرض</v>
      </c>
      <c r="K401" s="56" t="str">
        <f>IF('AYIRA MINI MART FINAL MENU - Pr'!K401="", "", 'AYIRA MINI MART FINAL MENU - Pr'!K401)</f>
        <v/>
      </c>
      <c r="L401" s="56" t="str">
        <f>IF('AYIRA MINI MART FINAL MENU - Pr'!L401="", "", 'AYIRA MINI MART FINAL MENU - Pr'!L401)</f>
        <v/>
      </c>
      <c r="M401" s="56" t="str">
        <f>IF('AYIRA MINI MART FINAL MENU - Pr'!M401="", "", 'AYIRA MINI MART FINAL MENU - Pr'!M401)</f>
        <v/>
      </c>
      <c r="N401" s="56" t="str">
        <f>IF('AYIRA MINI MART FINAL MENU - Pr'!N401="", "", 'AYIRA MINI MART FINAL MENU - Pr'!N401)</f>
        <v/>
      </c>
      <c r="O401" s="57"/>
      <c r="P401" s="57"/>
      <c r="Q401" s="57"/>
      <c r="R401" s="57"/>
      <c r="S401" s="57"/>
      <c r="T401" s="57"/>
      <c r="U401" s="57"/>
      <c r="V401" s="57"/>
      <c r="W401" s="57"/>
      <c r="X401" s="57"/>
      <c r="Y401" s="57"/>
      <c r="Z401" s="57"/>
    </row>
    <row r="402">
      <c r="A402" s="56" t="str">
        <f>IFERROR(__xludf.DUMMYFUNCTION("IF('AYIRA MINI MART FINAL MENU - Pr'!A402="""", """", IF(LEN(TRIM(REGEXREPLACE(REGEXREPLACE('AYIRA MINI MART FINAL MENU - Pr'!A402, ""^[^\x{0600}-\x{06FF}]+"", """"), ""^[-–\s]+"", """")))&gt;0, TRIM(REGEXREPLACE(REGEXREPLACE('AYIRA MINI MART FINAL MENU - Pr"&amp;"'!A402, ""^[^\x{0600}-\x{06FF}]+"", """"), ""^[-–\s]+"", """")), GOOGLETRANSLATE('AYIRA MINI MART FINAL MENU - Pr'!A402, ""en"", ""ar"")))"),"نستله Lion شوكولاتة قطعة 50 غرام")</f>
        <v>نستله Lion شوكولاتة قطعة 50 غرام</v>
      </c>
      <c r="B402" s="56" t="str">
        <f>IFERROR(__xludf.DUMMYFUNCTION("IF('AYIRA MINI MART FINAL MENU - Pr'!B402="""", """", IF(LEN(TRIM(REGEXREPLACE(REGEXREPLACE('AYIRA MINI MART FINAL MENU - Pr'!B402, ""^[^\x{0600}-\x{06FF}]+"", """"), ""^[-–\s]+"", """")))&gt;0, TRIM(REGEXREPLACE(REGEXREPLACE('AYIRA MINI MART FINAL MENU - Pr"&amp;"'!B402, ""^[^\x{0600}-\x{06FF}]+"", """"), ""^[-–\s]+"", """")), GOOGLETRANSLATE('AYIRA MINI MART FINAL MENU - Pr'!B402, ""en"", ""ar"")))"),"الشوكولاتة")</f>
        <v>الشوكولاتة</v>
      </c>
      <c r="C402" s="58">
        <f>IF('AYIRA MINI MART FINAL MENU - Pr'!C402="", "", 'AYIRA MINI MART FINAL MENU - Pr'!C402)</f>
        <v>3</v>
      </c>
      <c r="D402" s="58" t="str">
        <f>IF('AYIRA MINI MART FINAL MENU - Pr'!D402="", "", 'AYIRA MINI MART FINAL MENU - Pr'!D402)</f>
        <v>دلّل حواسك مع Nestlé Lion Chocolate Bar 50g،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02" s="56" t="str">
        <f>IF('AYIRA MINI MART FINAL MENU - Pr'!E402="", "", 'AYIRA MINI MART FINAL MENU - Pr'!E402)</f>
        <v/>
      </c>
      <c r="F402" s="56" t="str">
        <f>IF('AYIRA MINI MART FINAL MENU - Pr'!F402="", "", 'AYIRA MINI MART FINAL MENU - Pr'!F402)</f>
        <v/>
      </c>
      <c r="G402" s="56" t="str">
        <f>IF('AYIRA MINI MART FINAL MENU - Pr'!G402="", "", 'AYIRA MINI MART FINAL MENU - Pr'!G402)</f>
        <v/>
      </c>
      <c r="H402" s="56" t="str">
        <f>IF('AYIRA MINI MART FINAL MENU - Pr'!H402="", "", 'AYIRA MINI MART FINAL MENU - Pr'!H402)</f>
        <v/>
      </c>
      <c r="I402" s="56" t="str">
        <f>IF('AYIRA MINI MART FINAL MENU - Pr'!I402="", "", 'AYIRA MINI MART FINAL MENU - Pr'!I402)</f>
        <v/>
      </c>
      <c r="J402" s="56" t="str">
        <f>IFERROR(__xludf.DUMMYFUNCTION("IF('AYIRA MINI MART FINAL MENU - Pr'!J402="""", """", GOOGLETRANSLATE('AYIRA MINI MART FINAL MENU - Pr'!J402, ""en"", ""ar""))"),"يعرض")</f>
        <v>يعرض</v>
      </c>
      <c r="K402" s="56" t="str">
        <f>IF('AYIRA MINI MART FINAL MENU - Pr'!K402="", "", 'AYIRA MINI MART FINAL MENU - Pr'!K402)</f>
        <v/>
      </c>
      <c r="L402" s="56" t="str">
        <f>IF('AYIRA MINI MART FINAL MENU - Pr'!L402="", "", 'AYIRA MINI MART FINAL MENU - Pr'!L402)</f>
        <v/>
      </c>
      <c r="M402" s="56" t="str">
        <f>IF('AYIRA MINI MART FINAL MENU - Pr'!M402="", "", 'AYIRA MINI MART FINAL MENU - Pr'!M402)</f>
        <v/>
      </c>
      <c r="N402" s="56" t="str">
        <f>IF('AYIRA MINI MART FINAL MENU - Pr'!N402="", "", 'AYIRA MINI MART FINAL MENU - Pr'!N402)</f>
        <v/>
      </c>
      <c r="O402" s="57"/>
      <c r="P402" s="57"/>
      <c r="Q402" s="57"/>
      <c r="R402" s="57"/>
      <c r="S402" s="57"/>
      <c r="T402" s="57"/>
      <c r="U402" s="57"/>
      <c r="V402" s="57"/>
      <c r="W402" s="57"/>
      <c r="X402" s="57"/>
      <c r="Y402" s="57"/>
      <c r="Z402" s="57"/>
    </row>
    <row r="403">
      <c r="A403" s="56" t="str">
        <f>IFERROR(__xludf.DUMMYFUNCTION("IF('AYIRA MINI MART FINAL MENU - Pr'!A403="""", """", IF(LEN(TRIM(REGEXREPLACE(REGEXREPLACE('AYIRA MINI MART FINAL MENU - Pr'!A403, ""^[^\x{0600}-\x{06FF}]+"", """"), ""^[-–\s]+"", """")))&gt;0, TRIM(REGEXREPLACE(REGEXREPLACE('AYIRA MINI MART FINAL MENU - Pr"&amp;"'!A403, ""^[^\x{0600}-\x{06FF}]+"", """"), ""^[-–\s]+"", """")), GOOGLETRANSLATE('AYIRA MINI MART FINAL MENU - Pr'!A403, ""en"", ""ar"")))"),"نوتيلا B-Ready")</f>
        <v>نوتيلا B-Ready</v>
      </c>
      <c r="B403" s="56" t="str">
        <f>IFERROR(__xludf.DUMMYFUNCTION("IF('AYIRA MINI MART FINAL MENU - Pr'!B403="""", """", IF(LEN(TRIM(REGEXREPLACE(REGEXREPLACE('AYIRA MINI MART FINAL MENU - Pr'!B403, ""^[^\x{0600}-\x{06FF}]+"", """"), ""^[-–\s]+"", """")))&gt;0, TRIM(REGEXREPLACE(REGEXREPLACE('AYIRA MINI MART FINAL MENU - Pr"&amp;"'!B403, ""^[^\x{0600}-\x{06FF}]+"", """"), ""^[-–\s]+"", """")), GOOGLETRANSLATE('AYIRA MINI MART FINAL MENU - Pr'!B403, ""en"", ""ar"")))"),"الشوكولاتة")</f>
        <v>الشوكولاتة</v>
      </c>
      <c r="C403" s="58">
        <f>IF('AYIRA MINI MART FINAL MENU - Pr'!C403="", "", 'AYIRA MINI MART FINAL MENU - Pr'!C403)</f>
        <v>2.5</v>
      </c>
      <c r="D403" s="58" t="str">
        <f>IF('AYIRA MINI MART FINAL MENU - Pr'!D403="", "", 'AYIRA MINI MART FINAL MENU - Pr'!D403)</f>
        <v>دلّل حواسك مع نوتيلا،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03" s="56" t="str">
        <f>IF('AYIRA MINI MART FINAL MENU - Pr'!E403="", "", 'AYIRA MINI MART FINAL MENU - Pr'!E403)</f>
        <v/>
      </c>
      <c r="F403" s="56" t="str">
        <f>IF('AYIRA MINI MART FINAL MENU - Pr'!F403="", "", 'AYIRA MINI MART FINAL MENU - Pr'!F403)</f>
        <v/>
      </c>
      <c r="G403" s="56" t="str">
        <f>IF('AYIRA MINI MART FINAL MENU - Pr'!G403="", "", 'AYIRA MINI MART FINAL MENU - Pr'!G403)</f>
        <v/>
      </c>
      <c r="H403" s="56" t="str">
        <f>IF('AYIRA MINI MART FINAL MENU - Pr'!H403="", "", 'AYIRA MINI MART FINAL MENU - Pr'!H403)</f>
        <v/>
      </c>
      <c r="I403" s="56" t="str">
        <f>IF('AYIRA MINI MART FINAL MENU - Pr'!I403="", "", 'AYIRA MINI MART FINAL MENU - Pr'!I403)</f>
        <v/>
      </c>
      <c r="J403" s="56" t="str">
        <f>IFERROR(__xludf.DUMMYFUNCTION("IF('AYIRA MINI MART FINAL MENU - Pr'!J403="""", """", GOOGLETRANSLATE('AYIRA MINI MART FINAL MENU - Pr'!J403, ""en"", ""ar""))"),"يعرض")</f>
        <v>يعرض</v>
      </c>
      <c r="K403" s="56" t="str">
        <f>IF('AYIRA MINI MART FINAL MENU - Pr'!K403="", "", 'AYIRA MINI MART FINAL MENU - Pr'!K403)</f>
        <v/>
      </c>
      <c r="L403" s="56" t="str">
        <f>IF('AYIRA MINI MART FINAL MENU - Pr'!L403="", "", 'AYIRA MINI MART FINAL MENU - Pr'!L403)</f>
        <v/>
      </c>
      <c r="M403" s="56" t="str">
        <f>IF('AYIRA MINI MART FINAL MENU - Pr'!M403="", "", 'AYIRA MINI MART FINAL MENU - Pr'!M403)</f>
        <v/>
      </c>
      <c r="N403" s="56" t="str">
        <f>IF('AYIRA MINI MART FINAL MENU - Pr'!N403="", "", 'AYIRA MINI MART FINAL MENU - Pr'!N403)</f>
        <v/>
      </c>
      <c r="O403" s="57"/>
      <c r="P403" s="57"/>
      <c r="Q403" s="57"/>
      <c r="R403" s="57"/>
      <c r="S403" s="57"/>
      <c r="T403" s="57"/>
      <c r="U403" s="57"/>
      <c r="V403" s="57"/>
      <c r="W403" s="57"/>
      <c r="X403" s="57"/>
      <c r="Y403" s="57"/>
      <c r="Z403" s="57"/>
    </row>
    <row r="404">
      <c r="A404" s="56" t="str">
        <f>IFERROR(__xludf.DUMMYFUNCTION("IF('AYIRA MINI MART FINAL MENU - Pr'!A404="""", """", IF(LEN(TRIM(REGEXREPLACE(REGEXREPLACE('AYIRA MINI MART FINAL MENU - Pr'!A404, ""^[^\x{0600}-\x{06FF}]+"", """"), ""^[-–\s]+"", """")))&gt;0, TRIM(REGEXREPLACE(REGEXREPLACE('AYIRA MINI MART FINAL MENU - Pr"&amp;"'!A404, ""^[^\x{0600}-\x{06FF}]+"", """"), ""^[-–\s]+"", """")), GOOGLETRANSLATE('AYIRA MINI MART FINAL MENU - Pr'!A404, ""en"", ""ar"")))"),"شوكولاتة قطعة 33 غرام")</f>
        <v>شوكولاتة قطعة 33 غرام</v>
      </c>
      <c r="B404" s="56" t="str">
        <f>IFERROR(__xludf.DUMMYFUNCTION("IF('AYIRA MINI MART FINAL MENU - Pr'!B404="""", """", IF(LEN(TRIM(REGEXREPLACE(REGEXREPLACE('AYIRA MINI MART FINAL MENU - Pr'!B404, ""^[^\x{0600}-\x{06FF}]+"", """"), ""^[-–\s]+"", """")))&gt;0, TRIM(REGEXREPLACE(REGEXREPLACE('AYIRA MINI MART FINAL MENU - Pr"&amp;"'!B404, ""^[^\x{0600}-\x{06FF}]+"", """"), ""^[-–\s]+"", """")), GOOGLETRANSLATE('AYIRA MINI MART FINAL MENU - Pr'!B404, ""en"", ""ar"")))"),"الشوكولاتة")</f>
        <v>الشوكولاتة</v>
      </c>
      <c r="C404" s="58">
        <f>IF('AYIRA MINI MART FINAL MENU - Pr'!C404="", "", 'AYIRA MINI MART FINAL MENU - Pr'!C404)</f>
        <v>1.75</v>
      </c>
      <c r="D404" s="58" t="str">
        <f>IF('AYIRA MINI MART FINAL MENU - Pr'!D404="", "", 'AYIRA MINI MART FINAL MENU - Pr'!D404)</f>
        <v>دلّل حواسك مع Tofi Luk Chocolate Bar 33g،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04" s="56" t="str">
        <f>IF('AYIRA MINI MART FINAL MENU - Pr'!E404="", "", 'AYIRA MINI MART FINAL MENU - Pr'!E404)</f>
        <v/>
      </c>
      <c r="F404" s="56" t="str">
        <f>IF('AYIRA MINI MART FINAL MENU - Pr'!F404="", "", 'AYIRA MINI MART FINAL MENU - Pr'!F404)</f>
        <v/>
      </c>
      <c r="G404" s="56" t="str">
        <f>IF('AYIRA MINI MART FINAL MENU - Pr'!G404="", "", 'AYIRA MINI MART FINAL MENU - Pr'!G404)</f>
        <v/>
      </c>
      <c r="H404" s="56" t="str">
        <f>IF('AYIRA MINI MART FINAL MENU - Pr'!H404="", "", 'AYIRA MINI MART FINAL MENU - Pr'!H404)</f>
        <v/>
      </c>
      <c r="I404" s="56" t="str">
        <f>IF('AYIRA MINI MART FINAL MENU - Pr'!I404="", "", 'AYIRA MINI MART FINAL MENU - Pr'!I404)</f>
        <v/>
      </c>
      <c r="J404" s="56" t="str">
        <f>IFERROR(__xludf.DUMMYFUNCTION("IF('AYIRA MINI MART FINAL MENU - Pr'!J404="""", """", GOOGLETRANSLATE('AYIRA MINI MART FINAL MENU - Pr'!J404, ""en"", ""ar""))"),"يعرض")</f>
        <v>يعرض</v>
      </c>
      <c r="K404" s="56" t="str">
        <f>IF('AYIRA MINI MART FINAL MENU - Pr'!K404="", "", 'AYIRA MINI MART FINAL MENU - Pr'!K404)</f>
        <v/>
      </c>
      <c r="L404" s="56" t="str">
        <f>IF('AYIRA MINI MART FINAL MENU - Pr'!L404="", "", 'AYIRA MINI MART FINAL MENU - Pr'!L404)</f>
        <v/>
      </c>
      <c r="M404" s="56" t="str">
        <f>IF('AYIRA MINI MART FINAL MENU - Pr'!M404="", "", 'AYIRA MINI MART FINAL MENU - Pr'!M404)</f>
        <v/>
      </c>
      <c r="N404" s="56" t="str">
        <f>IF('AYIRA MINI MART FINAL MENU - Pr'!N404="", "", 'AYIRA MINI MART FINAL MENU - Pr'!N404)</f>
        <v/>
      </c>
      <c r="O404" s="57"/>
      <c r="P404" s="57"/>
      <c r="Q404" s="57"/>
      <c r="R404" s="57"/>
      <c r="S404" s="57"/>
      <c r="T404" s="57"/>
      <c r="U404" s="57"/>
      <c r="V404" s="57"/>
      <c r="W404" s="57"/>
      <c r="X404" s="57"/>
      <c r="Y404" s="57"/>
      <c r="Z404" s="57"/>
    </row>
    <row r="405">
      <c r="A405" s="56" t="str">
        <f>IFERROR(__xludf.DUMMYFUNCTION("IF('AYIRA MINI MART FINAL MENU - Pr'!A405="""", """", IF(LEN(TRIM(REGEXREPLACE(REGEXREPLACE('AYIRA MINI MART FINAL MENU - Pr'!A405, ""^[^\x{0600}-\x{06FF}]+"", """"), ""^[-–\s]+"", """")))&gt;0, TRIM(REGEXREPLACE(REGEXREPLACE('AYIRA MINI MART FINAL MENU - Pr"&amp;"'!A405, ""^[^\x{0600}-\x{06FF}]+"", """"), ""^[-–\s]+"", """")), GOOGLETRANSLATE('AYIRA MINI MART FINAL MENU - Pr'!A405, ""en"", ""ar"")))"),"رافاييلو شوكولاتة 30 غرام")</f>
        <v>رافاييلو شوكولاتة 30 غرام</v>
      </c>
      <c r="B405" s="56" t="str">
        <f>IFERROR(__xludf.DUMMYFUNCTION("IF('AYIRA MINI MART FINAL MENU - Pr'!B405="""", """", IF(LEN(TRIM(REGEXREPLACE(REGEXREPLACE('AYIRA MINI MART FINAL MENU - Pr'!B405, ""^[^\x{0600}-\x{06FF}]+"", """"), ""^[-–\s]+"", """")))&gt;0, TRIM(REGEXREPLACE(REGEXREPLACE('AYIRA MINI MART FINAL MENU - Pr"&amp;"'!B405, ""^[^\x{0600}-\x{06FF}]+"", """"), ""^[-–\s]+"", """")), GOOGLETRANSLATE('AYIRA MINI MART FINAL MENU - Pr'!B405, ""en"", ""ar"")))"),"الشوكولاتة")</f>
        <v>الشوكولاتة</v>
      </c>
      <c r="C405" s="58">
        <f>IF('AYIRA MINI MART FINAL MENU - Pr'!C405="", "", 'AYIRA MINI MART FINAL MENU - Pr'!C405)</f>
        <v>6.5</v>
      </c>
      <c r="D405" s="58" t="str">
        <f>IF('AYIRA MINI MART FINAL MENU - Pr'!D405="", "", 'AYIRA MINI MART FINAL MENU - Pr'!D405)</f>
        <v>دلّل حواسك مع Raffaello Chocolate 30g،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05" s="56" t="str">
        <f>IF('AYIRA MINI MART FINAL MENU - Pr'!E405="", "", 'AYIRA MINI MART FINAL MENU - Pr'!E405)</f>
        <v/>
      </c>
      <c r="F405" s="56" t="str">
        <f>IF('AYIRA MINI MART FINAL MENU - Pr'!F405="", "", 'AYIRA MINI MART FINAL MENU - Pr'!F405)</f>
        <v/>
      </c>
      <c r="G405" s="56" t="str">
        <f>IF('AYIRA MINI MART FINAL MENU - Pr'!G405="", "", 'AYIRA MINI MART FINAL MENU - Pr'!G405)</f>
        <v/>
      </c>
      <c r="H405" s="56" t="str">
        <f>IF('AYIRA MINI MART FINAL MENU - Pr'!H405="", "", 'AYIRA MINI MART FINAL MENU - Pr'!H405)</f>
        <v/>
      </c>
      <c r="I405" s="56" t="str">
        <f>IF('AYIRA MINI MART FINAL MENU - Pr'!I405="", "", 'AYIRA MINI MART FINAL MENU - Pr'!I405)</f>
        <v/>
      </c>
      <c r="J405" s="56" t="str">
        <f>IFERROR(__xludf.DUMMYFUNCTION("IF('AYIRA MINI MART FINAL MENU - Pr'!J405="""", """", GOOGLETRANSLATE('AYIRA MINI MART FINAL MENU - Pr'!J405, ""en"", ""ar""))"),"يعرض")</f>
        <v>يعرض</v>
      </c>
      <c r="K405" s="56" t="str">
        <f>IF('AYIRA MINI MART FINAL MENU - Pr'!K405="", "", 'AYIRA MINI MART FINAL MENU - Pr'!K405)</f>
        <v/>
      </c>
      <c r="L405" s="56" t="str">
        <f>IF('AYIRA MINI MART FINAL MENU - Pr'!L405="", "", 'AYIRA MINI MART FINAL MENU - Pr'!L405)</f>
        <v/>
      </c>
      <c r="M405" s="56" t="str">
        <f>IF('AYIRA MINI MART FINAL MENU - Pr'!M405="", "", 'AYIRA MINI MART FINAL MENU - Pr'!M405)</f>
        <v/>
      </c>
      <c r="N405" s="56" t="str">
        <f>IF('AYIRA MINI MART FINAL MENU - Pr'!N405="", "", 'AYIRA MINI MART FINAL MENU - Pr'!N405)</f>
        <v/>
      </c>
      <c r="O405" s="57"/>
      <c r="P405" s="57"/>
      <c r="Q405" s="57"/>
      <c r="R405" s="57"/>
      <c r="S405" s="57"/>
      <c r="T405" s="57"/>
      <c r="U405" s="57"/>
      <c r="V405" s="57"/>
      <c r="W405" s="57"/>
      <c r="X405" s="57"/>
      <c r="Y405" s="57"/>
      <c r="Z405" s="57"/>
    </row>
    <row r="406">
      <c r="A406" s="56" t="str">
        <f>IFERROR(__xludf.DUMMYFUNCTION("IF('AYIRA MINI MART FINAL MENU - Pr'!A406="""", """", IF(LEN(TRIM(REGEXREPLACE(REGEXREPLACE('AYIRA MINI MART FINAL MENU - Pr'!A406, ""^[^\x{0600}-\x{06FF}]+"", """"), ""^[-–\s]+"", """")))&gt;0, TRIM(REGEXREPLACE(REGEXREPLACE('AYIRA MINI MART FINAL MENU - Pr"&amp;"'!A406, ""^[^\x{0600}-\x{06FF}]+"", """"), ""^[-–\s]+"", """")), GOOGLETRANSLATE('AYIRA MINI MART FINAL MENU - Pr'!A406, ""en"", ""ar"")))"),"غرام (Tin)")</f>
        <v>غرام (Tin)</v>
      </c>
      <c r="B406" s="56" t="str">
        <f>IFERROR(__xludf.DUMMYFUNCTION("IF('AYIRA MINI MART FINAL MENU - Pr'!B406="""", """", IF(LEN(TRIM(REGEXREPLACE(REGEXREPLACE('AYIRA MINI MART FINAL MENU - Pr'!B406, ""^[^\x{0600}-\x{06FF}]+"", """"), ""^[-–\s]+"", """")))&gt;0, TRIM(REGEXREPLACE(REGEXREPLACE('AYIRA MINI MART FINAL MENU - Pr"&amp;"'!B406, ""^[^\x{0600}-\x{06FF}]+"", """"), ""^[-–\s]+"", """")), GOOGLETRANSLATE('AYIRA MINI MART FINAL MENU - Pr'!B406, ""en"", ""ar"")))"),"المكسرات والبذور")</f>
        <v>المكسرات والبذور</v>
      </c>
      <c r="C406" s="58">
        <f>IF('AYIRA MINI MART FINAL MENU - Pr'!C406="", "", 'AYIRA MINI MART FINAL MENU - Pr'!C406)</f>
        <v>38</v>
      </c>
      <c r="D406" s="58" t="str">
        <f>IF('AYIRA MINI MART FINAL MENU - Pr'!D406="", "", 'AYIRA MINI MART FINAL MENU - Pr'!D406)</f>
        <v>اختر HALABI Unsalted Mix 400g (Tin)،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06" s="56" t="str">
        <f>IF('AYIRA MINI MART FINAL MENU - Pr'!E406="", "", 'AYIRA MINI MART FINAL MENU - Pr'!E406)</f>
        <v/>
      </c>
      <c r="F406" s="56" t="str">
        <f>IF('AYIRA MINI MART FINAL MENU - Pr'!F406="", "", 'AYIRA MINI MART FINAL MENU - Pr'!F406)</f>
        <v/>
      </c>
      <c r="G406" s="56" t="str">
        <f>IF('AYIRA MINI MART FINAL MENU - Pr'!G406="", "", 'AYIRA MINI MART FINAL MENU - Pr'!G406)</f>
        <v/>
      </c>
      <c r="H406" s="56" t="str">
        <f>IF('AYIRA MINI MART FINAL MENU - Pr'!H406="", "", 'AYIRA MINI MART FINAL MENU - Pr'!H406)</f>
        <v/>
      </c>
      <c r="I406" s="56" t="str">
        <f>IF('AYIRA MINI MART FINAL MENU - Pr'!I406="", "", 'AYIRA MINI MART FINAL MENU - Pr'!I406)</f>
        <v/>
      </c>
      <c r="J406" s="56" t="str">
        <f>IFERROR(__xludf.DUMMYFUNCTION("IF('AYIRA MINI MART FINAL MENU - Pr'!J406="""", """", GOOGLETRANSLATE('AYIRA MINI MART FINAL MENU - Pr'!J406, ""en"", ""ar""))"),"يعرض")</f>
        <v>يعرض</v>
      </c>
      <c r="K406" s="56" t="str">
        <f>IF('AYIRA MINI MART FINAL MENU - Pr'!K406="", "", 'AYIRA MINI MART FINAL MENU - Pr'!K406)</f>
        <v/>
      </c>
      <c r="L406" s="56" t="str">
        <f>IF('AYIRA MINI MART FINAL MENU - Pr'!L406="", "", 'AYIRA MINI MART FINAL MENU - Pr'!L406)</f>
        <v/>
      </c>
      <c r="M406" s="56" t="str">
        <f>IF('AYIRA MINI MART FINAL MENU - Pr'!M406="", "", 'AYIRA MINI MART FINAL MENU - Pr'!M406)</f>
        <v/>
      </c>
      <c r="N406" s="56" t="str">
        <f>IF('AYIRA MINI MART FINAL MENU - Pr'!N406="", "", 'AYIRA MINI MART FINAL MENU - Pr'!N406)</f>
        <v/>
      </c>
      <c r="O406" s="57"/>
      <c r="P406" s="57"/>
      <c r="Q406" s="57"/>
      <c r="R406" s="57"/>
      <c r="S406" s="57"/>
      <c r="T406" s="57"/>
      <c r="U406" s="57"/>
      <c r="V406" s="57"/>
      <c r="W406" s="57"/>
      <c r="X406" s="57"/>
      <c r="Y406" s="57"/>
      <c r="Z406" s="57"/>
    </row>
    <row r="407">
      <c r="A407" s="56" t="str">
        <f>IFERROR(__xludf.DUMMYFUNCTION("IF('AYIRA MINI MART FINAL MENU - Pr'!A407="""", """", IF(LEN(TRIM(REGEXREPLACE(REGEXREPLACE('AYIRA MINI MART FINAL MENU - Pr'!A407, ""^[^\x{0600}-\x{06FF}]+"", """"), ""^[-–\s]+"", """")))&gt;0, TRIM(REGEXREPLACE(REGEXREPLACE('AYIRA MINI MART FINAL MENU - Pr"&amp;"'!A407, ""^[^\x{0600}-\x{06FF}]+"", """"), ""^[-–\s]+"", """")), GOOGLETRANSLATE('AYIRA MINI MART FINAL MENU - Pr'!A407, ""en"", ""ar"")))"),"غرام (Tin)")</f>
        <v>غرام (Tin)</v>
      </c>
      <c r="B407" s="56" t="str">
        <f>IFERROR(__xludf.DUMMYFUNCTION("IF('AYIRA MINI MART FINAL MENU - Pr'!B407="""", """", IF(LEN(TRIM(REGEXREPLACE(REGEXREPLACE('AYIRA MINI MART FINAL MENU - Pr'!B407, ""^[^\x{0600}-\x{06FF}]+"", """"), ""^[-–\s]+"", """")))&gt;0, TRIM(REGEXREPLACE(REGEXREPLACE('AYIRA MINI MART FINAL MENU - Pr"&amp;"'!B407, ""^[^\x{0600}-\x{06FF}]+"", """"), ""^[-–\s]+"", """")), GOOGLETRANSLATE('AYIRA MINI MART FINAL MENU - Pr'!B407, ""en"", ""ar"")))"),"المكسرات والبذور")</f>
        <v>المكسرات والبذور</v>
      </c>
      <c r="C407" s="58">
        <f>IF('AYIRA MINI MART FINAL MENU - Pr'!C407="", "", 'AYIRA MINI MART FINAL MENU - Pr'!C407)</f>
        <v>26</v>
      </c>
      <c r="D407" s="58" t="str">
        <f>IF('AYIRA MINI MART FINAL MENU - Pr'!D407="", "", 'AYIRA MINI MART FINAL MENU - Pr'!D407)</f>
        <v>دلّل حواسك مع إكسترا،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07" s="56" t="str">
        <f>IF('AYIRA MINI MART FINAL MENU - Pr'!E407="", "", 'AYIRA MINI MART FINAL MENU - Pr'!E407)</f>
        <v/>
      </c>
      <c r="F407" s="56" t="str">
        <f>IF('AYIRA MINI MART FINAL MENU - Pr'!F407="", "", 'AYIRA MINI MART FINAL MENU - Pr'!F407)</f>
        <v/>
      </c>
      <c r="G407" s="56" t="str">
        <f>IF('AYIRA MINI MART FINAL MENU - Pr'!G407="", "", 'AYIRA MINI MART FINAL MENU - Pr'!G407)</f>
        <v/>
      </c>
      <c r="H407" s="56" t="str">
        <f>IF('AYIRA MINI MART FINAL MENU - Pr'!H407="", "", 'AYIRA MINI MART FINAL MENU - Pr'!H407)</f>
        <v/>
      </c>
      <c r="I407" s="56" t="str">
        <f>IF('AYIRA MINI MART FINAL MENU - Pr'!I407="", "", 'AYIRA MINI MART FINAL MENU - Pr'!I407)</f>
        <v/>
      </c>
      <c r="J407" s="56" t="str">
        <f>IFERROR(__xludf.DUMMYFUNCTION("IF('AYIRA MINI MART FINAL MENU - Pr'!J407="""", """", GOOGLETRANSLATE('AYIRA MINI MART FINAL MENU - Pr'!J407, ""en"", ""ar""))"),"يعرض")</f>
        <v>يعرض</v>
      </c>
      <c r="K407" s="56" t="str">
        <f>IF('AYIRA MINI MART FINAL MENU - Pr'!K407="", "", 'AYIRA MINI MART FINAL MENU - Pr'!K407)</f>
        <v/>
      </c>
      <c r="L407" s="56" t="str">
        <f>IF('AYIRA MINI MART FINAL MENU - Pr'!L407="", "", 'AYIRA MINI MART FINAL MENU - Pr'!L407)</f>
        <v/>
      </c>
      <c r="M407" s="56" t="str">
        <f>IF('AYIRA MINI MART FINAL MENU - Pr'!M407="", "", 'AYIRA MINI MART FINAL MENU - Pr'!M407)</f>
        <v/>
      </c>
      <c r="N407" s="56" t="str">
        <f>IF('AYIRA MINI MART FINAL MENU - Pr'!N407="", "", 'AYIRA MINI MART FINAL MENU - Pr'!N407)</f>
        <v/>
      </c>
      <c r="O407" s="57"/>
      <c r="P407" s="57"/>
      <c r="Q407" s="57"/>
      <c r="R407" s="57"/>
      <c r="S407" s="57"/>
      <c r="T407" s="57"/>
      <c r="U407" s="57"/>
      <c r="V407" s="57"/>
      <c r="W407" s="57"/>
      <c r="X407" s="57"/>
      <c r="Y407" s="57"/>
      <c r="Z407" s="57"/>
    </row>
    <row r="408">
      <c r="A408" s="56" t="str">
        <f>IFERROR(__xludf.DUMMYFUNCTION("IF('AYIRA MINI MART FINAL MENU - Pr'!A408="""", """", IF(LEN(TRIM(REGEXREPLACE(REGEXREPLACE('AYIRA MINI MART FINAL MENU - Pr'!A408, ""^[^\x{0600}-\x{06FF}]+"", """"), ""^[-–\s]+"", """")))&gt;0, TRIM(REGEXREPLACE(REGEXREPLACE('AYIRA MINI MART FINAL MENU - Pr"&amp;"'!A408, ""^[^\x{0600}-\x{06FF}]+"", """"), ""^[-–\s]+"", """")), GOOGLETRANSLATE('AYIRA MINI MART FINAL MENU - Pr'!A408, ""en"", ""ar"")))"),"غرام (Tin)")</f>
        <v>غرام (Tin)</v>
      </c>
      <c r="B408" s="56" t="str">
        <f>IFERROR(__xludf.DUMMYFUNCTION("IF('AYIRA MINI MART FINAL MENU - Pr'!B408="""", """", IF(LEN(TRIM(REGEXREPLACE(REGEXREPLACE('AYIRA MINI MART FINAL MENU - Pr'!B408, ""^[^\x{0600}-\x{06FF}]+"", """"), ""^[-–\s]+"", """")))&gt;0, TRIM(REGEXREPLACE(REGEXREPLACE('AYIRA MINI MART FINAL MENU - Pr"&amp;"'!B408, ""^[^\x{0600}-\x{06FF}]+"", """"), ""^[-–\s]+"", """")), GOOGLETRANSLATE('AYIRA MINI MART FINAL MENU - Pr'!B408, ""en"", ""ar"")))"),"المكسرات والبذور")</f>
        <v>المكسرات والبذور</v>
      </c>
      <c r="C408" s="58">
        <f>IF('AYIRA MINI MART FINAL MENU - Pr'!C408="", "", 'AYIRA MINI MART FINAL MENU - Pr'!C408)</f>
        <v>40</v>
      </c>
      <c r="D408" s="58" t="str">
        <f>IF('AYIRA MINI MART FINAL MENU - Pr'!D408="", "", 'AYIRA MINI MART FINAL MENU - Pr'!D408)</f>
        <v>دلّل حواسك مع HALABI Kernels Mix 400g (Tin)،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08" s="56" t="str">
        <f>IF('AYIRA MINI MART FINAL MENU - Pr'!E408="", "", 'AYIRA MINI MART FINAL MENU - Pr'!E408)</f>
        <v/>
      </c>
      <c r="F408" s="56" t="str">
        <f>IF('AYIRA MINI MART FINAL MENU - Pr'!F408="", "", 'AYIRA MINI MART FINAL MENU - Pr'!F408)</f>
        <v/>
      </c>
      <c r="G408" s="56" t="str">
        <f>IF('AYIRA MINI MART FINAL MENU - Pr'!G408="", "", 'AYIRA MINI MART FINAL MENU - Pr'!G408)</f>
        <v/>
      </c>
      <c r="H408" s="56" t="str">
        <f>IF('AYIRA MINI MART FINAL MENU - Pr'!H408="", "", 'AYIRA MINI MART FINAL MENU - Pr'!H408)</f>
        <v/>
      </c>
      <c r="I408" s="56" t="str">
        <f>IF('AYIRA MINI MART FINAL MENU - Pr'!I408="", "", 'AYIRA MINI MART FINAL MENU - Pr'!I408)</f>
        <v/>
      </c>
      <c r="J408" s="56" t="str">
        <f>IFERROR(__xludf.DUMMYFUNCTION("IF('AYIRA MINI MART FINAL MENU - Pr'!J408="""", """", GOOGLETRANSLATE('AYIRA MINI MART FINAL MENU - Pr'!J408, ""en"", ""ar""))"),"يعرض")</f>
        <v>يعرض</v>
      </c>
      <c r="K408" s="56" t="str">
        <f>IF('AYIRA MINI MART FINAL MENU - Pr'!K408="", "", 'AYIRA MINI MART FINAL MENU - Pr'!K408)</f>
        <v/>
      </c>
      <c r="L408" s="56" t="str">
        <f>IF('AYIRA MINI MART FINAL MENU - Pr'!L408="", "", 'AYIRA MINI MART FINAL MENU - Pr'!L408)</f>
        <v/>
      </c>
      <c r="M408" s="56" t="str">
        <f>IF('AYIRA MINI MART FINAL MENU - Pr'!M408="", "", 'AYIRA MINI MART FINAL MENU - Pr'!M408)</f>
        <v/>
      </c>
      <c r="N408" s="56" t="str">
        <f>IF('AYIRA MINI MART FINAL MENU - Pr'!N408="", "", 'AYIRA MINI MART FINAL MENU - Pr'!N408)</f>
        <v/>
      </c>
      <c r="O408" s="57"/>
      <c r="P408" s="57"/>
      <c r="Q408" s="57"/>
      <c r="R408" s="57"/>
      <c r="S408" s="57"/>
      <c r="T408" s="57"/>
      <c r="U408" s="57"/>
      <c r="V408" s="57"/>
      <c r="W408" s="57"/>
      <c r="X408" s="57"/>
      <c r="Y408" s="57"/>
      <c r="Z408" s="57"/>
    </row>
    <row r="409">
      <c r="A409" s="56" t="str">
        <f>IFERROR(__xludf.DUMMYFUNCTION("IF('AYIRA MINI MART FINAL MENU - Pr'!A409="""", """", IF(LEN(TRIM(REGEXREPLACE(REGEXREPLACE('AYIRA MINI MART FINAL MENU - Pr'!A409, ""^[^\x{0600}-\x{06FF}]+"", """"), ""^[-–\s]+"", """")))&gt;0, TRIM(REGEXREPLACE(REGEXREPLACE('AYIRA MINI MART FINAL MENU - Pr"&amp;"'!A409, ""^[^\x{0600}-\x{06FF}]+"", """"), ""^[-–\s]+"", """")), GOOGLETRANSLATE('AYIRA MINI MART FINAL MENU - Pr'!A409, ""en"", ""ar"")))"),"غرام")</f>
        <v>غرام</v>
      </c>
      <c r="B409" s="56" t="str">
        <f>IFERROR(__xludf.DUMMYFUNCTION("IF('AYIRA MINI MART FINAL MENU - Pr'!B409="""", """", IF(LEN(TRIM(REGEXREPLACE(REGEXREPLACE('AYIRA MINI MART FINAL MENU - Pr'!B409, ""^[^\x{0600}-\x{06FF}]+"", """"), ""^[-–\s]+"", """")))&gt;0, TRIM(REGEXREPLACE(REGEXREPLACE('AYIRA MINI MART FINAL MENU - Pr"&amp;"'!B409, ""^[^\x{0600}-\x{06FF}]+"", """"), ""^[-–\s]+"", """")), GOOGLETRANSLATE('AYIRA MINI MART FINAL MENU - Pr'!B409, ""en"", ""ar"")))"),"المكسرات والبذور")</f>
        <v>المكسرات والبذور</v>
      </c>
      <c r="C409" s="58">
        <f>IF('AYIRA MINI MART FINAL MENU - Pr'!C409="", "", 'AYIRA MINI MART FINAL MENU - Pr'!C409)</f>
        <v>44</v>
      </c>
      <c r="D409" s="58" t="str">
        <f>IF('AYIRA MINI MART FINAL MENU - Pr'!D409="", "", 'AYIRA MINI MART FINAL MENU - Pr'!D409)</f>
        <v>دلّل حواسك مع HALABI Kernels Mix 300g،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09" s="56" t="str">
        <f>IF('AYIRA MINI MART FINAL MENU - Pr'!E409="", "", 'AYIRA MINI MART FINAL MENU - Pr'!E409)</f>
        <v/>
      </c>
      <c r="F409" s="56" t="str">
        <f>IF('AYIRA MINI MART FINAL MENU - Pr'!F409="", "", 'AYIRA MINI MART FINAL MENU - Pr'!F409)</f>
        <v/>
      </c>
      <c r="G409" s="56" t="str">
        <f>IF('AYIRA MINI MART FINAL MENU - Pr'!G409="", "", 'AYIRA MINI MART FINAL MENU - Pr'!G409)</f>
        <v/>
      </c>
      <c r="H409" s="56" t="str">
        <f>IF('AYIRA MINI MART FINAL MENU - Pr'!H409="", "", 'AYIRA MINI MART FINAL MENU - Pr'!H409)</f>
        <v/>
      </c>
      <c r="I409" s="56" t="str">
        <f>IF('AYIRA MINI MART FINAL MENU - Pr'!I409="", "", 'AYIRA MINI MART FINAL MENU - Pr'!I409)</f>
        <v/>
      </c>
      <c r="J409" s="56" t="str">
        <f>IFERROR(__xludf.DUMMYFUNCTION("IF('AYIRA MINI MART FINAL MENU - Pr'!J409="""", """", GOOGLETRANSLATE('AYIRA MINI MART FINAL MENU - Pr'!J409, ""en"", ""ar""))"),"يعرض")</f>
        <v>يعرض</v>
      </c>
      <c r="K409" s="56" t="str">
        <f>IF('AYIRA MINI MART FINAL MENU - Pr'!K409="", "", 'AYIRA MINI MART FINAL MENU - Pr'!K409)</f>
        <v/>
      </c>
      <c r="L409" s="56" t="str">
        <f>IF('AYIRA MINI MART FINAL MENU - Pr'!L409="", "", 'AYIRA MINI MART FINAL MENU - Pr'!L409)</f>
        <v/>
      </c>
      <c r="M409" s="56" t="str">
        <f>IF('AYIRA MINI MART FINAL MENU - Pr'!M409="", "", 'AYIRA MINI MART FINAL MENU - Pr'!M409)</f>
        <v/>
      </c>
      <c r="N409" s="56" t="str">
        <f>IF('AYIRA MINI MART FINAL MENU - Pr'!N409="", "", 'AYIRA MINI MART FINAL MENU - Pr'!N409)</f>
        <v/>
      </c>
      <c r="O409" s="57"/>
      <c r="P409" s="57"/>
      <c r="Q409" s="57"/>
      <c r="R409" s="57"/>
      <c r="S409" s="57"/>
      <c r="T409" s="57"/>
      <c r="U409" s="57"/>
      <c r="V409" s="57"/>
      <c r="W409" s="57"/>
      <c r="X409" s="57"/>
      <c r="Y409" s="57"/>
      <c r="Z409" s="57"/>
    </row>
    <row r="410">
      <c r="A410" s="56" t="str">
        <f>IFERROR(__xludf.DUMMYFUNCTION("IF('AYIRA MINI MART FINAL MENU - Pr'!A410="""", """", IF(LEN(TRIM(REGEXREPLACE(REGEXREPLACE('AYIRA MINI MART FINAL MENU - Pr'!A410, ""^[^\x{0600}-\x{06FF}]+"", """"), ""^[-–\s]+"", """")))&gt;0, TRIM(REGEXREPLACE(REGEXREPLACE('AYIRA MINI MART FINAL MENU - Pr"&amp;"'!A410, ""^[^\x{0600}-\x{06FF}]+"", """"), ""^[-–\s]+"", """")), GOOGLETRANSLATE('AYIRA MINI MART FINAL MENU - Pr'!A410, ""en"", ""ar"")))"),"مكسرات 175 غرام")</f>
        <v>مكسرات 175 غرام</v>
      </c>
      <c r="B410" s="56" t="str">
        <f>IFERROR(__xludf.DUMMYFUNCTION("IF('AYIRA MINI MART FINAL MENU - Pr'!B410="""", """", IF(LEN(TRIM(REGEXREPLACE(REGEXREPLACE('AYIRA MINI MART FINAL MENU - Pr'!B410, ""^[^\x{0600}-\x{06FF}]+"", """"), ""^[-–\s]+"", """")))&gt;0, TRIM(REGEXREPLACE(REGEXREPLACE('AYIRA MINI MART FINAL MENU - Pr"&amp;"'!B410, ""^[^\x{0600}-\x{06FF}]+"", """"), ""^[-–\s]+"", """")), GOOGLETRANSLATE('AYIRA MINI MART FINAL MENU - Pr'!B410, ""en"", ""ar"")))"),"المكسرات والبذور")</f>
        <v>المكسرات والبذور</v>
      </c>
      <c r="C410" s="58">
        <f>IF('AYIRA MINI MART FINAL MENU - Pr'!C410="", "", 'AYIRA MINI MART FINAL MENU - Pr'!C410)</f>
        <v>12.5</v>
      </c>
      <c r="D410" s="58" t="str">
        <f>IF('AYIRA MINI MART FINAL MENU - Pr'!D410="", "", 'AYIRA MINI MART FINAL MENU - Pr'!D410)</f>
        <v>اختر HALABI Mexican Nuts 175g،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10" s="56" t="str">
        <f>IF('AYIRA MINI MART FINAL MENU - Pr'!E410="", "", 'AYIRA MINI MART FINAL MENU - Pr'!E410)</f>
        <v/>
      </c>
      <c r="F410" s="56" t="str">
        <f>IF('AYIRA MINI MART FINAL MENU - Pr'!F410="", "", 'AYIRA MINI MART FINAL MENU - Pr'!F410)</f>
        <v/>
      </c>
      <c r="G410" s="56" t="str">
        <f>IF('AYIRA MINI MART FINAL MENU - Pr'!G410="", "", 'AYIRA MINI MART FINAL MENU - Pr'!G410)</f>
        <v/>
      </c>
      <c r="H410" s="56" t="str">
        <f>IF('AYIRA MINI MART FINAL MENU - Pr'!H410="", "", 'AYIRA MINI MART FINAL MENU - Pr'!H410)</f>
        <v/>
      </c>
      <c r="I410" s="56" t="str">
        <f>IF('AYIRA MINI MART FINAL MENU - Pr'!I410="", "", 'AYIRA MINI MART FINAL MENU - Pr'!I410)</f>
        <v/>
      </c>
      <c r="J410" s="56" t="str">
        <f>IFERROR(__xludf.DUMMYFUNCTION("IF('AYIRA MINI MART FINAL MENU - Pr'!J410="""", """", GOOGLETRANSLATE('AYIRA MINI MART FINAL MENU - Pr'!J410, ""en"", ""ar""))"),"يعرض")</f>
        <v>يعرض</v>
      </c>
      <c r="K410" s="56" t="str">
        <f>IF('AYIRA MINI MART FINAL MENU - Pr'!K410="", "", 'AYIRA MINI MART FINAL MENU - Pr'!K410)</f>
        <v/>
      </c>
      <c r="L410" s="56" t="str">
        <f>IF('AYIRA MINI MART FINAL MENU - Pr'!L410="", "", 'AYIRA MINI MART FINAL MENU - Pr'!L410)</f>
        <v/>
      </c>
      <c r="M410" s="56" t="str">
        <f>IF('AYIRA MINI MART FINAL MENU - Pr'!M410="", "", 'AYIRA MINI MART FINAL MENU - Pr'!M410)</f>
        <v/>
      </c>
      <c r="N410" s="56" t="str">
        <f>IF('AYIRA MINI MART FINAL MENU - Pr'!N410="", "", 'AYIRA MINI MART FINAL MENU - Pr'!N410)</f>
        <v/>
      </c>
      <c r="O410" s="57"/>
      <c r="P410" s="57"/>
      <c r="Q410" s="57"/>
      <c r="R410" s="57"/>
      <c r="S410" s="57"/>
      <c r="T410" s="57"/>
      <c r="U410" s="57"/>
      <c r="V410" s="57"/>
      <c r="W410" s="57"/>
      <c r="X410" s="57"/>
      <c r="Y410" s="57"/>
      <c r="Z410" s="57"/>
    </row>
    <row r="411">
      <c r="A411" s="56" t="str">
        <f>IFERROR(__xludf.DUMMYFUNCTION("IF('AYIRA MINI MART FINAL MENU - Pr'!A411="""", """", IF(LEN(TRIM(REGEXREPLACE(REGEXREPLACE('AYIRA MINI MART FINAL MENU - Pr'!A411, ""^[^\x{0600}-\x{06FF}]+"", """"), ""^[-–\s]+"", """")))&gt;0, TRIM(REGEXREPLACE(REGEXREPLACE('AYIRA MINI MART FINAL MENU - Pr"&amp;"'!A411, ""^[^\x{0600}-\x{06FF}]+"", """"), ""^[-–\s]+"", """")), GOOGLETRANSLATE('AYIRA MINI MART FINAL MENU - Pr'!A411, ""en"", ""ar"")))"),"كلاسيك Mix 300 غرام")</f>
        <v>كلاسيك Mix 300 غرام</v>
      </c>
      <c r="B411" s="56" t="str">
        <f>IFERROR(__xludf.DUMMYFUNCTION("IF('AYIRA MINI MART FINAL MENU - Pr'!B411="""", """", IF(LEN(TRIM(REGEXREPLACE(REGEXREPLACE('AYIRA MINI MART FINAL MENU - Pr'!B411, ""^[^\x{0600}-\x{06FF}]+"", """"), ""^[-–\s]+"", """")))&gt;0, TRIM(REGEXREPLACE(REGEXREPLACE('AYIRA MINI MART FINAL MENU - Pr"&amp;"'!B411, ""^[^\x{0600}-\x{06FF}]+"", """"), ""^[-–\s]+"", """")), GOOGLETRANSLATE('AYIRA MINI MART FINAL MENU - Pr'!B411, ""en"", ""ar"")))"),"المكسرات والبذور")</f>
        <v>المكسرات والبذور</v>
      </c>
      <c r="C411" s="58">
        <f>IF('AYIRA MINI MART FINAL MENU - Pr'!C411="", "", 'AYIRA MINI MART FINAL MENU - Pr'!C411)</f>
        <v>13.5</v>
      </c>
      <c r="D411" s="58" t="str">
        <f>IF('AYIRA MINI MART FINAL MENU - Pr'!D411="", "", 'AYIRA MINI MART FINAL MENU - Pr'!D411)</f>
        <v>دلّل حواسك مع HALABI Classic Mix 300g،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11" s="56" t="str">
        <f>IF('AYIRA MINI MART FINAL MENU - Pr'!E411="", "", 'AYIRA MINI MART FINAL MENU - Pr'!E411)</f>
        <v/>
      </c>
      <c r="F411" s="56" t="str">
        <f>IF('AYIRA MINI MART FINAL MENU - Pr'!F411="", "", 'AYIRA MINI MART FINAL MENU - Pr'!F411)</f>
        <v/>
      </c>
      <c r="G411" s="56" t="str">
        <f>IF('AYIRA MINI MART FINAL MENU - Pr'!G411="", "", 'AYIRA MINI MART FINAL MENU - Pr'!G411)</f>
        <v/>
      </c>
      <c r="H411" s="56" t="str">
        <f>IF('AYIRA MINI MART FINAL MENU - Pr'!H411="", "", 'AYIRA MINI MART FINAL MENU - Pr'!H411)</f>
        <v/>
      </c>
      <c r="I411" s="56" t="str">
        <f>IF('AYIRA MINI MART FINAL MENU - Pr'!I411="", "", 'AYIRA MINI MART FINAL MENU - Pr'!I411)</f>
        <v/>
      </c>
      <c r="J411" s="56" t="str">
        <f>IFERROR(__xludf.DUMMYFUNCTION("IF('AYIRA MINI MART FINAL MENU - Pr'!J411="""", """", GOOGLETRANSLATE('AYIRA MINI MART FINAL MENU - Pr'!J411, ""en"", ""ar""))"),"يعرض")</f>
        <v>يعرض</v>
      </c>
      <c r="K411" s="56" t="str">
        <f>IF('AYIRA MINI MART FINAL MENU - Pr'!K411="", "", 'AYIRA MINI MART FINAL MENU - Pr'!K411)</f>
        <v/>
      </c>
      <c r="L411" s="56" t="str">
        <f>IF('AYIRA MINI MART FINAL MENU - Pr'!L411="", "", 'AYIRA MINI MART FINAL MENU - Pr'!L411)</f>
        <v/>
      </c>
      <c r="M411" s="56" t="str">
        <f>IF('AYIRA MINI MART FINAL MENU - Pr'!M411="", "", 'AYIRA MINI MART FINAL MENU - Pr'!M411)</f>
        <v/>
      </c>
      <c r="N411" s="56" t="str">
        <f>IF('AYIRA MINI MART FINAL MENU - Pr'!N411="", "", 'AYIRA MINI MART FINAL MENU - Pr'!N411)</f>
        <v/>
      </c>
      <c r="O411" s="57"/>
      <c r="P411" s="57"/>
      <c r="Q411" s="57"/>
      <c r="R411" s="57"/>
      <c r="S411" s="57"/>
      <c r="T411" s="57"/>
      <c r="U411" s="57"/>
      <c r="V411" s="57"/>
      <c r="W411" s="57"/>
      <c r="X411" s="57"/>
      <c r="Y411" s="57"/>
      <c r="Z411" s="57"/>
    </row>
    <row r="412">
      <c r="A412" s="56" t="str">
        <f>IFERROR(__xludf.DUMMYFUNCTION("IF('AYIRA MINI MART FINAL MENU - Pr'!A412="""", """", IF(LEN(TRIM(REGEXREPLACE(REGEXREPLACE('AYIRA MINI MART FINAL MENU - Pr'!A412, ""^[^\x{0600}-\x{06FF}]+"", """"), ""^[-–\s]+"", """")))&gt;0, TRIM(REGEXREPLACE(REGEXREPLACE('AYIRA MINI MART FINAL MENU - Pr"&amp;"'!A412, ""^[^\x{0600}-\x{06FF}]+"", """"), ""^[-–\s]+"", """")), GOOGLETRANSLATE('AYIRA MINI MART FINAL MENU - Pr'!A412, ""en"", ""ar"")))"),"غرام")</f>
        <v>غرام</v>
      </c>
      <c r="B412" s="56" t="str">
        <f>IFERROR(__xludf.DUMMYFUNCTION("IF('AYIRA MINI MART FINAL MENU - Pr'!B412="""", """", IF(LEN(TRIM(REGEXREPLACE(REGEXREPLACE('AYIRA MINI MART FINAL MENU - Pr'!B412, ""^[^\x{0600}-\x{06FF}]+"", """"), ""^[-–\s]+"", """")))&gt;0, TRIM(REGEXREPLACE(REGEXREPLACE('AYIRA MINI MART FINAL MENU - Pr"&amp;"'!B412, ""^[^\x{0600}-\x{06FF}]+"", """"), ""^[-–\s]+"", """")), GOOGLETRANSLATE('AYIRA MINI MART FINAL MENU - Pr'!B412, ""en"", ""ar"")))"),"المكسرات والبذور")</f>
        <v>المكسرات والبذور</v>
      </c>
      <c r="C412" s="58">
        <f>IF('AYIRA MINI MART FINAL MENU - Pr'!C412="", "", 'AYIRA MINI MART FINAL MENU - Pr'!C412)</f>
        <v>12.5</v>
      </c>
      <c r="D412" s="58" t="str">
        <f>IF('AYIRA MINI MART FINAL MENU - Pr'!D412="", "", 'AYIRA MINI MART FINAL MENU - Pr'!D412)</f>
        <v>دلّل حواسك مع HALABI Thai Mix 175g،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12" s="56" t="str">
        <f>IF('AYIRA MINI MART FINAL MENU - Pr'!E412="", "", 'AYIRA MINI MART FINAL MENU - Pr'!E412)</f>
        <v/>
      </c>
      <c r="F412" s="56" t="str">
        <f>IF('AYIRA MINI MART FINAL MENU - Pr'!F412="", "", 'AYIRA MINI MART FINAL MENU - Pr'!F412)</f>
        <v/>
      </c>
      <c r="G412" s="56" t="str">
        <f>IF('AYIRA MINI MART FINAL MENU - Pr'!G412="", "", 'AYIRA MINI MART FINAL MENU - Pr'!G412)</f>
        <v/>
      </c>
      <c r="H412" s="56" t="str">
        <f>IF('AYIRA MINI MART FINAL MENU - Pr'!H412="", "", 'AYIRA MINI MART FINAL MENU - Pr'!H412)</f>
        <v/>
      </c>
      <c r="I412" s="56" t="str">
        <f>IF('AYIRA MINI MART FINAL MENU - Pr'!I412="", "", 'AYIRA MINI MART FINAL MENU - Pr'!I412)</f>
        <v/>
      </c>
      <c r="J412" s="56" t="str">
        <f>IFERROR(__xludf.DUMMYFUNCTION("IF('AYIRA MINI MART FINAL MENU - Pr'!J412="""", """", GOOGLETRANSLATE('AYIRA MINI MART FINAL MENU - Pr'!J412, ""en"", ""ar""))"),"يعرض")</f>
        <v>يعرض</v>
      </c>
      <c r="K412" s="56" t="str">
        <f>IF('AYIRA MINI MART FINAL MENU - Pr'!K412="", "", 'AYIRA MINI MART FINAL MENU - Pr'!K412)</f>
        <v/>
      </c>
      <c r="L412" s="56" t="str">
        <f>IF('AYIRA MINI MART FINAL MENU - Pr'!L412="", "", 'AYIRA MINI MART FINAL MENU - Pr'!L412)</f>
        <v/>
      </c>
      <c r="M412" s="56" t="str">
        <f>IF('AYIRA MINI MART FINAL MENU - Pr'!M412="", "", 'AYIRA MINI MART FINAL MENU - Pr'!M412)</f>
        <v/>
      </c>
      <c r="N412" s="56" t="str">
        <f>IF('AYIRA MINI MART FINAL MENU - Pr'!N412="", "", 'AYIRA MINI MART FINAL MENU - Pr'!N412)</f>
        <v/>
      </c>
      <c r="O412" s="57"/>
      <c r="P412" s="57"/>
      <c r="Q412" s="57"/>
      <c r="R412" s="57"/>
      <c r="S412" s="57"/>
      <c r="T412" s="57"/>
      <c r="U412" s="57"/>
      <c r="V412" s="57"/>
      <c r="W412" s="57"/>
      <c r="X412" s="57"/>
      <c r="Y412" s="57"/>
      <c r="Z412" s="57"/>
    </row>
    <row r="413">
      <c r="A413" s="56" t="str">
        <f>IFERROR(__xludf.DUMMYFUNCTION("IF('AYIRA MINI MART FINAL MENU - Pr'!A413="""", """", IF(LEN(TRIM(REGEXREPLACE(REGEXREPLACE('AYIRA MINI MART FINAL MENU - Pr'!A413, ""^[^\x{0600}-\x{06FF}]+"", """"), ""^[-–\s]+"", """")))&gt;0, TRIM(REGEXREPLACE(REGEXREPLACE('AYIRA MINI MART FINAL MENU - Pr"&amp;"'!A413, ""^[^\x{0600}-\x{06FF}]+"", """"), ""^[-–\s]+"", """")), GOOGLETRANSLATE('AYIRA MINI MART FINAL MENU - Pr'!A413, ""en"", ""ar"")))"),"غرام")</f>
        <v>غرام</v>
      </c>
      <c r="B413" s="56" t="str">
        <f>IFERROR(__xludf.DUMMYFUNCTION("IF('AYIRA MINI MART FINAL MENU - Pr'!B413="""", """", IF(LEN(TRIM(REGEXREPLACE(REGEXREPLACE('AYIRA MINI MART FINAL MENU - Pr'!B413, ""^[^\x{0600}-\x{06FF}]+"", """"), ""^[-–\s]+"", """")))&gt;0, TRIM(REGEXREPLACE(REGEXREPLACE('AYIRA MINI MART FINAL MENU - Pr"&amp;"'!B413, ""^[^\x{0600}-\x{06FF}]+"", """"), ""^[-–\s]+"", """")), GOOGLETRANSLATE('AYIRA MINI MART FINAL MENU - Pr'!B413, ""en"", ""ar"")))"),"المكسرات والبذور")</f>
        <v>المكسرات والبذور</v>
      </c>
      <c r="C413" s="58">
        <f>IF('AYIRA MINI MART FINAL MENU - Pr'!C413="", "", 'AYIRA MINI MART FINAL MENU - Pr'!C413)</f>
        <v>22</v>
      </c>
      <c r="D413" s="58" t="str">
        <f>IF('AYIRA MINI MART FINAL MENU - Pr'!D413="", "", 'AYIRA MINI MART FINAL MENU - Pr'!D413)</f>
        <v>دلّل حواسك مع إكسترا،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13" s="56" t="str">
        <f>IF('AYIRA MINI MART FINAL MENU - Pr'!E413="", "", 'AYIRA MINI MART FINAL MENU - Pr'!E413)</f>
        <v/>
      </c>
      <c r="F413" s="56" t="str">
        <f>IF('AYIRA MINI MART FINAL MENU - Pr'!F413="", "", 'AYIRA MINI MART FINAL MENU - Pr'!F413)</f>
        <v/>
      </c>
      <c r="G413" s="56" t="str">
        <f>IF('AYIRA MINI MART FINAL MENU - Pr'!G413="", "", 'AYIRA MINI MART FINAL MENU - Pr'!G413)</f>
        <v/>
      </c>
      <c r="H413" s="56" t="str">
        <f>IF('AYIRA MINI MART FINAL MENU - Pr'!H413="", "", 'AYIRA MINI MART FINAL MENU - Pr'!H413)</f>
        <v/>
      </c>
      <c r="I413" s="56" t="str">
        <f>IF('AYIRA MINI MART FINAL MENU - Pr'!I413="", "", 'AYIRA MINI MART FINAL MENU - Pr'!I413)</f>
        <v/>
      </c>
      <c r="J413" s="56" t="str">
        <f>IFERROR(__xludf.DUMMYFUNCTION("IF('AYIRA MINI MART FINAL MENU - Pr'!J413="""", """", GOOGLETRANSLATE('AYIRA MINI MART FINAL MENU - Pr'!J413, ""en"", ""ar""))"),"يعرض")</f>
        <v>يعرض</v>
      </c>
      <c r="K413" s="56" t="str">
        <f>IF('AYIRA MINI MART FINAL MENU - Pr'!K413="", "", 'AYIRA MINI MART FINAL MENU - Pr'!K413)</f>
        <v/>
      </c>
      <c r="L413" s="56" t="str">
        <f>IF('AYIRA MINI MART FINAL MENU - Pr'!L413="", "", 'AYIRA MINI MART FINAL MENU - Pr'!L413)</f>
        <v/>
      </c>
      <c r="M413" s="56" t="str">
        <f>IF('AYIRA MINI MART FINAL MENU - Pr'!M413="", "", 'AYIRA MINI MART FINAL MENU - Pr'!M413)</f>
        <v/>
      </c>
      <c r="N413" s="56" t="str">
        <f>IF('AYIRA MINI MART FINAL MENU - Pr'!N413="", "", 'AYIRA MINI MART FINAL MENU - Pr'!N413)</f>
        <v/>
      </c>
      <c r="O413" s="57"/>
      <c r="P413" s="57"/>
      <c r="Q413" s="57"/>
      <c r="R413" s="57"/>
      <c r="S413" s="57"/>
      <c r="T413" s="57"/>
      <c r="U413" s="57"/>
      <c r="V413" s="57"/>
      <c r="W413" s="57"/>
      <c r="X413" s="57"/>
      <c r="Y413" s="57"/>
      <c r="Z413" s="57"/>
    </row>
    <row r="414">
      <c r="A414" s="56" t="str">
        <f>IFERROR(__xludf.DUMMYFUNCTION("IF('AYIRA MINI MART FINAL MENU - Pr'!A414="""", """", IF(LEN(TRIM(REGEXREPLACE(REGEXREPLACE('AYIRA MINI MART FINAL MENU - Pr'!A414, ""^[^\x{0600}-\x{06FF}]+"", """"), ""^[-–\s]+"", """")))&gt;0, TRIM(REGEXREPLACE(REGEXREPLACE('AYIRA MINI MART FINAL MENU - Pr"&amp;"'!A414, ""^[^\x{0600}-\x{06FF}]+"", """"), ""^[-–\s]+"", """")), GOOGLETRANSLATE('AYIRA MINI MART FINAL MENU - Pr'!A414, ""en"", ""ar"")))"),"غرام")</f>
        <v>غرام</v>
      </c>
      <c r="B414" s="56" t="str">
        <f>IFERROR(__xludf.DUMMYFUNCTION("IF('AYIRA MINI MART FINAL MENU - Pr'!B414="""", """", IF(LEN(TRIM(REGEXREPLACE(REGEXREPLACE('AYIRA MINI MART FINAL MENU - Pr'!B414, ""^[^\x{0600}-\x{06FF}]+"", """"), ""^[-–\s]+"", """")))&gt;0, TRIM(REGEXREPLACE(REGEXREPLACE('AYIRA MINI MART FINAL MENU - Pr"&amp;"'!B414, ""^[^\x{0600}-\x{06FF}]+"", """"), ""^[-–\s]+"", """")), GOOGLETRANSLATE('AYIRA MINI MART FINAL MENU - Pr'!B414, ""en"", ""ar"")))"),"المكسرات والبذور")</f>
        <v>المكسرات والبذور</v>
      </c>
      <c r="C414" s="58">
        <f>IF('AYIRA MINI MART FINAL MENU - Pr'!C414="", "", 'AYIRA MINI MART FINAL MENU - Pr'!C414)</f>
        <v>19</v>
      </c>
      <c r="D414" s="58" t="str">
        <f>IF('AYIRA MINI MART FINAL MENU - Pr'!D414="", "", 'AYIRA MINI MART FINAL MENU - Pr'!D414)</f>
        <v>دلّل حواسك مع HALABI Pumpkin Seeds 250g،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414" s="56" t="str">
        <f>IF('AYIRA MINI MART FINAL MENU - Pr'!E414="", "", 'AYIRA MINI MART FINAL MENU - Pr'!E414)</f>
        <v/>
      </c>
      <c r="F414" s="56" t="str">
        <f>IF('AYIRA MINI MART FINAL MENU - Pr'!F414="", "", 'AYIRA MINI MART FINAL MENU - Pr'!F414)</f>
        <v/>
      </c>
      <c r="G414" s="56" t="str">
        <f>IF('AYIRA MINI MART FINAL MENU - Pr'!G414="", "", 'AYIRA MINI MART FINAL MENU - Pr'!G414)</f>
        <v/>
      </c>
      <c r="H414" s="56" t="str">
        <f>IF('AYIRA MINI MART FINAL MENU - Pr'!H414="", "", 'AYIRA MINI MART FINAL MENU - Pr'!H414)</f>
        <v/>
      </c>
      <c r="I414" s="56" t="str">
        <f>IF('AYIRA MINI MART FINAL MENU - Pr'!I414="", "", 'AYIRA MINI MART FINAL MENU - Pr'!I414)</f>
        <v/>
      </c>
      <c r="J414" s="56" t="str">
        <f>IFERROR(__xludf.DUMMYFUNCTION("IF('AYIRA MINI MART FINAL MENU - Pr'!J414="""", """", GOOGLETRANSLATE('AYIRA MINI MART FINAL MENU - Pr'!J414, ""en"", ""ar""))"),"يعرض")</f>
        <v>يعرض</v>
      </c>
      <c r="K414" s="56" t="str">
        <f>IF('AYIRA MINI MART FINAL MENU - Pr'!K414="", "", 'AYIRA MINI MART FINAL MENU - Pr'!K414)</f>
        <v/>
      </c>
      <c r="L414" s="56" t="str">
        <f>IF('AYIRA MINI MART FINAL MENU - Pr'!L414="", "", 'AYIRA MINI MART FINAL MENU - Pr'!L414)</f>
        <v/>
      </c>
      <c r="M414" s="56" t="str">
        <f>IF('AYIRA MINI MART FINAL MENU - Pr'!M414="", "", 'AYIRA MINI MART FINAL MENU - Pr'!M414)</f>
        <v/>
      </c>
      <c r="N414" s="56" t="str">
        <f>IF('AYIRA MINI MART FINAL MENU - Pr'!N414="", "", 'AYIRA MINI MART FINAL MENU - Pr'!N414)</f>
        <v/>
      </c>
      <c r="O414" s="57"/>
      <c r="P414" s="57"/>
      <c r="Q414" s="57"/>
      <c r="R414" s="57"/>
      <c r="S414" s="57"/>
      <c r="T414" s="57"/>
      <c r="U414" s="57"/>
      <c r="V414" s="57"/>
      <c r="W414" s="57"/>
      <c r="X414" s="57"/>
      <c r="Y414" s="57"/>
      <c r="Z414" s="57"/>
    </row>
    <row r="415">
      <c r="A415" s="56" t="str">
        <f>IFERROR(__xludf.DUMMYFUNCTION("IF('AYIRA MINI MART FINAL MENU - Pr'!A415="""", """", IF(LEN(TRIM(REGEXREPLACE(REGEXREPLACE('AYIRA MINI MART FINAL MENU - Pr'!A415, ""^[^\x{0600}-\x{06FF}]+"", """"), ""^[-–\s]+"", """")))&gt;0, TRIM(REGEXREPLACE(REGEXREPLACE('AYIRA MINI MART FINAL MENU - Pr"&amp;"'!A415, ""^[^\x{0600}-\x{06FF}]+"", """"), ""^[-–\s]+"", """")), GOOGLETRANSLATE('AYIRA MINI MART FINAL MENU - Pr'!A415, ""en"", ""ar"")))"),"غرام")</f>
        <v>غرام</v>
      </c>
      <c r="B415" s="56" t="str">
        <f>IFERROR(__xludf.DUMMYFUNCTION("IF('AYIRA MINI MART FINAL MENU - Pr'!B415="""", """", IF(LEN(TRIM(REGEXREPLACE(REGEXREPLACE('AYIRA MINI MART FINAL MENU - Pr'!B415, ""^[^\x{0600}-\x{06FF}]+"", """"), ""^[-–\s]+"", """")))&gt;0, TRIM(REGEXREPLACE(REGEXREPLACE('AYIRA MINI MART FINAL MENU - Pr"&amp;"'!B415, ""^[^\x{0600}-\x{06FF}]+"", """"), ""^[-–\s]+"", """")), GOOGLETRANSLATE('AYIRA MINI MART FINAL MENU - Pr'!B415, ""en"", ""ar"")))"),"المكسرات والبذور")</f>
        <v>المكسرات والبذور</v>
      </c>
      <c r="C415" s="58">
        <f>IF('AYIRA MINI MART FINAL MENU - Pr'!C415="", "", 'AYIRA MINI MART FINAL MENU - Pr'!C415)</f>
        <v>8.5</v>
      </c>
      <c r="D415" s="58" t="str">
        <f>IF('AYIRA MINI MART FINAL MENU - Pr'!D415="", "", 'AYIRA MINI MART FINAL MENU - Pr'!D415)</f>
        <v>اختر HALABI Sunflower Seeds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15" s="56" t="str">
        <f>IF('AYIRA MINI MART FINAL MENU - Pr'!E415="", "", 'AYIRA MINI MART FINAL MENU - Pr'!E415)</f>
        <v/>
      </c>
      <c r="F415" s="56" t="str">
        <f>IF('AYIRA MINI MART FINAL MENU - Pr'!F415="", "", 'AYIRA MINI MART FINAL MENU - Pr'!F415)</f>
        <v/>
      </c>
      <c r="G415" s="56" t="str">
        <f>IF('AYIRA MINI MART FINAL MENU - Pr'!G415="", "", 'AYIRA MINI MART FINAL MENU - Pr'!G415)</f>
        <v/>
      </c>
      <c r="H415" s="56" t="str">
        <f>IF('AYIRA MINI MART FINAL MENU - Pr'!H415="", "", 'AYIRA MINI MART FINAL MENU - Pr'!H415)</f>
        <v/>
      </c>
      <c r="I415" s="56" t="str">
        <f>IF('AYIRA MINI MART FINAL MENU - Pr'!I415="", "", 'AYIRA MINI MART FINAL MENU - Pr'!I415)</f>
        <v/>
      </c>
      <c r="J415" s="56" t="str">
        <f>IFERROR(__xludf.DUMMYFUNCTION("IF('AYIRA MINI MART FINAL MENU - Pr'!J415="""", """", GOOGLETRANSLATE('AYIRA MINI MART FINAL MENU - Pr'!J415, ""en"", ""ar""))"),"يعرض")</f>
        <v>يعرض</v>
      </c>
      <c r="K415" s="56" t="str">
        <f>IF('AYIRA MINI MART FINAL MENU - Pr'!K415="", "", 'AYIRA MINI MART FINAL MENU - Pr'!K415)</f>
        <v/>
      </c>
      <c r="L415" s="56" t="str">
        <f>IF('AYIRA MINI MART FINAL MENU - Pr'!L415="", "", 'AYIRA MINI MART FINAL MENU - Pr'!L415)</f>
        <v/>
      </c>
      <c r="M415" s="56" t="str">
        <f>IF('AYIRA MINI MART FINAL MENU - Pr'!M415="", "", 'AYIRA MINI MART FINAL MENU - Pr'!M415)</f>
        <v/>
      </c>
      <c r="N415" s="56" t="str">
        <f>IF('AYIRA MINI MART FINAL MENU - Pr'!N415="", "", 'AYIRA MINI MART FINAL MENU - Pr'!N415)</f>
        <v/>
      </c>
      <c r="O415" s="57"/>
      <c r="P415" s="57"/>
      <c r="Q415" s="57"/>
      <c r="R415" s="57"/>
      <c r="S415" s="57"/>
      <c r="T415" s="57"/>
      <c r="U415" s="57"/>
      <c r="V415" s="57"/>
      <c r="W415" s="57"/>
      <c r="X415" s="57"/>
      <c r="Y415" s="57"/>
      <c r="Z415" s="57"/>
    </row>
    <row r="416">
      <c r="A416" s="56" t="str">
        <f>IFERROR(__xludf.DUMMYFUNCTION("IF('AYIRA MINI MART FINAL MENU - Pr'!A416="""", """", IF(LEN(TRIM(REGEXREPLACE(REGEXREPLACE('AYIRA MINI MART FINAL MENU - Pr'!A416, ""^[^\x{0600}-\x{06FF}]+"", """"), ""^[-–\s]+"", """")))&gt;0, TRIM(REGEXREPLACE(REGEXREPLACE('AYIRA MINI MART FINAL MENU - Pr"&amp;"'!A416, ""^[^\x{0600}-\x{06FF}]+"", """"), ""^[-–\s]+"", """")), GOOGLETRANSLATE('AYIRA MINI MART FINAL MENU - Pr'!A416, ""en"", ""ar"")))"),"غرام")</f>
        <v>غرام</v>
      </c>
      <c r="B416" s="56" t="str">
        <f>IFERROR(__xludf.DUMMYFUNCTION("IF('AYIRA MINI MART FINAL MENU - Pr'!B416="""", """", IF(LEN(TRIM(REGEXREPLACE(REGEXREPLACE('AYIRA MINI MART FINAL MENU - Pr'!B416, ""^[^\x{0600}-\x{06FF}]+"", """"), ""^[-–\s]+"", """")))&gt;0, TRIM(REGEXREPLACE(REGEXREPLACE('AYIRA MINI MART FINAL MENU - Pr"&amp;"'!B416, ""^[^\x{0600}-\x{06FF}]+"", """"), ""^[-–\s]+"", """")), GOOGLETRANSLATE('AYIRA MINI MART FINAL MENU - Pr'!B416, ""en"", ""ar"")))"),"المكسرات والبذور")</f>
        <v>المكسرات والبذور</v>
      </c>
      <c r="C416" s="58">
        <f>IF('AYIRA MINI MART FINAL MENU - Pr'!C416="", "", 'AYIRA MINI MART FINAL MENU - Pr'!C416)</f>
        <v>38</v>
      </c>
      <c r="D416" s="58" t="str">
        <f>IF('AYIRA MINI MART FINAL MENU - Pr'!D416="", "", 'AYIRA MINI MART FINAL MENU - Pr'!D416)</f>
        <v>اختر HALABI Cashews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16" s="56" t="str">
        <f>IF('AYIRA MINI MART FINAL MENU - Pr'!E416="", "", 'AYIRA MINI MART FINAL MENU - Pr'!E416)</f>
        <v/>
      </c>
      <c r="F416" s="56" t="str">
        <f>IF('AYIRA MINI MART FINAL MENU - Pr'!F416="", "", 'AYIRA MINI MART FINAL MENU - Pr'!F416)</f>
        <v/>
      </c>
      <c r="G416" s="56" t="str">
        <f>IF('AYIRA MINI MART FINAL MENU - Pr'!G416="", "", 'AYIRA MINI MART FINAL MENU - Pr'!G416)</f>
        <v/>
      </c>
      <c r="H416" s="56" t="str">
        <f>IF('AYIRA MINI MART FINAL MENU - Pr'!H416="", "", 'AYIRA MINI MART FINAL MENU - Pr'!H416)</f>
        <v/>
      </c>
      <c r="I416" s="56" t="str">
        <f>IF('AYIRA MINI MART FINAL MENU - Pr'!I416="", "", 'AYIRA MINI MART FINAL MENU - Pr'!I416)</f>
        <v/>
      </c>
      <c r="J416" s="56" t="str">
        <f>IFERROR(__xludf.DUMMYFUNCTION("IF('AYIRA MINI MART FINAL MENU - Pr'!J416="""", """", GOOGLETRANSLATE('AYIRA MINI MART FINAL MENU - Pr'!J416, ""en"", ""ar""))"),"يعرض")</f>
        <v>يعرض</v>
      </c>
      <c r="K416" s="56" t="str">
        <f>IF('AYIRA MINI MART FINAL MENU - Pr'!K416="", "", 'AYIRA MINI MART FINAL MENU - Pr'!K416)</f>
        <v/>
      </c>
      <c r="L416" s="56" t="str">
        <f>IF('AYIRA MINI MART FINAL MENU - Pr'!L416="", "", 'AYIRA MINI MART FINAL MENU - Pr'!L416)</f>
        <v/>
      </c>
      <c r="M416" s="56" t="str">
        <f>IF('AYIRA MINI MART FINAL MENU - Pr'!M416="", "", 'AYIRA MINI MART FINAL MENU - Pr'!M416)</f>
        <v/>
      </c>
      <c r="N416" s="56" t="str">
        <f>IF('AYIRA MINI MART FINAL MENU - Pr'!N416="", "", 'AYIRA MINI MART FINAL MENU - Pr'!N416)</f>
        <v/>
      </c>
      <c r="O416" s="57"/>
      <c r="P416" s="57"/>
      <c r="Q416" s="57"/>
      <c r="R416" s="57"/>
      <c r="S416" s="57"/>
      <c r="T416" s="57"/>
      <c r="U416" s="57"/>
      <c r="V416" s="57"/>
      <c r="W416" s="57"/>
      <c r="X416" s="57"/>
      <c r="Y416" s="57"/>
      <c r="Z416" s="57"/>
    </row>
    <row r="417">
      <c r="A417" s="56" t="str">
        <f>IFERROR(__xludf.DUMMYFUNCTION("IF('AYIRA MINI MART FINAL MENU - Pr'!A417="""", """", IF(LEN(TRIM(REGEXREPLACE(REGEXREPLACE('AYIRA MINI MART FINAL MENU - Pr'!A417, ""^[^\x{0600}-\x{06FF}]+"", """"), ""^[-–\s]+"", """")))&gt;0, TRIM(REGEXREPLACE(REGEXREPLACE('AYIRA MINI MART FINAL MENU - Pr"&amp;"'!A417, ""^[^\x{0600}-\x{06FF}]+"", """"), ""^[-–\s]+"", """")), GOOGLETRANSLATE('AYIRA MINI MART FINAL MENU - Pr'!A417, ""en"", ""ar"")))"),"غرام")</f>
        <v>غرام</v>
      </c>
      <c r="B417" s="56" t="str">
        <f>IFERROR(__xludf.DUMMYFUNCTION("IF('AYIRA MINI MART FINAL MENU - Pr'!B417="""", """", IF(LEN(TRIM(REGEXREPLACE(REGEXREPLACE('AYIRA MINI MART FINAL MENU - Pr'!B417, ""^[^\x{0600}-\x{06FF}]+"", """"), ""^[-–\s]+"", """")))&gt;0, TRIM(REGEXREPLACE(REGEXREPLACE('AYIRA MINI MART FINAL MENU - Pr"&amp;"'!B417, ""^[^\x{0600}-\x{06FF}]+"", """"), ""^[-–\s]+"", """")), GOOGLETRANSLATE('AYIRA MINI MART FINAL MENU - Pr'!B417, ""en"", ""ar"")))"),"المكسرات والبذور")</f>
        <v>المكسرات والبذور</v>
      </c>
      <c r="C417" s="58">
        <f>IF('AYIRA MINI MART FINAL MENU - Pr'!C417="", "", 'AYIRA MINI MART FINAL MENU - Pr'!C417)</f>
        <v>12.5</v>
      </c>
      <c r="D417" s="58" t="str">
        <f>IF('AYIRA MINI MART FINAL MENU - Pr'!D417="", "", 'AYIRA MINI MART FINAL MENU - Pr'!D417)</f>
        <v>اختر HALABI Peanuts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17" s="56" t="str">
        <f>IF('AYIRA MINI MART FINAL MENU - Pr'!E417="", "", 'AYIRA MINI MART FINAL MENU - Pr'!E417)</f>
        <v/>
      </c>
      <c r="F417" s="56" t="str">
        <f>IF('AYIRA MINI MART FINAL MENU - Pr'!F417="", "", 'AYIRA MINI MART FINAL MENU - Pr'!F417)</f>
        <v/>
      </c>
      <c r="G417" s="56" t="str">
        <f>IF('AYIRA MINI MART FINAL MENU - Pr'!G417="", "", 'AYIRA MINI MART FINAL MENU - Pr'!G417)</f>
        <v/>
      </c>
      <c r="H417" s="56" t="str">
        <f>IF('AYIRA MINI MART FINAL MENU - Pr'!H417="", "", 'AYIRA MINI MART FINAL MENU - Pr'!H417)</f>
        <v/>
      </c>
      <c r="I417" s="56" t="str">
        <f>IF('AYIRA MINI MART FINAL MENU - Pr'!I417="", "", 'AYIRA MINI MART FINAL MENU - Pr'!I417)</f>
        <v/>
      </c>
      <c r="J417" s="56" t="str">
        <f>IFERROR(__xludf.DUMMYFUNCTION("IF('AYIRA MINI MART FINAL MENU - Pr'!J417="""", """", GOOGLETRANSLATE('AYIRA MINI MART FINAL MENU - Pr'!J417, ""en"", ""ar""))"),"يعرض")</f>
        <v>يعرض</v>
      </c>
      <c r="K417" s="56" t="str">
        <f>IF('AYIRA MINI MART FINAL MENU - Pr'!K417="", "", 'AYIRA MINI MART FINAL MENU - Pr'!K417)</f>
        <v/>
      </c>
      <c r="L417" s="56" t="str">
        <f>IF('AYIRA MINI MART FINAL MENU - Pr'!L417="", "", 'AYIRA MINI MART FINAL MENU - Pr'!L417)</f>
        <v/>
      </c>
      <c r="M417" s="56" t="str">
        <f>IF('AYIRA MINI MART FINAL MENU - Pr'!M417="", "", 'AYIRA MINI MART FINAL MENU - Pr'!M417)</f>
        <v/>
      </c>
      <c r="N417" s="56" t="str">
        <f>IF('AYIRA MINI MART FINAL MENU - Pr'!N417="", "", 'AYIRA MINI MART FINAL MENU - Pr'!N417)</f>
        <v/>
      </c>
      <c r="O417" s="57"/>
      <c r="P417" s="57"/>
      <c r="Q417" s="57"/>
      <c r="R417" s="57"/>
      <c r="S417" s="57"/>
      <c r="T417" s="57"/>
      <c r="U417" s="57"/>
      <c r="V417" s="57"/>
      <c r="W417" s="57"/>
      <c r="X417" s="57"/>
      <c r="Y417" s="57"/>
      <c r="Z417" s="57"/>
    </row>
    <row r="418">
      <c r="A418" s="56" t="str">
        <f>IFERROR(__xludf.DUMMYFUNCTION("IF('AYIRA MINI MART FINAL MENU - Pr'!A418="""", """", IF(LEN(TRIM(REGEXREPLACE(REGEXREPLACE('AYIRA MINI MART FINAL MENU - Pr'!A418, ""^[^\x{0600}-\x{06FF}]+"", """"), ""^[-–\s]+"", """")))&gt;0, TRIM(REGEXREPLACE(REGEXREPLACE('AYIRA MINI MART FINAL MENU - Pr"&amp;"'!A418, ""^[^\x{0600}-\x{06FF}]+"", """"), ""^[-–\s]+"", """")), GOOGLETRANSLATE('AYIRA MINI MART FINAL MENU - Pr'!A418, ""en"", ""ar"")))"),"غرام")</f>
        <v>غرام</v>
      </c>
      <c r="B418" s="56" t="str">
        <f>IFERROR(__xludf.DUMMYFUNCTION("IF('AYIRA MINI MART FINAL MENU - Pr'!B418="""", """", IF(LEN(TRIM(REGEXREPLACE(REGEXREPLACE('AYIRA MINI MART FINAL MENU - Pr'!B418, ""^[^\x{0600}-\x{06FF}]+"", """"), ""^[-–\s]+"", """")))&gt;0, TRIM(REGEXREPLACE(REGEXREPLACE('AYIRA MINI MART FINAL MENU - Pr"&amp;"'!B418, ""^[^\x{0600}-\x{06FF}]+"", """"), ""^[-–\s]+"", """")), GOOGLETRANSLATE('AYIRA MINI MART FINAL MENU - Pr'!B418, ""en"", ""ar"")))"),"المكسرات والبذور")</f>
        <v>المكسرات والبذور</v>
      </c>
      <c r="C418" s="58">
        <f>IF('AYIRA MINI MART FINAL MENU - Pr'!C418="", "", 'AYIRA MINI MART FINAL MENU - Pr'!C418)</f>
        <v>13.5</v>
      </c>
      <c r="D418" s="58" t="str">
        <f>IF('AYIRA MINI MART FINAL MENU - Pr'!D418="", "", 'AYIRA MINI MART FINAL MENU - Pr'!D418)</f>
        <v>اختر HALABI Cashews 90g،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18" s="56" t="str">
        <f>IF('AYIRA MINI MART FINAL MENU - Pr'!E418="", "", 'AYIRA MINI MART FINAL MENU - Pr'!E418)</f>
        <v/>
      </c>
      <c r="F418" s="56" t="str">
        <f>IF('AYIRA MINI MART FINAL MENU - Pr'!F418="", "", 'AYIRA MINI MART FINAL MENU - Pr'!F418)</f>
        <v/>
      </c>
      <c r="G418" s="56" t="str">
        <f>IF('AYIRA MINI MART FINAL MENU - Pr'!G418="", "", 'AYIRA MINI MART FINAL MENU - Pr'!G418)</f>
        <v/>
      </c>
      <c r="H418" s="56" t="str">
        <f>IF('AYIRA MINI MART FINAL MENU - Pr'!H418="", "", 'AYIRA MINI MART FINAL MENU - Pr'!H418)</f>
        <v/>
      </c>
      <c r="I418" s="56" t="str">
        <f>IF('AYIRA MINI MART FINAL MENU - Pr'!I418="", "", 'AYIRA MINI MART FINAL MENU - Pr'!I418)</f>
        <v/>
      </c>
      <c r="J418" s="56" t="str">
        <f>IFERROR(__xludf.DUMMYFUNCTION("IF('AYIRA MINI MART FINAL MENU - Pr'!J418="""", """", GOOGLETRANSLATE('AYIRA MINI MART FINAL MENU - Pr'!J418, ""en"", ""ar""))"),"يعرض")</f>
        <v>يعرض</v>
      </c>
      <c r="K418" s="56" t="str">
        <f>IF('AYIRA MINI MART FINAL MENU - Pr'!K418="", "", 'AYIRA MINI MART FINAL MENU - Pr'!K418)</f>
        <v/>
      </c>
      <c r="L418" s="56" t="str">
        <f>IF('AYIRA MINI MART FINAL MENU - Pr'!L418="", "", 'AYIRA MINI MART FINAL MENU - Pr'!L418)</f>
        <v/>
      </c>
      <c r="M418" s="56" t="str">
        <f>IF('AYIRA MINI MART FINAL MENU - Pr'!M418="", "", 'AYIRA MINI MART FINAL MENU - Pr'!M418)</f>
        <v/>
      </c>
      <c r="N418" s="56" t="str">
        <f>IF('AYIRA MINI MART FINAL MENU - Pr'!N418="", "", 'AYIRA MINI MART FINAL MENU - Pr'!N418)</f>
        <v/>
      </c>
      <c r="O418" s="57"/>
      <c r="P418" s="57"/>
      <c r="Q418" s="57"/>
      <c r="R418" s="57"/>
      <c r="S418" s="57"/>
      <c r="T418" s="57"/>
      <c r="U418" s="57"/>
      <c r="V418" s="57"/>
      <c r="W418" s="57"/>
      <c r="X418" s="57"/>
      <c r="Y418" s="57"/>
      <c r="Z418" s="57"/>
    </row>
    <row r="419">
      <c r="A419" s="56" t="str">
        <f>IFERROR(__xludf.DUMMYFUNCTION("IF('AYIRA MINI MART FINAL MENU - Pr'!A419="""", """", IF(LEN(TRIM(REGEXREPLACE(REGEXREPLACE('AYIRA MINI MART FINAL MENU - Pr'!A419, ""^[^\x{0600}-\x{06FF}]+"", """"), ""^[-–\s]+"", """")))&gt;0, TRIM(REGEXREPLACE(REGEXREPLACE('AYIRA MINI MART FINAL MENU - Pr"&amp;"'!A419, ""^[^\x{0600}-\x{06FF}]+"", """"), ""^[-–\s]+"", """")), GOOGLETRANSLATE('AYIRA MINI MART FINAL MENU - Pr'!A419, ""en"", ""ar"")))"),"مملح Almonds 90 غرام")</f>
        <v>مملح Almonds 90 غرام</v>
      </c>
      <c r="B419" s="56" t="str">
        <f>IFERROR(__xludf.DUMMYFUNCTION("IF('AYIRA MINI MART FINAL MENU - Pr'!B419="""", """", IF(LEN(TRIM(REGEXREPLACE(REGEXREPLACE('AYIRA MINI MART FINAL MENU - Pr'!B419, ""^[^\x{0600}-\x{06FF}]+"", """"), ""^[-–\s]+"", """")))&gt;0, TRIM(REGEXREPLACE(REGEXREPLACE('AYIRA MINI MART FINAL MENU - Pr"&amp;"'!B419, ""^[^\x{0600}-\x{06FF}]+"", """"), ""^[-–\s]+"", """")), GOOGLETRANSLATE('AYIRA MINI MART FINAL MENU - Pr'!B419, ""en"", ""ar"")))"),"المكسرات والبذور")</f>
        <v>المكسرات والبذور</v>
      </c>
      <c r="C419" s="58">
        <f>IF('AYIRA MINI MART FINAL MENU - Pr'!C419="", "", 'AYIRA MINI MART FINAL MENU - Pr'!C419)</f>
        <v>12</v>
      </c>
      <c r="D419" s="58" t="str">
        <f>IF('AYIRA MINI MART FINAL MENU - Pr'!D419="", "", 'AYIRA MINI MART FINAL MENU - Pr'!D419)</f>
        <v>اختر HALABI Salted Almonds 90g،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19" s="56" t="str">
        <f>IF('AYIRA MINI MART FINAL MENU - Pr'!E419="", "", 'AYIRA MINI MART FINAL MENU - Pr'!E419)</f>
        <v/>
      </c>
      <c r="F419" s="56" t="str">
        <f>IF('AYIRA MINI MART FINAL MENU - Pr'!F419="", "", 'AYIRA MINI MART FINAL MENU - Pr'!F419)</f>
        <v/>
      </c>
      <c r="G419" s="56" t="str">
        <f>IF('AYIRA MINI MART FINAL MENU - Pr'!G419="", "", 'AYIRA MINI MART FINAL MENU - Pr'!G419)</f>
        <v/>
      </c>
      <c r="H419" s="56" t="str">
        <f>IF('AYIRA MINI MART FINAL MENU - Pr'!H419="", "", 'AYIRA MINI MART FINAL MENU - Pr'!H419)</f>
        <v/>
      </c>
      <c r="I419" s="56" t="str">
        <f>IF('AYIRA MINI MART FINAL MENU - Pr'!I419="", "", 'AYIRA MINI MART FINAL MENU - Pr'!I419)</f>
        <v/>
      </c>
      <c r="J419" s="56" t="str">
        <f>IFERROR(__xludf.DUMMYFUNCTION("IF('AYIRA MINI MART FINAL MENU - Pr'!J419="""", """", GOOGLETRANSLATE('AYIRA MINI MART FINAL MENU - Pr'!J419, ""en"", ""ar""))"),"يعرض")</f>
        <v>يعرض</v>
      </c>
      <c r="K419" s="56" t="str">
        <f>IF('AYIRA MINI MART FINAL MENU - Pr'!K419="", "", 'AYIRA MINI MART FINAL MENU - Pr'!K419)</f>
        <v/>
      </c>
      <c r="L419" s="56" t="str">
        <f>IF('AYIRA MINI MART FINAL MENU - Pr'!L419="", "", 'AYIRA MINI MART FINAL MENU - Pr'!L419)</f>
        <v/>
      </c>
      <c r="M419" s="56" t="str">
        <f>IF('AYIRA MINI MART FINAL MENU - Pr'!M419="", "", 'AYIRA MINI MART FINAL MENU - Pr'!M419)</f>
        <v/>
      </c>
      <c r="N419" s="56" t="str">
        <f>IF('AYIRA MINI MART FINAL MENU - Pr'!N419="", "", 'AYIRA MINI MART FINAL MENU - Pr'!N419)</f>
        <v/>
      </c>
      <c r="O419" s="57"/>
      <c r="P419" s="57"/>
      <c r="Q419" s="57"/>
      <c r="R419" s="57"/>
      <c r="S419" s="57"/>
      <c r="T419" s="57"/>
      <c r="U419" s="57"/>
      <c r="V419" s="57"/>
      <c r="W419" s="57"/>
      <c r="X419" s="57"/>
      <c r="Y419" s="57"/>
      <c r="Z419" s="57"/>
    </row>
    <row r="420">
      <c r="A420" s="56" t="str">
        <f>IFERROR(__xludf.DUMMYFUNCTION("IF('AYIRA MINI MART FINAL MENU - Pr'!A420="""", """", IF(LEN(TRIM(REGEXREPLACE(REGEXREPLACE('AYIRA MINI MART FINAL MENU - Pr'!A420, ""^[^\x{0600}-\x{06FF}]+"", """"), ""^[-–\s]+"", """")))&gt;0, TRIM(REGEXREPLACE(REGEXREPLACE('AYIRA MINI MART FINAL MENU - Pr"&amp;"'!A420, ""^[^\x{0600}-\x{06FF}]+"", """"), ""^[-–\s]+"", """")), GOOGLETRANSLATE('AYIRA MINI MART FINAL MENU - Pr'!A420, ""en"", ""ar"")))"),"غرام")</f>
        <v>غرام</v>
      </c>
      <c r="B420" s="56" t="str">
        <f>IFERROR(__xludf.DUMMYFUNCTION("IF('AYIRA MINI MART FINAL MENU - Pr'!B420="""", """", IF(LEN(TRIM(REGEXREPLACE(REGEXREPLACE('AYIRA MINI MART FINAL MENU - Pr'!B420, ""^[^\x{0600}-\x{06FF}]+"", """"), ""^[-–\s]+"", """")))&gt;0, TRIM(REGEXREPLACE(REGEXREPLACE('AYIRA MINI MART FINAL MENU - Pr"&amp;"'!B420, ""^[^\x{0600}-\x{06FF}]+"", """"), ""^[-–\s]+"", """")), GOOGLETRANSLATE('AYIRA MINI MART FINAL MENU - Pr'!B420, ""en"", ""ar"")))"),"المكسرات والبذور")</f>
        <v>المكسرات والبذور</v>
      </c>
      <c r="C420" s="58">
        <f>IF('AYIRA MINI MART FINAL MENU - Pr'!C420="", "", 'AYIRA MINI MART FINAL MENU - Pr'!C420)</f>
        <v>12.5</v>
      </c>
      <c r="D420" s="58" t="str">
        <f>IF('AYIRA MINI MART FINAL MENU - Pr'!D420="", "", 'AYIRA MINI MART FINAL MENU - Pr'!D420)</f>
        <v>اختر HALABI Coated Peanuts Kri Kri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20" s="56" t="str">
        <f>IF('AYIRA MINI MART FINAL MENU - Pr'!E420="", "", 'AYIRA MINI MART FINAL MENU - Pr'!E420)</f>
        <v/>
      </c>
      <c r="F420" s="56" t="str">
        <f>IF('AYIRA MINI MART FINAL MENU - Pr'!F420="", "", 'AYIRA MINI MART FINAL MENU - Pr'!F420)</f>
        <v/>
      </c>
      <c r="G420" s="56" t="str">
        <f>IF('AYIRA MINI MART FINAL MENU - Pr'!G420="", "", 'AYIRA MINI MART FINAL MENU - Pr'!G420)</f>
        <v/>
      </c>
      <c r="H420" s="56" t="str">
        <f>IF('AYIRA MINI MART FINAL MENU - Pr'!H420="", "", 'AYIRA MINI MART FINAL MENU - Pr'!H420)</f>
        <v/>
      </c>
      <c r="I420" s="56" t="str">
        <f>IF('AYIRA MINI MART FINAL MENU - Pr'!I420="", "", 'AYIRA MINI MART FINAL MENU - Pr'!I420)</f>
        <v/>
      </c>
      <c r="J420" s="56" t="str">
        <f>IFERROR(__xludf.DUMMYFUNCTION("IF('AYIRA MINI MART FINAL MENU - Pr'!J420="""", """", GOOGLETRANSLATE('AYIRA MINI MART FINAL MENU - Pr'!J420, ""en"", ""ar""))"),"يعرض")</f>
        <v>يعرض</v>
      </c>
      <c r="K420" s="56" t="str">
        <f>IF('AYIRA MINI MART FINAL MENU - Pr'!K420="", "", 'AYIRA MINI MART FINAL MENU - Pr'!K420)</f>
        <v/>
      </c>
      <c r="L420" s="56" t="str">
        <f>IF('AYIRA MINI MART FINAL MENU - Pr'!L420="", "", 'AYIRA MINI MART FINAL MENU - Pr'!L420)</f>
        <v/>
      </c>
      <c r="M420" s="56" t="str">
        <f>IF('AYIRA MINI MART FINAL MENU - Pr'!M420="", "", 'AYIRA MINI MART FINAL MENU - Pr'!M420)</f>
        <v/>
      </c>
      <c r="N420" s="56" t="str">
        <f>IF('AYIRA MINI MART FINAL MENU - Pr'!N420="", "", 'AYIRA MINI MART FINAL MENU - Pr'!N420)</f>
        <v/>
      </c>
      <c r="O420" s="57"/>
      <c r="P420" s="57"/>
      <c r="Q420" s="57"/>
      <c r="R420" s="57"/>
      <c r="S420" s="57"/>
      <c r="T420" s="57"/>
      <c r="U420" s="57"/>
      <c r="V420" s="57"/>
      <c r="W420" s="57"/>
      <c r="X420" s="57"/>
      <c r="Y420" s="57"/>
      <c r="Z420" s="57"/>
    </row>
    <row r="421">
      <c r="A421" s="56" t="str">
        <f>IFERROR(__xludf.DUMMYFUNCTION("IF('AYIRA MINI MART FINAL MENU - Pr'!A421="""", """", IF(LEN(TRIM(REGEXREPLACE(REGEXREPLACE('AYIRA MINI MART FINAL MENU - Pr'!A421, ""^[^\x{0600}-\x{06FF}]+"", """"), ""^[-–\s]+"", """")))&gt;0, TRIM(REGEXREPLACE(REGEXREPLACE('AYIRA MINI MART FINAL MENU - Pr"&amp;"'!A421, ""^[^\x{0600}-\x{06FF}]+"", """"), ""^[-–\s]+"", """")), GOOGLETRANSLATE('AYIRA MINI MART FINAL MENU - Pr'!A421, ""en"", ""ar"")))"),"غرام")</f>
        <v>غرام</v>
      </c>
      <c r="B421" s="56" t="str">
        <f>IFERROR(__xludf.DUMMYFUNCTION("IF('AYIRA MINI MART FINAL MENU - Pr'!B421="""", """", IF(LEN(TRIM(REGEXREPLACE(REGEXREPLACE('AYIRA MINI MART FINAL MENU - Pr'!B421, ""^[^\x{0600}-\x{06FF}]+"", """"), ""^[-–\s]+"", """")))&gt;0, TRIM(REGEXREPLACE(REGEXREPLACE('AYIRA MINI MART FINAL MENU - Pr"&amp;"'!B421, ""^[^\x{0600}-\x{06FF}]+"", """"), ""^[-–\s]+"", """")), GOOGLETRANSLATE('AYIRA MINI MART FINAL MENU - Pr'!B421, ""en"", ""ar"")))"),"المكسرات والبذور")</f>
        <v>المكسرات والبذور</v>
      </c>
      <c r="C421" s="58">
        <f>IF('AYIRA MINI MART FINAL MENU - Pr'!C421="", "", 'AYIRA MINI MART FINAL MENU - Pr'!C421)</f>
        <v>44</v>
      </c>
      <c r="D421" s="58" t="str">
        <f>IF('AYIRA MINI MART FINAL MENU - Pr'!D421="", "", 'AYIRA MINI MART FINAL MENU - Pr'!D421)</f>
        <v>اختر HALABI Pistachios 250g،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421" s="56" t="str">
        <f>IF('AYIRA MINI MART FINAL MENU - Pr'!E421="", "", 'AYIRA MINI MART FINAL MENU - Pr'!E421)</f>
        <v/>
      </c>
      <c r="F421" s="56" t="str">
        <f>IF('AYIRA MINI MART FINAL MENU - Pr'!F421="", "", 'AYIRA MINI MART FINAL MENU - Pr'!F421)</f>
        <v/>
      </c>
      <c r="G421" s="56" t="str">
        <f>IF('AYIRA MINI MART FINAL MENU - Pr'!G421="", "", 'AYIRA MINI MART FINAL MENU - Pr'!G421)</f>
        <v/>
      </c>
      <c r="H421" s="56" t="str">
        <f>IF('AYIRA MINI MART FINAL MENU - Pr'!H421="", "", 'AYIRA MINI MART FINAL MENU - Pr'!H421)</f>
        <v/>
      </c>
      <c r="I421" s="56" t="str">
        <f>IF('AYIRA MINI MART FINAL MENU - Pr'!I421="", "", 'AYIRA MINI MART FINAL MENU - Pr'!I421)</f>
        <v/>
      </c>
      <c r="J421" s="56" t="str">
        <f>IFERROR(__xludf.DUMMYFUNCTION("IF('AYIRA MINI MART FINAL MENU - Pr'!J421="""", """", GOOGLETRANSLATE('AYIRA MINI MART FINAL MENU - Pr'!J421, ""en"", ""ar""))"),"يعرض")</f>
        <v>يعرض</v>
      </c>
      <c r="K421" s="56" t="str">
        <f>IF('AYIRA MINI MART FINAL MENU - Pr'!K421="", "", 'AYIRA MINI MART FINAL MENU - Pr'!K421)</f>
        <v/>
      </c>
      <c r="L421" s="56" t="str">
        <f>IF('AYIRA MINI MART FINAL MENU - Pr'!L421="", "", 'AYIRA MINI MART FINAL MENU - Pr'!L421)</f>
        <v/>
      </c>
      <c r="M421" s="56" t="str">
        <f>IF('AYIRA MINI MART FINAL MENU - Pr'!M421="", "", 'AYIRA MINI MART FINAL MENU - Pr'!M421)</f>
        <v/>
      </c>
      <c r="N421" s="56" t="str">
        <f>IF('AYIRA MINI MART FINAL MENU - Pr'!N421="", "", 'AYIRA MINI MART FINAL MENU - Pr'!N421)</f>
        <v/>
      </c>
      <c r="O421" s="57"/>
      <c r="P421" s="57"/>
      <c r="Q421" s="57"/>
      <c r="R421" s="57"/>
      <c r="S421" s="57"/>
      <c r="T421" s="57"/>
      <c r="U421" s="57"/>
      <c r="V421" s="57"/>
      <c r="W421" s="57"/>
      <c r="X421" s="57"/>
      <c r="Y421" s="57"/>
      <c r="Z421" s="57"/>
    </row>
    <row r="422">
      <c r="A422" s="56" t="str">
        <f>IFERROR(__xludf.DUMMYFUNCTION("IF('AYIRA MINI MART FINAL MENU - Pr'!A422="""", """", IF(LEN(TRIM(REGEXREPLACE(REGEXREPLACE('AYIRA MINI MART FINAL MENU - Pr'!A422, ""^[^\x{0600}-\x{06FF}]+"", """"), ""^[-–\s]+"", """")))&gt;0, TRIM(REGEXREPLACE(REGEXREPLACE('AYIRA MINI MART FINAL MENU - Pr"&amp;"'!A422, ""^[^\x{0600}-\x{06FF}]+"", """"), ""^[-–\s]+"", """")), GOOGLETRANSLATE('AYIRA MINI MART FINAL MENU - Pr'!A422, ""en"", ""ar"")))"),"دوريتوس Nacho جبنة 175 غرام")</f>
        <v>دوريتوس Nacho جبنة 175 غرام</v>
      </c>
      <c r="B422" s="56" t="str">
        <f>IFERROR(__xludf.DUMMYFUNCTION("IF('AYIRA MINI MART FINAL MENU - Pr'!B422="""", """", IF(LEN(TRIM(REGEXREPLACE(REGEXREPLACE('AYIRA MINI MART FINAL MENU - Pr'!B422, ""^[^\x{0600}-\x{06FF}]+"", """"), ""^[-–\s]+"", """")))&gt;0, TRIM(REGEXREPLACE(REGEXREPLACE('AYIRA MINI MART FINAL MENU - Pr"&amp;"'!B422, ""^[^\x{0600}-\x{06FF}]+"", """"), ""^[-–\s]+"", """")), GOOGLETRANSLATE('AYIRA MINI MART FINAL MENU - Pr'!B422, ""en"", ""ar"")))"),"الشيبس والمقرمشات")</f>
        <v>الشيبس والمقرمشات</v>
      </c>
      <c r="C422" s="58">
        <f>IF('AYIRA MINI MART FINAL MENU - Pr'!C422="", "", 'AYIRA MINI MART FINAL MENU - Pr'!C422)</f>
        <v>12</v>
      </c>
      <c r="D422" s="58" t="str">
        <f>IF('AYIRA MINI MART FINAL MENU - Pr'!D422="", "", 'AYIRA MINI MART FINAL MENU - Pr'!D422)</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22" s="56" t="str">
        <f>IF('AYIRA MINI MART FINAL MENU - Pr'!E422="", "", 'AYIRA MINI MART FINAL MENU - Pr'!E422)</f>
        <v/>
      </c>
      <c r="F422" s="56" t="str">
        <f>IF('AYIRA MINI MART FINAL MENU - Pr'!F422="", "", 'AYIRA MINI MART FINAL MENU - Pr'!F422)</f>
        <v/>
      </c>
      <c r="G422" s="56" t="str">
        <f>IF('AYIRA MINI MART FINAL MENU - Pr'!G422="", "", 'AYIRA MINI MART FINAL MENU - Pr'!G422)</f>
        <v/>
      </c>
      <c r="H422" s="56" t="str">
        <f>IF('AYIRA MINI MART FINAL MENU - Pr'!H422="", "", 'AYIRA MINI MART FINAL MENU - Pr'!H422)</f>
        <v/>
      </c>
      <c r="I422" s="56" t="str">
        <f>IF('AYIRA MINI MART FINAL MENU - Pr'!I422="", "", 'AYIRA MINI MART FINAL MENU - Pr'!I422)</f>
        <v/>
      </c>
      <c r="J422" s="56" t="str">
        <f>IFERROR(__xludf.DUMMYFUNCTION("IF('AYIRA MINI MART FINAL MENU - Pr'!J422="""", """", GOOGLETRANSLATE('AYIRA MINI MART FINAL MENU - Pr'!J422, ""en"", ""ar""))"),"يعرض")</f>
        <v>يعرض</v>
      </c>
      <c r="K422" s="56" t="str">
        <f>IF('AYIRA MINI MART FINAL MENU - Pr'!K422="", "", 'AYIRA MINI MART FINAL MENU - Pr'!K422)</f>
        <v/>
      </c>
      <c r="L422" s="56" t="str">
        <f>IF('AYIRA MINI MART FINAL MENU - Pr'!L422="", "", 'AYIRA MINI MART FINAL MENU - Pr'!L422)</f>
        <v/>
      </c>
      <c r="M422" s="56" t="str">
        <f>IF('AYIRA MINI MART FINAL MENU - Pr'!M422="", "", 'AYIRA MINI MART FINAL MENU - Pr'!M422)</f>
        <v/>
      </c>
      <c r="N422" s="56" t="str">
        <f>IF('AYIRA MINI MART FINAL MENU - Pr'!N422="", "", 'AYIRA MINI MART FINAL MENU - Pr'!N422)</f>
        <v/>
      </c>
      <c r="O422" s="57"/>
      <c r="P422" s="57"/>
      <c r="Q422" s="57"/>
      <c r="R422" s="57"/>
      <c r="S422" s="57"/>
      <c r="T422" s="57"/>
      <c r="U422" s="57"/>
      <c r="V422" s="57"/>
      <c r="W422" s="57"/>
      <c r="X422" s="57"/>
      <c r="Y422" s="57"/>
      <c r="Z422" s="57"/>
    </row>
    <row r="423">
      <c r="A423" s="56" t="str">
        <f>IFERROR(__xludf.DUMMYFUNCTION("IF('AYIRA MINI MART FINAL MENU - Pr'!A423="""", """", IF(LEN(TRIM(REGEXREPLACE(REGEXREPLACE('AYIRA MINI MART FINAL MENU - Pr'!A423, ""^[^\x{0600}-\x{06FF}]+"", """"), ""^[-–\s]+"", """")))&gt;0, TRIM(REGEXREPLACE(REGEXREPLACE('AYIRA MINI MART FINAL MENU - Pr"&amp;"'!A423, ""^[^\x{0600}-\x{06FF}]+"", """"), ""^[-–\s]+"", """")), GOOGLETRANSLATE('AYIRA MINI MART FINAL MENU - Pr'!A423, ""en"", ""ar"")))"),"دوريتوس Sweet Chili Pepper 175 غرام")</f>
        <v>دوريتوس Sweet Chili Pepper 175 غرام</v>
      </c>
      <c r="B423" s="56" t="str">
        <f>IFERROR(__xludf.DUMMYFUNCTION("IF('AYIRA MINI MART FINAL MENU - Pr'!B423="""", """", IF(LEN(TRIM(REGEXREPLACE(REGEXREPLACE('AYIRA MINI MART FINAL MENU - Pr'!B423, ""^[^\x{0600}-\x{06FF}]+"", """"), ""^[-–\s]+"", """")))&gt;0, TRIM(REGEXREPLACE(REGEXREPLACE('AYIRA MINI MART FINAL MENU - Pr"&amp;"'!B423, ""^[^\x{0600}-\x{06FF}]+"", """"), ""^[-–\s]+"", """")), GOOGLETRANSLATE('AYIRA MINI MART FINAL MENU - Pr'!B423, ""en"", ""ar"")))"),"الشيبس والمقرمشات")</f>
        <v>الشيبس والمقرمشات</v>
      </c>
      <c r="C423" s="58">
        <f>IF('AYIRA MINI MART FINAL MENU - Pr'!C423="", "", 'AYIRA MINI MART FINAL MENU - Pr'!C423)</f>
        <v>12</v>
      </c>
      <c r="D423" s="58" t="str">
        <f>IF('AYIRA MINI MART FINAL MENU - Pr'!D423="", "", 'AYIRA MINI MART FINAL MENU - Pr'!D423)</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23" s="56" t="str">
        <f>IF('AYIRA MINI MART FINAL MENU - Pr'!E423="", "", 'AYIRA MINI MART FINAL MENU - Pr'!E423)</f>
        <v/>
      </c>
      <c r="F423" s="56" t="str">
        <f>IF('AYIRA MINI MART FINAL MENU - Pr'!F423="", "", 'AYIRA MINI MART FINAL MENU - Pr'!F423)</f>
        <v/>
      </c>
      <c r="G423" s="56" t="str">
        <f>IF('AYIRA MINI MART FINAL MENU - Pr'!G423="", "", 'AYIRA MINI MART FINAL MENU - Pr'!G423)</f>
        <v/>
      </c>
      <c r="H423" s="56" t="str">
        <f>IF('AYIRA MINI MART FINAL MENU - Pr'!H423="", "", 'AYIRA MINI MART FINAL MENU - Pr'!H423)</f>
        <v/>
      </c>
      <c r="I423" s="56" t="str">
        <f>IF('AYIRA MINI MART FINAL MENU - Pr'!I423="", "", 'AYIRA MINI MART FINAL MENU - Pr'!I423)</f>
        <v/>
      </c>
      <c r="J423" s="56" t="str">
        <f>IFERROR(__xludf.DUMMYFUNCTION("IF('AYIRA MINI MART FINAL MENU - Pr'!J423="""", """", GOOGLETRANSLATE('AYIRA MINI MART FINAL MENU - Pr'!J423, ""en"", ""ar""))"),"يعرض")</f>
        <v>يعرض</v>
      </c>
      <c r="K423" s="56" t="str">
        <f>IF('AYIRA MINI MART FINAL MENU - Pr'!K423="", "", 'AYIRA MINI MART FINAL MENU - Pr'!K423)</f>
        <v/>
      </c>
      <c r="L423" s="56" t="str">
        <f>IF('AYIRA MINI MART FINAL MENU - Pr'!L423="", "", 'AYIRA MINI MART FINAL MENU - Pr'!L423)</f>
        <v/>
      </c>
      <c r="M423" s="56" t="str">
        <f>IF('AYIRA MINI MART FINAL MENU - Pr'!M423="", "", 'AYIRA MINI MART FINAL MENU - Pr'!M423)</f>
        <v/>
      </c>
      <c r="N423" s="56" t="str">
        <f>IF('AYIRA MINI MART FINAL MENU - Pr'!N423="", "", 'AYIRA MINI MART FINAL MENU - Pr'!N423)</f>
        <v/>
      </c>
      <c r="O423" s="57"/>
      <c r="P423" s="57"/>
      <c r="Q423" s="57"/>
      <c r="R423" s="57"/>
      <c r="S423" s="57"/>
      <c r="T423" s="57"/>
      <c r="U423" s="57"/>
      <c r="V423" s="57"/>
      <c r="W423" s="57"/>
      <c r="X423" s="57"/>
      <c r="Y423" s="57"/>
      <c r="Z423" s="57"/>
    </row>
    <row r="424">
      <c r="A424" s="56" t="str">
        <f>IFERROR(__xludf.DUMMYFUNCTION("IF('AYIRA MINI MART FINAL MENU - Pr'!A424="""", """", IF(LEN(TRIM(REGEXREPLACE(REGEXREPLACE('AYIRA MINI MART FINAL MENU - Pr'!A424, ""^[^\x{0600}-\x{06FF}]+"", """"), ""^[-–\s]+"", """")))&gt;0, TRIM(REGEXREPLACE(REGEXREPLACE('AYIRA MINI MART FINAL MENU - Pr"&amp;"'!A424, ""^[^\x{0600}-\x{06FF}]+"", """"), ""^[-–\s]+"", """")), GOOGLETRANSLATE('AYIRA MINI MART FINAL MENU - Pr'!A424, ""en"", ""ar"")))"),"تشيتوس Crunchy جبنة 190 غرام")</f>
        <v>تشيتوس Crunchy جبنة 190 غرام</v>
      </c>
      <c r="B424" s="56" t="str">
        <f>IFERROR(__xludf.DUMMYFUNCTION("IF('AYIRA MINI MART FINAL MENU - Pr'!B424="""", """", IF(LEN(TRIM(REGEXREPLACE(REGEXREPLACE('AYIRA MINI MART FINAL MENU - Pr'!B424, ""^[^\x{0600}-\x{06FF}]+"", """"), ""^[-–\s]+"", """")))&gt;0, TRIM(REGEXREPLACE(REGEXREPLACE('AYIRA MINI MART FINAL MENU - Pr"&amp;"'!B424, ""^[^\x{0600}-\x{06FF}]+"", """"), ""^[-–\s]+"", """")), GOOGLETRANSLATE('AYIRA MINI MART FINAL MENU - Pr'!B424, ""en"", ""ar"")))"),"الشيبس والمقرمشات")</f>
        <v>الشيبس والمقرمشات</v>
      </c>
      <c r="C424" s="58">
        <f>IF('AYIRA MINI MART FINAL MENU - Pr'!C424="", "", 'AYIRA MINI MART FINAL MENU - Pr'!C424)</f>
        <v>18</v>
      </c>
      <c r="D424" s="58" t="str">
        <f>IF('AYIRA MINI MART FINAL MENU - Pr'!D424="", "", 'AYIRA MINI MART FINAL MENU - Pr'!D424)</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24" s="56" t="str">
        <f>IF('AYIRA MINI MART FINAL MENU - Pr'!E424="", "", 'AYIRA MINI MART FINAL MENU - Pr'!E424)</f>
        <v/>
      </c>
      <c r="F424" s="56" t="str">
        <f>IF('AYIRA MINI MART FINAL MENU - Pr'!F424="", "", 'AYIRA MINI MART FINAL MENU - Pr'!F424)</f>
        <v/>
      </c>
      <c r="G424" s="56" t="str">
        <f>IF('AYIRA MINI MART FINAL MENU - Pr'!G424="", "", 'AYIRA MINI MART FINAL MENU - Pr'!G424)</f>
        <v/>
      </c>
      <c r="H424" s="56" t="str">
        <f>IF('AYIRA MINI MART FINAL MENU - Pr'!H424="", "", 'AYIRA MINI MART FINAL MENU - Pr'!H424)</f>
        <v/>
      </c>
      <c r="I424" s="56" t="str">
        <f>IF('AYIRA MINI MART FINAL MENU - Pr'!I424="", "", 'AYIRA MINI MART FINAL MENU - Pr'!I424)</f>
        <v/>
      </c>
      <c r="J424" s="56" t="str">
        <f>IFERROR(__xludf.DUMMYFUNCTION("IF('AYIRA MINI MART FINAL MENU - Pr'!J424="""", """", GOOGLETRANSLATE('AYIRA MINI MART FINAL MENU - Pr'!J424, ""en"", ""ar""))"),"يعرض")</f>
        <v>يعرض</v>
      </c>
      <c r="K424" s="56" t="str">
        <f>IF('AYIRA MINI MART FINAL MENU - Pr'!K424="", "", 'AYIRA MINI MART FINAL MENU - Pr'!K424)</f>
        <v/>
      </c>
      <c r="L424" s="56" t="str">
        <f>IF('AYIRA MINI MART FINAL MENU - Pr'!L424="", "", 'AYIRA MINI MART FINAL MENU - Pr'!L424)</f>
        <v/>
      </c>
      <c r="M424" s="56" t="str">
        <f>IF('AYIRA MINI MART FINAL MENU - Pr'!M424="", "", 'AYIRA MINI MART FINAL MENU - Pr'!M424)</f>
        <v/>
      </c>
      <c r="N424" s="56" t="str">
        <f>IF('AYIRA MINI MART FINAL MENU - Pr'!N424="", "", 'AYIRA MINI MART FINAL MENU - Pr'!N424)</f>
        <v/>
      </c>
      <c r="O424" s="57"/>
      <c r="P424" s="57"/>
      <c r="Q424" s="57"/>
      <c r="R424" s="57"/>
      <c r="S424" s="57"/>
      <c r="T424" s="57"/>
      <c r="U424" s="57"/>
      <c r="V424" s="57"/>
      <c r="W424" s="57"/>
      <c r="X424" s="57"/>
      <c r="Y424" s="57"/>
      <c r="Z424" s="57"/>
    </row>
    <row r="425">
      <c r="A425" s="56" t="str">
        <f>IFERROR(__xludf.DUMMYFUNCTION("IF('AYIRA MINI MART FINAL MENU - Pr'!A425="""", """", IF(LEN(TRIM(REGEXREPLACE(REGEXREPLACE('AYIRA MINI MART FINAL MENU - Pr'!A425, ""^[^\x{0600}-\x{06FF}]+"", """"), ""^[-–\s]+"", """")))&gt;0, TRIM(REGEXREPLACE(REGEXREPLACE('AYIRA MINI MART FINAL MENU - Pr"&amp;"'!A425, ""^[^\x{0600}-\x{06FF}]+"", """"), ""^[-–\s]+"", """")), GOOGLETRANSLATE('AYIRA MINI MART FINAL MENU - Pr'!A425, ""en"", ""ar"")))"),"غرام")</f>
        <v>غرام</v>
      </c>
      <c r="B425" s="56" t="str">
        <f>IFERROR(__xludf.DUMMYFUNCTION("IF('AYIRA MINI MART FINAL MENU - Pr'!B425="""", """", IF(LEN(TRIM(REGEXREPLACE(REGEXREPLACE('AYIRA MINI MART FINAL MENU - Pr'!B425, ""^[^\x{0600}-\x{06FF}]+"", """"), ""^[-–\s]+"", """")))&gt;0, TRIM(REGEXREPLACE(REGEXREPLACE('AYIRA MINI MART FINAL MENU - Pr"&amp;"'!B425, ""^[^\x{0600}-\x{06FF}]+"", """"), ""^[-–\s]+"", """")), GOOGLETRANSLATE('AYIRA MINI MART FINAL MENU - Pr'!B425, ""en"", ""ar"")))"),"الشيبس والمقرمشات")</f>
        <v>الشيبس والمقرمشات</v>
      </c>
      <c r="C425" s="58">
        <f>IF('AYIRA MINI MART FINAL MENU - Pr'!C425="", "", 'AYIRA MINI MART FINAL MENU - Pr'!C425)</f>
        <v>6.5</v>
      </c>
      <c r="D425" s="58" t="str">
        <f>IF('AYIRA MINI MART FINAL MENU - Pr'!D425="", "", 'AYIRA MINI MART FINAL MENU - Pr'!D425)</f>
        <v>لا تقاوم طعم Balaji Wafers Crunchem Chaat Chaska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25" s="56" t="str">
        <f>IF('AYIRA MINI MART FINAL MENU - Pr'!E425="", "", 'AYIRA MINI MART FINAL MENU - Pr'!E425)</f>
        <v/>
      </c>
      <c r="F425" s="56" t="str">
        <f>IF('AYIRA MINI MART FINAL MENU - Pr'!F425="", "", 'AYIRA MINI MART FINAL MENU - Pr'!F425)</f>
        <v/>
      </c>
      <c r="G425" s="56" t="str">
        <f>IF('AYIRA MINI MART FINAL MENU - Pr'!G425="", "", 'AYIRA MINI MART FINAL MENU - Pr'!G425)</f>
        <v/>
      </c>
      <c r="H425" s="56" t="str">
        <f>IF('AYIRA MINI MART FINAL MENU - Pr'!H425="", "", 'AYIRA MINI MART FINAL MENU - Pr'!H425)</f>
        <v/>
      </c>
      <c r="I425" s="56" t="str">
        <f>IF('AYIRA MINI MART FINAL MENU - Pr'!I425="", "", 'AYIRA MINI MART FINAL MENU - Pr'!I425)</f>
        <v/>
      </c>
      <c r="J425" s="56" t="str">
        <f>IFERROR(__xludf.DUMMYFUNCTION("IF('AYIRA MINI MART FINAL MENU - Pr'!J425="""", """", GOOGLETRANSLATE('AYIRA MINI MART FINAL MENU - Pr'!J425, ""en"", ""ar""))"),"يعرض")</f>
        <v>يعرض</v>
      </c>
      <c r="K425" s="56" t="str">
        <f>IF('AYIRA MINI MART FINAL MENU - Pr'!K425="", "", 'AYIRA MINI MART FINAL MENU - Pr'!K425)</f>
        <v/>
      </c>
      <c r="L425" s="56" t="str">
        <f>IF('AYIRA MINI MART FINAL MENU - Pr'!L425="", "", 'AYIRA MINI MART FINAL MENU - Pr'!L425)</f>
        <v/>
      </c>
      <c r="M425" s="56" t="str">
        <f>IF('AYIRA MINI MART FINAL MENU - Pr'!M425="", "", 'AYIRA MINI MART FINAL MENU - Pr'!M425)</f>
        <v/>
      </c>
      <c r="N425" s="56" t="str">
        <f>IF('AYIRA MINI MART FINAL MENU - Pr'!N425="", "", 'AYIRA MINI MART FINAL MENU - Pr'!N425)</f>
        <v/>
      </c>
      <c r="O425" s="57"/>
      <c r="P425" s="57"/>
      <c r="Q425" s="57"/>
      <c r="R425" s="57"/>
      <c r="S425" s="57"/>
      <c r="T425" s="57"/>
      <c r="U425" s="57"/>
      <c r="V425" s="57"/>
      <c r="W425" s="57"/>
      <c r="X425" s="57"/>
      <c r="Y425" s="57"/>
      <c r="Z425" s="57"/>
    </row>
    <row r="426">
      <c r="A426" s="56" t="str">
        <f>IFERROR(__xludf.DUMMYFUNCTION("IF('AYIRA MINI MART FINAL MENU - Pr'!A426="""", """", IF(LEN(TRIM(REGEXREPLACE(REGEXREPLACE('AYIRA MINI MART FINAL MENU - Pr'!A426, ""^[^\x{0600}-\x{06FF}]+"", """"), ""^[-–\s]+"", """")))&gt;0, TRIM(REGEXREPLACE(REGEXREPLACE('AYIRA MINI MART FINAL MENU - Pr"&amp;"'!A426, ""^[^\x{0600}-\x{06FF}]+"", """"), ""^[-–\s]+"", """")), GOOGLETRANSLATE('AYIRA MINI MART FINAL MENU - Pr'!A426, ""en"", ""ar"")))"),"تشيتوس Flamin’ حار Crunchy Export 226.8 غرام")</f>
        <v>تشيتوس Flamin’ حار Crunchy Export 226.8 غرام</v>
      </c>
      <c r="B426" s="56" t="str">
        <f>IFERROR(__xludf.DUMMYFUNCTION("IF('AYIRA MINI MART FINAL MENU - Pr'!B426="""", """", IF(LEN(TRIM(REGEXREPLACE(REGEXREPLACE('AYIRA MINI MART FINAL MENU - Pr'!B426, ""^[^\x{0600}-\x{06FF}]+"", """"), ""^[-–\s]+"", """")))&gt;0, TRIM(REGEXREPLACE(REGEXREPLACE('AYIRA MINI MART FINAL MENU - Pr"&amp;"'!B426, ""^[^\x{0600}-\x{06FF}]+"", """"), ""^[-–\s]+"", """")), GOOGLETRANSLATE('AYIRA MINI MART FINAL MENU - Pr'!B426, ""en"", ""ar"")))"),"الشيبس والمقرمشات")</f>
        <v>الشيبس والمقرمشات</v>
      </c>
      <c r="C426" s="58">
        <f>IF('AYIRA MINI MART FINAL MENU - Pr'!C426="", "", 'AYIRA MINI MART FINAL MENU - Pr'!C426)</f>
        <v>18</v>
      </c>
      <c r="D426" s="58" t="str">
        <f>IF('AYIRA MINI MART FINAL MENU - Pr'!D426="", "", 'AYIRA MINI MART FINAL MENU - Pr'!D426)</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26" s="56" t="str">
        <f>IF('AYIRA MINI MART FINAL MENU - Pr'!E426="", "", 'AYIRA MINI MART FINAL MENU - Pr'!E426)</f>
        <v/>
      </c>
      <c r="F426" s="56" t="str">
        <f>IF('AYIRA MINI MART FINAL MENU - Pr'!F426="", "", 'AYIRA MINI MART FINAL MENU - Pr'!F426)</f>
        <v/>
      </c>
      <c r="G426" s="56" t="str">
        <f>IF('AYIRA MINI MART FINAL MENU - Pr'!G426="", "", 'AYIRA MINI MART FINAL MENU - Pr'!G426)</f>
        <v/>
      </c>
      <c r="H426" s="56" t="str">
        <f>IF('AYIRA MINI MART FINAL MENU - Pr'!H426="", "", 'AYIRA MINI MART FINAL MENU - Pr'!H426)</f>
        <v/>
      </c>
      <c r="I426" s="56" t="str">
        <f>IF('AYIRA MINI MART FINAL MENU - Pr'!I426="", "", 'AYIRA MINI MART FINAL MENU - Pr'!I426)</f>
        <v/>
      </c>
      <c r="J426" s="56" t="str">
        <f>IFERROR(__xludf.DUMMYFUNCTION("IF('AYIRA MINI MART FINAL MENU - Pr'!J426="""", """", GOOGLETRANSLATE('AYIRA MINI MART FINAL MENU - Pr'!J426, ""en"", ""ar""))"),"يعرض")</f>
        <v>يعرض</v>
      </c>
      <c r="K426" s="56" t="str">
        <f>IF('AYIRA MINI MART FINAL MENU - Pr'!K426="", "", 'AYIRA MINI MART FINAL MENU - Pr'!K426)</f>
        <v/>
      </c>
      <c r="L426" s="56" t="str">
        <f>IF('AYIRA MINI MART FINAL MENU - Pr'!L426="", "", 'AYIRA MINI MART FINAL MENU - Pr'!L426)</f>
        <v/>
      </c>
      <c r="M426" s="56" t="str">
        <f>IF('AYIRA MINI MART FINAL MENU - Pr'!M426="", "", 'AYIRA MINI MART FINAL MENU - Pr'!M426)</f>
        <v/>
      </c>
      <c r="N426" s="56" t="str">
        <f>IF('AYIRA MINI MART FINAL MENU - Pr'!N426="", "", 'AYIRA MINI MART FINAL MENU - Pr'!N426)</f>
        <v/>
      </c>
      <c r="O426" s="57"/>
      <c r="P426" s="57"/>
      <c r="Q426" s="57"/>
      <c r="R426" s="57"/>
      <c r="S426" s="57"/>
      <c r="T426" s="57"/>
      <c r="U426" s="57"/>
      <c r="V426" s="57"/>
      <c r="W426" s="57"/>
      <c r="X426" s="57"/>
      <c r="Y426" s="57"/>
      <c r="Z426" s="57"/>
    </row>
    <row r="427">
      <c r="A427" s="56" t="str">
        <f>IFERROR(__xludf.DUMMYFUNCTION("IF('AYIRA MINI MART FINAL MENU - Pr'!A427="""", """", IF(LEN(TRIM(REGEXREPLACE(REGEXREPLACE('AYIRA MINI MART FINAL MENU - Pr'!A427, ""^[^\x{0600}-\x{06FF}]+"", """"), ""^[-–\s]+"", """")))&gt;0, TRIM(REGEXREPLACE(REGEXREPLACE('AYIRA MINI MART FINAL MENU - Pr"&amp;"'!A427, ""^[^\x{0600}-\x{06FF}]+"", """"), ""^[-–\s]+"", """")), GOOGLETRANSLATE('AYIRA MINI MART FINAL MENU - Pr'!A427, ""en"", ""ar"")))"),"دوريتوس Sweet Chili Pepper 105 غرام")</f>
        <v>دوريتوس Sweet Chili Pepper 105 غرام</v>
      </c>
      <c r="B427" s="56" t="str">
        <f>IFERROR(__xludf.DUMMYFUNCTION("IF('AYIRA MINI MART FINAL MENU - Pr'!B427="""", """", IF(LEN(TRIM(REGEXREPLACE(REGEXREPLACE('AYIRA MINI MART FINAL MENU - Pr'!B427, ""^[^\x{0600}-\x{06FF}]+"", """"), ""^[-–\s]+"", """")))&gt;0, TRIM(REGEXREPLACE(REGEXREPLACE('AYIRA MINI MART FINAL MENU - Pr"&amp;"'!B427, ""^[^\x{0600}-\x{06FF}]+"", """"), ""^[-–\s]+"", """")), GOOGLETRANSLATE('AYIRA MINI MART FINAL MENU - Pr'!B427, ""en"", ""ar"")))"),"الشيبس والمقرمشات")</f>
        <v>الشيبس والمقرمشات</v>
      </c>
      <c r="C427" s="58">
        <f>IF('AYIRA MINI MART FINAL MENU - Pr'!C427="", "", 'AYIRA MINI MART FINAL MENU - Pr'!C427)</f>
        <v>12</v>
      </c>
      <c r="D427" s="58" t="str">
        <f>IF('AYIRA MINI MART FINAL MENU - Pr'!D427="", "", 'AYIRA MINI MART FINAL MENU - Pr'!D427)</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27" s="56" t="str">
        <f>IF('AYIRA MINI MART FINAL MENU - Pr'!E427="", "", 'AYIRA MINI MART FINAL MENU - Pr'!E427)</f>
        <v/>
      </c>
      <c r="F427" s="56" t="str">
        <f>IF('AYIRA MINI MART FINAL MENU - Pr'!F427="", "", 'AYIRA MINI MART FINAL MENU - Pr'!F427)</f>
        <v/>
      </c>
      <c r="G427" s="56" t="str">
        <f>IF('AYIRA MINI MART FINAL MENU - Pr'!G427="", "", 'AYIRA MINI MART FINAL MENU - Pr'!G427)</f>
        <v/>
      </c>
      <c r="H427" s="56" t="str">
        <f>IF('AYIRA MINI MART FINAL MENU - Pr'!H427="", "", 'AYIRA MINI MART FINAL MENU - Pr'!H427)</f>
        <v/>
      </c>
      <c r="I427" s="56" t="str">
        <f>IF('AYIRA MINI MART FINAL MENU - Pr'!I427="", "", 'AYIRA MINI MART FINAL MENU - Pr'!I427)</f>
        <v/>
      </c>
      <c r="J427" s="56" t="str">
        <f>IFERROR(__xludf.DUMMYFUNCTION("IF('AYIRA MINI MART FINAL MENU - Pr'!J427="""", """", GOOGLETRANSLATE('AYIRA MINI MART FINAL MENU - Pr'!J427, ""en"", ""ar""))"),"إنتهى من المخزن")</f>
        <v>إنتهى من المخزن</v>
      </c>
      <c r="K427" s="56" t="str">
        <f>IF('AYIRA MINI MART FINAL MENU - Pr'!K427="", "", 'AYIRA MINI MART FINAL MENU - Pr'!K427)</f>
        <v/>
      </c>
      <c r="L427" s="56" t="str">
        <f>IF('AYIRA MINI MART FINAL MENU - Pr'!L427="", "", 'AYIRA MINI MART FINAL MENU - Pr'!L427)</f>
        <v/>
      </c>
      <c r="M427" s="56" t="str">
        <f>IF('AYIRA MINI MART FINAL MENU - Pr'!M427="", "", 'AYIRA MINI MART FINAL MENU - Pr'!M427)</f>
        <v/>
      </c>
      <c r="N427" s="56" t="str">
        <f>IF('AYIRA MINI MART FINAL MENU - Pr'!N427="", "", 'AYIRA MINI MART FINAL MENU - Pr'!N427)</f>
        <v/>
      </c>
      <c r="O427" s="57"/>
      <c r="P427" s="57"/>
      <c r="Q427" s="57"/>
      <c r="R427" s="57"/>
      <c r="S427" s="57"/>
      <c r="T427" s="57"/>
      <c r="U427" s="57"/>
      <c r="V427" s="57"/>
      <c r="W427" s="57"/>
      <c r="X427" s="57"/>
      <c r="Y427" s="57"/>
      <c r="Z427" s="57"/>
    </row>
    <row r="428">
      <c r="A428" s="56" t="str">
        <f>IFERROR(__xludf.DUMMYFUNCTION("IF('AYIRA MINI MART FINAL MENU - Pr'!A428="""", """", IF(LEN(TRIM(REGEXREPLACE(REGEXREPLACE('AYIRA MINI MART FINAL MENU - Pr'!A428, ""^[^\x{0600}-\x{06FF}]+"", """"), ""^[-–\s]+"", """")))&gt;0, TRIM(REGEXREPLACE(REGEXREPLACE('AYIRA MINI MART FINAL MENU - Pr"&amp;"'!A428, ""^[^\x{0600}-\x{06FF}]+"", """"), ""^[-–\s]+"", """")), GOOGLETRANSLATE('AYIRA MINI MART FINAL MENU - Pr'!A428, ""en"", ""ar"")))"),"ليز Tomato كاتشاب 155 غرام")</f>
        <v>ليز Tomato كاتشاب 155 غرام</v>
      </c>
      <c r="B428" s="56" t="str">
        <f>IFERROR(__xludf.DUMMYFUNCTION("IF('AYIRA MINI MART FINAL MENU - Pr'!B428="""", """", IF(LEN(TRIM(REGEXREPLACE(REGEXREPLACE('AYIRA MINI MART FINAL MENU - Pr'!B428, ""^[^\x{0600}-\x{06FF}]+"", """"), ""^[-–\s]+"", """")))&gt;0, TRIM(REGEXREPLACE(REGEXREPLACE('AYIRA MINI MART FINAL MENU - Pr"&amp;"'!B428, ""^[^\x{0600}-\x{06FF}]+"", """"), ""^[-–\s]+"", """")), GOOGLETRANSLATE('AYIRA MINI MART FINAL MENU - Pr'!B428, ""en"", ""ar"")))"),"الشيبس والمقرمشات")</f>
        <v>الشيبس والمقرمشات</v>
      </c>
      <c r="C428" s="58">
        <f>IF('AYIRA MINI MART FINAL MENU - Pr'!C428="", "", 'AYIRA MINI MART FINAL MENU - Pr'!C428)</f>
        <v>10</v>
      </c>
      <c r="D428" s="58" t="str">
        <f>IF('AYIRA MINI MART FINAL MENU - Pr'!D428="", "", 'AYIRA MINI MART FINAL MENU - Pr'!D428)</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28" s="56" t="str">
        <f>IF('AYIRA MINI MART FINAL MENU - Pr'!E428="", "", 'AYIRA MINI MART FINAL MENU - Pr'!E428)</f>
        <v/>
      </c>
      <c r="F428" s="56" t="str">
        <f>IF('AYIRA MINI MART FINAL MENU - Pr'!F428="", "", 'AYIRA MINI MART FINAL MENU - Pr'!F428)</f>
        <v/>
      </c>
      <c r="G428" s="56" t="str">
        <f>IF('AYIRA MINI MART FINAL MENU - Pr'!G428="", "", 'AYIRA MINI MART FINAL MENU - Pr'!G428)</f>
        <v/>
      </c>
      <c r="H428" s="56" t="str">
        <f>IF('AYIRA MINI MART FINAL MENU - Pr'!H428="", "", 'AYIRA MINI MART FINAL MENU - Pr'!H428)</f>
        <v/>
      </c>
      <c r="I428" s="56" t="str">
        <f>IF('AYIRA MINI MART FINAL MENU - Pr'!I428="", "", 'AYIRA MINI MART FINAL MENU - Pr'!I428)</f>
        <v/>
      </c>
      <c r="J428" s="56" t="str">
        <f>IFERROR(__xludf.DUMMYFUNCTION("IF('AYIRA MINI MART FINAL MENU - Pr'!J428="""", """", GOOGLETRANSLATE('AYIRA MINI MART FINAL MENU - Pr'!J428, ""en"", ""ar""))"),"يعرض")</f>
        <v>يعرض</v>
      </c>
      <c r="K428" s="56" t="str">
        <f>IF('AYIRA MINI MART FINAL MENU - Pr'!K428="", "", 'AYIRA MINI MART FINAL MENU - Pr'!K428)</f>
        <v/>
      </c>
      <c r="L428" s="56" t="str">
        <f>IF('AYIRA MINI MART FINAL MENU - Pr'!L428="", "", 'AYIRA MINI MART FINAL MENU - Pr'!L428)</f>
        <v/>
      </c>
      <c r="M428" s="56" t="str">
        <f>IF('AYIRA MINI MART FINAL MENU - Pr'!M428="", "", 'AYIRA MINI MART FINAL MENU - Pr'!M428)</f>
        <v/>
      </c>
      <c r="N428" s="56" t="str">
        <f>IF('AYIRA MINI MART FINAL MENU - Pr'!N428="", "", 'AYIRA MINI MART FINAL MENU - Pr'!N428)</f>
        <v/>
      </c>
      <c r="O428" s="57"/>
      <c r="P428" s="57"/>
      <c r="Q428" s="57"/>
      <c r="R428" s="57"/>
      <c r="S428" s="57"/>
      <c r="T428" s="57"/>
      <c r="U428" s="57"/>
      <c r="V428" s="57"/>
      <c r="W428" s="57"/>
      <c r="X428" s="57"/>
      <c r="Y428" s="57"/>
      <c r="Z428" s="57"/>
    </row>
    <row r="429">
      <c r="A429" s="56" t="str">
        <f>IFERROR(__xludf.DUMMYFUNCTION("IF('AYIRA MINI MART FINAL MENU - Pr'!A429="""", """", IF(LEN(TRIM(REGEXREPLACE(REGEXREPLACE('AYIRA MINI MART FINAL MENU - Pr'!A429, ""^[^\x{0600}-\x{06FF}]+"", """"), ""^[-–\s]+"", """")))&gt;0, TRIM(REGEXREPLACE(REGEXREPLACE('AYIRA MINI MART FINAL MENU - Pr"&amp;"'!A429, ""^[^\x{0600}-\x{06FF}]+"", """"), ""^[-–\s]+"", """")), GOOGLETRANSLATE('AYIRA MINI MART FINAL MENU - Pr'!A429, ""en"", ""ar"")))"),"ليز مملح 155 غرام")</f>
        <v>ليز مملح 155 غرام</v>
      </c>
      <c r="B429" s="56" t="str">
        <f>IFERROR(__xludf.DUMMYFUNCTION("IF('AYIRA MINI MART FINAL MENU - Pr'!B429="""", """", IF(LEN(TRIM(REGEXREPLACE(REGEXREPLACE('AYIRA MINI MART FINAL MENU - Pr'!B429, ""^[^\x{0600}-\x{06FF}]+"", """"), ""^[-–\s]+"", """")))&gt;0, TRIM(REGEXREPLACE(REGEXREPLACE('AYIRA MINI MART FINAL MENU - Pr"&amp;"'!B429, ""^[^\x{0600}-\x{06FF}]+"", """"), ""^[-–\s]+"", """")), GOOGLETRANSLATE('AYIRA MINI MART FINAL MENU - Pr'!B429, ""en"", ""ar"")))"),"الشيبس والمقرمشات")</f>
        <v>الشيبس والمقرمشات</v>
      </c>
      <c r="C429" s="58">
        <f>IF('AYIRA MINI MART FINAL MENU - Pr'!C429="", "", 'AYIRA MINI MART FINAL MENU - Pr'!C429)</f>
        <v>10</v>
      </c>
      <c r="D429" s="58" t="str">
        <f>IF('AYIRA MINI MART FINAL MENU - Pr'!D429="", "", 'AYIRA MINI MART FINAL MENU - Pr'!D429)</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29" s="56" t="str">
        <f>IF('AYIRA MINI MART FINAL MENU - Pr'!E429="", "", 'AYIRA MINI MART FINAL MENU - Pr'!E429)</f>
        <v/>
      </c>
      <c r="F429" s="56" t="str">
        <f>IF('AYIRA MINI MART FINAL MENU - Pr'!F429="", "", 'AYIRA MINI MART FINAL MENU - Pr'!F429)</f>
        <v/>
      </c>
      <c r="G429" s="56" t="str">
        <f>IF('AYIRA MINI MART FINAL MENU - Pr'!G429="", "", 'AYIRA MINI MART FINAL MENU - Pr'!G429)</f>
        <v/>
      </c>
      <c r="H429" s="56" t="str">
        <f>IF('AYIRA MINI MART FINAL MENU - Pr'!H429="", "", 'AYIRA MINI MART FINAL MENU - Pr'!H429)</f>
        <v/>
      </c>
      <c r="I429" s="56" t="str">
        <f>IF('AYIRA MINI MART FINAL MENU - Pr'!I429="", "", 'AYIRA MINI MART FINAL MENU - Pr'!I429)</f>
        <v/>
      </c>
      <c r="J429" s="56" t="str">
        <f>IFERROR(__xludf.DUMMYFUNCTION("IF('AYIRA MINI MART FINAL MENU - Pr'!J429="""", """", GOOGLETRANSLATE('AYIRA MINI MART FINAL MENU - Pr'!J429, ""en"", ""ar""))"),"يعرض")</f>
        <v>يعرض</v>
      </c>
      <c r="K429" s="56" t="str">
        <f>IF('AYIRA MINI MART FINAL MENU - Pr'!K429="", "", 'AYIRA MINI MART FINAL MENU - Pr'!K429)</f>
        <v/>
      </c>
      <c r="L429" s="56" t="str">
        <f>IF('AYIRA MINI MART FINAL MENU - Pr'!L429="", "", 'AYIRA MINI MART FINAL MENU - Pr'!L429)</f>
        <v/>
      </c>
      <c r="M429" s="56" t="str">
        <f>IF('AYIRA MINI MART FINAL MENU - Pr'!M429="", "", 'AYIRA MINI MART FINAL MENU - Pr'!M429)</f>
        <v/>
      </c>
      <c r="N429" s="56" t="str">
        <f>IF('AYIRA MINI MART FINAL MENU - Pr'!N429="", "", 'AYIRA MINI MART FINAL MENU - Pr'!N429)</f>
        <v/>
      </c>
      <c r="O429" s="57"/>
      <c r="P429" s="57"/>
      <c r="Q429" s="57"/>
      <c r="R429" s="57"/>
      <c r="S429" s="57"/>
      <c r="T429" s="57"/>
      <c r="U429" s="57"/>
      <c r="V429" s="57"/>
      <c r="W429" s="57"/>
      <c r="X429" s="57"/>
      <c r="Y429" s="57"/>
      <c r="Z429" s="57"/>
    </row>
    <row r="430">
      <c r="A430" s="56" t="str">
        <f>IFERROR(__xludf.DUMMYFUNCTION("IF('AYIRA MINI MART FINAL MENU - Pr'!A430="""", """", IF(LEN(TRIM(REGEXREPLACE(REGEXREPLACE('AYIRA MINI MART FINAL MENU - Pr'!A430, ""^[^\x{0600}-\x{06FF}]+"", """"), ""^[-–\s]+"", """")))&gt;0, TRIM(REGEXREPLACE(REGEXREPLACE('AYIRA MINI MART FINAL MENU - Pr"&amp;"'!A430, ""^[^\x{0600}-\x{06FF}]+"", """"), ""^[-–\s]+"", """")), GOOGLETRANSLATE('AYIRA MINI MART FINAL MENU - Pr'!A430, ""en"", ""ar"")))"),"مملح 155 غرام")</f>
        <v>مملح 155 غرام</v>
      </c>
      <c r="B430" s="56" t="str">
        <f>IFERROR(__xludf.DUMMYFUNCTION("IF('AYIRA MINI MART FINAL MENU - Pr'!B430="""", """", IF(LEN(TRIM(REGEXREPLACE(REGEXREPLACE('AYIRA MINI MART FINAL MENU - Pr'!B430, ""^[^\x{0600}-\x{06FF}]+"", """"), ""^[-–\s]+"", """")))&gt;0, TRIM(REGEXREPLACE(REGEXREPLACE('AYIRA MINI MART FINAL MENU - Pr"&amp;"'!B430, ""^[^\x{0600}-\x{06FF}]+"", """"), ""^[-–\s]+"", """")), GOOGLETRANSLATE('AYIRA MINI MART FINAL MENU - Pr'!B430, ""en"", ""ar"")))"),"الشيبس والمقرمشات")</f>
        <v>الشيبس والمقرمشات</v>
      </c>
      <c r="C430" s="58">
        <f>IF('AYIRA MINI MART FINAL MENU - Pr'!C430="", "", 'AYIRA MINI MART FINAL MENU - Pr'!C430)</f>
        <v>6.5</v>
      </c>
      <c r="D430" s="58" t="str">
        <f>IF('AYIRA MINI MART FINAL MENU - Pr'!D430="", "", 'AYIRA MINI MART FINAL MENU - Pr'!D430)</f>
        <v>لا تقاوم طعم Balaji Crunchem Simply Salted 155g،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0" s="56" t="str">
        <f>IF('AYIRA MINI MART FINAL MENU - Pr'!E430="", "", 'AYIRA MINI MART FINAL MENU - Pr'!E430)</f>
        <v/>
      </c>
      <c r="F430" s="56" t="str">
        <f>IF('AYIRA MINI MART FINAL MENU - Pr'!F430="", "", 'AYIRA MINI MART FINAL MENU - Pr'!F430)</f>
        <v/>
      </c>
      <c r="G430" s="56" t="str">
        <f>IF('AYIRA MINI MART FINAL MENU - Pr'!G430="", "", 'AYIRA MINI MART FINAL MENU - Pr'!G430)</f>
        <v/>
      </c>
      <c r="H430" s="56" t="str">
        <f>IF('AYIRA MINI MART FINAL MENU - Pr'!H430="", "", 'AYIRA MINI MART FINAL MENU - Pr'!H430)</f>
        <v/>
      </c>
      <c r="I430" s="56" t="str">
        <f>IF('AYIRA MINI MART FINAL MENU - Pr'!I430="", "", 'AYIRA MINI MART FINAL MENU - Pr'!I430)</f>
        <v/>
      </c>
      <c r="J430" s="56" t="str">
        <f>IFERROR(__xludf.DUMMYFUNCTION("IF('AYIRA MINI MART FINAL MENU - Pr'!J430="""", """", GOOGLETRANSLATE('AYIRA MINI MART FINAL MENU - Pr'!J430, ""en"", ""ar""))"),"يعرض")</f>
        <v>يعرض</v>
      </c>
      <c r="K430" s="56" t="str">
        <f>IF('AYIRA MINI MART FINAL MENU - Pr'!K430="", "", 'AYIRA MINI MART FINAL MENU - Pr'!K430)</f>
        <v/>
      </c>
      <c r="L430" s="56" t="str">
        <f>IF('AYIRA MINI MART FINAL MENU - Pr'!L430="", "", 'AYIRA MINI MART FINAL MENU - Pr'!L430)</f>
        <v/>
      </c>
      <c r="M430" s="56" t="str">
        <f>IF('AYIRA MINI MART FINAL MENU - Pr'!M430="", "", 'AYIRA MINI MART FINAL MENU - Pr'!M430)</f>
        <v/>
      </c>
      <c r="N430" s="56" t="str">
        <f>IF('AYIRA MINI MART FINAL MENU - Pr'!N430="", "", 'AYIRA MINI MART FINAL MENU - Pr'!N430)</f>
        <v/>
      </c>
      <c r="O430" s="57"/>
      <c r="P430" s="57"/>
      <c r="Q430" s="57"/>
      <c r="R430" s="57"/>
      <c r="S430" s="57"/>
      <c r="T430" s="57"/>
      <c r="U430" s="57"/>
      <c r="V430" s="57"/>
      <c r="W430" s="57"/>
      <c r="X430" s="57"/>
      <c r="Y430" s="57"/>
      <c r="Z430" s="57"/>
    </row>
    <row r="431">
      <c r="A431" s="56" t="str">
        <f>IFERROR(__xludf.DUMMYFUNCTION("IF('AYIRA MINI MART FINAL MENU - Pr'!A431="""", """", IF(LEN(TRIM(REGEXREPLACE(REGEXREPLACE('AYIRA MINI MART FINAL MENU - Pr'!A431, ""^[^\x{0600}-\x{06FF}]+"", """"), ""^[-–\s]+"", """")))&gt;0, TRIM(REGEXREPLACE(REGEXREPLACE('AYIRA MINI MART FINAL MENU - Pr"&amp;"'!A431, ""^[^\x{0600}-\x{06FF}]+"", """"), ""^[-–\s]+"", """")), GOOGLETRANSLATE('AYIRA MINI MART FINAL MENU - Pr'!A431, ""en"", ""ar"")))"),"تشيتوس Flamin’ حار 40 غرام")</f>
        <v>تشيتوس Flamin’ حار 40 غرام</v>
      </c>
      <c r="B431" s="56" t="str">
        <f>IFERROR(__xludf.DUMMYFUNCTION("IF('AYIRA MINI MART FINAL MENU - Pr'!B431="""", """", IF(LEN(TRIM(REGEXREPLACE(REGEXREPLACE('AYIRA MINI MART FINAL MENU - Pr'!B431, ""^[^\x{0600}-\x{06FF}]+"", """"), ""^[-–\s]+"", """")))&gt;0, TRIM(REGEXREPLACE(REGEXREPLACE('AYIRA MINI MART FINAL MENU - Pr"&amp;"'!B431, ""^[^\x{0600}-\x{06FF}]+"", """"), ""^[-–\s]+"", """")), GOOGLETRANSLATE('AYIRA MINI MART FINAL MENU - Pr'!B431, ""en"", ""ar"")))"),"الشيبس والمقرمشات")</f>
        <v>الشيبس والمقرمشات</v>
      </c>
      <c r="C431" s="58">
        <f>IF('AYIRA MINI MART FINAL MENU - Pr'!C431="", "", 'AYIRA MINI MART FINAL MENU - Pr'!C431)</f>
        <v>4</v>
      </c>
      <c r="D431" s="58" t="str">
        <f>IF('AYIRA MINI MART FINAL MENU - Pr'!D431="", "", 'AYIRA MINI MART FINAL MENU - Pr'!D431)</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1" s="56" t="str">
        <f>IF('AYIRA MINI MART FINAL MENU - Pr'!E431="", "", 'AYIRA MINI MART FINAL MENU - Pr'!E431)</f>
        <v/>
      </c>
      <c r="F431" s="56" t="str">
        <f>IF('AYIRA MINI MART FINAL MENU - Pr'!F431="", "", 'AYIRA MINI MART FINAL MENU - Pr'!F431)</f>
        <v/>
      </c>
      <c r="G431" s="56" t="str">
        <f>IF('AYIRA MINI MART FINAL MENU - Pr'!G431="", "", 'AYIRA MINI MART FINAL MENU - Pr'!G431)</f>
        <v/>
      </c>
      <c r="H431" s="56" t="str">
        <f>IF('AYIRA MINI MART FINAL MENU - Pr'!H431="", "", 'AYIRA MINI MART FINAL MENU - Pr'!H431)</f>
        <v/>
      </c>
      <c r="I431" s="56" t="str">
        <f>IF('AYIRA MINI MART FINAL MENU - Pr'!I431="", "", 'AYIRA MINI MART FINAL MENU - Pr'!I431)</f>
        <v/>
      </c>
      <c r="J431" s="56" t="str">
        <f>IFERROR(__xludf.DUMMYFUNCTION("IF('AYIRA MINI MART FINAL MENU - Pr'!J431="""", """", GOOGLETRANSLATE('AYIRA MINI MART FINAL MENU - Pr'!J431, ""en"", ""ar""))"),"يعرض")</f>
        <v>يعرض</v>
      </c>
      <c r="K431" s="56" t="str">
        <f>IF('AYIRA MINI MART FINAL MENU - Pr'!K431="", "", 'AYIRA MINI MART FINAL MENU - Pr'!K431)</f>
        <v/>
      </c>
      <c r="L431" s="56" t="str">
        <f>IF('AYIRA MINI MART FINAL MENU - Pr'!L431="", "", 'AYIRA MINI MART FINAL MENU - Pr'!L431)</f>
        <v/>
      </c>
      <c r="M431" s="56" t="str">
        <f>IF('AYIRA MINI MART FINAL MENU - Pr'!M431="", "", 'AYIRA MINI MART FINAL MENU - Pr'!M431)</f>
        <v/>
      </c>
      <c r="N431" s="56" t="str">
        <f>IF('AYIRA MINI MART FINAL MENU - Pr'!N431="", "", 'AYIRA MINI MART FINAL MENU - Pr'!N431)</f>
        <v/>
      </c>
      <c r="O431" s="57"/>
      <c r="P431" s="57"/>
      <c r="Q431" s="57"/>
      <c r="R431" s="57"/>
      <c r="S431" s="57"/>
      <c r="T431" s="57"/>
      <c r="U431" s="57"/>
      <c r="V431" s="57"/>
      <c r="W431" s="57"/>
      <c r="X431" s="57"/>
      <c r="Y431" s="57"/>
      <c r="Z431" s="57"/>
    </row>
    <row r="432">
      <c r="A432" s="56" t="str">
        <f>IFERROR(__xludf.DUMMYFUNCTION("IF('AYIRA MINI MART FINAL MENU - Pr'!A432="""", """", IF(LEN(TRIM(REGEXREPLACE(REGEXREPLACE('AYIRA MINI MART FINAL MENU - Pr'!A432, ""^[^\x{0600}-\x{06FF}]+"", """"), ""^[-–\s]+"", """")))&gt;0, TRIM(REGEXREPLACE(REGEXREPLACE('AYIRA MINI MART FINAL MENU - Pr"&amp;"'!A432, ""^[^\x{0600}-\x{06FF}]+"", """"), ""^[-–\s]+"", """")), GOOGLETRANSLATE('AYIRA MINI MART FINAL MENU - Pr'!A432, ""en"", ""ar"")))"),"دوريتوس Flamin’ حار 50 غرام")</f>
        <v>دوريتوس Flamin’ حار 50 غرام</v>
      </c>
      <c r="B432" s="56" t="str">
        <f>IFERROR(__xludf.DUMMYFUNCTION("IF('AYIRA MINI MART FINAL MENU - Pr'!B432="""", """", IF(LEN(TRIM(REGEXREPLACE(REGEXREPLACE('AYIRA MINI MART FINAL MENU - Pr'!B432, ""^[^\x{0600}-\x{06FF}]+"", """"), ""^[-–\s]+"", """")))&gt;0, TRIM(REGEXREPLACE(REGEXREPLACE('AYIRA MINI MART FINAL MENU - Pr"&amp;"'!B432, ""^[^\x{0600}-\x{06FF}]+"", """"), ""^[-–\s]+"", """")), GOOGLETRANSLATE('AYIRA MINI MART FINAL MENU - Pr'!B432, ""en"", ""ar"")))"),"الشيبس والمقرمشات")</f>
        <v>الشيبس والمقرمشات</v>
      </c>
      <c r="C432" s="58">
        <f>IF('AYIRA MINI MART FINAL MENU - Pr'!C432="", "", 'AYIRA MINI MART FINAL MENU - Pr'!C432)</f>
        <v>4</v>
      </c>
      <c r="D432" s="58" t="str">
        <f>IF('AYIRA MINI MART FINAL MENU - Pr'!D432="", "", 'AYIRA MINI MART FINAL MENU - Pr'!D432)</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2" s="56" t="str">
        <f>IF('AYIRA MINI MART FINAL MENU - Pr'!E432="", "", 'AYIRA MINI MART FINAL MENU - Pr'!E432)</f>
        <v/>
      </c>
      <c r="F432" s="56" t="str">
        <f>IF('AYIRA MINI MART FINAL MENU - Pr'!F432="", "", 'AYIRA MINI MART FINAL MENU - Pr'!F432)</f>
        <v/>
      </c>
      <c r="G432" s="56" t="str">
        <f>IF('AYIRA MINI MART FINAL MENU - Pr'!G432="", "", 'AYIRA MINI MART FINAL MENU - Pr'!G432)</f>
        <v/>
      </c>
      <c r="H432" s="56" t="str">
        <f>IF('AYIRA MINI MART FINAL MENU - Pr'!H432="", "", 'AYIRA MINI MART FINAL MENU - Pr'!H432)</f>
        <v/>
      </c>
      <c r="I432" s="56" t="str">
        <f>IF('AYIRA MINI MART FINAL MENU - Pr'!I432="", "", 'AYIRA MINI MART FINAL MENU - Pr'!I432)</f>
        <v/>
      </c>
      <c r="J432" s="56" t="str">
        <f>IFERROR(__xludf.DUMMYFUNCTION("IF('AYIRA MINI MART FINAL MENU - Pr'!J432="""", """", GOOGLETRANSLATE('AYIRA MINI MART FINAL MENU - Pr'!J432, ""en"", ""ar""))"),"يعرض")</f>
        <v>يعرض</v>
      </c>
      <c r="K432" s="56" t="str">
        <f>IF('AYIRA MINI MART FINAL MENU - Pr'!K432="", "", 'AYIRA MINI MART FINAL MENU - Pr'!K432)</f>
        <v/>
      </c>
      <c r="L432" s="56" t="str">
        <f>IF('AYIRA MINI MART FINAL MENU - Pr'!L432="", "", 'AYIRA MINI MART FINAL MENU - Pr'!L432)</f>
        <v/>
      </c>
      <c r="M432" s="56" t="str">
        <f>IF('AYIRA MINI MART FINAL MENU - Pr'!M432="", "", 'AYIRA MINI MART FINAL MENU - Pr'!M432)</f>
        <v/>
      </c>
      <c r="N432" s="56" t="str">
        <f>IF('AYIRA MINI MART FINAL MENU - Pr'!N432="", "", 'AYIRA MINI MART FINAL MENU - Pr'!N432)</f>
        <v/>
      </c>
      <c r="O432" s="57"/>
      <c r="P432" s="57"/>
      <c r="Q432" s="57"/>
      <c r="R432" s="57"/>
      <c r="S432" s="57"/>
      <c r="T432" s="57"/>
      <c r="U432" s="57"/>
      <c r="V432" s="57"/>
      <c r="W432" s="57"/>
      <c r="X432" s="57"/>
      <c r="Y432" s="57"/>
      <c r="Z432" s="57"/>
    </row>
    <row r="433">
      <c r="A433" s="56" t="str">
        <f>IFERROR(__xludf.DUMMYFUNCTION("IF('AYIRA MINI MART FINAL MENU - Pr'!A433="""", """", IF(LEN(TRIM(REGEXREPLACE(REGEXREPLACE('AYIRA MINI MART FINAL MENU - Pr'!A433, ""^[^\x{0600}-\x{06FF}]+"", """"), ""^[-–\s]+"", """")))&gt;0, TRIM(REGEXREPLACE(REGEXREPLACE('AYIRA MINI MART FINAL MENU - Pr"&amp;"'!A433, ""^[^\x{0600}-\x{06FF}]+"", """"), ""^[-–\s]+"", """")), GOOGLETRANSLATE('AYIRA MINI MART FINAL MENU - Pr'!A433, ""en"", ""ar"")))"),"تشيتوس Crunchy Flamin’ حار 110 غرام")</f>
        <v>تشيتوس Crunchy Flamin’ حار 110 غرام</v>
      </c>
      <c r="B433" s="56" t="str">
        <f>IFERROR(__xludf.DUMMYFUNCTION("IF('AYIRA MINI MART FINAL MENU - Pr'!B433="""", """", IF(LEN(TRIM(REGEXREPLACE(REGEXREPLACE('AYIRA MINI MART FINAL MENU - Pr'!B433, ""^[^\x{0600}-\x{06FF}]+"", """"), ""^[-–\s]+"", """")))&gt;0, TRIM(REGEXREPLACE(REGEXREPLACE('AYIRA MINI MART FINAL MENU - Pr"&amp;"'!B433, ""^[^\x{0600}-\x{06FF}]+"", """"), ""^[-–\s]+"", """")), GOOGLETRANSLATE('AYIRA MINI MART FINAL MENU - Pr'!B433, ""en"", ""ar"")))"),"الشيبس والمقرمشات")</f>
        <v>الشيبس والمقرمشات</v>
      </c>
      <c r="C433" s="58">
        <f>IF('AYIRA MINI MART FINAL MENU - Pr'!C433="", "", 'AYIRA MINI MART FINAL MENU - Pr'!C433)</f>
        <v>8</v>
      </c>
      <c r="D433" s="58" t="str">
        <f>IF('AYIRA MINI MART FINAL MENU - Pr'!D433="", "", 'AYIRA MINI MART FINAL MENU - Pr'!D433)</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3" s="56" t="str">
        <f>IF('AYIRA MINI MART FINAL MENU - Pr'!E433="", "", 'AYIRA MINI MART FINAL MENU - Pr'!E433)</f>
        <v/>
      </c>
      <c r="F433" s="56" t="str">
        <f>IF('AYIRA MINI MART FINAL MENU - Pr'!F433="", "", 'AYIRA MINI MART FINAL MENU - Pr'!F433)</f>
        <v/>
      </c>
      <c r="G433" s="56" t="str">
        <f>IF('AYIRA MINI MART FINAL MENU - Pr'!G433="", "", 'AYIRA MINI MART FINAL MENU - Pr'!G433)</f>
        <v/>
      </c>
      <c r="H433" s="56" t="str">
        <f>IF('AYIRA MINI MART FINAL MENU - Pr'!H433="", "", 'AYIRA MINI MART FINAL MENU - Pr'!H433)</f>
        <v/>
      </c>
      <c r="I433" s="56" t="str">
        <f>IF('AYIRA MINI MART FINAL MENU - Pr'!I433="", "", 'AYIRA MINI MART FINAL MENU - Pr'!I433)</f>
        <v/>
      </c>
      <c r="J433" s="56" t="str">
        <f>IFERROR(__xludf.DUMMYFUNCTION("IF('AYIRA MINI MART FINAL MENU - Pr'!J433="""", """", GOOGLETRANSLATE('AYIRA MINI MART FINAL MENU - Pr'!J433, ""en"", ""ar""))"),"يعرض")</f>
        <v>يعرض</v>
      </c>
      <c r="K433" s="56" t="str">
        <f>IF('AYIRA MINI MART FINAL MENU - Pr'!K433="", "", 'AYIRA MINI MART FINAL MENU - Pr'!K433)</f>
        <v/>
      </c>
      <c r="L433" s="56" t="str">
        <f>IF('AYIRA MINI MART FINAL MENU - Pr'!L433="", "", 'AYIRA MINI MART FINAL MENU - Pr'!L433)</f>
        <v/>
      </c>
      <c r="M433" s="56" t="str">
        <f>IF('AYIRA MINI MART FINAL MENU - Pr'!M433="", "", 'AYIRA MINI MART FINAL MENU - Pr'!M433)</f>
        <v/>
      </c>
      <c r="N433" s="56" t="str">
        <f>IF('AYIRA MINI MART FINAL MENU - Pr'!N433="", "", 'AYIRA MINI MART FINAL MENU - Pr'!N433)</f>
        <v/>
      </c>
      <c r="O433" s="57"/>
      <c r="P433" s="57"/>
      <c r="Q433" s="57"/>
      <c r="R433" s="57"/>
      <c r="S433" s="57"/>
      <c r="T433" s="57"/>
      <c r="U433" s="57"/>
      <c r="V433" s="57"/>
      <c r="W433" s="57"/>
      <c r="X433" s="57"/>
      <c r="Y433" s="57"/>
      <c r="Z433" s="57"/>
    </row>
    <row r="434">
      <c r="A434" s="56" t="str">
        <f>IFERROR(__xludf.DUMMYFUNCTION("IF('AYIRA MINI MART FINAL MENU - Pr'!A434="""", """", IF(LEN(TRIM(REGEXREPLACE(REGEXREPLACE('AYIRA MINI MART FINAL MENU - Pr'!A434, ""^[^\x{0600}-\x{06FF}]+"", """"), ""^[-–\s]+"", """")))&gt;0, TRIM(REGEXREPLACE(REGEXREPLACE('AYIRA MINI MART FINAL MENU - Pr"&amp;"'!A434, ""^[^\x{0600}-\x{06FF}]+"", """"), ""^[-–\s]+"", """")), GOOGLETRANSLATE('AYIRA MINI MART FINAL MENU - Pr'!A434, ""en"", ""ar"")))"),"دوريتوس Dinamita Flamin’ حار 40 غرام")</f>
        <v>دوريتوس Dinamita Flamin’ حار 40 غرام</v>
      </c>
      <c r="B434" s="56" t="str">
        <f>IFERROR(__xludf.DUMMYFUNCTION("IF('AYIRA MINI MART FINAL MENU - Pr'!B434="""", """", IF(LEN(TRIM(REGEXREPLACE(REGEXREPLACE('AYIRA MINI MART FINAL MENU - Pr'!B434, ""^[^\x{0600}-\x{06FF}]+"", """"), ""^[-–\s]+"", """")))&gt;0, TRIM(REGEXREPLACE(REGEXREPLACE('AYIRA MINI MART FINAL MENU - Pr"&amp;"'!B434, ""^[^\x{0600}-\x{06FF}]+"", """"), ""^[-–\s]+"", """")), GOOGLETRANSLATE('AYIRA MINI MART FINAL MENU - Pr'!B434, ""en"", ""ar"")))"),"الشيبس والمقرمشات")</f>
        <v>الشيبس والمقرمشات</v>
      </c>
      <c r="C434" s="58">
        <f>IF('AYIRA MINI MART FINAL MENU - Pr'!C434="", "", 'AYIRA MINI MART FINAL MENU - Pr'!C434)</f>
        <v>4</v>
      </c>
      <c r="D434" s="58" t="str">
        <f>IF('AYIRA MINI MART FINAL MENU - Pr'!D434="", "", 'AYIRA MINI MART FINAL MENU - Pr'!D434)</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4" s="56" t="str">
        <f>IF('AYIRA MINI MART FINAL MENU - Pr'!E434="", "", 'AYIRA MINI MART FINAL MENU - Pr'!E434)</f>
        <v/>
      </c>
      <c r="F434" s="56" t="str">
        <f>IF('AYIRA MINI MART FINAL MENU - Pr'!F434="", "", 'AYIRA MINI MART FINAL MENU - Pr'!F434)</f>
        <v/>
      </c>
      <c r="G434" s="56" t="str">
        <f>IF('AYIRA MINI MART FINAL MENU - Pr'!G434="", "", 'AYIRA MINI MART FINAL MENU - Pr'!G434)</f>
        <v/>
      </c>
      <c r="H434" s="56" t="str">
        <f>IF('AYIRA MINI MART FINAL MENU - Pr'!H434="", "", 'AYIRA MINI MART FINAL MENU - Pr'!H434)</f>
        <v/>
      </c>
      <c r="I434" s="56" t="str">
        <f>IF('AYIRA MINI MART FINAL MENU - Pr'!I434="", "", 'AYIRA MINI MART FINAL MENU - Pr'!I434)</f>
        <v/>
      </c>
      <c r="J434" s="56" t="str">
        <f>IFERROR(__xludf.DUMMYFUNCTION("IF('AYIRA MINI MART FINAL MENU - Pr'!J434="""", """", GOOGLETRANSLATE('AYIRA MINI MART FINAL MENU - Pr'!J434, ""en"", ""ar""))"),"يعرض")</f>
        <v>يعرض</v>
      </c>
      <c r="K434" s="56" t="str">
        <f>IF('AYIRA MINI MART FINAL MENU - Pr'!K434="", "", 'AYIRA MINI MART FINAL MENU - Pr'!K434)</f>
        <v/>
      </c>
      <c r="L434" s="56" t="str">
        <f>IF('AYIRA MINI MART FINAL MENU - Pr'!L434="", "", 'AYIRA MINI MART FINAL MENU - Pr'!L434)</f>
        <v/>
      </c>
      <c r="M434" s="56" t="str">
        <f>IF('AYIRA MINI MART FINAL MENU - Pr'!M434="", "", 'AYIRA MINI MART FINAL MENU - Pr'!M434)</f>
        <v/>
      </c>
      <c r="N434" s="56" t="str">
        <f>IF('AYIRA MINI MART FINAL MENU - Pr'!N434="", "", 'AYIRA MINI MART FINAL MENU - Pr'!N434)</f>
        <v/>
      </c>
      <c r="O434" s="57"/>
      <c r="P434" s="57"/>
      <c r="Q434" s="57"/>
      <c r="R434" s="57"/>
      <c r="S434" s="57"/>
      <c r="T434" s="57"/>
      <c r="U434" s="57"/>
      <c r="V434" s="57"/>
      <c r="W434" s="57"/>
      <c r="X434" s="57"/>
      <c r="Y434" s="57"/>
      <c r="Z434" s="57"/>
    </row>
    <row r="435">
      <c r="A435" s="56" t="str">
        <f>IFERROR(__xludf.DUMMYFUNCTION("IF('AYIRA MINI MART FINAL MENU - Pr'!A435="""", """", IF(LEN(TRIM(REGEXREPLACE(REGEXREPLACE('AYIRA MINI MART FINAL MENU - Pr'!A435, ""^[^\x{0600}-\x{06FF}]+"", """"), ""^[-–\s]+"", """")))&gt;0, TRIM(REGEXREPLACE(REGEXREPLACE('AYIRA MINI MART FINAL MENU - Pr"&amp;"'!A435, ""^[^\x{0600}-\x{06FF}]+"", """"), ""^[-–\s]+"", """")), GOOGLETRANSLATE('AYIRA MINI MART FINAL MENU - Pr'!A435, ""en"", ""ar"")))"),"ليز مملح 48 غرام")</f>
        <v>ليز مملح 48 غرام</v>
      </c>
      <c r="B435" s="56" t="str">
        <f>IFERROR(__xludf.DUMMYFUNCTION("IF('AYIRA MINI MART FINAL MENU - Pr'!B435="""", """", IF(LEN(TRIM(REGEXREPLACE(REGEXREPLACE('AYIRA MINI MART FINAL MENU - Pr'!B435, ""^[^\x{0600}-\x{06FF}]+"", """"), ""^[-–\s]+"", """")))&gt;0, TRIM(REGEXREPLACE(REGEXREPLACE('AYIRA MINI MART FINAL MENU - Pr"&amp;"'!B435, ""^[^\x{0600}-\x{06FF}]+"", """"), ""^[-–\s]+"", """")), GOOGLETRANSLATE('AYIRA MINI MART FINAL MENU - Pr'!B435, ""en"", ""ar"")))"),"الشيبس والمقرمشات")</f>
        <v>الشيبس والمقرمشات</v>
      </c>
      <c r="C435" s="58">
        <f>IF('AYIRA MINI MART FINAL MENU - Pr'!C435="", "", 'AYIRA MINI MART FINAL MENU - Pr'!C435)</f>
        <v>4</v>
      </c>
      <c r="D435" s="58" t="str">
        <f>IF('AYIRA MINI MART FINAL MENU - Pr'!D435="", "", 'AYIRA MINI MART FINAL MENU - Pr'!D435)</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5" s="56" t="str">
        <f>IF('AYIRA MINI MART FINAL MENU - Pr'!E435="", "", 'AYIRA MINI MART FINAL MENU - Pr'!E435)</f>
        <v/>
      </c>
      <c r="F435" s="56" t="str">
        <f>IF('AYIRA MINI MART FINAL MENU - Pr'!F435="", "", 'AYIRA MINI MART FINAL MENU - Pr'!F435)</f>
        <v/>
      </c>
      <c r="G435" s="56" t="str">
        <f>IF('AYIRA MINI MART FINAL MENU - Pr'!G435="", "", 'AYIRA MINI MART FINAL MENU - Pr'!G435)</f>
        <v/>
      </c>
      <c r="H435" s="56" t="str">
        <f>IF('AYIRA MINI MART FINAL MENU - Pr'!H435="", "", 'AYIRA MINI MART FINAL MENU - Pr'!H435)</f>
        <v/>
      </c>
      <c r="I435" s="56" t="str">
        <f>IF('AYIRA MINI MART FINAL MENU - Pr'!I435="", "", 'AYIRA MINI MART FINAL MENU - Pr'!I435)</f>
        <v/>
      </c>
      <c r="J435" s="56" t="str">
        <f>IFERROR(__xludf.DUMMYFUNCTION("IF('AYIRA MINI MART FINAL MENU - Pr'!J435="""", """", GOOGLETRANSLATE('AYIRA MINI MART FINAL MENU - Pr'!J435, ""en"", ""ar""))"),"يعرض")</f>
        <v>يعرض</v>
      </c>
      <c r="K435" s="56" t="str">
        <f>IF('AYIRA MINI MART FINAL MENU - Pr'!K435="", "", 'AYIRA MINI MART FINAL MENU - Pr'!K435)</f>
        <v/>
      </c>
      <c r="L435" s="56" t="str">
        <f>IF('AYIRA MINI MART FINAL MENU - Pr'!L435="", "", 'AYIRA MINI MART FINAL MENU - Pr'!L435)</f>
        <v/>
      </c>
      <c r="M435" s="56" t="str">
        <f>IF('AYIRA MINI MART FINAL MENU - Pr'!M435="", "", 'AYIRA MINI MART FINAL MENU - Pr'!M435)</f>
        <v/>
      </c>
      <c r="N435" s="56" t="str">
        <f>IF('AYIRA MINI MART FINAL MENU - Pr'!N435="", "", 'AYIRA MINI MART FINAL MENU - Pr'!N435)</f>
        <v/>
      </c>
      <c r="O435" s="57"/>
      <c r="P435" s="57"/>
      <c r="Q435" s="57"/>
      <c r="R435" s="57"/>
      <c r="S435" s="57"/>
      <c r="T435" s="57"/>
      <c r="U435" s="57"/>
      <c r="V435" s="57"/>
      <c r="W435" s="57"/>
      <c r="X435" s="57"/>
      <c r="Y435" s="57"/>
      <c r="Z435" s="57"/>
    </row>
    <row r="436">
      <c r="A436" s="56" t="str">
        <f>IFERROR(__xludf.DUMMYFUNCTION("IF('AYIRA MINI MART FINAL MENU - Pr'!A436="""", """", IF(LEN(TRIM(REGEXREPLACE(REGEXREPLACE('AYIRA MINI MART FINAL MENU - Pr'!A436, ""^[^\x{0600}-\x{06FF}]+"", """"), ""^[-–\s]+"", """")))&gt;0, TRIM(REGEXREPLACE(REGEXREPLACE('AYIRA MINI MART FINAL MENU - Pr"&amp;"'!A436, ""^[^\x{0600}-\x{06FF}]+"", """"), ""^[-–\s]+"", """")), GOOGLETRANSLATE('AYIRA MINI MART FINAL MENU - Pr'!A436, ""en"", ""ar"")))"),"دوريتوس Sweet Chili Pepper 48 غرام")</f>
        <v>دوريتوس Sweet Chili Pepper 48 غرام</v>
      </c>
      <c r="B436" s="56" t="str">
        <f>IFERROR(__xludf.DUMMYFUNCTION("IF('AYIRA MINI MART FINAL MENU - Pr'!B436="""", """", IF(LEN(TRIM(REGEXREPLACE(REGEXREPLACE('AYIRA MINI MART FINAL MENU - Pr'!B436, ""^[^\x{0600}-\x{06FF}]+"", """"), ""^[-–\s]+"", """")))&gt;0, TRIM(REGEXREPLACE(REGEXREPLACE('AYIRA MINI MART FINAL MENU - Pr"&amp;"'!B436, ""^[^\x{0600}-\x{06FF}]+"", """"), ""^[-–\s]+"", """")), GOOGLETRANSLATE('AYIRA MINI MART FINAL MENU - Pr'!B436, ""en"", ""ar"")))"),"الشيبس والمقرمشات")</f>
        <v>الشيبس والمقرمشات</v>
      </c>
      <c r="C436" s="58">
        <f>IF('AYIRA MINI MART FINAL MENU - Pr'!C436="", "", 'AYIRA MINI MART FINAL MENU - Pr'!C436)</f>
        <v>4</v>
      </c>
      <c r="D436" s="58" t="str">
        <f>IF('AYIRA MINI MART FINAL MENU - Pr'!D436="", "", 'AYIRA MINI MART FINAL MENU - Pr'!D436)</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6" s="56" t="str">
        <f>IF('AYIRA MINI MART FINAL MENU - Pr'!E436="", "", 'AYIRA MINI MART FINAL MENU - Pr'!E436)</f>
        <v/>
      </c>
      <c r="F436" s="56" t="str">
        <f>IF('AYIRA MINI MART FINAL MENU - Pr'!F436="", "", 'AYIRA MINI MART FINAL MENU - Pr'!F436)</f>
        <v/>
      </c>
      <c r="G436" s="56" t="str">
        <f>IF('AYIRA MINI MART FINAL MENU - Pr'!G436="", "", 'AYIRA MINI MART FINAL MENU - Pr'!G436)</f>
        <v/>
      </c>
      <c r="H436" s="56" t="str">
        <f>IF('AYIRA MINI MART FINAL MENU - Pr'!H436="", "", 'AYIRA MINI MART FINAL MENU - Pr'!H436)</f>
        <v/>
      </c>
      <c r="I436" s="56" t="str">
        <f>IF('AYIRA MINI MART FINAL MENU - Pr'!I436="", "", 'AYIRA MINI MART FINAL MENU - Pr'!I436)</f>
        <v/>
      </c>
      <c r="J436" s="56" t="str">
        <f>IFERROR(__xludf.DUMMYFUNCTION("IF('AYIRA MINI MART FINAL MENU - Pr'!J436="""", """", GOOGLETRANSLATE('AYIRA MINI MART FINAL MENU - Pr'!J436, ""en"", ""ar""))"),"يعرض")</f>
        <v>يعرض</v>
      </c>
      <c r="K436" s="56" t="str">
        <f>IF('AYIRA MINI MART FINAL MENU - Pr'!K436="", "", 'AYIRA MINI MART FINAL MENU - Pr'!K436)</f>
        <v/>
      </c>
      <c r="L436" s="56" t="str">
        <f>IF('AYIRA MINI MART FINAL MENU - Pr'!L436="", "", 'AYIRA MINI MART FINAL MENU - Pr'!L436)</f>
        <v/>
      </c>
      <c r="M436" s="56" t="str">
        <f>IF('AYIRA MINI MART FINAL MENU - Pr'!M436="", "", 'AYIRA MINI MART FINAL MENU - Pr'!M436)</f>
        <v/>
      </c>
      <c r="N436" s="56" t="str">
        <f>IF('AYIRA MINI MART FINAL MENU - Pr'!N436="", "", 'AYIRA MINI MART FINAL MENU - Pr'!N436)</f>
        <v/>
      </c>
      <c r="O436" s="57"/>
      <c r="P436" s="57"/>
      <c r="Q436" s="57"/>
      <c r="R436" s="57"/>
      <c r="S436" s="57"/>
      <c r="T436" s="57"/>
      <c r="U436" s="57"/>
      <c r="V436" s="57"/>
      <c r="W436" s="57"/>
      <c r="X436" s="57"/>
      <c r="Y436" s="57"/>
      <c r="Z436" s="57"/>
    </row>
    <row r="437">
      <c r="A437" s="56" t="str">
        <f>IFERROR(__xludf.DUMMYFUNCTION("IF('AYIRA MINI MART FINAL MENU - Pr'!A437="""", """", IF(LEN(TRIM(REGEXREPLACE(REGEXREPLACE('AYIRA MINI MART FINAL MENU - Pr'!A437, ""^[^\x{0600}-\x{06FF}]+"", """"), ""^[-–\s]+"", """")))&gt;0, TRIM(REGEXREPLACE(REGEXREPLACE('AYIRA MINI MART FINAL MENU - Pr"&amp;"'!A437, ""^[^\x{0600}-\x{06FF}]+"", """"), ""^[-–\s]+"", """")), GOOGLETRANSLATE('AYIRA MINI MART FINAL MENU - Pr'!A437, ""en"", ""ar"")))"),"ليز French جبنة 48 غرام")</f>
        <v>ليز French جبنة 48 غرام</v>
      </c>
      <c r="B437" s="56" t="str">
        <f>IFERROR(__xludf.DUMMYFUNCTION("IF('AYIRA MINI MART FINAL MENU - Pr'!B437="""", """", IF(LEN(TRIM(REGEXREPLACE(REGEXREPLACE('AYIRA MINI MART FINAL MENU - Pr'!B437, ""^[^\x{0600}-\x{06FF}]+"", """"), ""^[-–\s]+"", """")))&gt;0, TRIM(REGEXREPLACE(REGEXREPLACE('AYIRA MINI MART FINAL MENU - Pr"&amp;"'!B437, ""^[^\x{0600}-\x{06FF}]+"", """"), ""^[-–\s]+"", """")), GOOGLETRANSLATE('AYIRA MINI MART FINAL MENU - Pr'!B437, ""en"", ""ar"")))"),"الشيبس والمقرمشات")</f>
        <v>الشيبس والمقرمشات</v>
      </c>
      <c r="C437" s="58">
        <f>IF('AYIRA MINI MART FINAL MENU - Pr'!C437="", "", 'AYIRA MINI MART FINAL MENU - Pr'!C437)</f>
        <v>4</v>
      </c>
      <c r="D437" s="58" t="str">
        <f>IF('AYIRA MINI MART FINAL MENU - Pr'!D437="", "", 'AYIRA MINI MART FINAL MENU - Pr'!D437)</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7" s="56" t="str">
        <f>IF('AYIRA MINI MART FINAL MENU - Pr'!E437="", "", 'AYIRA MINI MART FINAL MENU - Pr'!E437)</f>
        <v/>
      </c>
      <c r="F437" s="56" t="str">
        <f>IF('AYIRA MINI MART FINAL MENU - Pr'!F437="", "", 'AYIRA MINI MART FINAL MENU - Pr'!F437)</f>
        <v/>
      </c>
      <c r="G437" s="56" t="str">
        <f>IF('AYIRA MINI MART FINAL MENU - Pr'!G437="", "", 'AYIRA MINI MART FINAL MENU - Pr'!G437)</f>
        <v/>
      </c>
      <c r="H437" s="56" t="str">
        <f>IF('AYIRA MINI MART FINAL MENU - Pr'!H437="", "", 'AYIRA MINI MART FINAL MENU - Pr'!H437)</f>
        <v/>
      </c>
      <c r="I437" s="56" t="str">
        <f>IF('AYIRA MINI MART FINAL MENU - Pr'!I437="", "", 'AYIRA MINI MART FINAL MENU - Pr'!I437)</f>
        <v/>
      </c>
      <c r="J437" s="56" t="str">
        <f>IFERROR(__xludf.DUMMYFUNCTION("IF('AYIRA MINI MART FINAL MENU - Pr'!J437="""", """", GOOGLETRANSLATE('AYIRA MINI MART FINAL MENU - Pr'!J437, ""en"", ""ar""))"),"يعرض")</f>
        <v>يعرض</v>
      </c>
      <c r="K437" s="56" t="str">
        <f>IF('AYIRA MINI MART FINAL MENU - Pr'!K437="", "", 'AYIRA MINI MART FINAL MENU - Pr'!K437)</f>
        <v/>
      </c>
      <c r="L437" s="56" t="str">
        <f>IF('AYIRA MINI MART FINAL MENU - Pr'!L437="", "", 'AYIRA MINI MART FINAL MENU - Pr'!L437)</f>
        <v/>
      </c>
      <c r="M437" s="56" t="str">
        <f>IF('AYIRA MINI MART FINAL MENU - Pr'!M437="", "", 'AYIRA MINI MART FINAL MENU - Pr'!M437)</f>
        <v/>
      </c>
      <c r="N437" s="56" t="str">
        <f>IF('AYIRA MINI MART FINAL MENU - Pr'!N437="", "", 'AYIRA MINI MART FINAL MENU - Pr'!N437)</f>
        <v/>
      </c>
      <c r="O437" s="57"/>
      <c r="P437" s="57"/>
      <c r="Q437" s="57"/>
      <c r="R437" s="57"/>
      <c r="S437" s="57"/>
      <c r="T437" s="57"/>
      <c r="U437" s="57"/>
      <c r="V437" s="57"/>
      <c r="W437" s="57"/>
      <c r="X437" s="57"/>
      <c r="Y437" s="57"/>
      <c r="Z437" s="57"/>
    </row>
    <row r="438">
      <c r="A438" s="56" t="str">
        <f>IFERROR(__xludf.DUMMYFUNCTION("IF('AYIRA MINI MART FINAL MENU - Pr'!A438="""", """", IF(LEN(TRIM(REGEXREPLACE(REGEXREPLACE('AYIRA MINI MART FINAL MENU - Pr'!A438, ""^[^\x{0600}-\x{06FF}]+"", """"), ""^[-–\s]+"", """")))&gt;0, TRIM(REGEXREPLACE(REGEXREPLACE('AYIRA MINI MART FINAL MENU - Pr"&amp;"'!A438, ""^[^\x{0600}-\x{06FF}]+"", """"), ""^[-–\s]+"", """")), GOOGLETRANSLATE('AYIRA MINI MART FINAL MENU - Pr'!A438, ""en"", ""ar"")))"),"ليز Chili 48 غرام")</f>
        <v>ليز Chili 48 غرام</v>
      </c>
      <c r="B438" s="56" t="str">
        <f>IFERROR(__xludf.DUMMYFUNCTION("IF('AYIRA MINI MART FINAL MENU - Pr'!B438="""", """", IF(LEN(TRIM(REGEXREPLACE(REGEXREPLACE('AYIRA MINI MART FINAL MENU - Pr'!B438, ""^[^\x{0600}-\x{06FF}]+"", """"), ""^[-–\s]+"", """")))&gt;0, TRIM(REGEXREPLACE(REGEXREPLACE('AYIRA MINI MART FINAL MENU - Pr"&amp;"'!B438, ""^[^\x{0600}-\x{06FF}]+"", """"), ""^[-–\s]+"", """")), GOOGLETRANSLATE('AYIRA MINI MART FINAL MENU - Pr'!B438, ""en"", ""ar"")))"),"الشيبس والمقرمشات")</f>
        <v>الشيبس والمقرمشات</v>
      </c>
      <c r="C438" s="58">
        <f>IF('AYIRA MINI MART FINAL MENU - Pr'!C438="", "", 'AYIRA MINI MART FINAL MENU - Pr'!C438)</f>
        <v>4</v>
      </c>
      <c r="D438" s="58" t="str">
        <f>IF('AYIRA MINI MART FINAL MENU - Pr'!D438="", "", 'AYIRA MINI MART FINAL MENU - Pr'!D438)</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8" s="56" t="str">
        <f>IF('AYIRA MINI MART FINAL MENU - Pr'!E438="", "", 'AYIRA MINI MART FINAL MENU - Pr'!E438)</f>
        <v/>
      </c>
      <c r="F438" s="56" t="str">
        <f>IF('AYIRA MINI MART FINAL MENU - Pr'!F438="", "", 'AYIRA MINI MART FINAL MENU - Pr'!F438)</f>
        <v/>
      </c>
      <c r="G438" s="56" t="str">
        <f>IF('AYIRA MINI MART FINAL MENU - Pr'!G438="", "", 'AYIRA MINI MART FINAL MENU - Pr'!G438)</f>
        <v/>
      </c>
      <c r="H438" s="56" t="str">
        <f>IF('AYIRA MINI MART FINAL MENU - Pr'!H438="", "", 'AYIRA MINI MART FINAL MENU - Pr'!H438)</f>
        <v/>
      </c>
      <c r="I438" s="56" t="str">
        <f>IF('AYIRA MINI MART FINAL MENU - Pr'!I438="", "", 'AYIRA MINI MART FINAL MENU - Pr'!I438)</f>
        <v/>
      </c>
      <c r="J438" s="56" t="str">
        <f>IFERROR(__xludf.DUMMYFUNCTION("IF('AYIRA MINI MART FINAL MENU - Pr'!J438="""", """", GOOGLETRANSLATE('AYIRA MINI MART FINAL MENU - Pr'!J438, ""en"", ""ar""))"),"يعرض")</f>
        <v>يعرض</v>
      </c>
      <c r="K438" s="56" t="str">
        <f>IF('AYIRA MINI MART FINAL MENU - Pr'!K438="", "", 'AYIRA MINI MART FINAL MENU - Pr'!K438)</f>
        <v/>
      </c>
      <c r="L438" s="56" t="str">
        <f>IF('AYIRA MINI MART FINAL MENU - Pr'!L438="", "", 'AYIRA MINI MART FINAL MENU - Pr'!L438)</f>
        <v/>
      </c>
      <c r="M438" s="56" t="str">
        <f>IF('AYIRA MINI MART FINAL MENU - Pr'!M438="", "", 'AYIRA MINI MART FINAL MENU - Pr'!M438)</f>
        <v/>
      </c>
      <c r="N438" s="56" t="str">
        <f>IF('AYIRA MINI MART FINAL MENU - Pr'!N438="", "", 'AYIRA MINI MART FINAL MENU - Pr'!N438)</f>
        <v/>
      </c>
      <c r="O438" s="57"/>
      <c r="P438" s="57"/>
      <c r="Q438" s="57"/>
      <c r="R438" s="57"/>
      <c r="S438" s="57"/>
      <c r="T438" s="57"/>
      <c r="U438" s="57"/>
      <c r="V438" s="57"/>
      <c r="W438" s="57"/>
      <c r="X438" s="57"/>
      <c r="Y438" s="57"/>
      <c r="Z438" s="57"/>
    </row>
    <row r="439">
      <c r="A439" s="56" t="str">
        <f>IFERROR(__xludf.DUMMYFUNCTION("IF('AYIRA MINI MART FINAL MENU - Pr'!A439="""", """", IF(LEN(TRIM(REGEXREPLACE(REGEXREPLACE('AYIRA MINI MART FINAL MENU - Pr'!A439, ""^[^\x{0600}-\x{06FF}]+"", """"), ""^[-–\s]+"", """")))&gt;0, TRIM(REGEXREPLACE(REGEXREPLACE('AYIRA MINI MART FINAL MENU - Pr"&amp;"'!A439, ""^[^\x{0600}-\x{06FF}]+"", """"), ""^[-–\s]+"", """")), GOOGLETRANSLATE('AYIRA MINI MART FINAL MENU - Pr'!A439, ""en"", ""ar"")))"),"تشيتوس Flamin’ حار Crunchy Export 35.4 غرام")</f>
        <v>تشيتوس Flamin’ حار Crunchy Export 35.4 غرام</v>
      </c>
      <c r="B439" s="56" t="str">
        <f>IFERROR(__xludf.DUMMYFUNCTION("IF('AYIRA MINI MART FINAL MENU - Pr'!B439="""", """", IF(LEN(TRIM(REGEXREPLACE(REGEXREPLACE('AYIRA MINI MART FINAL MENU - Pr'!B439, ""^[^\x{0600}-\x{06FF}]+"", """"), ""^[-–\s]+"", """")))&gt;0, TRIM(REGEXREPLACE(REGEXREPLACE('AYIRA MINI MART FINAL MENU - Pr"&amp;"'!B439, ""^[^\x{0600}-\x{06FF}]+"", """"), ""^[-–\s]+"", """")), GOOGLETRANSLATE('AYIRA MINI MART FINAL MENU - Pr'!B439, ""en"", ""ar"")))"),"الشيبس والمقرمشات")</f>
        <v>الشيبس والمقرمشات</v>
      </c>
      <c r="C439" s="58">
        <f>IF('AYIRA MINI MART FINAL MENU - Pr'!C439="", "", 'AYIRA MINI MART FINAL MENU - Pr'!C439)</f>
        <v>3.5</v>
      </c>
      <c r="D439" s="58" t="str">
        <f>IF('AYIRA MINI MART FINAL MENU - Pr'!D439="", "", 'AYIRA MINI MART FINAL MENU - Pr'!D439)</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39" s="56" t="str">
        <f>IF('AYIRA MINI MART FINAL MENU - Pr'!E439="", "", 'AYIRA MINI MART FINAL MENU - Pr'!E439)</f>
        <v/>
      </c>
      <c r="F439" s="56" t="str">
        <f>IF('AYIRA MINI MART FINAL MENU - Pr'!F439="", "", 'AYIRA MINI MART FINAL MENU - Pr'!F439)</f>
        <v/>
      </c>
      <c r="G439" s="56" t="str">
        <f>IF('AYIRA MINI MART FINAL MENU - Pr'!G439="", "", 'AYIRA MINI MART FINAL MENU - Pr'!G439)</f>
        <v/>
      </c>
      <c r="H439" s="56" t="str">
        <f>IF('AYIRA MINI MART FINAL MENU - Pr'!H439="", "", 'AYIRA MINI MART FINAL MENU - Pr'!H439)</f>
        <v/>
      </c>
      <c r="I439" s="56" t="str">
        <f>IF('AYIRA MINI MART FINAL MENU - Pr'!I439="", "", 'AYIRA MINI MART FINAL MENU - Pr'!I439)</f>
        <v/>
      </c>
      <c r="J439" s="56" t="str">
        <f>IFERROR(__xludf.DUMMYFUNCTION("IF('AYIRA MINI MART FINAL MENU - Pr'!J439="""", """", GOOGLETRANSLATE('AYIRA MINI MART FINAL MENU - Pr'!J439, ""en"", ""ar""))"),"يعرض")</f>
        <v>يعرض</v>
      </c>
      <c r="K439" s="56" t="str">
        <f>IF('AYIRA MINI MART FINAL MENU - Pr'!K439="", "", 'AYIRA MINI MART FINAL MENU - Pr'!K439)</f>
        <v/>
      </c>
      <c r="L439" s="56" t="str">
        <f>IF('AYIRA MINI MART FINAL MENU - Pr'!L439="", "", 'AYIRA MINI MART FINAL MENU - Pr'!L439)</f>
        <v/>
      </c>
      <c r="M439" s="56" t="str">
        <f>IF('AYIRA MINI MART FINAL MENU - Pr'!M439="", "", 'AYIRA MINI MART FINAL MENU - Pr'!M439)</f>
        <v/>
      </c>
      <c r="N439" s="56" t="str">
        <f>IF('AYIRA MINI MART FINAL MENU - Pr'!N439="", "", 'AYIRA MINI MART FINAL MENU - Pr'!N439)</f>
        <v/>
      </c>
      <c r="O439" s="57"/>
      <c r="P439" s="57"/>
      <c r="Q439" s="57"/>
      <c r="R439" s="57"/>
      <c r="S439" s="57"/>
      <c r="T439" s="57"/>
      <c r="U439" s="57"/>
      <c r="V439" s="57"/>
      <c r="W439" s="57"/>
      <c r="X439" s="57"/>
      <c r="Y439" s="57"/>
      <c r="Z439" s="57"/>
    </row>
    <row r="440">
      <c r="A440" s="56" t="str">
        <f>IFERROR(__xludf.DUMMYFUNCTION("IF('AYIRA MINI MART FINAL MENU - Pr'!A440="""", """", IF(LEN(TRIM(REGEXREPLACE(REGEXREPLACE('AYIRA MINI MART FINAL MENU - Pr'!A440, ""^[^\x{0600}-\x{06FF}]+"", """"), ""^[-–\s]+"", """")))&gt;0, TRIM(REGEXREPLACE(REGEXREPLACE('AYIRA MINI MART FINAL MENU - Pr"&amp;"'!A440, ""^[^\x{0600}-\x{06FF}]+"", """"), ""^[-–\s]+"", """")), GOOGLETRANSLATE('AYIRA MINI MART FINAL MENU - Pr'!A440, ""en"", ""ar"")))"),"حار Chili &amp; Lime Tortilla شيبس 23 غرام")</f>
        <v>حار Chili &amp; Lime Tortilla شيبس 23 غرام</v>
      </c>
      <c r="B440" s="56" t="str">
        <f>IFERROR(__xludf.DUMMYFUNCTION("IF('AYIRA MINI MART FINAL MENU - Pr'!B440="""", """", IF(LEN(TRIM(REGEXREPLACE(REGEXREPLACE('AYIRA MINI MART FINAL MENU - Pr'!B440, ""^[^\x{0600}-\x{06FF}]+"", """"), ""^[-–\s]+"", """")))&gt;0, TRIM(REGEXREPLACE(REGEXREPLACE('AYIRA MINI MART FINAL MENU - Pr"&amp;"'!B440, ""^[^\x{0600}-\x{06FF}]+"", """"), ""^[-–\s]+"", """")), GOOGLETRANSLATE('AYIRA MINI MART FINAL MENU - Pr'!B440, ""en"", ""ar"")))"),"الشيبس والمقرمشات")</f>
        <v>الشيبس والمقرمشات</v>
      </c>
      <c r="C440" s="58">
        <f>IF('AYIRA MINI MART FINAL MENU - Pr'!C440="", "", 'AYIRA MINI MART FINAL MENU - Pr'!C440)</f>
        <v>2.5</v>
      </c>
      <c r="D440" s="58" t="str">
        <f>IF('AYIRA MINI MART FINAL MENU - Pr'!D440="", "", 'AYIRA MINI MART FINAL MENU - Pr'!D440)</f>
        <v>لا تقاوم طعم Mexita Hot Chili &amp; Lime Tortilla Chips 23g،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0" s="56" t="str">
        <f>IF('AYIRA MINI MART FINAL MENU - Pr'!E440="", "", 'AYIRA MINI MART FINAL MENU - Pr'!E440)</f>
        <v/>
      </c>
      <c r="F440" s="56" t="str">
        <f>IF('AYIRA MINI MART FINAL MENU - Pr'!F440="", "", 'AYIRA MINI MART FINAL MENU - Pr'!F440)</f>
        <v/>
      </c>
      <c r="G440" s="56" t="str">
        <f>IF('AYIRA MINI MART FINAL MENU - Pr'!G440="", "", 'AYIRA MINI MART FINAL MENU - Pr'!G440)</f>
        <v/>
      </c>
      <c r="H440" s="56" t="str">
        <f>IF('AYIRA MINI MART FINAL MENU - Pr'!H440="", "", 'AYIRA MINI MART FINAL MENU - Pr'!H440)</f>
        <v/>
      </c>
      <c r="I440" s="56" t="str">
        <f>IF('AYIRA MINI MART FINAL MENU - Pr'!I440="", "", 'AYIRA MINI MART FINAL MENU - Pr'!I440)</f>
        <v/>
      </c>
      <c r="J440" s="56" t="str">
        <f>IFERROR(__xludf.DUMMYFUNCTION("IF('AYIRA MINI MART FINAL MENU - Pr'!J440="""", """", GOOGLETRANSLATE('AYIRA MINI MART FINAL MENU - Pr'!J440, ""en"", ""ar""))"),"يعرض")</f>
        <v>يعرض</v>
      </c>
      <c r="K440" s="56" t="str">
        <f>IF('AYIRA MINI MART FINAL MENU - Pr'!K440="", "", 'AYIRA MINI MART FINAL MENU - Pr'!K440)</f>
        <v/>
      </c>
      <c r="L440" s="56" t="str">
        <f>IF('AYIRA MINI MART FINAL MENU - Pr'!L440="", "", 'AYIRA MINI MART FINAL MENU - Pr'!L440)</f>
        <v/>
      </c>
      <c r="M440" s="56" t="str">
        <f>IF('AYIRA MINI MART FINAL MENU - Pr'!M440="", "", 'AYIRA MINI MART FINAL MENU - Pr'!M440)</f>
        <v/>
      </c>
      <c r="N440" s="56" t="str">
        <f>IF('AYIRA MINI MART FINAL MENU - Pr'!N440="", "", 'AYIRA MINI MART FINAL MENU - Pr'!N440)</f>
        <v/>
      </c>
      <c r="O440" s="57"/>
      <c r="P440" s="57"/>
      <c r="Q440" s="57"/>
      <c r="R440" s="57"/>
      <c r="S440" s="57"/>
      <c r="T440" s="57"/>
      <c r="U440" s="57"/>
      <c r="V440" s="57"/>
      <c r="W440" s="57"/>
      <c r="X440" s="57"/>
      <c r="Y440" s="57"/>
      <c r="Z440" s="57"/>
    </row>
    <row r="441">
      <c r="A441" s="56" t="str">
        <f>IFERROR(__xludf.DUMMYFUNCTION("IF('AYIRA MINI MART FINAL MENU - Pr'!A441="""", """", IF(LEN(TRIM(REGEXREPLACE(REGEXREPLACE('AYIRA MINI MART FINAL MENU - Pr'!A441, ""^[^\x{0600}-\x{06FF}]+"", """"), ""^[-–\s]+"", """")))&gt;0, TRIM(REGEXREPLACE(REGEXREPLACE('AYIRA MINI MART FINAL MENU - Pr"&amp;"'!A441, ""^[^\x{0600}-\x{06FF}]+"", """"), ""^[-–\s]+"", """")), GOOGLETRANSLATE('AYIRA MINI MART FINAL MENU - Pr'!A441, ""en"", ""ar"")))"),"جبنة Tortilla شيبس 23 غرام")</f>
        <v>جبنة Tortilla شيبس 23 غرام</v>
      </c>
      <c r="B441" s="56" t="str">
        <f>IFERROR(__xludf.DUMMYFUNCTION("IF('AYIRA MINI MART FINAL MENU - Pr'!B441="""", """", IF(LEN(TRIM(REGEXREPLACE(REGEXREPLACE('AYIRA MINI MART FINAL MENU - Pr'!B441, ""^[^\x{0600}-\x{06FF}]+"", """"), ""^[-–\s]+"", """")))&gt;0, TRIM(REGEXREPLACE(REGEXREPLACE('AYIRA MINI MART FINAL MENU - Pr"&amp;"'!B441, ""^[^\x{0600}-\x{06FF}]+"", """"), ""^[-–\s]+"", """")), GOOGLETRANSLATE('AYIRA MINI MART FINAL MENU - Pr'!B441, ""en"", ""ar"")))"),"الشيبس والمقرمشات")</f>
        <v>الشيبس والمقرمشات</v>
      </c>
      <c r="C441" s="58">
        <f>IF('AYIRA MINI MART FINAL MENU - Pr'!C441="", "", 'AYIRA MINI MART FINAL MENU - Pr'!C441)</f>
        <v>2.5</v>
      </c>
      <c r="D441" s="58" t="str">
        <f>IF('AYIRA MINI MART FINAL MENU - Pr'!D441="", "", 'AYIRA MINI MART FINAL MENU - Pr'!D441)</f>
        <v>لا تقاوم طعم Mexita Nacho Cheese Tortilla Chips 23g،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1" s="56" t="str">
        <f>IF('AYIRA MINI MART FINAL MENU - Pr'!E441="", "", 'AYIRA MINI MART FINAL MENU - Pr'!E441)</f>
        <v/>
      </c>
      <c r="F441" s="56" t="str">
        <f>IF('AYIRA MINI MART FINAL MENU - Pr'!F441="", "", 'AYIRA MINI MART FINAL MENU - Pr'!F441)</f>
        <v/>
      </c>
      <c r="G441" s="56" t="str">
        <f>IF('AYIRA MINI MART FINAL MENU - Pr'!G441="", "", 'AYIRA MINI MART FINAL MENU - Pr'!G441)</f>
        <v/>
      </c>
      <c r="H441" s="56" t="str">
        <f>IF('AYIRA MINI MART FINAL MENU - Pr'!H441="", "", 'AYIRA MINI MART FINAL MENU - Pr'!H441)</f>
        <v/>
      </c>
      <c r="I441" s="56" t="str">
        <f>IF('AYIRA MINI MART FINAL MENU - Pr'!I441="", "", 'AYIRA MINI MART FINAL MENU - Pr'!I441)</f>
        <v/>
      </c>
      <c r="J441" s="56" t="str">
        <f>IFERROR(__xludf.DUMMYFUNCTION("IF('AYIRA MINI MART FINAL MENU - Pr'!J441="""", """", GOOGLETRANSLATE('AYIRA MINI MART FINAL MENU - Pr'!J441, ""en"", ""ar""))"),"يعرض")</f>
        <v>يعرض</v>
      </c>
      <c r="K441" s="56" t="str">
        <f>IF('AYIRA MINI MART FINAL MENU - Pr'!K441="", "", 'AYIRA MINI MART FINAL MENU - Pr'!K441)</f>
        <v/>
      </c>
      <c r="L441" s="56" t="str">
        <f>IF('AYIRA MINI MART FINAL MENU - Pr'!L441="", "", 'AYIRA MINI MART FINAL MENU - Pr'!L441)</f>
        <v/>
      </c>
      <c r="M441" s="56" t="str">
        <f>IF('AYIRA MINI MART FINAL MENU - Pr'!M441="", "", 'AYIRA MINI MART FINAL MENU - Pr'!M441)</f>
        <v/>
      </c>
      <c r="N441" s="56" t="str">
        <f>IF('AYIRA MINI MART FINAL MENU - Pr'!N441="", "", 'AYIRA MINI MART FINAL MENU - Pr'!N441)</f>
        <v/>
      </c>
      <c r="O441" s="57"/>
      <c r="P441" s="57"/>
      <c r="Q441" s="57"/>
      <c r="R441" s="57"/>
      <c r="S441" s="57"/>
      <c r="T441" s="57"/>
      <c r="U441" s="57"/>
      <c r="V441" s="57"/>
      <c r="W441" s="57"/>
      <c r="X441" s="57"/>
      <c r="Y441" s="57"/>
      <c r="Z441" s="57"/>
    </row>
    <row r="442">
      <c r="A442" s="56" t="str">
        <f>IFERROR(__xludf.DUMMYFUNCTION("IF('AYIRA MINI MART FINAL MENU - Pr'!A442="""", """", IF(LEN(TRIM(REGEXREPLACE(REGEXREPLACE('AYIRA MINI MART FINAL MENU - Pr'!A442, ""^[^\x{0600}-\x{06FF}]+"", """"), ""^[-–\s]+"", """")))&gt;0, TRIM(REGEXREPLACE(REGEXREPLACE('AYIRA MINI MART FINAL MENU - Pr"&amp;"'!A442, ""^[^\x{0600}-\x{06FF}]+"", """"), ""^[-–\s]+"", """")), GOOGLETRANSLATE('AYIRA MINI MART FINAL MENU - Pr'!A442, ""en"", ""ar"")))"),"شيبس 23 غرام")</f>
        <v>شيبس 23 غرام</v>
      </c>
      <c r="B442" s="56" t="str">
        <f>IFERROR(__xludf.DUMMYFUNCTION("IF('AYIRA MINI MART FINAL MENU - Pr'!B442="""", """", IF(LEN(TRIM(REGEXREPLACE(REGEXREPLACE('AYIRA MINI MART FINAL MENU - Pr'!B442, ""^[^\x{0600}-\x{06FF}]+"", """"), ""^[-–\s]+"", """")))&gt;0, TRIM(REGEXREPLACE(REGEXREPLACE('AYIRA MINI MART FINAL MENU - Pr"&amp;"'!B442, ""^[^\x{0600}-\x{06FF}]+"", """"), ""^[-–\s]+"", """")), GOOGLETRANSLATE('AYIRA MINI MART FINAL MENU - Pr'!B442, ""en"", ""ar"")))"),"الشيبس والمقرمشات")</f>
        <v>الشيبس والمقرمشات</v>
      </c>
      <c r="C442" s="58">
        <f>IF('AYIRA MINI MART FINAL MENU - Pr'!C442="", "", 'AYIRA MINI MART FINAL MENU - Pr'!C442)</f>
        <v>2.5</v>
      </c>
      <c r="D442" s="58" t="str">
        <f>IF('AYIRA MINI MART FINAL MENU - Pr'!D442="", "", 'AYIRA MINI MART FINAL MENU - Pr'!D442)</f>
        <v>لا تقاوم طعم Mexita Sweet Chili Pepper Tortilla Chips 23g،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2" s="56" t="str">
        <f>IF('AYIRA MINI MART FINAL MENU - Pr'!E442="", "", 'AYIRA MINI MART FINAL MENU - Pr'!E442)</f>
        <v/>
      </c>
      <c r="F442" s="56" t="str">
        <f>IF('AYIRA MINI MART FINAL MENU - Pr'!F442="", "", 'AYIRA MINI MART FINAL MENU - Pr'!F442)</f>
        <v/>
      </c>
      <c r="G442" s="56" t="str">
        <f>IF('AYIRA MINI MART FINAL MENU - Pr'!G442="", "", 'AYIRA MINI MART FINAL MENU - Pr'!G442)</f>
        <v/>
      </c>
      <c r="H442" s="56" t="str">
        <f>IF('AYIRA MINI MART FINAL MENU - Pr'!H442="", "", 'AYIRA MINI MART FINAL MENU - Pr'!H442)</f>
        <v/>
      </c>
      <c r="I442" s="56" t="str">
        <f>IF('AYIRA MINI MART FINAL MENU - Pr'!I442="", "", 'AYIRA MINI MART FINAL MENU - Pr'!I442)</f>
        <v/>
      </c>
      <c r="J442" s="56" t="str">
        <f>IFERROR(__xludf.DUMMYFUNCTION("IF('AYIRA MINI MART FINAL MENU - Pr'!J442="""", """", GOOGLETRANSLATE('AYIRA MINI MART FINAL MENU - Pr'!J442, ""en"", ""ar""))"),"يعرض")</f>
        <v>يعرض</v>
      </c>
      <c r="K442" s="56" t="str">
        <f>IF('AYIRA MINI MART FINAL MENU - Pr'!K442="", "", 'AYIRA MINI MART FINAL MENU - Pr'!K442)</f>
        <v/>
      </c>
      <c r="L442" s="56" t="str">
        <f>IF('AYIRA MINI MART FINAL MENU - Pr'!L442="", "", 'AYIRA MINI MART FINAL MENU - Pr'!L442)</f>
        <v/>
      </c>
      <c r="M442" s="56" t="str">
        <f>IF('AYIRA MINI MART FINAL MENU - Pr'!M442="", "", 'AYIRA MINI MART FINAL MENU - Pr'!M442)</f>
        <v/>
      </c>
      <c r="N442" s="56" t="str">
        <f>IF('AYIRA MINI MART FINAL MENU - Pr'!N442="", "", 'AYIRA MINI MART FINAL MENU - Pr'!N442)</f>
        <v/>
      </c>
      <c r="O442" s="57"/>
      <c r="P442" s="57"/>
      <c r="Q442" s="57"/>
      <c r="R442" s="57"/>
      <c r="S442" s="57"/>
      <c r="T442" s="57"/>
      <c r="U442" s="57"/>
      <c r="V442" s="57"/>
      <c r="W442" s="57"/>
      <c r="X442" s="57"/>
      <c r="Y442" s="57"/>
      <c r="Z442" s="57"/>
    </row>
    <row r="443">
      <c r="A443" s="56" t="str">
        <f>IFERROR(__xludf.DUMMYFUNCTION("IF('AYIRA MINI MART FINAL MENU - Pr'!A443="""", """", IF(LEN(TRIM(REGEXREPLACE(REGEXREPLACE('AYIRA MINI MART FINAL MENU - Pr'!A443, ""^[^\x{0600}-\x{06FF}]+"", """"), ""^[-–\s]+"", """")))&gt;0, TRIM(REGEXREPLACE(REGEXREPLACE('AYIRA MINI MART FINAL MENU - Pr"&amp;"'!A443, ""^[^\x{0600}-\x{06FF}]+"", """"), ""^[-–\s]+"", """")), GOOGLETRANSLATE('AYIRA MINI MART FINAL MENU - Pr'!A443, ""en"", ""ar"")))"),"تشيتوس Crunchy Flamin’ حار 110 غرام")</f>
        <v>تشيتوس Crunchy Flamin’ حار 110 غرام</v>
      </c>
      <c r="B443" s="56" t="str">
        <f>IFERROR(__xludf.DUMMYFUNCTION("IF('AYIRA MINI MART FINAL MENU - Pr'!B443="""", """", IF(LEN(TRIM(REGEXREPLACE(REGEXREPLACE('AYIRA MINI MART FINAL MENU - Pr'!B443, ""^[^\x{0600}-\x{06FF}]+"", """"), ""^[-–\s]+"", """")))&gt;0, TRIM(REGEXREPLACE(REGEXREPLACE('AYIRA MINI MART FINAL MENU - Pr"&amp;"'!B443, ""^[^\x{0600}-\x{06FF}]+"", """"), ""^[-–\s]+"", """")), GOOGLETRANSLATE('AYIRA MINI MART FINAL MENU - Pr'!B443, ""en"", ""ar"")))"),"الشيبس والمقرمشات")</f>
        <v>الشيبس والمقرمشات</v>
      </c>
      <c r="C443" s="58">
        <f>IF('AYIRA MINI MART FINAL MENU - Pr'!C443="", "", 'AYIRA MINI MART FINAL MENU - Pr'!C443)</f>
        <v>8</v>
      </c>
      <c r="D443" s="58" t="str">
        <f>IF('AYIRA MINI MART FINAL MENU - Pr'!D443="", "", 'AYIRA MINI MART FINAL MENU - Pr'!D443)</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3" s="56" t="str">
        <f>IF('AYIRA MINI MART FINAL MENU - Pr'!E443="", "", 'AYIRA MINI MART FINAL MENU - Pr'!E443)</f>
        <v/>
      </c>
      <c r="F443" s="56" t="str">
        <f>IF('AYIRA MINI MART FINAL MENU - Pr'!F443="", "", 'AYIRA MINI MART FINAL MENU - Pr'!F443)</f>
        <v/>
      </c>
      <c r="G443" s="56" t="str">
        <f>IF('AYIRA MINI MART FINAL MENU - Pr'!G443="", "", 'AYIRA MINI MART FINAL MENU - Pr'!G443)</f>
        <v/>
      </c>
      <c r="H443" s="56" t="str">
        <f>IF('AYIRA MINI MART FINAL MENU - Pr'!H443="", "", 'AYIRA MINI MART FINAL MENU - Pr'!H443)</f>
        <v/>
      </c>
      <c r="I443" s="56" t="str">
        <f>IF('AYIRA MINI MART FINAL MENU - Pr'!I443="", "", 'AYIRA MINI MART FINAL MENU - Pr'!I443)</f>
        <v/>
      </c>
      <c r="J443" s="56" t="str">
        <f>IFERROR(__xludf.DUMMYFUNCTION("IF('AYIRA MINI MART FINAL MENU - Pr'!J443="""", """", GOOGLETRANSLATE('AYIRA MINI MART FINAL MENU - Pr'!J443, ""en"", ""ar""))"),"يعرض")</f>
        <v>يعرض</v>
      </c>
      <c r="K443" s="56" t="str">
        <f>IF('AYIRA MINI MART FINAL MENU - Pr'!K443="", "", 'AYIRA MINI MART FINAL MENU - Pr'!K443)</f>
        <v/>
      </c>
      <c r="L443" s="56" t="str">
        <f>IF('AYIRA MINI MART FINAL MENU - Pr'!L443="", "", 'AYIRA MINI MART FINAL MENU - Pr'!L443)</f>
        <v/>
      </c>
      <c r="M443" s="56" t="str">
        <f>IF('AYIRA MINI MART FINAL MENU - Pr'!M443="", "", 'AYIRA MINI MART FINAL MENU - Pr'!M443)</f>
        <v/>
      </c>
      <c r="N443" s="56" t="str">
        <f>IF('AYIRA MINI MART FINAL MENU - Pr'!N443="", "", 'AYIRA MINI MART FINAL MENU - Pr'!N443)</f>
        <v/>
      </c>
      <c r="O443" s="57"/>
      <c r="P443" s="57"/>
      <c r="Q443" s="57"/>
      <c r="R443" s="57"/>
      <c r="S443" s="57"/>
      <c r="T443" s="57"/>
      <c r="U443" s="57"/>
      <c r="V443" s="57"/>
      <c r="W443" s="57"/>
      <c r="X443" s="57"/>
      <c r="Y443" s="57"/>
      <c r="Z443" s="57"/>
    </row>
    <row r="444">
      <c r="A444" s="56" t="str">
        <f>IFERROR(__xludf.DUMMYFUNCTION("IF('AYIRA MINI MART FINAL MENU - Pr'!A444="""", """", IF(LEN(TRIM(REGEXREPLACE(REGEXREPLACE('AYIRA MINI MART FINAL MENU - Pr'!A444, ""^[^\x{0600}-\x{06FF}]+"", """"), ""^[-–\s]+"", """")))&gt;0, TRIM(REGEXREPLACE(REGEXREPLACE('AYIRA MINI MART FINAL MENU - Pr"&amp;"'!A444, ""^[^\x{0600}-\x{06FF}]+"", """"), ""^[-–\s]+"", """")), GOOGLETRANSLATE('AYIRA MINI MART FINAL MENU - Pr'!A444, ""en"", ""ar"")))"),"ملح")</f>
        <v>ملح</v>
      </c>
      <c r="B444" s="56" t="str">
        <f>IFERROR(__xludf.DUMMYFUNCTION("IF('AYIRA MINI MART FINAL MENU - Pr'!B444="""", """", IF(LEN(TRIM(REGEXREPLACE(REGEXREPLACE('AYIRA MINI MART FINAL MENU - Pr'!B444, ""^[^\x{0600}-\x{06FF}]+"", """"), ""^[-–\s]+"", """")))&gt;0, TRIM(REGEXREPLACE(REGEXREPLACE('AYIRA MINI MART FINAL MENU - Pr"&amp;"'!B444, ""^[^\x{0600}-\x{06FF}]+"", """"), ""^[-–\s]+"", """")), GOOGLETRANSLATE('AYIRA MINI MART FINAL MENU - Pr'!B444, ""en"", ""ar"")))"),"الشيبس والمقرمشات")</f>
        <v>الشيبس والمقرمشات</v>
      </c>
      <c r="C444" s="58">
        <f>IF('AYIRA MINI MART FINAL MENU - Pr'!C444="", "", 'AYIRA MINI MART FINAL MENU - Pr'!C444)</f>
        <v>3.5</v>
      </c>
      <c r="D444" s="58" t="str">
        <f>IF('AYIRA MINI MART FINAL MENU - Pr'!D444="", "", 'AYIRA MINI MART FINAL MENU - Pr'!D444)</f>
        <v>لا تقاوم طعم Karkish Salt،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4" s="56" t="str">
        <f>IF('AYIRA MINI MART FINAL MENU - Pr'!E444="", "", 'AYIRA MINI MART FINAL MENU - Pr'!E444)</f>
        <v/>
      </c>
      <c r="F444" s="56" t="str">
        <f>IF('AYIRA MINI MART FINAL MENU - Pr'!F444="", "", 'AYIRA MINI MART FINAL MENU - Pr'!F444)</f>
        <v/>
      </c>
      <c r="G444" s="56" t="str">
        <f>IF('AYIRA MINI MART FINAL MENU - Pr'!G444="", "", 'AYIRA MINI MART FINAL MENU - Pr'!G444)</f>
        <v/>
      </c>
      <c r="H444" s="56" t="str">
        <f>IF('AYIRA MINI MART FINAL MENU - Pr'!H444="", "", 'AYIRA MINI MART FINAL MENU - Pr'!H444)</f>
        <v/>
      </c>
      <c r="I444" s="56" t="str">
        <f>IF('AYIRA MINI MART FINAL MENU - Pr'!I444="", "", 'AYIRA MINI MART FINAL MENU - Pr'!I444)</f>
        <v/>
      </c>
      <c r="J444" s="56" t="str">
        <f>IFERROR(__xludf.DUMMYFUNCTION("IF('AYIRA MINI MART FINAL MENU - Pr'!J444="""", """", GOOGLETRANSLATE('AYIRA MINI MART FINAL MENU - Pr'!J444, ""en"", ""ar""))"),"يعرض")</f>
        <v>يعرض</v>
      </c>
      <c r="K444" s="56" t="str">
        <f>IF('AYIRA MINI MART FINAL MENU - Pr'!K444="", "", 'AYIRA MINI MART FINAL MENU - Pr'!K444)</f>
        <v/>
      </c>
      <c r="L444" s="56" t="str">
        <f>IF('AYIRA MINI MART FINAL MENU - Pr'!L444="", "", 'AYIRA MINI MART FINAL MENU - Pr'!L444)</f>
        <v/>
      </c>
      <c r="M444" s="56" t="str">
        <f>IF('AYIRA MINI MART FINAL MENU - Pr'!M444="", "", 'AYIRA MINI MART FINAL MENU - Pr'!M444)</f>
        <v/>
      </c>
      <c r="N444" s="56" t="str">
        <f>IF('AYIRA MINI MART FINAL MENU - Pr'!N444="", "", 'AYIRA MINI MART FINAL MENU - Pr'!N444)</f>
        <v/>
      </c>
      <c r="O444" s="57"/>
      <c r="P444" s="57"/>
      <c r="Q444" s="57"/>
      <c r="R444" s="57"/>
      <c r="S444" s="57"/>
      <c r="T444" s="57"/>
      <c r="U444" s="57"/>
      <c r="V444" s="57"/>
      <c r="W444" s="57"/>
      <c r="X444" s="57"/>
      <c r="Y444" s="57"/>
      <c r="Z444" s="57"/>
    </row>
    <row r="445">
      <c r="A445" s="56" t="str">
        <f>IFERROR(__xludf.DUMMYFUNCTION("IF('AYIRA MINI MART FINAL MENU - Pr'!A445="""", """", IF(LEN(TRIM(REGEXREPLACE(REGEXREPLACE('AYIRA MINI MART FINAL MENU - Pr'!A445, ""^[^\x{0600}-\x{06FF}]+"", """"), ""^[-–\s]+"", """")))&gt;0, TRIM(REGEXREPLACE(REGEXREPLACE('AYIRA MINI MART FINAL MENU - Pr"&amp;"'!A445, ""^[^\x{0600}-\x{06FF}]+"", """"), ""^[-–\s]+"", """")), GOOGLETRANSLATE('AYIRA MINI MART FINAL MENU - Pr'!A445, ""en"", ""ar"")))"),"ملح &amp; Vinegar")</f>
        <v>ملح &amp; Vinegar</v>
      </c>
      <c r="B445" s="56" t="str">
        <f>IFERROR(__xludf.DUMMYFUNCTION("IF('AYIRA MINI MART FINAL MENU - Pr'!B445="""", """", IF(LEN(TRIM(REGEXREPLACE(REGEXREPLACE('AYIRA MINI MART FINAL MENU - Pr'!B445, ""^[^\x{0600}-\x{06FF}]+"", """"), ""^[-–\s]+"", """")))&gt;0, TRIM(REGEXREPLACE(REGEXREPLACE('AYIRA MINI MART FINAL MENU - Pr"&amp;"'!B445, ""^[^\x{0600}-\x{06FF}]+"", """"), ""^[-–\s]+"", """")), GOOGLETRANSLATE('AYIRA MINI MART FINAL MENU - Pr'!B445, ""en"", ""ar"")))"),"الشيبس والمقرمشات")</f>
        <v>الشيبس والمقرمشات</v>
      </c>
      <c r="C445" s="58">
        <f>IF('AYIRA MINI MART FINAL MENU - Pr'!C445="", "", 'AYIRA MINI MART FINAL MENU - Pr'!C445)</f>
        <v>3.5</v>
      </c>
      <c r="D445" s="58" t="str">
        <f>IF('AYIRA MINI MART FINAL MENU - Pr'!D445="", "", 'AYIRA MINI MART FINAL MENU - Pr'!D445)</f>
        <v>لا تقاوم طعم Karkish Salt &amp; Vinegar،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5" s="56" t="str">
        <f>IF('AYIRA MINI MART FINAL MENU - Pr'!E445="", "", 'AYIRA MINI MART FINAL MENU - Pr'!E445)</f>
        <v/>
      </c>
      <c r="F445" s="56" t="str">
        <f>IF('AYIRA MINI MART FINAL MENU - Pr'!F445="", "", 'AYIRA MINI MART FINAL MENU - Pr'!F445)</f>
        <v/>
      </c>
      <c r="G445" s="56" t="str">
        <f>IF('AYIRA MINI MART FINAL MENU - Pr'!G445="", "", 'AYIRA MINI MART FINAL MENU - Pr'!G445)</f>
        <v/>
      </c>
      <c r="H445" s="56" t="str">
        <f>IF('AYIRA MINI MART FINAL MENU - Pr'!H445="", "", 'AYIRA MINI MART FINAL MENU - Pr'!H445)</f>
        <v/>
      </c>
      <c r="I445" s="56" t="str">
        <f>IF('AYIRA MINI MART FINAL MENU - Pr'!I445="", "", 'AYIRA MINI MART FINAL MENU - Pr'!I445)</f>
        <v/>
      </c>
      <c r="J445" s="56" t="str">
        <f>IFERROR(__xludf.DUMMYFUNCTION("IF('AYIRA MINI MART FINAL MENU - Pr'!J445="""", """", GOOGLETRANSLATE('AYIRA MINI MART FINAL MENU - Pr'!J445, ""en"", ""ar""))"),"يعرض")</f>
        <v>يعرض</v>
      </c>
      <c r="K445" s="56" t="str">
        <f>IF('AYIRA MINI MART FINAL MENU - Pr'!K445="", "", 'AYIRA MINI MART FINAL MENU - Pr'!K445)</f>
        <v/>
      </c>
      <c r="L445" s="56" t="str">
        <f>IF('AYIRA MINI MART FINAL MENU - Pr'!L445="", "", 'AYIRA MINI MART FINAL MENU - Pr'!L445)</f>
        <v/>
      </c>
      <c r="M445" s="56" t="str">
        <f>IF('AYIRA MINI MART FINAL MENU - Pr'!M445="", "", 'AYIRA MINI MART FINAL MENU - Pr'!M445)</f>
        <v/>
      </c>
      <c r="N445" s="56" t="str">
        <f>IF('AYIRA MINI MART FINAL MENU - Pr'!N445="", "", 'AYIRA MINI MART FINAL MENU - Pr'!N445)</f>
        <v/>
      </c>
      <c r="O445" s="57"/>
      <c r="P445" s="57"/>
      <c r="Q445" s="57"/>
      <c r="R445" s="57"/>
      <c r="S445" s="57"/>
      <c r="T445" s="57"/>
      <c r="U445" s="57"/>
      <c r="V445" s="57"/>
      <c r="W445" s="57"/>
      <c r="X445" s="57"/>
      <c r="Y445" s="57"/>
      <c r="Z445" s="57"/>
    </row>
    <row r="446">
      <c r="A446" s="56" t="str">
        <f>IFERROR(__xludf.DUMMYFUNCTION("IF('AYIRA MINI MART FINAL MENU - Pr'!A446="""", """", IF(LEN(TRIM(REGEXREPLACE(REGEXREPLACE('AYIRA MINI MART FINAL MENU - Pr'!A446, ""^[^\x{0600}-\x{06FF}]+"", """"), ""^[-–\s]+"", """")))&gt;0, TRIM(REGEXREPLACE(REGEXREPLACE('AYIRA MINI MART FINAL MENU - Pr"&amp;"'!A446, ""^[^\x{0600}-\x{06FF}]+"", """"), ""^[-–\s]+"", """")), GOOGLETRANSLATE('AYIRA MINI MART FINAL MENU - Pr'!A446, ""en"", ""ar"")))"),"دوريتوس Nacho جبنة")</f>
        <v>دوريتوس Nacho جبنة</v>
      </c>
      <c r="B446" s="56" t="str">
        <f>IFERROR(__xludf.DUMMYFUNCTION("IF('AYIRA MINI MART FINAL MENU - Pr'!B446="""", """", IF(LEN(TRIM(REGEXREPLACE(REGEXREPLACE('AYIRA MINI MART FINAL MENU - Pr'!B446, ""^[^\x{0600}-\x{06FF}]+"", """"), ""^[-–\s]+"", """")))&gt;0, TRIM(REGEXREPLACE(REGEXREPLACE('AYIRA MINI MART FINAL MENU - Pr"&amp;"'!B446, ""^[^\x{0600}-\x{06FF}]+"", """"), ""^[-–\s]+"", """")), GOOGLETRANSLATE('AYIRA MINI MART FINAL MENU - Pr'!B446, ""en"", ""ar"")))"),"الشيبس والمقرمشات")</f>
        <v>الشيبس والمقرمشات</v>
      </c>
      <c r="C446" s="58">
        <f>IF('AYIRA MINI MART FINAL MENU - Pr'!C446="", "", 'AYIRA MINI MART FINAL MENU - Pr'!C446)</f>
        <v>2</v>
      </c>
      <c r="D446" s="58" t="str">
        <f>IF('AYIRA MINI MART FINAL MENU - Pr'!D446="", "", 'AYIRA MINI MART FINAL MENU - Pr'!D446)</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6" s="56" t="str">
        <f>IF('AYIRA MINI MART FINAL MENU - Pr'!E446="", "", 'AYIRA MINI MART FINAL MENU - Pr'!E446)</f>
        <v/>
      </c>
      <c r="F446" s="56" t="str">
        <f>IF('AYIRA MINI MART FINAL MENU - Pr'!F446="", "", 'AYIRA MINI MART FINAL MENU - Pr'!F446)</f>
        <v/>
      </c>
      <c r="G446" s="56" t="str">
        <f>IF('AYIRA MINI MART FINAL MENU - Pr'!G446="", "", 'AYIRA MINI MART FINAL MENU - Pr'!G446)</f>
        <v/>
      </c>
      <c r="H446" s="56" t="str">
        <f>IF('AYIRA MINI MART FINAL MENU - Pr'!H446="", "", 'AYIRA MINI MART FINAL MENU - Pr'!H446)</f>
        <v/>
      </c>
      <c r="I446" s="56" t="str">
        <f>IF('AYIRA MINI MART FINAL MENU - Pr'!I446="", "", 'AYIRA MINI MART FINAL MENU - Pr'!I446)</f>
        <v/>
      </c>
      <c r="J446" s="56" t="str">
        <f>IFERROR(__xludf.DUMMYFUNCTION("IF('AYIRA MINI MART FINAL MENU - Pr'!J446="""", """", GOOGLETRANSLATE('AYIRA MINI MART FINAL MENU - Pr'!J446, ""en"", ""ar""))"),"يعرض")</f>
        <v>يعرض</v>
      </c>
      <c r="K446" s="56" t="str">
        <f>IF('AYIRA MINI MART FINAL MENU - Pr'!K446="", "", 'AYIRA MINI MART FINAL MENU - Pr'!K446)</f>
        <v/>
      </c>
      <c r="L446" s="56" t="str">
        <f>IF('AYIRA MINI MART FINAL MENU - Pr'!L446="", "", 'AYIRA MINI MART FINAL MENU - Pr'!L446)</f>
        <v/>
      </c>
      <c r="M446" s="56" t="str">
        <f>IF('AYIRA MINI MART FINAL MENU - Pr'!M446="", "", 'AYIRA MINI MART FINAL MENU - Pr'!M446)</f>
        <v/>
      </c>
      <c r="N446" s="56" t="str">
        <f>IF('AYIRA MINI MART FINAL MENU - Pr'!N446="", "", 'AYIRA MINI MART FINAL MENU - Pr'!N446)</f>
        <v/>
      </c>
      <c r="O446" s="57"/>
      <c r="P446" s="57"/>
      <c r="Q446" s="57"/>
      <c r="R446" s="57"/>
      <c r="S446" s="57"/>
      <c r="T446" s="57"/>
      <c r="U446" s="57"/>
      <c r="V446" s="57"/>
      <c r="W446" s="57"/>
      <c r="X446" s="57"/>
      <c r="Y446" s="57"/>
      <c r="Z446" s="57"/>
    </row>
    <row r="447">
      <c r="A447" s="56" t="str">
        <f>IFERROR(__xludf.DUMMYFUNCTION("IF('AYIRA MINI MART FINAL MENU - Pr'!A447="""", """", IF(LEN(TRIM(REGEXREPLACE(REGEXREPLACE('AYIRA MINI MART FINAL MENU - Pr'!A447, ""^[^\x{0600}-\x{06FF}]+"", """"), ""^[-–\s]+"", """")))&gt;0, TRIM(REGEXREPLACE(REGEXREPLACE('AYIRA MINI MART FINAL MENU - Pr"&amp;"'!A447, ""^[^\x{0600}-\x{06FF}]+"", """"), ""^[-–\s]+"", """")), GOOGLETRANSLATE('AYIRA MINI MART FINAL MENU - Pr'!A447, ""en"", ""ar"")))"),"دوريتوس Sweet Chili Pepper")</f>
        <v>دوريتوس Sweet Chili Pepper</v>
      </c>
      <c r="B447" s="56" t="str">
        <f>IFERROR(__xludf.DUMMYFUNCTION("IF('AYIRA MINI MART FINAL MENU - Pr'!B447="""", """", IF(LEN(TRIM(REGEXREPLACE(REGEXREPLACE('AYIRA MINI MART FINAL MENU - Pr'!B447, ""^[^\x{0600}-\x{06FF}]+"", """"), ""^[-–\s]+"", """")))&gt;0, TRIM(REGEXREPLACE(REGEXREPLACE('AYIRA MINI MART FINAL MENU - Pr"&amp;"'!B447, ""^[^\x{0600}-\x{06FF}]+"", """"), ""^[-–\s]+"", """")), GOOGLETRANSLATE('AYIRA MINI MART FINAL MENU - Pr'!B447, ""en"", ""ar"")))"),"الشيبس والمقرمشات")</f>
        <v>الشيبس والمقرمشات</v>
      </c>
      <c r="C447" s="58">
        <f>IF('AYIRA MINI MART FINAL MENU - Pr'!C447="", "", 'AYIRA MINI MART FINAL MENU - Pr'!C447)</f>
        <v>2</v>
      </c>
      <c r="D447" s="58" t="str">
        <f>IF('AYIRA MINI MART FINAL MENU - Pr'!D447="", "", 'AYIRA MINI MART FINAL MENU - Pr'!D447)</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7" s="56" t="str">
        <f>IF('AYIRA MINI MART FINAL MENU - Pr'!E447="", "", 'AYIRA MINI MART FINAL MENU - Pr'!E447)</f>
        <v/>
      </c>
      <c r="F447" s="56" t="str">
        <f>IF('AYIRA MINI MART FINAL MENU - Pr'!F447="", "", 'AYIRA MINI MART FINAL MENU - Pr'!F447)</f>
        <v/>
      </c>
      <c r="G447" s="56" t="str">
        <f>IF('AYIRA MINI MART FINAL MENU - Pr'!G447="", "", 'AYIRA MINI MART FINAL MENU - Pr'!G447)</f>
        <v/>
      </c>
      <c r="H447" s="56" t="str">
        <f>IF('AYIRA MINI MART FINAL MENU - Pr'!H447="", "", 'AYIRA MINI MART FINAL MENU - Pr'!H447)</f>
        <v/>
      </c>
      <c r="I447" s="56" t="str">
        <f>IF('AYIRA MINI MART FINAL MENU - Pr'!I447="", "", 'AYIRA MINI MART FINAL MENU - Pr'!I447)</f>
        <v/>
      </c>
      <c r="J447" s="56" t="str">
        <f>IFERROR(__xludf.DUMMYFUNCTION("IF('AYIRA MINI MART FINAL MENU - Pr'!J447="""", """", GOOGLETRANSLATE('AYIRA MINI MART FINAL MENU - Pr'!J447, ""en"", ""ar""))"),"يعرض")</f>
        <v>يعرض</v>
      </c>
      <c r="K447" s="56" t="str">
        <f>IF('AYIRA MINI MART FINAL MENU - Pr'!K447="", "", 'AYIRA MINI MART FINAL MENU - Pr'!K447)</f>
        <v/>
      </c>
      <c r="L447" s="56" t="str">
        <f>IF('AYIRA MINI MART FINAL MENU - Pr'!L447="", "", 'AYIRA MINI MART FINAL MENU - Pr'!L447)</f>
        <v/>
      </c>
      <c r="M447" s="56" t="str">
        <f>IF('AYIRA MINI MART FINAL MENU - Pr'!M447="", "", 'AYIRA MINI MART FINAL MENU - Pr'!M447)</f>
        <v/>
      </c>
      <c r="N447" s="56" t="str">
        <f>IF('AYIRA MINI MART FINAL MENU - Pr'!N447="", "", 'AYIRA MINI MART FINAL MENU - Pr'!N447)</f>
        <v/>
      </c>
      <c r="O447" s="57"/>
      <c r="P447" s="57"/>
      <c r="Q447" s="57"/>
      <c r="R447" s="57"/>
      <c r="S447" s="57"/>
      <c r="T447" s="57"/>
      <c r="U447" s="57"/>
      <c r="V447" s="57"/>
      <c r="W447" s="57"/>
      <c r="X447" s="57"/>
      <c r="Y447" s="57"/>
      <c r="Z447" s="57"/>
    </row>
    <row r="448">
      <c r="A448" s="56" t="str">
        <f>IFERROR(__xludf.DUMMYFUNCTION("IF('AYIRA MINI MART FINAL MENU - Pr'!A448="""", """", IF(LEN(TRIM(REGEXREPLACE(REGEXREPLACE('AYIRA MINI MART FINAL MENU - Pr'!A448, ""^[^\x{0600}-\x{06FF}]+"", """"), ""^[-–\s]+"", """")))&gt;0, TRIM(REGEXREPLACE(REGEXREPLACE('AYIRA MINI MART FINAL MENU - Pr"&amp;"'!A448, ""^[^\x{0600}-\x{06FF}]+"", """"), ""^[-–\s]+"", """")), GOOGLETRANSLATE('AYIRA MINI MART FINAL MENU - Pr'!A448, ""en"", ""ar"")))"),"أصلي جبنة Flavoured Corn Snacks 24 غرام")</f>
        <v>أصلي جبنة Flavoured Corn Snacks 24 غرام</v>
      </c>
      <c r="B448" s="56" t="str">
        <f>IFERROR(__xludf.DUMMYFUNCTION("IF('AYIRA MINI MART FINAL MENU - Pr'!B448="""", """", IF(LEN(TRIM(REGEXREPLACE(REGEXREPLACE('AYIRA MINI MART FINAL MENU - Pr'!B448, ""^[^\x{0600}-\x{06FF}]+"", """"), ""^[-–\s]+"", """")))&gt;0, TRIM(REGEXREPLACE(REGEXREPLACE('AYIRA MINI MART FINAL MENU - Pr"&amp;"'!B448, ""^[^\x{0600}-\x{06FF}]+"", """"), ""^[-–\s]+"", """")), GOOGLETRANSLATE('AYIRA MINI MART FINAL MENU - Pr'!B448, ""en"", ""ar"")))"),"الشيبس والمقرمشات")</f>
        <v>الشيبس والمقرمشات</v>
      </c>
      <c r="C448" s="58">
        <f>IF('AYIRA MINI MART FINAL MENU - Pr'!C448="", "", 'AYIRA MINI MART FINAL MENU - Pr'!C448)</f>
        <v>2.5</v>
      </c>
      <c r="D448" s="58" t="str">
        <f>IF('AYIRA MINI MART FINAL MENU - Pr'!D448="", "", 'AYIRA MINI MART FINAL MENU - Pr'!D448)</f>
        <v>لا تقاوم طعم Fonzies Original Cheese Flavoured Corn Snacks 24g،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8" s="56" t="str">
        <f>IF('AYIRA MINI MART FINAL MENU - Pr'!E448="", "", 'AYIRA MINI MART FINAL MENU - Pr'!E448)</f>
        <v/>
      </c>
      <c r="F448" s="56" t="str">
        <f>IF('AYIRA MINI MART FINAL MENU - Pr'!F448="", "", 'AYIRA MINI MART FINAL MENU - Pr'!F448)</f>
        <v/>
      </c>
      <c r="G448" s="56" t="str">
        <f>IF('AYIRA MINI MART FINAL MENU - Pr'!G448="", "", 'AYIRA MINI MART FINAL MENU - Pr'!G448)</f>
        <v/>
      </c>
      <c r="H448" s="56" t="str">
        <f>IF('AYIRA MINI MART FINAL MENU - Pr'!H448="", "", 'AYIRA MINI MART FINAL MENU - Pr'!H448)</f>
        <v/>
      </c>
      <c r="I448" s="56" t="str">
        <f>IF('AYIRA MINI MART FINAL MENU - Pr'!I448="", "", 'AYIRA MINI MART FINAL MENU - Pr'!I448)</f>
        <v/>
      </c>
      <c r="J448" s="56" t="str">
        <f>IFERROR(__xludf.DUMMYFUNCTION("IF('AYIRA MINI MART FINAL MENU - Pr'!J448="""", """", GOOGLETRANSLATE('AYIRA MINI MART FINAL MENU - Pr'!J448, ""en"", ""ar""))"),"يعرض")</f>
        <v>يعرض</v>
      </c>
      <c r="K448" s="56" t="str">
        <f>IF('AYIRA MINI MART FINAL MENU - Pr'!K448="", "", 'AYIRA MINI MART FINAL MENU - Pr'!K448)</f>
        <v/>
      </c>
      <c r="L448" s="56" t="str">
        <f>IF('AYIRA MINI MART FINAL MENU - Pr'!L448="", "", 'AYIRA MINI MART FINAL MENU - Pr'!L448)</f>
        <v/>
      </c>
      <c r="M448" s="56" t="str">
        <f>IF('AYIRA MINI MART FINAL MENU - Pr'!M448="", "", 'AYIRA MINI MART FINAL MENU - Pr'!M448)</f>
        <v/>
      </c>
      <c r="N448" s="56" t="str">
        <f>IF('AYIRA MINI MART FINAL MENU - Pr'!N448="", "", 'AYIRA MINI MART FINAL MENU - Pr'!N448)</f>
        <v/>
      </c>
      <c r="O448" s="57"/>
      <c r="P448" s="57"/>
      <c r="Q448" s="57"/>
      <c r="R448" s="57"/>
      <c r="S448" s="57"/>
      <c r="T448" s="57"/>
      <c r="U448" s="57"/>
      <c r="V448" s="57"/>
      <c r="W448" s="57"/>
      <c r="X448" s="57"/>
      <c r="Y448" s="57"/>
      <c r="Z448" s="57"/>
    </row>
    <row r="449">
      <c r="A449" s="56" t="str">
        <f>IFERROR(__xludf.DUMMYFUNCTION("IF('AYIRA MINI MART FINAL MENU - Pr'!A449="""", """", IF(LEN(TRIM(REGEXREPLACE(REGEXREPLACE('AYIRA MINI MART FINAL MENU - Pr'!A449, ""^[^\x{0600}-\x{06FF}]+"", """"), ""^[-–\s]+"", """")))&gt;0, TRIM(REGEXREPLACE(REGEXREPLACE('AYIRA MINI MART FINAL MENU - Pr"&amp;"'!A449, ""^[^\x{0600}-\x{06FF}]+"", """"), ""^[-–\s]+"", """")), GOOGLETRANSLATE('AYIRA MINI MART FINAL MENU - Pr'!A449, ""en"", ""ar"")))"),"جبنة 40 غرام")</f>
        <v>جبنة 40 غرام</v>
      </c>
      <c r="B449" s="56" t="str">
        <f>IFERROR(__xludf.DUMMYFUNCTION("IF('AYIRA MINI MART FINAL MENU - Pr'!B449="""", """", IF(LEN(TRIM(REGEXREPLACE(REGEXREPLACE('AYIRA MINI MART FINAL MENU - Pr'!B449, ""^[^\x{0600}-\x{06FF}]+"", """"), ""^[-–\s]+"", """")))&gt;0, TRIM(REGEXREPLACE(REGEXREPLACE('AYIRA MINI MART FINAL MENU - Pr"&amp;"'!B449, ""^[^\x{0600}-\x{06FF}]+"", """"), ""^[-–\s]+"", """")), GOOGLETRANSLATE('AYIRA MINI MART FINAL MENU - Pr'!B449, ""en"", ""ar"")))"),"الشيبس والمقرمشات")</f>
        <v>الشيبس والمقرمشات</v>
      </c>
      <c r="C449" s="58">
        <f>IF('AYIRA MINI MART FINAL MENU - Pr'!C449="", "", 'AYIRA MINI MART FINAL MENU - Pr'!C449)</f>
        <v>4</v>
      </c>
      <c r="D449" s="58" t="str">
        <f>IF('AYIRA MINI MART FINAL MENU - Pr'!D449="", "", 'AYIRA MINI MART FINAL MENU - Pr'!D449)</f>
        <v>لا تقاوم طعم FORNO Authentic Cheese 40g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49" s="56" t="str">
        <f>IF('AYIRA MINI MART FINAL MENU - Pr'!E449="", "", 'AYIRA MINI MART FINAL MENU - Pr'!E449)</f>
        <v/>
      </c>
      <c r="F449" s="56" t="str">
        <f>IF('AYIRA MINI MART FINAL MENU - Pr'!F449="", "", 'AYIRA MINI MART FINAL MENU - Pr'!F449)</f>
        <v/>
      </c>
      <c r="G449" s="56" t="str">
        <f>IF('AYIRA MINI MART FINAL MENU - Pr'!G449="", "", 'AYIRA MINI MART FINAL MENU - Pr'!G449)</f>
        <v/>
      </c>
      <c r="H449" s="56" t="str">
        <f>IF('AYIRA MINI MART FINAL MENU - Pr'!H449="", "", 'AYIRA MINI MART FINAL MENU - Pr'!H449)</f>
        <v/>
      </c>
      <c r="I449" s="56" t="str">
        <f>IF('AYIRA MINI MART FINAL MENU - Pr'!I449="", "", 'AYIRA MINI MART FINAL MENU - Pr'!I449)</f>
        <v/>
      </c>
      <c r="J449" s="56" t="str">
        <f>IFERROR(__xludf.DUMMYFUNCTION("IF('AYIRA MINI MART FINAL MENU - Pr'!J449="""", """", GOOGLETRANSLATE('AYIRA MINI MART FINAL MENU - Pr'!J449, ""en"", ""ar""))"),"يعرض")</f>
        <v>يعرض</v>
      </c>
      <c r="K449" s="56" t="str">
        <f>IF('AYIRA MINI MART FINAL MENU - Pr'!K449="", "", 'AYIRA MINI MART FINAL MENU - Pr'!K449)</f>
        <v/>
      </c>
      <c r="L449" s="56" t="str">
        <f>IF('AYIRA MINI MART FINAL MENU - Pr'!L449="", "", 'AYIRA MINI MART FINAL MENU - Pr'!L449)</f>
        <v/>
      </c>
      <c r="M449" s="56" t="str">
        <f>IF('AYIRA MINI MART FINAL MENU - Pr'!M449="", "", 'AYIRA MINI MART FINAL MENU - Pr'!M449)</f>
        <v/>
      </c>
      <c r="N449" s="56" t="str">
        <f>IF('AYIRA MINI MART FINAL MENU - Pr'!N449="", "", 'AYIRA MINI MART FINAL MENU - Pr'!N449)</f>
        <v/>
      </c>
      <c r="O449" s="57"/>
      <c r="P449" s="57"/>
      <c r="Q449" s="57"/>
      <c r="R449" s="57"/>
      <c r="S449" s="57"/>
      <c r="T449" s="57"/>
      <c r="U449" s="57"/>
      <c r="V449" s="57"/>
      <c r="W449" s="57"/>
      <c r="X449" s="57"/>
      <c r="Y449" s="57"/>
      <c r="Z449" s="57"/>
    </row>
    <row r="450">
      <c r="A450" s="56" t="str">
        <f>IFERROR(__xludf.DUMMYFUNCTION("IF('AYIRA MINI MART FINAL MENU - Pr'!A450="""", """", IF(LEN(TRIM(REGEXREPLACE(REGEXREPLACE('AYIRA MINI MART FINAL MENU - Pr'!A450, ""^[^\x{0600}-\x{06FF}]+"", """"), ""^[-–\s]+"", """")))&gt;0, TRIM(REGEXREPLACE(REGEXREPLACE('AYIRA MINI MART FINAL MENU - Pr"&amp;"'!A450, ""^[^\x{0600}-\x{06FF}]+"", """"), ""^[-–\s]+"", """")), GOOGLETRANSLATE('AYIRA MINI MART FINAL MENU - Pr'!A450, ""en"", ""ar"")))"),"ليز French جبنة 12 غرام")</f>
        <v>ليز French جبنة 12 غرام</v>
      </c>
      <c r="B450" s="56" t="str">
        <f>IFERROR(__xludf.DUMMYFUNCTION("IF('AYIRA MINI MART FINAL MENU - Pr'!B450="""", """", IF(LEN(TRIM(REGEXREPLACE(REGEXREPLACE('AYIRA MINI MART FINAL MENU - Pr'!B450, ""^[^\x{0600}-\x{06FF}]+"", """"), ""^[-–\s]+"", """")))&gt;0, TRIM(REGEXREPLACE(REGEXREPLACE('AYIRA MINI MART FINAL MENU - Pr"&amp;"'!B450, ""^[^\x{0600}-\x{06FF}]+"", """"), ""^[-–\s]+"", """")), GOOGLETRANSLATE('AYIRA MINI MART FINAL MENU - Pr'!B450, ""en"", ""ar"")))"),"الشيبس والمقرمشات")</f>
        <v>الشيبس والمقرمشات</v>
      </c>
      <c r="C450" s="58">
        <f>IF('AYIRA MINI MART FINAL MENU - Pr'!C450="", "", 'AYIRA MINI MART FINAL MENU - Pr'!C450)</f>
        <v>1.5</v>
      </c>
      <c r="D450" s="58" t="str">
        <f>IF('AYIRA MINI MART FINAL MENU - Pr'!D450="", "", 'AYIRA MINI MART FINAL MENU - Pr'!D450)</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0" s="56" t="str">
        <f>IF('AYIRA MINI MART FINAL MENU - Pr'!E450="", "", 'AYIRA MINI MART FINAL MENU - Pr'!E450)</f>
        <v/>
      </c>
      <c r="F450" s="56" t="str">
        <f>IF('AYIRA MINI MART FINAL MENU - Pr'!F450="", "", 'AYIRA MINI MART FINAL MENU - Pr'!F450)</f>
        <v/>
      </c>
      <c r="G450" s="56" t="str">
        <f>IF('AYIRA MINI MART FINAL MENU - Pr'!G450="", "", 'AYIRA MINI MART FINAL MENU - Pr'!G450)</f>
        <v/>
      </c>
      <c r="H450" s="56" t="str">
        <f>IF('AYIRA MINI MART FINAL MENU - Pr'!H450="", "", 'AYIRA MINI MART FINAL MENU - Pr'!H450)</f>
        <v/>
      </c>
      <c r="I450" s="56" t="str">
        <f>IF('AYIRA MINI MART FINAL MENU - Pr'!I450="", "", 'AYIRA MINI MART FINAL MENU - Pr'!I450)</f>
        <v/>
      </c>
      <c r="J450" s="56" t="str">
        <f>IFERROR(__xludf.DUMMYFUNCTION("IF('AYIRA MINI MART FINAL MENU - Pr'!J450="""", """", GOOGLETRANSLATE('AYIRA MINI MART FINAL MENU - Pr'!J450, ""en"", ""ar""))"),"يعرض")</f>
        <v>يعرض</v>
      </c>
      <c r="K450" s="56" t="str">
        <f>IF('AYIRA MINI MART FINAL MENU - Pr'!K450="", "", 'AYIRA MINI MART FINAL MENU - Pr'!K450)</f>
        <v/>
      </c>
      <c r="L450" s="56" t="str">
        <f>IF('AYIRA MINI MART FINAL MENU - Pr'!L450="", "", 'AYIRA MINI MART FINAL MENU - Pr'!L450)</f>
        <v/>
      </c>
      <c r="M450" s="56" t="str">
        <f>IF('AYIRA MINI MART FINAL MENU - Pr'!M450="", "", 'AYIRA MINI MART FINAL MENU - Pr'!M450)</f>
        <v/>
      </c>
      <c r="N450" s="56" t="str">
        <f>IF('AYIRA MINI MART FINAL MENU - Pr'!N450="", "", 'AYIRA MINI MART FINAL MENU - Pr'!N450)</f>
        <v/>
      </c>
      <c r="O450" s="57"/>
      <c r="P450" s="57"/>
      <c r="Q450" s="57"/>
      <c r="R450" s="57"/>
      <c r="S450" s="57"/>
      <c r="T450" s="57"/>
      <c r="U450" s="57"/>
      <c r="V450" s="57"/>
      <c r="W450" s="57"/>
      <c r="X450" s="57"/>
      <c r="Y450" s="57"/>
      <c r="Z450" s="57"/>
    </row>
    <row r="451">
      <c r="A451" s="56" t="str">
        <f>IFERROR(__xludf.DUMMYFUNCTION("IF('AYIRA MINI MART FINAL MENU - Pr'!A451="""", """", IF(LEN(TRIM(REGEXREPLACE(REGEXREPLACE('AYIRA MINI MART FINAL MENU - Pr'!A451, ""^[^\x{0600}-\x{06FF}]+"", """"), ""^[-–\s]+"", """")))&gt;0, TRIM(REGEXREPLACE(REGEXREPLACE('AYIRA MINI MART FINAL MENU - Pr"&amp;"'!A451, ""^[^\x{0600}-\x{06FF}]+"", """"), ""^[-–\s]+"", """")), GOOGLETRANSLATE('AYIRA MINI MART FINAL MENU - Pr'!A451, ""en"", ""ar"")))"),"ليز مملح 12 غرام")</f>
        <v>ليز مملح 12 غرام</v>
      </c>
      <c r="B451" s="56" t="str">
        <f>IFERROR(__xludf.DUMMYFUNCTION("IF('AYIRA MINI MART FINAL MENU - Pr'!B451="""", """", IF(LEN(TRIM(REGEXREPLACE(REGEXREPLACE('AYIRA MINI MART FINAL MENU - Pr'!B451, ""^[^\x{0600}-\x{06FF}]+"", """"), ""^[-–\s]+"", """")))&gt;0, TRIM(REGEXREPLACE(REGEXREPLACE('AYIRA MINI MART FINAL MENU - Pr"&amp;"'!B451, ""^[^\x{0600}-\x{06FF}]+"", """"), ""^[-–\s]+"", """")), GOOGLETRANSLATE('AYIRA MINI MART FINAL MENU - Pr'!B451, ""en"", ""ar"")))"),"الشيبس والمقرمشات")</f>
        <v>الشيبس والمقرمشات</v>
      </c>
      <c r="C451" s="58">
        <f>IF('AYIRA MINI MART FINAL MENU - Pr'!C451="", "", 'AYIRA MINI MART FINAL MENU - Pr'!C451)</f>
        <v>1.5</v>
      </c>
      <c r="D451" s="58" t="str">
        <f>IF('AYIRA MINI MART FINAL MENU - Pr'!D451="", "", 'AYIRA MINI MART FINAL MENU - Pr'!D451)</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1" s="56" t="str">
        <f>IF('AYIRA MINI MART FINAL MENU - Pr'!E451="", "", 'AYIRA MINI MART FINAL MENU - Pr'!E451)</f>
        <v/>
      </c>
      <c r="F451" s="56" t="str">
        <f>IF('AYIRA MINI MART FINAL MENU - Pr'!F451="", "", 'AYIRA MINI MART FINAL MENU - Pr'!F451)</f>
        <v/>
      </c>
      <c r="G451" s="56" t="str">
        <f>IF('AYIRA MINI MART FINAL MENU - Pr'!G451="", "", 'AYIRA MINI MART FINAL MENU - Pr'!G451)</f>
        <v/>
      </c>
      <c r="H451" s="56" t="str">
        <f>IF('AYIRA MINI MART FINAL MENU - Pr'!H451="", "", 'AYIRA MINI MART FINAL MENU - Pr'!H451)</f>
        <v/>
      </c>
      <c r="I451" s="56" t="str">
        <f>IF('AYIRA MINI MART FINAL MENU - Pr'!I451="", "", 'AYIRA MINI MART FINAL MENU - Pr'!I451)</f>
        <v/>
      </c>
      <c r="J451" s="56" t="str">
        <f>IFERROR(__xludf.DUMMYFUNCTION("IF('AYIRA MINI MART FINAL MENU - Pr'!J451="""", """", GOOGLETRANSLATE('AYIRA MINI MART FINAL MENU - Pr'!J451, ""en"", ""ar""))"),"يعرض")</f>
        <v>يعرض</v>
      </c>
      <c r="K451" s="56" t="str">
        <f>IF('AYIRA MINI MART FINAL MENU - Pr'!K451="", "", 'AYIRA MINI MART FINAL MENU - Pr'!K451)</f>
        <v/>
      </c>
      <c r="L451" s="56" t="str">
        <f>IF('AYIRA MINI MART FINAL MENU - Pr'!L451="", "", 'AYIRA MINI MART FINAL MENU - Pr'!L451)</f>
        <v/>
      </c>
      <c r="M451" s="56" t="str">
        <f>IF('AYIRA MINI MART FINAL MENU - Pr'!M451="", "", 'AYIRA MINI MART FINAL MENU - Pr'!M451)</f>
        <v/>
      </c>
      <c r="N451" s="56" t="str">
        <f>IF('AYIRA MINI MART FINAL MENU - Pr'!N451="", "", 'AYIRA MINI MART FINAL MENU - Pr'!N451)</f>
        <v/>
      </c>
      <c r="O451" s="57"/>
      <c r="P451" s="57"/>
      <c r="Q451" s="57"/>
      <c r="R451" s="57"/>
      <c r="S451" s="57"/>
      <c r="T451" s="57"/>
      <c r="U451" s="57"/>
      <c r="V451" s="57"/>
      <c r="W451" s="57"/>
      <c r="X451" s="57"/>
      <c r="Y451" s="57"/>
      <c r="Z451" s="57"/>
    </row>
    <row r="452">
      <c r="A452" s="56" t="str">
        <f>IFERROR(__xludf.DUMMYFUNCTION("IF('AYIRA MINI MART FINAL MENU - Pr'!A452="""", """", IF(LEN(TRIM(REGEXREPLACE(REGEXREPLACE('AYIRA MINI MART FINAL MENU - Pr'!A452, ""^[^\x{0600}-\x{06FF}]+"", """"), ""^[-–\s]+"", """")))&gt;0, TRIM(REGEXREPLACE(REGEXREPLACE('AYIRA MINI MART FINAL MENU - Pr"&amp;"'!A452, ""^[^\x{0600}-\x{06FF}]+"", """"), ""^[-–\s]+"", """")), GOOGLETRANSLATE('AYIRA MINI MART FINAL MENU - Pr'!A452, ""en"", ""ar"")))"),"ليز Tomato كاتشاب 21 غرام")</f>
        <v>ليز Tomato كاتشاب 21 غرام</v>
      </c>
      <c r="B452" s="56" t="str">
        <f>IFERROR(__xludf.DUMMYFUNCTION("IF('AYIRA MINI MART FINAL MENU - Pr'!B452="""", """", IF(LEN(TRIM(REGEXREPLACE(REGEXREPLACE('AYIRA MINI MART FINAL MENU - Pr'!B452, ""^[^\x{0600}-\x{06FF}]+"", """"), ""^[-–\s]+"", """")))&gt;0, TRIM(REGEXREPLACE(REGEXREPLACE('AYIRA MINI MART FINAL MENU - Pr"&amp;"'!B452, ""^[^\x{0600}-\x{06FF}]+"", """"), ""^[-–\s]+"", """")), GOOGLETRANSLATE('AYIRA MINI MART FINAL MENU - Pr'!B452, ""en"", ""ar"")))"),"الشيبس والمقرمشات")</f>
        <v>الشيبس والمقرمشات</v>
      </c>
      <c r="C452" s="58">
        <f>IF('AYIRA MINI MART FINAL MENU - Pr'!C452="", "", 'AYIRA MINI MART FINAL MENU - Pr'!C452)</f>
        <v>1.5</v>
      </c>
      <c r="D452" s="58" t="str">
        <f>IF('AYIRA MINI MART FINAL MENU - Pr'!D452="", "", 'AYIRA MINI MART FINAL MENU - Pr'!D452)</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2" s="56" t="str">
        <f>IF('AYIRA MINI MART FINAL MENU - Pr'!E452="", "", 'AYIRA MINI MART FINAL MENU - Pr'!E452)</f>
        <v/>
      </c>
      <c r="F452" s="56" t="str">
        <f>IF('AYIRA MINI MART FINAL MENU - Pr'!F452="", "", 'AYIRA MINI MART FINAL MENU - Pr'!F452)</f>
        <v/>
      </c>
      <c r="G452" s="56" t="str">
        <f>IF('AYIRA MINI MART FINAL MENU - Pr'!G452="", "", 'AYIRA MINI MART FINAL MENU - Pr'!G452)</f>
        <v/>
      </c>
      <c r="H452" s="56" t="str">
        <f>IF('AYIRA MINI MART FINAL MENU - Pr'!H452="", "", 'AYIRA MINI MART FINAL MENU - Pr'!H452)</f>
        <v/>
      </c>
      <c r="I452" s="56" t="str">
        <f>IF('AYIRA MINI MART FINAL MENU - Pr'!I452="", "", 'AYIRA MINI MART FINAL MENU - Pr'!I452)</f>
        <v/>
      </c>
      <c r="J452" s="56" t="str">
        <f>IFERROR(__xludf.DUMMYFUNCTION("IF('AYIRA MINI MART FINAL MENU - Pr'!J452="""", """", GOOGLETRANSLATE('AYIRA MINI MART FINAL MENU - Pr'!J452, ""en"", ""ar""))"),"يعرض")</f>
        <v>يعرض</v>
      </c>
      <c r="K452" s="56" t="str">
        <f>IF('AYIRA MINI MART FINAL MENU - Pr'!K452="", "", 'AYIRA MINI MART FINAL MENU - Pr'!K452)</f>
        <v/>
      </c>
      <c r="L452" s="56" t="str">
        <f>IF('AYIRA MINI MART FINAL MENU - Pr'!L452="", "", 'AYIRA MINI MART FINAL MENU - Pr'!L452)</f>
        <v/>
      </c>
      <c r="M452" s="56" t="str">
        <f>IF('AYIRA MINI MART FINAL MENU - Pr'!M452="", "", 'AYIRA MINI MART FINAL MENU - Pr'!M452)</f>
        <v/>
      </c>
      <c r="N452" s="56" t="str">
        <f>IF('AYIRA MINI MART FINAL MENU - Pr'!N452="", "", 'AYIRA MINI MART FINAL MENU - Pr'!N452)</f>
        <v/>
      </c>
      <c r="O452" s="57"/>
      <c r="P452" s="57"/>
      <c r="Q452" s="57"/>
      <c r="R452" s="57"/>
      <c r="S452" s="57"/>
      <c r="T452" s="57"/>
      <c r="U452" s="57"/>
      <c r="V452" s="57"/>
      <c r="W452" s="57"/>
      <c r="X452" s="57"/>
      <c r="Y452" s="57"/>
      <c r="Z452" s="57"/>
    </row>
    <row r="453">
      <c r="A453" s="56" t="str">
        <f>IFERROR(__xludf.DUMMYFUNCTION("IF('AYIRA MINI MART FINAL MENU - Pr'!A453="""", """", IF(LEN(TRIM(REGEXREPLACE(REGEXREPLACE('AYIRA MINI MART FINAL MENU - Pr'!A453, ""^[^\x{0600}-\x{06FF}]+"", """"), ""^[-–\s]+"", """")))&gt;0, TRIM(REGEXREPLACE(REGEXREPLACE('AYIRA MINI MART FINAL MENU - Pr"&amp;"'!A453, ""^[^\x{0600}-\x{06FF}]+"", """"), ""^[-–\s]+"", """")), GOOGLETRANSLATE('AYIRA MINI MART FINAL MENU - Pr'!A453, ""en"", ""ar"")))"),"شيبس جبنة Flavour 16 غرام")</f>
        <v>شيبس جبنة Flavour 16 غرام</v>
      </c>
      <c r="B453" s="56" t="str">
        <f>IFERROR(__xludf.DUMMYFUNCTION("IF('AYIRA MINI MART FINAL MENU - Pr'!B453="""", """", IF(LEN(TRIM(REGEXREPLACE(REGEXREPLACE('AYIRA MINI MART FINAL MENU - Pr'!B453, ""^[^\x{0600}-\x{06FF}]+"", """"), ""^[-–\s]+"", """")))&gt;0, TRIM(REGEXREPLACE(REGEXREPLACE('AYIRA MINI MART FINAL MENU - Pr"&amp;"'!B453, ""^[^\x{0600}-\x{06FF}]+"", """"), ""^[-–\s]+"", """")), GOOGLETRANSLATE('AYIRA MINI MART FINAL MENU - Pr'!B453, ""en"", ""ar"")))"),"الشيبس والمقرمشات")</f>
        <v>الشيبس والمقرمشات</v>
      </c>
      <c r="C453" s="58">
        <f>IF('AYIRA MINI MART FINAL MENU - Pr'!C453="", "", 'AYIRA MINI MART FINAL MENU - Pr'!C453)</f>
        <v>1</v>
      </c>
      <c r="D453" s="58" t="str">
        <f>IF('AYIRA MINI MART FINAL MENU - Pr'!D453="", "", 'AYIRA MINI MART FINAL MENU - Pr'!D453)</f>
        <v>لا تقاوم طعم Molto Chips Cheese Flavour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3" s="56" t="str">
        <f>IF('AYIRA MINI MART FINAL MENU - Pr'!E453="", "", 'AYIRA MINI MART FINAL MENU - Pr'!E453)</f>
        <v/>
      </c>
      <c r="F453" s="56" t="str">
        <f>IF('AYIRA MINI MART FINAL MENU - Pr'!F453="", "", 'AYIRA MINI MART FINAL MENU - Pr'!F453)</f>
        <v/>
      </c>
      <c r="G453" s="56" t="str">
        <f>IF('AYIRA MINI MART FINAL MENU - Pr'!G453="", "", 'AYIRA MINI MART FINAL MENU - Pr'!G453)</f>
        <v/>
      </c>
      <c r="H453" s="56" t="str">
        <f>IF('AYIRA MINI MART FINAL MENU - Pr'!H453="", "", 'AYIRA MINI MART FINAL MENU - Pr'!H453)</f>
        <v/>
      </c>
      <c r="I453" s="56" t="str">
        <f>IF('AYIRA MINI MART FINAL MENU - Pr'!I453="", "", 'AYIRA MINI MART FINAL MENU - Pr'!I453)</f>
        <v/>
      </c>
      <c r="J453" s="56" t="str">
        <f>IFERROR(__xludf.DUMMYFUNCTION("IF('AYIRA MINI MART FINAL MENU - Pr'!J453="""", """", GOOGLETRANSLATE('AYIRA MINI MART FINAL MENU - Pr'!J453, ""en"", ""ar""))"),"يعرض")</f>
        <v>يعرض</v>
      </c>
      <c r="K453" s="56" t="str">
        <f>IF('AYIRA MINI MART FINAL MENU - Pr'!K453="", "", 'AYIRA MINI MART FINAL MENU - Pr'!K453)</f>
        <v/>
      </c>
      <c r="L453" s="56" t="str">
        <f>IF('AYIRA MINI MART FINAL MENU - Pr'!L453="", "", 'AYIRA MINI MART FINAL MENU - Pr'!L453)</f>
        <v/>
      </c>
      <c r="M453" s="56" t="str">
        <f>IF('AYIRA MINI MART FINAL MENU - Pr'!M453="", "", 'AYIRA MINI MART FINAL MENU - Pr'!M453)</f>
        <v/>
      </c>
      <c r="N453" s="56" t="str">
        <f>IF('AYIRA MINI MART FINAL MENU - Pr'!N453="", "", 'AYIRA MINI MART FINAL MENU - Pr'!N453)</f>
        <v/>
      </c>
      <c r="O453" s="57"/>
      <c r="P453" s="57"/>
      <c r="Q453" s="57"/>
      <c r="R453" s="57"/>
      <c r="S453" s="57"/>
      <c r="T453" s="57"/>
      <c r="U453" s="57"/>
      <c r="V453" s="57"/>
      <c r="W453" s="57"/>
      <c r="X453" s="57"/>
      <c r="Y453" s="57"/>
      <c r="Z453" s="57"/>
    </row>
    <row r="454">
      <c r="A454" s="56" t="str">
        <f>IFERROR(__xludf.DUMMYFUNCTION("IF('AYIRA MINI MART FINAL MENU - Pr'!A454="""", """", IF(LEN(TRIM(REGEXREPLACE(REGEXREPLACE('AYIRA MINI MART FINAL MENU - Pr'!A454, ""^[^\x{0600}-\x{06FF}]+"", """"), ""^[-–\s]+"", """")))&gt;0, TRIM(REGEXREPLACE(REGEXREPLACE('AYIRA MINI MART FINAL MENU - Pr"&amp;"'!A454, ""^[^\x{0600}-\x{06FF}]+"", """"), ""^[-–\s]+"", """")), GOOGLETRANSLATE('AYIRA MINI MART FINAL MENU - Pr'!A454, ""en"", ""ar"")))"),"ليز باربيكيو Flavored 184.2 غرام")</f>
        <v>ليز باربيكيو Flavored 184.2 غرام</v>
      </c>
      <c r="B454" s="56" t="str">
        <f>IFERROR(__xludf.DUMMYFUNCTION("IF('AYIRA MINI MART FINAL MENU - Pr'!B454="""", """", IF(LEN(TRIM(REGEXREPLACE(REGEXREPLACE('AYIRA MINI MART FINAL MENU - Pr'!B454, ""^[^\x{0600}-\x{06FF}]+"", """"), ""^[-–\s]+"", """")))&gt;0, TRIM(REGEXREPLACE(REGEXREPLACE('AYIRA MINI MART FINAL MENU - Pr"&amp;"'!B454, ""^[^\x{0600}-\x{06FF}]+"", """"), ""^[-–\s]+"", """")), GOOGLETRANSLATE('AYIRA MINI MART FINAL MENU - Pr'!B454, ""en"", ""ar"")))"),"الشيبس والمقرمشات")</f>
        <v>الشيبس والمقرمشات</v>
      </c>
      <c r="C454" s="58">
        <f>IF('AYIRA MINI MART FINAL MENU - Pr'!C454="", "", 'AYIRA MINI MART FINAL MENU - Pr'!C454)</f>
        <v>19</v>
      </c>
      <c r="D454" s="58" t="str">
        <f>IF('AYIRA MINI MART FINAL MENU - Pr'!D454="", "", 'AYIRA MINI MART FINAL MENU - Pr'!D454)</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4" s="56" t="str">
        <f>IF('AYIRA MINI MART FINAL MENU - Pr'!E454="", "", 'AYIRA MINI MART FINAL MENU - Pr'!E454)</f>
        <v/>
      </c>
      <c r="F454" s="56" t="str">
        <f>IF('AYIRA MINI MART FINAL MENU - Pr'!F454="", "", 'AYIRA MINI MART FINAL MENU - Pr'!F454)</f>
        <v/>
      </c>
      <c r="G454" s="56" t="str">
        <f>IF('AYIRA MINI MART FINAL MENU - Pr'!G454="", "", 'AYIRA MINI MART FINAL MENU - Pr'!G454)</f>
        <v/>
      </c>
      <c r="H454" s="56" t="str">
        <f>IF('AYIRA MINI MART FINAL MENU - Pr'!H454="", "", 'AYIRA MINI MART FINAL MENU - Pr'!H454)</f>
        <v/>
      </c>
      <c r="I454" s="56" t="str">
        <f>IF('AYIRA MINI MART FINAL MENU - Pr'!I454="", "", 'AYIRA MINI MART FINAL MENU - Pr'!I454)</f>
        <v/>
      </c>
      <c r="J454" s="56" t="str">
        <f>IFERROR(__xludf.DUMMYFUNCTION("IF('AYIRA MINI MART FINAL MENU - Pr'!J454="""", """", GOOGLETRANSLATE('AYIRA MINI MART FINAL MENU - Pr'!J454, ""en"", ""ar""))"),"إنتهى من المخزن")</f>
        <v>إنتهى من المخزن</v>
      </c>
      <c r="K454" s="56" t="str">
        <f>IF('AYIRA MINI MART FINAL MENU - Pr'!K454="", "", 'AYIRA MINI MART FINAL MENU - Pr'!K454)</f>
        <v/>
      </c>
      <c r="L454" s="56" t="str">
        <f>IF('AYIRA MINI MART FINAL MENU - Pr'!L454="", "", 'AYIRA MINI MART FINAL MENU - Pr'!L454)</f>
        <v/>
      </c>
      <c r="M454" s="56" t="str">
        <f>IF('AYIRA MINI MART FINAL MENU - Pr'!M454="", "", 'AYIRA MINI MART FINAL MENU - Pr'!M454)</f>
        <v/>
      </c>
      <c r="N454" s="56" t="str">
        <f>IF('AYIRA MINI MART FINAL MENU - Pr'!N454="", "", 'AYIRA MINI MART FINAL MENU - Pr'!N454)</f>
        <v/>
      </c>
      <c r="O454" s="57"/>
      <c r="P454" s="57"/>
      <c r="Q454" s="57"/>
      <c r="R454" s="57"/>
      <c r="S454" s="57"/>
      <c r="T454" s="57"/>
      <c r="U454" s="57"/>
      <c r="V454" s="57"/>
      <c r="W454" s="57"/>
      <c r="X454" s="57"/>
      <c r="Y454" s="57"/>
      <c r="Z454" s="57"/>
    </row>
    <row r="455">
      <c r="A455" s="56" t="str">
        <f>IFERROR(__xludf.DUMMYFUNCTION("IF('AYIRA MINI MART FINAL MENU - Pr'!A455="""", """", IF(LEN(TRIM(REGEXREPLACE(REGEXREPLACE('AYIRA MINI MART FINAL MENU - Pr'!A455, ""^[^\x{0600}-\x{06FF}]+"", """"), ""^[-–\s]+"", """")))&gt;0, TRIM(REGEXREPLACE(REGEXREPLACE('AYIRA MINI MART FINAL MENU - Pr"&amp;"'!A455, ""^[^\x{0600}-\x{06FF}]+"", """"), ""^[-–\s]+"", """")), GOOGLETRANSLATE('AYIRA MINI MART FINAL MENU - Pr'!A455, ""en"", ""ar"")))"),"ليز عسل باربيكيو Flavored 184.2 غرام")</f>
        <v>ليز عسل باربيكيو Flavored 184.2 غرام</v>
      </c>
      <c r="B455" s="56" t="str">
        <f>IFERROR(__xludf.DUMMYFUNCTION("IF('AYIRA MINI MART FINAL MENU - Pr'!B455="""", """", IF(LEN(TRIM(REGEXREPLACE(REGEXREPLACE('AYIRA MINI MART FINAL MENU - Pr'!B455, ""^[^\x{0600}-\x{06FF}]+"", """"), ""^[-–\s]+"", """")))&gt;0, TRIM(REGEXREPLACE(REGEXREPLACE('AYIRA MINI MART FINAL MENU - Pr"&amp;"'!B455, ""^[^\x{0600}-\x{06FF}]+"", """"), ""^[-–\s]+"", """")), GOOGLETRANSLATE('AYIRA MINI MART FINAL MENU - Pr'!B455, ""en"", ""ar"")))"),"الشيبس والمقرمشات")</f>
        <v>الشيبس والمقرمشات</v>
      </c>
      <c r="C455" s="58">
        <f>IF('AYIRA MINI MART FINAL MENU - Pr'!C455="", "", 'AYIRA MINI MART FINAL MENU - Pr'!C455)</f>
        <v>19</v>
      </c>
      <c r="D455" s="58" t="str">
        <f>IF('AYIRA MINI MART FINAL MENU - Pr'!D455="", "", 'AYIRA MINI MART FINAL MENU - Pr'!D455)</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5" s="56" t="str">
        <f>IF('AYIRA MINI MART FINAL MENU - Pr'!E455="", "", 'AYIRA MINI MART FINAL MENU - Pr'!E455)</f>
        <v/>
      </c>
      <c r="F455" s="56" t="str">
        <f>IF('AYIRA MINI MART FINAL MENU - Pr'!F455="", "", 'AYIRA MINI MART FINAL MENU - Pr'!F455)</f>
        <v/>
      </c>
      <c r="G455" s="56" t="str">
        <f>IF('AYIRA MINI MART FINAL MENU - Pr'!G455="", "", 'AYIRA MINI MART FINAL MENU - Pr'!G455)</f>
        <v/>
      </c>
      <c r="H455" s="56" t="str">
        <f>IF('AYIRA MINI MART FINAL MENU - Pr'!H455="", "", 'AYIRA MINI MART FINAL MENU - Pr'!H455)</f>
        <v/>
      </c>
      <c r="I455" s="56" t="str">
        <f>IF('AYIRA MINI MART FINAL MENU - Pr'!I455="", "", 'AYIRA MINI MART FINAL MENU - Pr'!I455)</f>
        <v/>
      </c>
      <c r="J455" s="56" t="str">
        <f>IFERROR(__xludf.DUMMYFUNCTION("IF('AYIRA MINI MART FINAL MENU - Pr'!J455="""", """", GOOGLETRANSLATE('AYIRA MINI MART FINAL MENU - Pr'!J455, ""en"", ""ar""))"),"إنتهى من المخزن")</f>
        <v>إنتهى من المخزن</v>
      </c>
      <c r="K455" s="56" t="str">
        <f>IF('AYIRA MINI MART FINAL MENU - Pr'!K455="", "", 'AYIRA MINI MART FINAL MENU - Pr'!K455)</f>
        <v/>
      </c>
      <c r="L455" s="56" t="str">
        <f>IF('AYIRA MINI MART FINAL MENU - Pr'!L455="", "", 'AYIRA MINI MART FINAL MENU - Pr'!L455)</f>
        <v/>
      </c>
      <c r="M455" s="56" t="str">
        <f>IF('AYIRA MINI MART FINAL MENU - Pr'!M455="", "", 'AYIRA MINI MART FINAL MENU - Pr'!M455)</f>
        <v/>
      </c>
      <c r="N455" s="56" t="str">
        <f>IF('AYIRA MINI MART FINAL MENU - Pr'!N455="", "", 'AYIRA MINI MART FINAL MENU - Pr'!N455)</f>
        <v/>
      </c>
      <c r="O455" s="57"/>
      <c r="P455" s="57"/>
      <c r="Q455" s="57"/>
      <c r="R455" s="57"/>
      <c r="S455" s="57"/>
      <c r="T455" s="57"/>
      <c r="U455" s="57"/>
      <c r="V455" s="57"/>
      <c r="W455" s="57"/>
      <c r="X455" s="57"/>
      <c r="Y455" s="57"/>
      <c r="Z455" s="57"/>
    </row>
    <row r="456">
      <c r="A456" s="56" t="str">
        <f>IFERROR(__xludf.DUMMYFUNCTION("IF('AYIRA MINI MART FINAL MENU - Pr'!A456="""", """", IF(LEN(TRIM(REGEXREPLACE(REGEXREPLACE('AYIRA MINI MART FINAL MENU - Pr'!A456, ""^[^\x{0600}-\x{06FF}]+"", """"), ""^[-–\s]+"", """")))&gt;0, TRIM(REGEXREPLACE(REGEXREPLACE('AYIRA MINI MART FINAL MENU - Pr"&amp;"'!A456, ""^[^\x{0600}-\x{06FF}]+"", """"), ""^[-–\s]+"", """")), GOOGLETRANSLATE('AYIRA MINI MART FINAL MENU - Pr'!A456, ""en"", ""ar"")))"),"تشيتوس Cheddar Jalapeño Crunchy 226.6 غرام")</f>
        <v>تشيتوس Cheddar Jalapeño Crunchy 226.6 غرام</v>
      </c>
      <c r="B456" s="56" t="str">
        <f>IFERROR(__xludf.DUMMYFUNCTION("IF('AYIRA MINI MART FINAL MENU - Pr'!B456="""", """", IF(LEN(TRIM(REGEXREPLACE(REGEXREPLACE('AYIRA MINI MART FINAL MENU - Pr'!B456, ""^[^\x{0600}-\x{06FF}]+"", """"), ""^[-–\s]+"", """")))&gt;0, TRIM(REGEXREPLACE(REGEXREPLACE('AYIRA MINI MART FINAL MENU - Pr"&amp;"'!B456, ""^[^\x{0600}-\x{06FF}]+"", """"), ""^[-–\s]+"", """")), GOOGLETRANSLATE('AYIRA MINI MART FINAL MENU - Pr'!B456, ""en"", ""ar"")))"),"الشيبس والمقرمشات")</f>
        <v>الشيبس والمقرمشات</v>
      </c>
      <c r="C456" s="58">
        <f>IF('AYIRA MINI MART FINAL MENU - Pr'!C456="", "", 'AYIRA MINI MART FINAL MENU - Pr'!C456)</f>
        <v>19</v>
      </c>
      <c r="D456" s="58" t="str">
        <f>IF('AYIRA MINI MART FINAL MENU - Pr'!D456="", "", 'AYIRA MINI MART FINAL MENU - Pr'!D456)</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6" s="56" t="str">
        <f>IF('AYIRA MINI MART FINAL MENU - Pr'!E456="", "", 'AYIRA MINI MART FINAL MENU - Pr'!E456)</f>
        <v/>
      </c>
      <c r="F456" s="56" t="str">
        <f>IF('AYIRA MINI MART FINAL MENU - Pr'!F456="", "", 'AYIRA MINI MART FINAL MENU - Pr'!F456)</f>
        <v/>
      </c>
      <c r="G456" s="56" t="str">
        <f>IF('AYIRA MINI MART FINAL MENU - Pr'!G456="", "", 'AYIRA MINI MART FINAL MENU - Pr'!G456)</f>
        <v/>
      </c>
      <c r="H456" s="56" t="str">
        <f>IF('AYIRA MINI MART FINAL MENU - Pr'!H456="", "", 'AYIRA MINI MART FINAL MENU - Pr'!H456)</f>
        <v/>
      </c>
      <c r="I456" s="56" t="str">
        <f>IF('AYIRA MINI MART FINAL MENU - Pr'!I456="", "", 'AYIRA MINI MART FINAL MENU - Pr'!I456)</f>
        <v/>
      </c>
      <c r="J456" s="56" t="str">
        <f>IFERROR(__xludf.DUMMYFUNCTION("IF('AYIRA MINI MART FINAL MENU - Pr'!J456="""", """", GOOGLETRANSLATE('AYIRA MINI MART FINAL MENU - Pr'!J456, ""en"", ""ar""))"),"إنتهى من المخزن")</f>
        <v>إنتهى من المخزن</v>
      </c>
      <c r="K456" s="56" t="str">
        <f>IF('AYIRA MINI MART FINAL MENU - Pr'!K456="", "", 'AYIRA MINI MART FINAL MENU - Pr'!K456)</f>
        <v/>
      </c>
      <c r="L456" s="56" t="str">
        <f>IF('AYIRA MINI MART FINAL MENU - Pr'!L456="", "", 'AYIRA MINI MART FINAL MENU - Pr'!L456)</f>
        <v/>
      </c>
      <c r="M456" s="56" t="str">
        <f>IF('AYIRA MINI MART FINAL MENU - Pr'!M456="", "", 'AYIRA MINI MART FINAL MENU - Pr'!M456)</f>
        <v/>
      </c>
      <c r="N456" s="56" t="str">
        <f>IF('AYIRA MINI MART FINAL MENU - Pr'!N456="", "", 'AYIRA MINI MART FINAL MENU - Pr'!N456)</f>
        <v/>
      </c>
      <c r="O456" s="57"/>
      <c r="P456" s="57"/>
      <c r="Q456" s="57"/>
      <c r="R456" s="57"/>
      <c r="S456" s="57"/>
      <c r="T456" s="57"/>
      <c r="U456" s="57"/>
      <c r="V456" s="57"/>
      <c r="W456" s="57"/>
      <c r="X456" s="57"/>
      <c r="Y456" s="57"/>
      <c r="Z456" s="57"/>
    </row>
    <row r="457">
      <c r="A457" s="56" t="str">
        <f>IFERROR(__xludf.DUMMYFUNCTION("IF('AYIRA MINI MART FINAL MENU - Pr'!A457="""", """", IF(LEN(TRIM(REGEXREPLACE(REGEXREPLACE('AYIRA MINI MART FINAL MENU - Pr'!A457, ""^[^\x{0600}-\x{06FF}]+"", """"), ""^[-–\s]+"", """")))&gt;0, TRIM(REGEXREPLACE(REGEXREPLACE('AYIRA MINI MART FINAL MENU - Pr"&amp;"'!A457, ""^[^\x{0600}-\x{06FF}]+"", """"), ""^[-–\s]+"", """")), GOOGLETRANSLATE('AYIRA MINI MART FINAL MENU - Pr'!A457, ""en"", ""ar"")))"),"ليز كلاسيك 184.2 غرام")</f>
        <v>ليز كلاسيك 184.2 غرام</v>
      </c>
      <c r="B457" s="56" t="str">
        <f>IFERROR(__xludf.DUMMYFUNCTION("IF('AYIRA MINI MART FINAL MENU - Pr'!B457="""", """", IF(LEN(TRIM(REGEXREPLACE(REGEXREPLACE('AYIRA MINI MART FINAL MENU - Pr'!B457, ""^[^\x{0600}-\x{06FF}]+"", """"), ""^[-–\s]+"", """")))&gt;0, TRIM(REGEXREPLACE(REGEXREPLACE('AYIRA MINI MART FINAL MENU - Pr"&amp;"'!B457, ""^[^\x{0600}-\x{06FF}]+"", """"), ""^[-–\s]+"", """")), GOOGLETRANSLATE('AYIRA MINI MART FINAL MENU - Pr'!B457, ""en"", ""ar"")))"),"الشيبس والمقرمشات")</f>
        <v>الشيبس والمقرمشات</v>
      </c>
      <c r="C457" s="58">
        <f>IF('AYIRA MINI MART FINAL MENU - Pr'!C457="", "", 'AYIRA MINI MART FINAL MENU - Pr'!C457)</f>
        <v>19</v>
      </c>
      <c r="D457" s="58" t="str">
        <f>IF('AYIRA MINI MART FINAL MENU - Pr'!D457="", "", 'AYIRA MINI MART FINAL MENU - Pr'!D457)</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7" s="56" t="str">
        <f>IF('AYIRA MINI MART FINAL MENU - Pr'!E457="", "", 'AYIRA MINI MART FINAL MENU - Pr'!E457)</f>
        <v/>
      </c>
      <c r="F457" s="56" t="str">
        <f>IF('AYIRA MINI MART FINAL MENU - Pr'!F457="", "", 'AYIRA MINI MART FINAL MENU - Pr'!F457)</f>
        <v/>
      </c>
      <c r="G457" s="56" t="str">
        <f>IF('AYIRA MINI MART FINAL MENU - Pr'!G457="", "", 'AYIRA MINI MART FINAL MENU - Pr'!G457)</f>
        <v/>
      </c>
      <c r="H457" s="56" t="str">
        <f>IF('AYIRA MINI MART FINAL MENU - Pr'!H457="", "", 'AYIRA MINI MART FINAL MENU - Pr'!H457)</f>
        <v/>
      </c>
      <c r="I457" s="56" t="str">
        <f>IF('AYIRA MINI MART FINAL MENU - Pr'!I457="", "", 'AYIRA MINI MART FINAL MENU - Pr'!I457)</f>
        <v/>
      </c>
      <c r="J457" s="56" t="str">
        <f>IFERROR(__xludf.DUMMYFUNCTION("IF('AYIRA MINI MART FINAL MENU - Pr'!J457="""", """", GOOGLETRANSLATE('AYIRA MINI MART FINAL MENU - Pr'!J457, ""en"", ""ar""))"),"يعرض")</f>
        <v>يعرض</v>
      </c>
      <c r="K457" s="56" t="str">
        <f>IF('AYIRA MINI MART FINAL MENU - Pr'!K457="", "", 'AYIRA MINI MART FINAL MENU - Pr'!K457)</f>
        <v/>
      </c>
      <c r="L457" s="56" t="str">
        <f>IF('AYIRA MINI MART FINAL MENU - Pr'!L457="", "", 'AYIRA MINI MART FINAL MENU - Pr'!L457)</f>
        <v/>
      </c>
      <c r="M457" s="56" t="str">
        <f>IF('AYIRA MINI MART FINAL MENU - Pr'!M457="", "", 'AYIRA MINI MART FINAL MENU - Pr'!M457)</f>
        <v/>
      </c>
      <c r="N457" s="56" t="str">
        <f>IF('AYIRA MINI MART FINAL MENU - Pr'!N457="", "", 'AYIRA MINI MART FINAL MENU - Pr'!N457)</f>
        <v/>
      </c>
      <c r="O457" s="57"/>
      <c r="P457" s="57"/>
      <c r="Q457" s="57"/>
      <c r="R457" s="57"/>
      <c r="S457" s="57"/>
      <c r="T457" s="57"/>
      <c r="U457" s="57"/>
      <c r="V457" s="57"/>
      <c r="W457" s="57"/>
      <c r="X457" s="57"/>
      <c r="Y457" s="57"/>
      <c r="Z457" s="57"/>
    </row>
    <row r="458">
      <c r="A458" s="56" t="str">
        <f>IFERROR(__xludf.DUMMYFUNCTION("IF('AYIRA MINI MART FINAL MENU - Pr'!A458="""", """", IF(LEN(TRIM(REGEXREPLACE(REGEXREPLACE('AYIRA MINI MART FINAL MENU - Pr'!A458, ""^[^\x{0600}-\x{06FF}]+"", """"), ""^[-–\s]+"", """")))&gt;0, TRIM(REGEXREPLACE(REGEXREPLACE('AYIRA MINI MART FINAL MENU - Pr"&amp;"'!A458, ""^[^\x{0600}-\x{06FF}]+"", """"), ""^[-–\s]+"", """")), GOOGLETRANSLATE('AYIRA MINI MART FINAL MENU - Pr'!A458, ""en"", ""ar"")))"),"ليز Sour كريم &amp; بصل Flavored 184.2 غرام")</f>
        <v>ليز Sour كريم &amp; بصل Flavored 184.2 غرام</v>
      </c>
      <c r="B458" s="56" t="str">
        <f>IFERROR(__xludf.DUMMYFUNCTION("IF('AYIRA MINI MART FINAL MENU - Pr'!B458="""", """", IF(LEN(TRIM(REGEXREPLACE(REGEXREPLACE('AYIRA MINI MART FINAL MENU - Pr'!B458, ""^[^\x{0600}-\x{06FF}]+"", """"), ""^[-–\s]+"", """")))&gt;0, TRIM(REGEXREPLACE(REGEXREPLACE('AYIRA MINI MART FINAL MENU - Pr"&amp;"'!B458, ""^[^\x{0600}-\x{06FF}]+"", """"), ""^[-–\s]+"", """")), GOOGLETRANSLATE('AYIRA MINI MART FINAL MENU - Pr'!B458, ""en"", ""ar"")))"),"الشيبس والمقرمشات")</f>
        <v>الشيبس والمقرمشات</v>
      </c>
      <c r="C458" s="58">
        <f>IF('AYIRA MINI MART FINAL MENU - Pr'!C458="", "", 'AYIRA MINI MART FINAL MENU - Pr'!C458)</f>
        <v>19</v>
      </c>
      <c r="D458" s="58" t="str">
        <f>IF('AYIRA MINI MART FINAL MENU - Pr'!D458="", "", 'AYIRA MINI MART FINAL MENU - Pr'!D458)</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8" s="56" t="str">
        <f>IF('AYIRA MINI MART FINAL MENU - Pr'!E458="", "", 'AYIRA MINI MART FINAL MENU - Pr'!E458)</f>
        <v/>
      </c>
      <c r="F458" s="56" t="str">
        <f>IF('AYIRA MINI MART FINAL MENU - Pr'!F458="", "", 'AYIRA MINI MART FINAL MENU - Pr'!F458)</f>
        <v/>
      </c>
      <c r="G458" s="56" t="str">
        <f>IF('AYIRA MINI MART FINAL MENU - Pr'!G458="", "", 'AYIRA MINI MART FINAL MENU - Pr'!G458)</f>
        <v/>
      </c>
      <c r="H458" s="56" t="str">
        <f>IF('AYIRA MINI MART FINAL MENU - Pr'!H458="", "", 'AYIRA MINI MART FINAL MENU - Pr'!H458)</f>
        <v/>
      </c>
      <c r="I458" s="56" t="str">
        <f>IF('AYIRA MINI MART FINAL MENU - Pr'!I458="", "", 'AYIRA MINI MART FINAL MENU - Pr'!I458)</f>
        <v/>
      </c>
      <c r="J458" s="56" t="str">
        <f>IFERROR(__xludf.DUMMYFUNCTION("IF('AYIRA MINI MART FINAL MENU - Pr'!J458="""", """", GOOGLETRANSLATE('AYIRA MINI MART FINAL MENU - Pr'!J458, ""en"", ""ar""))"),"يعرض")</f>
        <v>يعرض</v>
      </c>
      <c r="K458" s="56" t="str">
        <f>IF('AYIRA MINI MART FINAL MENU - Pr'!K458="", "", 'AYIRA MINI MART FINAL MENU - Pr'!K458)</f>
        <v/>
      </c>
      <c r="L458" s="56" t="str">
        <f>IF('AYIRA MINI MART FINAL MENU - Pr'!L458="", "", 'AYIRA MINI MART FINAL MENU - Pr'!L458)</f>
        <v/>
      </c>
      <c r="M458" s="56" t="str">
        <f>IF('AYIRA MINI MART FINAL MENU - Pr'!M458="", "", 'AYIRA MINI MART FINAL MENU - Pr'!M458)</f>
        <v/>
      </c>
      <c r="N458" s="56" t="str">
        <f>IF('AYIRA MINI MART FINAL MENU - Pr'!N458="", "", 'AYIRA MINI MART FINAL MENU - Pr'!N458)</f>
        <v/>
      </c>
      <c r="O458" s="57"/>
      <c r="P458" s="57"/>
      <c r="Q458" s="57"/>
      <c r="R458" s="57"/>
      <c r="S458" s="57"/>
      <c r="T458" s="57"/>
      <c r="U458" s="57"/>
      <c r="V458" s="57"/>
      <c r="W458" s="57"/>
      <c r="X458" s="57"/>
      <c r="Y458" s="57"/>
      <c r="Z458" s="57"/>
    </row>
    <row r="459">
      <c r="A459" s="56" t="str">
        <f>IFERROR(__xludf.DUMMYFUNCTION("IF('AYIRA MINI MART FINAL MENU - Pr'!A459="""", """", IF(LEN(TRIM(REGEXREPLACE(REGEXREPLACE('AYIRA MINI MART FINAL MENU - Pr'!A459, ""^[^\x{0600}-\x{06FF}]+"", """"), ""^[-–\s]+"", """")))&gt;0, TRIM(REGEXREPLACE(REGEXREPLACE('AYIRA MINI MART FINAL MENU - Pr"&amp;"'!A459, ""^[^\x{0600}-\x{06FF}]+"", """"), ""^[-–\s]+"", """")), GOOGLETRANSLATE('AYIRA MINI MART FINAL MENU - Pr'!A459, ""en"", ""ar"")))"),"ليز ملح &amp; Vinegar Flavored 184.2 غرام")</f>
        <v>ليز ملح &amp; Vinegar Flavored 184.2 غرام</v>
      </c>
      <c r="B459" s="56" t="str">
        <f>IFERROR(__xludf.DUMMYFUNCTION("IF('AYIRA MINI MART FINAL MENU - Pr'!B459="""", """", IF(LEN(TRIM(REGEXREPLACE(REGEXREPLACE('AYIRA MINI MART FINAL MENU - Pr'!B459, ""^[^\x{0600}-\x{06FF}]+"", """"), ""^[-–\s]+"", """")))&gt;0, TRIM(REGEXREPLACE(REGEXREPLACE('AYIRA MINI MART FINAL MENU - Pr"&amp;"'!B459, ""^[^\x{0600}-\x{06FF}]+"", """"), ""^[-–\s]+"", """")), GOOGLETRANSLATE('AYIRA MINI MART FINAL MENU - Pr'!B459, ""en"", ""ar"")))"),"الشيبس والمقرمشات")</f>
        <v>الشيبس والمقرمشات</v>
      </c>
      <c r="C459" s="58">
        <f>IF('AYIRA MINI MART FINAL MENU - Pr'!C459="", "", 'AYIRA MINI MART FINAL MENU - Pr'!C459)</f>
        <v>19</v>
      </c>
      <c r="D459" s="58" t="str">
        <f>IF('AYIRA MINI MART FINAL MENU - Pr'!D459="", "", 'AYIRA MINI MART FINAL MENU - Pr'!D459)</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59" s="56" t="str">
        <f>IF('AYIRA MINI MART FINAL MENU - Pr'!E459="", "", 'AYIRA MINI MART FINAL MENU - Pr'!E459)</f>
        <v/>
      </c>
      <c r="F459" s="56" t="str">
        <f>IF('AYIRA MINI MART FINAL MENU - Pr'!F459="", "", 'AYIRA MINI MART FINAL MENU - Pr'!F459)</f>
        <v/>
      </c>
      <c r="G459" s="56" t="str">
        <f>IF('AYIRA MINI MART FINAL MENU - Pr'!G459="", "", 'AYIRA MINI MART FINAL MENU - Pr'!G459)</f>
        <v/>
      </c>
      <c r="H459" s="56" t="str">
        <f>IF('AYIRA MINI MART FINAL MENU - Pr'!H459="", "", 'AYIRA MINI MART FINAL MENU - Pr'!H459)</f>
        <v/>
      </c>
      <c r="I459" s="56" t="str">
        <f>IF('AYIRA MINI MART FINAL MENU - Pr'!I459="", "", 'AYIRA MINI MART FINAL MENU - Pr'!I459)</f>
        <v/>
      </c>
      <c r="J459" s="56" t="str">
        <f>IFERROR(__xludf.DUMMYFUNCTION("IF('AYIRA MINI MART FINAL MENU - Pr'!J459="""", """", GOOGLETRANSLATE('AYIRA MINI MART FINAL MENU - Pr'!J459, ""en"", ""ar""))"),"يعرض")</f>
        <v>يعرض</v>
      </c>
      <c r="K459" s="56" t="str">
        <f>IF('AYIRA MINI MART FINAL MENU - Pr'!K459="", "", 'AYIRA MINI MART FINAL MENU - Pr'!K459)</f>
        <v/>
      </c>
      <c r="L459" s="56" t="str">
        <f>IF('AYIRA MINI MART FINAL MENU - Pr'!L459="", "", 'AYIRA MINI MART FINAL MENU - Pr'!L459)</f>
        <v/>
      </c>
      <c r="M459" s="56" t="str">
        <f>IF('AYIRA MINI MART FINAL MENU - Pr'!M459="", "", 'AYIRA MINI MART FINAL MENU - Pr'!M459)</f>
        <v/>
      </c>
      <c r="N459" s="56" t="str">
        <f>IF('AYIRA MINI MART FINAL MENU - Pr'!N459="", "", 'AYIRA MINI MART FINAL MENU - Pr'!N459)</f>
        <v/>
      </c>
      <c r="O459" s="57"/>
      <c r="P459" s="57"/>
      <c r="Q459" s="57"/>
      <c r="R459" s="57"/>
      <c r="S459" s="57"/>
      <c r="T459" s="57"/>
      <c r="U459" s="57"/>
      <c r="V459" s="57"/>
      <c r="W459" s="57"/>
      <c r="X459" s="57"/>
      <c r="Y459" s="57"/>
      <c r="Z459" s="57"/>
    </row>
    <row r="460">
      <c r="A460" s="56" t="str">
        <f>IFERROR(__xludf.DUMMYFUNCTION("IF('AYIRA MINI MART FINAL MENU - Pr'!A460="""", """", IF(LEN(TRIM(REGEXREPLACE(REGEXREPLACE('AYIRA MINI MART FINAL MENU - Pr'!A460, ""^[^\x{0600}-\x{06FF}]+"", """"), ""^[-–\s]+"", """")))&gt;0, TRIM(REGEXREPLACE(REGEXREPLACE('AYIRA MINI MART FINAL MENU - Pr"&amp;"'!A460, ""^[^\x{0600}-\x{06FF}]+"", """"), ""^[-–\s]+"", """")), GOOGLETRANSLATE('AYIRA MINI MART FINAL MENU - Pr'!A460, ""en"", ""ar"")))"),"ليز Cheddar &amp; Sour كريم Flavored 184.2 غرام")</f>
        <v>ليز Cheddar &amp; Sour كريم Flavored 184.2 غرام</v>
      </c>
      <c r="B460" s="56" t="str">
        <f>IFERROR(__xludf.DUMMYFUNCTION("IF('AYIRA MINI MART FINAL MENU - Pr'!B460="""", """", IF(LEN(TRIM(REGEXREPLACE(REGEXREPLACE('AYIRA MINI MART FINAL MENU - Pr'!B460, ""^[^\x{0600}-\x{06FF}]+"", """"), ""^[-–\s]+"", """")))&gt;0, TRIM(REGEXREPLACE(REGEXREPLACE('AYIRA MINI MART FINAL MENU - Pr"&amp;"'!B460, ""^[^\x{0600}-\x{06FF}]+"", """"), ""^[-–\s]+"", """")), GOOGLETRANSLATE('AYIRA MINI MART FINAL MENU - Pr'!B460, ""en"", ""ar"")))"),"الشيبس والمقرمشات")</f>
        <v>الشيبس والمقرمشات</v>
      </c>
      <c r="C460" s="58">
        <f>IF('AYIRA MINI MART FINAL MENU - Pr'!C460="", "", 'AYIRA MINI MART FINAL MENU - Pr'!C460)</f>
        <v>19</v>
      </c>
      <c r="D460" s="58" t="str">
        <f>IF('AYIRA MINI MART FINAL MENU - Pr'!D460="", "", 'AYIRA MINI MART FINAL MENU - Pr'!D460)</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0" s="56" t="str">
        <f>IF('AYIRA MINI MART FINAL MENU - Pr'!E460="", "", 'AYIRA MINI MART FINAL MENU - Pr'!E460)</f>
        <v/>
      </c>
      <c r="F460" s="56" t="str">
        <f>IF('AYIRA MINI MART FINAL MENU - Pr'!F460="", "", 'AYIRA MINI MART FINAL MENU - Pr'!F460)</f>
        <v/>
      </c>
      <c r="G460" s="56" t="str">
        <f>IF('AYIRA MINI MART FINAL MENU - Pr'!G460="", "", 'AYIRA MINI MART FINAL MENU - Pr'!G460)</f>
        <v/>
      </c>
      <c r="H460" s="56" t="str">
        <f>IF('AYIRA MINI MART FINAL MENU - Pr'!H460="", "", 'AYIRA MINI MART FINAL MENU - Pr'!H460)</f>
        <v/>
      </c>
      <c r="I460" s="56" t="str">
        <f>IF('AYIRA MINI MART FINAL MENU - Pr'!I460="", "", 'AYIRA MINI MART FINAL MENU - Pr'!I460)</f>
        <v/>
      </c>
      <c r="J460" s="56" t="str">
        <f>IFERROR(__xludf.DUMMYFUNCTION("IF('AYIRA MINI MART FINAL MENU - Pr'!J460="""", """", GOOGLETRANSLATE('AYIRA MINI MART FINAL MENU - Pr'!J460, ""en"", ""ar""))"),"يعرض")</f>
        <v>يعرض</v>
      </c>
      <c r="K460" s="56" t="str">
        <f>IF('AYIRA MINI MART FINAL MENU - Pr'!K460="", "", 'AYIRA MINI MART FINAL MENU - Pr'!K460)</f>
        <v/>
      </c>
      <c r="L460" s="56" t="str">
        <f>IF('AYIRA MINI MART FINAL MENU - Pr'!L460="", "", 'AYIRA MINI MART FINAL MENU - Pr'!L460)</f>
        <v/>
      </c>
      <c r="M460" s="56" t="str">
        <f>IF('AYIRA MINI MART FINAL MENU - Pr'!M460="", "", 'AYIRA MINI MART FINAL MENU - Pr'!M460)</f>
        <v/>
      </c>
      <c r="N460" s="56" t="str">
        <f>IF('AYIRA MINI MART FINAL MENU - Pr'!N460="", "", 'AYIRA MINI MART FINAL MENU - Pr'!N460)</f>
        <v/>
      </c>
      <c r="O460" s="57"/>
      <c r="P460" s="57"/>
      <c r="Q460" s="57"/>
      <c r="R460" s="57"/>
      <c r="S460" s="57"/>
      <c r="T460" s="57"/>
      <c r="U460" s="57"/>
      <c r="V460" s="57"/>
      <c r="W460" s="57"/>
      <c r="X460" s="57"/>
      <c r="Y460" s="57"/>
      <c r="Z460" s="57"/>
    </row>
    <row r="461">
      <c r="A461" s="56" t="str">
        <f>IFERROR(__xludf.DUMMYFUNCTION("IF('AYIRA MINI MART FINAL MENU - Pr'!A461="""", """", IF(LEN(TRIM(REGEXREPLACE(REGEXREPLACE('AYIRA MINI MART FINAL MENU - Pr'!A461, ""^[^\x{0600}-\x{06FF}]+"", """"), ""^[-–\s]+"", """")))&gt;0, TRIM(REGEXREPLACE(REGEXREPLACE('AYIRA MINI MART FINAL MENU - Pr"&amp;"'!A461, ""^[^\x{0600}-\x{06FF}]+"", """"), ""^[-–\s]+"", """")), GOOGLETRANSLATE('AYIRA MINI MART FINAL MENU - Pr'!A461, ""en"", ""ar"")))"),"تشيتوس Crunchy 99.2 غرام")</f>
        <v>تشيتوس Crunchy 99.2 غرام</v>
      </c>
      <c r="B461" s="56" t="str">
        <f>IFERROR(__xludf.DUMMYFUNCTION("IF('AYIRA MINI MART FINAL MENU - Pr'!B461="""", """", IF(LEN(TRIM(REGEXREPLACE(REGEXREPLACE('AYIRA MINI MART FINAL MENU - Pr'!B461, ""^[^\x{0600}-\x{06FF}]+"", """"), ""^[-–\s]+"", """")))&gt;0, TRIM(REGEXREPLACE(REGEXREPLACE('AYIRA MINI MART FINAL MENU - Pr"&amp;"'!B461, ""^[^\x{0600}-\x{06FF}]+"", """"), ""^[-–\s]+"", """")), GOOGLETRANSLATE('AYIRA MINI MART FINAL MENU - Pr'!B461, ""en"", ""ar"")))"),"الشيبس والمقرمشات")</f>
        <v>الشيبس والمقرمشات</v>
      </c>
      <c r="C461" s="58">
        <f>IF('AYIRA MINI MART FINAL MENU - Pr'!C461="", "", 'AYIRA MINI MART FINAL MENU - Pr'!C461)</f>
        <v>9</v>
      </c>
      <c r="D461" s="58" t="str">
        <f>IF('AYIRA MINI MART FINAL MENU - Pr'!D461="", "", 'AYIRA MINI MART FINAL MENU - Pr'!D461)</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1" s="56" t="str">
        <f>IF('AYIRA MINI MART FINAL MENU - Pr'!E461="", "", 'AYIRA MINI MART FINAL MENU - Pr'!E461)</f>
        <v/>
      </c>
      <c r="F461" s="56" t="str">
        <f>IF('AYIRA MINI MART FINAL MENU - Pr'!F461="", "", 'AYIRA MINI MART FINAL MENU - Pr'!F461)</f>
        <v/>
      </c>
      <c r="G461" s="56" t="str">
        <f>IF('AYIRA MINI MART FINAL MENU - Pr'!G461="", "", 'AYIRA MINI MART FINAL MENU - Pr'!G461)</f>
        <v/>
      </c>
      <c r="H461" s="56" t="str">
        <f>IF('AYIRA MINI MART FINAL MENU - Pr'!H461="", "", 'AYIRA MINI MART FINAL MENU - Pr'!H461)</f>
        <v/>
      </c>
      <c r="I461" s="56" t="str">
        <f>IF('AYIRA MINI MART FINAL MENU - Pr'!I461="", "", 'AYIRA MINI MART FINAL MENU - Pr'!I461)</f>
        <v/>
      </c>
      <c r="J461" s="56" t="str">
        <f>IFERROR(__xludf.DUMMYFUNCTION("IF('AYIRA MINI MART FINAL MENU - Pr'!J461="""", """", GOOGLETRANSLATE('AYIRA MINI MART FINAL MENU - Pr'!J461, ""en"", ""ar""))"),"يعرض")</f>
        <v>يعرض</v>
      </c>
      <c r="K461" s="56" t="str">
        <f>IF('AYIRA MINI MART FINAL MENU - Pr'!K461="", "", 'AYIRA MINI MART FINAL MENU - Pr'!K461)</f>
        <v/>
      </c>
      <c r="L461" s="56" t="str">
        <f>IF('AYIRA MINI MART FINAL MENU - Pr'!L461="", "", 'AYIRA MINI MART FINAL MENU - Pr'!L461)</f>
        <v/>
      </c>
      <c r="M461" s="56" t="str">
        <f>IF('AYIRA MINI MART FINAL MENU - Pr'!M461="", "", 'AYIRA MINI MART FINAL MENU - Pr'!M461)</f>
        <v/>
      </c>
      <c r="N461" s="56" t="str">
        <f>IF('AYIRA MINI MART FINAL MENU - Pr'!N461="", "", 'AYIRA MINI MART FINAL MENU - Pr'!N461)</f>
        <v/>
      </c>
      <c r="O461" s="57"/>
      <c r="P461" s="57"/>
      <c r="Q461" s="57"/>
      <c r="R461" s="57"/>
      <c r="S461" s="57"/>
      <c r="T461" s="57"/>
      <c r="U461" s="57"/>
      <c r="V461" s="57"/>
      <c r="W461" s="57"/>
      <c r="X461" s="57"/>
      <c r="Y461" s="57"/>
      <c r="Z461" s="57"/>
    </row>
    <row r="462">
      <c r="A462" s="56" t="str">
        <f>IFERROR(__xludf.DUMMYFUNCTION("IF('AYIRA MINI MART FINAL MENU - Pr'!A462="""", """", IF(LEN(TRIM(REGEXREPLACE(REGEXREPLACE('AYIRA MINI MART FINAL MENU - Pr'!A462, ""^[^\x{0600}-\x{06FF}]+"", """"), ""^[-–\s]+"", """")))&gt;0, TRIM(REGEXREPLACE(REGEXREPLACE('AYIRA MINI MART FINAL MENU - Pr"&amp;"'!A462, ""^[^\x{0600}-\x{06FF}]+"", """"), ""^[-–\s]+"", """")), GOOGLETRANSLATE('AYIRA MINI MART FINAL MENU - Pr'!A462, ""en"", ""ar"")))"),"تشيتوس Flamin’ حار Crunchy 99.2 غرام")</f>
        <v>تشيتوس Flamin’ حار Crunchy 99.2 غرام</v>
      </c>
      <c r="B462" s="56" t="str">
        <f>IFERROR(__xludf.DUMMYFUNCTION("IF('AYIRA MINI MART FINAL MENU - Pr'!B462="""", """", IF(LEN(TRIM(REGEXREPLACE(REGEXREPLACE('AYIRA MINI MART FINAL MENU - Pr'!B462, ""^[^\x{0600}-\x{06FF}]+"", """"), ""^[-–\s]+"", """")))&gt;0, TRIM(REGEXREPLACE(REGEXREPLACE('AYIRA MINI MART FINAL MENU - Pr"&amp;"'!B462, ""^[^\x{0600}-\x{06FF}]+"", """"), ""^[-–\s]+"", """")), GOOGLETRANSLATE('AYIRA MINI MART FINAL MENU - Pr'!B462, ""en"", ""ar"")))"),"الشيبس والمقرمشات")</f>
        <v>الشيبس والمقرمشات</v>
      </c>
      <c r="C462" s="58">
        <f>IF('AYIRA MINI MART FINAL MENU - Pr'!C462="", "", 'AYIRA MINI MART FINAL MENU - Pr'!C462)</f>
        <v>9</v>
      </c>
      <c r="D462" s="58" t="str">
        <f>IF('AYIRA MINI MART FINAL MENU - Pr'!D462="", "", 'AYIRA MINI MART FINAL MENU - Pr'!D462)</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2" s="56" t="str">
        <f>IF('AYIRA MINI MART FINAL MENU - Pr'!E462="", "", 'AYIRA MINI MART FINAL MENU - Pr'!E462)</f>
        <v/>
      </c>
      <c r="F462" s="56" t="str">
        <f>IF('AYIRA MINI MART FINAL MENU - Pr'!F462="", "", 'AYIRA MINI MART FINAL MENU - Pr'!F462)</f>
        <v/>
      </c>
      <c r="G462" s="56" t="str">
        <f>IF('AYIRA MINI MART FINAL MENU - Pr'!G462="", "", 'AYIRA MINI MART FINAL MENU - Pr'!G462)</f>
        <v/>
      </c>
      <c r="H462" s="56" t="str">
        <f>IF('AYIRA MINI MART FINAL MENU - Pr'!H462="", "", 'AYIRA MINI MART FINAL MENU - Pr'!H462)</f>
        <v/>
      </c>
      <c r="I462" s="56" t="str">
        <f>IF('AYIRA MINI MART FINAL MENU - Pr'!I462="", "", 'AYIRA MINI MART FINAL MENU - Pr'!I462)</f>
        <v/>
      </c>
      <c r="J462" s="56" t="str">
        <f>IFERROR(__xludf.DUMMYFUNCTION("IF('AYIRA MINI MART FINAL MENU - Pr'!J462="""", """", GOOGLETRANSLATE('AYIRA MINI MART FINAL MENU - Pr'!J462, ""en"", ""ar""))"),"يعرض")</f>
        <v>يعرض</v>
      </c>
      <c r="K462" s="56" t="str">
        <f>IF('AYIRA MINI MART FINAL MENU - Pr'!K462="", "", 'AYIRA MINI MART FINAL MENU - Pr'!K462)</f>
        <v/>
      </c>
      <c r="L462" s="56" t="str">
        <f>IF('AYIRA MINI MART FINAL MENU - Pr'!L462="", "", 'AYIRA MINI MART FINAL MENU - Pr'!L462)</f>
        <v/>
      </c>
      <c r="M462" s="56" t="str">
        <f>IF('AYIRA MINI MART FINAL MENU - Pr'!M462="", "", 'AYIRA MINI MART FINAL MENU - Pr'!M462)</f>
        <v/>
      </c>
      <c r="N462" s="56" t="str">
        <f>IF('AYIRA MINI MART FINAL MENU - Pr'!N462="", "", 'AYIRA MINI MART FINAL MENU - Pr'!N462)</f>
        <v/>
      </c>
      <c r="O462" s="57"/>
      <c r="P462" s="57"/>
      <c r="Q462" s="57"/>
      <c r="R462" s="57"/>
      <c r="S462" s="57"/>
      <c r="T462" s="57"/>
      <c r="U462" s="57"/>
      <c r="V462" s="57"/>
      <c r="W462" s="57"/>
      <c r="X462" s="57"/>
      <c r="Y462" s="57"/>
      <c r="Z462" s="57"/>
    </row>
    <row r="463">
      <c r="A463" s="56" t="str">
        <f>IFERROR(__xludf.DUMMYFUNCTION("IF('AYIRA MINI MART FINAL MENU - Pr'!A463="""", """", IF(LEN(TRIM(REGEXREPLACE(REGEXREPLACE('AYIRA MINI MART FINAL MENU - Pr'!A463, ""^[^\x{0600}-\x{06FF}]+"", """"), ""^[-–\s]+"", """")))&gt;0, TRIM(REGEXREPLACE(REGEXREPLACE('AYIRA MINI MART FINAL MENU - Pr"&amp;"'!A463, ""^[^\x{0600}-\x{06FF}]+"", """"), ""^[-–\s]+"", """")), GOOGLETRANSLATE('AYIRA MINI MART FINAL MENU - Pr'!A463, ""en"", ""ar"")))"),"تشيتوس Flamin’ حار 40 غرام")</f>
        <v>تشيتوس Flamin’ حار 40 غرام</v>
      </c>
      <c r="B463" s="56" t="str">
        <f>IFERROR(__xludf.DUMMYFUNCTION("IF('AYIRA MINI MART FINAL MENU - Pr'!B463="""", """", IF(LEN(TRIM(REGEXREPLACE(REGEXREPLACE('AYIRA MINI MART FINAL MENU - Pr'!B463, ""^[^\x{0600}-\x{06FF}]+"", """"), ""^[-–\s]+"", """")))&gt;0, TRIM(REGEXREPLACE(REGEXREPLACE('AYIRA MINI MART FINAL MENU - Pr"&amp;"'!B463, ""^[^\x{0600}-\x{06FF}]+"", """"), ""^[-–\s]+"", """")), GOOGLETRANSLATE('AYIRA MINI MART FINAL MENU - Pr'!B463, ""en"", ""ar"")))"),"الشيبس والمقرمشات")</f>
        <v>الشيبس والمقرمشات</v>
      </c>
      <c r="C463" s="58">
        <f>IF('AYIRA MINI MART FINAL MENU - Pr'!C463="", "", 'AYIRA MINI MART FINAL MENU - Pr'!C463)</f>
        <v>9</v>
      </c>
      <c r="D463" s="58" t="str">
        <f>IF('AYIRA MINI MART FINAL MENU - Pr'!D463="", "", 'AYIRA MINI MART FINAL MENU - Pr'!D463)</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3" s="56" t="str">
        <f>IF('AYIRA MINI MART FINAL MENU - Pr'!E463="", "", 'AYIRA MINI MART FINAL MENU - Pr'!E463)</f>
        <v/>
      </c>
      <c r="F463" s="56" t="str">
        <f>IF('AYIRA MINI MART FINAL MENU - Pr'!F463="", "", 'AYIRA MINI MART FINAL MENU - Pr'!F463)</f>
        <v/>
      </c>
      <c r="G463" s="56" t="str">
        <f>IF('AYIRA MINI MART FINAL MENU - Pr'!G463="", "", 'AYIRA MINI MART FINAL MENU - Pr'!G463)</f>
        <v/>
      </c>
      <c r="H463" s="56" t="str">
        <f>IF('AYIRA MINI MART FINAL MENU - Pr'!H463="", "", 'AYIRA MINI MART FINAL MENU - Pr'!H463)</f>
        <v/>
      </c>
      <c r="I463" s="56" t="str">
        <f>IF('AYIRA MINI MART FINAL MENU - Pr'!I463="", "", 'AYIRA MINI MART FINAL MENU - Pr'!I463)</f>
        <v/>
      </c>
      <c r="J463" s="56" t="str">
        <f>IFERROR(__xludf.DUMMYFUNCTION("IF('AYIRA MINI MART FINAL MENU - Pr'!J463="""", """", GOOGLETRANSLATE('AYIRA MINI MART FINAL MENU - Pr'!J463, ""en"", ""ar""))"),"يعرض")</f>
        <v>يعرض</v>
      </c>
      <c r="K463" s="56" t="str">
        <f>IF('AYIRA MINI MART FINAL MENU - Pr'!K463="", "", 'AYIRA MINI MART FINAL MENU - Pr'!K463)</f>
        <v/>
      </c>
      <c r="L463" s="56" t="str">
        <f>IF('AYIRA MINI MART FINAL MENU - Pr'!L463="", "", 'AYIRA MINI MART FINAL MENU - Pr'!L463)</f>
        <v/>
      </c>
      <c r="M463" s="56" t="str">
        <f>IF('AYIRA MINI MART FINAL MENU - Pr'!M463="", "", 'AYIRA MINI MART FINAL MENU - Pr'!M463)</f>
        <v/>
      </c>
      <c r="N463" s="56" t="str">
        <f>IF('AYIRA MINI MART FINAL MENU - Pr'!N463="", "", 'AYIRA MINI MART FINAL MENU - Pr'!N463)</f>
        <v/>
      </c>
      <c r="O463" s="57"/>
      <c r="P463" s="57"/>
      <c r="Q463" s="57"/>
      <c r="R463" s="57"/>
      <c r="S463" s="57"/>
      <c r="T463" s="57"/>
      <c r="U463" s="57"/>
      <c r="V463" s="57"/>
      <c r="W463" s="57"/>
      <c r="X463" s="57"/>
      <c r="Y463" s="57"/>
      <c r="Z463" s="57"/>
    </row>
    <row r="464">
      <c r="A464" s="56" t="str">
        <f>IFERROR(__xludf.DUMMYFUNCTION("IF('AYIRA MINI MART FINAL MENU - Pr'!A464="""", """", IF(LEN(TRIM(REGEXREPLACE(REGEXREPLACE('AYIRA MINI MART FINAL MENU - Pr'!A464, ""^[^\x{0600}-\x{06FF}]+"", """"), ""^[-–\s]+"", """")))&gt;0, TRIM(REGEXREPLACE(REGEXREPLACE('AYIRA MINI MART FINAL MENU - Pr"&amp;"'!A464, ""^[^\x{0600}-\x{06FF}]+"", """"), ""^[-–\s]+"", """")), GOOGLETRANSLATE('AYIRA MINI MART FINAL MENU - Pr'!A464, ""en"", ""ar"")))"),"شيبس Mexican Chilli 75 غرام")</f>
        <v>شيبس Mexican Chilli 75 غرام</v>
      </c>
      <c r="B464" s="56" t="str">
        <f>IFERROR(__xludf.DUMMYFUNCTION("IF('AYIRA MINI MART FINAL MENU - Pr'!B464="""", """", IF(LEN(TRIM(REGEXREPLACE(REGEXREPLACE('AYIRA MINI MART FINAL MENU - Pr'!B464, ""^[^\x{0600}-\x{06FF}]+"", """"), ""^[-–\s]+"", """")))&gt;0, TRIM(REGEXREPLACE(REGEXREPLACE('AYIRA MINI MART FINAL MENU - Pr"&amp;"'!B464, ""^[^\x{0600}-\x{06FF}]+"", """"), ""^[-–\s]+"", """")), GOOGLETRANSLATE('AYIRA MINI MART FINAL MENU - Pr'!B464, ""en"", ""ar"")))"),"الشيبس والمقرمشات")</f>
        <v>الشيبس والمقرمشات</v>
      </c>
      <c r="C464" s="58">
        <f>IF('AYIRA MINI MART FINAL MENU - Pr'!C464="", "", 'AYIRA MINI MART FINAL MENU - Pr'!C464)</f>
        <v>2.5</v>
      </c>
      <c r="D464" s="58" t="str">
        <f>IF('AYIRA MINI MART FINAL MENU - Pr'!D464="", "", 'AYIRA MINI MART FINAL MENU - Pr'!D464)</f>
        <v>لا تقاوم طعم Crispy Potato Chips Mexican Chilli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4" s="56" t="str">
        <f>IF('AYIRA MINI MART FINAL MENU - Pr'!E464="", "", 'AYIRA MINI MART FINAL MENU - Pr'!E464)</f>
        <v/>
      </c>
      <c r="F464" s="56" t="str">
        <f>IF('AYIRA MINI MART FINAL MENU - Pr'!F464="", "", 'AYIRA MINI MART FINAL MENU - Pr'!F464)</f>
        <v/>
      </c>
      <c r="G464" s="56" t="str">
        <f>IF('AYIRA MINI MART FINAL MENU - Pr'!G464="", "", 'AYIRA MINI MART FINAL MENU - Pr'!G464)</f>
        <v/>
      </c>
      <c r="H464" s="56" t="str">
        <f>IF('AYIRA MINI MART FINAL MENU - Pr'!H464="", "", 'AYIRA MINI MART FINAL MENU - Pr'!H464)</f>
        <v/>
      </c>
      <c r="I464" s="56" t="str">
        <f>IF('AYIRA MINI MART FINAL MENU - Pr'!I464="", "", 'AYIRA MINI MART FINAL MENU - Pr'!I464)</f>
        <v/>
      </c>
      <c r="J464" s="56" t="str">
        <f>IFERROR(__xludf.DUMMYFUNCTION("IF('AYIRA MINI MART FINAL MENU - Pr'!J464="""", """", GOOGLETRANSLATE('AYIRA MINI MART FINAL MENU - Pr'!J464, ""en"", ""ar""))"),"يعرض")</f>
        <v>يعرض</v>
      </c>
      <c r="K464" s="56" t="str">
        <f>IF('AYIRA MINI MART FINAL MENU - Pr'!K464="", "", 'AYIRA MINI MART FINAL MENU - Pr'!K464)</f>
        <v/>
      </c>
      <c r="L464" s="56" t="str">
        <f>IF('AYIRA MINI MART FINAL MENU - Pr'!L464="", "", 'AYIRA MINI MART FINAL MENU - Pr'!L464)</f>
        <v/>
      </c>
      <c r="M464" s="56" t="str">
        <f>IF('AYIRA MINI MART FINAL MENU - Pr'!M464="", "", 'AYIRA MINI MART FINAL MENU - Pr'!M464)</f>
        <v/>
      </c>
      <c r="N464" s="56" t="str">
        <f>IF('AYIRA MINI MART FINAL MENU - Pr'!N464="", "", 'AYIRA MINI MART FINAL MENU - Pr'!N464)</f>
        <v/>
      </c>
      <c r="O464" s="57"/>
      <c r="P464" s="57"/>
      <c r="Q464" s="57"/>
      <c r="R464" s="57"/>
      <c r="S464" s="57"/>
      <c r="T464" s="57"/>
      <c r="U464" s="57"/>
      <c r="V464" s="57"/>
      <c r="W464" s="57"/>
      <c r="X464" s="57"/>
      <c r="Y464" s="57"/>
      <c r="Z464" s="57"/>
    </row>
    <row r="465">
      <c r="A465" s="56" t="str">
        <f>IFERROR(__xludf.DUMMYFUNCTION("IF('AYIRA MINI MART FINAL MENU - Pr'!A465="""", """", IF(LEN(TRIM(REGEXREPLACE(REGEXREPLACE('AYIRA MINI MART FINAL MENU - Pr'!A465, ""^[^\x{0600}-\x{06FF}]+"", """"), ""^[-–\s]+"", """")))&gt;0, TRIM(REGEXREPLACE(REGEXREPLACE('AYIRA MINI MART FINAL MENU - Pr"&amp;"'!A465, ""^[^\x{0600}-\x{06FF}]+"", """"), ""^[-–\s]+"", """")), GOOGLETRANSLATE('AYIRA MINI MART FINAL MENU - Pr'!A465, ""en"", ""ar"")))"),"شيبس Ready مملح 75 غرام")</f>
        <v>شيبس Ready مملح 75 غرام</v>
      </c>
      <c r="B465" s="56" t="str">
        <f>IFERROR(__xludf.DUMMYFUNCTION("IF('AYIRA MINI MART FINAL MENU - Pr'!B465="""", """", IF(LEN(TRIM(REGEXREPLACE(REGEXREPLACE('AYIRA MINI MART FINAL MENU - Pr'!B465, ""^[^\x{0600}-\x{06FF}]+"", """"), ""^[-–\s]+"", """")))&gt;0, TRIM(REGEXREPLACE(REGEXREPLACE('AYIRA MINI MART FINAL MENU - Pr"&amp;"'!B465, ""^[^\x{0600}-\x{06FF}]+"", """"), ""^[-–\s]+"", """")), GOOGLETRANSLATE('AYIRA MINI MART FINAL MENU - Pr'!B465, ""en"", ""ar"")))"),"الشيبس والمقرمشات")</f>
        <v>الشيبس والمقرمشات</v>
      </c>
      <c r="C465" s="58">
        <f>IF('AYIRA MINI MART FINAL MENU - Pr'!C465="", "", 'AYIRA MINI MART FINAL MENU - Pr'!C465)</f>
        <v>4</v>
      </c>
      <c r="D465" s="58" t="str">
        <f>IF('AYIRA MINI MART FINAL MENU - Pr'!D465="", "", 'AYIRA MINI MART FINAL MENU - Pr'!D465)</f>
        <v>لا تقاوم طعم Al Moudhish Potato Chips Ready Salted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5" s="56" t="str">
        <f>IF('AYIRA MINI MART FINAL MENU - Pr'!E465="", "", 'AYIRA MINI MART FINAL MENU - Pr'!E465)</f>
        <v/>
      </c>
      <c r="F465" s="56" t="str">
        <f>IF('AYIRA MINI MART FINAL MENU - Pr'!F465="", "", 'AYIRA MINI MART FINAL MENU - Pr'!F465)</f>
        <v/>
      </c>
      <c r="G465" s="56" t="str">
        <f>IF('AYIRA MINI MART FINAL MENU - Pr'!G465="", "", 'AYIRA MINI MART FINAL MENU - Pr'!G465)</f>
        <v/>
      </c>
      <c r="H465" s="56" t="str">
        <f>IF('AYIRA MINI MART FINAL MENU - Pr'!H465="", "", 'AYIRA MINI MART FINAL MENU - Pr'!H465)</f>
        <v/>
      </c>
      <c r="I465" s="56" t="str">
        <f>IF('AYIRA MINI MART FINAL MENU - Pr'!I465="", "", 'AYIRA MINI MART FINAL MENU - Pr'!I465)</f>
        <v/>
      </c>
      <c r="J465" s="56" t="str">
        <f>IFERROR(__xludf.DUMMYFUNCTION("IF('AYIRA MINI MART FINAL MENU - Pr'!J465="""", """", GOOGLETRANSLATE('AYIRA MINI MART FINAL MENU - Pr'!J465, ""en"", ""ar""))"),"يعرض")</f>
        <v>يعرض</v>
      </c>
      <c r="K465" s="56" t="str">
        <f>IF('AYIRA MINI MART FINAL MENU - Pr'!K465="", "", 'AYIRA MINI MART FINAL MENU - Pr'!K465)</f>
        <v/>
      </c>
      <c r="L465" s="56" t="str">
        <f>IF('AYIRA MINI MART FINAL MENU - Pr'!L465="", "", 'AYIRA MINI MART FINAL MENU - Pr'!L465)</f>
        <v/>
      </c>
      <c r="M465" s="56" t="str">
        <f>IF('AYIRA MINI MART FINAL MENU - Pr'!M465="", "", 'AYIRA MINI MART FINAL MENU - Pr'!M465)</f>
        <v/>
      </c>
      <c r="N465" s="56" t="str">
        <f>IF('AYIRA MINI MART FINAL MENU - Pr'!N465="", "", 'AYIRA MINI MART FINAL MENU - Pr'!N465)</f>
        <v/>
      </c>
      <c r="O465" s="57"/>
      <c r="P465" s="57"/>
      <c r="Q465" s="57"/>
      <c r="R465" s="57"/>
      <c r="S465" s="57"/>
      <c r="T465" s="57"/>
      <c r="U465" s="57"/>
      <c r="V465" s="57"/>
      <c r="W465" s="57"/>
      <c r="X465" s="57"/>
      <c r="Y465" s="57"/>
      <c r="Z465" s="57"/>
    </row>
    <row r="466">
      <c r="A466" s="56" t="str">
        <f>IFERROR(__xludf.DUMMYFUNCTION("IF('AYIRA MINI MART FINAL MENU - Pr'!A466="""", """", IF(LEN(TRIM(REGEXREPLACE(REGEXREPLACE('AYIRA MINI MART FINAL MENU - Pr'!A466, ""^[^\x{0600}-\x{06FF}]+"", """"), ""^[-–\s]+"", """")))&gt;0, TRIM(REGEXREPLACE(REGEXREPLACE('AYIRA MINI MART FINAL MENU - Pr"&amp;"'!A466, ""^[^\x{0600}-\x{06FF}]+"", """"), ""^[-–\s]+"", """")), GOOGLETRANSLATE('AYIRA MINI MART FINAL MENU - Pr'!A466, ""en"", ""ar"")))"),"شيبس 75 غرام")</f>
        <v>شيبس 75 غرام</v>
      </c>
      <c r="B466" s="56" t="str">
        <f>IFERROR(__xludf.DUMMYFUNCTION("IF('AYIRA MINI MART FINAL MENU - Pr'!B466="""", """", IF(LEN(TRIM(REGEXREPLACE(REGEXREPLACE('AYIRA MINI MART FINAL MENU - Pr'!B466, ""^[^\x{0600}-\x{06FF}]+"", """"), ""^[-–\s]+"", """")))&gt;0, TRIM(REGEXREPLACE(REGEXREPLACE('AYIRA MINI MART FINAL MENU - Pr"&amp;"'!B466, ""^[^\x{0600}-\x{06FF}]+"", """"), ""^[-–\s]+"", """")), GOOGLETRANSLATE('AYIRA MINI MART FINAL MENU - Pr'!B466, ""en"", ""ar"")))"),"الشيبس والمقرمشات")</f>
        <v>الشيبس والمقرمشات</v>
      </c>
      <c r="C466" s="58">
        <f>IF('AYIRA MINI MART FINAL MENU - Pr'!C466="", "", 'AYIRA MINI MART FINAL MENU - Pr'!C466)</f>
        <v>4</v>
      </c>
      <c r="D466" s="58" t="str">
        <f>IF('AYIRA MINI MART FINAL MENU - Pr'!D466="", "", 'AYIRA MINI MART FINAL MENU - Pr'!D466)</f>
        <v>لا تقاوم طعم Al Moudhish Potato Chips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6" s="56" t="str">
        <f>IF('AYIRA MINI MART FINAL MENU - Pr'!E466="", "", 'AYIRA MINI MART FINAL MENU - Pr'!E466)</f>
        <v/>
      </c>
      <c r="F466" s="56" t="str">
        <f>IF('AYIRA MINI MART FINAL MENU - Pr'!F466="", "", 'AYIRA MINI MART FINAL MENU - Pr'!F466)</f>
        <v/>
      </c>
      <c r="G466" s="56" t="str">
        <f>IF('AYIRA MINI MART FINAL MENU - Pr'!G466="", "", 'AYIRA MINI MART FINAL MENU - Pr'!G466)</f>
        <v/>
      </c>
      <c r="H466" s="56" t="str">
        <f>IF('AYIRA MINI MART FINAL MENU - Pr'!H466="", "", 'AYIRA MINI MART FINAL MENU - Pr'!H466)</f>
        <v/>
      </c>
      <c r="I466" s="56" t="str">
        <f>IF('AYIRA MINI MART FINAL MENU - Pr'!I466="", "", 'AYIRA MINI MART FINAL MENU - Pr'!I466)</f>
        <v/>
      </c>
      <c r="J466" s="56" t="str">
        <f>IFERROR(__xludf.DUMMYFUNCTION("IF('AYIRA MINI MART FINAL MENU - Pr'!J466="""", """", GOOGLETRANSLATE('AYIRA MINI MART FINAL MENU - Pr'!J466, ""en"", ""ar""))"),"يعرض")</f>
        <v>يعرض</v>
      </c>
      <c r="K466" s="56" t="str">
        <f>IF('AYIRA MINI MART FINAL MENU - Pr'!K466="", "", 'AYIRA MINI MART FINAL MENU - Pr'!K466)</f>
        <v/>
      </c>
      <c r="L466" s="56" t="str">
        <f>IF('AYIRA MINI MART FINAL MENU - Pr'!L466="", "", 'AYIRA MINI MART FINAL MENU - Pr'!L466)</f>
        <v/>
      </c>
      <c r="M466" s="56" t="str">
        <f>IF('AYIRA MINI MART FINAL MENU - Pr'!M466="", "", 'AYIRA MINI MART FINAL MENU - Pr'!M466)</f>
        <v/>
      </c>
      <c r="N466" s="56" t="str">
        <f>IF('AYIRA MINI MART FINAL MENU - Pr'!N466="", "", 'AYIRA MINI MART FINAL MENU - Pr'!N466)</f>
        <v/>
      </c>
      <c r="O466" s="57"/>
      <c r="P466" s="57"/>
      <c r="Q466" s="57"/>
      <c r="R466" s="57"/>
      <c r="S466" s="57"/>
      <c r="T466" s="57"/>
      <c r="U466" s="57"/>
      <c r="V466" s="57"/>
      <c r="W466" s="57"/>
      <c r="X466" s="57"/>
      <c r="Y466" s="57"/>
      <c r="Z466" s="57"/>
    </row>
    <row r="467">
      <c r="A467" s="56" t="str">
        <f>IFERROR(__xludf.DUMMYFUNCTION("IF('AYIRA MINI MART FINAL MENU - Pr'!A467="""", """", IF(LEN(TRIM(REGEXREPLACE(REGEXREPLACE('AYIRA MINI MART FINAL MENU - Pr'!A467, ""^[^\x{0600}-\x{06FF}]+"", """"), ""^[-–\s]+"", """")))&gt;0, TRIM(REGEXREPLACE(REGEXREPLACE('AYIRA MINI MART FINAL MENU - Pr"&amp;"'!A467, ""^[^\x{0600}-\x{06FF}]+"", """"), ""^[-–\s]+"", """")), GOOGLETRANSLATE('AYIRA MINI MART FINAL MENU - Pr'!A467, ""en"", ""ar"")))"),"شيبس أصلي 135 غرام")</f>
        <v>شيبس أصلي 135 غرام</v>
      </c>
      <c r="B467" s="56" t="str">
        <f>IFERROR(__xludf.DUMMYFUNCTION("IF('AYIRA MINI MART FINAL MENU - Pr'!B467="""", """", IF(LEN(TRIM(REGEXREPLACE(REGEXREPLACE('AYIRA MINI MART FINAL MENU - Pr'!B467, ""^[^\x{0600}-\x{06FF}]+"", """"), ""^[-–\s]+"", """")))&gt;0, TRIM(REGEXREPLACE(REGEXREPLACE('AYIRA MINI MART FINAL MENU - Pr"&amp;"'!B467, ""^[^\x{0600}-\x{06FF}]+"", """"), ""^[-–\s]+"", """")), GOOGLETRANSLATE('AYIRA MINI MART FINAL MENU - Pr'!B467, ""en"", ""ar"")))"),"الشيبس والمقرمشات")</f>
        <v>الشيبس والمقرمشات</v>
      </c>
      <c r="C467" s="58">
        <f>IF('AYIRA MINI MART FINAL MENU - Pr'!C467="", "", 'AYIRA MINI MART FINAL MENU - Pr'!C467)</f>
        <v>13</v>
      </c>
      <c r="D467" s="58" t="str">
        <f>IF('AYIRA MINI MART FINAL MENU - Pr'!D467="", "", 'AYIRA MINI MART FINAL MENU - Pr'!D467)</f>
        <v>لا تقاوم طعم Bliss Hummus Chips Original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7" s="56" t="str">
        <f>IF('AYIRA MINI MART FINAL MENU - Pr'!E467="", "", 'AYIRA MINI MART FINAL MENU - Pr'!E467)</f>
        <v/>
      </c>
      <c r="F467" s="56" t="str">
        <f>IF('AYIRA MINI MART FINAL MENU - Pr'!F467="", "", 'AYIRA MINI MART FINAL MENU - Pr'!F467)</f>
        <v/>
      </c>
      <c r="G467" s="56" t="str">
        <f>IF('AYIRA MINI MART FINAL MENU - Pr'!G467="", "", 'AYIRA MINI MART FINAL MENU - Pr'!G467)</f>
        <v/>
      </c>
      <c r="H467" s="56" t="str">
        <f>IF('AYIRA MINI MART FINAL MENU - Pr'!H467="", "", 'AYIRA MINI MART FINAL MENU - Pr'!H467)</f>
        <v/>
      </c>
      <c r="I467" s="56" t="str">
        <f>IF('AYIRA MINI MART FINAL MENU - Pr'!I467="", "", 'AYIRA MINI MART FINAL MENU - Pr'!I467)</f>
        <v/>
      </c>
      <c r="J467" s="56" t="str">
        <f>IFERROR(__xludf.DUMMYFUNCTION("IF('AYIRA MINI MART FINAL MENU - Pr'!J467="""", """", GOOGLETRANSLATE('AYIRA MINI MART FINAL MENU - Pr'!J467, ""en"", ""ar""))"),"يعرض")</f>
        <v>يعرض</v>
      </c>
      <c r="K467" s="56" t="str">
        <f>IF('AYIRA MINI MART FINAL MENU - Pr'!K467="", "", 'AYIRA MINI MART FINAL MENU - Pr'!K467)</f>
        <v/>
      </c>
      <c r="L467" s="56" t="str">
        <f>IF('AYIRA MINI MART FINAL MENU - Pr'!L467="", "", 'AYIRA MINI MART FINAL MENU - Pr'!L467)</f>
        <v/>
      </c>
      <c r="M467" s="56" t="str">
        <f>IF('AYIRA MINI MART FINAL MENU - Pr'!M467="", "", 'AYIRA MINI MART FINAL MENU - Pr'!M467)</f>
        <v/>
      </c>
      <c r="N467" s="56" t="str">
        <f>IF('AYIRA MINI MART FINAL MENU - Pr'!N467="", "", 'AYIRA MINI MART FINAL MENU - Pr'!N467)</f>
        <v/>
      </c>
      <c r="O467" s="57"/>
      <c r="P467" s="57"/>
      <c r="Q467" s="57"/>
      <c r="R467" s="57"/>
      <c r="S467" s="57"/>
      <c r="T467" s="57"/>
      <c r="U467" s="57"/>
      <c r="V467" s="57"/>
      <c r="W467" s="57"/>
      <c r="X467" s="57"/>
      <c r="Y467" s="57"/>
      <c r="Z467" s="57"/>
    </row>
    <row r="468">
      <c r="A468" s="56" t="str">
        <f>IFERROR(__xludf.DUMMYFUNCTION("IF('AYIRA MINI MART FINAL MENU - Pr'!A468="""", """", IF(LEN(TRIM(REGEXREPLACE(REGEXREPLACE('AYIRA MINI MART FINAL MENU - Pr'!A468, ""^[^\x{0600}-\x{06FF}]+"", """"), ""^[-–\s]+"", """")))&gt;0, TRIM(REGEXREPLACE(REGEXREPLACE('AYIRA MINI MART FINAL MENU - Pr"&amp;"'!A468, ""^[^\x{0600}-\x{06FF}]+"", """"), ""^[-–\s]+"", """")), GOOGLETRANSLATE('AYIRA MINI MART FINAL MENU - Pr'!A468, ""en"", ""ar"")))"),"أصلي 135 غرام")</f>
        <v>أصلي 135 غرام</v>
      </c>
      <c r="B468" s="56" t="str">
        <f>IFERROR(__xludf.DUMMYFUNCTION("IF('AYIRA MINI MART FINAL MENU - Pr'!B468="""", """", IF(LEN(TRIM(REGEXREPLACE(REGEXREPLACE('AYIRA MINI MART FINAL MENU - Pr'!B468, ""^[^\x{0600}-\x{06FF}]+"", """"), ""^[-–\s]+"", """")))&gt;0, TRIM(REGEXREPLACE(REGEXREPLACE('AYIRA MINI MART FINAL MENU - Pr"&amp;"'!B468, ""^[^\x{0600}-\x{06FF}]+"", """"), ""^[-–\s]+"", """")), GOOGLETRANSLATE('AYIRA MINI MART FINAL MENU - Pr'!B468, ""en"", ""ar"")))"),"الشيبس والمقرمشات")</f>
        <v>الشيبس والمقرمشات</v>
      </c>
      <c r="C468" s="58">
        <f>IF('AYIRA MINI MART FINAL MENU - Pr'!C468="", "", 'AYIRA MINI MART FINAL MENU - Pr'!C468)</f>
        <v>13</v>
      </c>
      <c r="D468" s="58" t="str">
        <f>IF('AYIRA MINI MART FINAL MENU - Pr'!D468="", "", 'AYIRA MINI MART FINAL MENU - Pr'!D468)</f>
        <v>لا تقاوم طعم Bliss Veggie Straws Original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8" s="56" t="str">
        <f>IF('AYIRA MINI MART FINAL MENU - Pr'!E468="", "", 'AYIRA MINI MART FINAL MENU - Pr'!E468)</f>
        <v/>
      </c>
      <c r="F468" s="56" t="str">
        <f>IF('AYIRA MINI MART FINAL MENU - Pr'!F468="", "", 'AYIRA MINI MART FINAL MENU - Pr'!F468)</f>
        <v/>
      </c>
      <c r="G468" s="56" t="str">
        <f>IF('AYIRA MINI MART FINAL MENU - Pr'!G468="", "", 'AYIRA MINI MART FINAL MENU - Pr'!G468)</f>
        <v/>
      </c>
      <c r="H468" s="56" t="str">
        <f>IF('AYIRA MINI MART FINAL MENU - Pr'!H468="", "", 'AYIRA MINI MART FINAL MENU - Pr'!H468)</f>
        <v/>
      </c>
      <c r="I468" s="56" t="str">
        <f>IF('AYIRA MINI MART FINAL MENU - Pr'!I468="", "", 'AYIRA MINI MART FINAL MENU - Pr'!I468)</f>
        <v/>
      </c>
      <c r="J468" s="56" t="str">
        <f>IFERROR(__xludf.DUMMYFUNCTION("IF('AYIRA MINI MART FINAL MENU - Pr'!J468="""", """", GOOGLETRANSLATE('AYIRA MINI MART FINAL MENU - Pr'!J468, ""en"", ""ar""))"),"يعرض")</f>
        <v>يعرض</v>
      </c>
      <c r="K468" s="56" t="str">
        <f>IF('AYIRA MINI MART FINAL MENU - Pr'!K468="", "", 'AYIRA MINI MART FINAL MENU - Pr'!K468)</f>
        <v/>
      </c>
      <c r="L468" s="56" t="str">
        <f>IF('AYIRA MINI MART FINAL MENU - Pr'!L468="", "", 'AYIRA MINI MART FINAL MENU - Pr'!L468)</f>
        <v/>
      </c>
      <c r="M468" s="56" t="str">
        <f>IF('AYIRA MINI MART FINAL MENU - Pr'!M468="", "", 'AYIRA MINI MART FINAL MENU - Pr'!M468)</f>
        <v/>
      </c>
      <c r="N468" s="56" t="str">
        <f>IF('AYIRA MINI MART FINAL MENU - Pr'!N468="", "", 'AYIRA MINI MART FINAL MENU - Pr'!N468)</f>
        <v/>
      </c>
      <c r="O468" s="57"/>
      <c r="P468" s="57"/>
      <c r="Q468" s="57"/>
      <c r="R468" s="57"/>
      <c r="S468" s="57"/>
      <c r="T468" s="57"/>
      <c r="U468" s="57"/>
      <c r="V468" s="57"/>
      <c r="W468" s="57"/>
      <c r="X468" s="57"/>
      <c r="Y468" s="57"/>
      <c r="Z468" s="57"/>
    </row>
    <row r="469">
      <c r="A469" s="56" t="str">
        <f>IFERROR(__xludf.DUMMYFUNCTION("IF('AYIRA MINI MART FINAL MENU - Pr'!A469="""", """", IF(LEN(TRIM(REGEXREPLACE(REGEXREPLACE('AYIRA MINI MART FINAL MENU - Pr'!A469, ""^[^\x{0600}-\x{06FF}]+"", """"), ""^[-–\s]+"", """")))&gt;0, TRIM(REGEXREPLACE(REGEXREPLACE('AYIRA MINI MART FINAL MENU - Pr"&amp;"'!A469, ""^[^\x{0600}-\x{06FF}]+"", """"), ""^[-–\s]+"", """")), GOOGLETRANSLATE('AYIRA MINI MART FINAL MENU - Pr'!A469, ""en"", ""ar"")))"),"شيبس أصلي 135 غرام")</f>
        <v>شيبس أصلي 135 غرام</v>
      </c>
      <c r="B469" s="56" t="str">
        <f>IFERROR(__xludf.DUMMYFUNCTION("IF('AYIRA MINI MART FINAL MENU - Pr'!B469="""", """", IF(LEN(TRIM(REGEXREPLACE(REGEXREPLACE('AYIRA MINI MART FINAL MENU - Pr'!B469, ""^[^\x{0600}-\x{06FF}]+"", """"), ""^[-–\s]+"", """")))&gt;0, TRIM(REGEXREPLACE(REGEXREPLACE('AYIRA MINI MART FINAL MENU - Pr"&amp;"'!B469, ""^[^\x{0600}-\x{06FF}]+"", """"), ""^[-–\s]+"", """")), GOOGLETRANSLATE('AYIRA MINI MART FINAL MENU - Pr'!B469, ""en"", ""ar"")))"),"الشيبس والمقرمشات")</f>
        <v>الشيبس والمقرمشات</v>
      </c>
      <c r="C469" s="58">
        <f>IF('AYIRA MINI MART FINAL MENU - Pr'!C469="", "", 'AYIRA MINI MART FINAL MENU - Pr'!C469)</f>
        <v>13</v>
      </c>
      <c r="D469" s="58" t="str">
        <f>IF('AYIRA MINI MART FINAL MENU - Pr'!D469="", "", 'AYIRA MINI MART FINAL MENU - Pr'!D469)</f>
        <v>لا تقاوم طعم Bliss Veggie Chips Original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69" s="56" t="str">
        <f>IF('AYIRA MINI MART FINAL MENU - Pr'!E469="", "", 'AYIRA MINI MART FINAL MENU - Pr'!E469)</f>
        <v/>
      </c>
      <c r="F469" s="56" t="str">
        <f>IF('AYIRA MINI MART FINAL MENU - Pr'!F469="", "", 'AYIRA MINI MART FINAL MENU - Pr'!F469)</f>
        <v/>
      </c>
      <c r="G469" s="56" t="str">
        <f>IF('AYIRA MINI MART FINAL MENU - Pr'!G469="", "", 'AYIRA MINI MART FINAL MENU - Pr'!G469)</f>
        <v/>
      </c>
      <c r="H469" s="56" t="str">
        <f>IF('AYIRA MINI MART FINAL MENU - Pr'!H469="", "", 'AYIRA MINI MART FINAL MENU - Pr'!H469)</f>
        <v/>
      </c>
      <c r="I469" s="56" t="str">
        <f>IF('AYIRA MINI MART FINAL MENU - Pr'!I469="", "", 'AYIRA MINI MART FINAL MENU - Pr'!I469)</f>
        <v/>
      </c>
      <c r="J469" s="56" t="str">
        <f>IFERROR(__xludf.DUMMYFUNCTION("IF('AYIRA MINI MART FINAL MENU - Pr'!J469="""", """", GOOGLETRANSLATE('AYIRA MINI MART FINAL MENU - Pr'!J469, ""en"", ""ar""))"),"يعرض")</f>
        <v>يعرض</v>
      </c>
      <c r="K469" s="56" t="str">
        <f>IF('AYIRA MINI MART FINAL MENU - Pr'!K469="", "", 'AYIRA MINI MART FINAL MENU - Pr'!K469)</f>
        <v/>
      </c>
      <c r="L469" s="56" t="str">
        <f>IF('AYIRA MINI MART FINAL MENU - Pr'!L469="", "", 'AYIRA MINI MART FINAL MENU - Pr'!L469)</f>
        <v/>
      </c>
      <c r="M469" s="56" t="str">
        <f>IF('AYIRA MINI MART FINAL MENU - Pr'!M469="", "", 'AYIRA MINI MART FINAL MENU - Pr'!M469)</f>
        <v/>
      </c>
      <c r="N469" s="56" t="str">
        <f>IF('AYIRA MINI MART FINAL MENU - Pr'!N469="", "", 'AYIRA MINI MART FINAL MENU - Pr'!N469)</f>
        <v/>
      </c>
      <c r="O469" s="57"/>
      <c r="P469" s="57"/>
      <c r="Q469" s="57"/>
      <c r="R469" s="57"/>
      <c r="S469" s="57"/>
      <c r="T469" s="57"/>
      <c r="U469" s="57"/>
      <c r="V469" s="57"/>
      <c r="W469" s="57"/>
      <c r="X469" s="57"/>
      <c r="Y469" s="57"/>
      <c r="Z469" s="57"/>
    </row>
    <row r="470">
      <c r="A470" s="56" t="str">
        <f>IFERROR(__xludf.DUMMYFUNCTION("IF('AYIRA MINI MART FINAL MENU - Pr'!A470="""", """", IF(LEN(TRIM(REGEXREPLACE(REGEXREPLACE('AYIRA MINI MART FINAL MENU - Pr'!A470, ""^[^\x{0600}-\x{06FF}]+"", """"), ""^[-–\s]+"", """")))&gt;0, TRIM(REGEXREPLACE(REGEXREPLACE('AYIRA MINI MART FINAL MENU - Pr"&amp;"'!A470, ""^[^\x{0600}-\x{06FF}]+"", """"), ""^[-–\s]+"", """")), GOOGLETRANSLATE('AYIRA MINI MART FINAL MENU - Pr'!A470, ""en"", ""ar"")))"),"دوريتوس حار Sweet Chili Flavored 92.1 غرام")</f>
        <v>دوريتوس حار Sweet Chili Flavored 92.1 غرام</v>
      </c>
      <c r="B470" s="56" t="str">
        <f>IFERROR(__xludf.DUMMYFUNCTION("IF('AYIRA MINI MART FINAL MENU - Pr'!B470="""", """", IF(LEN(TRIM(REGEXREPLACE(REGEXREPLACE('AYIRA MINI MART FINAL MENU - Pr'!B470, ""^[^\x{0600}-\x{06FF}]+"", """"), ""^[-–\s]+"", """")))&gt;0, TRIM(REGEXREPLACE(REGEXREPLACE('AYIRA MINI MART FINAL MENU - Pr"&amp;"'!B470, ""^[^\x{0600}-\x{06FF}]+"", """"), ""^[-–\s]+"", """")), GOOGLETRANSLATE('AYIRA MINI MART FINAL MENU - Pr'!B470, ""en"", ""ar"")))"),"الشيبس والمقرمشات")</f>
        <v>الشيبس والمقرمشات</v>
      </c>
      <c r="C470" s="58">
        <f>IF('AYIRA MINI MART FINAL MENU - Pr'!C470="", "", 'AYIRA MINI MART FINAL MENU - Pr'!C470)</f>
        <v>9</v>
      </c>
      <c r="D470" s="58" t="str">
        <f>IF('AYIRA MINI MART FINAL MENU - Pr'!D470="", "", 'AYIRA MINI MART FINAL MENU - Pr'!D470)</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0" s="56" t="str">
        <f>IF('AYIRA MINI MART FINAL MENU - Pr'!E470="", "", 'AYIRA MINI MART FINAL MENU - Pr'!E470)</f>
        <v/>
      </c>
      <c r="F470" s="56" t="str">
        <f>IF('AYIRA MINI MART FINAL MENU - Pr'!F470="", "", 'AYIRA MINI MART FINAL MENU - Pr'!F470)</f>
        <v/>
      </c>
      <c r="G470" s="56" t="str">
        <f>IF('AYIRA MINI MART FINAL MENU - Pr'!G470="", "", 'AYIRA MINI MART FINAL MENU - Pr'!G470)</f>
        <v/>
      </c>
      <c r="H470" s="56" t="str">
        <f>IF('AYIRA MINI MART FINAL MENU - Pr'!H470="", "", 'AYIRA MINI MART FINAL MENU - Pr'!H470)</f>
        <v/>
      </c>
      <c r="I470" s="56" t="str">
        <f>IF('AYIRA MINI MART FINAL MENU - Pr'!I470="", "", 'AYIRA MINI MART FINAL MENU - Pr'!I470)</f>
        <v/>
      </c>
      <c r="J470" s="56" t="str">
        <f>IFERROR(__xludf.DUMMYFUNCTION("IF('AYIRA MINI MART FINAL MENU - Pr'!J470="""", """", GOOGLETRANSLATE('AYIRA MINI MART FINAL MENU - Pr'!J470, ""en"", ""ar""))"),"يعرض")</f>
        <v>يعرض</v>
      </c>
      <c r="K470" s="56" t="str">
        <f>IF('AYIRA MINI MART FINAL MENU - Pr'!K470="", "", 'AYIRA MINI MART FINAL MENU - Pr'!K470)</f>
        <v/>
      </c>
      <c r="L470" s="56" t="str">
        <f>IF('AYIRA MINI MART FINAL MENU - Pr'!L470="", "", 'AYIRA MINI MART FINAL MENU - Pr'!L470)</f>
        <v/>
      </c>
      <c r="M470" s="56" t="str">
        <f>IF('AYIRA MINI MART FINAL MENU - Pr'!M470="", "", 'AYIRA MINI MART FINAL MENU - Pr'!M470)</f>
        <v/>
      </c>
      <c r="N470" s="56" t="str">
        <f>IF('AYIRA MINI MART FINAL MENU - Pr'!N470="", "", 'AYIRA MINI MART FINAL MENU - Pr'!N470)</f>
        <v/>
      </c>
      <c r="O470" s="57"/>
      <c r="P470" s="57"/>
      <c r="Q470" s="57"/>
      <c r="R470" s="57"/>
      <c r="S470" s="57"/>
      <c r="T470" s="57"/>
      <c r="U470" s="57"/>
      <c r="V470" s="57"/>
      <c r="W470" s="57"/>
      <c r="X470" s="57"/>
      <c r="Y470" s="57"/>
      <c r="Z470" s="57"/>
    </row>
    <row r="471">
      <c r="A471" s="56" t="str">
        <f>IFERROR(__xludf.DUMMYFUNCTION("IF('AYIRA MINI MART FINAL MENU - Pr'!A471="""", """", IF(LEN(TRIM(REGEXREPLACE(REGEXREPLACE('AYIRA MINI MART FINAL MENU - Pr'!A471, ""^[^\x{0600}-\x{06FF}]+"", """"), ""^[-–\s]+"", """")))&gt;0, TRIM(REGEXREPLACE(REGEXREPLACE('AYIRA MINI MART FINAL MENU - Pr"&amp;"'!A471, ""^[^\x{0600}-\x{06FF}]+"", """"), ""^[-–\s]+"", """")), GOOGLETRANSLATE('AYIRA MINI MART FINAL MENU - Pr'!A471, ""en"", ""ar"")))"),"تشيتوس Crunchy 35.4 غرام")</f>
        <v>تشيتوس Crunchy 35.4 غرام</v>
      </c>
      <c r="B471" s="56" t="str">
        <f>IFERROR(__xludf.DUMMYFUNCTION("IF('AYIRA MINI MART FINAL MENU - Pr'!B471="""", """", IF(LEN(TRIM(REGEXREPLACE(REGEXREPLACE('AYIRA MINI MART FINAL MENU - Pr'!B471, ""^[^\x{0600}-\x{06FF}]+"", """"), ""^[-–\s]+"", """")))&gt;0, TRIM(REGEXREPLACE(REGEXREPLACE('AYIRA MINI MART FINAL MENU - Pr"&amp;"'!B471, ""^[^\x{0600}-\x{06FF}]+"", """"), ""^[-–\s]+"", """")), GOOGLETRANSLATE('AYIRA MINI MART FINAL MENU - Pr'!B471, ""en"", ""ar"")))"),"الشيبس والمقرمشات")</f>
        <v>الشيبس والمقرمشات</v>
      </c>
      <c r="C471" s="58">
        <f>IF('AYIRA MINI MART FINAL MENU - Pr'!C471="", "", 'AYIRA MINI MART FINAL MENU - Pr'!C471)</f>
        <v>3.5</v>
      </c>
      <c r="D471" s="58" t="str">
        <f>IF('AYIRA MINI MART FINAL MENU - Pr'!D471="", "", 'AYIRA MINI MART FINAL MENU - Pr'!D471)</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1" s="56" t="str">
        <f>IF('AYIRA MINI MART FINAL MENU - Pr'!E471="", "", 'AYIRA MINI MART FINAL MENU - Pr'!E471)</f>
        <v/>
      </c>
      <c r="F471" s="56" t="str">
        <f>IF('AYIRA MINI MART FINAL MENU - Pr'!F471="", "", 'AYIRA MINI MART FINAL MENU - Pr'!F471)</f>
        <v/>
      </c>
      <c r="G471" s="56" t="str">
        <f>IF('AYIRA MINI MART FINAL MENU - Pr'!G471="", "", 'AYIRA MINI MART FINAL MENU - Pr'!G471)</f>
        <v/>
      </c>
      <c r="H471" s="56" t="str">
        <f>IF('AYIRA MINI MART FINAL MENU - Pr'!H471="", "", 'AYIRA MINI MART FINAL MENU - Pr'!H471)</f>
        <v/>
      </c>
      <c r="I471" s="56" t="str">
        <f>IF('AYIRA MINI MART FINAL MENU - Pr'!I471="", "", 'AYIRA MINI MART FINAL MENU - Pr'!I471)</f>
        <v/>
      </c>
      <c r="J471" s="56" t="str">
        <f>IFERROR(__xludf.DUMMYFUNCTION("IF('AYIRA MINI MART FINAL MENU - Pr'!J471="""", """", GOOGLETRANSLATE('AYIRA MINI MART FINAL MENU - Pr'!J471, ""en"", ""ar""))"),"يعرض")</f>
        <v>يعرض</v>
      </c>
      <c r="K471" s="56" t="str">
        <f>IF('AYIRA MINI MART FINAL MENU - Pr'!K471="", "", 'AYIRA MINI MART FINAL MENU - Pr'!K471)</f>
        <v/>
      </c>
      <c r="L471" s="56" t="str">
        <f>IF('AYIRA MINI MART FINAL MENU - Pr'!L471="", "", 'AYIRA MINI MART FINAL MENU - Pr'!L471)</f>
        <v/>
      </c>
      <c r="M471" s="56" t="str">
        <f>IF('AYIRA MINI MART FINAL MENU - Pr'!M471="", "", 'AYIRA MINI MART FINAL MENU - Pr'!M471)</f>
        <v/>
      </c>
      <c r="N471" s="56" t="str">
        <f>IF('AYIRA MINI MART FINAL MENU - Pr'!N471="", "", 'AYIRA MINI MART FINAL MENU - Pr'!N471)</f>
        <v/>
      </c>
      <c r="O471" s="57"/>
      <c r="P471" s="57"/>
      <c r="Q471" s="57"/>
      <c r="R471" s="57"/>
      <c r="S471" s="57"/>
      <c r="T471" s="57"/>
      <c r="U471" s="57"/>
      <c r="V471" s="57"/>
      <c r="W471" s="57"/>
      <c r="X471" s="57"/>
      <c r="Y471" s="57"/>
      <c r="Z471" s="57"/>
    </row>
    <row r="472">
      <c r="A472" s="56" t="str">
        <f>IFERROR(__xludf.DUMMYFUNCTION("IF('AYIRA MINI MART FINAL MENU - Pr'!A472="""", """", IF(LEN(TRIM(REGEXREPLACE(REGEXREPLACE('AYIRA MINI MART FINAL MENU - Pr'!A472, ""^[^\x{0600}-\x{06FF}]+"", """"), ""^[-–\s]+"", """")))&gt;0, TRIM(REGEXREPLACE(REGEXREPLACE('AYIRA MINI MART FINAL MENU - Pr"&amp;"'!A472, ""^[^\x{0600}-\x{06FF}]+"", """"), ""^[-–\s]+"", """")), GOOGLETRANSLATE('AYIRA MINI MART FINAL MENU - Pr'!A472, ""en"", ""ar"")))"),"تشيتوس Flamin’ حار Crunchy 25 غرام")</f>
        <v>تشيتوس Flamin’ حار Crunchy 25 غرام</v>
      </c>
      <c r="B472" s="56" t="str">
        <f>IFERROR(__xludf.DUMMYFUNCTION("IF('AYIRA MINI MART FINAL MENU - Pr'!B472="""", """", IF(LEN(TRIM(REGEXREPLACE(REGEXREPLACE('AYIRA MINI MART FINAL MENU - Pr'!B472, ""^[^\x{0600}-\x{06FF}]+"", """"), ""^[-–\s]+"", """")))&gt;0, TRIM(REGEXREPLACE(REGEXREPLACE('AYIRA MINI MART FINAL MENU - Pr"&amp;"'!B472, ""^[^\x{0600}-\x{06FF}]+"", """"), ""^[-–\s]+"", """")), GOOGLETRANSLATE('AYIRA MINI MART FINAL MENU - Pr'!B472, ""en"", ""ar"")))"),"الشيبس والمقرمشات")</f>
        <v>الشيبس والمقرمشات</v>
      </c>
      <c r="C472" s="58">
        <f>IF('AYIRA MINI MART FINAL MENU - Pr'!C472="", "", 'AYIRA MINI MART FINAL MENU - Pr'!C472)</f>
        <v>2</v>
      </c>
      <c r="D472" s="58" t="str">
        <f>IF('AYIRA MINI MART FINAL MENU - Pr'!D472="", "", 'AYIRA MINI MART FINAL MENU - Pr'!D472)</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2" s="56" t="str">
        <f>IF('AYIRA MINI MART FINAL MENU - Pr'!E472="", "", 'AYIRA MINI MART FINAL MENU - Pr'!E472)</f>
        <v/>
      </c>
      <c r="F472" s="56" t="str">
        <f>IF('AYIRA MINI MART FINAL MENU - Pr'!F472="", "", 'AYIRA MINI MART FINAL MENU - Pr'!F472)</f>
        <v/>
      </c>
      <c r="G472" s="56" t="str">
        <f>IF('AYIRA MINI MART FINAL MENU - Pr'!G472="", "", 'AYIRA MINI MART FINAL MENU - Pr'!G472)</f>
        <v/>
      </c>
      <c r="H472" s="56" t="str">
        <f>IF('AYIRA MINI MART FINAL MENU - Pr'!H472="", "", 'AYIRA MINI MART FINAL MENU - Pr'!H472)</f>
        <v/>
      </c>
      <c r="I472" s="56" t="str">
        <f>IF('AYIRA MINI MART FINAL MENU - Pr'!I472="", "", 'AYIRA MINI MART FINAL MENU - Pr'!I472)</f>
        <v/>
      </c>
      <c r="J472" s="56" t="str">
        <f>IFERROR(__xludf.DUMMYFUNCTION("IF('AYIRA MINI MART FINAL MENU - Pr'!J472="""", """", GOOGLETRANSLATE('AYIRA MINI MART FINAL MENU - Pr'!J472, ""en"", ""ar""))"),"يعرض")</f>
        <v>يعرض</v>
      </c>
      <c r="K472" s="56" t="str">
        <f>IF('AYIRA MINI MART FINAL MENU - Pr'!K472="", "", 'AYIRA MINI MART FINAL MENU - Pr'!K472)</f>
        <v/>
      </c>
      <c r="L472" s="56" t="str">
        <f>IF('AYIRA MINI MART FINAL MENU - Pr'!L472="", "", 'AYIRA MINI MART FINAL MENU - Pr'!L472)</f>
        <v/>
      </c>
      <c r="M472" s="56" t="str">
        <f>IF('AYIRA MINI MART FINAL MENU - Pr'!M472="", "", 'AYIRA MINI MART FINAL MENU - Pr'!M472)</f>
        <v/>
      </c>
      <c r="N472" s="56" t="str">
        <f>IF('AYIRA MINI MART FINAL MENU - Pr'!N472="", "", 'AYIRA MINI MART FINAL MENU - Pr'!N472)</f>
        <v/>
      </c>
      <c r="O472" s="57"/>
      <c r="P472" s="57"/>
      <c r="Q472" s="57"/>
      <c r="R472" s="57"/>
      <c r="S472" s="57"/>
      <c r="T472" s="57"/>
      <c r="U472" s="57"/>
      <c r="V472" s="57"/>
      <c r="W472" s="57"/>
      <c r="X472" s="57"/>
      <c r="Y472" s="57"/>
      <c r="Z472" s="57"/>
    </row>
    <row r="473">
      <c r="A473" s="56" t="str">
        <f>IFERROR(__xludf.DUMMYFUNCTION("IF('AYIRA MINI MART FINAL MENU - Pr'!A473="""", """", IF(LEN(TRIM(REGEXREPLACE(REGEXREPLACE('AYIRA MINI MART FINAL MENU - Pr'!A473, ""^[^\x{0600}-\x{06FF}]+"", """"), ""^[-–\s]+"", """")))&gt;0, TRIM(REGEXREPLACE(REGEXREPLACE('AYIRA MINI MART FINAL MENU - Pr"&amp;"'!A473, ""^[^\x{0600}-\x{06FF}]+"", """"), ""^[-–\s]+"", """")), GOOGLETRANSLATE('AYIRA MINI MART FINAL MENU - Pr'!A473, ""en"", ""ar"")))"),"تشيتوس Flamin’ حار Crunchy Lime 50 غرام")</f>
        <v>تشيتوس Flamin’ حار Crunchy Lime 50 غرام</v>
      </c>
      <c r="B473" s="56" t="str">
        <f>IFERROR(__xludf.DUMMYFUNCTION("IF('AYIRA MINI MART FINAL MENU - Pr'!B473="""", """", IF(LEN(TRIM(REGEXREPLACE(REGEXREPLACE('AYIRA MINI MART FINAL MENU - Pr'!B473, ""^[^\x{0600}-\x{06FF}]+"", """"), ""^[-–\s]+"", """")))&gt;0, TRIM(REGEXREPLACE(REGEXREPLACE('AYIRA MINI MART FINAL MENU - Pr"&amp;"'!B473, ""^[^\x{0600}-\x{06FF}]+"", """"), ""^[-–\s]+"", """")), GOOGLETRANSLATE('AYIRA MINI MART FINAL MENU - Pr'!B473, ""en"", ""ar"")))"),"الشيبس والمقرمشات")</f>
        <v>الشيبس والمقرمشات</v>
      </c>
      <c r="C473" s="58">
        <f>IF('AYIRA MINI MART FINAL MENU - Pr'!C473="", "", 'AYIRA MINI MART FINAL MENU - Pr'!C473)</f>
        <v>4</v>
      </c>
      <c r="D473" s="58" t="str">
        <f>IF('AYIRA MINI MART FINAL MENU - Pr'!D473="", "", 'AYIRA MINI MART FINAL MENU - Pr'!D473)</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3" s="56" t="str">
        <f>IF('AYIRA MINI MART FINAL MENU - Pr'!E473="", "", 'AYIRA MINI MART FINAL MENU - Pr'!E473)</f>
        <v/>
      </c>
      <c r="F473" s="56" t="str">
        <f>IF('AYIRA MINI MART FINAL MENU - Pr'!F473="", "", 'AYIRA MINI MART FINAL MENU - Pr'!F473)</f>
        <v/>
      </c>
      <c r="G473" s="56" t="str">
        <f>IF('AYIRA MINI MART FINAL MENU - Pr'!G473="", "", 'AYIRA MINI MART FINAL MENU - Pr'!G473)</f>
        <v/>
      </c>
      <c r="H473" s="56" t="str">
        <f>IF('AYIRA MINI MART FINAL MENU - Pr'!H473="", "", 'AYIRA MINI MART FINAL MENU - Pr'!H473)</f>
        <v/>
      </c>
      <c r="I473" s="56" t="str">
        <f>IF('AYIRA MINI MART FINAL MENU - Pr'!I473="", "", 'AYIRA MINI MART FINAL MENU - Pr'!I473)</f>
        <v/>
      </c>
      <c r="J473" s="56" t="str">
        <f>IFERROR(__xludf.DUMMYFUNCTION("IF('AYIRA MINI MART FINAL MENU - Pr'!J473="""", """", GOOGLETRANSLATE('AYIRA MINI MART FINAL MENU - Pr'!J473, ""en"", ""ar""))"),"يعرض")</f>
        <v>يعرض</v>
      </c>
      <c r="K473" s="56" t="str">
        <f>IF('AYIRA MINI MART FINAL MENU - Pr'!K473="", "", 'AYIRA MINI MART FINAL MENU - Pr'!K473)</f>
        <v/>
      </c>
      <c r="L473" s="56" t="str">
        <f>IF('AYIRA MINI MART FINAL MENU - Pr'!L473="", "", 'AYIRA MINI MART FINAL MENU - Pr'!L473)</f>
        <v/>
      </c>
      <c r="M473" s="56" t="str">
        <f>IF('AYIRA MINI MART FINAL MENU - Pr'!M473="", "", 'AYIRA MINI MART FINAL MENU - Pr'!M473)</f>
        <v/>
      </c>
      <c r="N473" s="56" t="str">
        <f>IF('AYIRA MINI MART FINAL MENU - Pr'!N473="", "", 'AYIRA MINI MART FINAL MENU - Pr'!N473)</f>
        <v/>
      </c>
      <c r="O473" s="57"/>
      <c r="P473" s="57"/>
      <c r="Q473" s="57"/>
      <c r="R473" s="57"/>
      <c r="S473" s="57"/>
      <c r="T473" s="57"/>
      <c r="U473" s="57"/>
      <c r="V473" s="57"/>
      <c r="W473" s="57"/>
      <c r="X473" s="57"/>
      <c r="Y473" s="57"/>
      <c r="Z473" s="57"/>
    </row>
    <row r="474">
      <c r="A474" s="56" t="str">
        <f>IFERROR(__xludf.DUMMYFUNCTION("IF('AYIRA MINI MART FINAL MENU - Pr'!A474="""", """", IF(LEN(TRIM(REGEXREPLACE(REGEXREPLACE('AYIRA MINI MART FINAL MENU - Pr'!A474, ""^[^\x{0600}-\x{06FF}]+"", """"), ""^[-–\s]+"", """")))&gt;0, TRIM(REGEXREPLACE(REGEXREPLACE('AYIRA MINI MART FINAL MENU - Pr"&amp;"'!A474, ""^[^\x{0600}-\x{06FF}]+"", """"), ""^[-–\s]+"", """")), GOOGLETRANSLATE('AYIRA MINI MART FINAL MENU - Pr'!A474, ""en"", ""ar"")))"),"غرام")</f>
        <v>غرام</v>
      </c>
      <c r="B474" s="56" t="str">
        <f>IFERROR(__xludf.DUMMYFUNCTION("IF('AYIRA MINI MART FINAL MENU - Pr'!B474="""", """", IF(LEN(TRIM(REGEXREPLACE(REGEXREPLACE('AYIRA MINI MART FINAL MENU - Pr'!B474, ""^[^\x{0600}-\x{06FF}]+"", """"), ""^[-–\s]+"", """")))&gt;0, TRIM(REGEXREPLACE(REGEXREPLACE('AYIRA MINI MART FINAL MENU - Pr"&amp;"'!B474, ""^[^\x{0600}-\x{06FF}]+"", """"), ""^[-–\s]+"", """")), GOOGLETRANSLATE('AYIRA MINI MART FINAL MENU - Pr'!B474, ""en"", ""ar"")))"),"الشيبس والمقرمشات")</f>
        <v>الشيبس والمقرمشات</v>
      </c>
      <c r="C474" s="58">
        <f>IF('AYIRA MINI MART FINAL MENU - Pr'!C474="", "", 'AYIRA MINI MART FINAL MENU - Pr'!C474)</f>
        <v>2.5</v>
      </c>
      <c r="D474" s="58" t="str">
        <f>IF('AYIRA MINI MART FINAL MENU - Pr'!D474="", "", 'AYIRA MINI MART FINAL MENU - Pr'!D474)</f>
        <v>لا تقاوم طعم Fonnzies Chickenator Flavoured Corn Snacks 24g،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4" s="56" t="str">
        <f>IF('AYIRA MINI MART FINAL MENU - Pr'!E474="", "", 'AYIRA MINI MART FINAL MENU - Pr'!E474)</f>
        <v/>
      </c>
      <c r="F474" s="56" t="str">
        <f>IF('AYIRA MINI MART FINAL MENU - Pr'!F474="", "", 'AYIRA MINI MART FINAL MENU - Pr'!F474)</f>
        <v/>
      </c>
      <c r="G474" s="56" t="str">
        <f>IF('AYIRA MINI MART FINAL MENU - Pr'!G474="", "", 'AYIRA MINI MART FINAL MENU - Pr'!G474)</f>
        <v/>
      </c>
      <c r="H474" s="56" t="str">
        <f>IF('AYIRA MINI MART FINAL MENU - Pr'!H474="", "", 'AYIRA MINI MART FINAL MENU - Pr'!H474)</f>
        <v/>
      </c>
      <c r="I474" s="56" t="str">
        <f>IF('AYIRA MINI MART FINAL MENU - Pr'!I474="", "", 'AYIRA MINI MART FINAL MENU - Pr'!I474)</f>
        <v/>
      </c>
      <c r="J474" s="56" t="str">
        <f>IFERROR(__xludf.DUMMYFUNCTION("IF('AYIRA MINI MART FINAL MENU - Pr'!J474="""", """", GOOGLETRANSLATE('AYIRA MINI MART FINAL MENU - Pr'!J474, ""en"", ""ar""))"),"يعرض")</f>
        <v>يعرض</v>
      </c>
      <c r="K474" s="56" t="str">
        <f>IF('AYIRA MINI MART FINAL MENU - Pr'!K474="", "", 'AYIRA MINI MART FINAL MENU - Pr'!K474)</f>
        <v/>
      </c>
      <c r="L474" s="56" t="str">
        <f>IF('AYIRA MINI MART FINAL MENU - Pr'!L474="", "", 'AYIRA MINI MART FINAL MENU - Pr'!L474)</f>
        <v/>
      </c>
      <c r="M474" s="56" t="str">
        <f>IF('AYIRA MINI MART FINAL MENU - Pr'!M474="", "", 'AYIRA MINI MART FINAL MENU - Pr'!M474)</f>
        <v/>
      </c>
      <c r="N474" s="56" t="str">
        <f>IF('AYIRA MINI MART FINAL MENU - Pr'!N474="", "", 'AYIRA MINI MART FINAL MENU - Pr'!N474)</f>
        <v/>
      </c>
      <c r="O474" s="57"/>
      <c r="P474" s="57"/>
      <c r="Q474" s="57"/>
      <c r="R474" s="57"/>
      <c r="S474" s="57"/>
      <c r="T474" s="57"/>
      <c r="U474" s="57"/>
      <c r="V474" s="57"/>
      <c r="W474" s="57"/>
      <c r="X474" s="57"/>
      <c r="Y474" s="57"/>
      <c r="Z474" s="57"/>
    </row>
    <row r="475">
      <c r="A475" s="56" t="str">
        <f>IFERROR(__xludf.DUMMYFUNCTION("IF('AYIRA MINI MART FINAL MENU - Pr'!A475="""", """", IF(LEN(TRIM(REGEXREPLACE(REGEXREPLACE('AYIRA MINI MART FINAL MENU - Pr'!A475, ""^[^\x{0600}-\x{06FF}]+"", """"), ""^[-–\s]+"", """")))&gt;0, TRIM(REGEXREPLACE(REGEXREPLACE('AYIRA MINI MART FINAL MENU - Pr"&amp;"'!A475, ""^[^\x{0600}-\x{06FF}]+"", """"), ""^[-–\s]+"", """")), GOOGLETRANSLATE('AYIRA MINI MART FINAL MENU - Pr'!A475, ""en"", ""ar"")))"),"باربيكيو Curry Best Flavoured Corn Snacks 24 غرام")</f>
        <v>باربيكيو Curry Best Flavoured Corn Snacks 24 غرام</v>
      </c>
      <c r="B475" s="56" t="str">
        <f>IFERROR(__xludf.DUMMYFUNCTION("IF('AYIRA MINI MART FINAL MENU - Pr'!B475="""", """", IF(LEN(TRIM(REGEXREPLACE(REGEXREPLACE('AYIRA MINI MART FINAL MENU - Pr'!B475, ""^[^\x{0600}-\x{06FF}]+"", """"), ""^[-–\s]+"", """")))&gt;0, TRIM(REGEXREPLACE(REGEXREPLACE('AYIRA MINI MART FINAL MENU - Pr"&amp;"'!B475, ""^[^\x{0600}-\x{06FF}]+"", """"), ""^[-–\s]+"", """")), GOOGLETRANSLATE('AYIRA MINI MART FINAL MENU - Pr'!B475, ""en"", ""ar"")))"),"الشيبس والمقرمشات")</f>
        <v>الشيبس والمقرمشات</v>
      </c>
      <c r="C475" s="58">
        <f>IF('AYIRA MINI MART FINAL MENU - Pr'!C475="", "", 'AYIRA MINI MART FINAL MENU - Pr'!C475)</f>
        <v>2.5</v>
      </c>
      <c r="D475" s="58" t="str">
        <f>IF('AYIRA MINI MART FINAL MENU - Pr'!D475="", "", 'AYIRA MINI MART FINAL MENU - Pr'!D475)</f>
        <v>لا تقاوم طعم Fonnzies BBQ Curry Best Flavoured Corn Snacks 24g،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5" s="56" t="str">
        <f>IF('AYIRA MINI MART FINAL MENU - Pr'!E475="", "", 'AYIRA MINI MART FINAL MENU - Pr'!E475)</f>
        <v/>
      </c>
      <c r="F475" s="56" t="str">
        <f>IF('AYIRA MINI MART FINAL MENU - Pr'!F475="", "", 'AYIRA MINI MART FINAL MENU - Pr'!F475)</f>
        <v/>
      </c>
      <c r="G475" s="56" t="str">
        <f>IF('AYIRA MINI MART FINAL MENU - Pr'!G475="", "", 'AYIRA MINI MART FINAL MENU - Pr'!G475)</f>
        <v/>
      </c>
      <c r="H475" s="56" t="str">
        <f>IF('AYIRA MINI MART FINAL MENU - Pr'!H475="", "", 'AYIRA MINI MART FINAL MENU - Pr'!H475)</f>
        <v/>
      </c>
      <c r="I475" s="56" t="str">
        <f>IF('AYIRA MINI MART FINAL MENU - Pr'!I475="", "", 'AYIRA MINI MART FINAL MENU - Pr'!I475)</f>
        <v/>
      </c>
      <c r="J475" s="56" t="str">
        <f>IFERROR(__xludf.DUMMYFUNCTION("IF('AYIRA MINI MART FINAL MENU - Pr'!J475="""", """", GOOGLETRANSLATE('AYIRA MINI MART FINAL MENU - Pr'!J475, ""en"", ""ar""))"),"يعرض")</f>
        <v>يعرض</v>
      </c>
      <c r="K475" s="56" t="str">
        <f>IF('AYIRA MINI MART FINAL MENU - Pr'!K475="", "", 'AYIRA MINI MART FINAL MENU - Pr'!K475)</f>
        <v/>
      </c>
      <c r="L475" s="56" t="str">
        <f>IF('AYIRA MINI MART FINAL MENU - Pr'!L475="", "", 'AYIRA MINI MART FINAL MENU - Pr'!L475)</f>
        <v/>
      </c>
      <c r="M475" s="56" t="str">
        <f>IF('AYIRA MINI MART FINAL MENU - Pr'!M475="", "", 'AYIRA MINI MART FINAL MENU - Pr'!M475)</f>
        <v/>
      </c>
      <c r="N475" s="56" t="str">
        <f>IF('AYIRA MINI MART FINAL MENU - Pr'!N475="", "", 'AYIRA MINI MART FINAL MENU - Pr'!N475)</f>
        <v/>
      </c>
      <c r="O475" s="57"/>
      <c r="P475" s="57"/>
      <c r="Q475" s="57"/>
      <c r="R475" s="57"/>
      <c r="S475" s="57"/>
      <c r="T475" s="57"/>
      <c r="U475" s="57"/>
      <c r="V475" s="57"/>
      <c r="W475" s="57"/>
      <c r="X475" s="57"/>
      <c r="Y475" s="57"/>
      <c r="Z475" s="57"/>
    </row>
    <row r="476">
      <c r="A476" s="56" t="str">
        <f>IFERROR(__xludf.DUMMYFUNCTION("IF('AYIRA MINI MART FINAL MENU - Pr'!A476="""", """", IF(LEN(TRIM(REGEXREPLACE(REGEXREPLACE('AYIRA MINI MART FINAL MENU - Pr'!A476, ""^[^\x{0600}-\x{06FF}]+"", """"), ""^[-–\s]+"", """")))&gt;0, TRIM(REGEXREPLACE(REGEXREPLACE('AYIRA MINI MART FINAL MENU - Pr"&amp;"'!A476, ""^[^\x{0600}-\x{06FF}]+"", """"), ""^[-–\s]+"", """")), GOOGLETRANSLATE('AYIRA MINI MART FINAL MENU - Pr'!A476, ""en"", ""ar"")))"),"ملح &amp; Vinegar Flavour 20 غرام")</f>
        <v>ملح &amp; Vinegar Flavour 20 غرام</v>
      </c>
      <c r="B476" s="56" t="str">
        <f>IFERROR(__xludf.DUMMYFUNCTION("IF('AYIRA MINI MART FINAL MENU - Pr'!B476="""", """", IF(LEN(TRIM(REGEXREPLACE(REGEXREPLACE('AYIRA MINI MART FINAL MENU - Pr'!B476, ""^[^\x{0600}-\x{06FF}]+"", """"), ""^[-–\s]+"", """")))&gt;0, TRIM(REGEXREPLACE(REGEXREPLACE('AYIRA MINI MART FINAL MENU - Pr"&amp;"'!B476, ""^[^\x{0600}-\x{06FF}]+"", """"), ""^[-–\s]+"", """")), GOOGLETRANSLATE('AYIRA MINI MART FINAL MENU - Pr'!B476, ""en"", ""ar"")))"),"الشيبس والمقرمشات")</f>
        <v>الشيبس والمقرمشات</v>
      </c>
      <c r="C476" s="58">
        <f>IF('AYIRA MINI MART FINAL MENU - Pr'!C476="", "", 'AYIRA MINI MART FINAL MENU - Pr'!C476)</f>
        <v>1</v>
      </c>
      <c r="D476" s="58" t="str">
        <f>IF('AYIRA MINI MART FINAL MENU - Pr'!D476="", "", 'AYIRA MINI MART FINAL MENU - Pr'!D476)</f>
        <v>لا تقاوم طعم Rubiyan Salt &amp; Vinegar Flavour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6" s="56" t="str">
        <f>IF('AYIRA MINI MART FINAL MENU - Pr'!E476="", "", 'AYIRA MINI MART FINAL MENU - Pr'!E476)</f>
        <v/>
      </c>
      <c r="F476" s="56" t="str">
        <f>IF('AYIRA MINI MART FINAL MENU - Pr'!F476="", "", 'AYIRA MINI MART FINAL MENU - Pr'!F476)</f>
        <v/>
      </c>
      <c r="G476" s="56" t="str">
        <f>IF('AYIRA MINI MART FINAL MENU - Pr'!G476="", "", 'AYIRA MINI MART FINAL MENU - Pr'!G476)</f>
        <v/>
      </c>
      <c r="H476" s="56" t="str">
        <f>IF('AYIRA MINI MART FINAL MENU - Pr'!H476="", "", 'AYIRA MINI MART FINAL MENU - Pr'!H476)</f>
        <v/>
      </c>
      <c r="I476" s="56" t="str">
        <f>IF('AYIRA MINI MART FINAL MENU - Pr'!I476="", "", 'AYIRA MINI MART FINAL MENU - Pr'!I476)</f>
        <v/>
      </c>
      <c r="J476" s="56" t="str">
        <f>IFERROR(__xludf.DUMMYFUNCTION("IF('AYIRA MINI MART FINAL MENU - Pr'!J476="""", """", GOOGLETRANSLATE('AYIRA MINI MART FINAL MENU - Pr'!J476, ""en"", ""ar""))"),"يعرض")</f>
        <v>يعرض</v>
      </c>
      <c r="K476" s="56" t="str">
        <f>IF('AYIRA MINI MART FINAL MENU - Pr'!K476="", "", 'AYIRA MINI MART FINAL MENU - Pr'!K476)</f>
        <v/>
      </c>
      <c r="L476" s="56" t="str">
        <f>IF('AYIRA MINI MART FINAL MENU - Pr'!L476="", "", 'AYIRA MINI MART FINAL MENU - Pr'!L476)</f>
        <v/>
      </c>
      <c r="M476" s="56" t="str">
        <f>IF('AYIRA MINI MART FINAL MENU - Pr'!M476="", "", 'AYIRA MINI MART FINAL MENU - Pr'!M476)</f>
        <v/>
      </c>
      <c r="N476" s="56" t="str">
        <f>IF('AYIRA MINI MART FINAL MENU - Pr'!N476="", "", 'AYIRA MINI MART FINAL MENU - Pr'!N476)</f>
        <v/>
      </c>
      <c r="O476" s="57"/>
      <c r="P476" s="57"/>
      <c r="Q476" s="57"/>
      <c r="R476" s="57"/>
      <c r="S476" s="57"/>
      <c r="T476" s="57"/>
      <c r="U476" s="57"/>
      <c r="V476" s="57"/>
      <c r="W476" s="57"/>
      <c r="X476" s="57"/>
      <c r="Y476" s="57"/>
      <c r="Z476" s="57"/>
    </row>
    <row r="477">
      <c r="A477" s="56" t="str">
        <f>IFERROR(__xludf.DUMMYFUNCTION("IF('AYIRA MINI MART FINAL MENU - Pr'!A477="""", """", IF(LEN(TRIM(REGEXREPLACE(REGEXREPLACE('AYIRA MINI MART FINAL MENU - Pr'!A477, ""^[^\x{0600}-\x{06FF}]+"", """"), ""^[-–\s]+"", """")))&gt;0, TRIM(REGEXREPLACE(REGEXREPLACE('AYIRA MINI MART FINAL MENU - Pr"&amp;"'!A477, ""^[^\x{0600}-\x{06FF}]+"", """"), ""^[-–\s]+"", """")), GOOGLETRANSLATE('AYIRA MINI MART FINAL MENU - Pr'!A477, ""en"", ""ar"")))"),"أصلي جبنة Flavoured Corn Snacks 24 غرام")</f>
        <v>أصلي جبنة Flavoured Corn Snacks 24 غرام</v>
      </c>
      <c r="B477" s="56" t="str">
        <f>IFERROR(__xludf.DUMMYFUNCTION("IF('AYIRA MINI MART FINAL MENU - Pr'!B477="""", """", IF(LEN(TRIM(REGEXREPLACE(REGEXREPLACE('AYIRA MINI MART FINAL MENU - Pr'!B477, ""^[^\x{0600}-\x{06FF}]+"", """"), ""^[-–\s]+"", """")))&gt;0, TRIM(REGEXREPLACE(REGEXREPLACE('AYIRA MINI MART FINAL MENU - Pr"&amp;"'!B477, ""^[^\x{0600}-\x{06FF}]+"", """"), ""^[-–\s]+"", """")), GOOGLETRANSLATE('AYIRA MINI MART FINAL MENU - Pr'!B477, ""en"", ""ar"")))"),"الشيبس والمقرمشات")</f>
        <v>الشيبس والمقرمشات</v>
      </c>
      <c r="C477" s="58">
        <f>IF('AYIRA MINI MART FINAL MENU - Pr'!C477="", "", 'AYIRA MINI MART FINAL MENU - Pr'!C477)</f>
        <v>2.5</v>
      </c>
      <c r="D477" s="58" t="str">
        <f>IF('AYIRA MINI MART FINAL MENU - Pr'!D477="", "", 'AYIRA MINI MART FINAL MENU - Pr'!D477)</f>
        <v>لا تقاوم طعم Fonzies Original Cheese Flavoured Corn Snacks 24g،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7" s="56" t="str">
        <f>IF('AYIRA MINI MART FINAL MENU - Pr'!E477="", "", 'AYIRA MINI MART FINAL MENU - Pr'!E477)</f>
        <v/>
      </c>
      <c r="F477" s="56" t="str">
        <f>IF('AYIRA MINI MART FINAL MENU - Pr'!F477="", "", 'AYIRA MINI MART FINAL MENU - Pr'!F477)</f>
        <v/>
      </c>
      <c r="G477" s="56" t="str">
        <f>IF('AYIRA MINI MART FINAL MENU - Pr'!G477="", "", 'AYIRA MINI MART FINAL MENU - Pr'!G477)</f>
        <v/>
      </c>
      <c r="H477" s="56" t="str">
        <f>IF('AYIRA MINI MART FINAL MENU - Pr'!H477="", "", 'AYIRA MINI MART FINAL MENU - Pr'!H477)</f>
        <v/>
      </c>
      <c r="I477" s="56" t="str">
        <f>IF('AYIRA MINI MART FINAL MENU - Pr'!I477="", "", 'AYIRA MINI MART FINAL MENU - Pr'!I477)</f>
        <v/>
      </c>
      <c r="J477" s="56" t="str">
        <f>IFERROR(__xludf.DUMMYFUNCTION("IF('AYIRA MINI MART FINAL MENU - Pr'!J477="""", """", GOOGLETRANSLATE('AYIRA MINI MART FINAL MENU - Pr'!J477, ""en"", ""ar""))"),"يعرض")</f>
        <v>يعرض</v>
      </c>
      <c r="K477" s="56" t="str">
        <f>IF('AYIRA MINI MART FINAL MENU - Pr'!K477="", "", 'AYIRA MINI MART FINAL MENU - Pr'!K477)</f>
        <v/>
      </c>
      <c r="L477" s="56" t="str">
        <f>IF('AYIRA MINI MART FINAL MENU - Pr'!L477="", "", 'AYIRA MINI MART FINAL MENU - Pr'!L477)</f>
        <v/>
      </c>
      <c r="M477" s="56" t="str">
        <f>IF('AYIRA MINI MART FINAL MENU - Pr'!M477="", "", 'AYIRA MINI MART FINAL MENU - Pr'!M477)</f>
        <v/>
      </c>
      <c r="N477" s="56" t="str">
        <f>IF('AYIRA MINI MART FINAL MENU - Pr'!N477="", "", 'AYIRA MINI MART FINAL MENU - Pr'!N477)</f>
        <v/>
      </c>
      <c r="O477" s="57"/>
      <c r="P477" s="57"/>
      <c r="Q477" s="57"/>
      <c r="R477" s="57"/>
      <c r="S477" s="57"/>
      <c r="T477" s="57"/>
      <c r="U477" s="57"/>
      <c r="V477" s="57"/>
      <c r="W477" s="57"/>
      <c r="X477" s="57"/>
      <c r="Y477" s="57"/>
      <c r="Z477" s="57"/>
    </row>
    <row r="478">
      <c r="A478" s="56" t="str">
        <f>IFERROR(__xludf.DUMMYFUNCTION("IF('AYIRA MINI MART FINAL MENU - Pr'!A478="""", """", IF(LEN(TRIM(REGEXREPLACE(REGEXREPLACE('AYIRA MINI MART FINAL MENU - Pr'!A478, ""^[^\x{0600}-\x{06FF}]+"", """"), ""^[-–\s]+"", """")))&gt;0, TRIM(REGEXREPLACE(REGEXREPLACE('AYIRA MINI MART FINAL MENU - Pr"&amp;"'!A478, ""^[^\x{0600}-\x{06FF}]+"", """"), ""^[-–\s]+"", """")), GOOGLETRANSLATE('AYIRA MINI MART FINAL MENU - Pr'!A478, ""en"", ""ar"")))"),"شيبس 15 غرام")</f>
        <v>شيبس 15 غرام</v>
      </c>
      <c r="B478" s="56" t="str">
        <f>IFERROR(__xludf.DUMMYFUNCTION("IF('AYIRA MINI MART FINAL MENU - Pr'!B478="""", """", IF(LEN(TRIM(REGEXREPLACE(REGEXREPLACE('AYIRA MINI MART FINAL MENU - Pr'!B478, ""^[^\x{0600}-\x{06FF}]+"", """"), ""^[-–\s]+"", """")))&gt;0, TRIM(REGEXREPLACE(REGEXREPLACE('AYIRA MINI MART FINAL MENU - Pr"&amp;"'!B478, ""^[^\x{0600}-\x{06FF}]+"", """"), ""^[-–\s]+"", """")), GOOGLETRANSLATE('AYIRA MINI MART FINAL MENU - Pr'!B478, ""en"", ""ar"")))"),"الشيبس والمقرمشات")</f>
        <v>الشيبس والمقرمشات</v>
      </c>
      <c r="C478" s="58">
        <f>IF('AYIRA MINI MART FINAL MENU - Pr'!C478="", "", 'AYIRA MINI MART FINAL MENU - Pr'!C478)</f>
        <v>1</v>
      </c>
      <c r="D478" s="58" t="str">
        <f>IF('AYIRA MINI MART FINAL MENU - Pr'!D478="", "", 'AYIRA MINI MART FINAL MENU - Pr'!D478)</f>
        <v>لا تقاوم طعم Al Mudhish Potato Chips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8" s="56" t="str">
        <f>IF('AYIRA MINI MART FINAL MENU - Pr'!E478="", "", 'AYIRA MINI MART FINAL MENU - Pr'!E478)</f>
        <v/>
      </c>
      <c r="F478" s="56" t="str">
        <f>IF('AYIRA MINI MART FINAL MENU - Pr'!F478="", "", 'AYIRA MINI MART FINAL MENU - Pr'!F478)</f>
        <v/>
      </c>
      <c r="G478" s="56" t="str">
        <f>IF('AYIRA MINI MART FINAL MENU - Pr'!G478="", "", 'AYIRA MINI MART FINAL MENU - Pr'!G478)</f>
        <v/>
      </c>
      <c r="H478" s="56" t="str">
        <f>IF('AYIRA MINI MART FINAL MENU - Pr'!H478="", "", 'AYIRA MINI MART FINAL MENU - Pr'!H478)</f>
        <v/>
      </c>
      <c r="I478" s="56" t="str">
        <f>IF('AYIRA MINI MART FINAL MENU - Pr'!I478="", "", 'AYIRA MINI MART FINAL MENU - Pr'!I478)</f>
        <v/>
      </c>
      <c r="J478" s="56" t="str">
        <f>IFERROR(__xludf.DUMMYFUNCTION("IF('AYIRA MINI MART FINAL MENU - Pr'!J478="""", """", GOOGLETRANSLATE('AYIRA MINI MART FINAL MENU - Pr'!J478, ""en"", ""ar""))"),"يعرض")</f>
        <v>يعرض</v>
      </c>
      <c r="K478" s="56" t="str">
        <f>IF('AYIRA MINI MART FINAL MENU - Pr'!K478="", "", 'AYIRA MINI MART FINAL MENU - Pr'!K478)</f>
        <v/>
      </c>
      <c r="L478" s="56" t="str">
        <f>IF('AYIRA MINI MART FINAL MENU - Pr'!L478="", "", 'AYIRA MINI MART FINAL MENU - Pr'!L478)</f>
        <v/>
      </c>
      <c r="M478" s="56" t="str">
        <f>IF('AYIRA MINI MART FINAL MENU - Pr'!M478="", "", 'AYIRA MINI MART FINAL MENU - Pr'!M478)</f>
        <v/>
      </c>
      <c r="N478" s="56" t="str">
        <f>IF('AYIRA MINI MART FINAL MENU - Pr'!N478="", "", 'AYIRA MINI MART FINAL MENU - Pr'!N478)</f>
        <v/>
      </c>
      <c r="O478" s="57"/>
      <c r="P478" s="57"/>
      <c r="Q478" s="57"/>
      <c r="R478" s="57"/>
      <c r="S478" s="57"/>
      <c r="T478" s="57"/>
      <c r="U478" s="57"/>
      <c r="V478" s="57"/>
      <c r="W478" s="57"/>
      <c r="X478" s="57"/>
      <c r="Y478" s="57"/>
      <c r="Z478" s="57"/>
    </row>
    <row r="479">
      <c r="A479" s="56" t="str">
        <f>IFERROR(__xludf.DUMMYFUNCTION("IF('AYIRA MINI MART FINAL MENU - Pr'!A479="""", """", IF(LEN(TRIM(REGEXREPLACE(REGEXREPLACE('AYIRA MINI MART FINAL MENU - Pr'!A479, ""^[^\x{0600}-\x{06FF}]+"", """"), ""^[-–\s]+"", """")))&gt;0, TRIM(REGEXREPLACE(REGEXREPLACE('AYIRA MINI MART FINAL MENU - Pr"&amp;"'!A479, ""^[^\x{0600}-\x{06FF}]+"", """"), ""^[-–\s]+"", """")), GOOGLETRANSLATE('AYIRA MINI MART FINAL MENU - Pr'!A479, ""en"", ""ar"")))"),"شيبس Ripples Sour كريم &amp; بصل 15 غرام")</f>
        <v>شيبس Ripples Sour كريم &amp; بصل 15 غرام</v>
      </c>
      <c r="B479" s="56" t="str">
        <f>IFERROR(__xludf.DUMMYFUNCTION("IF('AYIRA MINI MART FINAL MENU - Pr'!B479="""", """", IF(LEN(TRIM(REGEXREPLACE(REGEXREPLACE('AYIRA MINI MART FINAL MENU - Pr'!B479, ""^[^\x{0600}-\x{06FF}]+"", """"), ""^[-–\s]+"", """")))&gt;0, TRIM(REGEXREPLACE(REGEXREPLACE('AYIRA MINI MART FINAL MENU - Pr"&amp;"'!B479, ""^[^\x{0600}-\x{06FF}]+"", """"), ""^[-–\s]+"", """")), GOOGLETRANSLATE('AYIRA MINI MART FINAL MENU - Pr'!B479, ""en"", ""ar"")))"),"الشيبس والمقرمشات")</f>
        <v>الشيبس والمقرمشات</v>
      </c>
      <c r="C479" s="58">
        <f>IF('AYIRA MINI MART FINAL MENU - Pr'!C479="", "", 'AYIRA MINI MART FINAL MENU - Pr'!C479)</f>
        <v>1</v>
      </c>
      <c r="D479" s="58" t="str">
        <f>IF('AYIRA MINI MART FINAL MENU - Pr'!D479="", "", 'AYIRA MINI MART FINAL MENU - Pr'!D479)</f>
        <v>لا تقاوم طعم Al Mudhish Potato Chips Ripples Sour Cream &amp; Onion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79" s="56" t="str">
        <f>IF('AYIRA MINI MART FINAL MENU - Pr'!E479="", "", 'AYIRA MINI MART FINAL MENU - Pr'!E479)</f>
        <v/>
      </c>
      <c r="F479" s="56" t="str">
        <f>IF('AYIRA MINI MART FINAL MENU - Pr'!F479="", "", 'AYIRA MINI MART FINAL MENU - Pr'!F479)</f>
        <v/>
      </c>
      <c r="G479" s="56" t="str">
        <f>IF('AYIRA MINI MART FINAL MENU - Pr'!G479="", "", 'AYIRA MINI MART FINAL MENU - Pr'!G479)</f>
        <v/>
      </c>
      <c r="H479" s="56" t="str">
        <f>IF('AYIRA MINI MART FINAL MENU - Pr'!H479="", "", 'AYIRA MINI MART FINAL MENU - Pr'!H479)</f>
        <v/>
      </c>
      <c r="I479" s="56" t="str">
        <f>IF('AYIRA MINI MART FINAL MENU - Pr'!I479="", "", 'AYIRA MINI MART FINAL MENU - Pr'!I479)</f>
        <v/>
      </c>
      <c r="J479" s="56" t="str">
        <f>IFERROR(__xludf.DUMMYFUNCTION("IF('AYIRA MINI MART FINAL MENU - Pr'!J479="""", """", GOOGLETRANSLATE('AYIRA MINI MART FINAL MENU - Pr'!J479, ""en"", ""ar""))"),"يعرض")</f>
        <v>يعرض</v>
      </c>
      <c r="K479" s="56" t="str">
        <f>IF('AYIRA MINI MART FINAL MENU - Pr'!K479="", "", 'AYIRA MINI MART FINAL MENU - Pr'!K479)</f>
        <v/>
      </c>
      <c r="L479" s="56" t="str">
        <f>IF('AYIRA MINI MART FINAL MENU - Pr'!L479="", "", 'AYIRA MINI MART FINAL MENU - Pr'!L479)</f>
        <v/>
      </c>
      <c r="M479" s="56" t="str">
        <f>IF('AYIRA MINI MART FINAL MENU - Pr'!M479="", "", 'AYIRA MINI MART FINAL MENU - Pr'!M479)</f>
        <v/>
      </c>
      <c r="N479" s="56" t="str">
        <f>IF('AYIRA MINI MART FINAL MENU - Pr'!N479="", "", 'AYIRA MINI MART FINAL MENU - Pr'!N479)</f>
        <v/>
      </c>
      <c r="O479" s="57"/>
      <c r="P479" s="57"/>
      <c r="Q479" s="57"/>
      <c r="R479" s="57"/>
      <c r="S479" s="57"/>
      <c r="T479" s="57"/>
      <c r="U479" s="57"/>
      <c r="V479" s="57"/>
      <c r="W479" s="57"/>
      <c r="X479" s="57"/>
      <c r="Y479" s="57"/>
      <c r="Z479" s="57"/>
    </row>
    <row r="480">
      <c r="A480" s="56" t="str">
        <f>IFERROR(__xludf.DUMMYFUNCTION("IF('AYIRA MINI MART FINAL MENU - Pr'!A480="""", """", IF(LEN(TRIM(REGEXREPLACE(REGEXREPLACE('AYIRA MINI MART FINAL MENU - Pr'!A480, ""^[^\x{0600}-\x{06FF}]+"", """"), ""^[-–\s]+"", """")))&gt;0, TRIM(REGEXREPLACE(REGEXREPLACE('AYIRA MINI MART FINAL MENU - Pr"&amp;"'!A480, ""^[^\x{0600}-\x{06FF}]+"", """"), ""^[-–\s]+"", """")), GOOGLETRANSLATE('AYIRA MINI MART FINAL MENU - Pr'!A480, ""en"", ""ar"")))"),"حار جبنة 18 غرام")</f>
        <v>حار جبنة 18 غرام</v>
      </c>
      <c r="B480" s="56" t="str">
        <f>IFERROR(__xludf.DUMMYFUNCTION("IF('AYIRA MINI MART FINAL MENU - Pr'!B480="""", """", IF(LEN(TRIM(REGEXREPLACE(REGEXREPLACE('AYIRA MINI MART FINAL MENU - Pr'!B480, ""^[^\x{0600}-\x{06FF}]+"", """"), ""^[-–\s]+"", """")))&gt;0, TRIM(REGEXREPLACE(REGEXREPLACE('AYIRA MINI MART FINAL MENU - Pr"&amp;"'!B480, ""^[^\x{0600}-\x{06FF}]+"", """"), ""^[-–\s]+"", """")), GOOGLETRANSLATE('AYIRA MINI MART FINAL MENU - Pr'!B480, ""en"", ""ar"")))"),"الشيبس والمقرمشات")</f>
        <v>الشيبس والمقرمشات</v>
      </c>
      <c r="C480" s="58">
        <f>IF('AYIRA MINI MART FINAL MENU - Pr'!C480="", "", 'AYIRA MINI MART FINAL MENU - Pr'!C480)</f>
        <v>1</v>
      </c>
      <c r="D480" s="58" t="str">
        <f>IF('AYIRA MINI MART FINAL MENU - Pr'!D480="", "", 'AYIRA MINI MART FINAL MENU - Pr'!D480)</f>
        <v>لا تقاوم طعم Dr Puffs Hot Cheese 18g،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0" s="56" t="str">
        <f>IF('AYIRA MINI MART FINAL MENU - Pr'!E480="", "", 'AYIRA MINI MART FINAL MENU - Pr'!E480)</f>
        <v/>
      </c>
      <c r="F480" s="56" t="str">
        <f>IF('AYIRA MINI MART FINAL MENU - Pr'!F480="", "", 'AYIRA MINI MART FINAL MENU - Pr'!F480)</f>
        <v/>
      </c>
      <c r="G480" s="56" t="str">
        <f>IF('AYIRA MINI MART FINAL MENU - Pr'!G480="", "", 'AYIRA MINI MART FINAL MENU - Pr'!G480)</f>
        <v/>
      </c>
      <c r="H480" s="56" t="str">
        <f>IF('AYIRA MINI MART FINAL MENU - Pr'!H480="", "", 'AYIRA MINI MART FINAL MENU - Pr'!H480)</f>
        <v/>
      </c>
      <c r="I480" s="56" t="str">
        <f>IF('AYIRA MINI MART FINAL MENU - Pr'!I480="", "", 'AYIRA MINI MART FINAL MENU - Pr'!I480)</f>
        <v/>
      </c>
      <c r="J480" s="56" t="str">
        <f>IFERROR(__xludf.DUMMYFUNCTION("IF('AYIRA MINI MART FINAL MENU - Pr'!J480="""", """", GOOGLETRANSLATE('AYIRA MINI MART FINAL MENU - Pr'!J480, ""en"", ""ar""))"),"يعرض")</f>
        <v>يعرض</v>
      </c>
      <c r="K480" s="56" t="str">
        <f>IF('AYIRA MINI MART FINAL MENU - Pr'!K480="", "", 'AYIRA MINI MART FINAL MENU - Pr'!K480)</f>
        <v/>
      </c>
      <c r="L480" s="56" t="str">
        <f>IF('AYIRA MINI MART FINAL MENU - Pr'!L480="", "", 'AYIRA MINI MART FINAL MENU - Pr'!L480)</f>
        <v/>
      </c>
      <c r="M480" s="56" t="str">
        <f>IF('AYIRA MINI MART FINAL MENU - Pr'!M480="", "", 'AYIRA MINI MART FINAL MENU - Pr'!M480)</f>
        <v/>
      </c>
      <c r="N480" s="56" t="str">
        <f>IF('AYIRA MINI MART FINAL MENU - Pr'!N480="", "", 'AYIRA MINI MART FINAL MENU - Pr'!N480)</f>
        <v/>
      </c>
      <c r="O480" s="57"/>
      <c r="P480" s="57"/>
      <c r="Q480" s="57"/>
      <c r="R480" s="57"/>
      <c r="S480" s="57"/>
      <c r="T480" s="57"/>
      <c r="U480" s="57"/>
      <c r="V480" s="57"/>
      <c r="W480" s="57"/>
      <c r="X480" s="57"/>
      <c r="Y480" s="57"/>
      <c r="Z480" s="57"/>
    </row>
    <row r="481">
      <c r="A481" s="56" t="str">
        <f>IFERROR(__xludf.DUMMYFUNCTION("IF('AYIRA MINI MART FINAL MENU - Pr'!A481="""", """", IF(LEN(TRIM(REGEXREPLACE(REGEXREPLACE('AYIRA MINI MART FINAL MENU - Pr'!A481, ""^[^\x{0600}-\x{06FF}]+"", """"), ""^[-–\s]+"", """")))&gt;0, TRIM(REGEXREPLACE(REGEXREPLACE('AYIRA MINI MART FINAL MENU - Pr"&amp;"'!A481, ""^[^\x{0600}-\x{06FF}]+"", """"), ""^[-–\s]+"", """")), GOOGLETRANSLATE('AYIRA MINI MART FINAL MENU - Pr'!A481, ""en"", ""ar"")))"),"ملح &amp; Vinegar 40 غرام")</f>
        <v>ملح &amp; Vinegar 40 غرام</v>
      </c>
      <c r="B481" s="56" t="str">
        <f>IFERROR(__xludf.DUMMYFUNCTION("IF('AYIRA MINI MART FINAL MENU - Pr'!B481="""", """", IF(LEN(TRIM(REGEXREPLACE(REGEXREPLACE('AYIRA MINI MART FINAL MENU - Pr'!B481, ""^[^\x{0600}-\x{06FF}]+"", """"), ""^[-–\s]+"", """")))&gt;0, TRIM(REGEXREPLACE(REGEXREPLACE('AYIRA MINI MART FINAL MENU - Pr"&amp;"'!B481, ""^[^\x{0600}-\x{06FF}]+"", """"), ""^[-–\s]+"", """")), GOOGLETRANSLATE('AYIRA MINI MART FINAL MENU - Pr'!B481, ""en"", ""ar"")))"),"الشيبس والمقرمشات")</f>
        <v>الشيبس والمقرمشات</v>
      </c>
      <c r="C481" s="58">
        <f>IF('AYIRA MINI MART FINAL MENU - Pr'!C481="", "", 'AYIRA MINI MART FINAL MENU - Pr'!C481)</f>
        <v>2.5</v>
      </c>
      <c r="D481" s="58" t="str">
        <f>IF('AYIRA MINI MART FINAL MENU - Pr'!D481="", "", 'AYIRA MINI MART FINAL MENU - Pr'!D481)</f>
        <v>لا تقاوم طعم Karkish Salt &amp; Vinegar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1" s="56" t="str">
        <f>IF('AYIRA MINI MART FINAL MENU - Pr'!E481="", "", 'AYIRA MINI MART FINAL MENU - Pr'!E481)</f>
        <v/>
      </c>
      <c r="F481" s="56" t="str">
        <f>IF('AYIRA MINI MART FINAL MENU - Pr'!F481="", "", 'AYIRA MINI MART FINAL MENU - Pr'!F481)</f>
        <v/>
      </c>
      <c r="G481" s="56" t="str">
        <f>IF('AYIRA MINI MART FINAL MENU - Pr'!G481="", "", 'AYIRA MINI MART FINAL MENU - Pr'!G481)</f>
        <v/>
      </c>
      <c r="H481" s="56" t="str">
        <f>IF('AYIRA MINI MART FINAL MENU - Pr'!H481="", "", 'AYIRA MINI MART FINAL MENU - Pr'!H481)</f>
        <v/>
      </c>
      <c r="I481" s="56" t="str">
        <f>IF('AYIRA MINI MART FINAL MENU - Pr'!I481="", "", 'AYIRA MINI MART FINAL MENU - Pr'!I481)</f>
        <v/>
      </c>
      <c r="J481" s="56" t="str">
        <f>IFERROR(__xludf.DUMMYFUNCTION("IF('AYIRA MINI MART FINAL MENU - Pr'!J481="""", """", GOOGLETRANSLATE('AYIRA MINI MART FINAL MENU - Pr'!J481, ""en"", ""ar""))"),"يعرض")</f>
        <v>يعرض</v>
      </c>
      <c r="K481" s="56" t="str">
        <f>IF('AYIRA MINI MART FINAL MENU - Pr'!K481="", "", 'AYIRA MINI MART FINAL MENU - Pr'!K481)</f>
        <v/>
      </c>
      <c r="L481" s="56" t="str">
        <f>IF('AYIRA MINI MART FINAL MENU - Pr'!L481="", "", 'AYIRA MINI MART FINAL MENU - Pr'!L481)</f>
        <v/>
      </c>
      <c r="M481" s="56" t="str">
        <f>IF('AYIRA MINI MART FINAL MENU - Pr'!M481="", "", 'AYIRA MINI MART FINAL MENU - Pr'!M481)</f>
        <v/>
      </c>
      <c r="N481" s="56" t="str">
        <f>IF('AYIRA MINI MART FINAL MENU - Pr'!N481="", "", 'AYIRA MINI MART FINAL MENU - Pr'!N481)</f>
        <v/>
      </c>
      <c r="O481" s="57"/>
      <c r="P481" s="57"/>
      <c r="Q481" s="57"/>
      <c r="R481" s="57"/>
      <c r="S481" s="57"/>
      <c r="T481" s="57"/>
      <c r="U481" s="57"/>
      <c r="V481" s="57"/>
      <c r="W481" s="57"/>
      <c r="X481" s="57"/>
      <c r="Y481" s="57"/>
      <c r="Z481" s="57"/>
    </row>
    <row r="482">
      <c r="A482" s="56" t="str">
        <f>IFERROR(__xludf.DUMMYFUNCTION("IF('AYIRA MINI MART FINAL MENU - Pr'!A482="""", """", IF(LEN(TRIM(REGEXREPLACE(REGEXREPLACE('AYIRA MINI MART FINAL MENU - Pr'!A482, ""^[^\x{0600}-\x{06FF}]+"", """"), ""^[-–\s]+"", """")))&gt;0, TRIM(REGEXREPLACE(REGEXREPLACE('AYIRA MINI MART FINAL MENU - Pr"&amp;"'!A482, ""^[^\x{0600}-\x{06FF}]+"", """"), ""^[-–\s]+"", """")), GOOGLETRANSLATE('AYIRA MINI MART FINAL MENU - Pr'!A482, ""en"", ""ar"")))"),"غرام")</f>
        <v>غرام</v>
      </c>
      <c r="B482" s="56" t="str">
        <f>IFERROR(__xludf.DUMMYFUNCTION("IF('AYIRA MINI MART FINAL MENU - Pr'!B482="""", """", IF(LEN(TRIM(REGEXREPLACE(REGEXREPLACE('AYIRA MINI MART FINAL MENU - Pr'!B482, ""^[^\x{0600}-\x{06FF}]+"", """"), ""^[-–\s]+"", """")))&gt;0, TRIM(REGEXREPLACE(REGEXREPLACE('AYIRA MINI MART FINAL MENU - Pr"&amp;"'!B482, ""^[^\x{0600}-\x{06FF}]+"", """"), ""^[-–\s]+"", """")), GOOGLETRANSLATE('AYIRA MINI MART FINAL MENU - Pr'!B482, ""en"", ""ar"")))"),"الشيبس والمقرمشات")</f>
        <v>الشيبس والمقرمشات</v>
      </c>
      <c r="C482" s="58">
        <f>IF('AYIRA MINI MART FINAL MENU - Pr'!C482="", "", 'AYIRA MINI MART FINAL MENU - Pr'!C482)</f>
        <v>2</v>
      </c>
      <c r="D482" s="58" t="str">
        <f>IF('AYIRA MINI MART FINAL MENU - Pr'!D482="", "", 'AYIRA MINI MART FINAL MENU - Pr'!D482)</f>
        <v>لا تقاوم طعم Dragos Flamin’ Lime Flavour 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2" s="56" t="str">
        <f>IF('AYIRA MINI MART FINAL MENU - Pr'!E482="", "", 'AYIRA MINI MART FINAL MENU - Pr'!E482)</f>
        <v/>
      </c>
      <c r="F482" s="56" t="str">
        <f>IF('AYIRA MINI MART FINAL MENU - Pr'!F482="", "", 'AYIRA MINI MART FINAL MENU - Pr'!F482)</f>
        <v/>
      </c>
      <c r="G482" s="56" t="str">
        <f>IF('AYIRA MINI MART FINAL MENU - Pr'!G482="", "", 'AYIRA MINI MART FINAL MENU - Pr'!G482)</f>
        <v/>
      </c>
      <c r="H482" s="56" t="str">
        <f>IF('AYIRA MINI MART FINAL MENU - Pr'!H482="", "", 'AYIRA MINI MART FINAL MENU - Pr'!H482)</f>
        <v/>
      </c>
      <c r="I482" s="56" t="str">
        <f>IF('AYIRA MINI MART FINAL MENU - Pr'!I482="", "", 'AYIRA MINI MART FINAL MENU - Pr'!I482)</f>
        <v/>
      </c>
      <c r="J482" s="56" t="str">
        <f>IFERROR(__xludf.DUMMYFUNCTION("IF('AYIRA MINI MART FINAL MENU - Pr'!J482="""", """", GOOGLETRANSLATE('AYIRA MINI MART FINAL MENU - Pr'!J482, ""en"", ""ar""))"),"يعرض")</f>
        <v>يعرض</v>
      </c>
      <c r="K482" s="56" t="str">
        <f>IF('AYIRA MINI MART FINAL MENU - Pr'!K482="", "", 'AYIRA MINI MART FINAL MENU - Pr'!K482)</f>
        <v/>
      </c>
      <c r="L482" s="56" t="str">
        <f>IF('AYIRA MINI MART FINAL MENU - Pr'!L482="", "", 'AYIRA MINI MART FINAL MENU - Pr'!L482)</f>
        <v/>
      </c>
      <c r="M482" s="56" t="str">
        <f>IF('AYIRA MINI MART FINAL MENU - Pr'!M482="", "", 'AYIRA MINI MART FINAL MENU - Pr'!M482)</f>
        <v/>
      </c>
      <c r="N482" s="56" t="str">
        <f>IF('AYIRA MINI MART FINAL MENU - Pr'!N482="", "", 'AYIRA MINI MART FINAL MENU - Pr'!N482)</f>
        <v/>
      </c>
      <c r="O482" s="57"/>
      <c r="P482" s="57"/>
      <c r="Q482" s="57"/>
      <c r="R482" s="57"/>
      <c r="S482" s="57"/>
      <c r="T482" s="57"/>
      <c r="U482" s="57"/>
      <c r="V482" s="57"/>
      <c r="W482" s="57"/>
      <c r="X482" s="57"/>
      <c r="Y482" s="57"/>
      <c r="Z482" s="57"/>
    </row>
    <row r="483">
      <c r="A483" s="56" t="str">
        <f>IFERROR(__xludf.DUMMYFUNCTION("IF('AYIRA MINI MART FINAL MENU - Pr'!A483="""", """", IF(LEN(TRIM(REGEXREPLACE(REGEXREPLACE('AYIRA MINI MART FINAL MENU - Pr'!A483, ""^[^\x{0600}-\x{06FF}]+"", """"), ""^[-–\s]+"", """")))&gt;0, TRIM(REGEXREPLACE(REGEXREPLACE('AYIRA MINI MART FINAL MENU - Pr"&amp;"'!A483, ""^[^\x{0600}-\x{06FF}]+"", """"), ""^[-–\s]+"", """")), GOOGLETRANSLATE('AYIRA MINI MART FINAL MENU - Pr'!A483, ""en"", ""ar"")))"),"جبنة Flavour 25 غرام")</f>
        <v>جبنة Flavour 25 غرام</v>
      </c>
      <c r="B483" s="56" t="str">
        <f>IFERROR(__xludf.DUMMYFUNCTION("IF('AYIRA MINI MART FINAL MENU - Pr'!B483="""", """", IF(LEN(TRIM(REGEXREPLACE(REGEXREPLACE('AYIRA MINI MART FINAL MENU - Pr'!B483, ""^[^\x{0600}-\x{06FF}]+"", """"), ""^[-–\s]+"", """")))&gt;0, TRIM(REGEXREPLACE(REGEXREPLACE('AYIRA MINI MART FINAL MENU - Pr"&amp;"'!B483, ""^[^\x{0600}-\x{06FF}]+"", """"), ""^[-–\s]+"", """")), GOOGLETRANSLATE('AYIRA MINI MART FINAL MENU - Pr'!B483, ""en"", ""ar"")))"),"الشيبس والمقرمشات")</f>
        <v>الشيبس والمقرمشات</v>
      </c>
      <c r="C483" s="58">
        <f>IF('AYIRA MINI MART FINAL MENU - Pr'!C483="", "", 'AYIRA MINI MART FINAL MENU - Pr'!C483)</f>
        <v>2</v>
      </c>
      <c r="D483" s="58" t="str">
        <f>IF('AYIRA MINI MART FINAL MENU - Pr'!D483="", "", 'AYIRA MINI MART FINAL MENU - Pr'!D483)</f>
        <v>لا تقاوم طعم Dragos Cheddar Cheese Flavour 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3" s="56" t="str">
        <f>IF('AYIRA MINI MART FINAL MENU - Pr'!E483="", "", 'AYIRA MINI MART FINAL MENU - Pr'!E483)</f>
        <v/>
      </c>
      <c r="F483" s="56" t="str">
        <f>IF('AYIRA MINI MART FINAL MENU - Pr'!F483="", "", 'AYIRA MINI MART FINAL MENU - Pr'!F483)</f>
        <v/>
      </c>
      <c r="G483" s="56" t="str">
        <f>IF('AYIRA MINI MART FINAL MENU - Pr'!G483="", "", 'AYIRA MINI MART FINAL MENU - Pr'!G483)</f>
        <v/>
      </c>
      <c r="H483" s="56" t="str">
        <f>IF('AYIRA MINI MART FINAL MENU - Pr'!H483="", "", 'AYIRA MINI MART FINAL MENU - Pr'!H483)</f>
        <v/>
      </c>
      <c r="I483" s="56" t="str">
        <f>IF('AYIRA MINI MART FINAL MENU - Pr'!I483="", "", 'AYIRA MINI MART FINAL MENU - Pr'!I483)</f>
        <v/>
      </c>
      <c r="J483" s="56" t="str">
        <f>IFERROR(__xludf.DUMMYFUNCTION("IF('AYIRA MINI MART FINAL MENU - Pr'!J483="""", """", GOOGLETRANSLATE('AYIRA MINI MART FINAL MENU - Pr'!J483, ""en"", ""ar""))"),"يعرض")</f>
        <v>يعرض</v>
      </c>
      <c r="K483" s="56" t="str">
        <f>IF('AYIRA MINI MART FINAL MENU - Pr'!K483="", "", 'AYIRA MINI MART FINAL MENU - Pr'!K483)</f>
        <v/>
      </c>
      <c r="L483" s="56" t="str">
        <f>IF('AYIRA MINI MART FINAL MENU - Pr'!L483="", "", 'AYIRA MINI MART FINAL MENU - Pr'!L483)</f>
        <v/>
      </c>
      <c r="M483" s="56" t="str">
        <f>IF('AYIRA MINI MART FINAL MENU - Pr'!M483="", "", 'AYIRA MINI MART FINAL MENU - Pr'!M483)</f>
        <v/>
      </c>
      <c r="N483" s="56" t="str">
        <f>IF('AYIRA MINI MART FINAL MENU - Pr'!N483="", "", 'AYIRA MINI MART FINAL MENU - Pr'!N483)</f>
        <v/>
      </c>
      <c r="O483" s="57"/>
      <c r="P483" s="57"/>
      <c r="Q483" s="57"/>
      <c r="R483" s="57"/>
      <c r="S483" s="57"/>
      <c r="T483" s="57"/>
      <c r="U483" s="57"/>
      <c r="V483" s="57"/>
      <c r="W483" s="57"/>
      <c r="X483" s="57"/>
      <c r="Y483" s="57"/>
      <c r="Z483" s="57"/>
    </row>
    <row r="484">
      <c r="A484" s="56" t="str">
        <f>IFERROR(__xludf.DUMMYFUNCTION("IF('AYIRA MINI MART FINAL MENU - Pr'!A484="""", """", IF(LEN(TRIM(REGEXREPLACE(REGEXREPLACE('AYIRA MINI MART FINAL MENU - Pr'!A484, ""^[^\x{0600}-\x{06FF}]+"", """"), ""^[-–\s]+"", """")))&gt;0, TRIM(REGEXREPLACE(REGEXREPLACE('AYIRA MINI MART FINAL MENU - Pr"&amp;"'!A484, ""^[^\x{0600}-\x{06FF}]+"", """"), ""^[-–\s]+"", """")), GOOGLETRANSLATE('AYIRA MINI MART FINAL MENU - Pr'!A484, ""en"", ""ar"")))"),"فشار Chilli Flavour 14 غرام")</f>
        <v>فشار Chilli Flavour 14 غرام</v>
      </c>
      <c r="B484" s="56" t="str">
        <f>IFERROR(__xludf.DUMMYFUNCTION("IF('AYIRA MINI MART FINAL MENU - Pr'!B484="""", """", IF(LEN(TRIM(REGEXREPLACE(REGEXREPLACE('AYIRA MINI MART FINAL MENU - Pr'!B484, ""^[^\x{0600}-\x{06FF}]+"", """"), ""^[-–\s]+"", """")))&gt;0, TRIM(REGEXREPLACE(REGEXREPLACE('AYIRA MINI MART FINAL MENU - Pr"&amp;"'!B484, ""^[^\x{0600}-\x{06FF}]+"", """"), ""^[-–\s]+"", """")), GOOGLETRANSLATE('AYIRA MINI MART FINAL MENU - Pr'!B484, ""en"", ""ar"")))"),"الشيبس والمقرمشات")</f>
        <v>الشيبس والمقرمشات</v>
      </c>
      <c r="C484" s="58">
        <f>IF('AYIRA MINI MART FINAL MENU - Pr'!C484="", "", 'AYIRA MINI MART FINAL MENU - Pr'!C484)</f>
        <v>1</v>
      </c>
      <c r="D484" s="58" t="str">
        <f>IF('AYIRA MINI MART FINAL MENU - Pr'!D484="", "", 'AYIRA MINI MART FINAL MENU - Pr'!D484)</f>
        <v>لا تقاوم طعم Al Batal Popcorn Chilli Flavour 14g،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4" s="56" t="str">
        <f>IF('AYIRA MINI MART FINAL MENU - Pr'!E484="", "", 'AYIRA MINI MART FINAL MENU - Pr'!E484)</f>
        <v/>
      </c>
      <c r="F484" s="56" t="str">
        <f>IF('AYIRA MINI MART FINAL MENU - Pr'!F484="", "", 'AYIRA MINI MART FINAL MENU - Pr'!F484)</f>
        <v/>
      </c>
      <c r="G484" s="56" t="str">
        <f>IF('AYIRA MINI MART FINAL MENU - Pr'!G484="", "", 'AYIRA MINI MART FINAL MENU - Pr'!G484)</f>
        <v/>
      </c>
      <c r="H484" s="56" t="str">
        <f>IF('AYIRA MINI MART FINAL MENU - Pr'!H484="", "", 'AYIRA MINI MART FINAL MENU - Pr'!H484)</f>
        <v/>
      </c>
      <c r="I484" s="56" t="str">
        <f>IF('AYIRA MINI MART FINAL MENU - Pr'!I484="", "", 'AYIRA MINI MART FINAL MENU - Pr'!I484)</f>
        <v/>
      </c>
      <c r="J484" s="56" t="str">
        <f>IFERROR(__xludf.DUMMYFUNCTION("IF('AYIRA MINI MART FINAL MENU - Pr'!J484="""", """", GOOGLETRANSLATE('AYIRA MINI MART FINAL MENU - Pr'!J484, ""en"", ""ar""))"),"يعرض")</f>
        <v>يعرض</v>
      </c>
      <c r="K484" s="56" t="str">
        <f>IF('AYIRA MINI MART FINAL MENU - Pr'!K484="", "", 'AYIRA MINI MART FINAL MENU - Pr'!K484)</f>
        <v/>
      </c>
      <c r="L484" s="56" t="str">
        <f>IF('AYIRA MINI MART FINAL MENU - Pr'!L484="", "", 'AYIRA MINI MART FINAL MENU - Pr'!L484)</f>
        <v/>
      </c>
      <c r="M484" s="56" t="str">
        <f>IF('AYIRA MINI MART FINAL MENU - Pr'!M484="", "", 'AYIRA MINI MART FINAL MENU - Pr'!M484)</f>
        <v/>
      </c>
      <c r="N484" s="56" t="str">
        <f>IF('AYIRA MINI MART FINAL MENU - Pr'!N484="", "", 'AYIRA MINI MART FINAL MENU - Pr'!N484)</f>
        <v/>
      </c>
      <c r="O484" s="57"/>
      <c r="P484" s="57"/>
      <c r="Q484" s="57"/>
      <c r="R484" s="57"/>
      <c r="S484" s="57"/>
      <c r="T484" s="57"/>
      <c r="U484" s="57"/>
      <c r="V484" s="57"/>
      <c r="W484" s="57"/>
      <c r="X484" s="57"/>
      <c r="Y484" s="57"/>
      <c r="Z484" s="57"/>
    </row>
    <row r="485">
      <c r="A485" s="56" t="str">
        <f>IFERROR(__xludf.DUMMYFUNCTION("IF('AYIRA MINI MART FINAL MENU - Pr'!A485="""", """", IF(LEN(TRIM(REGEXREPLACE(REGEXREPLACE('AYIRA MINI MART FINAL MENU - Pr'!A485, ""^[^\x{0600}-\x{06FF}]+"", """"), ""^[-–\s]+"", """")))&gt;0, TRIM(REGEXREPLACE(REGEXREPLACE('AYIRA MINI MART FINAL MENU - Pr"&amp;"'!A485, ""^[^\x{0600}-\x{06FF}]+"", """"), ""^[-–\s]+"", """")), GOOGLETRANSLATE('AYIRA MINI MART FINAL MENU - Pr'!A485, ""en"", ""ar"")))"),"غرام")</f>
        <v>غرام</v>
      </c>
      <c r="B485" s="56" t="str">
        <f>IFERROR(__xludf.DUMMYFUNCTION("IF('AYIRA MINI MART FINAL MENU - Pr'!B485="""", """", IF(LEN(TRIM(REGEXREPLACE(REGEXREPLACE('AYIRA MINI MART FINAL MENU - Pr'!B485, ""^[^\x{0600}-\x{06FF}]+"", """"), ""^[-–\s]+"", """")))&gt;0, TRIM(REGEXREPLACE(REGEXREPLACE('AYIRA MINI MART FINAL MENU - Pr"&amp;"'!B485, ""^[^\x{0600}-\x{06FF}]+"", """"), ""^[-–\s]+"", """")), GOOGLETRANSLATE('AYIRA MINI MART FINAL MENU - Pr'!B485, ""en"", ""ar"")))"),"الشيبس والمقرمشات")</f>
        <v>الشيبس والمقرمشات</v>
      </c>
      <c r="C485" s="58">
        <f>IF('AYIRA MINI MART FINAL MENU - Pr'!C485="", "", 'AYIRA MINI MART FINAL MENU - Pr'!C485)</f>
        <v>2.5</v>
      </c>
      <c r="D485" s="58" t="str">
        <f>IF('AYIRA MINI MART FINAL MENU - Pr'!D485="", "", 'AYIRA MINI MART FINAL MENU - Pr'!D485)</f>
        <v>لا تقاوم طعم Balaji Wafers Chataka Pataka Chilli Flavour 65g،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5" s="56" t="str">
        <f>IF('AYIRA MINI MART FINAL MENU - Pr'!E485="", "", 'AYIRA MINI MART FINAL MENU - Pr'!E485)</f>
        <v/>
      </c>
      <c r="F485" s="56" t="str">
        <f>IF('AYIRA MINI MART FINAL MENU - Pr'!F485="", "", 'AYIRA MINI MART FINAL MENU - Pr'!F485)</f>
        <v/>
      </c>
      <c r="G485" s="56" t="str">
        <f>IF('AYIRA MINI MART FINAL MENU - Pr'!G485="", "", 'AYIRA MINI MART FINAL MENU - Pr'!G485)</f>
        <v/>
      </c>
      <c r="H485" s="56" t="str">
        <f>IF('AYIRA MINI MART FINAL MENU - Pr'!H485="", "", 'AYIRA MINI MART FINAL MENU - Pr'!H485)</f>
        <v/>
      </c>
      <c r="I485" s="56" t="str">
        <f>IF('AYIRA MINI MART FINAL MENU - Pr'!I485="", "", 'AYIRA MINI MART FINAL MENU - Pr'!I485)</f>
        <v/>
      </c>
      <c r="J485" s="56" t="str">
        <f>IFERROR(__xludf.DUMMYFUNCTION("IF('AYIRA MINI MART FINAL MENU - Pr'!J485="""", """", GOOGLETRANSLATE('AYIRA MINI MART FINAL MENU - Pr'!J485, ""en"", ""ar""))"),"يعرض")</f>
        <v>يعرض</v>
      </c>
      <c r="K485" s="56" t="str">
        <f>IF('AYIRA MINI MART FINAL MENU - Pr'!K485="", "", 'AYIRA MINI MART FINAL MENU - Pr'!K485)</f>
        <v/>
      </c>
      <c r="L485" s="56" t="str">
        <f>IF('AYIRA MINI MART FINAL MENU - Pr'!L485="", "", 'AYIRA MINI MART FINAL MENU - Pr'!L485)</f>
        <v/>
      </c>
      <c r="M485" s="56" t="str">
        <f>IF('AYIRA MINI MART FINAL MENU - Pr'!M485="", "", 'AYIRA MINI MART FINAL MENU - Pr'!M485)</f>
        <v/>
      </c>
      <c r="N485" s="56" t="str">
        <f>IF('AYIRA MINI MART FINAL MENU - Pr'!N485="", "", 'AYIRA MINI MART FINAL MENU - Pr'!N485)</f>
        <v/>
      </c>
      <c r="O485" s="57"/>
      <c r="P485" s="57"/>
      <c r="Q485" s="57"/>
      <c r="R485" s="57"/>
      <c r="S485" s="57"/>
      <c r="T485" s="57"/>
      <c r="U485" s="57"/>
      <c r="V485" s="57"/>
      <c r="W485" s="57"/>
      <c r="X485" s="57"/>
      <c r="Y485" s="57"/>
      <c r="Z485" s="57"/>
    </row>
    <row r="486">
      <c r="A486" s="56" t="str">
        <f>IFERROR(__xludf.DUMMYFUNCTION("IF('AYIRA MINI MART FINAL MENU - Pr'!A486="""", """", IF(LEN(TRIM(REGEXREPLACE(REGEXREPLACE('AYIRA MINI MART FINAL MENU - Pr'!A486, ""^[^\x{0600}-\x{06FF}]+"", """"), ""^[-–\s]+"", """")))&gt;0, TRIM(REGEXREPLACE(REGEXREPLACE('AYIRA MINI MART FINAL MENU - Pr"&amp;"'!A486, ""^[^\x{0600}-\x{06FF}]+"", """"), ""^[-–\s]+"", """")), GOOGLETRANSLATE('AYIRA MINI MART FINAL MENU - Pr'!A486, ""en"", ""ar"")))"),"غرام")</f>
        <v>غرام</v>
      </c>
      <c r="B486" s="56" t="str">
        <f>IFERROR(__xludf.DUMMYFUNCTION("IF('AYIRA MINI MART FINAL MENU - Pr'!B486="""", """", IF(LEN(TRIM(REGEXREPLACE(REGEXREPLACE('AYIRA MINI MART FINAL MENU - Pr'!B486, ""^[^\x{0600}-\x{06FF}]+"", """"), ""^[-–\s]+"", """")))&gt;0, TRIM(REGEXREPLACE(REGEXREPLACE('AYIRA MINI MART FINAL MENU - Pr"&amp;"'!B486, ""^[^\x{0600}-\x{06FF}]+"", """"), ""^[-–\s]+"", """")), GOOGLETRANSLATE('AYIRA MINI MART FINAL MENU - Pr'!B486, ""en"", ""ar"")))"),"الشيبس والمقرمشات")</f>
        <v>الشيبس والمقرمشات</v>
      </c>
      <c r="C486" s="58">
        <f>IF('AYIRA MINI MART FINAL MENU - Pr'!C486="", "", 'AYIRA MINI MART FINAL MENU - Pr'!C486)</f>
        <v>2.5</v>
      </c>
      <c r="D486" s="58" t="str">
        <f>IF('AYIRA MINI MART FINAL MENU - Pr'!D486="", "", 'AYIRA MINI MART FINAL MENU - Pr'!D486)</f>
        <v>لا تقاوم طعم Balaji Wafers Chataka Pataka Tomato Flavour 65g،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6" s="56" t="str">
        <f>IF('AYIRA MINI MART FINAL MENU - Pr'!E486="", "", 'AYIRA MINI MART FINAL MENU - Pr'!E486)</f>
        <v/>
      </c>
      <c r="F486" s="56" t="str">
        <f>IF('AYIRA MINI MART FINAL MENU - Pr'!F486="", "", 'AYIRA MINI MART FINAL MENU - Pr'!F486)</f>
        <v/>
      </c>
      <c r="G486" s="56" t="str">
        <f>IF('AYIRA MINI MART FINAL MENU - Pr'!G486="", "", 'AYIRA MINI MART FINAL MENU - Pr'!G486)</f>
        <v/>
      </c>
      <c r="H486" s="56" t="str">
        <f>IF('AYIRA MINI MART FINAL MENU - Pr'!H486="", "", 'AYIRA MINI MART FINAL MENU - Pr'!H486)</f>
        <v/>
      </c>
      <c r="I486" s="56" t="str">
        <f>IF('AYIRA MINI MART FINAL MENU - Pr'!I486="", "", 'AYIRA MINI MART FINAL MENU - Pr'!I486)</f>
        <v/>
      </c>
      <c r="J486" s="56" t="str">
        <f>IFERROR(__xludf.DUMMYFUNCTION("IF('AYIRA MINI MART FINAL MENU - Pr'!J486="""", """", GOOGLETRANSLATE('AYIRA MINI MART FINAL MENU - Pr'!J486, ""en"", ""ar""))"),"يعرض")</f>
        <v>يعرض</v>
      </c>
      <c r="K486" s="56" t="str">
        <f>IF('AYIRA MINI MART FINAL MENU - Pr'!K486="", "", 'AYIRA MINI MART FINAL MENU - Pr'!K486)</f>
        <v/>
      </c>
      <c r="L486" s="56" t="str">
        <f>IF('AYIRA MINI MART FINAL MENU - Pr'!L486="", "", 'AYIRA MINI MART FINAL MENU - Pr'!L486)</f>
        <v/>
      </c>
      <c r="M486" s="56" t="str">
        <f>IF('AYIRA MINI MART FINAL MENU - Pr'!M486="", "", 'AYIRA MINI MART FINAL MENU - Pr'!M486)</f>
        <v/>
      </c>
      <c r="N486" s="56" t="str">
        <f>IF('AYIRA MINI MART FINAL MENU - Pr'!N486="", "", 'AYIRA MINI MART FINAL MENU - Pr'!N486)</f>
        <v/>
      </c>
      <c r="O486" s="57"/>
      <c r="P486" s="57"/>
      <c r="Q486" s="57"/>
      <c r="R486" s="57"/>
      <c r="S486" s="57"/>
      <c r="T486" s="57"/>
      <c r="U486" s="57"/>
      <c r="V486" s="57"/>
      <c r="W486" s="57"/>
      <c r="X486" s="57"/>
      <c r="Y486" s="57"/>
      <c r="Z486" s="57"/>
    </row>
    <row r="487">
      <c r="A487" s="56" t="str">
        <f>IFERROR(__xludf.DUMMYFUNCTION("IF('AYIRA MINI MART FINAL MENU - Pr'!A487="""", """", IF(LEN(TRIM(REGEXREPLACE(REGEXREPLACE('AYIRA MINI MART FINAL MENU - Pr'!A487, ""^[^\x{0600}-\x{06FF}]+"", """"), ""^[-–\s]+"", """")))&gt;0, TRIM(REGEXREPLACE(REGEXREPLACE('AYIRA MINI MART FINAL MENU - Pr"&amp;"'!A487, ""^[^\x{0600}-\x{06FF}]+"", """"), ""^[-–\s]+"", """")), GOOGLETRANSLATE('AYIRA MINI MART FINAL MENU - Pr'!A487, ""en"", ""ar"")))"),"غرام")</f>
        <v>غرام</v>
      </c>
      <c r="B487" s="56" t="str">
        <f>IFERROR(__xludf.DUMMYFUNCTION("IF('AYIRA MINI MART FINAL MENU - Pr'!B487="""", """", IF(LEN(TRIM(REGEXREPLACE(REGEXREPLACE('AYIRA MINI MART FINAL MENU - Pr'!B487, ""^[^\x{0600}-\x{06FF}]+"", """"), ""^[-–\s]+"", """")))&gt;0, TRIM(REGEXREPLACE(REGEXREPLACE('AYIRA MINI MART FINAL MENU - Pr"&amp;"'!B487, ""^[^\x{0600}-\x{06FF}]+"", """"), ""^[-–\s]+"", """")), GOOGLETRANSLATE('AYIRA MINI MART FINAL MENU - Pr'!B487, ""en"", ""ar"")))"),"الشيبس والمقرمشات")</f>
        <v>الشيبس والمقرمشات</v>
      </c>
      <c r="C487" s="58">
        <f>IF('AYIRA MINI MART FINAL MENU - Pr'!C487="", "", 'AYIRA MINI MART FINAL MENU - Pr'!C487)</f>
        <v>8</v>
      </c>
      <c r="D487" s="58" t="str">
        <f>IF('AYIRA MINI MART FINAL MENU - Pr'!D487="", "", 'AYIRA MINI MART FINAL MENU - Pr'!D487)</f>
        <v>لا تقاوم طعم Lay’s Maxx Mexican Chilli 105g،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7" s="56" t="str">
        <f>IF('AYIRA MINI MART FINAL MENU - Pr'!E487="", "", 'AYIRA MINI MART FINAL MENU - Pr'!E487)</f>
        <v/>
      </c>
      <c r="F487" s="56" t="str">
        <f>IF('AYIRA MINI MART FINAL MENU - Pr'!F487="", "", 'AYIRA MINI MART FINAL MENU - Pr'!F487)</f>
        <v/>
      </c>
      <c r="G487" s="56" t="str">
        <f>IF('AYIRA MINI MART FINAL MENU - Pr'!G487="", "", 'AYIRA MINI MART FINAL MENU - Pr'!G487)</f>
        <v/>
      </c>
      <c r="H487" s="56" t="str">
        <f>IF('AYIRA MINI MART FINAL MENU - Pr'!H487="", "", 'AYIRA MINI MART FINAL MENU - Pr'!H487)</f>
        <v/>
      </c>
      <c r="I487" s="56" t="str">
        <f>IF('AYIRA MINI MART FINAL MENU - Pr'!I487="", "", 'AYIRA MINI MART FINAL MENU - Pr'!I487)</f>
        <v/>
      </c>
      <c r="J487" s="56" t="str">
        <f>IFERROR(__xludf.DUMMYFUNCTION("IF('AYIRA MINI MART FINAL MENU - Pr'!J487="""", """", GOOGLETRANSLATE('AYIRA MINI MART FINAL MENU - Pr'!J487, ""en"", ""ar""))"),"يعرض")</f>
        <v>يعرض</v>
      </c>
      <c r="K487" s="56" t="str">
        <f>IF('AYIRA MINI MART FINAL MENU - Pr'!K487="", "", 'AYIRA MINI MART FINAL MENU - Pr'!K487)</f>
        <v/>
      </c>
      <c r="L487" s="56" t="str">
        <f>IF('AYIRA MINI MART FINAL MENU - Pr'!L487="", "", 'AYIRA MINI MART FINAL MENU - Pr'!L487)</f>
        <v/>
      </c>
      <c r="M487" s="56" t="str">
        <f>IF('AYIRA MINI MART FINAL MENU - Pr'!M487="", "", 'AYIRA MINI MART FINAL MENU - Pr'!M487)</f>
        <v/>
      </c>
      <c r="N487" s="56" t="str">
        <f>IF('AYIRA MINI MART FINAL MENU - Pr'!N487="", "", 'AYIRA MINI MART FINAL MENU - Pr'!N487)</f>
        <v/>
      </c>
      <c r="O487" s="57"/>
      <c r="P487" s="57"/>
      <c r="Q487" s="57"/>
      <c r="R487" s="57"/>
      <c r="S487" s="57"/>
      <c r="T487" s="57"/>
      <c r="U487" s="57"/>
      <c r="V487" s="57"/>
      <c r="W487" s="57"/>
      <c r="X487" s="57"/>
      <c r="Y487" s="57"/>
      <c r="Z487" s="57"/>
    </row>
    <row r="488">
      <c r="A488" s="56" t="str">
        <f>IFERROR(__xludf.DUMMYFUNCTION("IF('AYIRA MINI MART FINAL MENU - Pr'!A488="""", """", IF(LEN(TRIM(REGEXREPLACE(REGEXREPLACE('AYIRA MINI MART FINAL MENU - Pr'!A488, ""^[^\x{0600}-\x{06FF}]+"", """"), ""^[-–\s]+"", """")))&gt;0, TRIM(REGEXREPLACE(REGEXREPLACE('AYIRA MINI MART FINAL MENU - Pr"&amp;"'!A488, ""^[^\x{0600}-\x{06FF}]+"", """"), ""^[-–\s]+"", """")), GOOGLETRANSLATE('AYIRA MINI MART FINAL MENU - Pr'!A488, ""en"", ""ar"")))"),"حار Wings 160 غرام")</f>
        <v>حار Wings 160 غرام</v>
      </c>
      <c r="B488" s="56" t="str">
        <f>IFERROR(__xludf.DUMMYFUNCTION("IF('AYIRA MINI MART FINAL MENU - Pr'!B488="""", """", IF(LEN(TRIM(REGEXREPLACE(REGEXREPLACE('AYIRA MINI MART FINAL MENU - Pr'!B488, ""^[^\x{0600}-\x{06FF}]+"", """"), ""^[-–\s]+"", """")))&gt;0, TRIM(REGEXREPLACE(REGEXREPLACE('AYIRA MINI MART FINAL MENU - Pr"&amp;"'!B488, ""^[^\x{0600}-\x{06FF}]+"", """"), ""^[-–\s]+"", """")), GOOGLETRANSLATE('AYIRA MINI MART FINAL MENU - Pr'!B488, ""en"", ""ar"")))"),"الشيبس والمقرمشات")</f>
        <v>الشيبس والمقرمشات</v>
      </c>
      <c r="C488" s="58">
        <f>IF('AYIRA MINI MART FINAL MENU - Pr'!C488="", "", 'AYIRA MINI MART FINAL MENU - Pr'!C488)</f>
        <v>10</v>
      </c>
      <c r="D488" s="58" t="str">
        <f>IF('AYIRA MINI MART FINAL MENU - Pr'!D488="", "", 'AYIRA MINI MART FINAL MENU - Pr'!D488)</f>
        <v>لا تقاوم طعم Lay’s Maxx Chicago Hot Wings 160g،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8" s="56" t="str">
        <f>IF('AYIRA MINI MART FINAL MENU - Pr'!E488="", "", 'AYIRA MINI MART FINAL MENU - Pr'!E488)</f>
        <v/>
      </c>
      <c r="F488" s="56" t="str">
        <f>IF('AYIRA MINI MART FINAL MENU - Pr'!F488="", "", 'AYIRA MINI MART FINAL MENU - Pr'!F488)</f>
        <v/>
      </c>
      <c r="G488" s="56" t="str">
        <f>IF('AYIRA MINI MART FINAL MENU - Pr'!G488="", "", 'AYIRA MINI MART FINAL MENU - Pr'!G488)</f>
        <v/>
      </c>
      <c r="H488" s="56" t="str">
        <f>IF('AYIRA MINI MART FINAL MENU - Pr'!H488="", "", 'AYIRA MINI MART FINAL MENU - Pr'!H488)</f>
        <v/>
      </c>
      <c r="I488" s="56" t="str">
        <f>IF('AYIRA MINI MART FINAL MENU - Pr'!I488="", "", 'AYIRA MINI MART FINAL MENU - Pr'!I488)</f>
        <v/>
      </c>
      <c r="J488" s="56" t="str">
        <f>IFERROR(__xludf.DUMMYFUNCTION("IF('AYIRA MINI MART FINAL MENU - Pr'!J488="""", """", GOOGLETRANSLATE('AYIRA MINI MART FINAL MENU - Pr'!J488, ""en"", ""ar""))"),"يعرض")</f>
        <v>يعرض</v>
      </c>
      <c r="K488" s="56" t="str">
        <f>IF('AYIRA MINI MART FINAL MENU - Pr'!K488="", "", 'AYIRA MINI MART FINAL MENU - Pr'!K488)</f>
        <v/>
      </c>
      <c r="L488" s="56" t="str">
        <f>IF('AYIRA MINI MART FINAL MENU - Pr'!L488="", "", 'AYIRA MINI MART FINAL MENU - Pr'!L488)</f>
        <v/>
      </c>
      <c r="M488" s="56" t="str">
        <f>IF('AYIRA MINI MART FINAL MENU - Pr'!M488="", "", 'AYIRA MINI MART FINAL MENU - Pr'!M488)</f>
        <v/>
      </c>
      <c r="N488" s="56" t="str">
        <f>IF('AYIRA MINI MART FINAL MENU - Pr'!N488="", "", 'AYIRA MINI MART FINAL MENU - Pr'!N488)</f>
        <v/>
      </c>
      <c r="O488" s="57"/>
      <c r="P488" s="57"/>
      <c r="Q488" s="57"/>
      <c r="R488" s="57"/>
      <c r="S488" s="57"/>
      <c r="T488" s="57"/>
      <c r="U488" s="57"/>
      <c r="V488" s="57"/>
      <c r="W488" s="57"/>
      <c r="X488" s="57"/>
      <c r="Y488" s="57"/>
      <c r="Z488" s="57"/>
    </row>
    <row r="489">
      <c r="A489" s="56" t="str">
        <f>IFERROR(__xludf.DUMMYFUNCTION("IF('AYIRA MINI MART FINAL MENU - Pr'!A489="""", """", IF(LEN(TRIM(REGEXREPLACE(REGEXREPLACE('AYIRA MINI MART FINAL MENU - Pr'!A489, ""^[^\x{0600}-\x{06FF}]+"", """"), ""^[-–\s]+"", """")))&gt;0, TRIM(REGEXREPLACE(REGEXREPLACE('AYIRA MINI MART FINAL MENU - Pr"&amp;"'!A489, ""^[^\x{0600}-\x{06FF}]+"", """"), ""^[-–\s]+"", """")), GOOGLETRANSLATE('AYIRA MINI MART FINAL MENU - Pr'!A489, ""en"", ""ar"")))"),"حار 48 غرام")</f>
        <v>حار 48 غرام</v>
      </c>
      <c r="B489" s="56" t="str">
        <f>IFERROR(__xludf.DUMMYFUNCTION("IF('AYIRA MINI MART FINAL MENU - Pr'!B489="""", """", IF(LEN(TRIM(REGEXREPLACE(REGEXREPLACE('AYIRA MINI MART FINAL MENU - Pr'!B489, ""^[^\x{0600}-\x{06FF}]+"", """"), ""^[-–\s]+"", """")))&gt;0, TRIM(REGEXREPLACE(REGEXREPLACE('AYIRA MINI MART FINAL MENU - Pr"&amp;"'!B489, ""^[^\x{0600}-\x{06FF}]+"", """"), ""^[-–\s]+"", """")), GOOGLETRANSLATE('AYIRA MINI MART FINAL MENU - Pr'!B489, ""en"", ""ar"")))"),"الشيبس والمقرمشات")</f>
        <v>الشيبس والمقرمشات</v>
      </c>
      <c r="C489" s="58">
        <f>IF('AYIRA MINI MART FINAL MENU - Pr'!C489="", "", 'AYIRA MINI MART FINAL MENU - Pr'!C489)</f>
        <v>4</v>
      </c>
      <c r="D489" s="58" t="str">
        <f>IF('AYIRA MINI MART FINAL MENU - Pr'!D489="", "", 'AYIRA MINI MART FINAL MENU - Pr'!D489)</f>
        <v>لا تقاوم طعم Lay’s Flamin’ Hot 48g،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89" s="56" t="str">
        <f>IF('AYIRA MINI MART FINAL MENU - Pr'!E489="", "", 'AYIRA MINI MART FINAL MENU - Pr'!E489)</f>
        <v/>
      </c>
      <c r="F489" s="56" t="str">
        <f>IF('AYIRA MINI MART FINAL MENU - Pr'!F489="", "", 'AYIRA MINI MART FINAL MENU - Pr'!F489)</f>
        <v/>
      </c>
      <c r="G489" s="56" t="str">
        <f>IF('AYIRA MINI MART FINAL MENU - Pr'!G489="", "", 'AYIRA MINI MART FINAL MENU - Pr'!G489)</f>
        <v/>
      </c>
      <c r="H489" s="56" t="str">
        <f>IF('AYIRA MINI MART FINAL MENU - Pr'!H489="", "", 'AYIRA MINI MART FINAL MENU - Pr'!H489)</f>
        <v/>
      </c>
      <c r="I489" s="56" t="str">
        <f>IF('AYIRA MINI MART FINAL MENU - Pr'!I489="", "", 'AYIRA MINI MART FINAL MENU - Pr'!I489)</f>
        <v/>
      </c>
      <c r="J489" s="56" t="str">
        <f>IFERROR(__xludf.DUMMYFUNCTION("IF('AYIRA MINI MART FINAL MENU - Pr'!J489="""", """", GOOGLETRANSLATE('AYIRA MINI MART FINAL MENU - Pr'!J489, ""en"", ""ar""))"),"يعرض")</f>
        <v>يعرض</v>
      </c>
      <c r="K489" s="56" t="str">
        <f>IF('AYIRA MINI MART FINAL MENU - Pr'!K489="", "", 'AYIRA MINI MART FINAL MENU - Pr'!K489)</f>
        <v/>
      </c>
      <c r="L489" s="56" t="str">
        <f>IF('AYIRA MINI MART FINAL MENU - Pr'!L489="", "", 'AYIRA MINI MART FINAL MENU - Pr'!L489)</f>
        <v/>
      </c>
      <c r="M489" s="56" t="str">
        <f>IF('AYIRA MINI MART FINAL MENU - Pr'!M489="", "", 'AYIRA MINI MART FINAL MENU - Pr'!M489)</f>
        <v/>
      </c>
      <c r="N489" s="56" t="str">
        <f>IF('AYIRA MINI MART FINAL MENU - Pr'!N489="", "", 'AYIRA MINI MART FINAL MENU - Pr'!N489)</f>
        <v/>
      </c>
      <c r="O489" s="57"/>
      <c r="P489" s="57"/>
      <c r="Q489" s="57"/>
      <c r="R489" s="57"/>
      <c r="S489" s="57"/>
      <c r="T489" s="57"/>
      <c r="U489" s="57"/>
      <c r="V489" s="57"/>
      <c r="W489" s="57"/>
      <c r="X489" s="57"/>
      <c r="Y489" s="57"/>
      <c r="Z489" s="57"/>
    </row>
    <row r="490">
      <c r="A490" s="56" t="str">
        <f>IFERROR(__xludf.DUMMYFUNCTION("IF('AYIRA MINI MART FINAL MENU - Pr'!A490="""", """", IF(LEN(TRIM(REGEXREPLACE(REGEXREPLACE('AYIRA MINI MART FINAL MENU - Pr'!A490, ""^[^\x{0600}-\x{06FF}]+"", """"), ""^[-–\s]+"", """")))&gt;0, TRIM(REGEXREPLACE(REGEXREPLACE('AYIRA MINI MART FINAL MENU - Pr"&amp;"'!A490, ""^[^\x{0600}-\x{06FF}]+"", """"), ""^[-–\s]+"", """")), GOOGLETRANSLATE('AYIRA MINI MART FINAL MENU - Pr'!A490, ""en"", ""ar"")))"),"حار أرز &amp; Corn Snacks 75 غرام")</f>
        <v>حار أرز &amp; Corn Snacks 75 غرام</v>
      </c>
      <c r="B490" s="56" t="str">
        <f>IFERROR(__xludf.DUMMYFUNCTION("IF('AYIRA MINI MART FINAL MENU - Pr'!B490="""", """", IF(LEN(TRIM(REGEXREPLACE(REGEXREPLACE('AYIRA MINI MART FINAL MENU - Pr'!B490, ""^[^\x{0600}-\x{06FF}]+"", """"), ""^[-–\s]+"", """")))&gt;0, TRIM(REGEXREPLACE(REGEXREPLACE('AYIRA MINI MART FINAL MENU - Pr"&amp;"'!B490, ""^[^\x{0600}-\x{06FF}]+"", """"), ""^[-–\s]+"", """")), GOOGLETRANSLATE('AYIRA MINI MART FINAL MENU - Pr'!B490, ""en"", ""ar"")))"),"الشيبس والمقرمشات")</f>
        <v>الشيبس والمقرمشات</v>
      </c>
      <c r="C490" s="58">
        <f>IF('AYIRA MINI MART FINAL MENU - Pr'!C490="", "", 'AYIRA MINI MART FINAL MENU - Pr'!C490)</f>
        <v>2.5</v>
      </c>
      <c r="D490" s="58" t="str">
        <f>IF('AYIRA MINI MART FINAL MENU - Pr'!D490="", "", 'AYIRA MINI MART FINAL MENU - Pr'!D490)</f>
        <v>لا تقاوم طعم Balaji Chataka Pataka Spicy Rice &amp; Corn Snacks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0" s="56" t="str">
        <f>IF('AYIRA MINI MART FINAL MENU - Pr'!E490="", "", 'AYIRA MINI MART FINAL MENU - Pr'!E490)</f>
        <v/>
      </c>
      <c r="F490" s="56" t="str">
        <f>IF('AYIRA MINI MART FINAL MENU - Pr'!F490="", "", 'AYIRA MINI MART FINAL MENU - Pr'!F490)</f>
        <v/>
      </c>
      <c r="G490" s="56" t="str">
        <f>IF('AYIRA MINI MART FINAL MENU - Pr'!G490="", "", 'AYIRA MINI MART FINAL MENU - Pr'!G490)</f>
        <v/>
      </c>
      <c r="H490" s="56" t="str">
        <f>IF('AYIRA MINI MART FINAL MENU - Pr'!H490="", "", 'AYIRA MINI MART FINAL MENU - Pr'!H490)</f>
        <v/>
      </c>
      <c r="I490" s="56" t="str">
        <f>IF('AYIRA MINI MART FINAL MENU - Pr'!I490="", "", 'AYIRA MINI MART FINAL MENU - Pr'!I490)</f>
        <v/>
      </c>
      <c r="J490" s="56" t="str">
        <f>IFERROR(__xludf.DUMMYFUNCTION("IF('AYIRA MINI MART FINAL MENU - Pr'!J490="""", """", GOOGLETRANSLATE('AYIRA MINI MART FINAL MENU - Pr'!J490, ""en"", ""ar""))"),"يعرض")</f>
        <v>يعرض</v>
      </c>
      <c r="K490" s="56" t="str">
        <f>IF('AYIRA MINI MART FINAL MENU - Pr'!K490="", "", 'AYIRA MINI MART FINAL MENU - Pr'!K490)</f>
        <v/>
      </c>
      <c r="L490" s="56" t="str">
        <f>IF('AYIRA MINI MART FINAL MENU - Pr'!L490="", "", 'AYIRA MINI MART FINAL MENU - Pr'!L490)</f>
        <v/>
      </c>
      <c r="M490" s="56" t="str">
        <f>IF('AYIRA MINI MART FINAL MENU - Pr'!M490="", "", 'AYIRA MINI MART FINAL MENU - Pr'!M490)</f>
        <v/>
      </c>
      <c r="N490" s="56" t="str">
        <f>IF('AYIRA MINI MART FINAL MENU - Pr'!N490="", "", 'AYIRA MINI MART FINAL MENU - Pr'!N490)</f>
        <v/>
      </c>
      <c r="O490" s="57"/>
      <c r="P490" s="57"/>
      <c r="Q490" s="57"/>
      <c r="R490" s="57"/>
      <c r="S490" s="57"/>
      <c r="T490" s="57"/>
      <c r="U490" s="57"/>
      <c r="V490" s="57"/>
      <c r="W490" s="57"/>
      <c r="X490" s="57"/>
      <c r="Y490" s="57"/>
      <c r="Z490" s="57"/>
    </row>
    <row r="491">
      <c r="A491" s="56" t="str">
        <f>IFERROR(__xludf.DUMMYFUNCTION("IF('AYIRA MINI MART FINAL MENU - Pr'!A491="""", """", IF(LEN(TRIM(REGEXREPLACE(REGEXREPLACE('AYIRA MINI MART FINAL MENU - Pr'!A491, ""^[^\x{0600}-\x{06FF}]+"", """"), ""^[-–\s]+"", """")))&gt;0, TRIM(REGEXREPLACE(REGEXREPLACE('AYIRA MINI MART FINAL MENU - Pr"&amp;"'!A491, ""^[^\x{0600}-\x{06FF}]+"", """"), ""^[-–\s]+"", """")), GOOGLETRANSLATE('AYIRA MINI MART FINAL MENU - Pr'!A491, ""en"", ""ar"")))"),"شيبس Chilli &amp; Vinegar Flavour 16 غرام")</f>
        <v>شيبس Chilli &amp; Vinegar Flavour 16 غرام</v>
      </c>
      <c r="B491" s="56" t="str">
        <f>IFERROR(__xludf.DUMMYFUNCTION("IF('AYIRA MINI MART FINAL MENU - Pr'!B491="""", """", IF(LEN(TRIM(REGEXREPLACE(REGEXREPLACE('AYIRA MINI MART FINAL MENU - Pr'!B491, ""^[^\x{0600}-\x{06FF}]+"", """"), ""^[-–\s]+"", """")))&gt;0, TRIM(REGEXREPLACE(REGEXREPLACE('AYIRA MINI MART FINAL MENU - Pr"&amp;"'!B491, ""^[^\x{0600}-\x{06FF}]+"", """"), ""^[-–\s]+"", """")), GOOGLETRANSLATE('AYIRA MINI MART FINAL MENU - Pr'!B491, ""en"", ""ar"")))"),"الشيبس والمقرمشات")</f>
        <v>الشيبس والمقرمشات</v>
      </c>
      <c r="C491" s="58">
        <f>IF('AYIRA MINI MART FINAL MENU - Pr'!C491="", "", 'AYIRA MINI MART FINAL MENU - Pr'!C491)</f>
        <v>1</v>
      </c>
      <c r="D491" s="58" t="str">
        <f>IF('AYIRA MINI MART FINAL MENU - Pr'!D491="", "", 'AYIRA MINI MART FINAL MENU - Pr'!D491)</f>
        <v>لا تقاوم طعم Molto Chips Chilli &amp; Vinegar Flavour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1" s="56" t="str">
        <f>IF('AYIRA MINI MART FINAL MENU - Pr'!E491="", "", 'AYIRA MINI MART FINAL MENU - Pr'!E491)</f>
        <v/>
      </c>
      <c r="F491" s="56" t="str">
        <f>IF('AYIRA MINI MART FINAL MENU - Pr'!F491="", "", 'AYIRA MINI MART FINAL MENU - Pr'!F491)</f>
        <v/>
      </c>
      <c r="G491" s="56" t="str">
        <f>IF('AYIRA MINI MART FINAL MENU - Pr'!G491="", "", 'AYIRA MINI MART FINAL MENU - Pr'!G491)</f>
        <v/>
      </c>
      <c r="H491" s="56" t="str">
        <f>IF('AYIRA MINI MART FINAL MENU - Pr'!H491="", "", 'AYIRA MINI MART FINAL MENU - Pr'!H491)</f>
        <v/>
      </c>
      <c r="I491" s="56" t="str">
        <f>IF('AYIRA MINI MART FINAL MENU - Pr'!I491="", "", 'AYIRA MINI MART FINAL MENU - Pr'!I491)</f>
        <v/>
      </c>
      <c r="J491" s="56" t="str">
        <f>IFERROR(__xludf.DUMMYFUNCTION("IF('AYIRA MINI MART FINAL MENU - Pr'!J491="""", """", GOOGLETRANSLATE('AYIRA MINI MART FINAL MENU - Pr'!J491, ""en"", ""ar""))"),"يعرض")</f>
        <v>يعرض</v>
      </c>
      <c r="K491" s="56" t="str">
        <f>IF('AYIRA MINI MART FINAL MENU - Pr'!K491="", "", 'AYIRA MINI MART FINAL MENU - Pr'!K491)</f>
        <v/>
      </c>
      <c r="L491" s="56" t="str">
        <f>IF('AYIRA MINI MART FINAL MENU - Pr'!L491="", "", 'AYIRA MINI MART FINAL MENU - Pr'!L491)</f>
        <v/>
      </c>
      <c r="M491" s="56" t="str">
        <f>IF('AYIRA MINI MART FINAL MENU - Pr'!M491="", "", 'AYIRA MINI MART FINAL MENU - Pr'!M491)</f>
        <v/>
      </c>
      <c r="N491" s="56" t="str">
        <f>IF('AYIRA MINI MART FINAL MENU - Pr'!N491="", "", 'AYIRA MINI MART FINAL MENU - Pr'!N491)</f>
        <v/>
      </c>
      <c r="O491" s="57"/>
      <c r="P491" s="57"/>
      <c r="Q491" s="57"/>
      <c r="R491" s="57"/>
      <c r="S491" s="57"/>
      <c r="T491" s="57"/>
      <c r="U491" s="57"/>
      <c r="V491" s="57"/>
      <c r="W491" s="57"/>
      <c r="X491" s="57"/>
      <c r="Y491" s="57"/>
      <c r="Z491" s="57"/>
    </row>
    <row r="492">
      <c r="A492" s="56" t="str">
        <f>IFERROR(__xludf.DUMMYFUNCTION("IF('AYIRA MINI MART FINAL MENU - Pr'!A492="""", """", IF(LEN(TRIM(REGEXREPLACE(REGEXREPLACE('AYIRA MINI MART FINAL MENU - Pr'!A492, ""^[^\x{0600}-\x{06FF}]+"", """"), ""^[-–\s]+"", """")))&gt;0, TRIM(REGEXREPLACE(REGEXREPLACE('AYIRA MINI MART FINAL MENU - Pr"&amp;"'!A492, ""^[^\x{0600}-\x{06FF}]+"", """"), ""^[-–\s]+"", """")), GOOGLETRANSLATE('AYIRA MINI MART FINAL MENU - Pr'!A492, ""en"", ""ar"")))"),"شيبس جبنة Flavour 16 غرام")</f>
        <v>شيبس جبنة Flavour 16 غرام</v>
      </c>
      <c r="B492" s="56" t="str">
        <f>IFERROR(__xludf.DUMMYFUNCTION("IF('AYIRA MINI MART FINAL MENU - Pr'!B492="""", """", IF(LEN(TRIM(REGEXREPLACE(REGEXREPLACE('AYIRA MINI MART FINAL MENU - Pr'!B492, ""^[^\x{0600}-\x{06FF}]+"", """"), ""^[-–\s]+"", """")))&gt;0, TRIM(REGEXREPLACE(REGEXREPLACE('AYIRA MINI MART FINAL MENU - Pr"&amp;"'!B492, ""^[^\x{0600}-\x{06FF}]+"", """"), ""^[-–\s]+"", """")), GOOGLETRANSLATE('AYIRA MINI MART FINAL MENU - Pr'!B492, ""en"", ""ar"")))"),"الشيبس والمقرمشات")</f>
        <v>الشيبس والمقرمشات</v>
      </c>
      <c r="C492" s="58">
        <f>IF('AYIRA MINI MART FINAL MENU - Pr'!C492="", "", 'AYIRA MINI MART FINAL MENU - Pr'!C492)</f>
        <v>1</v>
      </c>
      <c r="D492" s="58" t="str">
        <f>IF('AYIRA MINI MART FINAL MENU - Pr'!D492="", "", 'AYIRA MINI MART FINAL MENU - Pr'!D492)</f>
        <v>لا تقاوم طعم Molto Chips Cheese Flavour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2" s="56" t="str">
        <f>IF('AYIRA MINI MART FINAL MENU - Pr'!E492="", "", 'AYIRA MINI MART FINAL MENU - Pr'!E492)</f>
        <v/>
      </c>
      <c r="F492" s="56" t="str">
        <f>IF('AYIRA MINI MART FINAL MENU - Pr'!F492="", "", 'AYIRA MINI MART FINAL MENU - Pr'!F492)</f>
        <v/>
      </c>
      <c r="G492" s="56" t="str">
        <f>IF('AYIRA MINI MART FINAL MENU - Pr'!G492="", "", 'AYIRA MINI MART FINAL MENU - Pr'!G492)</f>
        <v/>
      </c>
      <c r="H492" s="56" t="str">
        <f>IF('AYIRA MINI MART FINAL MENU - Pr'!H492="", "", 'AYIRA MINI MART FINAL MENU - Pr'!H492)</f>
        <v/>
      </c>
      <c r="I492" s="56" t="str">
        <f>IF('AYIRA MINI MART FINAL MENU - Pr'!I492="", "", 'AYIRA MINI MART FINAL MENU - Pr'!I492)</f>
        <v/>
      </c>
      <c r="J492" s="56" t="str">
        <f>IFERROR(__xludf.DUMMYFUNCTION("IF('AYIRA MINI MART FINAL MENU - Pr'!J492="""", """", GOOGLETRANSLATE('AYIRA MINI MART FINAL MENU - Pr'!J492, ""en"", ""ar""))"),"يعرض")</f>
        <v>يعرض</v>
      </c>
      <c r="K492" s="56" t="str">
        <f>IF('AYIRA MINI MART FINAL MENU - Pr'!K492="", "", 'AYIRA MINI MART FINAL MENU - Pr'!K492)</f>
        <v/>
      </c>
      <c r="L492" s="56" t="str">
        <f>IF('AYIRA MINI MART FINAL MENU - Pr'!L492="", "", 'AYIRA MINI MART FINAL MENU - Pr'!L492)</f>
        <v/>
      </c>
      <c r="M492" s="56" t="str">
        <f>IF('AYIRA MINI MART FINAL MENU - Pr'!M492="", "", 'AYIRA MINI MART FINAL MENU - Pr'!M492)</f>
        <v/>
      </c>
      <c r="N492" s="56" t="str">
        <f>IF('AYIRA MINI MART FINAL MENU - Pr'!N492="", "", 'AYIRA MINI MART FINAL MENU - Pr'!N492)</f>
        <v/>
      </c>
      <c r="O492" s="57"/>
      <c r="P492" s="57"/>
      <c r="Q492" s="57"/>
      <c r="R492" s="57"/>
      <c r="S492" s="57"/>
      <c r="T492" s="57"/>
      <c r="U492" s="57"/>
      <c r="V492" s="57"/>
      <c r="W492" s="57"/>
      <c r="X492" s="57"/>
      <c r="Y492" s="57"/>
      <c r="Z492" s="57"/>
    </row>
    <row r="493">
      <c r="A493" s="56" t="str">
        <f>IFERROR(__xludf.DUMMYFUNCTION("IF('AYIRA MINI MART FINAL MENU - Pr'!A493="""", """", IF(LEN(TRIM(REGEXREPLACE(REGEXREPLACE('AYIRA MINI MART FINAL MENU - Pr'!A493, ""^[^\x{0600}-\x{06FF}]+"", """"), ""^[-–\s]+"", """")))&gt;0, TRIM(REGEXREPLACE(REGEXREPLACE('AYIRA MINI MART FINAL MENU - Pr"&amp;"'!A493, ""^[^\x{0600}-\x{06FF}]+"", """"), ""^[-–\s]+"", """")), GOOGLETRANSLATE('AYIRA MINI MART FINAL MENU - Pr'!A493, ""en"", ""ar"")))"),"شيبس كاتشاب Flavour 16 غرام")</f>
        <v>شيبس كاتشاب Flavour 16 غرام</v>
      </c>
      <c r="B493" s="56" t="str">
        <f>IFERROR(__xludf.DUMMYFUNCTION("IF('AYIRA MINI MART FINAL MENU - Pr'!B493="""", """", IF(LEN(TRIM(REGEXREPLACE(REGEXREPLACE('AYIRA MINI MART FINAL MENU - Pr'!B493, ""^[^\x{0600}-\x{06FF}]+"", """"), ""^[-–\s]+"", """")))&gt;0, TRIM(REGEXREPLACE(REGEXREPLACE('AYIRA MINI MART FINAL MENU - Pr"&amp;"'!B493, ""^[^\x{0600}-\x{06FF}]+"", """"), ""^[-–\s]+"", """")), GOOGLETRANSLATE('AYIRA MINI MART FINAL MENU - Pr'!B493, ""en"", ""ar"")))"),"الشيبس والمقرمشات")</f>
        <v>الشيبس والمقرمشات</v>
      </c>
      <c r="C493" s="58">
        <f>IF('AYIRA MINI MART FINAL MENU - Pr'!C493="", "", 'AYIRA MINI MART FINAL MENU - Pr'!C493)</f>
        <v>1</v>
      </c>
      <c r="D493" s="58" t="str">
        <f>IF('AYIRA MINI MART FINAL MENU - Pr'!D493="", "", 'AYIRA MINI MART FINAL MENU - Pr'!D493)</f>
        <v>لا تقاوم طعم Molto Chips Ketchup Flavour 16g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3" s="56" t="str">
        <f>IF('AYIRA MINI MART FINAL MENU - Pr'!E493="", "", 'AYIRA MINI MART FINAL MENU - Pr'!E493)</f>
        <v/>
      </c>
      <c r="F493" s="56" t="str">
        <f>IF('AYIRA MINI MART FINAL MENU - Pr'!F493="", "", 'AYIRA MINI MART FINAL MENU - Pr'!F493)</f>
        <v/>
      </c>
      <c r="G493" s="56" t="str">
        <f>IF('AYIRA MINI MART FINAL MENU - Pr'!G493="", "", 'AYIRA MINI MART FINAL MENU - Pr'!G493)</f>
        <v/>
      </c>
      <c r="H493" s="56" t="str">
        <f>IF('AYIRA MINI MART FINAL MENU - Pr'!H493="", "", 'AYIRA MINI MART FINAL MENU - Pr'!H493)</f>
        <v/>
      </c>
      <c r="I493" s="56" t="str">
        <f>IF('AYIRA MINI MART FINAL MENU - Pr'!I493="", "", 'AYIRA MINI MART FINAL MENU - Pr'!I493)</f>
        <v/>
      </c>
      <c r="J493" s="56" t="str">
        <f>IFERROR(__xludf.DUMMYFUNCTION("IF('AYIRA MINI MART FINAL MENU - Pr'!J493="""", """", GOOGLETRANSLATE('AYIRA MINI MART FINAL MENU - Pr'!J493, ""en"", ""ar""))"),"يعرض")</f>
        <v>يعرض</v>
      </c>
      <c r="K493" s="56" t="str">
        <f>IF('AYIRA MINI MART FINAL MENU - Pr'!K493="", "", 'AYIRA MINI MART FINAL MENU - Pr'!K493)</f>
        <v/>
      </c>
      <c r="L493" s="56" t="str">
        <f>IF('AYIRA MINI MART FINAL MENU - Pr'!L493="", "", 'AYIRA MINI MART FINAL MENU - Pr'!L493)</f>
        <v/>
      </c>
      <c r="M493" s="56" t="str">
        <f>IF('AYIRA MINI MART FINAL MENU - Pr'!M493="", "", 'AYIRA MINI MART FINAL MENU - Pr'!M493)</f>
        <v/>
      </c>
      <c r="N493" s="56" t="str">
        <f>IF('AYIRA MINI MART FINAL MENU - Pr'!N493="", "", 'AYIRA MINI MART FINAL MENU - Pr'!N493)</f>
        <v/>
      </c>
      <c r="O493" s="57"/>
      <c r="P493" s="57"/>
      <c r="Q493" s="57"/>
      <c r="R493" s="57"/>
      <c r="S493" s="57"/>
      <c r="T493" s="57"/>
      <c r="U493" s="57"/>
      <c r="V493" s="57"/>
      <c r="W493" s="57"/>
      <c r="X493" s="57"/>
      <c r="Y493" s="57"/>
      <c r="Z493" s="57"/>
    </row>
    <row r="494">
      <c r="A494" s="56" t="str">
        <f>IFERROR(__xludf.DUMMYFUNCTION("IF('AYIRA MINI MART FINAL MENU - Pr'!A494="""", """", IF(LEN(TRIM(REGEXREPLACE(REGEXREPLACE('AYIRA MINI MART FINAL MENU - Pr'!A494, ""^[^\x{0600}-\x{06FF}]+"", """"), ""^[-–\s]+"", """")))&gt;0, TRIM(REGEXREPLACE(REGEXREPLACE('AYIRA MINI MART FINAL MENU - Pr"&amp;"'!A494, ""^[^\x{0600}-\x{06FF}]+"", """"), ""^[-–\s]+"", """")), GOOGLETRANSLATE('AYIRA MINI MART FINAL MENU - Pr'!A494, ""en"", ""ar"")))"),"غرام")</f>
        <v>غرام</v>
      </c>
      <c r="B494" s="56" t="str">
        <f>IFERROR(__xludf.DUMMYFUNCTION("IF('AYIRA MINI MART FINAL MENU - Pr'!B494="""", """", IF(LEN(TRIM(REGEXREPLACE(REGEXREPLACE('AYIRA MINI MART FINAL MENU - Pr'!B494, ""^[^\x{0600}-\x{06FF}]+"", """"), ""^[-–\s]+"", """")))&gt;0, TRIM(REGEXREPLACE(REGEXREPLACE('AYIRA MINI MART FINAL MENU - Pr"&amp;"'!B494, ""^[^\x{0600}-\x{06FF}]+"", """"), ""^[-–\s]+"", """")), GOOGLETRANSLATE('AYIRA MINI MART FINAL MENU - Pr'!B494, ""en"", ""ar"")))"),"الشيبس والمقرمشات")</f>
        <v>الشيبس والمقرمشات</v>
      </c>
      <c r="C494" s="58">
        <f>IF('AYIRA MINI MART FINAL MENU - Pr'!C494="", "", 'AYIRA MINI MART FINAL MENU - Pr'!C494)</f>
        <v>1</v>
      </c>
      <c r="D494" s="58" t="str">
        <f>IF('AYIRA MINI MART FINAL MENU - Pr'!D494="", "", 'AYIRA MINI MART FINAL MENU - Pr'!D494)</f>
        <v>لا تقاوم طعم Raja Potato Crunchies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4" s="56" t="str">
        <f>IF('AYIRA MINI MART FINAL MENU - Pr'!E494="", "", 'AYIRA MINI MART FINAL MENU - Pr'!E494)</f>
        <v/>
      </c>
      <c r="F494" s="56" t="str">
        <f>IF('AYIRA MINI MART FINAL MENU - Pr'!F494="", "", 'AYIRA MINI MART FINAL MENU - Pr'!F494)</f>
        <v/>
      </c>
      <c r="G494" s="56" t="str">
        <f>IF('AYIRA MINI MART FINAL MENU - Pr'!G494="", "", 'AYIRA MINI MART FINAL MENU - Pr'!G494)</f>
        <v/>
      </c>
      <c r="H494" s="56" t="str">
        <f>IF('AYIRA MINI MART FINAL MENU - Pr'!H494="", "", 'AYIRA MINI MART FINAL MENU - Pr'!H494)</f>
        <v/>
      </c>
      <c r="I494" s="56" t="str">
        <f>IF('AYIRA MINI MART FINAL MENU - Pr'!I494="", "", 'AYIRA MINI MART FINAL MENU - Pr'!I494)</f>
        <v/>
      </c>
      <c r="J494" s="56" t="str">
        <f>IFERROR(__xludf.DUMMYFUNCTION("IF('AYIRA MINI MART FINAL MENU - Pr'!J494="""", """", GOOGLETRANSLATE('AYIRA MINI MART FINAL MENU - Pr'!J494, ""en"", ""ar""))"),"يعرض")</f>
        <v>يعرض</v>
      </c>
      <c r="K494" s="56" t="str">
        <f>IF('AYIRA MINI MART FINAL MENU - Pr'!K494="", "", 'AYIRA MINI MART FINAL MENU - Pr'!K494)</f>
        <v/>
      </c>
      <c r="L494" s="56" t="str">
        <f>IF('AYIRA MINI MART FINAL MENU - Pr'!L494="", "", 'AYIRA MINI MART FINAL MENU - Pr'!L494)</f>
        <v/>
      </c>
      <c r="M494" s="56" t="str">
        <f>IF('AYIRA MINI MART FINAL MENU - Pr'!M494="", "", 'AYIRA MINI MART FINAL MENU - Pr'!M494)</f>
        <v/>
      </c>
      <c r="N494" s="56" t="str">
        <f>IF('AYIRA MINI MART FINAL MENU - Pr'!N494="", "", 'AYIRA MINI MART FINAL MENU - Pr'!N494)</f>
        <v/>
      </c>
      <c r="O494" s="57"/>
      <c r="P494" s="57"/>
      <c r="Q494" s="57"/>
      <c r="R494" s="57"/>
      <c r="S494" s="57"/>
      <c r="T494" s="57"/>
      <c r="U494" s="57"/>
      <c r="V494" s="57"/>
      <c r="W494" s="57"/>
      <c r="X494" s="57"/>
      <c r="Y494" s="57"/>
      <c r="Z494" s="57"/>
    </row>
    <row r="495">
      <c r="A495" s="56" t="str">
        <f>IFERROR(__xludf.DUMMYFUNCTION("IF('AYIRA MINI MART FINAL MENU - Pr'!A495="""", """", IF(LEN(TRIM(REGEXREPLACE(REGEXREPLACE('AYIRA MINI MART FINAL MENU - Pr'!A495, ""^[^\x{0600}-\x{06FF}]+"", """"), ""^[-–\s]+"", """")))&gt;0, TRIM(REGEXREPLACE(REGEXREPLACE('AYIRA MINI MART FINAL MENU - Pr"&amp;"'!A495, ""^[^\x{0600}-\x{06FF}]+"", """"), ""^[-–\s]+"", """")), GOOGLETRANSLATE('AYIRA MINI MART FINAL MENU - Pr'!A495, ""en"", ""ar"")))"),"غرام")</f>
        <v>غرام</v>
      </c>
      <c r="B495" s="56" t="str">
        <f>IFERROR(__xludf.DUMMYFUNCTION("IF('AYIRA MINI MART FINAL MENU - Pr'!B495="""", """", IF(LEN(TRIM(REGEXREPLACE(REGEXREPLACE('AYIRA MINI MART FINAL MENU - Pr'!B495, ""^[^\x{0600}-\x{06FF}]+"", """"), ""^[-–\s]+"", """")))&gt;0, TRIM(REGEXREPLACE(REGEXREPLACE('AYIRA MINI MART FINAL MENU - Pr"&amp;"'!B495, ""^[^\x{0600}-\x{06FF}]+"", """"), ""^[-–\s]+"", """")), GOOGLETRANSLATE('AYIRA MINI MART FINAL MENU - Pr'!B495, ""en"", ""ar"")))"),"الشيبس والمقرمشات")</f>
        <v>الشيبس والمقرمشات</v>
      </c>
      <c r="C495" s="58">
        <f>IF('AYIRA MINI MART FINAL MENU - Pr'!C495="", "", 'AYIRA MINI MART FINAL MENU - Pr'!C495)</f>
        <v>1</v>
      </c>
      <c r="D495" s="58" t="str">
        <f>IF('AYIRA MINI MART FINAL MENU - Pr'!D495="", "", 'AYIRA MINI MART FINAL MENU - Pr'!D495)</f>
        <v>لا تقاوم طعم Rubiyan Cheesy Flavour 18g،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5" s="56" t="str">
        <f>IF('AYIRA MINI MART FINAL MENU - Pr'!E495="", "", 'AYIRA MINI MART FINAL MENU - Pr'!E495)</f>
        <v/>
      </c>
      <c r="F495" s="56" t="str">
        <f>IF('AYIRA MINI MART FINAL MENU - Pr'!F495="", "", 'AYIRA MINI MART FINAL MENU - Pr'!F495)</f>
        <v/>
      </c>
      <c r="G495" s="56" t="str">
        <f>IF('AYIRA MINI MART FINAL MENU - Pr'!G495="", "", 'AYIRA MINI MART FINAL MENU - Pr'!G495)</f>
        <v/>
      </c>
      <c r="H495" s="56" t="str">
        <f>IF('AYIRA MINI MART FINAL MENU - Pr'!H495="", "", 'AYIRA MINI MART FINAL MENU - Pr'!H495)</f>
        <v/>
      </c>
      <c r="I495" s="56" t="str">
        <f>IF('AYIRA MINI MART FINAL MENU - Pr'!I495="", "", 'AYIRA MINI MART FINAL MENU - Pr'!I495)</f>
        <v/>
      </c>
      <c r="J495" s="56" t="str">
        <f>IFERROR(__xludf.DUMMYFUNCTION("IF('AYIRA MINI MART FINAL MENU - Pr'!J495="""", """", GOOGLETRANSLATE('AYIRA MINI MART FINAL MENU - Pr'!J495, ""en"", ""ar""))"),"يعرض")</f>
        <v>يعرض</v>
      </c>
      <c r="K495" s="56" t="str">
        <f>IF('AYIRA MINI MART FINAL MENU - Pr'!K495="", "", 'AYIRA MINI MART FINAL MENU - Pr'!K495)</f>
        <v/>
      </c>
      <c r="L495" s="56" t="str">
        <f>IF('AYIRA MINI MART FINAL MENU - Pr'!L495="", "", 'AYIRA MINI MART FINAL MENU - Pr'!L495)</f>
        <v/>
      </c>
      <c r="M495" s="56" t="str">
        <f>IF('AYIRA MINI MART FINAL MENU - Pr'!M495="", "", 'AYIRA MINI MART FINAL MENU - Pr'!M495)</f>
        <v/>
      </c>
      <c r="N495" s="56" t="str">
        <f>IF('AYIRA MINI MART FINAL MENU - Pr'!N495="", "", 'AYIRA MINI MART FINAL MENU - Pr'!N495)</f>
        <v/>
      </c>
      <c r="O495" s="57"/>
      <c r="P495" s="57"/>
      <c r="Q495" s="57"/>
      <c r="R495" s="57"/>
      <c r="S495" s="57"/>
      <c r="T495" s="57"/>
      <c r="U495" s="57"/>
      <c r="V495" s="57"/>
      <c r="W495" s="57"/>
      <c r="X495" s="57"/>
      <c r="Y495" s="57"/>
      <c r="Z495" s="57"/>
    </row>
    <row r="496">
      <c r="A496" s="56" t="str">
        <f>IFERROR(__xludf.DUMMYFUNCTION("IF('AYIRA MINI MART FINAL MENU - Pr'!A496="""", """", IF(LEN(TRIM(REGEXREPLACE(REGEXREPLACE('AYIRA MINI MART FINAL MENU - Pr'!A496, ""^[^\x{0600}-\x{06FF}]+"", """"), ""^[-–\s]+"", """")))&gt;0, TRIM(REGEXREPLACE(REGEXREPLACE('AYIRA MINI MART FINAL MENU - Pr"&amp;"'!A496, ""^[^\x{0600}-\x{06FF}]+"", """"), ""^[-–\s]+"", """")), GOOGLETRANSLATE('AYIRA MINI MART FINAL MENU - Pr'!A496, ""en"", ""ar"")))"),"شيبس حار جبنة Flavour 20 غرام")</f>
        <v>شيبس حار جبنة Flavour 20 غرام</v>
      </c>
      <c r="B496" s="56" t="str">
        <f>IFERROR(__xludf.DUMMYFUNCTION("IF('AYIRA MINI MART FINAL MENU - Pr'!B496="""", """", IF(LEN(TRIM(REGEXREPLACE(REGEXREPLACE('AYIRA MINI MART FINAL MENU - Pr'!B496, ""^[^\x{0600}-\x{06FF}]+"", """"), ""^[-–\s]+"", """")))&gt;0, TRIM(REGEXREPLACE(REGEXREPLACE('AYIRA MINI MART FINAL MENU - Pr"&amp;"'!B496, ""^[^\x{0600}-\x{06FF}]+"", """"), ""^[-–\s]+"", """")), GOOGLETRANSLATE('AYIRA MINI MART FINAL MENU - Pr'!B496, ""en"", ""ar"")))"),"الشيبس والمقرمشات")</f>
        <v>الشيبس والمقرمشات</v>
      </c>
      <c r="C496" s="58">
        <f>IF('AYIRA MINI MART FINAL MENU - Pr'!C496="", "", 'AYIRA MINI MART FINAL MENU - Pr'!C496)</f>
        <v>1</v>
      </c>
      <c r="D496" s="58" t="str">
        <f>IF('AYIRA MINI MART FINAL MENU - Pr'!D496="", "", 'AYIRA MINI MART FINAL MENU - Pr'!D496)</f>
        <v>لا تقاوم طعم Rubiyan Chips Spicy Cheese Flavour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6" s="56" t="str">
        <f>IF('AYIRA MINI MART FINAL MENU - Pr'!E496="", "", 'AYIRA MINI MART FINAL MENU - Pr'!E496)</f>
        <v/>
      </c>
      <c r="F496" s="56" t="str">
        <f>IF('AYIRA MINI MART FINAL MENU - Pr'!F496="", "", 'AYIRA MINI MART FINAL MENU - Pr'!F496)</f>
        <v/>
      </c>
      <c r="G496" s="56" t="str">
        <f>IF('AYIRA MINI MART FINAL MENU - Pr'!G496="", "", 'AYIRA MINI MART FINAL MENU - Pr'!G496)</f>
        <v/>
      </c>
      <c r="H496" s="56" t="str">
        <f>IF('AYIRA MINI MART FINAL MENU - Pr'!H496="", "", 'AYIRA MINI MART FINAL MENU - Pr'!H496)</f>
        <v/>
      </c>
      <c r="I496" s="56" t="str">
        <f>IF('AYIRA MINI MART FINAL MENU - Pr'!I496="", "", 'AYIRA MINI MART FINAL MENU - Pr'!I496)</f>
        <v/>
      </c>
      <c r="J496" s="56" t="str">
        <f>IFERROR(__xludf.DUMMYFUNCTION("IF('AYIRA MINI MART FINAL MENU - Pr'!J496="""", """", GOOGLETRANSLATE('AYIRA MINI MART FINAL MENU - Pr'!J496, ""en"", ""ar""))"),"يعرض")</f>
        <v>يعرض</v>
      </c>
      <c r="K496" s="56" t="str">
        <f>IF('AYIRA MINI MART FINAL MENU - Pr'!K496="", "", 'AYIRA MINI MART FINAL MENU - Pr'!K496)</f>
        <v/>
      </c>
      <c r="L496" s="56" t="str">
        <f>IF('AYIRA MINI MART FINAL MENU - Pr'!L496="", "", 'AYIRA MINI MART FINAL MENU - Pr'!L496)</f>
        <v/>
      </c>
      <c r="M496" s="56" t="str">
        <f>IF('AYIRA MINI MART FINAL MENU - Pr'!M496="", "", 'AYIRA MINI MART FINAL MENU - Pr'!M496)</f>
        <v/>
      </c>
      <c r="N496" s="56" t="str">
        <f>IF('AYIRA MINI MART FINAL MENU - Pr'!N496="", "", 'AYIRA MINI MART FINAL MENU - Pr'!N496)</f>
        <v/>
      </c>
      <c r="O496" s="57"/>
      <c r="P496" s="57"/>
      <c r="Q496" s="57"/>
      <c r="R496" s="57"/>
      <c r="S496" s="57"/>
      <c r="T496" s="57"/>
      <c r="U496" s="57"/>
      <c r="V496" s="57"/>
      <c r="W496" s="57"/>
      <c r="X496" s="57"/>
      <c r="Y496" s="57"/>
      <c r="Z496" s="57"/>
    </row>
    <row r="497">
      <c r="A497" s="56" t="str">
        <f>IFERROR(__xludf.DUMMYFUNCTION("IF('AYIRA MINI MART FINAL MENU - Pr'!A497="""", """", IF(LEN(TRIM(REGEXREPLACE(REGEXREPLACE('AYIRA MINI MART FINAL MENU - Pr'!A497, ""^[^\x{0600}-\x{06FF}]+"", """"), ""^[-–\s]+"", """")))&gt;0, TRIM(REGEXREPLACE(REGEXREPLACE('AYIRA MINI MART FINAL MENU - Pr"&amp;"'!A497, ""^[^\x{0600}-\x{06FF}]+"", """"), ""^[-–\s]+"", """")), GOOGLETRANSLATE('AYIRA MINI MART FINAL MENU - Pr'!A497, ""en"", ""ar"")))"),"عصا حار جبنة Flavour 18 غرام")</f>
        <v>عصا حار جبنة Flavour 18 غرام</v>
      </c>
      <c r="B497" s="56" t="str">
        <f>IFERROR(__xludf.DUMMYFUNCTION("IF('AYIRA MINI MART FINAL MENU - Pr'!B497="""", """", IF(LEN(TRIM(REGEXREPLACE(REGEXREPLACE('AYIRA MINI MART FINAL MENU - Pr'!B497, ""^[^\x{0600}-\x{06FF}]+"", """"), ""^[-–\s]+"", """")))&gt;0, TRIM(REGEXREPLACE(REGEXREPLACE('AYIRA MINI MART FINAL MENU - Pr"&amp;"'!B497, ""^[^\x{0600}-\x{06FF}]+"", """"), ""^[-–\s]+"", """")), GOOGLETRANSLATE('AYIRA MINI MART FINAL MENU - Pr'!B497, ""en"", ""ar"")))"),"الشيبس والمقرمشات")</f>
        <v>الشيبس والمقرمشات</v>
      </c>
      <c r="C497" s="58">
        <f>IF('AYIRA MINI MART FINAL MENU - Pr'!C497="", "", 'AYIRA MINI MART FINAL MENU - Pr'!C497)</f>
        <v>1</v>
      </c>
      <c r="D497" s="58" t="str">
        <f>IF('AYIRA MINI MART FINAL MENU - Pr'!D497="", "", 'AYIRA MINI MART FINAL MENU - Pr'!D497)</f>
        <v>لا تقاوم طعم Rubiyan Corn Stick Spicy Cheese Flavour 18g،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7" s="56" t="str">
        <f>IF('AYIRA MINI MART FINAL MENU - Pr'!E497="", "", 'AYIRA MINI MART FINAL MENU - Pr'!E497)</f>
        <v/>
      </c>
      <c r="F497" s="56" t="str">
        <f>IF('AYIRA MINI MART FINAL MENU - Pr'!F497="", "", 'AYIRA MINI MART FINAL MENU - Pr'!F497)</f>
        <v/>
      </c>
      <c r="G497" s="56" t="str">
        <f>IF('AYIRA MINI MART FINAL MENU - Pr'!G497="", "", 'AYIRA MINI MART FINAL MENU - Pr'!G497)</f>
        <v/>
      </c>
      <c r="H497" s="56" t="str">
        <f>IF('AYIRA MINI MART FINAL MENU - Pr'!H497="", "", 'AYIRA MINI MART FINAL MENU - Pr'!H497)</f>
        <v/>
      </c>
      <c r="I497" s="56" t="str">
        <f>IF('AYIRA MINI MART FINAL MENU - Pr'!I497="", "", 'AYIRA MINI MART FINAL MENU - Pr'!I497)</f>
        <v/>
      </c>
      <c r="J497" s="56" t="str">
        <f>IFERROR(__xludf.DUMMYFUNCTION("IF('AYIRA MINI MART FINAL MENU - Pr'!J497="""", """", GOOGLETRANSLATE('AYIRA MINI MART FINAL MENU - Pr'!J497, ""en"", ""ar""))"),"يعرض")</f>
        <v>يعرض</v>
      </c>
      <c r="K497" s="56" t="str">
        <f>IF('AYIRA MINI MART FINAL MENU - Pr'!K497="", "", 'AYIRA MINI MART FINAL MENU - Pr'!K497)</f>
        <v/>
      </c>
      <c r="L497" s="56" t="str">
        <f>IF('AYIRA MINI MART FINAL MENU - Pr'!L497="", "", 'AYIRA MINI MART FINAL MENU - Pr'!L497)</f>
        <v/>
      </c>
      <c r="M497" s="56" t="str">
        <f>IF('AYIRA MINI MART FINAL MENU - Pr'!M497="", "", 'AYIRA MINI MART FINAL MENU - Pr'!M497)</f>
        <v/>
      </c>
      <c r="N497" s="56" t="str">
        <f>IF('AYIRA MINI MART FINAL MENU - Pr'!N497="", "", 'AYIRA MINI MART FINAL MENU - Pr'!N497)</f>
        <v/>
      </c>
      <c r="O497" s="57"/>
      <c r="P497" s="57"/>
      <c r="Q497" s="57"/>
      <c r="R497" s="57"/>
      <c r="S497" s="57"/>
      <c r="T497" s="57"/>
      <c r="U497" s="57"/>
      <c r="V497" s="57"/>
      <c r="W497" s="57"/>
      <c r="X497" s="57"/>
      <c r="Y497" s="57"/>
      <c r="Z497" s="57"/>
    </row>
    <row r="498">
      <c r="A498" s="56" t="str">
        <f>IFERROR(__xludf.DUMMYFUNCTION("IF('AYIRA MINI MART FINAL MENU - Pr'!A498="""", """", IF(LEN(TRIM(REGEXREPLACE(REGEXREPLACE('AYIRA MINI MART FINAL MENU - Pr'!A498, ""^[^\x{0600}-\x{06FF}]+"", """"), ""^[-–\s]+"", """")))&gt;0, TRIM(REGEXREPLACE(REGEXREPLACE('AYIRA MINI MART FINAL MENU - Pr"&amp;"'!A498, ""^[^\x{0600}-\x{06FF}]+"", """"), ""^[-–\s]+"", """")), GOOGLETRANSLATE('AYIRA MINI MART FINAL MENU - Pr'!A498, ""en"", ""ar"")))"),"شيبس 15 غرام")</f>
        <v>شيبس 15 غرام</v>
      </c>
      <c r="B498" s="56" t="str">
        <f>IFERROR(__xludf.DUMMYFUNCTION("IF('AYIRA MINI MART FINAL MENU - Pr'!B498="""", """", IF(LEN(TRIM(REGEXREPLACE(REGEXREPLACE('AYIRA MINI MART FINAL MENU - Pr'!B498, ""^[^\x{0600}-\x{06FF}]+"", """"), ""^[-–\s]+"", """")))&gt;0, TRIM(REGEXREPLACE(REGEXREPLACE('AYIRA MINI MART FINAL MENU - Pr"&amp;"'!B498, ""^[^\x{0600}-\x{06FF}]+"", """"), ""^[-–\s]+"", """")), GOOGLETRANSLATE('AYIRA MINI MART FINAL MENU - Pr'!B498, ""en"", ""ar"")))"),"الشيبس والمقرمشات")</f>
        <v>الشيبس والمقرمشات</v>
      </c>
      <c r="C498" s="58">
        <f>IF('AYIRA MINI MART FINAL MENU - Pr'!C498="", "", 'AYIRA MINI MART FINAL MENU - Pr'!C498)</f>
        <v>1</v>
      </c>
      <c r="D498" s="58" t="str">
        <f>IF('AYIRA MINI MART FINAL MENU - Pr'!D498="", "", 'AYIRA MINI MART FINAL MENU - Pr'!D498)</f>
        <v>لا تقاوم طعم Al Mudhish Ripples Chips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8" s="56" t="str">
        <f>IF('AYIRA MINI MART FINAL MENU - Pr'!E498="", "", 'AYIRA MINI MART FINAL MENU - Pr'!E498)</f>
        <v/>
      </c>
      <c r="F498" s="56" t="str">
        <f>IF('AYIRA MINI MART FINAL MENU - Pr'!F498="", "", 'AYIRA MINI MART FINAL MENU - Pr'!F498)</f>
        <v/>
      </c>
      <c r="G498" s="56" t="str">
        <f>IF('AYIRA MINI MART FINAL MENU - Pr'!G498="", "", 'AYIRA MINI MART FINAL MENU - Pr'!G498)</f>
        <v/>
      </c>
      <c r="H498" s="56" t="str">
        <f>IF('AYIRA MINI MART FINAL MENU - Pr'!H498="", "", 'AYIRA MINI MART FINAL MENU - Pr'!H498)</f>
        <v/>
      </c>
      <c r="I498" s="56" t="str">
        <f>IF('AYIRA MINI MART FINAL MENU - Pr'!I498="", "", 'AYIRA MINI MART FINAL MENU - Pr'!I498)</f>
        <v/>
      </c>
      <c r="J498" s="56" t="str">
        <f>IFERROR(__xludf.DUMMYFUNCTION("IF('AYIRA MINI MART FINAL MENU - Pr'!J498="""", """", GOOGLETRANSLATE('AYIRA MINI MART FINAL MENU - Pr'!J498, ""en"", ""ar""))"),"يعرض")</f>
        <v>يعرض</v>
      </c>
      <c r="K498" s="56" t="str">
        <f>IF('AYIRA MINI MART FINAL MENU - Pr'!K498="", "", 'AYIRA MINI MART FINAL MENU - Pr'!K498)</f>
        <v/>
      </c>
      <c r="L498" s="56" t="str">
        <f>IF('AYIRA MINI MART FINAL MENU - Pr'!L498="", "", 'AYIRA MINI MART FINAL MENU - Pr'!L498)</f>
        <v/>
      </c>
      <c r="M498" s="56" t="str">
        <f>IF('AYIRA MINI MART FINAL MENU - Pr'!M498="", "", 'AYIRA MINI MART FINAL MENU - Pr'!M498)</f>
        <v/>
      </c>
      <c r="N498" s="56" t="str">
        <f>IF('AYIRA MINI MART FINAL MENU - Pr'!N498="", "", 'AYIRA MINI MART FINAL MENU - Pr'!N498)</f>
        <v/>
      </c>
      <c r="O498" s="57"/>
      <c r="P498" s="57"/>
      <c r="Q498" s="57"/>
      <c r="R498" s="57"/>
      <c r="S498" s="57"/>
      <c r="T498" s="57"/>
      <c r="U498" s="57"/>
      <c r="V498" s="57"/>
      <c r="W498" s="57"/>
      <c r="X498" s="57"/>
      <c r="Y498" s="57"/>
      <c r="Z498" s="57"/>
    </row>
    <row r="499">
      <c r="A499" s="56" t="str">
        <f>IFERROR(__xludf.DUMMYFUNCTION("IF('AYIRA MINI MART FINAL MENU - Pr'!A499="""", """", IF(LEN(TRIM(REGEXREPLACE(REGEXREPLACE('AYIRA MINI MART FINAL MENU - Pr'!A499, ""^[^\x{0600}-\x{06FF}]+"", """"), ""^[-–\s]+"", """")))&gt;0, TRIM(REGEXREPLACE(REGEXREPLACE('AYIRA MINI MART FINAL MENU - Pr"&amp;"'!A499, ""^[^\x{0600}-\x{06FF}]+"", """"), ""^[-–\s]+"", """")), GOOGLETRANSLATE('AYIRA MINI MART FINAL MENU - Pr'!A499, ""en"", ""ar"")))"),"كاتشاب 12 غرام")</f>
        <v>كاتشاب 12 غرام</v>
      </c>
      <c r="B499" s="56" t="str">
        <f>IFERROR(__xludf.DUMMYFUNCTION("IF('AYIRA MINI MART FINAL MENU - Pr'!B499="""", """", IF(LEN(TRIM(REGEXREPLACE(REGEXREPLACE('AYIRA MINI MART FINAL MENU - Pr'!B499, ""^[^\x{0600}-\x{06FF}]+"", """"), ""^[-–\s]+"", """")))&gt;0, TRIM(REGEXREPLACE(REGEXREPLACE('AYIRA MINI MART FINAL MENU - Pr"&amp;"'!B499, ""^[^\x{0600}-\x{06FF}]+"", """"), ""^[-–\s]+"", """")), GOOGLETRANSLATE('AYIRA MINI MART FINAL MENU - Pr'!B499, ""en"", ""ar"")))"),"الشيبس والمقرمشات")</f>
        <v>الشيبس والمقرمشات</v>
      </c>
      <c r="C499" s="58">
        <f>IF('AYIRA MINI MART FINAL MENU - Pr'!C499="", "", 'AYIRA MINI MART FINAL MENU - Pr'!C499)</f>
        <v>1</v>
      </c>
      <c r="D499" s="58" t="str">
        <f>IF('AYIRA MINI MART FINAL MENU - Pr'!D499="", "", 'AYIRA MINI MART FINAL MENU - Pr'!D499)</f>
        <v>لا تقاوم طعم Raja Potato Crunchies Ketchup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499" s="56" t="str">
        <f>IF('AYIRA MINI MART FINAL MENU - Pr'!E499="", "", 'AYIRA MINI MART FINAL MENU - Pr'!E499)</f>
        <v/>
      </c>
      <c r="F499" s="56" t="str">
        <f>IF('AYIRA MINI MART FINAL MENU - Pr'!F499="", "", 'AYIRA MINI MART FINAL MENU - Pr'!F499)</f>
        <v/>
      </c>
      <c r="G499" s="56" t="str">
        <f>IF('AYIRA MINI MART FINAL MENU - Pr'!G499="", "", 'AYIRA MINI MART FINAL MENU - Pr'!G499)</f>
        <v/>
      </c>
      <c r="H499" s="56" t="str">
        <f>IF('AYIRA MINI MART FINAL MENU - Pr'!H499="", "", 'AYIRA MINI MART FINAL MENU - Pr'!H499)</f>
        <v/>
      </c>
      <c r="I499" s="56" t="str">
        <f>IF('AYIRA MINI MART FINAL MENU - Pr'!I499="", "", 'AYIRA MINI MART FINAL MENU - Pr'!I499)</f>
        <v/>
      </c>
      <c r="J499" s="56" t="str">
        <f>IFERROR(__xludf.DUMMYFUNCTION("IF('AYIRA MINI MART FINAL MENU - Pr'!J499="""", """", GOOGLETRANSLATE('AYIRA MINI MART FINAL MENU - Pr'!J499, ""en"", ""ar""))"),"يعرض")</f>
        <v>يعرض</v>
      </c>
      <c r="K499" s="56" t="str">
        <f>IF('AYIRA MINI MART FINAL MENU - Pr'!K499="", "", 'AYIRA MINI MART FINAL MENU - Pr'!K499)</f>
        <v/>
      </c>
      <c r="L499" s="56" t="str">
        <f>IF('AYIRA MINI MART FINAL MENU - Pr'!L499="", "", 'AYIRA MINI MART FINAL MENU - Pr'!L499)</f>
        <v/>
      </c>
      <c r="M499" s="56" t="str">
        <f>IF('AYIRA MINI MART FINAL MENU - Pr'!M499="", "", 'AYIRA MINI MART FINAL MENU - Pr'!M499)</f>
        <v/>
      </c>
      <c r="N499" s="56" t="str">
        <f>IF('AYIRA MINI MART FINAL MENU - Pr'!N499="", "", 'AYIRA MINI MART FINAL MENU - Pr'!N499)</f>
        <v/>
      </c>
      <c r="O499" s="57"/>
      <c r="P499" s="57"/>
      <c r="Q499" s="57"/>
      <c r="R499" s="57"/>
      <c r="S499" s="57"/>
      <c r="T499" s="57"/>
      <c r="U499" s="57"/>
      <c r="V499" s="57"/>
      <c r="W499" s="57"/>
      <c r="X499" s="57"/>
      <c r="Y499" s="57"/>
      <c r="Z499" s="57"/>
    </row>
    <row r="500">
      <c r="A500" s="56" t="str">
        <f>IFERROR(__xludf.DUMMYFUNCTION("IF('AYIRA MINI MART FINAL MENU - Pr'!A500="""", """", IF(LEN(TRIM(REGEXREPLACE(REGEXREPLACE('AYIRA MINI MART FINAL MENU - Pr'!A500, ""^[^\x{0600}-\x{06FF}]+"", """"), ""^[-–\s]+"", """")))&gt;0, TRIM(REGEXREPLACE(REGEXREPLACE('AYIRA MINI MART FINAL MENU - Pr"&amp;"'!A500, ""^[^\x{0600}-\x{06FF}]+"", """"), ""^[-–\s]+"", """")), GOOGLETRANSLATE('AYIRA MINI MART FINAL MENU - Pr'!A500, ""en"", ""ar"")))"),"فراولة Citrus خالي من السكر 30 pcs")</f>
        <v>فراولة Citrus خالي من السكر 30 pcs</v>
      </c>
      <c r="B500" s="56" t="str">
        <f>IFERROR(__xludf.DUMMYFUNCTION("IF('AYIRA MINI MART FINAL MENU - Pr'!B500="""", """", IF(LEN(TRIM(REGEXREPLACE(REGEXREPLACE('AYIRA MINI MART FINAL MENU - Pr'!B500, ""^[^\x{0600}-\x{06FF}]+"", """"), ""^[-–\s]+"", """")))&gt;0, TRIM(REGEXREPLACE(REGEXREPLACE('AYIRA MINI MART FINAL MENU - Pr"&amp;"'!B500, ""^[^\x{0600}-\x{06FF}]+"", """"), ""^[-–\s]+"", """")), GOOGLETRANSLATE('AYIRA MINI MART FINAL MENU - Pr'!B500, ""en"", ""ar"")))"),"العلكة")</f>
        <v>العلكة</v>
      </c>
      <c r="C500" s="58">
        <f>IF('AYIRA MINI MART FINAL MENU - Pr'!C500="", "", 'AYIRA MINI MART FINAL MENU - Pr'!C500)</f>
        <v>16</v>
      </c>
      <c r="D500" s="58" t="str">
        <f>IF('AYIRA MINI MART FINAL MENU - Pr'!D500="", "", 'AYIRA MINI MART FINAL MENU - Pr'!D500)</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00" s="56" t="str">
        <f>IF('AYIRA MINI MART FINAL MENU - Pr'!E500="", "", 'AYIRA MINI MART FINAL MENU - Pr'!E500)</f>
        <v/>
      </c>
      <c r="F500" s="56" t="str">
        <f>IF('AYIRA MINI MART FINAL MENU - Pr'!F500="", "", 'AYIRA MINI MART FINAL MENU - Pr'!F500)</f>
        <v/>
      </c>
      <c r="G500" s="56" t="str">
        <f>IF('AYIRA MINI MART FINAL MENU - Pr'!G500="", "", 'AYIRA MINI MART FINAL MENU - Pr'!G500)</f>
        <v/>
      </c>
      <c r="H500" s="56" t="str">
        <f>IF('AYIRA MINI MART FINAL MENU - Pr'!H500="", "", 'AYIRA MINI MART FINAL MENU - Pr'!H500)</f>
        <v/>
      </c>
      <c r="I500" s="56" t="str">
        <f>IF('AYIRA MINI MART FINAL MENU - Pr'!I500="", "", 'AYIRA MINI MART FINAL MENU - Pr'!I500)</f>
        <v/>
      </c>
      <c r="J500" s="56" t="str">
        <f>IFERROR(__xludf.DUMMYFUNCTION("IF('AYIRA MINI MART FINAL MENU - Pr'!J500="""", """", GOOGLETRANSLATE('AYIRA MINI MART FINAL MENU - Pr'!J500, ""en"", ""ar""))"),"يعرض")</f>
        <v>يعرض</v>
      </c>
      <c r="K500" s="56" t="str">
        <f>IF('AYIRA MINI MART FINAL MENU - Pr'!K500="", "", 'AYIRA MINI MART FINAL MENU - Pr'!K500)</f>
        <v/>
      </c>
      <c r="L500" s="56" t="str">
        <f>IF('AYIRA MINI MART FINAL MENU - Pr'!L500="", "", 'AYIRA MINI MART FINAL MENU - Pr'!L500)</f>
        <v/>
      </c>
      <c r="M500" s="56" t="str">
        <f>IF('AYIRA MINI MART FINAL MENU - Pr'!M500="", "", 'AYIRA MINI MART FINAL MENU - Pr'!M500)</f>
        <v/>
      </c>
      <c r="N500" s="56" t="str">
        <f>IF('AYIRA MINI MART FINAL MENU - Pr'!N500="", "", 'AYIRA MINI MART FINAL MENU - Pr'!N500)</f>
        <v/>
      </c>
      <c r="O500" s="57"/>
      <c r="P500" s="57"/>
      <c r="Q500" s="57"/>
      <c r="R500" s="57"/>
      <c r="S500" s="57"/>
      <c r="T500" s="57"/>
      <c r="U500" s="57"/>
      <c r="V500" s="57"/>
      <c r="W500" s="57"/>
      <c r="X500" s="57"/>
      <c r="Y500" s="57"/>
      <c r="Z500" s="57"/>
    </row>
    <row r="501">
      <c r="A501" s="56" t="str">
        <f>IFERROR(__xludf.DUMMYFUNCTION("IF('AYIRA MINI MART FINAL MENU - Pr'!A501="""", """", IF(LEN(TRIM(REGEXREPLACE(REGEXREPLACE('AYIRA MINI MART FINAL MENU - Pr'!A501, ""^[^\x{0600}-\x{06FF}]+"", """"), ""^[-–\s]+"", """")))&gt;0, TRIM(REGEXREPLACE(REGEXREPLACE('AYIRA MINI MART FINAL MENU - Pr"&amp;"'!A501, ""^[^\x{0600}-\x{06FF}]+"", """"), ""^[-–\s]+"", """")), GOOGLETRANSLATE('AYIRA MINI MART FINAL MENU - Pr'!A501, ""en"", ""ar"")))"),"خالي من السكر 60 pcs")</f>
        <v>خالي من السكر 60 pcs</v>
      </c>
      <c r="B501" s="56" t="str">
        <f>IFERROR(__xludf.DUMMYFUNCTION("IF('AYIRA MINI MART FINAL MENU - Pr'!B501="""", """", IF(LEN(TRIM(REGEXREPLACE(REGEXREPLACE('AYIRA MINI MART FINAL MENU - Pr'!B501, ""^[^\x{0600}-\x{06FF}]+"", """"), ""^[-–\s]+"", """")))&gt;0, TRIM(REGEXREPLACE(REGEXREPLACE('AYIRA MINI MART FINAL MENU - Pr"&amp;"'!B501, ""^[^\x{0600}-\x{06FF}]+"", """"), ""^[-–\s]+"", """")), GOOGLETRANSLATE('AYIRA MINI MART FINAL MENU - Pr'!B501, ""en"", ""ar"")))"),"العلكة")</f>
        <v>العلكة</v>
      </c>
      <c r="C501" s="58">
        <f>IF('AYIRA MINI MART FINAL MENU - Pr'!C501="", "", 'AYIRA MINI MART FINAL MENU - Pr'!C501)</f>
        <v>15</v>
      </c>
      <c r="D501" s="58" t="str">
        <f>IF('AYIRA MINI MART FINAL MENU - Pr'!D501="", "", 'AYIRA MINI MART FINAL MENU - Pr'!D501)</f>
        <v>أضف لحظة حلوة إلى يومك مع إكسترا،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501" s="56" t="str">
        <f>IF('AYIRA MINI MART FINAL MENU - Pr'!E501="", "", 'AYIRA MINI MART FINAL MENU - Pr'!E501)</f>
        <v/>
      </c>
      <c r="F501" s="56" t="str">
        <f>IF('AYIRA MINI MART FINAL MENU - Pr'!F501="", "", 'AYIRA MINI MART FINAL MENU - Pr'!F501)</f>
        <v/>
      </c>
      <c r="G501" s="56" t="str">
        <f>IF('AYIRA MINI MART FINAL MENU - Pr'!G501="", "", 'AYIRA MINI MART FINAL MENU - Pr'!G501)</f>
        <v/>
      </c>
      <c r="H501" s="56" t="str">
        <f>IF('AYIRA MINI MART FINAL MENU - Pr'!H501="", "", 'AYIRA MINI MART FINAL MENU - Pr'!H501)</f>
        <v/>
      </c>
      <c r="I501" s="56" t="str">
        <f>IF('AYIRA MINI MART FINAL MENU - Pr'!I501="", "", 'AYIRA MINI MART FINAL MENU - Pr'!I501)</f>
        <v/>
      </c>
      <c r="J501" s="56" t="str">
        <f>IFERROR(__xludf.DUMMYFUNCTION("IF('AYIRA MINI MART FINAL MENU - Pr'!J501="""", """", GOOGLETRANSLATE('AYIRA MINI MART FINAL MENU - Pr'!J501, ""en"", ""ar""))"),"يعرض")</f>
        <v>يعرض</v>
      </c>
      <c r="K501" s="56" t="str">
        <f>IF('AYIRA MINI MART FINAL MENU - Pr'!K501="", "", 'AYIRA MINI MART FINAL MENU - Pr'!K501)</f>
        <v/>
      </c>
      <c r="L501" s="56" t="str">
        <f>IF('AYIRA MINI MART FINAL MENU - Pr'!L501="", "", 'AYIRA MINI MART FINAL MENU - Pr'!L501)</f>
        <v/>
      </c>
      <c r="M501" s="56" t="str">
        <f>IF('AYIRA MINI MART FINAL MENU - Pr'!M501="", "", 'AYIRA MINI MART FINAL MENU - Pr'!M501)</f>
        <v/>
      </c>
      <c r="N501" s="56" t="str">
        <f>IF('AYIRA MINI MART FINAL MENU - Pr'!N501="", "", 'AYIRA MINI MART FINAL MENU - Pr'!N501)</f>
        <v/>
      </c>
      <c r="O501" s="57"/>
      <c r="P501" s="57"/>
      <c r="Q501" s="57"/>
      <c r="R501" s="57"/>
      <c r="S501" s="57"/>
      <c r="T501" s="57"/>
      <c r="U501" s="57"/>
      <c r="V501" s="57"/>
      <c r="W501" s="57"/>
      <c r="X501" s="57"/>
      <c r="Y501" s="57"/>
      <c r="Z501" s="57"/>
    </row>
    <row r="502">
      <c r="A502" s="56" t="str">
        <f>IFERROR(__xludf.DUMMYFUNCTION("IF('AYIRA MINI MART FINAL MENU - Pr'!A502="""", """", IF(LEN(TRIM(REGEXREPLACE(REGEXREPLACE('AYIRA MINI MART FINAL MENU - Pr'!A502, ""^[^\x{0600}-\x{06FF}]+"", """"), ""^[-–\s]+"", """")))&gt;0, TRIM(REGEXREPLACE(REGEXREPLACE('AYIRA MINI MART FINAL MENU - Pr"&amp;"'!A502, ""^[^\x{0600}-\x{06FF}]+"", """"), ""^[-–\s]+"", """")), GOOGLETRANSLATE('AYIRA MINI MART FINAL MENU - Pr'!A502, ""en"", ""ar"")))"),"استوائي Flavour خالي من السكر 30 pcs")</f>
        <v>استوائي Flavour خالي من السكر 30 pcs</v>
      </c>
      <c r="B502" s="56" t="str">
        <f>IFERROR(__xludf.DUMMYFUNCTION("IF('AYIRA MINI MART FINAL MENU - Pr'!B502="""", """", IF(LEN(TRIM(REGEXREPLACE(REGEXREPLACE('AYIRA MINI MART FINAL MENU - Pr'!B502, ""^[^\x{0600}-\x{06FF}]+"", """"), ""^[-–\s]+"", """")))&gt;0, TRIM(REGEXREPLACE(REGEXREPLACE('AYIRA MINI MART FINAL MENU - Pr"&amp;"'!B502, ""^[^\x{0600}-\x{06FF}]+"", """"), ""^[-–\s]+"", """")), GOOGLETRANSLATE('AYIRA MINI MART FINAL MENU - Pr'!B502, ""en"", ""ar"")))"),"العلكة")</f>
        <v>العلكة</v>
      </c>
      <c r="C502" s="58">
        <f>IF('AYIRA MINI MART FINAL MENU - Pr'!C502="", "", 'AYIRA MINI MART FINAL MENU - Pr'!C502)</f>
        <v>16</v>
      </c>
      <c r="D502" s="58" t="str">
        <f>IF('AYIRA MINI MART FINAL MENU - Pr'!D502="", "", 'AYIRA MINI MART FINAL MENU - Pr'!D502)</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02" s="56" t="str">
        <f>IF('AYIRA MINI MART FINAL MENU - Pr'!E502="", "", 'AYIRA MINI MART FINAL MENU - Pr'!E502)</f>
        <v/>
      </c>
      <c r="F502" s="56" t="str">
        <f>IF('AYIRA MINI MART FINAL MENU - Pr'!F502="", "", 'AYIRA MINI MART FINAL MENU - Pr'!F502)</f>
        <v/>
      </c>
      <c r="G502" s="56" t="str">
        <f>IF('AYIRA MINI MART FINAL MENU - Pr'!G502="", "", 'AYIRA MINI MART FINAL MENU - Pr'!G502)</f>
        <v/>
      </c>
      <c r="H502" s="56" t="str">
        <f>IF('AYIRA MINI MART FINAL MENU - Pr'!H502="", "", 'AYIRA MINI MART FINAL MENU - Pr'!H502)</f>
        <v/>
      </c>
      <c r="I502" s="56" t="str">
        <f>IF('AYIRA MINI MART FINAL MENU - Pr'!I502="", "", 'AYIRA MINI MART FINAL MENU - Pr'!I502)</f>
        <v/>
      </c>
      <c r="J502" s="56" t="str">
        <f>IFERROR(__xludf.DUMMYFUNCTION("IF('AYIRA MINI MART FINAL MENU - Pr'!J502="""", """", GOOGLETRANSLATE('AYIRA MINI MART FINAL MENU - Pr'!J502, ""en"", ""ar""))"),"يعرض")</f>
        <v>يعرض</v>
      </c>
      <c r="K502" s="56" t="str">
        <f>IF('AYIRA MINI MART FINAL MENU - Pr'!K502="", "", 'AYIRA MINI MART FINAL MENU - Pr'!K502)</f>
        <v/>
      </c>
      <c r="L502" s="56" t="str">
        <f>IF('AYIRA MINI MART FINAL MENU - Pr'!L502="", "", 'AYIRA MINI MART FINAL MENU - Pr'!L502)</f>
        <v/>
      </c>
      <c r="M502" s="56" t="str">
        <f>IF('AYIRA MINI MART FINAL MENU - Pr'!M502="", "", 'AYIRA MINI MART FINAL MENU - Pr'!M502)</f>
        <v/>
      </c>
      <c r="N502" s="56" t="str">
        <f>IF('AYIRA MINI MART FINAL MENU - Pr'!N502="", "", 'AYIRA MINI MART FINAL MENU - Pr'!N502)</f>
        <v/>
      </c>
      <c r="O502" s="57"/>
      <c r="P502" s="57"/>
      <c r="Q502" s="57"/>
      <c r="R502" s="57"/>
      <c r="S502" s="57"/>
      <c r="T502" s="57"/>
      <c r="U502" s="57"/>
      <c r="V502" s="57"/>
      <c r="W502" s="57"/>
      <c r="X502" s="57"/>
      <c r="Y502" s="57"/>
      <c r="Z502" s="57"/>
    </row>
    <row r="503">
      <c r="A503" s="56" t="str">
        <f>IFERROR(__xludf.DUMMYFUNCTION("IF('AYIRA MINI MART FINAL MENU - Pr'!A503="""", """", IF(LEN(TRIM(REGEXREPLACE(REGEXREPLACE('AYIRA MINI MART FINAL MENU - Pr'!A503, ""^[^\x{0600}-\x{06FF}]+"", """"), ""^[-–\s]+"", """")))&gt;0, TRIM(REGEXREPLACE(REGEXREPLACE('AYIRA MINI MART FINAL MENU - Pr"&amp;"'!A503, ""^[^\x{0600}-\x{06FF}]+"", """"), ""^[-–\s]+"", """")), GOOGLETRANSLATE('AYIRA MINI MART FINAL MENU - Pr'!A503, ""en"", ""ar"")))"),"إكسترا نعناع أخضر 60 حبة")</f>
        <v>إكسترا نعناع أخضر 60 حبة</v>
      </c>
      <c r="B503" s="56" t="str">
        <f>IFERROR(__xludf.DUMMYFUNCTION("IF('AYIRA MINI MART FINAL MENU - Pr'!B503="""", """", IF(LEN(TRIM(REGEXREPLACE(REGEXREPLACE('AYIRA MINI MART FINAL MENU - Pr'!B503, ""^[^\x{0600}-\x{06FF}]+"", """"), ""^[-–\s]+"", """")))&gt;0, TRIM(REGEXREPLACE(REGEXREPLACE('AYIRA MINI MART FINAL MENU - Pr"&amp;"'!B503, ""^[^\x{0600}-\x{06FF}]+"", """"), ""^[-–\s]+"", """")), GOOGLETRANSLATE('AYIRA MINI MART FINAL MENU - Pr'!B503, ""en"", ""ar"")))"),"العلكة")</f>
        <v>العلكة</v>
      </c>
      <c r="C503" s="58">
        <f>IF('AYIRA MINI MART FINAL MENU - Pr'!C503="", "", 'AYIRA MINI MART FINAL MENU - Pr'!C503)</f>
        <v>15</v>
      </c>
      <c r="D503" s="58" t="str">
        <f>IF('AYIRA MINI MART FINAL MENU - Pr'!D503="", "", 'AYIRA MINI MART FINAL MENU - Pr'!D503)</f>
        <v>أضف لحظة حلوة إلى يومك مع إكسترا،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503" s="56" t="str">
        <f>IF('AYIRA MINI MART FINAL MENU - Pr'!E503="", "", 'AYIRA MINI MART FINAL MENU - Pr'!E503)</f>
        <v/>
      </c>
      <c r="F503" s="56" t="str">
        <f>IF('AYIRA MINI MART FINAL MENU - Pr'!F503="", "", 'AYIRA MINI MART FINAL MENU - Pr'!F503)</f>
        <v/>
      </c>
      <c r="G503" s="56" t="str">
        <f>IF('AYIRA MINI MART FINAL MENU - Pr'!G503="", "", 'AYIRA MINI MART FINAL MENU - Pr'!G503)</f>
        <v/>
      </c>
      <c r="H503" s="56" t="str">
        <f>IF('AYIRA MINI MART FINAL MENU - Pr'!H503="", "", 'AYIRA MINI MART FINAL MENU - Pr'!H503)</f>
        <v/>
      </c>
      <c r="I503" s="56" t="str">
        <f>IF('AYIRA MINI MART FINAL MENU - Pr'!I503="", "", 'AYIRA MINI MART FINAL MENU - Pr'!I503)</f>
        <v/>
      </c>
      <c r="J503" s="56" t="str">
        <f>IFERROR(__xludf.DUMMYFUNCTION("IF('AYIRA MINI MART FINAL MENU - Pr'!J503="""", """", GOOGLETRANSLATE('AYIRA MINI MART FINAL MENU - Pr'!J503, ""en"", ""ar""))"),"يعرض")</f>
        <v>يعرض</v>
      </c>
      <c r="K503" s="56" t="str">
        <f>IF('AYIRA MINI MART FINAL MENU - Pr'!K503="", "", 'AYIRA MINI MART FINAL MENU - Pr'!K503)</f>
        <v/>
      </c>
      <c r="L503" s="56" t="str">
        <f>IF('AYIRA MINI MART FINAL MENU - Pr'!L503="", "", 'AYIRA MINI MART FINAL MENU - Pr'!L503)</f>
        <v/>
      </c>
      <c r="M503" s="56" t="str">
        <f>IF('AYIRA MINI MART FINAL MENU - Pr'!M503="", "", 'AYIRA MINI MART FINAL MENU - Pr'!M503)</f>
        <v/>
      </c>
      <c r="N503" s="56" t="str">
        <f>IF('AYIRA MINI MART FINAL MENU - Pr'!N503="", "", 'AYIRA MINI MART FINAL MENU - Pr'!N503)</f>
        <v/>
      </c>
      <c r="O503" s="57"/>
      <c r="P503" s="57"/>
      <c r="Q503" s="57"/>
      <c r="R503" s="57"/>
      <c r="S503" s="57"/>
      <c r="T503" s="57"/>
      <c r="U503" s="57"/>
      <c r="V503" s="57"/>
      <c r="W503" s="57"/>
      <c r="X503" s="57"/>
      <c r="Y503" s="57"/>
      <c r="Z503" s="57"/>
    </row>
    <row r="504">
      <c r="A504" s="56" t="str">
        <f>IFERROR(__xludf.DUMMYFUNCTION("IF('AYIRA MINI MART FINAL MENU - Pr'!A504="""", """", IF(LEN(TRIM(REGEXREPLACE(REGEXREPLACE('AYIRA MINI MART FINAL MENU - Pr'!A504, ""^[^\x{0600}-\x{06FF}]+"", """"), ""^[-–\s]+"", """")))&gt;0, TRIM(REGEXREPLACE(REGEXREPLACE('AYIRA MINI MART FINAL MENU - Pr"&amp;"'!A504, ""^[^\x{0600}-\x{06FF}]+"", """"), ""^[-–\s]+"", """")), GOOGLETRANSLATE('AYIRA MINI MART FINAL MENU - Pr'!A504, ""en"", ""ar"")))"),"إيرويفز علكة 46 حبة")</f>
        <v>إيرويفز علكة 46 حبة</v>
      </c>
      <c r="B504" s="56" t="str">
        <f>IFERROR(__xludf.DUMMYFUNCTION("IF('AYIRA MINI MART FINAL MENU - Pr'!B504="""", """", IF(LEN(TRIM(REGEXREPLACE(REGEXREPLACE('AYIRA MINI MART FINAL MENU - Pr'!B504, ""^[^\x{0600}-\x{06FF}]+"", """"), ""^[-–\s]+"", """")))&gt;0, TRIM(REGEXREPLACE(REGEXREPLACE('AYIRA MINI MART FINAL MENU - Pr"&amp;"'!B504, ""^[^\x{0600}-\x{06FF}]+"", """"), ""^[-–\s]+"", """")), GOOGLETRANSLATE('AYIRA MINI MART FINAL MENU - Pr'!B504, ""en"", ""ar"")))"),"العلكة")</f>
        <v>العلكة</v>
      </c>
      <c r="C504" s="58">
        <f>IF('AYIRA MINI MART FINAL MENU - Pr'!C504="", "", 'AYIRA MINI MART FINAL MENU - Pr'!C504)</f>
        <v>12</v>
      </c>
      <c r="D504" s="58" t="str">
        <f>IF('AYIRA MINI MART FINAL MENU - Pr'!D504="", "", 'AYIRA MINI MART FINAL MENU - Pr'!D504)</f>
        <v>استمتع بـ Airwaves Chewing Gum 46 pcs،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04" s="56" t="str">
        <f>IF('AYIRA MINI MART FINAL MENU - Pr'!E504="", "", 'AYIRA MINI MART FINAL MENU - Pr'!E504)</f>
        <v/>
      </c>
      <c r="F504" s="56" t="str">
        <f>IF('AYIRA MINI MART FINAL MENU - Pr'!F504="", "", 'AYIRA MINI MART FINAL MENU - Pr'!F504)</f>
        <v/>
      </c>
      <c r="G504" s="56" t="str">
        <f>IF('AYIRA MINI MART FINAL MENU - Pr'!G504="", "", 'AYIRA MINI MART FINAL MENU - Pr'!G504)</f>
        <v/>
      </c>
      <c r="H504" s="56" t="str">
        <f>IF('AYIRA MINI MART FINAL MENU - Pr'!H504="", "", 'AYIRA MINI MART FINAL MENU - Pr'!H504)</f>
        <v/>
      </c>
      <c r="I504" s="56" t="str">
        <f>IF('AYIRA MINI MART FINAL MENU - Pr'!I504="", "", 'AYIRA MINI MART FINAL MENU - Pr'!I504)</f>
        <v/>
      </c>
      <c r="J504" s="56" t="str">
        <f>IFERROR(__xludf.DUMMYFUNCTION("IF('AYIRA MINI MART FINAL MENU - Pr'!J504="""", """", GOOGLETRANSLATE('AYIRA MINI MART FINAL MENU - Pr'!J504, ""en"", ""ar""))"),"يعرض")</f>
        <v>يعرض</v>
      </c>
      <c r="K504" s="56" t="str">
        <f>IF('AYIRA MINI MART FINAL MENU - Pr'!K504="", "", 'AYIRA MINI MART FINAL MENU - Pr'!K504)</f>
        <v/>
      </c>
      <c r="L504" s="56" t="str">
        <f>IF('AYIRA MINI MART FINAL MENU - Pr'!L504="", "", 'AYIRA MINI MART FINAL MENU - Pr'!L504)</f>
        <v/>
      </c>
      <c r="M504" s="56" t="str">
        <f>IF('AYIRA MINI MART FINAL MENU - Pr'!M504="", "", 'AYIRA MINI MART FINAL MENU - Pr'!M504)</f>
        <v/>
      </c>
      <c r="N504" s="56" t="str">
        <f>IF('AYIRA MINI MART FINAL MENU - Pr'!N504="", "", 'AYIRA MINI MART FINAL MENU - Pr'!N504)</f>
        <v/>
      </c>
      <c r="O504" s="57"/>
      <c r="P504" s="57"/>
      <c r="Q504" s="57"/>
      <c r="R504" s="57"/>
      <c r="S504" s="57"/>
      <c r="T504" s="57"/>
      <c r="U504" s="57"/>
      <c r="V504" s="57"/>
      <c r="W504" s="57"/>
      <c r="X504" s="57"/>
      <c r="Y504" s="57"/>
      <c r="Z504" s="57"/>
    </row>
    <row r="505">
      <c r="A505" s="56" t="str">
        <f>IFERROR(__xludf.DUMMYFUNCTION("IF('AYIRA MINI MART FINAL MENU - Pr'!A505="""", """", IF(LEN(TRIM(REGEXREPLACE(REGEXREPLACE('AYIRA MINI MART FINAL MENU - Pr'!A505, ""^[^\x{0600}-\x{06FF}]+"", """"), ""^[-–\s]+"", """")))&gt;0, TRIM(REGEXREPLACE(REGEXREPLACE('AYIRA MINI MART FINAL MENU - Pr"&amp;"'!A505, ""^[^\x{0600}-\x{06FF}]+"", """"), ""^[-–\s]+"", """")), GOOGLETRANSLATE('AYIRA MINI MART FINAL MENU - Pr'!A505, ""en"", ""ar"")))"),"إكسترا بابل مينت 60 حبة")</f>
        <v>إكسترا بابل مينت 60 حبة</v>
      </c>
      <c r="B505" s="56" t="str">
        <f>IFERROR(__xludf.DUMMYFUNCTION("IF('AYIRA MINI MART FINAL MENU - Pr'!B505="""", """", IF(LEN(TRIM(REGEXREPLACE(REGEXREPLACE('AYIRA MINI MART FINAL MENU - Pr'!B505, ""^[^\x{0600}-\x{06FF}]+"", """"), ""^[-–\s]+"", """")))&gt;0, TRIM(REGEXREPLACE(REGEXREPLACE('AYIRA MINI MART FINAL MENU - Pr"&amp;"'!B505, ""^[^\x{0600}-\x{06FF}]+"", """"), ""^[-–\s]+"", """")), GOOGLETRANSLATE('AYIRA MINI MART FINAL MENU - Pr'!B505, ""en"", ""ar"")))"),"العلكة")</f>
        <v>العلكة</v>
      </c>
      <c r="C505" s="58">
        <f>IF('AYIRA MINI MART FINAL MENU - Pr'!C505="", "", 'AYIRA MINI MART FINAL MENU - Pr'!C505)</f>
        <v>15</v>
      </c>
      <c r="D505" s="58" t="str">
        <f>IF('AYIRA MINI MART FINAL MENU - Pr'!D505="", "", 'AYIRA MINI MART FINAL MENU - Pr'!D505)</f>
        <v>أضف لحظة حلوة إلى يومك مع إكسترا،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505" s="56" t="str">
        <f>IF('AYIRA MINI MART FINAL MENU - Pr'!E505="", "", 'AYIRA MINI MART FINAL MENU - Pr'!E505)</f>
        <v/>
      </c>
      <c r="F505" s="56" t="str">
        <f>IF('AYIRA MINI MART FINAL MENU - Pr'!F505="", "", 'AYIRA MINI MART FINAL MENU - Pr'!F505)</f>
        <v/>
      </c>
      <c r="G505" s="56" t="str">
        <f>IF('AYIRA MINI MART FINAL MENU - Pr'!G505="", "", 'AYIRA MINI MART FINAL MENU - Pr'!G505)</f>
        <v/>
      </c>
      <c r="H505" s="56" t="str">
        <f>IF('AYIRA MINI MART FINAL MENU - Pr'!H505="", "", 'AYIRA MINI MART FINAL MENU - Pr'!H505)</f>
        <v/>
      </c>
      <c r="I505" s="56" t="str">
        <f>IF('AYIRA MINI MART FINAL MENU - Pr'!I505="", "", 'AYIRA MINI MART FINAL MENU - Pr'!I505)</f>
        <v/>
      </c>
      <c r="J505" s="56" t="str">
        <f>IFERROR(__xludf.DUMMYFUNCTION("IF('AYIRA MINI MART FINAL MENU - Pr'!J505="""", """", GOOGLETRANSLATE('AYIRA MINI MART FINAL MENU - Pr'!J505, ""en"", ""ar""))"),"يعرض")</f>
        <v>يعرض</v>
      </c>
      <c r="K505" s="56" t="str">
        <f>IF('AYIRA MINI MART FINAL MENU - Pr'!K505="", "", 'AYIRA MINI MART FINAL MENU - Pr'!K505)</f>
        <v/>
      </c>
      <c r="L505" s="56" t="str">
        <f>IF('AYIRA MINI MART FINAL MENU - Pr'!L505="", "", 'AYIRA MINI MART FINAL MENU - Pr'!L505)</f>
        <v/>
      </c>
      <c r="M505" s="56" t="str">
        <f>IF('AYIRA MINI MART FINAL MENU - Pr'!M505="", "", 'AYIRA MINI MART FINAL MENU - Pr'!M505)</f>
        <v/>
      </c>
      <c r="N505" s="56" t="str">
        <f>IF('AYIRA MINI MART FINAL MENU - Pr'!N505="", "", 'AYIRA MINI MART FINAL MENU - Pr'!N505)</f>
        <v/>
      </c>
      <c r="O505" s="57"/>
      <c r="P505" s="57"/>
      <c r="Q505" s="57"/>
      <c r="R505" s="57"/>
      <c r="S505" s="57"/>
      <c r="T505" s="57"/>
      <c r="U505" s="57"/>
      <c r="V505" s="57"/>
      <c r="W505" s="57"/>
      <c r="X505" s="57"/>
      <c r="Y505" s="57"/>
      <c r="Z505" s="57"/>
    </row>
    <row r="506">
      <c r="A506" s="56" t="str">
        <f>IFERROR(__xludf.DUMMYFUNCTION("IF('AYIRA MINI MART FINAL MENU - Pr'!A506="""", """", IF(LEN(TRIM(REGEXREPLACE(REGEXREPLACE('AYIRA MINI MART FINAL MENU - Pr'!A506, ""^[^\x{0600}-\x{06FF}]+"", """"), ""^[-–\s]+"", """")))&gt;0, TRIM(REGEXREPLACE(REGEXREPLACE('AYIRA MINI MART FINAL MENU - Pr"&amp;"'!A506, ""^[^\x{0600}-\x{06FF}]+"", """"), ""^[-–\s]+"", """")), GOOGLETRANSLATE('AYIRA MINI MART FINAL MENU - Pr'!A506, ""en"", ""ar"")))"),"إكسترا بطيخ 60 حبة")</f>
        <v>إكسترا بطيخ 60 حبة</v>
      </c>
      <c r="B506" s="56" t="str">
        <f>IFERROR(__xludf.DUMMYFUNCTION("IF('AYIRA MINI MART FINAL MENU - Pr'!B506="""", """", IF(LEN(TRIM(REGEXREPLACE(REGEXREPLACE('AYIRA MINI MART FINAL MENU - Pr'!B506, ""^[^\x{0600}-\x{06FF}]+"", """"), ""^[-–\s]+"", """")))&gt;0, TRIM(REGEXREPLACE(REGEXREPLACE('AYIRA MINI MART FINAL MENU - Pr"&amp;"'!B506, ""^[^\x{0600}-\x{06FF}]+"", """"), ""^[-–\s]+"", """")), GOOGLETRANSLATE('AYIRA MINI MART FINAL MENU - Pr'!B506, ""en"", ""ar"")))"),"العلكة")</f>
        <v>العلكة</v>
      </c>
      <c r="C506" s="58">
        <f>IF('AYIRA MINI MART FINAL MENU - Pr'!C506="", "", 'AYIRA MINI MART FINAL MENU - Pr'!C506)</f>
        <v>15</v>
      </c>
      <c r="D506" s="58" t="str">
        <f>IF('AYIRA MINI MART FINAL MENU - Pr'!D506="", "", 'AYIRA MINI MART FINAL MENU - Pr'!D506)</f>
        <v>اشرب إكسترا،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506" s="56" t="str">
        <f>IF('AYIRA MINI MART FINAL MENU - Pr'!E506="", "", 'AYIRA MINI MART FINAL MENU - Pr'!E506)</f>
        <v/>
      </c>
      <c r="F506" s="56" t="str">
        <f>IF('AYIRA MINI MART FINAL MENU - Pr'!F506="", "", 'AYIRA MINI MART FINAL MENU - Pr'!F506)</f>
        <v/>
      </c>
      <c r="G506" s="56" t="str">
        <f>IF('AYIRA MINI MART FINAL MENU - Pr'!G506="", "", 'AYIRA MINI MART FINAL MENU - Pr'!G506)</f>
        <v/>
      </c>
      <c r="H506" s="56" t="str">
        <f>IF('AYIRA MINI MART FINAL MENU - Pr'!H506="", "", 'AYIRA MINI MART FINAL MENU - Pr'!H506)</f>
        <v/>
      </c>
      <c r="I506" s="56" t="str">
        <f>IF('AYIRA MINI MART FINAL MENU - Pr'!I506="", "", 'AYIRA MINI MART FINAL MENU - Pr'!I506)</f>
        <v/>
      </c>
      <c r="J506" s="56" t="str">
        <f>IFERROR(__xludf.DUMMYFUNCTION("IF('AYIRA MINI MART FINAL MENU - Pr'!J506="""", """", GOOGLETRANSLATE('AYIRA MINI MART FINAL MENU - Pr'!J506, ""en"", ""ar""))"),"يعرض")</f>
        <v>يعرض</v>
      </c>
      <c r="K506" s="56" t="str">
        <f>IF('AYIRA MINI MART FINAL MENU - Pr'!K506="", "", 'AYIRA MINI MART FINAL MENU - Pr'!K506)</f>
        <v/>
      </c>
      <c r="L506" s="56" t="str">
        <f>IF('AYIRA MINI MART FINAL MENU - Pr'!L506="", "", 'AYIRA MINI MART FINAL MENU - Pr'!L506)</f>
        <v/>
      </c>
      <c r="M506" s="56" t="str">
        <f>IF('AYIRA MINI MART FINAL MENU - Pr'!M506="", "", 'AYIRA MINI MART FINAL MENU - Pr'!M506)</f>
        <v/>
      </c>
      <c r="N506" s="56" t="str">
        <f>IF('AYIRA MINI MART FINAL MENU - Pr'!N506="", "", 'AYIRA MINI MART FINAL MENU - Pr'!N506)</f>
        <v/>
      </c>
      <c r="O506" s="57"/>
      <c r="P506" s="57"/>
      <c r="Q506" s="57"/>
      <c r="R506" s="57"/>
      <c r="S506" s="57"/>
      <c r="T506" s="57"/>
      <c r="U506" s="57"/>
      <c r="V506" s="57"/>
      <c r="W506" s="57"/>
      <c r="X506" s="57"/>
      <c r="Y506" s="57"/>
      <c r="Z506" s="57"/>
    </row>
    <row r="507">
      <c r="A507" s="56" t="str">
        <f>IFERROR(__xludf.DUMMYFUNCTION("IF('AYIRA MINI MART FINAL MENU - Pr'!A507="""", """", IF(LEN(TRIM(REGEXREPLACE(REGEXREPLACE('AYIRA MINI MART FINAL MENU - Pr'!A507, ""^[^\x{0600}-\x{06FF}]+"", """"), ""^[-–\s]+"", """")))&gt;0, TRIM(REGEXREPLACE(REGEXREPLACE('AYIRA MINI MART FINAL MENU - Pr"&amp;"'!A507, ""^[^\x{0600}-\x{06FF}]+"", """"), ""^[-–\s]+"", """")), GOOGLETRANSLATE('AYIRA MINI MART FINAL MENU - Pr'!A507, ""en"", ""ar"")))"),"خالي من السكر 30 pcs")</f>
        <v>خالي من السكر 30 pcs</v>
      </c>
      <c r="B507" s="56" t="str">
        <f>IFERROR(__xludf.DUMMYFUNCTION("IF('AYIRA MINI MART FINAL MENU - Pr'!B507="""", """", IF(LEN(TRIM(REGEXREPLACE(REGEXREPLACE('AYIRA MINI MART FINAL MENU - Pr'!B507, ""^[^\x{0600}-\x{06FF}]+"", """"), ""^[-–\s]+"", """")))&gt;0, TRIM(REGEXREPLACE(REGEXREPLACE('AYIRA MINI MART FINAL MENU - Pr"&amp;"'!B507, ""^[^\x{0600}-\x{06FF}]+"", """"), ""^[-–\s]+"", """")), GOOGLETRANSLATE('AYIRA MINI MART FINAL MENU - Pr'!B507, ""en"", ""ar"")))"),"العلكة")</f>
        <v>العلكة</v>
      </c>
      <c r="C507" s="58">
        <f>IF('AYIRA MINI MART FINAL MENU - Pr'!C507="", "", 'AYIRA MINI MART FINAL MENU - Pr'!C507)</f>
        <v>15</v>
      </c>
      <c r="D507" s="58" t="str">
        <f>IF('AYIRA MINI MART FINAL MENU - Pr'!D507="", "", 'AYIRA MINI MART FINAL MENU - Pr'!D507)</f>
        <v>أضف لحظة حلوة إلى يومك مع إكسترا،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507" s="56" t="str">
        <f>IF('AYIRA MINI MART FINAL MENU - Pr'!E507="", "", 'AYIRA MINI MART FINAL MENU - Pr'!E507)</f>
        <v/>
      </c>
      <c r="F507" s="56" t="str">
        <f>IF('AYIRA MINI MART FINAL MENU - Pr'!F507="", "", 'AYIRA MINI MART FINAL MENU - Pr'!F507)</f>
        <v/>
      </c>
      <c r="G507" s="56" t="str">
        <f>IF('AYIRA MINI MART FINAL MENU - Pr'!G507="", "", 'AYIRA MINI MART FINAL MENU - Pr'!G507)</f>
        <v/>
      </c>
      <c r="H507" s="56" t="str">
        <f>IF('AYIRA MINI MART FINAL MENU - Pr'!H507="", "", 'AYIRA MINI MART FINAL MENU - Pr'!H507)</f>
        <v/>
      </c>
      <c r="I507" s="56" t="str">
        <f>IF('AYIRA MINI MART FINAL MENU - Pr'!I507="", "", 'AYIRA MINI MART FINAL MENU - Pr'!I507)</f>
        <v/>
      </c>
      <c r="J507" s="56" t="str">
        <f>IFERROR(__xludf.DUMMYFUNCTION("IF('AYIRA MINI MART FINAL MENU - Pr'!J507="""", """", GOOGLETRANSLATE('AYIRA MINI MART FINAL MENU - Pr'!J507, ""en"", ""ar""))"),"يعرض")</f>
        <v>يعرض</v>
      </c>
      <c r="K507" s="56" t="str">
        <f>IF('AYIRA MINI MART FINAL MENU - Pr'!K507="", "", 'AYIRA MINI MART FINAL MENU - Pr'!K507)</f>
        <v/>
      </c>
      <c r="L507" s="56" t="str">
        <f>IF('AYIRA MINI MART FINAL MENU - Pr'!L507="", "", 'AYIRA MINI MART FINAL MENU - Pr'!L507)</f>
        <v/>
      </c>
      <c r="M507" s="56" t="str">
        <f>IF('AYIRA MINI MART FINAL MENU - Pr'!M507="", "", 'AYIRA MINI MART FINAL MENU - Pr'!M507)</f>
        <v/>
      </c>
      <c r="N507" s="56" t="str">
        <f>IF('AYIRA MINI MART FINAL MENU - Pr'!N507="", "", 'AYIRA MINI MART FINAL MENU - Pr'!N507)</f>
        <v/>
      </c>
      <c r="O507" s="57"/>
      <c r="P507" s="57"/>
      <c r="Q507" s="57"/>
      <c r="R507" s="57"/>
      <c r="S507" s="57"/>
      <c r="T507" s="57"/>
      <c r="U507" s="57"/>
      <c r="V507" s="57"/>
      <c r="W507" s="57"/>
      <c r="X507" s="57"/>
      <c r="Y507" s="57"/>
      <c r="Z507" s="57"/>
    </row>
    <row r="508">
      <c r="A508" s="56" t="str">
        <f>IFERROR(__xludf.DUMMYFUNCTION("IF('AYIRA MINI MART FINAL MENU - Pr'!A508="""", """", IF(LEN(TRIM(REGEXREPLACE(REGEXREPLACE('AYIRA MINI MART FINAL MENU - Pr'!A508, ""^[^\x{0600}-\x{06FF}]+"", """"), ""^[-–\s]+"", """")))&gt;0, TRIM(REGEXREPLACE(REGEXREPLACE('AYIRA MINI MART FINAL MENU - Pr"&amp;"'!A508, ""^[^\x{0600}-\x{06FF}]+"", """"), ""^[-–\s]+"", """")), GOOGLETRANSLATE('AYIRA MINI MART FINAL MENU - Pr'!A508, ""en"", ""ar"")))"),"إكسترا توت أزرق 60 حبة")</f>
        <v>إكسترا توت أزرق 60 حبة</v>
      </c>
      <c r="B508" s="56" t="str">
        <f>IFERROR(__xludf.DUMMYFUNCTION("IF('AYIRA MINI MART FINAL MENU - Pr'!B508="""", """", IF(LEN(TRIM(REGEXREPLACE(REGEXREPLACE('AYIRA MINI MART FINAL MENU - Pr'!B508, ""^[^\x{0600}-\x{06FF}]+"", """"), ""^[-–\s]+"", """")))&gt;0, TRIM(REGEXREPLACE(REGEXREPLACE('AYIRA MINI MART FINAL MENU - Pr"&amp;"'!B508, ""^[^\x{0600}-\x{06FF}]+"", """"), ""^[-–\s]+"", """")), GOOGLETRANSLATE('AYIRA MINI MART FINAL MENU - Pr'!B508, ""en"", ""ar"")))"),"العلكة")</f>
        <v>العلكة</v>
      </c>
      <c r="C508" s="58">
        <f>IF('AYIRA MINI MART FINAL MENU - Pr'!C508="", "", 'AYIRA MINI MART FINAL MENU - Pr'!C508)</f>
        <v>15</v>
      </c>
      <c r="D508" s="58" t="str">
        <f>IF('AYIRA MINI MART FINAL MENU - Pr'!D508="", "", 'AYIRA MINI MART FINAL MENU - Pr'!D508)</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08" s="56" t="str">
        <f>IF('AYIRA MINI MART FINAL MENU - Pr'!E508="", "", 'AYIRA MINI MART FINAL MENU - Pr'!E508)</f>
        <v/>
      </c>
      <c r="F508" s="56" t="str">
        <f>IF('AYIRA MINI MART FINAL MENU - Pr'!F508="", "", 'AYIRA MINI MART FINAL MENU - Pr'!F508)</f>
        <v/>
      </c>
      <c r="G508" s="56" t="str">
        <f>IF('AYIRA MINI MART FINAL MENU - Pr'!G508="", "", 'AYIRA MINI MART FINAL MENU - Pr'!G508)</f>
        <v/>
      </c>
      <c r="H508" s="56" t="str">
        <f>IF('AYIRA MINI MART FINAL MENU - Pr'!H508="", "", 'AYIRA MINI MART FINAL MENU - Pr'!H508)</f>
        <v/>
      </c>
      <c r="I508" s="56" t="str">
        <f>IF('AYIRA MINI MART FINAL MENU - Pr'!I508="", "", 'AYIRA MINI MART FINAL MENU - Pr'!I508)</f>
        <v/>
      </c>
      <c r="J508" s="56" t="str">
        <f>IFERROR(__xludf.DUMMYFUNCTION("IF('AYIRA MINI MART FINAL MENU - Pr'!J508="""", """", GOOGLETRANSLATE('AYIRA MINI MART FINAL MENU - Pr'!J508, ""en"", ""ar""))"),"يعرض")</f>
        <v>يعرض</v>
      </c>
      <c r="K508" s="56" t="str">
        <f>IF('AYIRA MINI MART FINAL MENU - Pr'!K508="", "", 'AYIRA MINI MART FINAL MENU - Pr'!K508)</f>
        <v/>
      </c>
      <c r="L508" s="56" t="str">
        <f>IF('AYIRA MINI MART FINAL MENU - Pr'!L508="", "", 'AYIRA MINI MART FINAL MENU - Pr'!L508)</f>
        <v/>
      </c>
      <c r="M508" s="56" t="str">
        <f>IF('AYIRA MINI MART FINAL MENU - Pr'!M508="", "", 'AYIRA MINI MART FINAL MENU - Pr'!M508)</f>
        <v/>
      </c>
      <c r="N508" s="56" t="str">
        <f>IF('AYIRA MINI MART FINAL MENU - Pr'!N508="", "", 'AYIRA MINI MART FINAL MENU - Pr'!N508)</f>
        <v/>
      </c>
      <c r="O508" s="57"/>
      <c r="P508" s="57"/>
      <c r="Q508" s="57"/>
      <c r="R508" s="57"/>
      <c r="S508" s="57"/>
      <c r="T508" s="57"/>
      <c r="U508" s="57"/>
      <c r="V508" s="57"/>
      <c r="W508" s="57"/>
      <c r="X508" s="57"/>
      <c r="Y508" s="57"/>
      <c r="Z508" s="57"/>
    </row>
    <row r="509">
      <c r="A509" s="56" t="str">
        <f>IFERROR(__xludf.DUMMYFUNCTION("IF('AYIRA MINI MART FINAL MENU - Pr'!A509="""", """", IF(LEN(TRIM(REGEXREPLACE(REGEXREPLACE('AYIRA MINI MART FINAL MENU - Pr'!A509, ""^[^\x{0600}-\x{06FF}]+"", """"), ""^[-–\s]+"", """")))&gt;0, TRIM(REGEXREPLACE(REGEXREPLACE('AYIRA MINI MART FINAL MENU - Pr"&amp;"'!A509, ""^[^\x{0600}-\x{06FF}]+"", """"), ""^[-–\s]+"", """")), GOOGLETRANSLATE('AYIRA MINI MART FINAL MENU - Pr'!A509, ""en"", ""ar"")))"),"خالي من السكر 30 pcs")</f>
        <v>خالي من السكر 30 pcs</v>
      </c>
      <c r="B509" s="56" t="str">
        <f>IFERROR(__xludf.DUMMYFUNCTION("IF('AYIRA MINI MART FINAL MENU - Pr'!B509="""", """", IF(LEN(TRIM(REGEXREPLACE(REGEXREPLACE('AYIRA MINI MART FINAL MENU - Pr'!B509, ""^[^\x{0600}-\x{06FF}]+"", """"), ""^[-–\s]+"", """")))&gt;0, TRIM(REGEXREPLACE(REGEXREPLACE('AYIRA MINI MART FINAL MENU - Pr"&amp;"'!B509, ""^[^\x{0600}-\x{06FF}]+"", """"), ""^[-–\s]+"", """")), GOOGLETRANSLATE('AYIRA MINI MART FINAL MENU - Pr'!B509, ""en"", ""ar"")))"),"العلكة")</f>
        <v>العلكة</v>
      </c>
      <c r="C509" s="58">
        <f>IF('AYIRA MINI MART FINAL MENU - Pr'!C509="", "", 'AYIRA MINI MART FINAL MENU - Pr'!C509)</f>
        <v>16</v>
      </c>
      <c r="D509" s="58" t="str">
        <f>IF('AYIRA MINI MART FINAL MENU - Pr'!D509="", "", 'AYIRA MINI MART FINAL MENU - Pr'!D509)</f>
        <v>اشرب إكسترا،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509" s="56" t="str">
        <f>IF('AYIRA MINI MART FINAL MENU - Pr'!E509="", "", 'AYIRA MINI MART FINAL MENU - Pr'!E509)</f>
        <v/>
      </c>
      <c r="F509" s="56" t="str">
        <f>IF('AYIRA MINI MART FINAL MENU - Pr'!F509="", "", 'AYIRA MINI MART FINAL MENU - Pr'!F509)</f>
        <v/>
      </c>
      <c r="G509" s="56" t="str">
        <f>IF('AYIRA MINI MART FINAL MENU - Pr'!G509="", "", 'AYIRA MINI MART FINAL MENU - Pr'!G509)</f>
        <v/>
      </c>
      <c r="H509" s="56" t="str">
        <f>IF('AYIRA MINI MART FINAL MENU - Pr'!H509="", "", 'AYIRA MINI MART FINAL MENU - Pr'!H509)</f>
        <v/>
      </c>
      <c r="I509" s="56" t="str">
        <f>IF('AYIRA MINI MART FINAL MENU - Pr'!I509="", "", 'AYIRA MINI MART FINAL MENU - Pr'!I509)</f>
        <v/>
      </c>
      <c r="J509" s="56" t="str">
        <f>IFERROR(__xludf.DUMMYFUNCTION("IF('AYIRA MINI MART FINAL MENU - Pr'!J509="""", """", GOOGLETRANSLATE('AYIRA MINI MART FINAL MENU - Pr'!J509, ""en"", ""ar""))"),"يعرض")</f>
        <v>يعرض</v>
      </c>
      <c r="K509" s="56" t="str">
        <f>IF('AYIRA MINI MART FINAL MENU - Pr'!K509="", "", 'AYIRA MINI MART FINAL MENU - Pr'!K509)</f>
        <v/>
      </c>
      <c r="L509" s="56" t="str">
        <f>IF('AYIRA MINI MART FINAL MENU - Pr'!L509="", "", 'AYIRA MINI MART FINAL MENU - Pr'!L509)</f>
        <v/>
      </c>
      <c r="M509" s="56" t="str">
        <f>IF('AYIRA MINI MART FINAL MENU - Pr'!M509="", "", 'AYIRA MINI MART FINAL MENU - Pr'!M509)</f>
        <v/>
      </c>
      <c r="N509" s="56" t="str">
        <f>IF('AYIRA MINI MART FINAL MENU - Pr'!N509="", "", 'AYIRA MINI MART FINAL MENU - Pr'!N509)</f>
        <v/>
      </c>
      <c r="O509" s="57"/>
      <c r="P509" s="57"/>
      <c r="Q509" s="57"/>
      <c r="R509" s="57"/>
      <c r="S509" s="57"/>
      <c r="T509" s="57"/>
      <c r="U509" s="57"/>
      <c r="V509" s="57"/>
      <c r="W509" s="57"/>
      <c r="X509" s="57"/>
      <c r="Y509" s="57"/>
      <c r="Z509" s="57"/>
    </row>
    <row r="510">
      <c r="A510" s="56" t="str">
        <f>IFERROR(__xludf.DUMMYFUNCTION("IF('AYIRA MINI MART FINAL MENU - Pr'!A510="""", """", IF(LEN(TRIM(REGEXREPLACE(REGEXREPLACE('AYIRA MINI MART FINAL MENU - Pr'!A510, ""^[^\x{0600}-\x{06FF}]+"", """"), ""^[-–\s]+"", """")))&gt;0, TRIM(REGEXREPLACE(REGEXREPLACE('AYIRA MINI MART FINAL MENU - Pr"&amp;"'!A510, ""^[^\x{0600}-\x{06FF}]+"", """"), ""^[-–\s]+"", """")), GOOGLETRANSLATE('AYIRA MINI MART FINAL MENU - Pr'!A510, ""en"", ""ar"")))"),"فراولة Flavour 60 pcs")</f>
        <v>فراولة Flavour 60 pcs</v>
      </c>
      <c r="B510" s="56" t="str">
        <f>IFERROR(__xludf.DUMMYFUNCTION("IF('AYIRA MINI MART FINAL MENU - Pr'!B510="""", """", IF(LEN(TRIM(REGEXREPLACE(REGEXREPLACE('AYIRA MINI MART FINAL MENU - Pr'!B510, ""^[^\x{0600}-\x{06FF}]+"", """"), ""^[-–\s]+"", """")))&gt;0, TRIM(REGEXREPLACE(REGEXREPLACE('AYIRA MINI MART FINAL MENU - Pr"&amp;"'!B510, ""^[^\x{0600}-\x{06FF}]+"", """"), ""^[-–\s]+"", """")), GOOGLETRANSLATE('AYIRA MINI MART FINAL MENU - Pr'!B510, ""en"", ""ar"")))"),"العلكة")</f>
        <v>العلكة</v>
      </c>
      <c r="C510" s="58">
        <f>IF('AYIRA MINI MART FINAL MENU - Pr'!C510="", "", 'AYIRA MINI MART FINAL MENU - Pr'!C510)</f>
        <v>15</v>
      </c>
      <c r="D510" s="58" t="str">
        <f>IF('AYIRA MINI MART FINAL MENU - Pr'!D510="", "", 'AYIRA MINI MART FINAL MENU - Pr'!D510)</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10" s="56" t="str">
        <f>IF('AYIRA MINI MART FINAL MENU - Pr'!E510="", "", 'AYIRA MINI MART FINAL MENU - Pr'!E510)</f>
        <v/>
      </c>
      <c r="F510" s="56" t="str">
        <f>IF('AYIRA MINI MART FINAL MENU - Pr'!F510="", "", 'AYIRA MINI MART FINAL MENU - Pr'!F510)</f>
        <v/>
      </c>
      <c r="G510" s="56" t="str">
        <f>IF('AYIRA MINI MART FINAL MENU - Pr'!G510="", "", 'AYIRA MINI MART FINAL MENU - Pr'!G510)</f>
        <v/>
      </c>
      <c r="H510" s="56" t="str">
        <f>IF('AYIRA MINI MART FINAL MENU - Pr'!H510="", "", 'AYIRA MINI MART FINAL MENU - Pr'!H510)</f>
        <v/>
      </c>
      <c r="I510" s="56" t="str">
        <f>IF('AYIRA MINI MART FINAL MENU - Pr'!I510="", "", 'AYIRA MINI MART FINAL MENU - Pr'!I510)</f>
        <v/>
      </c>
      <c r="J510" s="56" t="str">
        <f>IFERROR(__xludf.DUMMYFUNCTION("IF('AYIRA MINI MART FINAL MENU - Pr'!J510="""", """", GOOGLETRANSLATE('AYIRA MINI MART FINAL MENU - Pr'!J510, ""en"", ""ar""))"),"يعرض")</f>
        <v>يعرض</v>
      </c>
      <c r="K510" s="56" t="str">
        <f>IF('AYIRA MINI MART FINAL MENU - Pr'!K510="", "", 'AYIRA MINI MART FINAL MENU - Pr'!K510)</f>
        <v/>
      </c>
      <c r="L510" s="56" t="str">
        <f>IF('AYIRA MINI MART FINAL MENU - Pr'!L510="", "", 'AYIRA MINI MART FINAL MENU - Pr'!L510)</f>
        <v/>
      </c>
      <c r="M510" s="56" t="str">
        <f>IF('AYIRA MINI MART FINAL MENU - Pr'!M510="", "", 'AYIRA MINI MART FINAL MENU - Pr'!M510)</f>
        <v/>
      </c>
      <c r="N510" s="56" t="str">
        <f>IF('AYIRA MINI MART FINAL MENU - Pr'!N510="", "", 'AYIRA MINI MART FINAL MENU - Pr'!N510)</f>
        <v/>
      </c>
      <c r="O510" s="57"/>
      <c r="P510" s="57"/>
      <c r="Q510" s="57"/>
      <c r="R510" s="57"/>
      <c r="S510" s="57"/>
      <c r="T510" s="57"/>
      <c r="U510" s="57"/>
      <c r="V510" s="57"/>
      <c r="W510" s="57"/>
      <c r="X510" s="57"/>
      <c r="Y510" s="57"/>
      <c r="Z510" s="57"/>
    </row>
    <row r="511">
      <c r="A511" s="56" t="str">
        <f>IFERROR(__xludf.DUMMYFUNCTION("IF('AYIRA MINI MART FINAL MENU - Pr'!A511="""", """", IF(LEN(TRIM(REGEXREPLACE(REGEXREPLACE('AYIRA MINI MART FINAL MENU - Pr'!A511, ""^[^\x{0600}-\x{06FF}]+"", """"), ""^[-–\s]+"", """")))&gt;0, TRIM(REGEXREPLACE(REGEXREPLACE('AYIRA MINI MART FINAL MENU - Pr"&amp;"'!A511, ""^[^\x{0600}-\x{06FF}]+"", """"), ""^[-–\s]+"", """")), GOOGLETRANSLATE('AYIRA MINI MART FINAL MENU - Pr'!A511, ""en"", ""ar"")))"),"خالي من السكر 30 pcs")</f>
        <v>خالي من السكر 30 pcs</v>
      </c>
      <c r="B511" s="56" t="str">
        <f>IFERROR(__xludf.DUMMYFUNCTION("IF('AYIRA MINI MART FINAL MENU - Pr'!B511="""", """", IF(LEN(TRIM(REGEXREPLACE(REGEXREPLACE('AYIRA MINI MART FINAL MENU - Pr'!B511, ""^[^\x{0600}-\x{06FF}]+"", """"), ""^[-–\s]+"", """")))&gt;0, TRIM(REGEXREPLACE(REGEXREPLACE('AYIRA MINI MART FINAL MENU - Pr"&amp;"'!B511, ""^[^\x{0600}-\x{06FF}]+"", """"), ""^[-–\s]+"", """")), GOOGLETRANSLATE('AYIRA MINI MART FINAL MENU - Pr'!B511, ""en"", ""ar"")))"),"العلكة")</f>
        <v>العلكة</v>
      </c>
      <c r="C511" s="58">
        <f>IF('AYIRA MINI MART FINAL MENU - Pr'!C511="", "", 'AYIRA MINI MART FINAL MENU - Pr'!C511)</f>
        <v>16</v>
      </c>
      <c r="D511" s="58" t="str">
        <f>IF('AYIRA MINI MART FINAL MENU - Pr'!D511="", "", 'AYIRA MINI MART FINAL MENU - Pr'!D511)</f>
        <v>أضف لحظة حلوة إلى يومك مع إكسترا،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511" s="56" t="str">
        <f>IF('AYIRA MINI MART FINAL MENU - Pr'!E511="", "", 'AYIRA MINI MART FINAL MENU - Pr'!E511)</f>
        <v/>
      </c>
      <c r="F511" s="56" t="str">
        <f>IF('AYIRA MINI MART FINAL MENU - Pr'!F511="", "", 'AYIRA MINI MART FINAL MENU - Pr'!F511)</f>
        <v/>
      </c>
      <c r="G511" s="56" t="str">
        <f>IF('AYIRA MINI MART FINAL MENU - Pr'!G511="", "", 'AYIRA MINI MART FINAL MENU - Pr'!G511)</f>
        <v/>
      </c>
      <c r="H511" s="56" t="str">
        <f>IF('AYIRA MINI MART FINAL MENU - Pr'!H511="", "", 'AYIRA MINI MART FINAL MENU - Pr'!H511)</f>
        <v/>
      </c>
      <c r="I511" s="56" t="str">
        <f>IF('AYIRA MINI MART FINAL MENU - Pr'!I511="", "", 'AYIRA MINI MART FINAL MENU - Pr'!I511)</f>
        <v/>
      </c>
      <c r="J511" s="56" t="str">
        <f>IFERROR(__xludf.DUMMYFUNCTION("IF('AYIRA MINI MART FINAL MENU - Pr'!J511="""", """", GOOGLETRANSLATE('AYIRA MINI MART FINAL MENU - Pr'!J511, ""en"", ""ar""))"),"يعرض")</f>
        <v>يعرض</v>
      </c>
      <c r="K511" s="56" t="str">
        <f>IF('AYIRA MINI MART FINAL MENU - Pr'!K511="", "", 'AYIRA MINI MART FINAL MENU - Pr'!K511)</f>
        <v/>
      </c>
      <c r="L511" s="56" t="str">
        <f>IF('AYIRA MINI MART FINAL MENU - Pr'!L511="", "", 'AYIRA MINI MART FINAL MENU - Pr'!L511)</f>
        <v/>
      </c>
      <c r="M511" s="56" t="str">
        <f>IF('AYIRA MINI MART FINAL MENU - Pr'!M511="", "", 'AYIRA MINI MART FINAL MENU - Pr'!M511)</f>
        <v/>
      </c>
      <c r="N511" s="56" t="str">
        <f>IF('AYIRA MINI MART FINAL MENU - Pr'!N511="", "", 'AYIRA MINI MART FINAL MENU - Pr'!N511)</f>
        <v/>
      </c>
      <c r="O511" s="57"/>
      <c r="P511" s="57"/>
      <c r="Q511" s="57"/>
      <c r="R511" s="57"/>
      <c r="S511" s="57"/>
      <c r="T511" s="57"/>
      <c r="U511" s="57"/>
      <c r="V511" s="57"/>
      <c r="W511" s="57"/>
      <c r="X511" s="57"/>
      <c r="Y511" s="57"/>
      <c r="Z511" s="57"/>
    </row>
    <row r="512">
      <c r="A512" s="56" t="str">
        <f>IFERROR(__xludf.DUMMYFUNCTION("IF('AYIRA MINI MART FINAL MENU - Pr'!A512="""", """", IF(LEN(TRIM(REGEXREPLACE(REGEXREPLACE('AYIRA MINI MART FINAL MENU - Pr'!A512, ""^[^\x{0600}-\x{06FF}]+"", """"), ""^[-–\s]+"", """")))&gt;0, TRIM(REGEXREPLACE(REGEXREPLACE('AYIRA MINI MART FINAL MENU - Pr"&amp;"'!A512, ""^[^\x{0600}-\x{06FF}]+"", """"), ""^[-–\s]+"", """")), GOOGLETRANSLATE('AYIRA MINI MART FINAL MENU - Pr'!A512, ""en"", ""ar"")))"),"إكسترا ميغا نعناع علكة 23 قطعة")</f>
        <v>إكسترا ميغا نعناع علكة 23 قطعة</v>
      </c>
      <c r="B512" s="56" t="str">
        <f>IFERROR(__xludf.DUMMYFUNCTION("IF('AYIRA MINI MART FINAL MENU - Pr'!B512="""", """", IF(LEN(TRIM(REGEXREPLACE(REGEXREPLACE('AYIRA MINI MART FINAL MENU - Pr'!B512, ""^[^\x{0600}-\x{06FF}]+"", """"), ""^[-–\s]+"", """")))&gt;0, TRIM(REGEXREPLACE(REGEXREPLACE('AYIRA MINI MART FINAL MENU - Pr"&amp;"'!B512, ""^[^\x{0600}-\x{06FF}]+"", """"), ""^[-–\s]+"", """")), GOOGLETRANSLATE('AYIRA MINI MART FINAL MENU - Pr'!B512, ""en"", ""ar"")))"),"العلكة")</f>
        <v>العلكة</v>
      </c>
      <c r="C512" s="58">
        <f>IF('AYIRA MINI MART FINAL MENU - Pr'!C512="", "", 'AYIRA MINI MART FINAL MENU - Pr'!C512)</f>
        <v>12.5</v>
      </c>
      <c r="D512" s="58" t="str">
        <f>IF('AYIRA MINI MART FINAL MENU - Pr'!D512="", "", 'AYIRA MINI MART FINAL MENU - Pr'!D512)</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12" s="56" t="str">
        <f>IF('AYIRA MINI MART FINAL MENU - Pr'!E512="", "", 'AYIRA MINI MART FINAL MENU - Pr'!E512)</f>
        <v/>
      </c>
      <c r="F512" s="56" t="str">
        <f>IF('AYIRA MINI MART FINAL MENU - Pr'!F512="", "", 'AYIRA MINI MART FINAL MENU - Pr'!F512)</f>
        <v/>
      </c>
      <c r="G512" s="56" t="str">
        <f>IF('AYIRA MINI MART FINAL MENU - Pr'!G512="", "", 'AYIRA MINI MART FINAL MENU - Pr'!G512)</f>
        <v/>
      </c>
      <c r="H512" s="56" t="str">
        <f>IF('AYIRA MINI MART FINAL MENU - Pr'!H512="", "", 'AYIRA MINI MART FINAL MENU - Pr'!H512)</f>
        <v/>
      </c>
      <c r="I512" s="56" t="str">
        <f>IF('AYIRA MINI MART FINAL MENU - Pr'!I512="", "", 'AYIRA MINI MART FINAL MENU - Pr'!I512)</f>
        <v/>
      </c>
      <c r="J512" s="56" t="str">
        <f>IFERROR(__xludf.DUMMYFUNCTION("IF('AYIRA MINI MART FINAL MENU - Pr'!J512="""", """", GOOGLETRANSLATE('AYIRA MINI MART FINAL MENU - Pr'!J512, ""en"", ""ar""))"),"يعرض")</f>
        <v>يعرض</v>
      </c>
      <c r="K512" s="56" t="str">
        <f>IF('AYIRA MINI MART FINAL MENU - Pr'!K512="", "", 'AYIRA MINI MART FINAL MENU - Pr'!K512)</f>
        <v/>
      </c>
      <c r="L512" s="56" t="str">
        <f>IF('AYIRA MINI MART FINAL MENU - Pr'!L512="", "", 'AYIRA MINI MART FINAL MENU - Pr'!L512)</f>
        <v/>
      </c>
      <c r="M512" s="56" t="str">
        <f>IF('AYIRA MINI MART FINAL MENU - Pr'!M512="", "", 'AYIRA MINI MART FINAL MENU - Pr'!M512)</f>
        <v/>
      </c>
      <c r="N512" s="56" t="str">
        <f>IF('AYIRA MINI MART FINAL MENU - Pr'!N512="", "", 'AYIRA MINI MART FINAL MENU - Pr'!N512)</f>
        <v/>
      </c>
      <c r="O512" s="57"/>
      <c r="P512" s="57"/>
      <c r="Q512" s="57"/>
      <c r="R512" s="57"/>
      <c r="S512" s="57"/>
      <c r="T512" s="57"/>
      <c r="U512" s="57"/>
      <c r="V512" s="57"/>
      <c r="W512" s="57"/>
      <c r="X512" s="57"/>
      <c r="Y512" s="57"/>
      <c r="Z512" s="57"/>
    </row>
    <row r="513">
      <c r="A513" s="56" t="str">
        <f>IFERROR(__xludf.DUMMYFUNCTION("IF('AYIRA MINI MART FINAL MENU - Pr'!A513="""", """", IF(LEN(TRIM(REGEXREPLACE(REGEXREPLACE('AYIRA MINI MART FINAL MENU - Pr'!A513, ""^[^\x{0600}-\x{06FF}]+"", """"), ""^[-–\s]+"", """")))&gt;0, TRIM(REGEXREPLACE(REGEXREPLACE('AYIRA MINI MART FINAL MENU - Pr"&amp;"'!A513, ""^[^\x{0600}-\x{06FF}]+"", """"), ""^[-–\s]+"", """")), GOOGLETRANSLATE('AYIRA MINI MART FINAL MENU - Pr'!A513, ""en"", ""ar"")))"),"إيرويفز علكة 40 حبة")</f>
        <v>إيرويفز علكة 40 حبة</v>
      </c>
      <c r="B513" s="56" t="str">
        <f>IFERROR(__xludf.DUMMYFUNCTION("IF('AYIRA MINI MART FINAL MENU - Pr'!B513="""", """", IF(LEN(TRIM(REGEXREPLACE(REGEXREPLACE('AYIRA MINI MART FINAL MENU - Pr'!B513, ""^[^\x{0600}-\x{06FF}]+"", """"), ""^[-–\s]+"", """")))&gt;0, TRIM(REGEXREPLACE(REGEXREPLACE('AYIRA MINI MART FINAL MENU - Pr"&amp;"'!B513, ""^[^\x{0600}-\x{06FF}]+"", """"), ""^[-–\s]+"", """")), GOOGLETRANSLATE('AYIRA MINI MART FINAL MENU - Pr'!B513, ""en"", ""ar"")))"),"العلكة")</f>
        <v>العلكة</v>
      </c>
      <c r="C513" s="58">
        <f>IF('AYIRA MINI MART FINAL MENU - Pr'!C513="", "", 'AYIRA MINI MART FINAL MENU - Pr'!C513)</f>
        <v>12</v>
      </c>
      <c r="D513" s="58" t="str">
        <f>IF('AYIRA MINI MART FINAL MENU - Pr'!D513="", "", 'AYIRA MINI MART FINAL MENU - Pr'!D513)</f>
        <v>استمتع بـ Airwaves Chewing Gum 40 pcs،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13" s="56" t="str">
        <f>IF('AYIRA MINI MART FINAL MENU - Pr'!E513="", "", 'AYIRA MINI MART FINAL MENU - Pr'!E513)</f>
        <v/>
      </c>
      <c r="F513" s="56" t="str">
        <f>IF('AYIRA MINI MART FINAL MENU - Pr'!F513="", "", 'AYIRA MINI MART FINAL MENU - Pr'!F513)</f>
        <v/>
      </c>
      <c r="G513" s="56" t="str">
        <f>IF('AYIRA MINI MART FINAL MENU - Pr'!G513="", "", 'AYIRA MINI MART FINAL MENU - Pr'!G513)</f>
        <v/>
      </c>
      <c r="H513" s="56" t="str">
        <f>IF('AYIRA MINI MART FINAL MENU - Pr'!H513="", "", 'AYIRA MINI MART FINAL MENU - Pr'!H513)</f>
        <v/>
      </c>
      <c r="I513" s="56" t="str">
        <f>IF('AYIRA MINI MART FINAL MENU - Pr'!I513="", "", 'AYIRA MINI MART FINAL MENU - Pr'!I513)</f>
        <v/>
      </c>
      <c r="J513" s="56" t="str">
        <f>IFERROR(__xludf.DUMMYFUNCTION("IF('AYIRA MINI MART FINAL MENU - Pr'!J513="""", """", GOOGLETRANSLATE('AYIRA MINI MART FINAL MENU - Pr'!J513, ""en"", ""ar""))"),"يعرض")</f>
        <v>يعرض</v>
      </c>
      <c r="K513" s="56" t="str">
        <f>IF('AYIRA MINI MART FINAL MENU - Pr'!K513="", "", 'AYIRA MINI MART FINAL MENU - Pr'!K513)</f>
        <v/>
      </c>
      <c r="L513" s="56" t="str">
        <f>IF('AYIRA MINI MART FINAL MENU - Pr'!L513="", "", 'AYIRA MINI MART FINAL MENU - Pr'!L513)</f>
        <v/>
      </c>
      <c r="M513" s="56" t="str">
        <f>IF('AYIRA MINI MART FINAL MENU - Pr'!M513="", "", 'AYIRA MINI MART FINAL MENU - Pr'!M513)</f>
        <v/>
      </c>
      <c r="N513" s="56" t="str">
        <f>IF('AYIRA MINI MART FINAL MENU - Pr'!N513="", "", 'AYIRA MINI MART FINAL MENU - Pr'!N513)</f>
        <v/>
      </c>
      <c r="O513" s="57"/>
      <c r="P513" s="57"/>
      <c r="Q513" s="57"/>
      <c r="R513" s="57"/>
      <c r="S513" s="57"/>
      <c r="T513" s="57"/>
      <c r="U513" s="57"/>
      <c r="V513" s="57"/>
      <c r="W513" s="57"/>
      <c r="X513" s="57"/>
      <c r="Y513" s="57"/>
      <c r="Z513" s="57"/>
    </row>
    <row r="514">
      <c r="A514" s="56" t="str">
        <f>IFERROR(__xludf.DUMMYFUNCTION("IF('AYIRA MINI MART FINAL MENU - Pr'!A514="""", """", IF(LEN(TRIM(REGEXREPLACE(REGEXREPLACE('AYIRA MINI MART FINAL MENU - Pr'!A514, ""^[^\x{0600}-\x{06FF}]+"", """"), ""^[-–\s]+"", """")))&gt;0, TRIM(REGEXREPLACE(REGEXREPLACE('AYIRA MINI MART FINAL MENU - Pr"&amp;"'!A514, ""^[^\x{0600}-\x{06FF}]+"", """"), ""^[-–\s]+"", """")), GOOGLETRANSLATE('AYIRA MINI MART FINAL MENU - Pr'!A514, ""en"", ""ar"")))"),"إكسترا ميغا نعناع فلفلي علكة 23 قطعة")</f>
        <v>إكسترا ميغا نعناع فلفلي علكة 23 قطعة</v>
      </c>
      <c r="B514" s="56" t="str">
        <f>IFERROR(__xludf.DUMMYFUNCTION("IF('AYIRA MINI MART FINAL MENU - Pr'!B514="""", """", IF(LEN(TRIM(REGEXREPLACE(REGEXREPLACE('AYIRA MINI MART FINAL MENU - Pr'!B514, ""^[^\x{0600}-\x{06FF}]+"", """"), ""^[-–\s]+"", """")))&gt;0, TRIM(REGEXREPLACE(REGEXREPLACE('AYIRA MINI MART FINAL MENU - Pr"&amp;"'!B514, ""^[^\x{0600}-\x{06FF}]+"", """"), ""^[-–\s]+"", """")), GOOGLETRANSLATE('AYIRA MINI MART FINAL MENU - Pr'!B514, ""en"", ""ar"")))"),"العلكة")</f>
        <v>العلكة</v>
      </c>
      <c r="C514" s="58">
        <f>IF('AYIRA MINI MART FINAL MENU - Pr'!C514="", "", 'AYIRA MINI MART FINAL MENU - Pr'!C514)</f>
        <v>12.5</v>
      </c>
      <c r="D514" s="58" t="str">
        <f>IF('AYIRA MINI MART FINAL MENU - Pr'!D514="", "", 'AYIRA MINI MART FINAL MENU - Pr'!D514)</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14" s="56" t="str">
        <f>IF('AYIRA MINI MART FINAL MENU - Pr'!E514="", "", 'AYIRA MINI MART FINAL MENU - Pr'!E514)</f>
        <v/>
      </c>
      <c r="F514" s="56" t="str">
        <f>IF('AYIRA MINI MART FINAL MENU - Pr'!F514="", "", 'AYIRA MINI MART FINAL MENU - Pr'!F514)</f>
        <v/>
      </c>
      <c r="G514" s="56" t="str">
        <f>IF('AYIRA MINI MART FINAL MENU - Pr'!G514="", "", 'AYIRA MINI MART FINAL MENU - Pr'!G514)</f>
        <v/>
      </c>
      <c r="H514" s="56" t="str">
        <f>IF('AYIRA MINI MART FINAL MENU - Pr'!H514="", "", 'AYIRA MINI MART FINAL MENU - Pr'!H514)</f>
        <v/>
      </c>
      <c r="I514" s="56" t="str">
        <f>IF('AYIRA MINI MART FINAL MENU - Pr'!I514="", "", 'AYIRA MINI MART FINAL MENU - Pr'!I514)</f>
        <v/>
      </c>
      <c r="J514" s="56" t="str">
        <f>IFERROR(__xludf.DUMMYFUNCTION("IF('AYIRA MINI MART FINAL MENU - Pr'!J514="""", """", GOOGLETRANSLATE('AYIRA MINI MART FINAL MENU - Pr'!J514, ""en"", ""ar""))"),"يعرض")</f>
        <v>يعرض</v>
      </c>
      <c r="K514" s="56" t="str">
        <f>IF('AYIRA MINI MART FINAL MENU - Pr'!K514="", "", 'AYIRA MINI MART FINAL MENU - Pr'!K514)</f>
        <v/>
      </c>
      <c r="L514" s="56" t="str">
        <f>IF('AYIRA MINI MART FINAL MENU - Pr'!L514="", "", 'AYIRA MINI MART FINAL MENU - Pr'!L514)</f>
        <v/>
      </c>
      <c r="M514" s="56" t="str">
        <f>IF('AYIRA MINI MART FINAL MENU - Pr'!M514="", "", 'AYIRA MINI MART FINAL MENU - Pr'!M514)</f>
        <v/>
      </c>
      <c r="N514" s="56" t="str">
        <f>IF('AYIRA MINI MART FINAL MENU - Pr'!N514="", "", 'AYIRA MINI MART FINAL MENU - Pr'!N514)</f>
        <v/>
      </c>
      <c r="O514" s="57"/>
      <c r="P514" s="57"/>
      <c r="Q514" s="57"/>
      <c r="R514" s="57"/>
      <c r="S514" s="57"/>
      <c r="T514" s="57"/>
      <c r="U514" s="57"/>
      <c r="V514" s="57"/>
      <c r="W514" s="57"/>
      <c r="X514" s="57"/>
      <c r="Y514" s="57"/>
      <c r="Z514" s="57"/>
    </row>
    <row r="515">
      <c r="A515" s="56" t="str">
        <f>IFERROR(__xludf.DUMMYFUNCTION("IF('AYIRA MINI MART FINAL MENU - Pr'!A515="""", """", IF(LEN(TRIM(REGEXREPLACE(REGEXREPLACE('AYIRA MINI MART FINAL MENU - Pr'!A515, ""^[^\x{0600}-\x{06FF}]+"", """"), ""^[-–\s]+"", """")))&gt;0, TRIM(REGEXREPLACE(REGEXREPLACE('AYIRA MINI MART FINAL MENU - Pr"&amp;"'!A515, ""^[^\x{0600}-\x{06FF}]+"", """"), ""^[-–\s]+"", """")), GOOGLETRANSLATE('AYIRA MINI MART FINAL MENU - Pr'!A515, ""en"", ""ar"")))"),"غرام")</f>
        <v>غرام</v>
      </c>
      <c r="B515" s="56" t="str">
        <f>IFERROR(__xludf.DUMMYFUNCTION("IF('AYIRA MINI MART FINAL MENU - Pr'!B515="""", """", IF(LEN(TRIM(REGEXREPLACE(REGEXREPLACE('AYIRA MINI MART FINAL MENU - Pr'!B515, ""^[^\x{0600}-\x{06FF}]+"", """"), ""^[-–\s]+"", """")))&gt;0, TRIM(REGEXREPLACE(REGEXREPLACE('AYIRA MINI MART FINAL MENU - Pr"&amp;"'!B515, ""^[^\x{0600}-\x{06FF}]+"", """"), ""^[-–\s]+"", """")), GOOGLETRANSLATE('AYIRA MINI MART FINAL MENU - Pr'!B515, ""en"", ""ar"")))"),"العلكة")</f>
        <v>العلكة</v>
      </c>
      <c r="C515" s="58">
        <f>IF('AYIRA MINI MART FINAL MENU - Pr'!C515="", "", 'AYIRA MINI MART FINAL MENU - Pr'!C515)</f>
        <v>2.5</v>
      </c>
      <c r="D515" s="58" t="str">
        <f>IF('AYIRA MINI MART FINAL MENU - Pr'!D515="", "", 'AYIRA MINI MART FINAL MENU - Pr'!D515)</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15" s="56" t="str">
        <f>IF('AYIRA MINI MART FINAL MENU - Pr'!E515="", "", 'AYIRA MINI MART FINAL MENU - Pr'!E515)</f>
        <v/>
      </c>
      <c r="F515" s="56" t="str">
        <f>IF('AYIRA MINI MART FINAL MENU - Pr'!F515="", "", 'AYIRA MINI MART FINAL MENU - Pr'!F515)</f>
        <v/>
      </c>
      <c r="G515" s="56" t="str">
        <f>IF('AYIRA MINI MART FINAL MENU - Pr'!G515="", "", 'AYIRA MINI MART FINAL MENU - Pr'!G515)</f>
        <v/>
      </c>
      <c r="H515" s="56" t="str">
        <f>IF('AYIRA MINI MART FINAL MENU - Pr'!H515="", "", 'AYIRA MINI MART FINAL MENU - Pr'!H515)</f>
        <v/>
      </c>
      <c r="I515" s="56" t="str">
        <f>IF('AYIRA MINI MART FINAL MENU - Pr'!I515="", "", 'AYIRA MINI MART FINAL MENU - Pr'!I515)</f>
        <v/>
      </c>
      <c r="J515" s="56" t="str">
        <f>IFERROR(__xludf.DUMMYFUNCTION("IF('AYIRA MINI MART FINAL MENU - Pr'!J515="""", """", GOOGLETRANSLATE('AYIRA MINI MART FINAL MENU - Pr'!J515, ""en"", ""ar""))"),"يعرض")</f>
        <v>يعرض</v>
      </c>
      <c r="K515" s="56" t="str">
        <f>IF('AYIRA MINI MART FINAL MENU - Pr'!K515="", "", 'AYIRA MINI MART FINAL MENU - Pr'!K515)</f>
        <v/>
      </c>
      <c r="L515" s="56" t="str">
        <f>IF('AYIRA MINI MART FINAL MENU - Pr'!L515="", "", 'AYIRA MINI MART FINAL MENU - Pr'!L515)</f>
        <v/>
      </c>
      <c r="M515" s="56" t="str">
        <f>IF('AYIRA MINI MART FINAL MENU - Pr'!M515="", "", 'AYIRA MINI MART FINAL MENU - Pr'!M515)</f>
        <v/>
      </c>
      <c r="N515" s="56" t="str">
        <f>IF('AYIRA MINI MART FINAL MENU - Pr'!N515="", "", 'AYIRA MINI MART FINAL MENU - Pr'!N515)</f>
        <v/>
      </c>
      <c r="O515" s="57"/>
      <c r="P515" s="57"/>
      <c r="Q515" s="57"/>
      <c r="R515" s="57"/>
      <c r="S515" s="57"/>
      <c r="T515" s="57"/>
      <c r="U515" s="57"/>
      <c r="V515" s="57"/>
      <c r="W515" s="57"/>
      <c r="X515" s="57"/>
      <c r="Y515" s="57"/>
      <c r="Z515" s="57"/>
    </row>
    <row r="516">
      <c r="A516" s="56" t="str">
        <f>IFERROR(__xludf.DUMMYFUNCTION("IF('AYIRA MINI MART FINAL MENU - Pr'!A516="""", """", IF(LEN(TRIM(REGEXREPLACE(REGEXREPLACE('AYIRA MINI MART FINAL MENU - Pr'!A516, ""^[^\x{0600}-\x{06FF}]+"", """"), ""^[-–\s]+"", """")))&gt;0, TRIM(REGEXREPLACE(REGEXREPLACE('AYIRA MINI MART FINAL MENU - Pr"&amp;"'!A516, ""^[^\x{0600}-\x{06FF}]+"", """"), ""^[-–\s]+"", """")), GOOGLETRANSLATE('AYIRA MINI MART FINAL MENU - Pr'!A516, ""en"", ""ar"")))"),"غرام")</f>
        <v>غرام</v>
      </c>
      <c r="B516" s="56" t="str">
        <f>IFERROR(__xludf.DUMMYFUNCTION("IF('AYIRA MINI MART FINAL MENU - Pr'!B516="""", """", IF(LEN(TRIM(REGEXREPLACE(REGEXREPLACE('AYIRA MINI MART FINAL MENU - Pr'!B516, ""^[^\x{0600}-\x{06FF}]+"", """"), ""^[-–\s]+"", """")))&gt;0, TRIM(REGEXREPLACE(REGEXREPLACE('AYIRA MINI MART FINAL MENU - Pr"&amp;"'!B516, ""^[^\x{0600}-\x{06FF}]+"", """"), ""^[-–\s]+"", """")), GOOGLETRANSLATE('AYIRA MINI MART FINAL MENU - Pr'!B516, ""en"", ""ar"")))"),"العلكة")</f>
        <v>العلكة</v>
      </c>
      <c r="C516" s="58">
        <f>IF('AYIRA MINI MART FINAL MENU - Pr'!C516="", "", 'AYIRA MINI MART FINAL MENU - Pr'!C516)</f>
        <v>2.5</v>
      </c>
      <c r="D516" s="58" t="str">
        <f>IF('AYIRA MINI MART FINAL MENU - Pr'!D516="", "", 'AYIRA MINI MART FINAL MENU - Pr'!D516)</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16" s="56" t="str">
        <f>IF('AYIRA MINI MART FINAL MENU - Pr'!E516="", "", 'AYIRA MINI MART FINAL MENU - Pr'!E516)</f>
        <v/>
      </c>
      <c r="F516" s="56" t="str">
        <f>IF('AYIRA MINI MART FINAL MENU - Pr'!F516="", "", 'AYIRA MINI MART FINAL MENU - Pr'!F516)</f>
        <v/>
      </c>
      <c r="G516" s="56" t="str">
        <f>IF('AYIRA MINI MART FINAL MENU - Pr'!G516="", "", 'AYIRA MINI MART FINAL MENU - Pr'!G516)</f>
        <v/>
      </c>
      <c r="H516" s="56" t="str">
        <f>IF('AYIRA MINI MART FINAL MENU - Pr'!H516="", "", 'AYIRA MINI MART FINAL MENU - Pr'!H516)</f>
        <v/>
      </c>
      <c r="I516" s="56" t="str">
        <f>IF('AYIRA MINI MART FINAL MENU - Pr'!I516="", "", 'AYIRA MINI MART FINAL MENU - Pr'!I516)</f>
        <v/>
      </c>
      <c r="J516" s="56" t="str">
        <f>IFERROR(__xludf.DUMMYFUNCTION("IF('AYIRA MINI MART FINAL MENU - Pr'!J516="""", """", GOOGLETRANSLATE('AYIRA MINI MART FINAL MENU - Pr'!J516, ""en"", ""ar""))"),"يعرض")</f>
        <v>يعرض</v>
      </c>
      <c r="K516" s="56" t="str">
        <f>IF('AYIRA MINI MART FINAL MENU - Pr'!K516="", "", 'AYIRA MINI MART FINAL MENU - Pr'!K516)</f>
        <v/>
      </c>
      <c r="L516" s="56" t="str">
        <f>IF('AYIRA MINI MART FINAL MENU - Pr'!L516="", "", 'AYIRA MINI MART FINAL MENU - Pr'!L516)</f>
        <v/>
      </c>
      <c r="M516" s="56" t="str">
        <f>IF('AYIRA MINI MART FINAL MENU - Pr'!M516="", "", 'AYIRA MINI MART FINAL MENU - Pr'!M516)</f>
        <v/>
      </c>
      <c r="N516" s="56" t="str">
        <f>IF('AYIRA MINI MART FINAL MENU - Pr'!N516="", "", 'AYIRA MINI MART FINAL MENU - Pr'!N516)</f>
        <v/>
      </c>
      <c r="O516" s="57"/>
      <c r="P516" s="57"/>
      <c r="Q516" s="57"/>
      <c r="R516" s="57"/>
      <c r="S516" s="57"/>
      <c r="T516" s="57"/>
      <c r="U516" s="57"/>
      <c r="V516" s="57"/>
      <c r="W516" s="57"/>
      <c r="X516" s="57"/>
      <c r="Y516" s="57"/>
      <c r="Z516" s="57"/>
    </row>
    <row r="517">
      <c r="A517" s="56" t="str">
        <f>IFERROR(__xludf.DUMMYFUNCTION("IF('AYIRA MINI MART FINAL MENU - Pr'!A517="""", """", IF(LEN(TRIM(REGEXREPLACE(REGEXREPLACE('AYIRA MINI MART FINAL MENU - Pr'!A517, ""^[^\x{0600}-\x{06FF}]+"", """"), ""^[-–\s]+"", """")))&gt;0, TRIM(REGEXREPLACE(REGEXREPLACE('AYIRA MINI MART FINAL MENU - Pr"&amp;"'!A517, ""^[^\x{0600}-\x{06FF}]+"", """"), ""^[-–\s]+"", """")), GOOGLETRANSLATE('AYIRA MINI MART FINAL MENU - Pr'!A517, ""en"", ""ar"")))"),"غرام")</f>
        <v>غرام</v>
      </c>
      <c r="B517" s="56" t="str">
        <f>IFERROR(__xludf.DUMMYFUNCTION("IF('AYIRA MINI MART FINAL MENU - Pr'!B517="""", """", IF(LEN(TRIM(REGEXREPLACE(REGEXREPLACE('AYIRA MINI MART FINAL MENU - Pr'!B517, ""^[^\x{0600}-\x{06FF}]+"", """"), ""^[-–\s]+"", """")))&gt;0, TRIM(REGEXREPLACE(REGEXREPLACE('AYIRA MINI MART FINAL MENU - Pr"&amp;"'!B517, ""^[^\x{0600}-\x{06FF}]+"", """"), ""^[-–\s]+"", """")), GOOGLETRANSLATE('AYIRA MINI MART FINAL MENU - Pr'!B517, ""en"", ""ar"")))"),"العلكة")</f>
        <v>العلكة</v>
      </c>
      <c r="C517" s="58">
        <f>IF('AYIRA MINI MART FINAL MENU - Pr'!C517="", "", 'AYIRA MINI MART FINAL MENU - Pr'!C517)</f>
        <v>2.5</v>
      </c>
      <c r="D517" s="58" t="str">
        <f>IF('AYIRA MINI MART FINAL MENU - Pr'!D517="", "", 'AYIRA MINI MART FINAL MENU - Pr'!D517)</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17" s="56" t="str">
        <f>IF('AYIRA MINI MART FINAL MENU - Pr'!E517="", "", 'AYIRA MINI MART FINAL MENU - Pr'!E517)</f>
        <v/>
      </c>
      <c r="F517" s="56" t="str">
        <f>IF('AYIRA MINI MART FINAL MENU - Pr'!F517="", "", 'AYIRA MINI MART FINAL MENU - Pr'!F517)</f>
        <v/>
      </c>
      <c r="G517" s="56" t="str">
        <f>IF('AYIRA MINI MART FINAL MENU - Pr'!G517="", "", 'AYIRA MINI MART FINAL MENU - Pr'!G517)</f>
        <v/>
      </c>
      <c r="H517" s="56" t="str">
        <f>IF('AYIRA MINI MART FINAL MENU - Pr'!H517="", "", 'AYIRA MINI MART FINAL MENU - Pr'!H517)</f>
        <v/>
      </c>
      <c r="I517" s="56" t="str">
        <f>IF('AYIRA MINI MART FINAL MENU - Pr'!I517="", "", 'AYIRA MINI MART FINAL MENU - Pr'!I517)</f>
        <v/>
      </c>
      <c r="J517" s="56" t="str">
        <f>IFERROR(__xludf.DUMMYFUNCTION("IF('AYIRA MINI MART FINAL MENU - Pr'!J517="""", """", GOOGLETRANSLATE('AYIRA MINI MART FINAL MENU - Pr'!J517, ""en"", ""ar""))"),"يعرض")</f>
        <v>يعرض</v>
      </c>
      <c r="K517" s="56" t="str">
        <f>IF('AYIRA MINI MART FINAL MENU - Pr'!K517="", "", 'AYIRA MINI MART FINAL MENU - Pr'!K517)</f>
        <v/>
      </c>
      <c r="L517" s="56" t="str">
        <f>IF('AYIRA MINI MART FINAL MENU - Pr'!L517="", "", 'AYIRA MINI MART FINAL MENU - Pr'!L517)</f>
        <v/>
      </c>
      <c r="M517" s="56" t="str">
        <f>IF('AYIRA MINI MART FINAL MENU - Pr'!M517="", "", 'AYIRA MINI MART FINAL MENU - Pr'!M517)</f>
        <v/>
      </c>
      <c r="N517" s="56" t="str">
        <f>IF('AYIRA MINI MART FINAL MENU - Pr'!N517="", "", 'AYIRA MINI MART FINAL MENU - Pr'!N517)</f>
        <v/>
      </c>
      <c r="O517" s="57"/>
      <c r="P517" s="57"/>
      <c r="Q517" s="57"/>
      <c r="R517" s="57"/>
      <c r="S517" s="57"/>
      <c r="T517" s="57"/>
      <c r="U517" s="57"/>
      <c r="V517" s="57"/>
      <c r="W517" s="57"/>
      <c r="X517" s="57"/>
      <c r="Y517" s="57"/>
      <c r="Z517" s="57"/>
    </row>
    <row r="518">
      <c r="A518" s="56" t="str">
        <f>IFERROR(__xludf.DUMMYFUNCTION("IF('AYIRA MINI MART FINAL MENU - Pr'!A518="""", """", IF(LEN(TRIM(REGEXREPLACE(REGEXREPLACE('AYIRA MINI MART FINAL MENU - Pr'!A518, ""^[^\x{0600}-\x{06FF}]+"", """"), ""^[-–\s]+"", """")))&gt;0, TRIM(REGEXREPLACE(REGEXREPLACE('AYIRA MINI MART FINAL MENU - Pr"&amp;"'!A518, ""^[^\x{0600}-\x{06FF}]+"", """"), ""^[-–\s]+"", """")), GOOGLETRANSLATE('AYIRA MINI MART FINAL MENU - Pr'!A518, ""en"", ""ar"")))"),"غرام")</f>
        <v>غرام</v>
      </c>
      <c r="B518" s="56" t="str">
        <f>IFERROR(__xludf.DUMMYFUNCTION("IF('AYIRA MINI MART FINAL MENU - Pr'!B518="""", """", IF(LEN(TRIM(REGEXREPLACE(REGEXREPLACE('AYIRA MINI MART FINAL MENU - Pr'!B518, ""^[^\x{0600}-\x{06FF}]+"", """"), ""^[-–\s]+"", """")))&gt;0, TRIM(REGEXREPLACE(REGEXREPLACE('AYIRA MINI MART FINAL MENU - Pr"&amp;"'!B518, ""^[^\x{0600}-\x{06FF}]+"", """"), ""^[-–\s]+"", """")), GOOGLETRANSLATE('AYIRA MINI MART FINAL MENU - Pr'!B518, ""en"", ""ar"")))"),"العلكة")</f>
        <v>العلكة</v>
      </c>
      <c r="C518" s="58">
        <f>IF('AYIRA MINI MART FINAL MENU - Pr'!C518="", "", 'AYIRA MINI MART FINAL MENU - Pr'!C518)</f>
        <v>2.5</v>
      </c>
      <c r="D518" s="58" t="str">
        <f>IF('AYIRA MINI MART FINAL MENU - Pr'!D518="", "", 'AYIRA MINI MART FINAL MENU - Pr'!D518)</f>
        <v>استمتع بـ Airwaves Chewing Gum 14g،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18" s="56" t="str">
        <f>IF('AYIRA MINI MART FINAL MENU - Pr'!E518="", "", 'AYIRA MINI MART FINAL MENU - Pr'!E518)</f>
        <v/>
      </c>
      <c r="F518" s="56" t="str">
        <f>IF('AYIRA MINI MART FINAL MENU - Pr'!F518="", "", 'AYIRA MINI MART FINAL MENU - Pr'!F518)</f>
        <v/>
      </c>
      <c r="G518" s="56" t="str">
        <f>IF('AYIRA MINI MART FINAL MENU - Pr'!G518="", "", 'AYIRA MINI MART FINAL MENU - Pr'!G518)</f>
        <v/>
      </c>
      <c r="H518" s="56" t="str">
        <f>IF('AYIRA MINI MART FINAL MENU - Pr'!H518="", "", 'AYIRA MINI MART FINAL MENU - Pr'!H518)</f>
        <v/>
      </c>
      <c r="I518" s="56" t="str">
        <f>IF('AYIRA MINI MART FINAL MENU - Pr'!I518="", "", 'AYIRA MINI MART FINAL MENU - Pr'!I518)</f>
        <v/>
      </c>
      <c r="J518" s="56" t="str">
        <f>IFERROR(__xludf.DUMMYFUNCTION("IF('AYIRA MINI MART FINAL MENU - Pr'!J518="""", """", GOOGLETRANSLATE('AYIRA MINI MART FINAL MENU - Pr'!J518, ""en"", ""ar""))"),"يعرض")</f>
        <v>يعرض</v>
      </c>
      <c r="K518" s="56" t="str">
        <f>IF('AYIRA MINI MART FINAL MENU - Pr'!K518="", "", 'AYIRA MINI MART FINAL MENU - Pr'!K518)</f>
        <v/>
      </c>
      <c r="L518" s="56" t="str">
        <f>IF('AYIRA MINI MART FINAL MENU - Pr'!L518="", "", 'AYIRA MINI MART FINAL MENU - Pr'!L518)</f>
        <v/>
      </c>
      <c r="M518" s="56" t="str">
        <f>IF('AYIRA MINI MART FINAL MENU - Pr'!M518="", "", 'AYIRA MINI MART FINAL MENU - Pr'!M518)</f>
        <v/>
      </c>
      <c r="N518" s="56" t="str">
        <f>IF('AYIRA MINI MART FINAL MENU - Pr'!N518="", "", 'AYIRA MINI MART FINAL MENU - Pr'!N518)</f>
        <v/>
      </c>
      <c r="O518" s="57"/>
      <c r="P518" s="57"/>
      <c r="Q518" s="57"/>
      <c r="R518" s="57"/>
      <c r="S518" s="57"/>
      <c r="T518" s="57"/>
      <c r="U518" s="57"/>
      <c r="V518" s="57"/>
      <c r="W518" s="57"/>
      <c r="X518" s="57"/>
      <c r="Y518" s="57"/>
      <c r="Z518" s="57"/>
    </row>
    <row r="519">
      <c r="A519" s="56" t="str">
        <f>IFERROR(__xludf.DUMMYFUNCTION("IF('AYIRA MINI MART FINAL MENU - Pr'!A519="""", """", IF(LEN(TRIM(REGEXREPLACE(REGEXREPLACE('AYIRA MINI MART FINAL MENU - Pr'!A519, ""^[^\x{0600}-\x{06FF}]+"", """"), ""^[-–\s]+"", """")))&gt;0, TRIM(REGEXREPLACE(REGEXREPLACE('AYIRA MINI MART FINAL MENU - Pr"&amp;"'!A519, ""^[^\x{0600}-\x{06FF}]+"", """"), ""^[-–\s]+"", """")), GOOGLETRANSLATE('AYIRA MINI MART FINAL MENU - Pr'!A519, ""en"", ""ar"")))"),"فراولة Flavour Chewing Gum 14 غرام")</f>
        <v>فراولة Flavour Chewing Gum 14 غرام</v>
      </c>
      <c r="B519" s="56" t="str">
        <f>IFERROR(__xludf.DUMMYFUNCTION("IF('AYIRA MINI MART FINAL MENU - Pr'!B519="""", """", IF(LEN(TRIM(REGEXREPLACE(REGEXREPLACE('AYIRA MINI MART FINAL MENU - Pr'!B519, ""^[^\x{0600}-\x{06FF}]+"", """"), ""^[-–\s]+"", """")))&gt;0, TRIM(REGEXREPLACE(REGEXREPLACE('AYIRA MINI MART FINAL MENU - Pr"&amp;"'!B519, ""^[^\x{0600}-\x{06FF}]+"", """"), ""^[-–\s]+"", """")), GOOGLETRANSLATE('AYIRA MINI MART FINAL MENU - Pr'!B519, ""en"", ""ar"")))"),"العلكة")</f>
        <v>العلكة</v>
      </c>
      <c r="C519" s="58">
        <f>IF('AYIRA MINI MART FINAL MENU - Pr'!C519="", "", 'AYIRA MINI MART FINAL MENU - Pr'!C519)</f>
        <v>2.5</v>
      </c>
      <c r="D519" s="58" t="str">
        <f>IF('AYIRA MINI MART FINAL MENU - Pr'!D519="", "", 'AYIRA MINI MART FINAL MENU - Pr'!D519)</f>
        <v>استمتع بـ إكسترا،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19" s="56" t="str">
        <f>IF('AYIRA MINI MART FINAL MENU - Pr'!E519="", "", 'AYIRA MINI MART FINAL MENU - Pr'!E519)</f>
        <v/>
      </c>
      <c r="F519" s="56" t="str">
        <f>IF('AYIRA MINI MART FINAL MENU - Pr'!F519="", "", 'AYIRA MINI MART FINAL MENU - Pr'!F519)</f>
        <v/>
      </c>
      <c r="G519" s="56" t="str">
        <f>IF('AYIRA MINI MART FINAL MENU - Pr'!G519="", "", 'AYIRA MINI MART FINAL MENU - Pr'!G519)</f>
        <v/>
      </c>
      <c r="H519" s="56" t="str">
        <f>IF('AYIRA MINI MART FINAL MENU - Pr'!H519="", "", 'AYIRA MINI MART FINAL MENU - Pr'!H519)</f>
        <v/>
      </c>
      <c r="I519" s="56" t="str">
        <f>IF('AYIRA MINI MART FINAL MENU - Pr'!I519="", "", 'AYIRA MINI MART FINAL MENU - Pr'!I519)</f>
        <v/>
      </c>
      <c r="J519" s="56" t="str">
        <f>IFERROR(__xludf.DUMMYFUNCTION("IF('AYIRA MINI MART FINAL MENU - Pr'!J519="""", """", GOOGLETRANSLATE('AYIRA MINI MART FINAL MENU - Pr'!J519, ""en"", ""ar""))"),"يعرض")</f>
        <v>يعرض</v>
      </c>
      <c r="K519" s="56" t="str">
        <f>IF('AYIRA MINI MART FINAL MENU - Pr'!K519="", "", 'AYIRA MINI MART FINAL MENU - Pr'!K519)</f>
        <v/>
      </c>
      <c r="L519" s="56" t="str">
        <f>IF('AYIRA MINI MART FINAL MENU - Pr'!L519="", "", 'AYIRA MINI MART FINAL MENU - Pr'!L519)</f>
        <v/>
      </c>
      <c r="M519" s="56" t="str">
        <f>IF('AYIRA MINI MART FINAL MENU - Pr'!M519="", "", 'AYIRA MINI MART FINAL MENU - Pr'!M519)</f>
        <v/>
      </c>
      <c r="N519" s="56" t="str">
        <f>IF('AYIRA MINI MART FINAL MENU - Pr'!N519="", "", 'AYIRA MINI MART FINAL MENU - Pr'!N519)</f>
        <v/>
      </c>
      <c r="O519" s="57"/>
      <c r="P519" s="57"/>
      <c r="Q519" s="57"/>
      <c r="R519" s="57"/>
      <c r="S519" s="57"/>
      <c r="T519" s="57"/>
      <c r="U519" s="57"/>
      <c r="V519" s="57"/>
      <c r="W519" s="57"/>
      <c r="X519" s="57"/>
      <c r="Y519" s="57"/>
      <c r="Z519" s="57"/>
    </row>
    <row r="520">
      <c r="A520" s="56" t="str">
        <f>IFERROR(__xludf.DUMMYFUNCTION("IF('AYIRA MINI MART FINAL MENU - Pr'!A520="""", """", IF(LEN(TRIM(REGEXREPLACE(REGEXREPLACE('AYIRA MINI MART FINAL MENU - Pr'!A520, ""^[^\x{0600}-\x{06FF}]+"", """"), ""^[-–\s]+"", """")))&gt;0, TRIM(REGEXREPLACE(REGEXREPLACE('AYIRA MINI MART FINAL MENU - Pr"&amp;"'!A520, ""^[^\x{0600}-\x{06FF}]+"", """"), ""^[-–\s]+"", """")), GOOGLETRANSLATE('AYIRA MINI MART FINAL MENU - Pr'!A520, ""en"", ""ar"")))"),"غرام")</f>
        <v>غرام</v>
      </c>
      <c r="B520" s="56" t="str">
        <f>IFERROR(__xludf.DUMMYFUNCTION("IF('AYIRA MINI MART FINAL MENU - Pr'!B520="""", """", IF(LEN(TRIM(REGEXREPLACE(REGEXREPLACE('AYIRA MINI MART FINAL MENU - Pr'!B520, ""^[^\x{0600}-\x{06FF}]+"", """"), ""^[-–\s]+"", """")))&gt;0, TRIM(REGEXREPLACE(REGEXREPLACE('AYIRA MINI MART FINAL MENU - Pr"&amp;"'!B520, ""^[^\x{0600}-\x{06FF}]+"", """"), ""^[-–\s]+"", """")), GOOGLETRANSLATE('AYIRA MINI MART FINAL MENU - Pr'!B520, ""en"", ""ar"")))"),"العلكة")</f>
        <v>العلكة</v>
      </c>
      <c r="C520" s="58">
        <f>IF('AYIRA MINI MART FINAL MENU - Pr'!C520="", "", 'AYIRA MINI MART FINAL MENU - Pr'!C520)</f>
        <v>2.5</v>
      </c>
      <c r="D520" s="58" t="str">
        <f>IF('AYIRA MINI MART FINAL MENU - Pr'!D520="", "", 'AYIRA MINI MART FINAL MENU - Pr'!D520)</f>
        <v>اشرب إكسترا،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520" s="56" t="str">
        <f>IF('AYIRA MINI MART FINAL MENU - Pr'!E520="", "", 'AYIRA MINI MART FINAL MENU - Pr'!E520)</f>
        <v/>
      </c>
      <c r="F520" s="56" t="str">
        <f>IF('AYIRA MINI MART FINAL MENU - Pr'!F520="", "", 'AYIRA MINI MART FINAL MENU - Pr'!F520)</f>
        <v/>
      </c>
      <c r="G520" s="56" t="str">
        <f>IF('AYIRA MINI MART FINAL MENU - Pr'!G520="", "", 'AYIRA MINI MART FINAL MENU - Pr'!G520)</f>
        <v/>
      </c>
      <c r="H520" s="56" t="str">
        <f>IF('AYIRA MINI MART FINAL MENU - Pr'!H520="", "", 'AYIRA MINI MART FINAL MENU - Pr'!H520)</f>
        <v/>
      </c>
      <c r="I520" s="56" t="str">
        <f>IF('AYIRA MINI MART FINAL MENU - Pr'!I520="", "", 'AYIRA MINI MART FINAL MENU - Pr'!I520)</f>
        <v/>
      </c>
      <c r="J520" s="56" t="str">
        <f>IFERROR(__xludf.DUMMYFUNCTION("IF('AYIRA MINI MART FINAL MENU - Pr'!J520="""", """", GOOGLETRANSLATE('AYIRA MINI MART FINAL MENU - Pr'!J520, ""en"", ""ar""))"),"يعرض")</f>
        <v>يعرض</v>
      </c>
      <c r="K520" s="56" t="str">
        <f>IF('AYIRA MINI MART FINAL MENU - Pr'!K520="", "", 'AYIRA MINI MART FINAL MENU - Pr'!K520)</f>
        <v/>
      </c>
      <c r="L520" s="56" t="str">
        <f>IF('AYIRA MINI MART FINAL MENU - Pr'!L520="", "", 'AYIRA MINI MART FINAL MENU - Pr'!L520)</f>
        <v/>
      </c>
      <c r="M520" s="56" t="str">
        <f>IF('AYIRA MINI MART FINAL MENU - Pr'!M520="", "", 'AYIRA MINI MART FINAL MENU - Pr'!M520)</f>
        <v/>
      </c>
      <c r="N520" s="56" t="str">
        <f>IF('AYIRA MINI MART FINAL MENU - Pr'!N520="", "", 'AYIRA MINI MART FINAL MENU - Pr'!N520)</f>
        <v/>
      </c>
      <c r="O520" s="57"/>
      <c r="P520" s="57"/>
      <c r="Q520" s="57"/>
      <c r="R520" s="57"/>
      <c r="S520" s="57"/>
      <c r="T520" s="57"/>
      <c r="U520" s="57"/>
      <c r="V520" s="57"/>
      <c r="W520" s="57"/>
      <c r="X520" s="57"/>
      <c r="Y520" s="57"/>
      <c r="Z520" s="57"/>
    </row>
    <row r="521">
      <c r="A521" s="56" t="str">
        <f>IFERROR(__xludf.DUMMYFUNCTION("IF('AYIRA MINI MART FINAL MENU - Pr'!A521="""", """", IF(LEN(TRIM(REGEXREPLACE(REGEXREPLACE('AYIRA MINI MART FINAL MENU - Pr'!A521, ""^[^\x{0600}-\x{06FF}]+"", """"), ""^[-–\s]+"", """")))&gt;0, TRIM(REGEXREPLACE(REGEXREPLACE('AYIRA MINI MART FINAL MENU - Pr"&amp;"'!A521, ""^[^\x{0600}-\x{06FF}]+"", """"), ""^[-–\s]+"", """")), GOOGLETRANSLATE('AYIRA MINI MART FINAL MENU - Pr'!A521, ""en"", ""ar"")))"),"ريغلي دبل مينت علكة 5 قطع")</f>
        <v>ريغلي دبل مينت علكة 5 قطع</v>
      </c>
      <c r="B521" s="56" t="str">
        <f>IFERROR(__xludf.DUMMYFUNCTION("IF('AYIRA MINI MART FINAL MENU - Pr'!B521="""", """", IF(LEN(TRIM(REGEXREPLACE(REGEXREPLACE('AYIRA MINI MART FINAL MENU - Pr'!B521, ""^[^\x{0600}-\x{06FF}]+"", """"), ""^[-–\s]+"", """")))&gt;0, TRIM(REGEXREPLACE(REGEXREPLACE('AYIRA MINI MART FINAL MENU - Pr"&amp;"'!B521, ""^[^\x{0600}-\x{06FF}]+"", """"), ""^[-–\s]+"", """")), GOOGLETRANSLATE('AYIRA MINI MART FINAL MENU - Pr'!B521, ""en"", ""ar"")))"),"العلكة")</f>
        <v>العلكة</v>
      </c>
      <c r="C521" s="58">
        <f>IF('AYIRA MINI MART FINAL MENU - Pr'!C521="", "", 'AYIRA MINI MART FINAL MENU - Pr'!C521)</f>
        <v>2.5</v>
      </c>
      <c r="D521" s="58" t="str">
        <f>IF('AYIRA MINI MART FINAL MENU - Pr'!D521="", "", 'AYIRA MINI MART FINAL MENU - Pr'!D521)</f>
        <v>استمتع بـ ريغلي،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521" s="56" t="str">
        <f>IF('AYIRA MINI MART FINAL MENU - Pr'!E521="", "", 'AYIRA MINI MART FINAL MENU - Pr'!E521)</f>
        <v/>
      </c>
      <c r="F521" s="56" t="str">
        <f>IF('AYIRA MINI MART FINAL MENU - Pr'!F521="", "", 'AYIRA MINI MART FINAL MENU - Pr'!F521)</f>
        <v/>
      </c>
      <c r="G521" s="56" t="str">
        <f>IF('AYIRA MINI MART FINAL MENU - Pr'!G521="", "", 'AYIRA MINI MART FINAL MENU - Pr'!G521)</f>
        <v/>
      </c>
      <c r="H521" s="56" t="str">
        <f>IF('AYIRA MINI MART FINAL MENU - Pr'!H521="", "", 'AYIRA MINI MART FINAL MENU - Pr'!H521)</f>
        <v/>
      </c>
      <c r="I521" s="56" t="str">
        <f>IF('AYIRA MINI MART FINAL MENU - Pr'!I521="", "", 'AYIRA MINI MART FINAL MENU - Pr'!I521)</f>
        <v/>
      </c>
      <c r="J521" s="56" t="str">
        <f>IFERROR(__xludf.DUMMYFUNCTION("IF('AYIRA MINI MART FINAL MENU - Pr'!J521="""", """", GOOGLETRANSLATE('AYIRA MINI MART FINAL MENU - Pr'!J521, ""en"", ""ar""))"),"يعرض")</f>
        <v>يعرض</v>
      </c>
      <c r="K521" s="56" t="str">
        <f>IF('AYIRA MINI MART FINAL MENU - Pr'!K521="", "", 'AYIRA MINI MART FINAL MENU - Pr'!K521)</f>
        <v/>
      </c>
      <c r="L521" s="56" t="str">
        <f>IF('AYIRA MINI MART FINAL MENU - Pr'!L521="", "", 'AYIRA MINI MART FINAL MENU - Pr'!L521)</f>
        <v/>
      </c>
      <c r="M521" s="56" t="str">
        <f>IF('AYIRA MINI MART FINAL MENU - Pr'!M521="", "", 'AYIRA MINI MART FINAL MENU - Pr'!M521)</f>
        <v/>
      </c>
      <c r="N521" s="56" t="str">
        <f>IF('AYIRA MINI MART FINAL MENU - Pr'!N521="", "", 'AYIRA MINI MART FINAL MENU - Pr'!N521)</f>
        <v/>
      </c>
      <c r="O521" s="57"/>
      <c r="P521" s="57"/>
      <c r="Q521" s="57"/>
      <c r="R521" s="57"/>
      <c r="S521" s="57"/>
      <c r="T521" s="57"/>
      <c r="U521" s="57"/>
      <c r="V521" s="57"/>
      <c r="W521" s="57"/>
      <c r="X521" s="57"/>
      <c r="Y521" s="57"/>
      <c r="Z521" s="57"/>
    </row>
    <row r="522">
      <c r="A522" s="56" t="str">
        <f>IFERROR(__xludf.DUMMYFUNCTION("IF('AYIRA MINI MART FINAL MENU - Pr'!A522="""", """", IF(LEN(TRIM(REGEXREPLACE(REGEXREPLACE('AYIRA MINI MART FINAL MENU - Pr'!A522, ""^[^\x{0600}-\x{06FF}]+"", """"), ""^[-–\s]+"", """")))&gt;0, TRIM(REGEXREPLACE(REGEXREPLACE('AYIRA MINI MART FINAL MENU - Pr"&amp;"'!A522, ""^[^\x{0600}-\x{06FF}]+"", """"), ""^[-–\s]+"", """")), GOOGLETRANSLATE('AYIRA MINI MART FINAL MENU - Pr'!A522, ""en"", ""ar"")))"),"دوريتوس Sweet Chili Pepper 175 غرام")</f>
        <v>دوريتوس Sweet Chili Pepper 175 غرام</v>
      </c>
      <c r="B522" s="56" t="str">
        <f>IFERROR(__xludf.DUMMYFUNCTION("IF('AYIRA MINI MART FINAL MENU - Pr'!B522="""", """", IF(LEN(TRIM(REGEXREPLACE(REGEXREPLACE('AYIRA MINI MART FINAL MENU - Pr'!B522, ""^[^\x{0600}-\x{06FF}]+"", """"), ""^[-–\s]+"", """")))&gt;0, TRIM(REGEXREPLACE(REGEXREPLACE('AYIRA MINI MART FINAL MENU - Pr"&amp;"'!B522, ""^[^\x{0600}-\x{06FF}]+"", """"), ""^[-–\s]+"", """")), GOOGLETRANSLATE('AYIRA MINI MART FINAL MENU - Pr'!B522, ""en"", ""ar"")))"),"الشيبس والمقرمشات")</f>
        <v>الشيبس والمقرمشات</v>
      </c>
      <c r="C522" s="58">
        <f>IF('AYIRA MINI MART FINAL MENU - Pr'!C522="", "", 'AYIRA MINI MART FINAL MENU - Pr'!C522)</f>
        <v>12</v>
      </c>
      <c r="D522" s="58" t="str">
        <f>IF('AYIRA MINI MART FINAL MENU - Pr'!D522="", "", 'AYIRA MINI MART FINAL MENU - Pr'!D522)</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22" s="56" t="str">
        <f>IF('AYIRA MINI MART FINAL MENU - Pr'!E522="", "", 'AYIRA MINI MART FINAL MENU - Pr'!E522)</f>
        <v/>
      </c>
      <c r="F522" s="56" t="str">
        <f>IF('AYIRA MINI MART FINAL MENU - Pr'!F522="", "", 'AYIRA MINI MART FINAL MENU - Pr'!F522)</f>
        <v/>
      </c>
      <c r="G522" s="56" t="str">
        <f>IF('AYIRA MINI MART FINAL MENU - Pr'!G522="", "", 'AYIRA MINI MART FINAL MENU - Pr'!G522)</f>
        <v/>
      </c>
      <c r="H522" s="56" t="str">
        <f>IF('AYIRA MINI MART FINAL MENU - Pr'!H522="", "", 'AYIRA MINI MART FINAL MENU - Pr'!H522)</f>
        <v/>
      </c>
      <c r="I522" s="56" t="str">
        <f>IF('AYIRA MINI MART FINAL MENU - Pr'!I522="", "", 'AYIRA MINI MART FINAL MENU - Pr'!I522)</f>
        <v/>
      </c>
      <c r="J522" s="56" t="str">
        <f>IFERROR(__xludf.DUMMYFUNCTION("IF('AYIRA MINI MART FINAL MENU - Pr'!J522="""", """", GOOGLETRANSLATE('AYIRA MINI MART FINAL MENU - Pr'!J522, ""en"", ""ar""))"),"يعرض")</f>
        <v>يعرض</v>
      </c>
      <c r="K522" s="56" t="str">
        <f>IF('AYIRA MINI MART FINAL MENU - Pr'!K522="", "", 'AYIRA MINI MART FINAL MENU - Pr'!K522)</f>
        <v/>
      </c>
      <c r="L522" s="56" t="str">
        <f>IF('AYIRA MINI MART FINAL MENU - Pr'!L522="", "", 'AYIRA MINI MART FINAL MENU - Pr'!L522)</f>
        <v/>
      </c>
      <c r="M522" s="56" t="str">
        <f>IF('AYIRA MINI MART FINAL MENU - Pr'!M522="", "", 'AYIRA MINI MART FINAL MENU - Pr'!M522)</f>
        <v/>
      </c>
      <c r="N522" s="56" t="str">
        <f>IF('AYIRA MINI MART FINAL MENU - Pr'!N522="", "", 'AYIRA MINI MART FINAL MENU - Pr'!N522)</f>
        <v/>
      </c>
      <c r="O522" s="57"/>
      <c r="P522" s="57"/>
      <c r="Q522" s="57"/>
      <c r="R522" s="57"/>
      <c r="S522" s="57"/>
      <c r="T522" s="57"/>
      <c r="U522" s="57"/>
      <c r="V522" s="57"/>
      <c r="W522" s="57"/>
      <c r="X522" s="57"/>
      <c r="Y522" s="57"/>
      <c r="Z522" s="57"/>
    </row>
    <row r="523">
      <c r="A523" s="56" t="str">
        <f>IFERROR(__xludf.DUMMYFUNCTION("IF('AYIRA MINI MART FINAL MENU - Pr'!A523="""", """", IF(LEN(TRIM(REGEXREPLACE(REGEXREPLACE('AYIRA MINI MART FINAL MENU - Pr'!A523, ""^[^\x{0600}-\x{06FF}]+"", """"), ""^[-–\s]+"", """")))&gt;0, TRIM(REGEXREPLACE(REGEXREPLACE('AYIRA MINI MART FINAL MENU - Pr"&amp;"'!A523, ""^[^\x{0600}-\x{06FF}]+"", """"), ""^[-–\s]+"", """")), GOOGLETRANSLATE('AYIRA MINI MART FINAL MENU - Pr'!A523, ""en"", ""ar"")))"),"تشيتوس Crunchy جبنة 190 غرام")</f>
        <v>تشيتوس Crunchy جبنة 190 غرام</v>
      </c>
      <c r="B523" s="56" t="str">
        <f>IFERROR(__xludf.DUMMYFUNCTION("IF('AYIRA MINI MART FINAL MENU - Pr'!B523="""", """", IF(LEN(TRIM(REGEXREPLACE(REGEXREPLACE('AYIRA MINI MART FINAL MENU - Pr'!B523, ""^[^\x{0600}-\x{06FF}]+"", """"), ""^[-–\s]+"", """")))&gt;0, TRIM(REGEXREPLACE(REGEXREPLACE('AYIRA MINI MART FINAL MENU - Pr"&amp;"'!B523, ""^[^\x{0600}-\x{06FF}]+"", """"), ""^[-–\s]+"", """")), GOOGLETRANSLATE('AYIRA MINI MART FINAL MENU - Pr'!B523, ""en"", ""ar"")))"),"الشيبس والمقرمشات")</f>
        <v>الشيبس والمقرمشات</v>
      </c>
      <c r="C523" s="58">
        <f>IF('AYIRA MINI MART FINAL MENU - Pr'!C523="", "", 'AYIRA MINI MART FINAL MENU - Pr'!C523)</f>
        <v>18</v>
      </c>
      <c r="D523" s="58" t="str">
        <f>IF('AYIRA MINI MART FINAL MENU - Pr'!D523="", "", 'AYIRA MINI MART FINAL MENU - Pr'!D523)</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23" s="56" t="str">
        <f>IF('AYIRA MINI MART FINAL MENU - Pr'!E523="", "", 'AYIRA MINI MART FINAL MENU - Pr'!E523)</f>
        <v/>
      </c>
      <c r="F523" s="56" t="str">
        <f>IF('AYIRA MINI MART FINAL MENU - Pr'!F523="", "", 'AYIRA MINI MART FINAL MENU - Pr'!F523)</f>
        <v/>
      </c>
      <c r="G523" s="56" t="str">
        <f>IF('AYIRA MINI MART FINAL MENU - Pr'!G523="", "", 'AYIRA MINI MART FINAL MENU - Pr'!G523)</f>
        <v/>
      </c>
      <c r="H523" s="56" t="str">
        <f>IF('AYIRA MINI MART FINAL MENU - Pr'!H523="", "", 'AYIRA MINI MART FINAL MENU - Pr'!H523)</f>
        <v/>
      </c>
      <c r="I523" s="56" t="str">
        <f>IF('AYIRA MINI MART FINAL MENU - Pr'!I523="", "", 'AYIRA MINI MART FINAL MENU - Pr'!I523)</f>
        <v/>
      </c>
      <c r="J523" s="56" t="str">
        <f>IFERROR(__xludf.DUMMYFUNCTION("IF('AYIRA MINI MART FINAL MENU - Pr'!J523="""", """", GOOGLETRANSLATE('AYIRA MINI MART FINAL MENU - Pr'!J523, ""en"", ""ar""))"),"يعرض")</f>
        <v>يعرض</v>
      </c>
      <c r="K523" s="56" t="str">
        <f>IF('AYIRA MINI MART FINAL MENU - Pr'!K523="", "", 'AYIRA MINI MART FINAL MENU - Pr'!K523)</f>
        <v/>
      </c>
      <c r="L523" s="56" t="str">
        <f>IF('AYIRA MINI MART FINAL MENU - Pr'!L523="", "", 'AYIRA MINI MART FINAL MENU - Pr'!L523)</f>
        <v/>
      </c>
      <c r="M523" s="56" t="str">
        <f>IF('AYIRA MINI MART FINAL MENU - Pr'!M523="", "", 'AYIRA MINI MART FINAL MENU - Pr'!M523)</f>
        <v/>
      </c>
      <c r="N523" s="56" t="str">
        <f>IF('AYIRA MINI MART FINAL MENU - Pr'!N523="", "", 'AYIRA MINI MART FINAL MENU - Pr'!N523)</f>
        <v/>
      </c>
      <c r="O523" s="57"/>
      <c r="P523" s="57"/>
      <c r="Q523" s="57"/>
      <c r="R523" s="57"/>
      <c r="S523" s="57"/>
      <c r="T523" s="57"/>
      <c r="U523" s="57"/>
      <c r="V523" s="57"/>
      <c r="W523" s="57"/>
      <c r="X523" s="57"/>
      <c r="Y523" s="57"/>
      <c r="Z523" s="57"/>
    </row>
    <row r="524">
      <c r="A524" s="56" t="str">
        <f>IFERROR(__xludf.DUMMYFUNCTION("IF('AYIRA MINI MART FINAL MENU - Pr'!A524="""", """", IF(LEN(TRIM(REGEXREPLACE(REGEXREPLACE('AYIRA MINI MART FINAL MENU - Pr'!A524, ""^[^\x{0600}-\x{06FF}]+"", """"), ""^[-–\s]+"", """")))&gt;0, TRIM(REGEXREPLACE(REGEXREPLACE('AYIRA MINI MART FINAL MENU - Pr"&amp;"'!A524, ""^[^\x{0600}-\x{06FF}]+"", """"), ""^[-–\s]+"", """")), GOOGLETRANSLATE('AYIRA MINI MART FINAL MENU - Pr'!A524, ""en"", ""ar"")))"),"ليز أصلي Taste 155 غرام")</f>
        <v>ليز أصلي Taste 155 غرام</v>
      </c>
      <c r="B524" s="56" t="str">
        <f>IFERROR(__xludf.DUMMYFUNCTION("IF('AYIRA MINI MART FINAL MENU - Pr'!B524="""", """", IF(LEN(TRIM(REGEXREPLACE(REGEXREPLACE('AYIRA MINI MART FINAL MENU - Pr'!B524, ""^[^\x{0600}-\x{06FF}]+"", """"), ""^[-–\s]+"", """")))&gt;0, TRIM(REGEXREPLACE(REGEXREPLACE('AYIRA MINI MART FINAL MENU - Pr"&amp;"'!B524, ""^[^\x{0600}-\x{06FF}]+"", """"), ""^[-–\s]+"", """")), GOOGLETRANSLATE('AYIRA MINI MART FINAL MENU - Pr'!B524, ""en"", ""ar"")))"),"الشيبس والمقرمشات")</f>
        <v>الشيبس والمقرمشات</v>
      </c>
      <c r="C524" s="58">
        <f>IF('AYIRA MINI MART FINAL MENU - Pr'!C524="", "", 'AYIRA MINI MART FINAL MENU - Pr'!C524)</f>
        <v>10</v>
      </c>
      <c r="D524" s="58" t="str">
        <f>IF('AYIRA MINI MART FINAL MENU - Pr'!D524="", "", 'AYIRA MINI MART FINAL MENU - Pr'!D524)</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24" s="56" t="str">
        <f>IF('AYIRA MINI MART FINAL MENU - Pr'!E524="", "", 'AYIRA MINI MART FINAL MENU - Pr'!E524)</f>
        <v/>
      </c>
      <c r="F524" s="56" t="str">
        <f>IF('AYIRA MINI MART FINAL MENU - Pr'!F524="", "", 'AYIRA MINI MART FINAL MENU - Pr'!F524)</f>
        <v/>
      </c>
      <c r="G524" s="56" t="str">
        <f>IF('AYIRA MINI MART FINAL MENU - Pr'!G524="", "", 'AYIRA MINI MART FINAL MENU - Pr'!G524)</f>
        <v/>
      </c>
      <c r="H524" s="56" t="str">
        <f>IF('AYIRA MINI MART FINAL MENU - Pr'!H524="", "", 'AYIRA MINI MART FINAL MENU - Pr'!H524)</f>
        <v/>
      </c>
      <c r="I524" s="56" t="str">
        <f>IF('AYIRA MINI MART FINAL MENU - Pr'!I524="", "", 'AYIRA MINI MART FINAL MENU - Pr'!I524)</f>
        <v/>
      </c>
      <c r="J524" s="56" t="str">
        <f>IFERROR(__xludf.DUMMYFUNCTION("IF('AYIRA MINI MART FINAL MENU - Pr'!J524="""", """", GOOGLETRANSLATE('AYIRA MINI MART FINAL MENU - Pr'!J524, ""en"", ""ar""))"),"يعرض")</f>
        <v>يعرض</v>
      </c>
      <c r="K524" s="56" t="str">
        <f>IF('AYIRA MINI MART FINAL MENU - Pr'!K524="", "", 'AYIRA MINI MART FINAL MENU - Pr'!K524)</f>
        <v/>
      </c>
      <c r="L524" s="56" t="str">
        <f>IF('AYIRA MINI MART FINAL MENU - Pr'!L524="", "", 'AYIRA MINI MART FINAL MENU - Pr'!L524)</f>
        <v/>
      </c>
      <c r="M524" s="56" t="str">
        <f>IF('AYIRA MINI MART FINAL MENU - Pr'!M524="", "", 'AYIRA MINI MART FINAL MENU - Pr'!M524)</f>
        <v/>
      </c>
      <c r="N524" s="56" t="str">
        <f>IF('AYIRA MINI MART FINAL MENU - Pr'!N524="", "", 'AYIRA MINI MART FINAL MENU - Pr'!N524)</f>
        <v/>
      </c>
      <c r="O524" s="57"/>
      <c r="P524" s="57"/>
      <c r="Q524" s="57"/>
      <c r="R524" s="57"/>
      <c r="S524" s="57"/>
      <c r="T524" s="57"/>
      <c r="U524" s="57"/>
      <c r="V524" s="57"/>
      <c r="W524" s="57"/>
      <c r="X524" s="57"/>
      <c r="Y524" s="57"/>
      <c r="Z524" s="57"/>
    </row>
    <row r="525">
      <c r="A525" s="56" t="str">
        <f>IFERROR(__xludf.DUMMYFUNCTION("IF('AYIRA MINI MART FINAL MENU - Pr'!A525="""", """", IF(LEN(TRIM(REGEXREPLACE(REGEXREPLACE('AYIRA MINI MART FINAL MENU - Pr'!A525, ""^[^\x{0600}-\x{06FF}]+"", """"), ""^[-–\s]+"", """")))&gt;0, TRIM(REGEXREPLACE(REGEXREPLACE('AYIRA MINI MART FINAL MENU - Pr"&amp;"'!A525, ""^[^\x{0600}-\x{06FF}]+"", """"), ""^[-–\s]+"", """")), GOOGLETRANSLATE('AYIRA MINI MART FINAL MENU - Pr'!A525, ""en"", ""ar"")))"),"غرام")</f>
        <v>غرام</v>
      </c>
      <c r="B525" s="56" t="str">
        <f>IFERROR(__xludf.DUMMYFUNCTION("IF('AYIRA MINI MART FINAL MENU - Pr'!B525="""", """", IF(LEN(TRIM(REGEXREPLACE(REGEXREPLACE('AYIRA MINI MART FINAL MENU - Pr'!B525, ""^[^\x{0600}-\x{06FF}]+"", """"), ""^[-–\s]+"", """")))&gt;0, TRIM(REGEXREPLACE(REGEXREPLACE('AYIRA MINI MART FINAL MENU - Pr"&amp;"'!B525, ""^[^\x{0600}-\x{06FF}]+"", """"), ""^[-–\s]+"", """")), GOOGLETRANSLATE('AYIRA MINI MART FINAL MENU - Pr'!B525, ""en"", ""ar"")))"),"الشيبس والمقرمشات")</f>
        <v>الشيبس والمقرمشات</v>
      </c>
      <c r="C525" s="58">
        <f>IF('AYIRA MINI MART FINAL MENU - Pr'!C525="", "", 'AYIRA MINI MART FINAL MENU - Pr'!C525)</f>
        <v>6.5</v>
      </c>
      <c r="D525" s="58" t="str">
        <f>IF('AYIRA MINI MART FINAL MENU - Pr'!D525="", "", 'AYIRA MINI MART FINAL MENU - Pr'!D525)</f>
        <v>لا تقاوم طعم Balaji Wafers Crunchem Chaat Chaska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25" s="56" t="str">
        <f>IF('AYIRA MINI MART FINAL MENU - Pr'!E525="", "", 'AYIRA MINI MART FINAL MENU - Pr'!E525)</f>
        <v/>
      </c>
      <c r="F525" s="56" t="str">
        <f>IF('AYIRA MINI MART FINAL MENU - Pr'!F525="", "", 'AYIRA MINI MART FINAL MENU - Pr'!F525)</f>
        <v/>
      </c>
      <c r="G525" s="56" t="str">
        <f>IF('AYIRA MINI MART FINAL MENU - Pr'!G525="", "", 'AYIRA MINI MART FINAL MENU - Pr'!G525)</f>
        <v/>
      </c>
      <c r="H525" s="56" t="str">
        <f>IF('AYIRA MINI MART FINAL MENU - Pr'!H525="", "", 'AYIRA MINI MART FINAL MENU - Pr'!H525)</f>
        <v/>
      </c>
      <c r="I525" s="56" t="str">
        <f>IF('AYIRA MINI MART FINAL MENU - Pr'!I525="", "", 'AYIRA MINI MART FINAL MENU - Pr'!I525)</f>
        <v/>
      </c>
      <c r="J525" s="56" t="str">
        <f>IFERROR(__xludf.DUMMYFUNCTION("IF('AYIRA MINI MART FINAL MENU - Pr'!J525="""", """", GOOGLETRANSLATE('AYIRA MINI MART FINAL MENU - Pr'!J525, ""en"", ""ar""))"),"يعرض")</f>
        <v>يعرض</v>
      </c>
      <c r="K525" s="56" t="str">
        <f>IF('AYIRA MINI MART FINAL MENU - Pr'!K525="", "", 'AYIRA MINI MART FINAL MENU - Pr'!K525)</f>
        <v/>
      </c>
      <c r="L525" s="56" t="str">
        <f>IF('AYIRA MINI MART FINAL MENU - Pr'!L525="", "", 'AYIRA MINI MART FINAL MENU - Pr'!L525)</f>
        <v/>
      </c>
      <c r="M525" s="56" t="str">
        <f>IF('AYIRA MINI MART FINAL MENU - Pr'!M525="", "", 'AYIRA MINI MART FINAL MENU - Pr'!M525)</f>
        <v/>
      </c>
      <c r="N525" s="56" t="str">
        <f>IF('AYIRA MINI MART FINAL MENU - Pr'!N525="", "", 'AYIRA MINI MART FINAL MENU - Pr'!N525)</f>
        <v/>
      </c>
      <c r="O525" s="57"/>
      <c r="P525" s="57"/>
      <c r="Q525" s="57"/>
      <c r="R525" s="57"/>
      <c r="S525" s="57"/>
      <c r="T525" s="57"/>
      <c r="U525" s="57"/>
      <c r="V525" s="57"/>
      <c r="W525" s="57"/>
      <c r="X525" s="57"/>
      <c r="Y525" s="57"/>
      <c r="Z525" s="57"/>
    </row>
    <row r="526">
      <c r="A526" s="56" t="str">
        <f>IFERROR(__xludf.DUMMYFUNCTION("IF('AYIRA MINI MART FINAL MENU - Pr'!A526="""", """", IF(LEN(TRIM(REGEXREPLACE(REGEXREPLACE('AYIRA MINI MART FINAL MENU - Pr'!A526, ""^[^\x{0600}-\x{06FF}]+"", """"), ""^[-–\s]+"", """")))&gt;0, TRIM(REGEXREPLACE(REGEXREPLACE('AYIRA MINI MART FINAL MENU - Pr"&amp;"'!A526, ""^[^\x{0600}-\x{06FF}]+"", """"), ""^[-–\s]+"", """")), GOOGLETRANSLATE('AYIRA MINI MART FINAL MENU - Pr'!A526, ""en"", ""ar"")))"),"تشيتوس Flamin’ حار Crunchy Export 226.8 غرام")</f>
        <v>تشيتوس Flamin’ حار Crunchy Export 226.8 غرام</v>
      </c>
      <c r="B526" s="56" t="str">
        <f>IFERROR(__xludf.DUMMYFUNCTION("IF('AYIRA MINI MART FINAL MENU - Pr'!B526="""", """", IF(LEN(TRIM(REGEXREPLACE(REGEXREPLACE('AYIRA MINI MART FINAL MENU - Pr'!B526, ""^[^\x{0600}-\x{06FF}]+"", """"), ""^[-–\s]+"", """")))&gt;0, TRIM(REGEXREPLACE(REGEXREPLACE('AYIRA MINI MART FINAL MENU - Pr"&amp;"'!B526, ""^[^\x{0600}-\x{06FF}]+"", """"), ""^[-–\s]+"", """")), GOOGLETRANSLATE('AYIRA MINI MART FINAL MENU - Pr'!B526, ""en"", ""ar"")))"),"الشيبس والمقرمشات")</f>
        <v>الشيبس والمقرمشات</v>
      </c>
      <c r="C526" s="58">
        <f>IF('AYIRA MINI MART FINAL MENU - Pr'!C526="", "", 'AYIRA MINI MART FINAL MENU - Pr'!C526)</f>
        <v>18</v>
      </c>
      <c r="D526" s="58" t="str">
        <f>IF('AYIRA MINI MART FINAL MENU - Pr'!D526="", "", 'AYIRA MINI MART FINAL MENU - Pr'!D526)</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26" s="56" t="str">
        <f>IF('AYIRA MINI MART FINAL MENU - Pr'!E526="", "", 'AYIRA MINI MART FINAL MENU - Pr'!E526)</f>
        <v/>
      </c>
      <c r="F526" s="56" t="str">
        <f>IF('AYIRA MINI MART FINAL MENU - Pr'!F526="", "", 'AYIRA MINI MART FINAL MENU - Pr'!F526)</f>
        <v/>
      </c>
      <c r="G526" s="56" t="str">
        <f>IF('AYIRA MINI MART FINAL MENU - Pr'!G526="", "", 'AYIRA MINI MART FINAL MENU - Pr'!G526)</f>
        <v/>
      </c>
      <c r="H526" s="56" t="str">
        <f>IF('AYIRA MINI MART FINAL MENU - Pr'!H526="", "", 'AYIRA MINI MART FINAL MENU - Pr'!H526)</f>
        <v/>
      </c>
      <c r="I526" s="56" t="str">
        <f>IF('AYIRA MINI MART FINAL MENU - Pr'!I526="", "", 'AYIRA MINI MART FINAL MENU - Pr'!I526)</f>
        <v/>
      </c>
      <c r="J526" s="56" t="str">
        <f>IFERROR(__xludf.DUMMYFUNCTION("IF('AYIRA MINI MART FINAL MENU - Pr'!J526="""", """", GOOGLETRANSLATE('AYIRA MINI MART FINAL MENU - Pr'!J526, ""en"", ""ar""))"),"يعرض")</f>
        <v>يعرض</v>
      </c>
      <c r="K526" s="56" t="str">
        <f>IF('AYIRA MINI MART FINAL MENU - Pr'!K526="", "", 'AYIRA MINI MART FINAL MENU - Pr'!K526)</f>
        <v/>
      </c>
      <c r="L526" s="56" t="str">
        <f>IF('AYIRA MINI MART FINAL MENU - Pr'!L526="", "", 'AYIRA MINI MART FINAL MENU - Pr'!L526)</f>
        <v/>
      </c>
      <c r="M526" s="56" t="str">
        <f>IF('AYIRA MINI MART FINAL MENU - Pr'!M526="", "", 'AYIRA MINI MART FINAL MENU - Pr'!M526)</f>
        <v/>
      </c>
      <c r="N526" s="56" t="str">
        <f>IF('AYIRA MINI MART FINAL MENU - Pr'!N526="", "", 'AYIRA MINI MART FINAL MENU - Pr'!N526)</f>
        <v/>
      </c>
      <c r="O526" s="57"/>
      <c r="P526" s="57"/>
      <c r="Q526" s="57"/>
      <c r="R526" s="57"/>
      <c r="S526" s="57"/>
      <c r="T526" s="57"/>
      <c r="U526" s="57"/>
      <c r="V526" s="57"/>
      <c r="W526" s="57"/>
      <c r="X526" s="57"/>
      <c r="Y526" s="57"/>
      <c r="Z526" s="57"/>
    </row>
    <row r="527">
      <c r="A527" s="56" t="str">
        <f>IFERROR(__xludf.DUMMYFUNCTION("IF('AYIRA MINI MART FINAL MENU - Pr'!A527="""", """", IF(LEN(TRIM(REGEXREPLACE(REGEXREPLACE('AYIRA MINI MART FINAL MENU - Pr'!A527, ""^[^\x{0600}-\x{06FF}]+"", """"), ""^[-–\s]+"", """")))&gt;0, TRIM(REGEXREPLACE(REGEXREPLACE('AYIRA MINI MART FINAL MENU - Pr"&amp;"'!A527, ""^[^\x{0600}-\x{06FF}]+"", """"), ""^[-–\s]+"", """")), GOOGLETRANSLATE('AYIRA MINI MART FINAL MENU - Pr'!A527, ""en"", ""ar"")))"),"دوريتوس Sweet Chili Pepper 105 غرام")</f>
        <v>دوريتوس Sweet Chili Pepper 105 غرام</v>
      </c>
      <c r="B527" s="56" t="str">
        <f>IFERROR(__xludf.DUMMYFUNCTION("IF('AYIRA MINI MART FINAL MENU - Pr'!B527="""", """", IF(LEN(TRIM(REGEXREPLACE(REGEXREPLACE('AYIRA MINI MART FINAL MENU - Pr'!B527, ""^[^\x{0600}-\x{06FF}]+"", """"), ""^[-–\s]+"", """")))&gt;0, TRIM(REGEXREPLACE(REGEXREPLACE('AYIRA MINI MART FINAL MENU - Pr"&amp;"'!B527, ""^[^\x{0600}-\x{06FF}]+"", """"), ""^[-–\s]+"", """")), GOOGLETRANSLATE('AYIRA MINI MART FINAL MENU - Pr'!B527, ""en"", ""ar"")))"),"الشيبس والمقرمشات")</f>
        <v>الشيبس والمقرمشات</v>
      </c>
      <c r="C527" s="58">
        <f>IF('AYIRA MINI MART FINAL MENU - Pr'!C527="", "", 'AYIRA MINI MART FINAL MENU - Pr'!C527)</f>
        <v>8</v>
      </c>
      <c r="D527" s="58" t="str">
        <f>IF('AYIRA MINI MART FINAL MENU - Pr'!D527="", "", 'AYIRA MINI MART FINAL MENU - Pr'!D527)</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27" s="56" t="str">
        <f>IF('AYIRA MINI MART FINAL MENU - Pr'!E527="", "", 'AYIRA MINI MART FINAL MENU - Pr'!E527)</f>
        <v/>
      </c>
      <c r="F527" s="56" t="str">
        <f>IF('AYIRA MINI MART FINAL MENU - Pr'!F527="", "", 'AYIRA MINI MART FINAL MENU - Pr'!F527)</f>
        <v/>
      </c>
      <c r="G527" s="56" t="str">
        <f>IF('AYIRA MINI MART FINAL MENU - Pr'!G527="", "", 'AYIRA MINI MART FINAL MENU - Pr'!G527)</f>
        <v/>
      </c>
      <c r="H527" s="56" t="str">
        <f>IF('AYIRA MINI MART FINAL MENU - Pr'!H527="", "", 'AYIRA MINI MART FINAL MENU - Pr'!H527)</f>
        <v/>
      </c>
      <c r="I527" s="56" t="str">
        <f>IF('AYIRA MINI MART FINAL MENU - Pr'!I527="", "", 'AYIRA MINI MART FINAL MENU - Pr'!I527)</f>
        <v/>
      </c>
      <c r="J527" s="56" t="str">
        <f>IFERROR(__xludf.DUMMYFUNCTION("IF('AYIRA MINI MART FINAL MENU - Pr'!J527="""", """", GOOGLETRANSLATE('AYIRA MINI MART FINAL MENU - Pr'!J527, ""en"", ""ar""))"),"يعرض")</f>
        <v>يعرض</v>
      </c>
      <c r="K527" s="56" t="str">
        <f>IF('AYIRA MINI MART FINAL MENU - Pr'!K527="", "", 'AYIRA MINI MART FINAL MENU - Pr'!K527)</f>
        <v/>
      </c>
      <c r="L527" s="56" t="str">
        <f>IF('AYIRA MINI MART FINAL MENU - Pr'!L527="", "", 'AYIRA MINI MART FINAL MENU - Pr'!L527)</f>
        <v/>
      </c>
      <c r="M527" s="56" t="str">
        <f>IF('AYIRA MINI MART FINAL MENU - Pr'!M527="", "", 'AYIRA MINI MART FINAL MENU - Pr'!M527)</f>
        <v/>
      </c>
      <c r="N527" s="56" t="str">
        <f>IF('AYIRA MINI MART FINAL MENU - Pr'!N527="", "", 'AYIRA MINI MART FINAL MENU - Pr'!N527)</f>
        <v/>
      </c>
      <c r="O527" s="57"/>
      <c r="P527" s="57"/>
      <c r="Q527" s="57"/>
      <c r="R527" s="57"/>
      <c r="S527" s="57"/>
      <c r="T527" s="57"/>
      <c r="U527" s="57"/>
      <c r="V527" s="57"/>
      <c r="W527" s="57"/>
      <c r="X527" s="57"/>
      <c r="Y527" s="57"/>
      <c r="Z527" s="57"/>
    </row>
    <row r="528">
      <c r="A528" s="56" t="str">
        <f>IFERROR(__xludf.DUMMYFUNCTION("IF('AYIRA MINI MART FINAL MENU - Pr'!A528="""", """", IF(LEN(TRIM(REGEXREPLACE(REGEXREPLACE('AYIRA MINI MART FINAL MENU - Pr'!A528, ""^[^\x{0600}-\x{06FF}]+"", """"), ""^[-–\s]+"", """")))&gt;0, TRIM(REGEXREPLACE(REGEXREPLACE('AYIRA MINI MART FINAL MENU - Pr"&amp;"'!A528, ""^[^\x{0600}-\x{06FF}]+"", """"), ""^[-–\s]+"", """")), GOOGLETRANSLATE('AYIRA MINI MART FINAL MENU - Pr'!A528, ""en"", ""ar"")))"),"ليز Tomato كاتشاب 155 غرام")</f>
        <v>ليز Tomato كاتشاب 155 غرام</v>
      </c>
      <c r="B528" s="56" t="str">
        <f>IFERROR(__xludf.DUMMYFUNCTION("IF('AYIRA MINI MART FINAL MENU - Pr'!B528="""", """", IF(LEN(TRIM(REGEXREPLACE(REGEXREPLACE('AYIRA MINI MART FINAL MENU - Pr'!B528, ""^[^\x{0600}-\x{06FF}]+"", """"), ""^[-–\s]+"", """")))&gt;0, TRIM(REGEXREPLACE(REGEXREPLACE('AYIRA MINI MART FINAL MENU - Pr"&amp;"'!B528, ""^[^\x{0600}-\x{06FF}]+"", """"), ""^[-–\s]+"", """")), GOOGLETRANSLATE('AYIRA MINI MART FINAL MENU - Pr'!B528, ""en"", ""ar"")))"),"الشيبس والمقرمشات")</f>
        <v>الشيبس والمقرمشات</v>
      </c>
      <c r="C528" s="58">
        <f>IF('AYIRA MINI MART FINAL MENU - Pr'!C528="", "", 'AYIRA MINI MART FINAL MENU - Pr'!C528)</f>
        <v>10</v>
      </c>
      <c r="D528" s="58" t="str">
        <f>IF('AYIRA MINI MART FINAL MENU - Pr'!D528="", "", 'AYIRA MINI MART FINAL MENU - Pr'!D528)</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28" s="56" t="str">
        <f>IF('AYIRA MINI MART FINAL MENU - Pr'!E528="", "", 'AYIRA MINI MART FINAL MENU - Pr'!E528)</f>
        <v/>
      </c>
      <c r="F528" s="56" t="str">
        <f>IF('AYIRA MINI MART FINAL MENU - Pr'!F528="", "", 'AYIRA MINI MART FINAL MENU - Pr'!F528)</f>
        <v/>
      </c>
      <c r="G528" s="56" t="str">
        <f>IF('AYIRA MINI MART FINAL MENU - Pr'!G528="", "", 'AYIRA MINI MART FINAL MENU - Pr'!G528)</f>
        <v/>
      </c>
      <c r="H528" s="56" t="str">
        <f>IF('AYIRA MINI MART FINAL MENU - Pr'!H528="", "", 'AYIRA MINI MART FINAL MENU - Pr'!H528)</f>
        <v/>
      </c>
      <c r="I528" s="56" t="str">
        <f>IF('AYIRA MINI MART FINAL MENU - Pr'!I528="", "", 'AYIRA MINI MART FINAL MENU - Pr'!I528)</f>
        <v/>
      </c>
      <c r="J528" s="56" t="str">
        <f>IFERROR(__xludf.DUMMYFUNCTION("IF('AYIRA MINI MART FINAL MENU - Pr'!J528="""", """", GOOGLETRANSLATE('AYIRA MINI MART FINAL MENU - Pr'!J528, ""en"", ""ar""))"),"يعرض")</f>
        <v>يعرض</v>
      </c>
      <c r="K528" s="56" t="str">
        <f>IF('AYIRA MINI MART FINAL MENU - Pr'!K528="", "", 'AYIRA MINI MART FINAL MENU - Pr'!K528)</f>
        <v/>
      </c>
      <c r="L528" s="56" t="str">
        <f>IF('AYIRA MINI MART FINAL MENU - Pr'!L528="", "", 'AYIRA MINI MART FINAL MENU - Pr'!L528)</f>
        <v/>
      </c>
      <c r="M528" s="56" t="str">
        <f>IF('AYIRA MINI MART FINAL MENU - Pr'!M528="", "", 'AYIRA MINI MART FINAL MENU - Pr'!M528)</f>
        <v/>
      </c>
      <c r="N528" s="56" t="str">
        <f>IF('AYIRA MINI MART FINAL MENU - Pr'!N528="", "", 'AYIRA MINI MART FINAL MENU - Pr'!N528)</f>
        <v/>
      </c>
      <c r="O528" s="57"/>
      <c r="P528" s="57"/>
      <c r="Q528" s="57"/>
      <c r="R528" s="57"/>
      <c r="S528" s="57"/>
      <c r="T528" s="57"/>
      <c r="U528" s="57"/>
      <c r="V528" s="57"/>
      <c r="W528" s="57"/>
      <c r="X528" s="57"/>
      <c r="Y528" s="57"/>
      <c r="Z528" s="57"/>
    </row>
    <row r="529">
      <c r="A529" s="56" t="str">
        <f>IFERROR(__xludf.DUMMYFUNCTION("IF('AYIRA MINI MART FINAL MENU - Pr'!A529="""", """", IF(LEN(TRIM(REGEXREPLACE(REGEXREPLACE('AYIRA MINI MART FINAL MENU - Pr'!A529, ""^[^\x{0600}-\x{06FF}]+"", """"), ""^[-–\s]+"", """")))&gt;0, TRIM(REGEXREPLACE(REGEXREPLACE('AYIRA MINI MART FINAL MENU - Pr"&amp;"'!A529, ""^[^\x{0600}-\x{06FF}]+"", """"), ""^[-–\s]+"", """")), GOOGLETRANSLATE('AYIRA MINI MART FINAL MENU - Pr'!A529, ""en"", ""ar"")))"),"ليز مملح 155 غرام")</f>
        <v>ليز مملح 155 غرام</v>
      </c>
      <c r="B529" s="56" t="str">
        <f>IFERROR(__xludf.DUMMYFUNCTION("IF('AYIRA MINI MART FINAL MENU - Pr'!B529="""", """", IF(LEN(TRIM(REGEXREPLACE(REGEXREPLACE('AYIRA MINI MART FINAL MENU - Pr'!B529, ""^[^\x{0600}-\x{06FF}]+"", """"), ""^[-–\s]+"", """")))&gt;0, TRIM(REGEXREPLACE(REGEXREPLACE('AYIRA MINI MART FINAL MENU - Pr"&amp;"'!B529, ""^[^\x{0600}-\x{06FF}]+"", """"), ""^[-–\s]+"", """")), GOOGLETRANSLATE('AYIRA MINI MART FINAL MENU - Pr'!B529, ""en"", ""ar"")))"),"الشيبس والمقرمشات")</f>
        <v>الشيبس والمقرمشات</v>
      </c>
      <c r="C529" s="58">
        <f>IF('AYIRA MINI MART FINAL MENU - Pr'!C529="", "", 'AYIRA MINI MART FINAL MENU - Pr'!C529)</f>
        <v>10</v>
      </c>
      <c r="D529" s="58" t="str">
        <f>IF('AYIRA MINI MART FINAL MENU - Pr'!D529="", "", 'AYIRA MINI MART FINAL MENU - Pr'!D529)</f>
        <v>لا تقاوم طعم ليز،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29" s="56" t="str">
        <f>IF('AYIRA MINI MART FINAL MENU - Pr'!E529="", "", 'AYIRA MINI MART FINAL MENU - Pr'!E529)</f>
        <v/>
      </c>
      <c r="F529" s="56" t="str">
        <f>IF('AYIRA MINI MART FINAL MENU - Pr'!F529="", "", 'AYIRA MINI MART FINAL MENU - Pr'!F529)</f>
        <v/>
      </c>
      <c r="G529" s="56" t="str">
        <f>IF('AYIRA MINI MART FINAL MENU - Pr'!G529="", "", 'AYIRA MINI MART FINAL MENU - Pr'!G529)</f>
        <v/>
      </c>
      <c r="H529" s="56" t="str">
        <f>IF('AYIRA MINI MART FINAL MENU - Pr'!H529="", "", 'AYIRA MINI MART FINAL MENU - Pr'!H529)</f>
        <v/>
      </c>
      <c r="I529" s="56" t="str">
        <f>IF('AYIRA MINI MART FINAL MENU - Pr'!I529="", "", 'AYIRA MINI MART FINAL MENU - Pr'!I529)</f>
        <v/>
      </c>
      <c r="J529" s="56" t="str">
        <f>IFERROR(__xludf.DUMMYFUNCTION("IF('AYIRA MINI MART FINAL MENU - Pr'!J529="""", """", GOOGLETRANSLATE('AYIRA MINI MART FINAL MENU - Pr'!J529, ""en"", ""ar""))"),"يعرض")</f>
        <v>يعرض</v>
      </c>
      <c r="K529" s="56" t="str">
        <f>IF('AYIRA MINI MART FINAL MENU - Pr'!K529="", "", 'AYIRA MINI MART FINAL MENU - Pr'!K529)</f>
        <v/>
      </c>
      <c r="L529" s="56" t="str">
        <f>IF('AYIRA MINI MART FINAL MENU - Pr'!L529="", "", 'AYIRA MINI MART FINAL MENU - Pr'!L529)</f>
        <v/>
      </c>
      <c r="M529" s="56" t="str">
        <f>IF('AYIRA MINI MART FINAL MENU - Pr'!M529="", "", 'AYIRA MINI MART FINAL MENU - Pr'!M529)</f>
        <v/>
      </c>
      <c r="N529" s="56" t="str">
        <f>IF('AYIRA MINI MART FINAL MENU - Pr'!N529="", "", 'AYIRA MINI MART FINAL MENU - Pr'!N529)</f>
        <v/>
      </c>
      <c r="O529" s="57"/>
      <c r="P529" s="57"/>
      <c r="Q529" s="57"/>
      <c r="R529" s="57"/>
      <c r="S529" s="57"/>
      <c r="T529" s="57"/>
      <c r="U529" s="57"/>
      <c r="V529" s="57"/>
      <c r="W529" s="57"/>
      <c r="X529" s="57"/>
      <c r="Y529" s="57"/>
      <c r="Z529" s="57"/>
    </row>
    <row r="530">
      <c r="A530" s="56" t="str">
        <f>IFERROR(__xludf.DUMMYFUNCTION("IF('AYIRA MINI MART FINAL MENU - Pr'!A530="""", """", IF(LEN(TRIM(REGEXREPLACE(REGEXREPLACE('AYIRA MINI MART FINAL MENU - Pr'!A530, ""^[^\x{0600}-\x{06FF}]+"", """"), ""^[-–\s]+"", """")))&gt;0, TRIM(REGEXREPLACE(REGEXREPLACE('AYIRA MINI MART FINAL MENU - Pr"&amp;"'!A530, ""^[^\x{0600}-\x{06FF}]+"", """"), ""^[-–\s]+"", """")), GOOGLETRANSLATE('AYIRA MINI MART FINAL MENU - Pr'!A530, ""en"", ""ar"")))"),"مملح 155 غرام")</f>
        <v>مملح 155 غرام</v>
      </c>
      <c r="B530" s="56" t="str">
        <f>IFERROR(__xludf.DUMMYFUNCTION("IF('AYIRA MINI MART FINAL MENU - Pr'!B530="""", """", IF(LEN(TRIM(REGEXREPLACE(REGEXREPLACE('AYIRA MINI MART FINAL MENU - Pr'!B530, ""^[^\x{0600}-\x{06FF}]+"", """"), ""^[-–\s]+"", """")))&gt;0, TRIM(REGEXREPLACE(REGEXREPLACE('AYIRA MINI MART FINAL MENU - Pr"&amp;"'!B530, ""^[^\x{0600}-\x{06FF}]+"", """"), ""^[-–\s]+"", """")), GOOGLETRANSLATE('AYIRA MINI MART FINAL MENU - Pr'!B530, ""en"", ""ar"")))"),"الشيبس والمقرمشات")</f>
        <v>الشيبس والمقرمشات</v>
      </c>
      <c r="C530" s="58">
        <f>IF('AYIRA MINI MART FINAL MENU - Pr'!C530="", "", 'AYIRA MINI MART FINAL MENU - Pr'!C530)</f>
        <v>6.5</v>
      </c>
      <c r="D530" s="58" t="str">
        <f>IF('AYIRA MINI MART FINAL MENU - Pr'!D530="", "", 'AYIRA MINI MART FINAL MENU - Pr'!D530)</f>
        <v>لا تقاوم طعم Balaji Crunchem Simply Salted 155g،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0" s="56" t="str">
        <f>IF('AYIRA MINI MART FINAL MENU - Pr'!E530="", "", 'AYIRA MINI MART FINAL MENU - Pr'!E530)</f>
        <v/>
      </c>
      <c r="F530" s="56" t="str">
        <f>IF('AYIRA MINI MART FINAL MENU - Pr'!F530="", "", 'AYIRA MINI MART FINAL MENU - Pr'!F530)</f>
        <v/>
      </c>
      <c r="G530" s="56" t="str">
        <f>IF('AYIRA MINI MART FINAL MENU - Pr'!G530="", "", 'AYIRA MINI MART FINAL MENU - Pr'!G530)</f>
        <v/>
      </c>
      <c r="H530" s="56" t="str">
        <f>IF('AYIRA MINI MART FINAL MENU - Pr'!H530="", "", 'AYIRA MINI MART FINAL MENU - Pr'!H530)</f>
        <v/>
      </c>
      <c r="I530" s="56" t="str">
        <f>IF('AYIRA MINI MART FINAL MENU - Pr'!I530="", "", 'AYIRA MINI MART FINAL MENU - Pr'!I530)</f>
        <v/>
      </c>
      <c r="J530" s="56" t="str">
        <f>IFERROR(__xludf.DUMMYFUNCTION("IF('AYIRA MINI MART FINAL MENU - Pr'!J530="""", """", GOOGLETRANSLATE('AYIRA MINI MART FINAL MENU - Pr'!J530, ""en"", ""ar""))"),"يعرض")</f>
        <v>يعرض</v>
      </c>
      <c r="K530" s="56" t="str">
        <f>IF('AYIRA MINI MART FINAL MENU - Pr'!K530="", "", 'AYIRA MINI MART FINAL MENU - Pr'!K530)</f>
        <v/>
      </c>
      <c r="L530" s="56" t="str">
        <f>IF('AYIRA MINI MART FINAL MENU - Pr'!L530="", "", 'AYIRA MINI MART FINAL MENU - Pr'!L530)</f>
        <v/>
      </c>
      <c r="M530" s="56" t="str">
        <f>IF('AYIRA MINI MART FINAL MENU - Pr'!M530="", "", 'AYIRA MINI MART FINAL MENU - Pr'!M530)</f>
        <v/>
      </c>
      <c r="N530" s="56" t="str">
        <f>IF('AYIRA MINI MART FINAL MENU - Pr'!N530="", "", 'AYIRA MINI MART FINAL MENU - Pr'!N530)</f>
        <v/>
      </c>
      <c r="O530" s="57"/>
      <c r="P530" s="57"/>
      <c r="Q530" s="57"/>
      <c r="R530" s="57"/>
      <c r="S530" s="57"/>
      <c r="T530" s="57"/>
      <c r="U530" s="57"/>
      <c r="V530" s="57"/>
      <c r="W530" s="57"/>
      <c r="X530" s="57"/>
      <c r="Y530" s="57"/>
      <c r="Z530" s="57"/>
    </row>
    <row r="531">
      <c r="A531" s="56" t="str">
        <f>IFERROR(__xludf.DUMMYFUNCTION("IF('AYIRA MINI MART FINAL MENU - Pr'!A531="""", """", IF(LEN(TRIM(REGEXREPLACE(REGEXREPLACE('AYIRA MINI MART FINAL MENU - Pr'!A531, ""^[^\x{0600}-\x{06FF}]+"", """"), ""^[-–\s]+"", """")))&gt;0, TRIM(REGEXREPLACE(REGEXREPLACE('AYIRA MINI MART FINAL MENU - Pr"&amp;"'!A531, ""^[^\x{0600}-\x{06FF}]+"", """"), ""^[-–\s]+"", """")), GOOGLETRANSLATE('AYIRA MINI MART FINAL MENU - Pr'!A531, ""en"", ""ar"")))"),"تشيتوس Flamin’ حار 40 غرام")</f>
        <v>تشيتوس Flamin’ حار 40 غرام</v>
      </c>
      <c r="B531" s="56" t="str">
        <f>IFERROR(__xludf.DUMMYFUNCTION("IF('AYIRA MINI MART FINAL MENU - Pr'!B531="""", """", IF(LEN(TRIM(REGEXREPLACE(REGEXREPLACE('AYIRA MINI MART FINAL MENU - Pr'!B531, ""^[^\x{0600}-\x{06FF}]+"", """"), ""^[-–\s]+"", """")))&gt;0, TRIM(REGEXREPLACE(REGEXREPLACE('AYIRA MINI MART FINAL MENU - Pr"&amp;"'!B531, ""^[^\x{0600}-\x{06FF}]+"", """"), ""^[-–\s]+"", """")), GOOGLETRANSLATE('AYIRA MINI MART FINAL MENU - Pr'!B531, ""en"", ""ar"")))"),"الشيبس والمقرمشات")</f>
        <v>الشيبس والمقرمشات</v>
      </c>
      <c r="C531" s="58">
        <f>IF('AYIRA MINI MART FINAL MENU - Pr'!C531="", "", 'AYIRA MINI MART FINAL MENU - Pr'!C531)</f>
        <v>4</v>
      </c>
      <c r="D531" s="58" t="str">
        <f>IF('AYIRA MINI MART FINAL MENU - Pr'!D531="", "", 'AYIRA MINI MART FINAL MENU - Pr'!D531)</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1" s="56" t="str">
        <f>IF('AYIRA MINI MART FINAL MENU - Pr'!E531="", "", 'AYIRA MINI MART FINAL MENU - Pr'!E531)</f>
        <v/>
      </c>
      <c r="F531" s="56" t="str">
        <f>IF('AYIRA MINI MART FINAL MENU - Pr'!F531="", "", 'AYIRA MINI MART FINAL MENU - Pr'!F531)</f>
        <v/>
      </c>
      <c r="G531" s="56" t="str">
        <f>IF('AYIRA MINI MART FINAL MENU - Pr'!G531="", "", 'AYIRA MINI MART FINAL MENU - Pr'!G531)</f>
        <v/>
      </c>
      <c r="H531" s="56" t="str">
        <f>IF('AYIRA MINI MART FINAL MENU - Pr'!H531="", "", 'AYIRA MINI MART FINAL MENU - Pr'!H531)</f>
        <v/>
      </c>
      <c r="I531" s="56" t="str">
        <f>IF('AYIRA MINI MART FINAL MENU - Pr'!I531="", "", 'AYIRA MINI MART FINAL MENU - Pr'!I531)</f>
        <v/>
      </c>
      <c r="J531" s="56" t="str">
        <f>IFERROR(__xludf.DUMMYFUNCTION("IF('AYIRA MINI MART FINAL MENU - Pr'!J531="""", """", GOOGLETRANSLATE('AYIRA MINI MART FINAL MENU - Pr'!J531, ""en"", ""ar""))"),"يعرض")</f>
        <v>يعرض</v>
      </c>
      <c r="K531" s="56" t="str">
        <f>IF('AYIRA MINI MART FINAL MENU - Pr'!K531="", "", 'AYIRA MINI MART FINAL MENU - Pr'!K531)</f>
        <v/>
      </c>
      <c r="L531" s="56" t="str">
        <f>IF('AYIRA MINI MART FINAL MENU - Pr'!L531="", "", 'AYIRA MINI MART FINAL MENU - Pr'!L531)</f>
        <v/>
      </c>
      <c r="M531" s="56" t="str">
        <f>IF('AYIRA MINI MART FINAL MENU - Pr'!M531="", "", 'AYIRA MINI MART FINAL MENU - Pr'!M531)</f>
        <v/>
      </c>
      <c r="N531" s="56" t="str">
        <f>IF('AYIRA MINI MART FINAL MENU - Pr'!N531="", "", 'AYIRA MINI MART FINAL MENU - Pr'!N531)</f>
        <v/>
      </c>
      <c r="O531" s="57"/>
      <c r="P531" s="57"/>
      <c r="Q531" s="57"/>
      <c r="R531" s="57"/>
      <c r="S531" s="57"/>
      <c r="T531" s="57"/>
      <c r="U531" s="57"/>
      <c r="V531" s="57"/>
      <c r="W531" s="57"/>
      <c r="X531" s="57"/>
      <c r="Y531" s="57"/>
      <c r="Z531" s="57"/>
    </row>
    <row r="532">
      <c r="A532" s="56" t="str">
        <f>IFERROR(__xludf.DUMMYFUNCTION("IF('AYIRA MINI MART FINAL MENU - Pr'!A532="""", """", IF(LEN(TRIM(REGEXREPLACE(REGEXREPLACE('AYIRA MINI MART FINAL MENU - Pr'!A532, ""^[^\x{0600}-\x{06FF}]+"", """"), ""^[-–\s]+"", """")))&gt;0, TRIM(REGEXREPLACE(REGEXREPLACE('AYIRA MINI MART FINAL MENU - Pr"&amp;"'!A532, ""^[^\x{0600}-\x{06FF}]+"", """"), ""^[-–\s]+"", """")), GOOGLETRANSLATE('AYIRA MINI MART FINAL MENU - Pr'!A532, ""en"", ""ar"")))"),"كريم &amp; بصل Flavour 75 غرام")</f>
        <v>كريم &amp; بصل Flavour 75 غرام</v>
      </c>
      <c r="B532" s="56" t="str">
        <f>IFERROR(__xludf.DUMMYFUNCTION("IF('AYIRA MINI MART FINAL MENU - Pr'!B532="""", """", IF(LEN(TRIM(REGEXREPLACE(REGEXREPLACE('AYIRA MINI MART FINAL MENU - Pr'!B532, ""^[^\x{0600}-\x{06FF}]+"", """"), ""^[-–\s]+"", """")))&gt;0, TRIM(REGEXREPLACE(REGEXREPLACE('AYIRA MINI MART FINAL MENU - Pr"&amp;"'!B532, ""^[^\x{0600}-\x{06FF}]+"", """"), ""^[-–\s]+"", """")), GOOGLETRANSLATE('AYIRA MINI MART FINAL MENU - Pr'!B532, ""en"", ""ar"")))"),"الشيبس والمقرمشات")</f>
        <v>الشيبس والمقرمشات</v>
      </c>
      <c r="C532" s="58">
        <f>IF('AYIRA MINI MART FINAL MENU - Pr'!C532="", "", 'AYIRA MINI MART FINAL MENU - Pr'!C532)</f>
        <v>4</v>
      </c>
      <c r="D532" s="58" t="str">
        <f>IF('AYIRA MINI MART FINAL MENU - Pr'!D532="", "", 'AYIRA MINI MART FINAL MENU - Pr'!D532)</f>
        <v>لا تقاوم طعم Al Mudhish Potato Ripples Crunch Sour Cream &amp; Onion Flavour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2" s="56" t="str">
        <f>IF('AYIRA MINI MART FINAL MENU - Pr'!E532="", "", 'AYIRA MINI MART FINAL MENU - Pr'!E532)</f>
        <v/>
      </c>
      <c r="F532" s="56" t="str">
        <f>IF('AYIRA MINI MART FINAL MENU - Pr'!F532="", "", 'AYIRA MINI MART FINAL MENU - Pr'!F532)</f>
        <v/>
      </c>
      <c r="G532" s="56" t="str">
        <f>IF('AYIRA MINI MART FINAL MENU - Pr'!G532="", "", 'AYIRA MINI MART FINAL MENU - Pr'!G532)</f>
        <v/>
      </c>
      <c r="H532" s="56" t="str">
        <f>IF('AYIRA MINI MART FINAL MENU - Pr'!H532="", "", 'AYIRA MINI MART FINAL MENU - Pr'!H532)</f>
        <v/>
      </c>
      <c r="I532" s="56" t="str">
        <f>IF('AYIRA MINI MART FINAL MENU - Pr'!I532="", "", 'AYIRA MINI MART FINAL MENU - Pr'!I532)</f>
        <v/>
      </c>
      <c r="J532" s="56" t="str">
        <f>IFERROR(__xludf.DUMMYFUNCTION("IF('AYIRA MINI MART FINAL MENU - Pr'!J532="""", """", GOOGLETRANSLATE('AYIRA MINI MART FINAL MENU - Pr'!J532, ""en"", ""ar""))"),"يعرض")</f>
        <v>يعرض</v>
      </c>
      <c r="K532" s="56" t="str">
        <f>IF('AYIRA MINI MART FINAL MENU - Pr'!K532="", "", 'AYIRA MINI MART FINAL MENU - Pr'!K532)</f>
        <v/>
      </c>
      <c r="L532" s="56" t="str">
        <f>IF('AYIRA MINI MART FINAL MENU - Pr'!L532="", "", 'AYIRA MINI MART FINAL MENU - Pr'!L532)</f>
        <v/>
      </c>
      <c r="M532" s="56" t="str">
        <f>IF('AYIRA MINI MART FINAL MENU - Pr'!M532="", "", 'AYIRA MINI MART FINAL MENU - Pr'!M532)</f>
        <v/>
      </c>
      <c r="N532" s="56" t="str">
        <f>IF('AYIRA MINI MART FINAL MENU - Pr'!N532="", "", 'AYIRA MINI MART FINAL MENU - Pr'!N532)</f>
        <v/>
      </c>
      <c r="O532" s="57"/>
      <c r="P532" s="57"/>
      <c r="Q532" s="57"/>
      <c r="R532" s="57"/>
      <c r="S532" s="57"/>
      <c r="T532" s="57"/>
      <c r="U532" s="57"/>
      <c r="V532" s="57"/>
      <c r="W532" s="57"/>
      <c r="X532" s="57"/>
      <c r="Y532" s="57"/>
      <c r="Z532" s="57"/>
    </row>
    <row r="533">
      <c r="A533" s="56" t="str">
        <f>IFERROR(__xludf.DUMMYFUNCTION("IF('AYIRA MINI MART FINAL MENU - Pr'!A533="""", """", IF(LEN(TRIM(REGEXREPLACE(REGEXREPLACE('AYIRA MINI MART FINAL MENU - Pr'!A533, ""^[^\x{0600}-\x{06FF}]+"", """"), ""^[-–\s]+"", """")))&gt;0, TRIM(REGEXREPLACE(REGEXREPLACE('AYIRA MINI MART FINAL MENU - Pr"&amp;"'!A533, ""^[^\x{0600}-\x{06FF}]+"", """"), ""^[-–\s]+"", """")), GOOGLETRANSLATE('AYIRA MINI MART FINAL MENU - Pr'!A533, ""en"", ""ar"")))"),"شيبس Mexican Chilli 75 غرام")</f>
        <v>شيبس Mexican Chilli 75 غرام</v>
      </c>
      <c r="B533" s="56" t="str">
        <f>IFERROR(__xludf.DUMMYFUNCTION("IF('AYIRA MINI MART FINAL MENU - Pr'!B533="""", """", IF(LEN(TRIM(REGEXREPLACE(REGEXREPLACE('AYIRA MINI MART FINAL MENU - Pr'!B533, ""^[^\x{0600}-\x{06FF}]+"", """"), ""^[-–\s]+"", """")))&gt;0, TRIM(REGEXREPLACE(REGEXREPLACE('AYIRA MINI MART FINAL MENU - Pr"&amp;"'!B533, ""^[^\x{0600}-\x{06FF}]+"", """"), ""^[-–\s]+"", """")), GOOGLETRANSLATE('AYIRA MINI MART FINAL MENU - Pr'!B533, ""en"", ""ar"")))"),"الشيبس والمقرمشات")</f>
        <v>الشيبس والمقرمشات</v>
      </c>
      <c r="C533" s="58">
        <f>IF('AYIRA MINI MART FINAL MENU - Pr'!C533="", "", 'AYIRA MINI MART FINAL MENU - Pr'!C533)</f>
        <v>4</v>
      </c>
      <c r="D533" s="58" t="str">
        <f>IF('AYIRA MINI MART FINAL MENU - Pr'!D533="", "", 'AYIRA MINI MART FINAL MENU - Pr'!D533)</f>
        <v>لا تقاوم طعم Crispy Potato Chips Mexican Chilli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3" s="56" t="str">
        <f>IF('AYIRA MINI MART FINAL MENU - Pr'!E533="", "", 'AYIRA MINI MART FINAL MENU - Pr'!E533)</f>
        <v/>
      </c>
      <c r="F533" s="56" t="str">
        <f>IF('AYIRA MINI MART FINAL MENU - Pr'!F533="", "", 'AYIRA MINI MART FINAL MENU - Pr'!F533)</f>
        <v/>
      </c>
      <c r="G533" s="56" t="str">
        <f>IF('AYIRA MINI MART FINAL MENU - Pr'!G533="", "", 'AYIRA MINI MART FINAL MENU - Pr'!G533)</f>
        <v/>
      </c>
      <c r="H533" s="56" t="str">
        <f>IF('AYIRA MINI MART FINAL MENU - Pr'!H533="", "", 'AYIRA MINI MART FINAL MENU - Pr'!H533)</f>
        <v/>
      </c>
      <c r="I533" s="56" t="str">
        <f>IF('AYIRA MINI MART FINAL MENU - Pr'!I533="", "", 'AYIRA MINI MART FINAL MENU - Pr'!I533)</f>
        <v/>
      </c>
      <c r="J533" s="56" t="str">
        <f>IFERROR(__xludf.DUMMYFUNCTION("IF('AYIRA MINI MART FINAL MENU - Pr'!J533="""", """", GOOGLETRANSLATE('AYIRA MINI MART FINAL MENU - Pr'!J533, ""en"", ""ar""))"),"يعرض")</f>
        <v>يعرض</v>
      </c>
      <c r="K533" s="56" t="str">
        <f>IF('AYIRA MINI MART FINAL MENU - Pr'!K533="", "", 'AYIRA MINI MART FINAL MENU - Pr'!K533)</f>
        <v/>
      </c>
      <c r="L533" s="56" t="str">
        <f>IF('AYIRA MINI MART FINAL MENU - Pr'!L533="", "", 'AYIRA MINI MART FINAL MENU - Pr'!L533)</f>
        <v/>
      </c>
      <c r="M533" s="56" t="str">
        <f>IF('AYIRA MINI MART FINAL MENU - Pr'!M533="", "", 'AYIRA MINI MART FINAL MENU - Pr'!M533)</f>
        <v/>
      </c>
      <c r="N533" s="56" t="str">
        <f>IF('AYIRA MINI MART FINAL MENU - Pr'!N533="", "", 'AYIRA MINI MART FINAL MENU - Pr'!N533)</f>
        <v/>
      </c>
      <c r="O533" s="57"/>
      <c r="P533" s="57"/>
      <c r="Q533" s="57"/>
      <c r="R533" s="57"/>
      <c r="S533" s="57"/>
      <c r="T533" s="57"/>
      <c r="U533" s="57"/>
      <c r="V533" s="57"/>
      <c r="W533" s="57"/>
      <c r="X533" s="57"/>
      <c r="Y533" s="57"/>
      <c r="Z533" s="57"/>
    </row>
    <row r="534">
      <c r="A534" s="56" t="str">
        <f>IFERROR(__xludf.DUMMYFUNCTION("IF('AYIRA MINI MART FINAL MENU - Pr'!A534="""", """", IF(LEN(TRIM(REGEXREPLACE(REGEXREPLACE('AYIRA MINI MART FINAL MENU - Pr'!A534, ""^[^\x{0600}-\x{06FF}]+"", """"), ""^[-–\s]+"", """")))&gt;0, TRIM(REGEXREPLACE(REGEXREPLACE('AYIRA MINI MART FINAL MENU - Pr"&amp;"'!A534, ""^[^\x{0600}-\x{06FF}]+"", """"), ""^[-–\s]+"", """")), GOOGLETRANSLATE('AYIRA MINI MART FINAL MENU - Pr'!A534, ""en"", ""ar"")))"),"ملح &amp; Vinegar شيبس 80 غرام")</f>
        <v>ملح &amp; Vinegar شيبس 80 غرام</v>
      </c>
      <c r="B534" s="56" t="str">
        <f>IFERROR(__xludf.DUMMYFUNCTION("IF('AYIRA MINI MART FINAL MENU - Pr'!B534="""", """", IF(LEN(TRIM(REGEXREPLACE(REGEXREPLACE('AYIRA MINI MART FINAL MENU - Pr'!B534, ""^[^\x{0600}-\x{06FF}]+"", """"), ""^[-–\s]+"", """")))&gt;0, TRIM(REGEXREPLACE(REGEXREPLACE('AYIRA MINI MART FINAL MENU - Pr"&amp;"'!B534, ""^[^\x{0600}-\x{06FF}]+"", """"), ""^[-–\s]+"", """")), GOOGLETRANSLATE('AYIRA MINI MART FINAL MENU - Pr'!B534, ""en"", ""ar"")))"),"الشيبس والمقرمشات")</f>
        <v>الشيبس والمقرمشات</v>
      </c>
      <c r="C534" s="58">
        <f>IF('AYIRA MINI MART FINAL MENU - Pr'!C534="", "", 'AYIRA MINI MART FINAL MENU - Pr'!C534)</f>
        <v>4</v>
      </c>
      <c r="D534" s="58" t="str">
        <f>IF('AYIRA MINI MART FINAL MENU - Pr'!D534="", "", 'AYIRA MINI MART FINAL MENU - Pr'!D534)</f>
        <v>لا تقاوم طعم ABC Salt &amp; Vinegar Chips 80g،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4" s="56" t="str">
        <f>IF('AYIRA MINI MART FINAL MENU - Pr'!E534="", "", 'AYIRA MINI MART FINAL MENU - Pr'!E534)</f>
        <v/>
      </c>
      <c r="F534" s="56" t="str">
        <f>IF('AYIRA MINI MART FINAL MENU - Pr'!F534="", "", 'AYIRA MINI MART FINAL MENU - Pr'!F534)</f>
        <v/>
      </c>
      <c r="G534" s="56" t="str">
        <f>IF('AYIRA MINI MART FINAL MENU - Pr'!G534="", "", 'AYIRA MINI MART FINAL MENU - Pr'!G534)</f>
        <v/>
      </c>
      <c r="H534" s="56" t="str">
        <f>IF('AYIRA MINI MART FINAL MENU - Pr'!H534="", "", 'AYIRA MINI MART FINAL MENU - Pr'!H534)</f>
        <v/>
      </c>
      <c r="I534" s="56" t="str">
        <f>IF('AYIRA MINI MART FINAL MENU - Pr'!I534="", "", 'AYIRA MINI MART FINAL MENU - Pr'!I534)</f>
        <v/>
      </c>
      <c r="J534" s="56" t="str">
        <f>IFERROR(__xludf.DUMMYFUNCTION("IF('AYIRA MINI MART FINAL MENU - Pr'!J534="""", """", GOOGLETRANSLATE('AYIRA MINI MART FINAL MENU - Pr'!J534, ""en"", ""ar""))"),"يعرض")</f>
        <v>يعرض</v>
      </c>
      <c r="K534" s="56" t="str">
        <f>IF('AYIRA MINI MART FINAL MENU - Pr'!K534="", "", 'AYIRA MINI MART FINAL MENU - Pr'!K534)</f>
        <v/>
      </c>
      <c r="L534" s="56" t="str">
        <f>IF('AYIRA MINI MART FINAL MENU - Pr'!L534="", "", 'AYIRA MINI MART FINAL MENU - Pr'!L534)</f>
        <v/>
      </c>
      <c r="M534" s="56" t="str">
        <f>IF('AYIRA MINI MART FINAL MENU - Pr'!M534="", "", 'AYIRA MINI MART FINAL MENU - Pr'!M534)</f>
        <v/>
      </c>
      <c r="N534" s="56" t="str">
        <f>IF('AYIRA MINI MART FINAL MENU - Pr'!N534="", "", 'AYIRA MINI MART FINAL MENU - Pr'!N534)</f>
        <v/>
      </c>
      <c r="O534" s="57"/>
      <c r="P534" s="57"/>
      <c r="Q534" s="57"/>
      <c r="R534" s="57"/>
      <c r="S534" s="57"/>
      <c r="T534" s="57"/>
      <c r="U534" s="57"/>
      <c r="V534" s="57"/>
      <c r="W534" s="57"/>
      <c r="X534" s="57"/>
      <c r="Y534" s="57"/>
      <c r="Z534" s="57"/>
    </row>
    <row r="535">
      <c r="A535" s="56" t="str">
        <f>IFERROR(__xludf.DUMMYFUNCTION("IF('AYIRA MINI MART FINAL MENU - Pr'!A535="""", """", IF(LEN(TRIM(REGEXREPLACE(REGEXREPLACE('AYIRA MINI MART FINAL MENU - Pr'!A535, ""^[^\x{0600}-\x{06FF}]+"", """"), ""^[-–\s]+"", """")))&gt;0, TRIM(REGEXREPLACE(REGEXREPLACE('AYIRA MINI MART FINAL MENU - Pr"&amp;"'!A535, ""^[^\x{0600}-\x{06FF}]+"", """"), ""^[-–\s]+"", """")), GOOGLETRANSLATE('AYIRA MINI MART FINAL MENU - Pr'!A535, ""en"", ""ar"")))"),"طبيعي Potato Sticks 75 غرام")</f>
        <v>طبيعي Potato Sticks 75 غرام</v>
      </c>
      <c r="B535" s="56" t="str">
        <f>IFERROR(__xludf.DUMMYFUNCTION("IF('AYIRA MINI MART FINAL MENU - Pr'!B535="""", """", IF(LEN(TRIM(REGEXREPLACE(REGEXREPLACE('AYIRA MINI MART FINAL MENU - Pr'!B535, ""^[^\x{0600}-\x{06FF}]+"", """"), ""^[-–\s]+"", """")))&gt;0, TRIM(REGEXREPLACE(REGEXREPLACE('AYIRA MINI MART FINAL MENU - Pr"&amp;"'!B535, ""^[^\x{0600}-\x{06FF}]+"", """"), ""^[-–\s]+"", """")), GOOGLETRANSLATE('AYIRA MINI MART FINAL MENU - Pr'!B535, ""en"", ""ar"")))"),"الشيبس والمقرمشات")</f>
        <v>الشيبس والمقرمشات</v>
      </c>
      <c r="C535" s="58">
        <f>IF('AYIRA MINI MART FINAL MENU - Pr'!C535="", "", 'AYIRA MINI MART FINAL MENU - Pr'!C535)</f>
        <v>4</v>
      </c>
      <c r="D535" s="58" t="str">
        <f>IF('AYIRA MINI MART FINAL MENU - Pr'!D535="", "", 'AYIRA MINI MART FINAL MENU - Pr'!D535)</f>
        <v>لا تقاوم طعم Al Mudhish Natural Potato Sticks 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5" s="56" t="str">
        <f>IF('AYIRA MINI MART FINAL MENU - Pr'!E535="", "", 'AYIRA MINI MART FINAL MENU - Pr'!E535)</f>
        <v/>
      </c>
      <c r="F535" s="56" t="str">
        <f>IF('AYIRA MINI MART FINAL MENU - Pr'!F535="", "", 'AYIRA MINI MART FINAL MENU - Pr'!F535)</f>
        <v/>
      </c>
      <c r="G535" s="56" t="str">
        <f>IF('AYIRA MINI MART FINAL MENU - Pr'!G535="", "", 'AYIRA MINI MART FINAL MENU - Pr'!G535)</f>
        <v/>
      </c>
      <c r="H535" s="56" t="str">
        <f>IF('AYIRA MINI MART FINAL MENU - Pr'!H535="", "", 'AYIRA MINI MART FINAL MENU - Pr'!H535)</f>
        <v/>
      </c>
      <c r="I535" s="56" t="str">
        <f>IF('AYIRA MINI MART FINAL MENU - Pr'!I535="", "", 'AYIRA MINI MART FINAL MENU - Pr'!I535)</f>
        <v/>
      </c>
      <c r="J535" s="56" t="str">
        <f>IFERROR(__xludf.DUMMYFUNCTION("IF('AYIRA MINI MART FINAL MENU - Pr'!J535="""", """", GOOGLETRANSLATE('AYIRA MINI MART FINAL MENU - Pr'!J535, ""en"", ""ar""))"),"يعرض")</f>
        <v>يعرض</v>
      </c>
      <c r="K535" s="56" t="str">
        <f>IF('AYIRA MINI MART FINAL MENU - Pr'!K535="", "", 'AYIRA MINI MART FINAL MENU - Pr'!K535)</f>
        <v/>
      </c>
      <c r="L535" s="56" t="str">
        <f>IF('AYIRA MINI MART FINAL MENU - Pr'!L535="", "", 'AYIRA MINI MART FINAL MENU - Pr'!L535)</f>
        <v/>
      </c>
      <c r="M535" s="56" t="str">
        <f>IF('AYIRA MINI MART FINAL MENU - Pr'!M535="", "", 'AYIRA MINI MART FINAL MENU - Pr'!M535)</f>
        <v/>
      </c>
      <c r="N535" s="56" t="str">
        <f>IF('AYIRA MINI MART FINAL MENU - Pr'!N535="", "", 'AYIRA MINI MART FINAL MENU - Pr'!N535)</f>
        <v/>
      </c>
      <c r="O535" s="57"/>
      <c r="P535" s="57"/>
      <c r="Q535" s="57"/>
      <c r="R535" s="57"/>
      <c r="S535" s="57"/>
      <c r="T535" s="57"/>
      <c r="U535" s="57"/>
      <c r="V535" s="57"/>
      <c r="W535" s="57"/>
      <c r="X535" s="57"/>
      <c r="Y535" s="57"/>
      <c r="Z535" s="57"/>
    </row>
    <row r="536">
      <c r="A536" s="56" t="str">
        <f>IFERROR(__xludf.DUMMYFUNCTION("IF('AYIRA MINI MART FINAL MENU - Pr'!A536="""", """", IF(LEN(TRIM(REGEXREPLACE(REGEXREPLACE('AYIRA MINI MART FINAL MENU - Pr'!A536, ""^[^\x{0600}-\x{06FF}]+"", """"), ""^[-–\s]+"", """")))&gt;0, TRIM(REGEXREPLACE(REGEXREPLACE('AYIRA MINI MART FINAL MENU - Pr"&amp;"'!A536, ""^[^\x{0600}-\x{06FF}]+"", """"), ""^[-–\s]+"", """")), GOOGLETRANSLATE('AYIRA MINI MART FINAL MENU - Pr'!A536, ""en"", ""ar"")))"),"حار Masala 60 غرام")</f>
        <v>حار Masala 60 غرام</v>
      </c>
      <c r="B536" s="56" t="str">
        <f>IFERROR(__xludf.DUMMYFUNCTION("IF('AYIRA MINI MART FINAL MENU - Pr'!B536="""", """", IF(LEN(TRIM(REGEXREPLACE(REGEXREPLACE('AYIRA MINI MART FINAL MENU - Pr'!B536, ""^[^\x{0600}-\x{06FF}]+"", """"), ""^[-–\s]+"", """")))&gt;0, TRIM(REGEXREPLACE(REGEXREPLACE('AYIRA MINI MART FINAL MENU - Pr"&amp;"'!B536, ""^[^\x{0600}-\x{06FF}]+"", """"), ""^[-–\s]+"", """")), GOOGLETRANSLATE('AYIRA MINI MART FINAL MENU - Pr'!B536, ""en"", ""ar"")))"),"الشيبس والمقرمشات")</f>
        <v>الشيبس والمقرمشات</v>
      </c>
      <c r="C536" s="58">
        <f>IF('AYIRA MINI MART FINAL MENU - Pr'!C536="", "", 'AYIRA MINI MART FINAL MENU - Pr'!C536)</f>
        <v>2.5</v>
      </c>
      <c r="D536" s="58" t="str">
        <f>IF('AYIRA MINI MART FINAL MENU - Pr'!D536="", "", 'AYIRA MINI MART FINAL MENU - Pr'!D536)</f>
        <v>لا تقاوم طعم Chilli Out Fire Fingers Spicy Masala 60g،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6" s="56" t="str">
        <f>IF('AYIRA MINI MART FINAL MENU - Pr'!E536="", "", 'AYIRA MINI MART FINAL MENU - Pr'!E536)</f>
        <v/>
      </c>
      <c r="F536" s="56" t="str">
        <f>IF('AYIRA MINI MART FINAL MENU - Pr'!F536="", "", 'AYIRA MINI MART FINAL MENU - Pr'!F536)</f>
        <v/>
      </c>
      <c r="G536" s="56" t="str">
        <f>IF('AYIRA MINI MART FINAL MENU - Pr'!G536="", "", 'AYIRA MINI MART FINAL MENU - Pr'!G536)</f>
        <v/>
      </c>
      <c r="H536" s="56" t="str">
        <f>IF('AYIRA MINI MART FINAL MENU - Pr'!H536="", "", 'AYIRA MINI MART FINAL MENU - Pr'!H536)</f>
        <v/>
      </c>
      <c r="I536" s="56" t="str">
        <f>IF('AYIRA MINI MART FINAL MENU - Pr'!I536="", "", 'AYIRA MINI MART FINAL MENU - Pr'!I536)</f>
        <v/>
      </c>
      <c r="J536" s="56" t="str">
        <f>IFERROR(__xludf.DUMMYFUNCTION("IF('AYIRA MINI MART FINAL MENU - Pr'!J536="""", """", GOOGLETRANSLATE('AYIRA MINI MART FINAL MENU - Pr'!J536, ""en"", ""ar""))"),"يعرض")</f>
        <v>يعرض</v>
      </c>
      <c r="K536" s="56" t="str">
        <f>IF('AYIRA MINI MART FINAL MENU - Pr'!K536="", "", 'AYIRA MINI MART FINAL MENU - Pr'!K536)</f>
        <v/>
      </c>
      <c r="L536" s="56" t="str">
        <f>IF('AYIRA MINI MART FINAL MENU - Pr'!L536="", "", 'AYIRA MINI MART FINAL MENU - Pr'!L536)</f>
        <v/>
      </c>
      <c r="M536" s="56" t="str">
        <f>IF('AYIRA MINI MART FINAL MENU - Pr'!M536="", "", 'AYIRA MINI MART FINAL MENU - Pr'!M536)</f>
        <v/>
      </c>
      <c r="N536" s="56" t="str">
        <f>IF('AYIRA MINI MART FINAL MENU - Pr'!N536="", "", 'AYIRA MINI MART FINAL MENU - Pr'!N536)</f>
        <v/>
      </c>
      <c r="O536" s="57"/>
      <c r="P536" s="57"/>
      <c r="Q536" s="57"/>
      <c r="R536" s="57"/>
      <c r="S536" s="57"/>
      <c r="T536" s="57"/>
      <c r="U536" s="57"/>
      <c r="V536" s="57"/>
      <c r="W536" s="57"/>
      <c r="X536" s="57"/>
      <c r="Y536" s="57"/>
      <c r="Z536" s="57"/>
    </row>
    <row r="537">
      <c r="A537" s="56" t="str">
        <f>IFERROR(__xludf.DUMMYFUNCTION("IF('AYIRA MINI MART FINAL MENU - Pr'!A537="""", """", IF(LEN(TRIM(REGEXREPLACE(REGEXREPLACE('AYIRA MINI MART FINAL MENU - Pr'!A537, ""^[^\x{0600}-\x{06FF}]+"", """"), ""^[-–\s]+"", """")))&gt;0, TRIM(REGEXREPLACE(REGEXREPLACE('AYIRA MINI MART FINAL MENU - Pr"&amp;"'!A537, ""^[^\x{0600}-\x{06FF}]+"", """"), ""^[-–\s]+"", """")), GOOGLETRANSLATE('AYIRA MINI MART FINAL MENU - Pr'!A537, ""en"", ""ar"")))"),"حار عسل 60 غرام")</f>
        <v>حار عسل 60 غرام</v>
      </c>
      <c r="B537" s="56" t="str">
        <f>IFERROR(__xludf.DUMMYFUNCTION("IF('AYIRA MINI MART FINAL MENU - Pr'!B537="""", """", IF(LEN(TRIM(REGEXREPLACE(REGEXREPLACE('AYIRA MINI MART FINAL MENU - Pr'!B537, ""^[^\x{0600}-\x{06FF}]+"", """"), ""^[-–\s]+"", """")))&gt;0, TRIM(REGEXREPLACE(REGEXREPLACE('AYIRA MINI MART FINAL MENU - Pr"&amp;"'!B537, ""^[^\x{0600}-\x{06FF}]+"", """"), ""^[-–\s]+"", """")), GOOGLETRANSLATE('AYIRA MINI MART FINAL MENU - Pr'!B537, ""en"", ""ar"")))"),"الشيبس والمقرمشات")</f>
        <v>الشيبس والمقرمشات</v>
      </c>
      <c r="C537" s="58">
        <f>IF('AYIRA MINI MART FINAL MENU - Pr'!C537="", "", 'AYIRA MINI MART FINAL MENU - Pr'!C537)</f>
        <v>2.5</v>
      </c>
      <c r="D537" s="58" t="str">
        <f>IF('AYIRA MINI MART FINAL MENU - Pr'!D537="", "", 'AYIRA MINI MART FINAL MENU - Pr'!D537)</f>
        <v>لا تقاوم طعم Chilli Out Fire Fingers Spicy Honey 60g،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7" s="56" t="str">
        <f>IF('AYIRA MINI MART FINAL MENU - Pr'!E537="", "", 'AYIRA MINI MART FINAL MENU - Pr'!E537)</f>
        <v/>
      </c>
      <c r="F537" s="56" t="str">
        <f>IF('AYIRA MINI MART FINAL MENU - Pr'!F537="", "", 'AYIRA MINI MART FINAL MENU - Pr'!F537)</f>
        <v/>
      </c>
      <c r="G537" s="56" t="str">
        <f>IF('AYIRA MINI MART FINAL MENU - Pr'!G537="", "", 'AYIRA MINI MART FINAL MENU - Pr'!G537)</f>
        <v/>
      </c>
      <c r="H537" s="56" t="str">
        <f>IF('AYIRA MINI MART FINAL MENU - Pr'!H537="", "", 'AYIRA MINI MART FINAL MENU - Pr'!H537)</f>
        <v/>
      </c>
      <c r="I537" s="56" t="str">
        <f>IF('AYIRA MINI MART FINAL MENU - Pr'!I537="", "", 'AYIRA MINI MART FINAL MENU - Pr'!I537)</f>
        <v/>
      </c>
      <c r="J537" s="56" t="str">
        <f>IFERROR(__xludf.DUMMYFUNCTION("IF('AYIRA MINI MART FINAL MENU - Pr'!J537="""", """", GOOGLETRANSLATE('AYIRA MINI MART FINAL MENU - Pr'!J537, ""en"", ""ar""))"),"يعرض")</f>
        <v>يعرض</v>
      </c>
      <c r="K537" s="56" t="str">
        <f>IF('AYIRA MINI MART FINAL MENU - Pr'!K537="", "", 'AYIRA MINI MART FINAL MENU - Pr'!K537)</f>
        <v/>
      </c>
      <c r="L537" s="56" t="str">
        <f>IF('AYIRA MINI MART FINAL MENU - Pr'!L537="", "", 'AYIRA MINI MART FINAL MENU - Pr'!L537)</f>
        <v/>
      </c>
      <c r="M537" s="56" t="str">
        <f>IF('AYIRA MINI MART FINAL MENU - Pr'!M537="", "", 'AYIRA MINI MART FINAL MENU - Pr'!M537)</f>
        <v/>
      </c>
      <c r="N537" s="56" t="str">
        <f>IF('AYIRA MINI MART FINAL MENU - Pr'!N537="", "", 'AYIRA MINI MART FINAL MENU - Pr'!N537)</f>
        <v/>
      </c>
      <c r="O537" s="57"/>
      <c r="P537" s="57"/>
      <c r="Q537" s="57"/>
      <c r="R537" s="57"/>
      <c r="S537" s="57"/>
      <c r="T537" s="57"/>
      <c r="U537" s="57"/>
      <c r="V537" s="57"/>
      <c r="W537" s="57"/>
      <c r="X537" s="57"/>
      <c r="Y537" s="57"/>
      <c r="Z537" s="57"/>
    </row>
    <row r="538">
      <c r="A538" s="56" t="str">
        <f>IFERROR(__xludf.DUMMYFUNCTION("IF('AYIRA MINI MART FINAL MENU - Pr'!A538="""", """", IF(LEN(TRIM(REGEXREPLACE(REGEXREPLACE('AYIRA MINI MART FINAL MENU - Pr'!A538, ""^[^\x{0600}-\x{06FF}]+"", """"), ""^[-–\s]+"", """")))&gt;0, TRIM(REGEXREPLACE(REGEXREPLACE('AYIRA MINI MART FINAL MENU - Pr"&amp;"'!A538, ""^[^\x{0600}-\x{06FF}]+"", """"), ""^[-–\s]+"", """")), GOOGLETRANSLATE('AYIRA MINI MART FINAL MENU - Pr'!A538, ""en"", ""ar"")))"),"حار ليمون 60 غرام")</f>
        <v>حار ليمون 60 غرام</v>
      </c>
      <c r="B538" s="56" t="str">
        <f>IFERROR(__xludf.DUMMYFUNCTION("IF('AYIRA MINI MART FINAL MENU - Pr'!B538="""", """", IF(LEN(TRIM(REGEXREPLACE(REGEXREPLACE('AYIRA MINI MART FINAL MENU - Pr'!B538, ""^[^\x{0600}-\x{06FF}]+"", """"), ""^[-–\s]+"", """")))&gt;0, TRIM(REGEXREPLACE(REGEXREPLACE('AYIRA MINI MART FINAL MENU - Pr"&amp;"'!B538, ""^[^\x{0600}-\x{06FF}]+"", """"), ""^[-–\s]+"", """")), GOOGLETRANSLATE('AYIRA MINI MART FINAL MENU - Pr'!B538, ""en"", ""ar"")))"),"الشيبس والمقرمشات")</f>
        <v>الشيبس والمقرمشات</v>
      </c>
      <c r="C538" s="58">
        <f>IF('AYIRA MINI MART FINAL MENU - Pr'!C538="", "", 'AYIRA MINI MART FINAL MENU - Pr'!C538)</f>
        <v>2.5</v>
      </c>
      <c r="D538" s="58" t="str">
        <f>IF('AYIRA MINI MART FINAL MENU - Pr'!D538="", "", 'AYIRA MINI MART FINAL MENU - Pr'!D538)</f>
        <v>لا تقاوم طعم Chilli Out Fire Fingers Spicy Lemon 60g،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8" s="56" t="str">
        <f>IF('AYIRA MINI MART FINAL MENU - Pr'!E538="", "", 'AYIRA MINI MART FINAL MENU - Pr'!E538)</f>
        <v/>
      </c>
      <c r="F538" s="56" t="str">
        <f>IF('AYIRA MINI MART FINAL MENU - Pr'!F538="", "", 'AYIRA MINI MART FINAL MENU - Pr'!F538)</f>
        <v/>
      </c>
      <c r="G538" s="56" t="str">
        <f>IF('AYIRA MINI MART FINAL MENU - Pr'!G538="", "", 'AYIRA MINI MART FINAL MENU - Pr'!G538)</f>
        <v/>
      </c>
      <c r="H538" s="56" t="str">
        <f>IF('AYIRA MINI MART FINAL MENU - Pr'!H538="", "", 'AYIRA MINI MART FINAL MENU - Pr'!H538)</f>
        <v/>
      </c>
      <c r="I538" s="56" t="str">
        <f>IF('AYIRA MINI MART FINAL MENU - Pr'!I538="", "", 'AYIRA MINI MART FINAL MENU - Pr'!I538)</f>
        <v/>
      </c>
      <c r="J538" s="56" t="str">
        <f>IFERROR(__xludf.DUMMYFUNCTION("IF('AYIRA MINI MART FINAL MENU - Pr'!J538="""", """", GOOGLETRANSLATE('AYIRA MINI MART FINAL MENU - Pr'!J538, ""en"", ""ar""))"),"يعرض")</f>
        <v>يعرض</v>
      </c>
      <c r="K538" s="56" t="str">
        <f>IF('AYIRA MINI MART FINAL MENU - Pr'!K538="", "", 'AYIRA MINI MART FINAL MENU - Pr'!K538)</f>
        <v/>
      </c>
      <c r="L538" s="56" t="str">
        <f>IF('AYIRA MINI MART FINAL MENU - Pr'!L538="", "", 'AYIRA MINI MART FINAL MENU - Pr'!L538)</f>
        <v/>
      </c>
      <c r="M538" s="56" t="str">
        <f>IF('AYIRA MINI MART FINAL MENU - Pr'!M538="", "", 'AYIRA MINI MART FINAL MENU - Pr'!M538)</f>
        <v/>
      </c>
      <c r="N538" s="56" t="str">
        <f>IF('AYIRA MINI MART FINAL MENU - Pr'!N538="", "", 'AYIRA MINI MART FINAL MENU - Pr'!N538)</f>
        <v/>
      </c>
      <c r="O538" s="57"/>
      <c r="P538" s="57"/>
      <c r="Q538" s="57"/>
      <c r="R538" s="57"/>
      <c r="S538" s="57"/>
      <c r="T538" s="57"/>
      <c r="U538" s="57"/>
      <c r="V538" s="57"/>
      <c r="W538" s="57"/>
      <c r="X538" s="57"/>
      <c r="Y538" s="57"/>
      <c r="Z538" s="57"/>
    </row>
    <row r="539">
      <c r="A539" s="56" t="str">
        <f>IFERROR(__xludf.DUMMYFUNCTION("IF('AYIRA MINI MART FINAL MENU - Pr'!A539="""", """", IF(LEN(TRIM(REGEXREPLACE(REGEXREPLACE('AYIRA MINI MART FINAL MENU - Pr'!A539, ""^[^\x{0600}-\x{06FF}]+"", """"), ""^[-–\s]+"", """")))&gt;0, TRIM(REGEXREPLACE(REGEXREPLACE('AYIRA MINI MART FINAL MENU - Pr"&amp;"'!A539, ""^[^\x{0600}-\x{06FF}]+"", """"), ""^[-–\s]+"", """")), GOOGLETRANSLATE('AYIRA MINI MART FINAL MENU - Pr'!A539, ""en"", ""ar"")))"),"حار Chilli &amp; Lime Tortilla شيبس 40 غرام")</f>
        <v>حار Chilli &amp; Lime Tortilla شيبس 40 غرام</v>
      </c>
      <c r="B539" s="56" t="str">
        <f>IFERROR(__xludf.DUMMYFUNCTION("IF('AYIRA MINI MART FINAL MENU - Pr'!B539="""", """", IF(LEN(TRIM(REGEXREPLACE(REGEXREPLACE('AYIRA MINI MART FINAL MENU - Pr'!B539, ""^[^\x{0600}-\x{06FF}]+"", """"), ""^[-–\s]+"", """")))&gt;0, TRIM(REGEXREPLACE(REGEXREPLACE('AYIRA MINI MART FINAL MENU - Pr"&amp;"'!B539, ""^[^\x{0600}-\x{06FF}]+"", """"), ""^[-–\s]+"", """")), GOOGLETRANSLATE('AYIRA MINI MART FINAL MENU - Pr'!B539, ""en"", ""ar"")))"),"الشيبس والمقرمشات")</f>
        <v>الشيبس والمقرمشات</v>
      </c>
      <c r="C539" s="58">
        <f>IF('AYIRA MINI MART FINAL MENU - Pr'!C539="", "", 'AYIRA MINI MART FINAL MENU - Pr'!C539)</f>
        <v>2.5</v>
      </c>
      <c r="D539" s="58" t="str">
        <f>IF('AYIRA MINI MART FINAL MENU - Pr'!D539="", "", 'AYIRA MINI MART FINAL MENU - Pr'!D539)</f>
        <v>لا تقاوم طعم Mexita Hot Chilli &amp; Lime Tortilla Chips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39" s="56" t="str">
        <f>IF('AYIRA MINI MART FINAL MENU - Pr'!E539="", "", 'AYIRA MINI MART FINAL MENU - Pr'!E539)</f>
        <v/>
      </c>
      <c r="F539" s="56" t="str">
        <f>IF('AYIRA MINI MART FINAL MENU - Pr'!F539="", "", 'AYIRA MINI MART FINAL MENU - Pr'!F539)</f>
        <v/>
      </c>
      <c r="G539" s="56" t="str">
        <f>IF('AYIRA MINI MART FINAL MENU - Pr'!G539="", "", 'AYIRA MINI MART FINAL MENU - Pr'!G539)</f>
        <v/>
      </c>
      <c r="H539" s="56" t="str">
        <f>IF('AYIRA MINI MART FINAL MENU - Pr'!H539="", "", 'AYIRA MINI MART FINAL MENU - Pr'!H539)</f>
        <v/>
      </c>
      <c r="I539" s="56" t="str">
        <f>IF('AYIRA MINI MART FINAL MENU - Pr'!I539="", "", 'AYIRA MINI MART FINAL MENU - Pr'!I539)</f>
        <v/>
      </c>
      <c r="J539" s="56" t="str">
        <f>IFERROR(__xludf.DUMMYFUNCTION("IF('AYIRA MINI MART FINAL MENU - Pr'!J539="""", """", GOOGLETRANSLATE('AYIRA MINI MART FINAL MENU - Pr'!J539, ""en"", ""ar""))"),"يعرض")</f>
        <v>يعرض</v>
      </c>
      <c r="K539" s="56" t="str">
        <f>IF('AYIRA MINI MART FINAL MENU - Pr'!K539="", "", 'AYIRA MINI MART FINAL MENU - Pr'!K539)</f>
        <v/>
      </c>
      <c r="L539" s="56" t="str">
        <f>IF('AYIRA MINI MART FINAL MENU - Pr'!L539="", "", 'AYIRA MINI MART FINAL MENU - Pr'!L539)</f>
        <v/>
      </c>
      <c r="M539" s="56" t="str">
        <f>IF('AYIRA MINI MART FINAL MENU - Pr'!M539="", "", 'AYIRA MINI MART FINAL MENU - Pr'!M539)</f>
        <v/>
      </c>
      <c r="N539" s="56" t="str">
        <f>IF('AYIRA MINI MART FINAL MENU - Pr'!N539="", "", 'AYIRA MINI MART FINAL MENU - Pr'!N539)</f>
        <v/>
      </c>
      <c r="O539" s="57"/>
      <c r="P539" s="57"/>
      <c r="Q539" s="57"/>
      <c r="R539" s="57"/>
      <c r="S539" s="57"/>
      <c r="T539" s="57"/>
      <c r="U539" s="57"/>
      <c r="V539" s="57"/>
      <c r="W539" s="57"/>
      <c r="X539" s="57"/>
      <c r="Y539" s="57"/>
      <c r="Z539" s="57"/>
    </row>
    <row r="540">
      <c r="A540" s="56" t="str">
        <f>IFERROR(__xludf.DUMMYFUNCTION("IF('AYIRA MINI MART FINAL MENU - Pr'!A540="""", """", IF(LEN(TRIM(REGEXREPLACE(REGEXREPLACE('AYIRA MINI MART FINAL MENU - Pr'!A540, ""^[^\x{0600}-\x{06FF}]+"", """"), ""^[-–\s]+"", """")))&gt;0, TRIM(REGEXREPLACE(REGEXREPLACE('AYIRA MINI MART FINAL MENU - Pr"&amp;"'!A540, ""^[^\x{0600}-\x{06FF}]+"", """"), ""^[-–\s]+"", """")), GOOGLETRANSLATE('AYIRA MINI MART FINAL MENU - Pr'!A540, ""en"", ""ar"")))"),"شيبس 40 غرام")</f>
        <v>شيبس 40 غرام</v>
      </c>
      <c r="B540" s="56" t="str">
        <f>IFERROR(__xludf.DUMMYFUNCTION("IF('AYIRA MINI MART FINAL MENU - Pr'!B540="""", """", IF(LEN(TRIM(REGEXREPLACE(REGEXREPLACE('AYIRA MINI MART FINAL MENU - Pr'!B540, ""^[^\x{0600}-\x{06FF}]+"", """"), ""^[-–\s]+"", """")))&gt;0, TRIM(REGEXREPLACE(REGEXREPLACE('AYIRA MINI MART FINAL MENU - Pr"&amp;"'!B540, ""^[^\x{0600}-\x{06FF}]+"", """"), ""^[-–\s]+"", """")), GOOGLETRANSLATE('AYIRA MINI MART FINAL MENU - Pr'!B540, ""en"", ""ar"")))"),"الشيبس والمقرمشات")</f>
        <v>الشيبس والمقرمشات</v>
      </c>
      <c r="C540" s="58">
        <f>IF('AYIRA MINI MART FINAL MENU - Pr'!C540="", "", 'AYIRA MINI MART FINAL MENU - Pr'!C540)</f>
        <v>2.5</v>
      </c>
      <c r="D540" s="58" t="str">
        <f>IF('AYIRA MINI MART FINAL MENU - Pr'!D540="", "", 'AYIRA MINI MART FINAL MENU - Pr'!D540)</f>
        <v>لا تقاوم طعم Mexita Sweet Chilli Pepper Tortilla Chips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0" s="56" t="str">
        <f>IF('AYIRA MINI MART FINAL MENU - Pr'!E540="", "", 'AYIRA MINI MART FINAL MENU - Pr'!E540)</f>
        <v/>
      </c>
      <c r="F540" s="56" t="str">
        <f>IF('AYIRA MINI MART FINAL MENU - Pr'!F540="", "", 'AYIRA MINI MART FINAL MENU - Pr'!F540)</f>
        <v/>
      </c>
      <c r="G540" s="56" t="str">
        <f>IF('AYIRA MINI MART FINAL MENU - Pr'!G540="", "", 'AYIRA MINI MART FINAL MENU - Pr'!G540)</f>
        <v/>
      </c>
      <c r="H540" s="56" t="str">
        <f>IF('AYIRA MINI MART FINAL MENU - Pr'!H540="", "", 'AYIRA MINI MART FINAL MENU - Pr'!H540)</f>
        <v/>
      </c>
      <c r="I540" s="56" t="str">
        <f>IF('AYIRA MINI MART FINAL MENU - Pr'!I540="", "", 'AYIRA MINI MART FINAL MENU - Pr'!I540)</f>
        <v/>
      </c>
      <c r="J540" s="56" t="str">
        <f>IFERROR(__xludf.DUMMYFUNCTION("IF('AYIRA MINI MART FINAL MENU - Pr'!J540="""", """", GOOGLETRANSLATE('AYIRA MINI MART FINAL MENU - Pr'!J540, ""en"", ""ar""))"),"يعرض")</f>
        <v>يعرض</v>
      </c>
      <c r="K540" s="56" t="str">
        <f>IF('AYIRA MINI MART FINAL MENU - Pr'!K540="", "", 'AYIRA MINI MART FINAL MENU - Pr'!K540)</f>
        <v/>
      </c>
      <c r="L540" s="56" t="str">
        <f>IF('AYIRA MINI MART FINAL MENU - Pr'!L540="", "", 'AYIRA MINI MART FINAL MENU - Pr'!L540)</f>
        <v/>
      </c>
      <c r="M540" s="56" t="str">
        <f>IF('AYIRA MINI MART FINAL MENU - Pr'!M540="", "", 'AYIRA MINI MART FINAL MENU - Pr'!M540)</f>
        <v/>
      </c>
      <c r="N540" s="56" t="str">
        <f>IF('AYIRA MINI MART FINAL MENU - Pr'!N540="", "", 'AYIRA MINI MART FINAL MENU - Pr'!N540)</f>
        <v/>
      </c>
      <c r="O540" s="57"/>
      <c r="P540" s="57"/>
      <c r="Q540" s="57"/>
      <c r="R540" s="57"/>
      <c r="S540" s="57"/>
      <c r="T540" s="57"/>
      <c r="U540" s="57"/>
      <c r="V540" s="57"/>
      <c r="W540" s="57"/>
      <c r="X540" s="57"/>
      <c r="Y540" s="57"/>
      <c r="Z540" s="57"/>
    </row>
    <row r="541">
      <c r="A541" s="56" t="str">
        <f>IFERROR(__xludf.DUMMYFUNCTION("IF('AYIRA MINI MART FINAL MENU - Pr'!A541="""", """", IF(LEN(TRIM(REGEXREPLACE(REGEXREPLACE('AYIRA MINI MART FINAL MENU - Pr'!A541, ""^[^\x{0600}-\x{06FF}]+"", """"), ""^[-–\s]+"", """")))&gt;0, TRIM(REGEXREPLACE(REGEXREPLACE('AYIRA MINI MART FINAL MENU - Pr"&amp;"'!A541, ""^[^\x{0600}-\x{06FF}]+"", """"), ""^[-–\s]+"", """")), GOOGLETRANSLATE('AYIRA MINI MART FINAL MENU - Pr'!A541, ""en"", ""ar"")))"),"غرام")</f>
        <v>غرام</v>
      </c>
      <c r="B541" s="56" t="str">
        <f>IFERROR(__xludf.DUMMYFUNCTION("IF('AYIRA MINI MART FINAL MENU - Pr'!B541="""", """", IF(LEN(TRIM(REGEXREPLACE(REGEXREPLACE('AYIRA MINI MART FINAL MENU - Pr'!B541, ""^[^\x{0600}-\x{06FF}]+"", """"), ""^[-–\s]+"", """")))&gt;0, TRIM(REGEXREPLACE(REGEXREPLACE('AYIRA MINI MART FINAL MENU - Pr"&amp;"'!B541, ""^[^\x{0600}-\x{06FF}]+"", """"), ""^[-–\s]+"", """")), GOOGLETRANSLATE('AYIRA MINI MART FINAL MENU - Pr'!B541, ""en"", ""ar"")))"),"الشيبس والمقرمشات")</f>
        <v>الشيبس والمقرمشات</v>
      </c>
      <c r="C541" s="58">
        <f>IF('AYIRA MINI MART FINAL MENU - Pr'!C541="", "", 'AYIRA MINI MART FINAL MENU - Pr'!C541)</f>
        <v>1</v>
      </c>
      <c r="D541" s="58" t="str">
        <f>IF('AYIRA MINI MART FINAL MENU - Pr'!D541="", "", 'AYIRA MINI MART FINAL MENU - Pr'!D541)</f>
        <v>لا تقاوم طعم Mazoon Snack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1" s="56" t="str">
        <f>IF('AYIRA MINI MART FINAL MENU - Pr'!E541="", "", 'AYIRA MINI MART FINAL MENU - Pr'!E541)</f>
        <v/>
      </c>
      <c r="F541" s="56" t="str">
        <f>IF('AYIRA MINI MART FINAL MENU - Pr'!F541="", "", 'AYIRA MINI MART FINAL MENU - Pr'!F541)</f>
        <v/>
      </c>
      <c r="G541" s="56" t="str">
        <f>IF('AYIRA MINI MART FINAL MENU - Pr'!G541="", "", 'AYIRA MINI MART FINAL MENU - Pr'!G541)</f>
        <v/>
      </c>
      <c r="H541" s="56" t="str">
        <f>IF('AYIRA MINI MART FINAL MENU - Pr'!H541="", "", 'AYIRA MINI MART FINAL MENU - Pr'!H541)</f>
        <v/>
      </c>
      <c r="I541" s="56" t="str">
        <f>IF('AYIRA MINI MART FINAL MENU - Pr'!I541="", "", 'AYIRA MINI MART FINAL MENU - Pr'!I541)</f>
        <v/>
      </c>
      <c r="J541" s="56" t="str">
        <f>IFERROR(__xludf.DUMMYFUNCTION("IF('AYIRA MINI MART FINAL MENU - Pr'!J541="""", """", GOOGLETRANSLATE('AYIRA MINI MART FINAL MENU - Pr'!J541, ""en"", ""ar""))"),"يعرض")</f>
        <v>يعرض</v>
      </c>
      <c r="K541" s="56" t="str">
        <f>IF('AYIRA MINI MART FINAL MENU - Pr'!K541="", "", 'AYIRA MINI MART FINAL MENU - Pr'!K541)</f>
        <v/>
      </c>
      <c r="L541" s="56" t="str">
        <f>IF('AYIRA MINI MART FINAL MENU - Pr'!L541="", "", 'AYIRA MINI MART FINAL MENU - Pr'!L541)</f>
        <v/>
      </c>
      <c r="M541" s="56" t="str">
        <f>IF('AYIRA MINI MART FINAL MENU - Pr'!M541="", "", 'AYIRA MINI MART FINAL MENU - Pr'!M541)</f>
        <v/>
      </c>
      <c r="N541" s="56" t="str">
        <f>IF('AYIRA MINI MART FINAL MENU - Pr'!N541="", "", 'AYIRA MINI MART FINAL MENU - Pr'!N541)</f>
        <v/>
      </c>
      <c r="O541" s="57"/>
      <c r="P541" s="57"/>
      <c r="Q541" s="57"/>
      <c r="R541" s="57"/>
      <c r="S541" s="57"/>
      <c r="T541" s="57"/>
      <c r="U541" s="57"/>
      <c r="V541" s="57"/>
      <c r="W541" s="57"/>
      <c r="X541" s="57"/>
      <c r="Y541" s="57"/>
      <c r="Z541" s="57"/>
    </row>
    <row r="542">
      <c r="A542" s="56" t="str">
        <f>IFERROR(__xludf.DUMMYFUNCTION("IF('AYIRA MINI MART FINAL MENU - Pr'!A542="""", """", IF(LEN(TRIM(REGEXREPLACE(REGEXREPLACE('AYIRA MINI MART FINAL MENU - Pr'!A542, ""^[^\x{0600}-\x{06FF}]+"", """"), ""^[-–\s]+"", """")))&gt;0, TRIM(REGEXREPLACE(REGEXREPLACE('AYIRA MINI MART FINAL MENU - Pr"&amp;"'!A542, ""^[^\x{0600}-\x{06FF}]+"", """"), ""^[-–\s]+"", """")), GOOGLETRANSLATE('AYIRA MINI MART FINAL MENU - Pr'!A542, ""en"", ""ar"")))"),"ملح &amp; Vinegar Potato شيبس 12 غرام")</f>
        <v>ملح &amp; Vinegar Potato شيبس 12 غرام</v>
      </c>
      <c r="B542" s="56" t="str">
        <f>IFERROR(__xludf.DUMMYFUNCTION("IF('AYIRA MINI MART FINAL MENU - Pr'!B542="""", """", IF(LEN(TRIM(REGEXREPLACE(REGEXREPLACE('AYIRA MINI MART FINAL MENU - Pr'!B542, ""^[^\x{0600}-\x{06FF}]+"", """"), ""^[-–\s]+"", """")))&gt;0, TRIM(REGEXREPLACE(REGEXREPLACE('AYIRA MINI MART FINAL MENU - Pr"&amp;"'!B542, ""^[^\x{0600}-\x{06FF}]+"", """"), ""^[-–\s]+"", """")), GOOGLETRANSLATE('AYIRA MINI MART FINAL MENU - Pr'!B542, ""en"", ""ar"")))"),"الشيبس والمقرمشات")</f>
        <v>الشيبس والمقرمشات</v>
      </c>
      <c r="C542" s="58">
        <f>IF('AYIRA MINI MART FINAL MENU - Pr'!C542="", "", 'AYIRA MINI MART FINAL MENU - Pr'!C542)</f>
        <v>1</v>
      </c>
      <c r="D542" s="58" t="str">
        <f>IF('AYIRA MINI MART FINAL MENU - Pr'!D542="", "", 'AYIRA MINI MART FINAL MENU - Pr'!D542)</f>
        <v>لا تقاوم طعم Al Batal Salt &amp; Vinegar Potato Chips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2" s="56" t="str">
        <f>IF('AYIRA MINI MART FINAL MENU - Pr'!E542="", "", 'AYIRA MINI MART FINAL MENU - Pr'!E542)</f>
        <v/>
      </c>
      <c r="F542" s="56" t="str">
        <f>IF('AYIRA MINI MART FINAL MENU - Pr'!F542="", "", 'AYIRA MINI MART FINAL MENU - Pr'!F542)</f>
        <v/>
      </c>
      <c r="G542" s="56" t="str">
        <f>IF('AYIRA MINI MART FINAL MENU - Pr'!G542="", "", 'AYIRA MINI MART FINAL MENU - Pr'!G542)</f>
        <v/>
      </c>
      <c r="H542" s="56" t="str">
        <f>IF('AYIRA MINI MART FINAL MENU - Pr'!H542="", "", 'AYIRA MINI MART FINAL MENU - Pr'!H542)</f>
        <v/>
      </c>
      <c r="I542" s="56" t="str">
        <f>IF('AYIRA MINI MART FINAL MENU - Pr'!I542="", "", 'AYIRA MINI MART FINAL MENU - Pr'!I542)</f>
        <v/>
      </c>
      <c r="J542" s="56" t="str">
        <f>IFERROR(__xludf.DUMMYFUNCTION("IF('AYIRA MINI MART FINAL MENU - Pr'!J542="""", """", GOOGLETRANSLATE('AYIRA MINI MART FINAL MENU - Pr'!J542, ""en"", ""ar""))"),"يعرض")</f>
        <v>يعرض</v>
      </c>
      <c r="K542" s="56" t="str">
        <f>IF('AYIRA MINI MART FINAL MENU - Pr'!K542="", "", 'AYIRA MINI MART FINAL MENU - Pr'!K542)</f>
        <v/>
      </c>
      <c r="L542" s="56" t="str">
        <f>IF('AYIRA MINI MART FINAL MENU - Pr'!L542="", "", 'AYIRA MINI MART FINAL MENU - Pr'!L542)</f>
        <v/>
      </c>
      <c r="M542" s="56" t="str">
        <f>IF('AYIRA MINI MART FINAL MENU - Pr'!M542="", "", 'AYIRA MINI MART FINAL MENU - Pr'!M542)</f>
        <v/>
      </c>
      <c r="N542" s="56" t="str">
        <f>IF('AYIRA MINI MART FINAL MENU - Pr'!N542="", "", 'AYIRA MINI MART FINAL MENU - Pr'!N542)</f>
        <v/>
      </c>
      <c r="O542" s="57"/>
      <c r="P542" s="57"/>
      <c r="Q542" s="57"/>
      <c r="R542" s="57"/>
      <c r="S542" s="57"/>
      <c r="T542" s="57"/>
      <c r="U542" s="57"/>
      <c r="V542" s="57"/>
      <c r="W542" s="57"/>
      <c r="X542" s="57"/>
      <c r="Y542" s="57"/>
      <c r="Z542" s="57"/>
    </row>
    <row r="543">
      <c r="A543" s="56" t="str">
        <f>IFERROR(__xludf.DUMMYFUNCTION("IF('AYIRA MINI MART FINAL MENU - Pr'!A543="""", """", IF(LEN(TRIM(REGEXREPLACE(REGEXREPLACE('AYIRA MINI MART FINAL MENU - Pr'!A543, ""^[^\x{0600}-\x{06FF}]+"", """"), ""^[-–\s]+"", """")))&gt;0, TRIM(REGEXREPLACE(REGEXREPLACE('AYIRA MINI MART FINAL MENU - Pr"&amp;"'!A543, ""^[^\x{0600}-\x{06FF}]+"", """"), ""^[-–\s]+"", """")), GOOGLETRANSLATE('AYIRA MINI MART FINAL MENU - Pr'!A543, ""en"", ""ar"")))"),"شيبس كاتشاب Flavour 12 غرام")</f>
        <v>شيبس كاتشاب Flavour 12 غرام</v>
      </c>
      <c r="B543" s="56" t="str">
        <f>IFERROR(__xludf.DUMMYFUNCTION("IF('AYIRA MINI MART FINAL MENU - Pr'!B543="""", """", IF(LEN(TRIM(REGEXREPLACE(REGEXREPLACE('AYIRA MINI MART FINAL MENU - Pr'!B543, ""^[^\x{0600}-\x{06FF}]+"", """"), ""^[-–\s]+"", """")))&gt;0, TRIM(REGEXREPLACE(REGEXREPLACE('AYIRA MINI MART FINAL MENU - Pr"&amp;"'!B543, ""^[^\x{0600}-\x{06FF}]+"", """"), ""^[-–\s]+"", """")), GOOGLETRANSLATE('AYIRA MINI MART FINAL MENU - Pr'!B543, ""en"", ""ar"")))"),"الشيبس والمقرمشات")</f>
        <v>الشيبس والمقرمشات</v>
      </c>
      <c r="C543" s="58">
        <f>IF('AYIRA MINI MART FINAL MENU - Pr'!C543="", "", 'AYIRA MINI MART FINAL MENU - Pr'!C543)</f>
        <v>1</v>
      </c>
      <c r="D543" s="58" t="str">
        <f>IF('AYIRA MINI MART FINAL MENU - Pr'!D543="", "", 'AYIRA MINI MART FINAL MENU - Pr'!D543)</f>
        <v>لا تقاوم طعم Al Batal Potato Chips Ketchup Flavour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3" s="56" t="str">
        <f>IF('AYIRA MINI MART FINAL MENU - Pr'!E543="", "", 'AYIRA MINI MART FINAL MENU - Pr'!E543)</f>
        <v/>
      </c>
      <c r="F543" s="56" t="str">
        <f>IF('AYIRA MINI MART FINAL MENU - Pr'!F543="", "", 'AYIRA MINI MART FINAL MENU - Pr'!F543)</f>
        <v/>
      </c>
      <c r="G543" s="56" t="str">
        <f>IF('AYIRA MINI MART FINAL MENU - Pr'!G543="", "", 'AYIRA MINI MART FINAL MENU - Pr'!G543)</f>
        <v/>
      </c>
      <c r="H543" s="56" t="str">
        <f>IF('AYIRA MINI MART FINAL MENU - Pr'!H543="", "", 'AYIRA MINI MART FINAL MENU - Pr'!H543)</f>
        <v/>
      </c>
      <c r="I543" s="56" t="str">
        <f>IF('AYIRA MINI MART FINAL MENU - Pr'!I543="", "", 'AYIRA MINI MART FINAL MENU - Pr'!I543)</f>
        <v/>
      </c>
      <c r="J543" s="56" t="str">
        <f>IFERROR(__xludf.DUMMYFUNCTION("IF('AYIRA MINI MART FINAL MENU - Pr'!J543="""", """", GOOGLETRANSLATE('AYIRA MINI MART FINAL MENU - Pr'!J543, ""en"", ""ar""))"),"يعرض")</f>
        <v>يعرض</v>
      </c>
      <c r="K543" s="56" t="str">
        <f>IF('AYIRA MINI MART FINAL MENU - Pr'!K543="", "", 'AYIRA MINI MART FINAL MENU - Pr'!K543)</f>
        <v/>
      </c>
      <c r="L543" s="56" t="str">
        <f>IF('AYIRA MINI MART FINAL MENU - Pr'!L543="", "", 'AYIRA MINI MART FINAL MENU - Pr'!L543)</f>
        <v/>
      </c>
      <c r="M543" s="56" t="str">
        <f>IF('AYIRA MINI MART FINAL MENU - Pr'!M543="", "", 'AYIRA MINI MART FINAL MENU - Pr'!M543)</f>
        <v/>
      </c>
      <c r="N543" s="56" t="str">
        <f>IF('AYIRA MINI MART FINAL MENU - Pr'!N543="", "", 'AYIRA MINI MART FINAL MENU - Pr'!N543)</f>
        <v/>
      </c>
      <c r="O543" s="57"/>
      <c r="P543" s="57"/>
      <c r="Q543" s="57"/>
      <c r="R543" s="57"/>
      <c r="S543" s="57"/>
      <c r="T543" s="57"/>
      <c r="U543" s="57"/>
      <c r="V543" s="57"/>
      <c r="W543" s="57"/>
      <c r="X543" s="57"/>
      <c r="Y543" s="57"/>
      <c r="Z543" s="57"/>
    </row>
    <row r="544">
      <c r="A544" s="56" t="str">
        <f>IFERROR(__xludf.DUMMYFUNCTION("IF('AYIRA MINI MART FINAL MENU - Pr'!A544="""", """", IF(LEN(TRIM(REGEXREPLACE(REGEXREPLACE('AYIRA MINI MART FINAL MENU - Pr'!A544, ""^[^\x{0600}-\x{06FF}]+"", """"), ""^[-–\s]+"", """")))&gt;0, TRIM(REGEXREPLACE(REGEXREPLACE('AYIRA MINI MART FINAL MENU - Pr"&amp;"'!A544, ""^[^\x{0600}-\x{06FF}]+"", """"), ""^[-–\s]+"", """")), GOOGLETRANSLATE('AYIRA MINI MART FINAL MENU - Pr'!A544, ""en"", ""ar"")))"),"شيبس جبنة Flavour 12 غرام")</f>
        <v>شيبس جبنة Flavour 12 غرام</v>
      </c>
      <c r="B544" s="56" t="str">
        <f>IFERROR(__xludf.DUMMYFUNCTION("IF('AYIRA MINI MART FINAL MENU - Pr'!B544="""", """", IF(LEN(TRIM(REGEXREPLACE(REGEXREPLACE('AYIRA MINI MART FINAL MENU - Pr'!B544, ""^[^\x{0600}-\x{06FF}]+"", """"), ""^[-–\s]+"", """")))&gt;0, TRIM(REGEXREPLACE(REGEXREPLACE('AYIRA MINI MART FINAL MENU - Pr"&amp;"'!B544, ""^[^\x{0600}-\x{06FF}]+"", """"), ""^[-–\s]+"", """")), GOOGLETRANSLATE('AYIRA MINI MART FINAL MENU - Pr'!B544, ""en"", ""ar"")))"),"الشيبس والمقرمشات")</f>
        <v>الشيبس والمقرمشات</v>
      </c>
      <c r="C544" s="58">
        <f>IF('AYIRA MINI MART FINAL MENU - Pr'!C544="", "", 'AYIRA MINI MART FINAL MENU - Pr'!C544)</f>
        <v>1</v>
      </c>
      <c r="D544" s="58" t="str">
        <f>IF('AYIRA MINI MART FINAL MENU - Pr'!D544="", "", 'AYIRA MINI MART FINAL MENU - Pr'!D544)</f>
        <v>لا تقاوم طعم Al Batal Potato Chips Cheese Flavour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4" s="56" t="str">
        <f>IF('AYIRA MINI MART FINAL MENU - Pr'!E544="", "", 'AYIRA MINI MART FINAL MENU - Pr'!E544)</f>
        <v/>
      </c>
      <c r="F544" s="56" t="str">
        <f>IF('AYIRA MINI MART FINAL MENU - Pr'!F544="", "", 'AYIRA MINI MART FINAL MENU - Pr'!F544)</f>
        <v/>
      </c>
      <c r="G544" s="56" t="str">
        <f>IF('AYIRA MINI MART FINAL MENU - Pr'!G544="", "", 'AYIRA MINI MART FINAL MENU - Pr'!G544)</f>
        <v/>
      </c>
      <c r="H544" s="56" t="str">
        <f>IF('AYIRA MINI MART FINAL MENU - Pr'!H544="", "", 'AYIRA MINI MART FINAL MENU - Pr'!H544)</f>
        <v/>
      </c>
      <c r="I544" s="56" t="str">
        <f>IF('AYIRA MINI MART FINAL MENU - Pr'!I544="", "", 'AYIRA MINI MART FINAL MENU - Pr'!I544)</f>
        <v/>
      </c>
      <c r="J544" s="56" t="str">
        <f>IFERROR(__xludf.DUMMYFUNCTION("IF('AYIRA MINI MART FINAL MENU - Pr'!J544="""", """", GOOGLETRANSLATE('AYIRA MINI MART FINAL MENU - Pr'!J544, ""en"", ""ar""))"),"يعرض")</f>
        <v>يعرض</v>
      </c>
      <c r="K544" s="56" t="str">
        <f>IF('AYIRA MINI MART FINAL MENU - Pr'!K544="", "", 'AYIRA MINI MART FINAL MENU - Pr'!K544)</f>
        <v/>
      </c>
      <c r="L544" s="56" t="str">
        <f>IF('AYIRA MINI MART FINAL MENU - Pr'!L544="", "", 'AYIRA MINI MART FINAL MENU - Pr'!L544)</f>
        <v/>
      </c>
      <c r="M544" s="56" t="str">
        <f>IF('AYIRA MINI MART FINAL MENU - Pr'!M544="", "", 'AYIRA MINI MART FINAL MENU - Pr'!M544)</f>
        <v/>
      </c>
      <c r="N544" s="56" t="str">
        <f>IF('AYIRA MINI MART FINAL MENU - Pr'!N544="", "", 'AYIRA MINI MART FINAL MENU - Pr'!N544)</f>
        <v/>
      </c>
      <c r="O544" s="57"/>
      <c r="P544" s="57"/>
      <c r="Q544" s="57"/>
      <c r="R544" s="57"/>
      <c r="S544" s="57"/>
      <c r="T544" s="57"/>
      <c r="U544" s="57"/>
      <c r="V544" s="57"/>
      <c r="W544" s="57"/>
      <c r="X544" s="57"/>
      <c r="Y544" s="57"/>
      <c r="Z544" s="57"/>
    </row>
    <row r="545">
      <c r="A545" s="56" t="str">
        <f>IFERROR(__xludf.DUMMYFUNCTION("IF('AYIRA MINI MART FINAL MENU - Pr'!A545="""", """", IF(LEN(TRIM(REGEXREPLACE(REGEXREPLACE('AYIRA MINI MART FINAL MENU - Pr'!A545, ""^[^\x{0600}-\x{06FF}]+"", """"), ""^[-–\s]+"", """")))&gt;0, TRIM(REGEXREPLACE(REGEXREPLACE('AYIRA MINI MART FINAL MENU - Pr"&amp;"'!A545, ""^[^\x{0600}-\x{06FF}]+"", """"), ""^[-–\s]+"", """")), GOOGLETRANSLATE('AYIRA MINI MART FINAL MENU - Pr'!A545, ""en"", ""ar"")))"),"شيبس ملح Flavour 12 غرام")</f>
        <v>شيبس ملح Flavour 12 غرام</v>
      </c>
      <c r="B545" s="56" t="str">
        <f>IFERROR(__xludf.DUMMYFUNCTION("IF('AYIRA MINI MART FINAL MENU - Pr'!B545="""", """", IF(LEN(TRIM(REGEXREPLACE(REGEXREPLACE('AYIRA MINI MART FINAL MENU - Pr'!B545, ""^[^\x{0600}-\x{06FF}]+"", """"), ""^[-–\s]+"", """")))&gt;0, TRIM(REGEXREPLACE(REGEXREPLACE('AYIRA MINI MART FINAL MENU - Pr"&amp;"'!B545, ""^[^\x{0600}-\x{06FF}]+"", """"), ""^[-–\s]+"", """")), GOOGLETRANSLATE('AYIRA MINI MART FINAL MENU - Pr'!B545, ""en"", ""ar"")))"),"الشيبس والمقرمشات")</f>
        <v>الشيبس والمقرمشات</v>
      </c>
      <c r="C545" s="58">
        <f>IF('AYIRA MINI MART FINAL MENU - Pr'!C545="", "", 'AYIRA MINI MART FINAL MENU - Pr'!C545)</f>
        <v>1</v>
      </c>
      <c r="D545" s="58" t="str">
        <f>IF('AYIRA MINI MART FINAL MENU - Pr'!D545="", "", 'AYIRA MINI MART FINAL MENU - Pr'!D545)</f>
        <v>لا تقاوم طعم Al Batal Potato Chips Salt Flavour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5" s="56" t="str">
        <f>IF('AYIRA MINI MART FINAL MENU - Pr'!E545="", "", 'AYIRA MINI MART FINAL MENU - Pr'!E545)</f>
        <v/>
      </c>
      <c r="F545" s="56" t="str">
        <f>IF('AYIRA MINI MART FINAL MENU - Pr'!F545="", "", 'AYIRA MINI MART FINAL MENU - Pr'!F545)</f>
        <v/>
      </c>
      <c r="G545" s="56" t="str">
        <f>IF('AYIRA MINI MART FINAL MENU - Pr'!G545="", "", 'AYIRA MINI MART FINAL MENU - Pr'!G545)</f>
        <v/>
      </c>
      <c r="H545" s="56" t="str">
        <f>IF('AYIRA MINI MART FINAL MENU - Pr'!H545="", "", 'AYIRA MINI MART FINAL MENU - Pr'!H545)</f>
        <v/>
      </c>
      <c r="I545" s="56" t="str">
        <f>IF('AYIRA MINI MART FINAL MENU - Pr'!I545="", "", 'AYIRA MINI MART FINAL MENU - Pr'!I545)</f>
        <v/>
      </c>
      <c r="J545" s="56" t="str">
        <f>IFERROR(__xludf.DUMMYFUNCTION("IF('AYIRA MINI MART FINAL MENU - Pr'!J545="""", """", GOOGLETRANSLATE('AYIRA MINI MART FINAL MENU - Pr'!J545, ""en"", ""ar""))"),"يعرض")</f>
        <v>يعرض</v>
      </c>
      <c r="K545" s="56" t="str">
        <f>IF('AYIRA MINI MART FINAL MENU - Pr'!K545="", "", 'AYIRA MINI MART FINAL MENU - Pr'!K545)</f>
        <v/>
      </c>
      <c r="L545" s="56" t="str">
        <f>IF('AYIRA MINI MART FINAL MENU - Pr'!L545="", "", 'AYIRA MINI MART FINAL MENU - Pr'!L545)</f>
        <v/>
      </c>
      <c r="M545" s="56" t="str">
        <f>IF('AYIRA MINI MART FINAL MENU - Pr'!M545="", "", 'AYIRA MINI MART FINAL MENU - Pr'!M545)</f>
        <v/>
      </c>
      <c r="N545" s="56" t="str">
        <f>IF('AYIRA MINI MART FINAL MENU - Pr'!N545="", "", 'AYIRA MINI MART FINAL MENU - Pr'!N545)</f>
        <v/>
      </c>
      <c r="O545" s="57"/>
      <c r="P545" s="57"/>
      <c r="Q545" s="57"/>
      <c r="R545" s="57"/>
      <c r="S545" s="57"/>
      <c r="T545" s="57"/>
      <c r="U545" s="57"/>
      <c r="V545" s="57"/>
      <c r="W545" s="57"/>
      <c r="X545" s="57"/>
      <c r="Y545" s="57"/>
      <c r="Z545" s="57"/>
    </row>
    <row r="546">
      <c r="A546" s="56" t="str">
        <f>IFERROR(__xludf.DUMMYFUNCTION("IF('AYIRA MINI MART FINAL MENU - Pr'!A546="""", """", IF(LEN(TRIM(REGEXREPLACE(REGEXREPLACE('AYIRA MINI MART FINAL MENU - Pr'!A546, ""^[^\x{0600}-\x{06FF}]+"", """"), ""^[-–\s]+"", """")))&gt;0, TRIM(REGEXREPLACE(REGEXREPLACE('AYIRA MINI MART FINAL MENU - Pr"&amp;"'!A546, ""^[^\x{0600}-\x{06FF}]+"", """"), ""^[-–\s]+"", """")), GOOGLETRANSLATE('AYIRA MINI MART FINAL MENU - Pr'!A546, ""en"", ""ar"")))"),"غرام")</f>
        <v>غرام</v>
      </c>
      <c r="B546" s="56" t="str">
        <f>IFERROR(__xludf.DUMMYFUNCTION("IF('AYIRA MINI MART FINAL MENU - Pr'!B546="""", """", IF(LEN(TRIM(REGEXREPLACE(REGEXREPLACE('AYIRA MINI MART FINAL MENU - Pr'!B546, ""^[^\x{0600}-\x{06FF}]+"", """"), ""^[-–\s]+"", """")))&gt;0, TRIM(REGEXREPLACE(REGEXREPLACE('AYIRA MINI MART FINAL MENU - Pr"&amp;"'!B546, ""^[^\x{0600}-\x{06FF}]+"", """"), ""^[-–\s]+"", """")), GOOGLETRANSLATE('AYIRA MINI MART FINAL MENU - Pr'!B546, ""en"", ""ar"")))"),"الشيبس والمقرمشات")</f>
        <v>الشيبس والمقرمشات</v>
      </c>
      <c r="C546" s="58">
        <f>IF('AYIRA MINI MART FINAL MENU - Pr'!C546="", "", 'AYIRA MINI MART FINAL MENU - Pr'!C546)</f>
        <v>6.5</v>
      </c>
      <c r="D546" s="58" t="str">
        <f>IF('AYIRA MINI MART FINAL MENU - Pr'!D546="", "", 'AYIRA MINI MART FINAL MENU - Pr'!D546)</f>
        <v>لا تقاوم طعم Balaji Wafers Crunchem Chaat Chaska 135g،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6" s="56" t="str">
        <f>IF('AYIRA MINI MART FINAL MENU - Pr'!E546="", "", 'AYIRA MINI MART FINAL MENU - Pr'!E546)</f>
        <v/>
      </c>
      <c r="F546" s="56" t="str">
        <f>IF('AYIRA MINI MART FINAL MENU - Pr'!F546="", "", 'AYIRA MINI MART FINAL MENU - Pr'!F546)</f>
        <v/>
      </c>
      <c r="G546" s="56" t="str">
        <f>IF('AYIRA MINI MART FINAL MENU - Pr'!G546="", "", 'AYIRA MINI MART FINAL MENU - Pr'!G546)</f>
        <v/>
      </c>
      <c r="H546" s="56" t="str">
        <f>IF('AYIRA MINI MART FINAL MENU - Pr'!H546="", "", 'AYIRA MINI MART FINAL MENU - Pr'!H546)</f>
        <v/>
      </c>
      <c r="I546" s="56" t="str">
        <f>IF('AYIRA MINI MART FINAL MENU - Pr'!I546="", "", 'AYIRA MINI MART FINAL MENU - Pr'!I546)</f>
        <v/>
      </c>
      <c r="J546" s="56" t="str">
        <f>IFERROR(__xludf.DUMMYFUNCTION("IF('AYIRA MINI MART FINAL MENU - Pr'!J546="""", """", GOOGLETRANSLATE('AYIRA MINI MART FINAL MENU - Pr'!J546, ""en"", ""ar""))"),"يعرض")</f>
        <v>يعرض</v>
      </c>
      <c r="K546" s="56" t="str">
        <f>IF('AYIRA MINI MART FINAL MENU - Pr'!K546="", "", 'AYIRA MINI MART FINAL MENU - Pr'!K546)</f>
        <v/>
      </c>
      <c r="L546" s="56" t="str">
        <f>IF('AYIRA MINI MART FINAL MENU - Pr'!L546="", "", 'AYIRA MINI MART FINAL MENU - Pr'!L546)</f>
        <v/>
      </c>
      <c r="M546" s="56" t="str">
        <f>IF('AYIRA MINI MART FINAL MENU - Pr'!M546="", "", 'AYIRA MINI MART FINAL MENU - Pr'!M546)</f>
        <v/>
      </c>
      <c r="N546" s="56" t="str">
        <f>IF('AYIRA MINI MART FINAL MENU - Pr'!N546="", "", 'AYIRA MINI MART FINAL MENU - Pr'!N546)</f>
        <v/>
      </c>
      <c r="O546" s="57"/>
      <c r="P546" s="57"/>
      <c r="Q546" s="57"/>
      <c r="R546" s="57"/>
      <c r="S546" s="57"/>
      <c r="T546" s="57"/>
      <c r="U546" s="57"/>
      <c r="V546" s="57"/>
      <c r="W546" s="57"/>
      <c r="X546" s="57"/>
      <c r="Y546" s="57"/>
      <c r="Z546" s="57"/>
    </row>
    <row r="547">
      <c r="A547" s="56" t="str">
        <f>IFERROR(__xludf.DUMMYFUNCTION("IF('AYIRA MINI MART FINAL MENU - Pr'!A547="""", """", IF(LEN(TRIM(REGEXREPLACE(REGEXREPLACE('AYIRA MINI MART FINAL MENU - Pr'!A547, ""^[^\x{0600}-\x{06FF}]+"", """"), ""^[-–\s]+"", """")))&gt;0, TRIM(REGEXREPLACE(REGEXREPLACE('AYIRA MINI MART FINAL MENU - Pr"&amp;"'!A547, ""^[^\x{0600}-\x{06FF}]+"", """"), ""^[-–\s]+"", """")), GOOGLETRANSLATE('AYIRA MINI MART FINAL MENU - Pr'!A547, ""en"", ""ar"")))"),"تشيتوس Flamin’ حار Crunchy جبنة Flavour Snacks")</f>
        <v>تشيتوس Flamin’ حار Crunchy جبنة Flavour Snacks</v>
      </c>
      <c r="B547" s="56" t="str">
        <f>IFERROR(__xludf.DUMMYFUNCTION("IF('AYIRA MINI MART FINAL MENU - Pr'!B547="""", """", IF(LEN(TRIM(REGEXREPLACE(REGEXREPLACE('AYIRA MINI MART FINAL MENU - Pr'!B547, ""^[^\x{0600}-\x{06FF}]+"", """"), ""^[-–\s]+"", """")))&gt;0, TRIM(REGEXREPLACE(REGEXREPLACE('AYIRA MINI MART FINAL MENU - Pr"&amp;"'!B547, ""^[^\x{0600}-\x{06FF}]+"", """"), ""^[-–\s]+"", """")), GOOGLETRANSLATE('AYIRA MINI MART FINAL MENU - Pr'!B547, ""en"", ""ar"")))"),"الشيبس والمقرمشات")</f>
        <v>الشيبس والمقرمشات</v>
      </c>
      <c r="C547" s="56" t="str">
        <f>IF('AYIRA MINI MART FINAL MENU - Pr'!C547="", "", 'AYIRA MINI MART FINAL MENU - Pr'!C547)</f>
        <v/>
      </c>
      <c r="D547" s="58" t="str">
        <f>IF('AYIRA MINI MART FINAL MENU - Pr'!D547="", "", 'AYIRA MINI MART FINAL MENU - Pr'!D547)</f>
        <v>لا تقاوم طعم تشيتوس،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7" s="56" t="str">
        <f>IF('AYIRA MINI MART FINAL MENU - Pr'!E547="", "", 'AYIRA MINI MART FINAL MENU - Pr'!E547)</f>
        <v/>
      </c>
      <c r="F547" s="56" t="str">
        <f>IF('AYIRA MINI MART FINAL MENU - Pr'!F547="", "", 'AYIRA MINI MART FINAL MENU - Pr'!F547)</f>
        <v/>
      </c>
      <c r="G547" s="56" t="str">
        <f>IF('AYIRA MINI MART FINAL MENU - Pr'!G547="", "", 'AYIRA MINI MART FINAL MENU - Pr'!G547)</f>
        <v/>
      </c>
      <c r="H547" s="56" t="str">
        <f>IF('AYIRA MINI MART FINAL MENU - Pr'!H547="", "", 'AYIRA MINI MART FINAL MENU - Pr'!H547)</f>
        <v/>
      </c>
      <c r="I547" s="56" t="str">
        <f>IF('AYIRA MINI MART FINAL MENU - Pr'!I547="", "", 'AYIRA MINI MART FINAL MENU - Pr'!I547)</f>
        <v/>
      </c>
      <c r="J547" s="56" t="str">
        <f>IFERROR(__xludf.DUMMYFUNCTION("IF('AYIRA MINI MART FINAL MENU - Pr'!J547="""", """", GOOGLETRANSLATE('AYIRA MINI MART FINAL MENU - Pr'!J547, ""en"", ""ar""))"),"يعرض")</f>
        <v>يعرض</v>
      </c>
      <c r="K547" s="56" t="str">
        <f>IF('AYIRA MINI MART FINAL MENU - Pr'!K547="", "", 'AYIRA MINI MART FINAL MENU - Pr'!K547)</f>
        <v/>
      </c>
      <c r="L547" s="56" t="str">
        <f>IF('AYIRA MINI MART FINAL MENU - Pr'!L547="", "", 'AYIRA MINI MART FINAL MENU - Pr'!L547)</f>
        <v/>
      </c>
      <c r="M547" s="56" t="str">
        <f>IF('AYIRA MINI MART FINAL MENU - Pr'!M547="", "", 'AYIRA MINI MART FINAL MENU - Pr'!M547)</f>
        <v/>
      </c>
      <c r="N547" s="56" t="str">
        <f>IF('AYIRA MINI MART FINAL MENU - Pr'!N547="", "", 'AYIRA MINI MART FINAL MENU - Pr'!N547)</f>
        <v/>
      </c>
      <c r="O547" s="57"/>
      <c r="P547" s="57"/>
      <c r="Q547" s="57"/>
      <c r="R547" s="57"/>
      <c r="S547" s="57"/>
      <c r="T547" s="57"/>
      <c r="U547" s="57"/>
      <c r="V547" s="57"/>
      <c r="W547" s="57"/>
      <c r="X547" s="57"/>
      <c r="Y547" s="57"/>
      <c r="Z547" s="57"/>
    </row>
    <row r="548">
      <c r="A548" s="56" t="str">
        <f>IFERROR(__xludf.DUMMYFUNCTION("IF('AYIRA MINI MART FINAL MENU - Pr'!A548="""", """", IF(LEN(TRIM(REGEXREPLACE(REGEXREPLACE('AYIRA MINI MART FINAL MENU - Pr'!A548, ""^[^\x{0600}-\x{06FF}]+"", """"), ""^[-–\s]+"", """")))&gt;0, TRIM(REGEXREPLACE(REGEXREPLACE('AYIRA MINI MART FINAL MENU - Pr"&amp;"'!A548, ""^[^\x{0600}-\x{06FF}]+"", """"), ""^[-–\s]+"", """")), GOOGLETRANSLATE('AYIRA MINI MART FINAL MENU - Pr'!A548, ""en"", ""ar"")))"),"دوريتوس حار Sweet Chili Flavoured")</f>
        <v>دوريتوس حار Sweet Chili Flavoured</v>
      </c>
      <c r="B548" s="56" t="str">
        <f>IFERROR(__xludf.DUMMYFUNCTION("IF('AYIRA MINI MART FINAL MENU - Pr'!B548="""", """", IF(LEN(TRIM(REGEXREPLACE(REGEXREPLACE('AYIRA MINI MART FINAL MENU - Pr'!B548, ""^[^\x{0600}-\x{06FF}]+"", """"), ""^[-–\s]+"", """")))&gt;0, TRIM(REGEXREPLACE(REGEXREPLACE('AYIRA MINI MART FINAL MENU - Pr"&amp;"'!B548, ""^[^\x{0600}-\x{06FF}]+"", """"), ""^[-–\s]+"", """")), GOOGLETRANSLATE('AYIRA MINI MART FINAL MENU - Pr'!B548, ""en"", ""ar"")))"),"الشيبس والمقرمشات")</f>
        <v>الشيبس والمقرمشات</v>
      </c>
      <c r="C548" s="58">
        <f>IF('AYIRA MINI MART FINAL MENU - Pr'!C548="", "", 'AYIRA MINI MART FINAL MENU - Pr'!C548)</f>
        <v>9</v>
      </c>
      <c r="D548" s="58" t="str">
        <f>IF('AYIRA MINI MART FINAL MENU - Pr'!D548="", "", 'AYIRA MINI MART FINAL MENU - Pr'!D548)</f>
        <v>لا تقاوم طعم دوريتوس،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8" s="56" t="str">
        <f>IF('AYIRA MINI MART FINAL MENU - Pr'!E548="", "", 'AYIRA MINI MART FINAL MENU - Pr'!E548)</f>
        <v/>
      </c>
      <c r="F548" s="56" t="str">
        <f>IF('AYIRA MINI MART FINAL MENU - Pr'!F548="", "", 'AYIRA MINI MART FINAL MENU - Pr'!F548)</f>
        <v/>
      </c>
      <c r="G548" s="56" t="str">
        <f>IF('AYIRA MINI MART FINAL MENU - Pr'!G548="", "", 'AYIRA MINI MART FINAL MENU - Pr'!G548)</f>
        <v/>
      </c>
      <c r="H548" s="56" t="str">
        <f>IF('AYIRA MINI MART FINAL MENU - Pr'!H548="", "", 'AYIRA MINI MART FINAL MENU - Pr'!H548)</f>
        <v/>
      </c>
      <c r="I548" s="56" t="str">
        <f>IF('AYIRA MINI MART FINAL MENU - Pr'!I548="", "", 'AYIRA MINI MART FINAL MENU - Pr'!I548)</f>
        <v/>
      </c>
      <c r="J548" s="56" t="str">
        <f>IFERROR(__xludf.DUMMYFUNCTION("IF('AYIRA MINI MART FINAL MENU - Pr'!J548="""", """", GOOGLETRANSLATE('AYIRA MINI MART FINAL MENU - Pr'!J548, ""en"", ""ar""))"),"يعرض")</f>
        <v>يعرض</v>
      </c>
      <c r="K548" s="56" t="str">
        <f>IF('AYIRA MINI MART FINAL MENU - Pr'!K548="", "", 'AYIRA MINI MART FINAL MENU - Pr'!K548)</f>
        <v/>
      </c>
      <c r="L548" s="56" t="str">
        <f>IF('AYIRA MINI MART FINAL MENU - Pr'!L548="", "", 'AYIRA MINI MART FINAL MENU - Pr'!L548)</f>
        <v/>
      </c>
      <c r="M548" s="56" t="str">
        <f>IF('AYIRA MINI MART FINAL MENU - Pr'!M548="", "", 'AYIRA MINI MART FINAL MENU - Pr'!M548)</f>
        <v/>
      </c>
      <c r="N548" s="56" t="str">
        <f>IF('AYIRA MINI MART FINAL MENU - Pr'!N548="", "", 'AYIRA MINI MART FINAL MENU - Pr'!N548)</f>
        <v/>
      </c>
      <c r="O548" s="57"/>
      <c r="P548" s="57"/>
      <c r="Q548" s="57"/>
      <c r="R548" s="57"/>
      <c r="S548" s="57"/>
      <c r="T548" s="57"/>
      <c r="U548" s="57"/>
      <c r="V548" s="57"/>
      <c r="W548" s="57"/>
      <c r="X548" s="57"/>
      <c r="Y548" s="57"/>
      <c r="Z548" s="57"/>
    </row>
    <row r="549">
      <c r="A549" s="56" t="str">
        <f>IFERROR(__xludf.DUMMYFUNCTION("IF('AYIRA MINI MART FINAL MENU - Pr'!A549="""", """", IF(LEN(TRIM(REGEXREPLACE(REGEXREPLACE('AYIRA MINI MART FINAL MENU - Pr'!A549, ""^[^\x{0600}-\x{06FF}]+"", """"), ""^[-–\s]+"", """")))&gt;0, TRIM(REGEXREPLACE(REGEXREPLACE('AYIRA MINI MART FINAL MENU - Pr"&amp;"'!A549, ""^[^\x{0600}-\x{06FF}]+"", """"), ""^[-–\s]+"", """")), GOOGLETRANSLATE('AYIRA MINI MART FINAL MENU - Pr'!A549, ""en"", ""ar"")))"),"سرور شرائح البطاطس الطبيعية بنكهة الملح 14 جم")</f>
        <v>سرور شرائح البطاطس الطبيعية بنكهة الملح 14 جم</v>
      </c>
      <c r="B549" s="56" t="str">
        <f>IFERROR(__xludf.DUMMYFUNCTION("IF('AYIRA MINI MART FINAL MENU - Pr'!B549="""", """", IF(LEN(TRIM(REGEXREPLACE(REGEXREPLACE('AYIRA MINI MART FINAL MENU - Pr'!B549, ""^[^\x{0600}-\x{06FF}]+"", """"), ""^[-–\s]+"", """")))&gt;0, TRIM(REGEXREPLACE(REGEXREPLACE('AYIRA MINI MART FINAL MENU - Pr"&amp;"'!B549, ""^[^\x{0600}-\x{06FF}]+"", """"), ""^[-–\s]+"", """")), GOOGLETRANSLATE('AYIRA MINI MART FINAL MENU - Pr'!B549, ""en"", ""ar"")))"),"الشيبس والمقرمشات")</f>
        <v>الشيبس والمقرمشات</v>
      </c>
      <c r="C549" s="58">
        <f>IF('AYIRA MINI MART FINAL MENU - Pr'!C549="", "", 'AYIRA MINI MART FINAL MENU - Pr'!C549)</f>
        <v>1</v>
      </c>
      <c r="D549" s="58" t="str">
        <f>IF('AYIRA MINI MART FINAL MENU - Pr'!D549="", "", 'AYIRA MINI MART FINAL MENU - Pr'!D549)</f>
        <v>لا تقاوم طعم Suroor Natural Potato Chips Ready Salted 14 g
 سرور شرائح البطاطس الطبيعية بنكهة الملح 14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49" s="56" t="str">
        <f>IF('AYIRA MINI MART FINAL MENU - Pr'!E549="", "", 'AYIRA MINI MART FINAL MENU - Pr'!E549)</f>
        <v/>
      </c>
      <c r="F549" s="56" t="str">
        <f>IF('AYIRA MINI MART FINAL MENU - Pr'!F549="", "", 'AYIRA MINI MART FINAL MENU - Pr'!F549)</f>
        <v/>
      </c>
      <c r="G549" s="56" t="str">
        <f>IF('AYIRA MINI MART FINAL MENU - Pr'!G549="", "", 'AYIRA MINI MART FINAL MENU - Pr'!G549)</f>
        <v/>
      </c>
      <c r="H549" s="56" t="str">
        <f>IF('AYIRA MINI MART FINAL MENU - Pr'!H549="", "", 'AYIRA MINI MART FINAL MENU - Pr'!H549)</f>
        <v/>
      </c>
      <c r="I549" s="56" t="str">
        <f>IF('AYIRA MINI MART FINAL MENU - Pr'!I549="", "", 'AYIRA MINI MART FINAL MENU - Pr'!I549)</f>
        <v/>
      </c>
      <c r="J549" s="56" t="str">
        <f>IFERROR(__xludf.DUMMYFUNCTION("IF('AYIRA MINI MART FINAL MENU - Pr'!J549="""", """", GOOGLETRANSLATE('AYIRA MINI MART FINAL MENU - Pr'!J549, ""en"", ""ar""))"),"يعرض")</f>
        <v>يعرض</v>
      </c>
      <c r="K549" s="56" t="str">
        <f>IF('AYIRA MINI MART FINAL MENU - Pr'!K549="", "", 'AYIRA MINI MART FINAL MENU - Pr'!K549)</f>
        <v/>
      </c>
      <c r="L549" s="56" t="str">
        <f>IF('AYIRA MINI MART FINAL MENU - Pr'!L549="", "", 'AYIRA MINI MART FINAL MENU - Pr'!L549)</f>
        <v/>
      </c>
      <c r="M549" s="56" t="str">
        <f>IF('AYIRA MINI MART FINAL MENU - Pr'!M549="", "", 'AYIRA MINI MART FINAL MENU - Pr'!M549)</f>
        <v/>
      </c>
      <c r="N549" s="56" t="str">
        <f>IF('AYIRA MINI MART FINAL MENU - Pr'!N549="", "", 'AYIRA MINI MART FINAL MENU - Pr'!N549)</f>
        <v/>
      </c>
      <c r="O549" s="57"/>
      <c r="P549" s="57"/>
      <c r="Q549" s="57"/>
      <c r="R549" s="57"/>
      <c r="S549" s="57"/>
      <c r="T549" s="57"/>
      <c r="U549" s="57"/>
      <c r="V549" s="57"/>
      <c r="W549" s="57"/>
      <c r="X549" s="57"/>
      <c r="Y549" s="57"/>
      <c r="Z549" s="57"/>
    </row>
    <row r="550">
      <c r="A550" s="56" t="str">
        <f>IFERROR(__xludf.DUMMYFUNCTION("IF('AYIRA MINI MART FINAL MENU - Pr'!A550="""", """", IF(LEN(TRIM(REGEXREPLACE(REGEXREPLACE('AYIRA MINI MART FINAL MENU - Pr'!A550, ""^[^\x{0600}-\x{06FF}]+"", """"), ""^[-–\s]+"", """")))&gt;0, TRIM(REGEXREPLACE(REGEXREPLACE('AYIRA MINI MART FINAL MENU - Pr"&amp;"'!A550, ""^[^\x{0600}-\x{06FF}]+"", """"), ""^[-–\s]+"", """")), GOOGLETRANSLATE('AYIRA MINI MART FINAL MENU - Pr'!A550, ""en"", ""ar"")))"),"سرور شرائح البطاطس الطبيعية بنكهة الشطة 14 جم")</f>
        <v>سرور شرائح البطاطس الطبيعية بنكهة الشطة 14 جم</v>
      </c>
      <c r="B550" s="56" t="str">
        <f>IFERROR(__xludf.DUMMYFUNCTION("IF('AYIRA MINI MART FINAL MENU - Pr'!B550="""", """", IF(LEN(TRIM(REGEXREPLACE(REGEXREPLACE('AYIRA MINI MART FINAL MENU - Pr'!B550, ""^[^\x{0600}-\x{06FF}]+"", """"), ""^[-–\s]+"", """")))&gt;0, TRIM(REGEXREPLACE(REGEXREPLACE('AYIRA MINI MART FINAL MENU - Pr"&amp;"'!B550, ""^[^\x{0600}-\x{06FF}]+"", """"), ""^[-–\s]+"", """")), GOOGLETRANSLATE('AYIRA MINI MART FINAL MENU - Pr'!B550, ""en"", ""ar"")))"),"الشيبس والمقرمشات")</f>
        <v>الشيبس والمقرمشات</v>
      </c>
      <c r="C550" s="58">
        <f>IF('AYIRA MINI MART FINAL MENU - Pr'!C550="", "", 'AYIRA MINI MART FINAL MENU - Pr'!C550)</f>
        <v>1</v>
      </c>
      <c r="D550" s="58" t="str">
        <f>IF('AYIRA MINI MART FINAL MENU - Pr'!D550="", "", 'AYIRA MINI MART FINAL MENU - Pr'!D550)</f>
        <v>لا تقاوم طعم Suroor Natural Potato Chips Chilli 14 g
 سرور شرائح البطاطس الطبيعية بنكهة الشطة 14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0" s="56" t="str">
        <f>IF('AYIRA MINI MART FINAL MENU - Pr'!E550="", "", 'AYIRA MINI MART FINAL MENU - Pr'!E550)</f>
        <v/>
      </c>
      <c r="F550" s="56" t="str">
        <f>IF('AYIRA MINI MART FINAL MENU - Pr'!F550="", "", 'AYIRA MINI MART FINAL MENU - Pr'!F550)</f>
        <v/>
      </c>
      <c r="G550" s="56" t="str">
        <f>IF('AYIRA MINI MART FINAL MENU - Pr'!G550="", "", 'AYIRA MINI MART FINAL MENU - Pr'!G550)</f>
        <v/>
      </c>
      <c r="H550" s="56" t="str">
        <f>IF('AYIRA MINI MART FINAL MENU - Pr'!H550="", "", 'AYIRA MINI MART FINAL MENU - Pr'!H550)</f>
        <v/>
      </c>
      <c r="I550" s="56" t="str">
        <f>IF('AYIRA MINI MART FINAL MENU - Pr'!I550="", "", 'AYIRA MINI MART FINAL MENU - Pr'!I550)</f>
        <v/>
      </c>
      <c r="J550" s="56" t="str">
        <f>IFERROR(__xludf.DUMMYFUNCTION("IF('AYIRA MINI MART FINAL MENU - Pr'!J550="""", """", GOOGLETRANSLATE('AYIRA MINI MART FINAL MENU - Pr'!J550, ""en"", ""ar""))"),"يعرض")</f>
        <v>يعرض</v>
      </c>
      <c r="K550" s="56" t="str">
        <f>IF('AYIRA MINI MART FINAL MENU - Pr'!K550="", "", 'AYIRA MINI MART FINAL MENU - Pr'!K550)</f>
        <v/>
      </c>
      <c r="L550" s="56" t="str">
        <f>IF('AYIRA MINI MART FINAL MENU - Pr'!L550="", "", 'AYIRA MINI MART FINAL MENU - Pr'!L550)</f>
        <v/>
      </c>
      <c r="M550" s="56" t="str">
        <f>IF('AYIRA MINI MART FINAL MENU - Pr'!M550="", "", 'AYIRA MINI MART FINAL MENU - Pr'!M550)</f>
        <v/>
      </c>
      <c r="N550" s="56" t="str">
        <f>IF('AYIRA MINI MART FINAL MENU - Pr'!N550="", "", 'AYIRA MINI MART FINAL MENU - Pr'!N550)</f>
        <v/>
      </c>
      <c r="O550" s="57"/>
      <c r="P550" s="57"/>
      <c r="Q550" s="57"/>
      <c r="R550" s="57"/>
      <c r="S550" s="57"/>
      <c r="T550" s="57"/>
      <c r="U550" s="57"/>
      <c r="V550" s="57"/>
      <c r="W550" s="57"/>
      <c r="X550" s="57"/>
      <c r="Y550" s="57"/>
      <c r="Z550" s="57"/>
    </row>
    <row r="551">
      <c r="A551" s="56" t="str">
        <f>IFERROR(__xludf.DUMMYFUNCTION("IF('AYIRA MINI MART FINAL MENU - Pr'!A551="""", """", IF(LEN(TRIM(REGEXREPLACE(REGEXREPLACE('AYIRA MINI MART FINAL MENU - Pr'!A551, ""^[^\x{0600}-\x{06FF}]+"", """"), ""^[-–\s]+"", """")))&gt;0, TRIM(REGEXREPLACE(REGEXREPLACE('AYIRA MINI MART FINAL MENU - Pr"&amp;"'!A551, ""^[^\x{0600}-\x{06FF}]+"", """"), ""^[-–\s]+"", """")), GOOGLETRANSLATE('AYIRA MINI MART FINAL MENU - Pr'!A551, ""en"", ""ar"")))"),"أل مدّيش شرائح البطاطس المموجة المقرمشة بنكهة القشدة الحامضة والبصل 15 جم")</f>
        <v>أل مدّيش شرائح البطاطس المموجة المقرمشة بنكهة القشدة الحامضة والبصل 15 جم</v>
      </c>
      <c r="B551" s="56" t="str">
        <f>IFERROR(__xludf.DUMMYFUNCTION("IF('AYIRA MINI MART FINAL MENU - Pr'!B551="""", """", IF(LEN(TRIM(REGEXREPLACE(REGEXREPLACE('AYIRA MINI MART FINAL MENU - Pr'!B551, ""^[^\x{0600}-\x{06FF}]+"", """"), ""^[-–\s]+"", """")))&gt;0, TRIM(REGEXREPLACE(REGEXREPLACE('AYIRA MINI MART FINAL MENU - Pr"&amp;"'!B551, ""^[^\x{0600}-\x{06FF}]+"", """"), ""^[-–\s]+"", """")), GOOGLETRANSLATE('AYIRA MINI MART FINAL MENU - Pr'!B551, ""en"", ""ar"")))"),"الشيبس والمقرمشات")</f>
        <v>الشيبس والمقرمشات</v>
      </c>
      <c r="C551" s="58">
        <f>IF('AYIRA MINI MART FINAL MENU - Pr'!C551="", "", 'AYIRA MINI MART FINAL MENU - Pr'!C551)</f>
        <v>1</v>
      </c>
      <c r="D551" s="58" t="str">
        <f>IF('AYIRA MINI MART FINAL MENU - Pr'!D551="", "", 'AYIRA MINI MART FINAL MENU - Pr'!D551)</f>
        <v>لا تقاوم طعم Al Mudhish Potato Chips Ripples Crunch Sour Cream &amp; Onion Flavour 15 g
 أل مدّيش شرائح البطاطس المموجة المقرمشة بنكهة القشدة الحامضة والبصل 15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1" s="56" t="str">
        <f>IF('AYIRA MINI MART FINAL MENU - Pr'!E551="", "", 'AYIRA MINI MART FINAL MENU - Pr'!E551)</f>
        <v/>
      </c>
      <c r="F551" s="56" t="str">
        <f>IF('AYIRA MINI MART FINAL MENU - Pr'!F551="", "", 'AYIRA MINI MART FINAL MENU - Pr'!F551)</f>
        <v/>
      </c>
      <c r="G551" s="56" t="str">
        <f>IF('AYIRA MINI MART FINAL MENU - Pr'!G551="", "", 'AYIRA MINI MART FINAL MENU - Pr'!G551)</f>
        <v/>
      </c>
      <c r="H551" s="56" t="str">
        <f>IF('AYIRA MINI MART FINAL MENU - Pr'!H551="", "", 'AYIRA MINI MART FINAL MENU - Pr'!H551)</f>
        <v/>
      </c>
      <c r="I551" s="56" t="str">
        <f>IF('AYIRA MINI MART FINAL MENU - Pr'!I551="", "", 'AYIRA MINI MART FINAL MENU - Pr'!I551)</f>
        <v/>
      </c>
      <c r="J551" s="56" t="str">
        <f>IFERROR(__xludf.DUMMYFUNCTION("IF('AYIRA MINI MART FINAL MENU - Pr'!J551="""", """", GOOGLETRANSLATE('AYIRA MINI MART FINAL MENU - Pr'!J551, ""en"", ""ar""))"),"يعرض")</f>
        <v>يعرض</v>
      </c>
      <c r="K551" s="56" t="str">
        <f>IF('AYIRA MINI MART FINAL MENU - Pr'!K551="", "", 'AYIRA MINI MART FINAL MENU - Pr'!K551)</f>
        <v/>
      </c>
      <c r="L551" s="56" t="str">
        <f>IF('AYIRA MINI MART FINAL MENU - Pr'!L551="", "", 'AYIRA MINI MART FINAL MENU - Pr'!L551)</f>
        <v/>
      </c>
      <c r="M551" s="56" t="str">
        <f>IF('AYIRA MINI MART FINAL MENU - Pr'!M551="", "", 'AYIRA MINI MART FINAL MENU - Pr'!M551)</f>
        <v/>
      </c>
      <c r="N551" s="56" t="str">
        <f>IF('AYIRA MINI MART FINAL MENU - Pr'!N551="", "", 'AYIRA MINI MART FINAL MENU - Pr'!N551)</f>
        <v/>
      </c>
      <c r="O551" s="57"/>
      <c r="P551" s="57"/>
      <c r="Q551" s="57"/>
      <c r="R551" s="57"/>
      <c r="S551" s="57"/>
      <c r="T551" s="57"/>
      <c r="U551" s="57"/>
      <c r="V551" s="57"/>
      <c r="W551" s="57"/>
      <c r="X551" s="57"/>
      <c r="Y551" s="57"/>
      <c r="Z551" s="57"/>
    </row>
    <row r="552">
      <c r="A552" s="56" t="str">
        <f>IFERROR(__xludf.DUMMYFUNCTION("IF('AYIRA MINI MART FINAL MENU - Pr'!A552="""", """", IF(LEN(TRIM(REGEXREPLACE(REGEXREPLACE('AYIRA MINI MART FINAL MENU - Pr'!A552, ""^[^\x{0600}-\x{06FF}]+"", """"), ""^[-–\s]+"", """")))&gt;0, TRIM(REGEXREPLACE(REGEXREPLACE('AYIRA MINI MART FINAL MENU - Pr"&amp;"'!A552, ""^[^\x{0600}-\x{06FF}]+"", """"), ""^[-–\s]+"", """")), GOOGLETRANSLATE('AYIRA MINI MART FINAL MENU - Pr'!A552, ""en"", ""ar"")))"),"سرور شرائح البطاطس الطبيعية بنكهة الكاتشب 14 جم")</f>
        <v>سرور شرائح البطاطس الطبيعية بنكهة الكاتشب 14 جم</v>
      </c>
      <c r="B552" s="56" t="str">
        <f>IFERROR(__xludf.DUMMYFUNCTION("IF('AYIRA MINI MART FINAL MENU - Pr'!B552="""", """", IF(LEN(TRIM(REGEXREPLACE(REGEXREPLACE('AYIRA MINI MART FINAL MENU - Pr'!B552, ""^[^\x{0600}-\x{06FF}]+"", """"), ""^[-–\s]+"", """")))&gt;0, TRIM(REGEXREPLACE(REGEXREPLACE('AYIRA MINI MART FINAL MENU - Pr"&amp;"'!B552, ""^[^\x{0600}-\x{06FF}]+"", """"), ""^[-–\s]+"", """")), GOOGLETRANSLATE('AYIRA MINI MART FINAL MENU - Pr'!B552, ""en"", ""ar"")))"),"الشيبس والمقرمشات")</f>
        <v>الشيبس والمقرمشات</v>
      </c>
      <c r="C552" s="58">
        <f>IF('AYIRA MINI MART FINAL MENU - Pr'!C552="", "", 'AYIRA MINI MART FINAL MENU - Pr'!C552)</f>
        <v>1</v>
      </c>
      <c r="D552" s="58" t="str">
        <f>IF('AYIRA MINI MART FINAL MENU - Pr'!D552="", "", 'AYIRA MINI MART FINAL MENU - Pr'!D552)</f>
        <v>لا تقاوم طعم Suroor Natural Potato Chips Tomato Ketchup 14 g
 سرور شرائح البطاطس الطبيعية بنكهة الكاتشب 14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2" s="56" t="str">
        <f>IF('AYIRA MINI MART FINAL MENU - Pr'!E552="", "", 'AYIRA MINI MART FINAL MENU - Pr'!E552)</f>
        <v/>
      </c>
      <c r="F552" s="56" t="str">
        <f>IF('AYIRA MINI MART FINAL MENU - Pr'!F552="", "", 'AYIRA MINI MART FINAL MENU - Pr'!F552)</f>
        <v/>
      </c>
      <c r="G552" s="56" t="str">
        <f>IF('AYIRA MINI MART FINAL MENU - Pr'!G552="", "", 'AYIRA MINI MART FINAL MENU - Pr'!G552)</f>
        <v/>
      </c>
      <c r="H552" s="56" t="str">
        <f>IF('AYIRA MINI MART FINAL MENU - Pr'!H552="", "", 'AYIRA MINI MART FINAL MENU - Pr'!H552)</f>
        <v/>
      </c>
      <c r="I552" s="56" t="str">
        <f>IF('AYIRA MINI MART FINAL MENU - Pr'!I552="", "", 'AYIRA MINI MART FINAL MENU - Pr'!I552)</f>
        <v/>
      </c>
      <c r="J552" s="56" t="str">
        <f>IFERROR(__xludf.DUMMYFUNCTION("IF('AYIRA MINI MART FINAL MENU - Pr'!J552="""", """", GOOGLETRANSLATE('AYIRA MINI MART FINAL MENU - Pr'!J552, ""en"", ""ar""))"),"يعرض")</f>
        <v>يعرض</v>
      </c>
      <c r="K552" s="56" t="str">
        <f>IF('AYIRA MINI MART FINAL MENU - Pr'!K552="", "", 'AYIRA MINI MART FINAL MENU - Pr'!K552)</f>
        <v/>
      </c>
      <c r="L552" s="56" t="str">
        <f>IF('AYIRA MINI MART FINAL MENU - Pr'!L552="", "", 'AYIRA MINI MART FINAL MENU - Pr'!L552)</f>
        <v/>
      </c>
      <c r="M552" s="56" t="str">
        <f>IF('AYIRA MINI MART FINAL MENU - Pr'!M552="", "", 'AYIRA MINI MART FINAL MENU - Pr'!M552)</f>
        <v/>
      </c>
      <c r="N552" s="56" t="str">
        <f>IF('AYIRA MINI MART FINAL MENU - Pr'!N552="", "", 'AYIRA MINI MART FINAL MENU - Pr'!N552)</f>
        <v/>
      </c>
      <c r="O552" s="57"/>
      <c r="P552" s="57"/>
      <c r="Q552" s="57"/>
      <c r="R552" s="57"/>
      <c r="S552" s="57"/>
      <c r="T552" s="57"/>
      <c r="U552" s="57"/>
      <c r="V552" s="57"/>
      <c r="W552" s="57"/>
      <c r="X552" s="57"/>
      <c r="Y552" s="57"/>
      <c r="Z552" s="57"/>
    </row>
    <row r="553">
      <c r="A553" s="56" t="str">
        <f>IFERROR(__xludf.DUMMYFUNCTION("IF('AYIRA MINI MART FINAL MENU - Pr'!A553="""", """", IF(LEN(TRIM(REGEXREPLACE(REGEXREPLACE('AYIRA MINI MART FINAL MENU - Pr'!A553, ""^[^\x{0600}-\x{06FF}]+"", """"), ""^[-–\s]+"", """")))&gt;0, TRIM(REGEXREPLACE(REGEXREPLACE('AYIRA MINI MART FINAL MENU - Pr"&amp;"'!A553, ""^[^\x{0600}-\x{06FF}]+"", """"), ""^[-–\s]+"", """")), GOOGLETRANSLATE('AYIRA MINI MART FINAL MENU - Pr'!A553, ""en"", ""ar"")))"),"سرور شرائح البطاطس الطبيعية بنكهة الملح والخل 14 جم")</f>
        <v>سرور شرائح البطاطس الطبيعية بنكهة الملح والخل 14 جم</v>
      </c>
      <c r="B553" s="56" t="str">
        <f>IFERROR(__xludf.DUMMYFUNCTION("IF('AYIRA MINI MART FINAL MENU - Pr'!B553="""", """", IF(LEN(TRIM(REGEXREPLACE(REGEXREPLACE('AYIRA MINI MART FINAL MENU - Pr'!B553, ""^[^\x{0600}-\x{06FF}]+"", """"), ""^[-–\s]+"", """")))&gt;0, TRIM(REGEXREPLACE(REGEXREPLACE('AYIRA MINI MART FINAL MENU - Pr"&amp;"'!B553, ""^[^\x{0600}-\x{06FF}]+"", """"), ""^[-–\s]+"", """")), GOOGLETRANSLATE('AYIRA MINI MART FINAL MENU - Pr'!B553, ""en"", ""ar"")))"),"الشيبس والمقرمشات")</f>
        <v>الشيبس والمقرمشات</v>
      </c>
      <c r="C553" s="58">
        <f>IF('AYIRA MINI MART FINAL MENU - Pr'!C553="", "", 'AYIRA MINI MART FINAL MENU - Pr'!C553)</f>
        <v>1</v>
      </c>
      <c r="D553" s="58" t="str">
        <f>IF('AYIRA MINI MART FINAL MENU - Pr'!D553="", "", 'AYIRA MINI MART FINAL MENU - Pr'!D553)</f>
        <v>لا تقاوم طعم Suroor Natural Potato Chips Salt &amp; Vinegar 14 g
 سرور شرائح البطاطس الطبيعية بنكهة الملح والخل 14 جم،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3" s="56" t="str">
        <f>IF('AYIRA MINI MART FINAL MENU - Pr'!E553="", "", 'AYIRA MINI MART FINAL MENU - Pr'!E553)</f>
        <v/>
      </c>
      <c r="F553" s="56" t="str">
        <f>IF('AYIRA MINI MART FINAL MENU - Pr'!F553="", "", 'AYIRA MINI MART FINAL MENU - Pr'!F553)</f>
        <v/>
      </c>
      <c r="G553" s="56" t="str">
        <f>IF('AYIRA MINI MART FINAL MENU - Pr'!G553="", "", 'AYIRA MINI MART FINAL MENU - Pr'!G553)</f>
        <v/>
      </c>
      <c r="H553" s="56" t="str">
        <f>IF('AYIRA MINI MART FINAL MENU - Pr'!H553="", "", 'AYIRA MINI MART FINAL MENU - Pr'!H553)</f>
        <v/>
      </c>
      <c r="I553" s="56" t="str">
        <f>IF('AYIRA MINI MART FINAL MENU - Pr'!I553="", "", 'AYIRA MINI MART FINAL MENU - Pr'!I553)</f>
        <v/>
      </c>
      <c r="J553" s="56" t="str">
        <f>IFERROR(__xludf.DUMMYFUNCTION("IF('AYIRA MINI MART FINAL MENU - Pr'!J553="""", """", GOOGLETRANSLATE('AYIRA MINI MART FINAL MENU - Pr'!J553, ""en"", ""ar""))"),"يعرض")</f>
        <v>يعرض</v>
      </c>
      <c r="K553" s="56" t="str">
        <f>IF('AYIRA MINI MART FINAL MENU - Pr'!K553="", "", 'AYIRA MINI MART FINAL MENU - Pr'!K553)</f>
        <v/>
      </c>
      <c r="L553" s="56" t="str">
        <f>IF('AYIRA MINI MART FINAL MENU - Pr'!L553="", "", 'AYIRA MINI MART FINAL MENU - Pr'!L553)</f>
        <v/>
      </c>
      <c r="M553" s="56" t="str">
        <f>IF('AYIRA MINI MART FINAL MENU - Pr'!M553="", "", 'AYIRA MINI MART FINAL MENU - Pr'!M553)</f>
        <v/>
      </c>
      <c r="N553" s="56" t="str">
        <f>IF('AYIRA MINI MART FINAL MENU - Pr'!N553="", "", 'AYIRA MINI MART FINAL MENU - Pr'!N553)</f>
        <v/>
      </c>
      <c r="O553" s="57"/>
      <c r="P553" s="57"/>
      <c r="Q553" s="57"/>
      <c r="R553" s="57"/>
      <c r="S553" s="57"/>
      <c r="T553" s="57"/>
      <c r="U553" s="57"/>
      <c r="V553" s="57"/>
      <c r="W553" s="57"/>
      <c r="X553" s="57"/>
      <c r="Y553" s="57"/>
      <c r="Z553" s="57"/>
    </row>
    <row r="554">
      <c r="A554" s="56" t="str">
        <f>IFERROR(__xludf.DUMMYFUNCTION("IF('AYIRA MINI MART FINAL MENU - Pr'!A554="""", """", IF(LEN(TRIM(REGEXREPLACE(REGEXREPLACE('AYIRA MINI MART FINAL MENU - Pr'!A554, ""^[^\x{0600}-\x{06FF}]+"", """"), ""^[-–\s]+"", """")))&gt;0, TRIM(REGEXREPLACE(REGEXREPLACE('AYIRA MINI MART FINAL MENU - Pr"&amp;"'!A554, ""^[^\x{0600}-\x{06FF}]+"", """"), ""^[-–\s]+"", """")), GOOGLETRANSLATE('AYIRA MINI MART FINAL MENU - Pr'!A554, ""en"", ""ar"")))"),"شيبس 22 غرام")</f>
        <v>شيبس 22 غرام</v>
      </c>
      <c r="B554" s="56" t="str">
        <f>IFERROR(__xludf.DUMMYFUNCTION("IF('AYIRA MINI MART FINAL MENU - Pr'!B554="""", """", IF(LEN(TRIM(REGEXREPLACE(REGEXREPLACE('AYIRA MINI MART FINAL MENU - Pr'!B554, ""^[^\x{0600}-\x{06FF}]+"", """"), ""^[-–\s]+"", """")))&gt;0, TRIM(REGEXREPLACE(REGEXREPLACE('AYIRA MINI MART FINAL MENU - Pr"&amp;"'!B554, ""^[^\x{0600}-\x{06FF}]+"", """"), ""^[-–\s]+"", """")), GOOGLETRANSLATE('AYIRA MINI MART FINAL MENU - Pr'!B554, ""en"", ""ar"")))"),"الشيبس والمقرمشات")</f>
        <v>الشيبس والمقرمشات</v>
      </c>
      <c r="C554" s="58">
        <f>IF('AYIRA MINI MART FINAL MENU - Pr'!C554="", "", 'AYIRA MINI MART FINAL MENU - Pr'!C554)</f>
        <v>2</v>
      </c>
      <c r="D554" s="58" t="str">
        <f>IF('AYIRA MINI MART FINAL MENU - Pr'!D554="", "", 'AYIRA MINI MART FINAL MENU - Pr'!D554)</f>
        <v>لا تقاوم طعم Sohar Chips 22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4" s="56" t="str">
        <f>IF('AYIRA MINI MART FINAL MENU - Pr'!E554="", "", 'AYIRA MINI MART FINAL MENU - Pr'!E554)</f>
        <v/>
      </c>
      <c r="F554" s="56" t="str">
        <f>IF('AYIRA MINI MART FINAL MENU - Pr'!F554="", "", 'AYIRA MINI MART FINAL MENU - Pr'!F554)</f>
        <v/>
      </c>
      <c r="G554" s="56" t="str">
        <f>IF('AYIRA MINI MART FINAL MENU - Pr'!G554="", "", 'AYIRA MINI MART FINAL MENU - Pr'!G554)</f>
        <v/>
      </c>
      <c r="H554" s="56" t="str">
        <f>IF('AYIRA MINI MART FINAL MENU - Pr'!H554="", "", 'AYIRA MINI MART FINAL MENU - Pr'!H554)</f>
        <v/>
      </c>
      <c r="I554" s="56" t="str">
        <f>IF('AYIRA MINI MART FINAL MENU - Pr'!I554="", "", 'AYIRA MINI MART FINAL MENU - Pr'!I554)</f>
        <v/>
      </c>
      <c r="J554" s="56" t="str">
        <f>IFERROR(__xludf.DUMMYFUNCTION("IF('AYIRA MINI MART FINAL MENU - Pr'!J554="""", """", GOOGLETRANSLATE('AYIRA MINI MART FINAL MENU - Pr'!J554, ""en"", ""ar""))"),"يعرض")</f>
        <v>يعرض</v>
      </c>
      <c r="K554" s="56" t="str">
        <f>IF('AYIRA MINI MART FINAL MENU - Pr'!K554="", "", 'AYIRA MINI MART FINAL MENU - Pr'!K554)</f>
        <v/>
      </c>
      <c r="L554" s="56" t="str">
        <f>IF('AYIRA MINI MART FINAL MENU - Pr'!L554="", "", 'AYIRA MINI MART FINAL MENU - Pr'!L554)</f>
        <v/>
      </c>
      <c r="M554" s="56" t="str">
        <f>IF('AYIRA MINI MART FINAL MENU - Pr'!M554="", "", 'AYIRA MINI MART FINAL MENU - Pr'!M554)</f>
        <v/>
      </c>
      <c r="N554" s="56" t="str">
        <f>IF('AYIRA MINI MART FINAL MENU - Pr'!N554="", "", 'AYIRA MINI MART FINAL MENU - Pr'!N554)</f>
        <v/>
      </c>
      <c r="O554" s="57"/>
      <c r="P554" s="57"/>
      <c r="Q554" s="57"/>
      <c r="R554" s="57"/>
      <c r="S554" s="57"/>
      <c r="T554" s="57"/>
      <c r="U554" s="57"/>
      <c r="V554" s="57"/>
      <c r="W554" s="57"/>
      <c r="X554" s="57"/>
      <c r="Y554" s="57"/>
      <c r="Z554" s="57"/>
    </row>
    <row r="555">
      <c r="A555" s="56" t="str">
        <f>IFERROR(__xludf.DUMMYFUNCTION("IF('AYIRA MINI MART FINAL MENU - Pr'!A555="""", """", IF(LEN(TRIM(REGEXREPLACE(REGEXREPLACE('AYIRA MINI MART FINAL MENU - Pr'!A555, ""^[^\x{0600}-\x{06FF}]+"", """"), ""^[-–\s]+"", """")))&gt;0, TRIM(REGEXREPLACE(REGEXREPLACE('AYIRA MINI MART FINAL MENU - Pr"&amp;"'!A555, ""^[^\x{0600}-\x{06FF}]+"", """"), ""^[-–\s]+"", """")), GOOGLETRANSLATE('AYIRA MINI MART FINAL MENU - Pr'!A555, ""en"", ""ar"")))"),"شيبس – Pizza Flavour 20 غرام")</f>
        <v>شيبس – Pizza Flavour 20 غرام</v>
      </c>
      <c r="B555" s="56" t="str">
        <f>IFERROR(__xludf.DUMMYFUNCTION("IF('AYIRA MINI MART FINAL MENU - Pr'!B555="""", """", IF(LEN(TRIM(REGEXREPLACE(REGEXREPLACE('AYIRA MINI MART FINAL MENU - Pr'!B555, ""^[^\x{0600}-\x{06FF}]+"", """"), ""^[-–\s]+"", """")))&gt;0, TRIM(REGEXREPLACE(REGEXREPLACE('AYIRA MINI MART FINAL MENU - Pr"&amp;"'!B555, ""^[^\x{0600}-\x{06FF}]+"", """"), ""^[-–\s]+"", """")), GOOGLETRANSLATE('AYIRA MINI MART FINAL MENU - Pr'!B555, ""en"", ""ar"")))"),"الشيبس والمقرمشات")</f>
        <v>الشيبس والمقرمشات</v>
      </c>
      <c r="C555" s="58">
        <f>IF('AYIRA MINI MART FINAL MENU - Pr'!C555="", "", 'AYIRA MINI MART FINAL MENU - Pr'!C555)</f>
        <v>1</v>
      </c>
      <c r="D555" s="58" t="str">
        <f>IF('AYIRA MINI MART FINAL MENU - Pr'!D555="", "", 'AYIRA MINI MART FINAL MENU - Pr'!D555)</f>
        <v>لا تقاوم طعم Al Mudish Tortilla Chips – Pizza Flavour 20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5" s="56" t="str">
        <f>IF('AYIRA MINI MART FINAL MENU - Pr'!E555="", "", 'AYIRA MINI MART FINAL MENU - Pr'!E555)</f>
        <v/>
      </c>
      <c r="F555" s="56" t="str">
        <f>IF('AYIRA MINI MART FINAL MENU - Pr'!F555="", "", 'AYIRA MINI MART FINAL MENU - Pr'!F555)</f>
        <v/>
      </c>
      <c r="G555" s="56" t="str">
        <f>IF('AYIRA MINI MART FINAL MENU - Pr'!G555="", "", 'AYIRA MINI MART FINAL MENU - Pr'!G555)</f>
        <v/>
      </c>
      <c r="H555" s="56" t="str">
        <f>IF('AYIRA MINI MART FINAL MENU - Pr'!H555="", "", 'AYIRA MINI MART FINAL MENU - Pr'!H555)</f>
        <v/>
      </c>
      <c r="I555" s="56" t="str">
        <f>IF('AYIRA MINI MART FINAL MENU - Pr'!I555="", "", 'AYIRA MINI MART FINAL MENU - Pr'!I555)</f>
        <v/>
      </c>
      <c r="J555" s="56" t="str">
        <f>IFERROR(__xludf.DUMMYFUNCTION("IF('AYIRA MINI MART FINAL MENU - Pr'!J555="""", """", GOOGLETRANSLATE('AYIRA MINI MART FINAL MENU - Pr'!J555, ""en"", ""ar""))"),"يعرض")</f>
        <v>يعرض</v>
      </c>
      <c r="K555" s="56" t="str">
        <f>IF('AYIRA MINI MART FINAL MENU - Pr'!K555="", "", 'AYIRA MINI MART FINAL MENU - Pr'!K555)</f>
        <v/>
      </c>
      <c r="L555" s="56" t="str">
        <f>IF('AYIRA MINI MART FINAL MENU - Pr'!L555="", "", 'AYIRA MINI MART FINAL MENU - Pr'!L555)</f>
        <v/>
      </c>
      <c r="M555" s="56" t="str">
        <f>IF('AYIRA MINI MART FINAL MENU - Pr'!M555="", "", 'AYIRA MINI MART FINAL MENU - Pr'!M555)</f>
        <v/>
      </c>
      <c r="N555" s="56" t="str">
        <f>IF('AYIRA MINI MART FINAL MENU - Pr'!N555="", "", 'AYIRA MINI MART FINAL MENU - Pr'!N555)</f>
        <v/>
      </c>
      <c r="O555" s="57"/>
      <c r="P555" s="57"/>
      <c r="Q555" s="57"/>
      <c r="R555" s="57"/>
      <c r="S555" s="57"/>
      <c r="T555" s="57"/>
      <c r="U555" s="57"/>
      <c r="V555" s="57"/>
      <c r="W555" s="57"/>
      <c r="X555" s="57"/>
      <c r="Y555" s="57"/>
      <c r="Z555" s="57"/>
    </row>
    <row r="556">
      <c r="A556" s="56" t="str">
        <f>IFERROR(__xludf.DUMMYFUNCTION("IF('AYIRA MINI MART FINAL MENU - Pr'!A556="""", """", IF(LEN(TRIM(REGEXREPLACE(REGEXREPLACE('AYIRA MINI MART FINAL MENU - Pr'!A556, ""^[^\x{0600}-\x{06FF}]+"", """"), ""^[-–\s]+"", """")))&gt;0, TRIM(REGEXREPLACE(REGEXREPLACE('AYIRA MINI MART FINAL MENU - Pr"&amp;"'!A556, ""^[^\x{0600}-\x{06FF}]+"", """"), ""^[-–\s]+"", """")), GOOGLETRANSLATE('AYIRA MINI MART FINAL MENU - Pr'!A556, ""en"", ""ar"")))"),"غرام")</f>
        <v>غرام</v>
      </c>
      <c r="B556" s="56" t="str">
        <f>IFERROR(__xludf.DUMMYFUNCTION("IF('AYIRA MINI MART FINAL MENU - Pr'!B556="""", """", IF(LEN(TRIM(REGEXREPLACE(REGEXREPLACE('AYIRA MINI MART FINAL MENU - Pr'!B556, ""^[^\x{0600}-\x{06FF}]+"", """"), ""^[-–\s]+"", """")))&gt;0, TRIM(REGEXREPLACE(REGEXREPLACE('AYIRA MINI MART FINAL MENU - Pr"&amp;"'!B556, ""^[^\x{0600}-\x{06FF}]+"", """"), ""^[-–\s]+"", """")), GOOGLETRANSLATE('AYIRA MINI MART FINAL MENU - Pr'!B556, ""en"", ""ar"")))"),"الشيبس والمقرمشات")</f>
        <v>الشيبس والمقرمشات</v>
      </c>
      <c r="C556" s="58">
        <f>IF('AYIRA MINI MART FINAL MENU - Pr'!C556="", "", 'AYIRA MINI MART FINAL MENU - Pr'!C556)</f>
        <v>1</v>
      </c>
      <c r="D556" s="58" t="str">
        <f>IF('AYIRA MINI MART FINAL MENU - Pr'!D556="", "", 'AYIRA MINI MART FINAL MENU - Pr'!D556)</f>
        <v>لا تقاوم طعم Qatar Pafki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6" s="56" t="str">
        <f>IF('AYIRA MINI MART FINAL MENU - Pr'!E556="", "", 'AYIRA MINI MART FINAL MENU - Pr'!E556)</f>
        <v/>
      </c>
      <c r="F556" s="56" t="str">
        <f>IF('AYIRA MINI MART FINAL MENU - Pr'!F556="", "", 'AYIRA MINI MART FINAL MENU - Pr'!F556)</f>
        <v/>
      </c>
      <c r="G556" s="56" t="str">
        <f>IF('AYIRA MINI MART FINAL MENU - Pr'!G556="", "", 'AYIRA MINI MART FINAL MENU - Pr'!G556)</f>
        <v/>
      </c>
      <c r="H556" s="56" t="str">
        <f>IF('AYIRA MINI MART FINAL MENU - Pr'!H556="", "", 'AYIRA MINI MART FINAL MENU - Pr'!H556)</f>
        <v/>
      </c>
      <c r="I556" s="56" t="str">
        <f>IF('AYIRA MINI MART FINAL MENU - Pr'!I556="", "", 'AYIRA MINI MART FINAL MENU - Pr'!I556)</f>
        <v/>
      </c>
      <c r="J556" s="56" t="str">
        <f>IFERROR(__xludf.DUMMYFUNCTION("IF('AYIRA MINI MART FINAL MENU - Pr'!J556="""", """", GOOGLETRANSLATE('AYIRA MINI MART FINAL MENU - Pr'!J556, ""en"", ""ar""))"),"يعرض")</f>
        <v>يعرض</v>
      </c>
      <c r="K556" s="56" t="str">
        <f>IF('AYIRA MINI MART FINAL MENU - Pr'!K556="", "", 'AYIRA MINI MART FINAL MENU - Pr'!K556)</f>
        <v/>
      </c>
      <c r="L556" s="56" t="str">
        <f>IF('AYIRA MINI MART FINAL MENU - Pr'!L556="", "", 'AYIRA MINI MART FINAL MENU - Pr'!L556)</f>
        <v/>
      </c>
      <c r="M556" s="56" t="str">
        <f>IF('AYIRA MINI MART FINAL MENU - Pr'!M556="", "", 'AYIRA MINI MART FINAL MENU - Pr'!M556)</f>
        <v/>
      </c>
      <c r="N556" s="56" t="str">
        <f>IF('AYIRA MINI MART FINAL MENU - Pr'!N556="", "", 'AYIRA MINI MART FINAL MENU - Pr'!N556)</f>
        <v/>
      </c>
      <c r="O556" s="57"/>
      <c r="P556" s="57"/>
      <c r="Q556" s="57"/>
      <c r="R556" s="57"/>
      <c r="S556" s="57"/>
      <c r="T556" s="57"/>
      <c r="U556" s="57"/>
      <c r="V556" s="57"/>
      <c r="W556" s="57"/>
      <c r="X556" s="57"/>
      <c r="Y556" s="57"/>
      <c r="Z556" s="57"/>
    </row>
    <row r="557">
      <c r="A557" s="56" t="str">
        <f>IFERROR(__xludf.DUMMYFUNCTION("IF('AYIRA MINI MART FINAL MENU - Pr'!A557="""", """", IF(LEN(TRIM(REGEXREPLACE(REGEXREPLACE('AYIRA MINI MART FINAL MENU - Pr'!A557, ""^[^\x{0600}-\x{06FF}]+"", """"), ""^[-–\s]+"", """")))&gt;0, TRIM(REGEXREPLACE(REGEXREPLACE('AYIRA MINI MART FINAL MENU - Pr"&amp;"'!A557, ""^[^\x{0600}-\x{06FF}]+"", """"), ""^[-–\s]+"", """")), GOOGLETRANSLATE('AYIRA MINI MART FINAL MENU - Pr'!A557, ""en"", ""ar"")))"),"أصلي 27 غرام")</f>
        <v>أصلي 27 غرام</v>
      </c>
      <c r="B557" s="56" t="str">
        <f>IFERROR(__xludf.DUMMYFUNCTION("IF('AYIRA MINI MART FINAL MENU - Pr'!B557="""", """", IF(LEN(TRIM(REGEXREPLACE(REGEXREPLACE('AYIRA MINI MART FINAL MENU - Pr'!B557, ""^[^\x{0600}-\x{06FF}]+"", """"), ""^[-–\s]+"", """")))&gt;0, TRIM(REGEXREPLACE(REGEXREPLACE('AYIRA MINI MART FINAL MENU - Pr"&amp;"'!B557, ""^[^\x{0600}-\x{06FF}]+"", """"), ""^[-–\s]+"", """")), GOOGLETRANSLATE('AYIRA MINI MART FINAL MENU - Pr'!B557, ""en"", ""ar"")))"),"الشيبس والمقرمشات")</f>
        <v>الشيبس والمقرمشات</v>
      </c>
      <c r="C557" s="56" t="str">
        <f>IF('AYIRA MINI MART FINAL MENU - Pr'!C557="", "", 'AYIRA MINI MART FINAL MENU - Pr'!C557)</f>
        <v/>
      </c>
      <c r="D557" s="58" t="str">
        <f>IF('AYIRA MINI MART FINAL MENU - Pr'!D557="", "", 'AYIRA MINI MART FINAL MENU - Pr'!D557)</f>
        <v>لا تقاوم طعم Bliss Veggie Straws Original 27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7" s="56" t="str">
        <f>IF('AYIRA MINI MART FINAL MENU - Pr'!E557="", "", 'AYIRA MINI MART FINAL MENU - Pr'!E557)</f>
        <v/>
      </c>
      <c r="F557" s="56" t="str">
        <f>IF('AYIRA MINI MART FINAL MENU - Pr'!F557="", "", 'AYIRA MINI MART FINAL MENU - Pr'!F557)</f>
        <v/>
      </c>
      <c r="G557" s="56" t="str">
        <f>IF('AYIRA MINI MART FINAL MENU - Pr'!G557="", "", 'AYIRA MINI MART FINAL MENU - Pr'!G557)</f>
        <v/>
      </c>
      <c r="H557" s="56" t="str">
        <f>IF('AYIRA MINI MART FINAL MENU - Pr'!H557="", "", 'AYIRA MINI MART FINAL MENU - Pr'!H557)</f>
        <v/>
      </c>
      <c r="I557" s="56" t="str">
        <f>IF('AYIRA MINI MART FINAL MENU - Pr'!I557="", "", 'AYIRA MINI MART FINAL MENU - Pr'!I557)</f>
        <v/>
      </c>
      <c r="J557" s="56" t="str">
        <f>IFERROR(__xludf.DUMMYFUNCTION("IF('AYIRA MINI MART FINAL MENU - Pr'!J557="""", """", GOOGLETRANSLATE('AYIRA MINI MART FINAL MENU - Pr'!J557, ""en"", ""ar""))"),"يعرض")</f>
        <v>يعرض</v>
      </c>
      <c r="K557" s="56" t="str">
        <f>IF('AYIRA MINI MART FINAL MENU - Pr'!K557="", "", 'AYIRA MINI MART FINAL MENU - Pr'!K557)</f>
        <v/>
      </c>
      <c r="L557" s="56" t="str">
        <f>IF('AYIRA MINI MART FINAL MENU - Pr'!L557="", "", 'AYIRA MINI MART FINAL MENU - Pr'!L557)</f>
        <v/>
      </c>
      <c r="M557" s="56" t="str">
        <f>IF('AYIRA MINI MART FINAL MENU - Pr'!M557="", "", 'AYIRA MINI MART FINAL MENU - Pr'!M557)</f>
        <v/>
      </c>
      <c r="N557" s="56" t="str">
        <f>IF('AYIRA MINI MART FINAL MENU - Pr'!N557="", "", 'AYIRA MINI MART FINAL MENU - Pr'!N557)</f>
        <v/>
      </c>
      <c r="O557" s="57"/>
      <c r="P557" s="57"/>
      <c r="Q557" s="57"/>
      <c r="R557" s="57"/>
      <c r="S557" s="57"/>
      <c r="T557" s="57"/>
      <c r="U557" s="57"/>
      <c r="V557" s="57"/>
      <c r="W557" s="57"/>
      <c r="X557" s="57"/>
      <c r="Y557" s="57"/>
      <c r="Z557" s="57"/>
    </row>
    <row r="558">
      <c r="A558" s="56" t="str">
        <f>IFERROR(__xludf.DUMMYFUNCTION("IF('AYIRA MINI MART FINAL MENU - Pr'!A558="""", """", IF(LEN(TRIM(REGEXREPLACE(REGEXREPLACE('AYIRA MINI MART FINAL MENU - Pr'!A558, ""^[^\x{0600}-\x{06FF}]+"", """"), ""^[-–\s]+"", """")))&gt;0, TRIM(REGEXREPLACE(REGEXREPLACE('AYIRA MINI MART FINAL MENU - Pr"&amp;"'!A558, ""^[^\x{0600}-\x{06FF}]+"", """"), ""^[-–\s]+"", """")), GOOGLETRANSLATE('AYIRA MINI MART FINAL MENU - Pr'!A558, ""en"", ""ar"")))"),"باربيكيو 15 غرام")</f>
        <v>باربيكيو 15 غرام</v>
      </c>
      <c r="B558" s="56" t="str">
        <f>IFERROR(__xludf.DUMMYFUNCTION("IF('AYIRA MINI MART FINAL MENU - Pr'!B558="""", """", IF(LEN(TRIM(REGEXREPLACE(REGEXREPLACE('AYIRA MINI MART FINAL MENU - Pr'!B558, ""^[^\x{0600}-\x{06FF}]+"", """"), ""^[-–\s]+"", """")))&gt;0, TRIM(REGEXREPLACE(REGEXREPLACE('AYIRA MINI MART FINAL MENU - Pr"&amp;"'!B558, ""^[^\x{0600}-\x{06FF}]+"", """"), ""^[-–\s]+"", """")), GOOGLETRANSLATE('AYIRA MINI MART FINAL MENU - Pr'!B558, ""en"", ""ar"")))"),"الشيبس والمقرمشات")</f>
        <v>الشيبس والمقرمشات</v>
      </c>
      <c r="C558" s="58">
        <f>IF('AYIRA MINI MART FINAL MENU - Pr'!C558="", "", 'AYIRA MINI MART FINAL MENU - Pr'!C558)</f>
        <v>1</v>
      </c>
      <c r="D558" s="58" t="str">
        <f>IF('AYIRA MINI MART FINAL MENU - Pr'!D558="", "", 'AYIRA MINI MART FINAL MENU - Pr'!D558)</f>
        <v>لا تقاوم طعم Batatos Smokey BBQ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8" s="56" t="str">
        <f>IF('AYIRA MINI MART FINAL MENU - Pr'!E558="", "", 'AYIRA MINI MART FINAL MENU - Pr'!E558)</f>
        <v/>
      </c>
      <c r="F558" s="56" t="str">
        <f>IF('AYIRA MINI MART FINAL MENU - Pr'!F558="", "", 'AYIRA MINI MART FINAL MENU - Pr'!F558)</f>
        <v/>
      </c>
      <c r="G558" s="56" t="str">
        <f>IF('AYIRA MINI MART FINAL MENU - Pr'!G558="", "", 'AYIRA MINI MART FINAL MENU - Pr'!G558)</f>
        <v/>
      </c>
      <c r="H558" s="56" t="str">
        <f>IF('AYIRA MINI MART FINAL MENU - Pr'!H558="", "", 'AYIRA MINI MART FINAL MENU - Pr'!H558)</f>
        <v/>
      </c>
      <c r="I558" s="56" t="str">
        <f>IF('AYIRA MINI MART FINAL MENU - Pr'!I558="", "", 'AYIRA MINI MART FINAL MENU - Pr'!I558)</f>
        <v/>
      </c>
      <c r="J558" s="56" t="str">
        <f>IFERROR(__xludf.DUMMYFUNCTION("IF('AYIRA MINI MART FINAL MENU - Pr'!J558="""", """", GOOGLETRANSLATE('AYIRA MINI MART FINAL MENU - Pr'!J558, ""en"", ""ar""))"),"يعرض")</f>
        <v>يعرض</v>
      </c>
      <c r="K558" s="56" t="str">
        <f>IF('AYIRA MINI MART FINAL MENU - Pr'!K558="", "", 'AYIRA MINI MART FINAL MENU - Pr'!K558)</f>
        <v/>
      </c>
      <c r="L558" s="56" t="str">
        <f>IF('AYIRA MINI MART FINAL MENU - Pr'!L558="", "", 'AYIRA MINI MART FINAL MENU - Pr'!L558)</f>
        <v/>
      </c>
      <c r="M558" s="56" t="str">
        <f>IF('AYIRA MINI MART FINAL MENU - Pr'!M558="", "", 'AYIRA MINI MART FINAL MENU - Pr'!M558)</f>
        <v/>
      </c>
      <c r="N558" s="56" t="str">
        <f>IF('AYIRA MINI MART FINAL MENU - Pr'!N558="", "", 'AYIRA MINI MART FINAL MENU - Pr'!N558)</f>
        <v/>
      </c>
      <c r="O558" s="57"/>
      <c r="P558" s="57"/>
      <c r="Q558" s="57"/>
      <c r="R558" s="57"/>
      <c r="S558" s="57"/>
      <c r="T558" s="57"/>
      <c r="U558" s="57"/>
      <c r="V558" s="57"/>
      <c r="W558" s="57"/>
      <c r="X558" s="57"/>
      <c r="Y558" s="57"/>
      <c r="Z558" s="57"/>
    </row>
    <row r="559">
      <c r="A559" s="56" t="str">
        <f>IFERROR(__xludf.DUMMYFUNCTION("IF('AYIRA MINI MART FINAL MENU - Pr'!A559="""", """", IF(LEN(TRIM(REGEXREPLACE(REGEXREPLACE('AYIRA MINI MART FINAL MENU - Pr'!A559, ""^[^\x{0600}-\x{06FF}]+"", """"), ""^[-–\s]+"", """")))&gt;0, TRIM(REGEXREPLACE(REGEXREPLACE('AYIRA MINI MART FINAL MENU - Pr"&amp;"'!A559, ""^[^\x{0600}-\x{06FF}]+"", """"), ""^[-–\s]+"", """")), GOOGLETRANSLATE('AYIRA MINI MART FINAL MENU - Pr'!A559, ""en"", ""ar"")))"),"غرام")</f>
        <v>غرام</v>
      </c>
      <c r="B559" s="56" t="str">
        <f>IFERROR(__xludf.DUMMYFUNCTION("IF('AYIRA MINI MART FINAL MENU - Pr'!B559="""", """", IF(LEN(TRIM(REGEXREPLACE(REGEXREPLACE('AYIRA MINI MART FINAL MENU - Pr'!B559, ""^[^\x{0600}-\x{06FF}]+"", """"), ""^[-–\s]+"", """")))&gt;0, TRIM(REGEXREPLACE(REGEXREPLACE('AYIRA MINI MART FINAL MENU - Pr"&amp;"'!B559, ""^[^\x{0600}-\x{06FF}]+"", """"), ""^[-–\s]+"", """")), GOOGLETRANSLATE('AYIRA MINI MART FINAL MENU - Pr'!B559, ""en"", ""ar"")))"),"الشيبس والمقرمشات")</f>
        <v>الشيبس والمقرمشات</v>
      </c>
      <c r="C559" s="58">
        <f>IF('AYIRA MINI MART FINAL MENU - Pr'!C559="", "", 'AYIRA MINI MART FINAL MENU - Pr'!C559)</f>
        <v>1</v>
      </c>
      <c r="D559" s="58" t="str">
        <f>IF('AYIRA MINI MART FINAL MENU - Pr'!D559="", "", 'AYIRA MINI MART FINAL MENU - Pr'!D559)</f>
        <v>لا تقاوم طعم Al Mudhish Potato Rings – Salsa Flavour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59" s="56" t="str">
        <f>IF('AYIRA MINI MART FINAL MENU - Pr'!E559="", "", 'AYIRA MINI MART FINAL MENU - Pr'!E559)</f>
        <v/>
      </c>
      <c r="F559" s="56" t="str">
        <f>IF('AYIRA MINI MART FINAL MENU - Pr'!F559="", "", 'AYIRA MINI MART FINAL MENU - Pr'!F559)</f>
        <v/>
      </c>
      <c r="G559" s="56" t="str">
        <f>IF('AYIRA MINI MART FINAL MENU - Pr'!G559="", "", 'AYIRA MINI MART FINAL MENU - Pr'!G559)</f>
        <v/>
      </c>
      <c r="H559" s="56" t="str">
        <f>IF('AYIRA MINI MART FINAL MENU - Pr'!H559="", "", 'AYIRA MINI MART FINAL MENU - Pr'!H559)</f>
        <v/>
      </c>
      <c r="I559" s="56" t="str">
        <f>IF('AYIRA MINI MART FINAL MENU - Pr'!I559="", "", 'AYIRA MINI MART FINAL MENU - Pr'!I559)</f>
        <v/>
      </c>
      <c r="J559" s="56" t="str">
        <f>IFERROR(__xludf.DUMMYFUNCTION("IF('AYIRA MINI MART FINAL MENU - Pr'!J559="""", """", GOOGLETRANSLATE('AYIRA MINI MART FINAL MENU - Pr'!J559, ""en"", ""ar""))"),"يعرض")</f>
        <v>يعرض</v>
      </c>
      <c r="K559" s="56" t="str">
        <f>IF('AYIRA MINI MART FINAL MENU - Pr'!K559="", "", 'AYIRA MINI MART FINAL MENU - Pr'!K559)</f>
        <v/>
      </c>
      <c r="L559" s="56" t="str">
        <f>IF('AYIRA MINI MART FINAL MENU - Pr'!L559="", "", 'AYIRA MINI MART FINAL MENU - Pr'!L559)</f>
        <v/>
      </c>
      <c r="M559" s="56" t="str">
        <f>IF('AYIRA MINI MART FINAL MENU - Pr'!M559="", "", 'AYIRA MINI MART FINAL MENU - Pr'!M559)</f>
        <v/>
      </c>
      <c r="N559" s="56" t="str">
        <f>IF('AYIRA MINI MART FINAL MENU - Pr'!N559="", "", 'AYIRA MINI MART FINAL MENU - Pr'!N559)</f>
        <v/>
      </c>
      <c r="O559" s="57"/>
      <c r="P559" s="57"/>
      <c r="Q559" s="57"/>
      <c r="R559" s="57"/>
      <c r="S559" s="57"/>
      <c r="T559" s="57"/>
      <c r="U559" s="57"/>
      <c r="V559" s="57"/>
      <c r="W559" s="57"/>
      <c r="X559" s="57"/>
      <c r="Y559" s="57"/>
      <c r="Z559" s="57"/>
    </row>
    <row r="560">
      <c r="A560" s="56" t="str">
        <f>IFERROR(__xludf.DUMMYFUNCTION("IF('AYIRA MINI MART FINAL MENU - Pr'!A560="""", """", IF(LEN(TRIM(REGEXREPLACE(REGEXREPLACE('AYIRA MINI MART FINAL MENU - Pr'!A560, ""^[^\x{0600}-\x{06FF}]+"", """"), ""^[-–\s]+"", """")))&gt;0, TRIM(REGEXREPLACE(REGEXREPLACE('AYIRA MINI MART FINAL MENU - Pr"&amp;"'!A560, ""^[^\x{0600}-\x{06FF}]+"", """"), ""^[-–\s]+"", """")), GOOGLETRANSLATE('AYIRA MINI MART FINAL MENU - Pr'!A560, ""en"", ""ar"")))"),"حار &amp; حار طبيعي Potato شيبس 167 غرام")</f>
        <v>حار &amp; حار طبيعي Potato شيبس 167 غرام</v>
      </c>
      <c r="B560" s="56" t="str">
        <f>IFERROR(__xludf.DUMMYFUNCTION("IF('AYIRA MINI MART FINAL MENU - Pr'!B560="""", """", IF(LEN(TRIM(REGEXREPLACE(REGEXREPLACE('AYIRA MINI MART FINAL MENU - Pr'!B560, ""^[^\x{0600}-\x{06FF}]+"", """"), ""^[-–\s]+"", """")))&gt;0, TRIM(REGEXREPLACE(REGEXREPLACE('AYIRA MINI MART FINAL MENU - Pr"&amp;"'!B560, ""^[^\x{0600}-\x{06FF}]+"", """"), ""^[-–\s]+"", """")), GOOGLETRANSLATE('AYIRA MINI MART FINAL MENU - Pr'!B560, ""en"", ""ar"")))"),"الشيبس والمقرمشات")</f>
        <v>الشيبس والمقرمشات</v>
      </c>
      <c r="C560" s="58">
        <f>IF('AYIRA MINI MART FINAL MENU - Pr'!C560="", "", 'AYIRA MINI MART FINAL MENU - Pr'!C560)</f>
        <v>7</v>
      </c>
      <c r="D560" s="58" t="str">
        <f>IF('AYIRA MINI MART FINAL MENU - Pr'!D560="", "", 'AYIRA MINI MART FINAL MENU - Pr'!D560)</f>
        <v>لا تقاوم طعم Nice Hot &amp; Spicy Natural Potato Chips 167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0" s="56" t="str">
        <f>IF('AYIRA MINI MART FINAL MENU - Pr'!E560="", "", 'AYIRA MINI MART FINAL MENU - Pr'!E560)</f>
        <v/>
      </c>
      <c r="F560" s="56" t="str">
        <f>IF('AYIRA MINI MART FINAL MENU - Pr'!F560="", "", 'AYIRA MINI MART FINAL MENU - Pr'!F560)</f>
        <v/>
      </c>
      <c r="G560" s="56" t="str">
        <f>IF('AYIRA MINI MART FINAL MENU - Pr'!G560="", "", 'AYIRA MINI MART FINAL MENU - Pr'!G560)</f>
        <v/>
      </c>
      <c r="H560" s="56" t="str">
        <f>IF('AYIRA MINI MART FINAL MENU - Pr'!H560="", "", 'AYIRA MINI MART FINAL MENU - Pr'!H560)</f>
        <v/>
      </c>
      <c r="I560" s="56" t="str">
        <f>IF('AYIRA MINI MART FINAL MENU - Pr'!I560="", "", 'AYIRA MINI MART FINAL MENU - Pr'!I560)</f>
        <v/>
      </c>
      <c r="J560" s="56" t="str">
        <f>IFERROR(__xludf.DUMMYFUNCTION("IF('AYIRA MINI MART FINAL MENU - Pr'!J560="""", """", GOOGLETRANSLATE('AYIRA MINI MART FINAL MENU - Pr'!J560, ""en"", ""ar""))"),"يعرض")</f>
        <v>يعرض</v>
      </c>
      <c r="K560" s="56" t="str">
        <f>IF('AYIRA MINI MART FINAL MENU - Pr'!K560="", "", 'AYIRA MINI MART FINAL MENU - Pr'!K560)</f>
        <v/>
      </c>
      <c r="L560" s="56" t="str">
        <f>IF('AYIRA MINI MART FINAL MENU - Pr'!L560="", "", 'AYIRA MINI MART FINAL MENU - Pr'!L560)</f>
        <v/>
      </c>
      <c r="M560" s="56" t="str">
        <f>IF('AYIRA MINI MART FINAL MENU - Pr'!M560="", "", 'AYIRA MINI MART FINAL MENU - Pr'!M560)</f>
        <v/>
      </c>
      <c r="N560" s="56" t="str">
        <f>IF('AYIRA MINI MART FINAL MENU - Pr'!N560="", "", 'AYIRA MINI MART FINAL MENU - Pr'!N560)</f>
        <v/>
      </c>
      <c r="O560" s="57"/>
      <c r="P560" s="57"/>
      <c r="Q560" s="57"/>
      <c r="R560" s="57"/>
      <c r="S560" s="57"/>
      <c r="T560" s="57"/>
      <c r="U560" s="57"/>
      <c r="V560" s="57"/>
      <c r="W560" s="57"/>
      <c r="X560" s="57"/>
      <c r="Y560" s="57"/>
      <c r="Z560" s="57"/>
    </row>
    <row r="561">
      <c r="A561" s="56" t="str">
        <f>IFERROR(__xludf.DUMMYFUNCTION("IF('AYIRA MINI MART FINAL MENU - Pr'!A561="""", """", IF(LEN(TRIM(REGEXREPLACE(REGEXREPLACE('AYIRA MINI MART FINAL MENU - Pr'!A561, ""^[^\x{0600}-\x{06FF}]+"", """"), ""^[-–\s]+"", """")))&gt;0, TRIM(REGEXREPLACE(REGEXREPLACE('AYIRA MINI MART FINAL MENU - Pr"&amp;"'!A561, ""^[^\x{0600}-\x{06FF}]+"", """"), ""^[-–\s]+"", """")), GOOGLETRANSLATE('AYIRA MINI MART FINAL MENU - Pr'!A561, ""en"", ""ar"")))"),"مملح طبيعي Potato شيبس 167 غرام")</f>
        <v>مملح طبيعي Potato شيبس 167 غرام</v>
      </c>
      <c r="B561" s="56" t="str">
        <f>IFERROR(__xludf.DUMMYFUNCTION("IF('AYIRA MINI MART FINAL MENU - Pr'!B561="""", """", IF(LEN(TRIM(REGEXREPLACE(REGEXREPLACE('AYIRA MINI MART FINAL MENU - Pr'!B561, ""^[^\x{0600}-\x{06FF}]+"", """"), ""^[-–\s]+"", """")))&gt;0, TRIM(REGEXREPLACE(REGEXREPLACE('AYIRA MINI MART FINAL MENU - Pr"&amp;"'!B561, ""^[^\x{0600}-\x{06FF}]+"", """"), ""^[-–\s]+"", """")), GOOGLETRANSLATE('AYIRA MINI MART FINAL MENU - Pr'!B561, ""en"", ""ar"")))"),"الشيبس والمقرمشات")</f>
        <v>الشيبس والمقرمشات</v>
      </c>
      <c r="C561" s="58">
        <f>IF('AYIRA MINI MART FINAL MENU - Pr'!C561="", "", 'AYIRA MINI MART FINAL MENU - Pr'!C561)</f>
        <v>7</v>
      </c>
      <c r="D561" s="58" t="str">
        <f>IF('AYIRA MINI MART FINAL MENU - Pr'!D561="", "", 'AYIRA MINI MART FINAL MENU - Pr'!D561)</f>
        <v>لا تقاوم طعم Nice Lightly Salted Natural Potato Chips 167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1" s="56" t="str">
        <f>IF('AYIRA MINI MART FINAL MENU - Pr'!E561="", "", 'AYIRA MINI MART FINAL MENU - Pr'!E561)</f>
        <v/>
      </c>
      <c r="F561" s="56" t="str">
        <f>IF('AYIRA MINI MART FINAL MENU - Pr'!F561="", "", 'AYIRA MINI MART FINAL MENU - Pr'!F561)</f>
        <v/>
      </c>
      <c r="G561" s="56" t="str">
        <f>IF('AYIRA MINI MART FINAL MENU - Pr'!G561="", "", 'AYIRA MINI MART FINAL MENU - Pr'!G561)</f>
        <v/>
      </c>
      <c r="H561" s="56" t="str">
        <f>IF('AYIRA MINI MART FINAL MENU - Pr'!H561="", "", 'AYIRA MINI MART FINAL MENU - Pr'!H561)</f>
        <v/>
      </c>
      <c r="I561" s="56" t="str">
        <f>IF('AYIRA MINI MART FINAL MENU - Pr'!I561="", "", 'AYIRA MINI MART FINAL MENU - Pr'!I561)</f>
        <v/>
      </c>
      <c r="J561" s="56" t="str">
        <f>IFERROR(__xludf.DUMMYFUNCTION("IF('AYIRA MINI MART FINAL MENU - Pr'!J561="""", """", GOOGLETRANSLATE('AYIRA MINI MART FINAL MENU - Pr'!J561, ""en"", ""ar""))"),"يعرض")</f>
        <v>يعرض</v>
      </c>
      <c r="K561" s="56" t="str">
        <f>IF('AYIRA MINI MART FINAL MENU - Pr'!K561="", "", 'AYIRA MINI MART FINAL MENU - Pr'!K561)</f>
        <v/>
      </c>
      <c r="L561" s="56" t="str">
        <f>IF('AYIRA MINI MART FINAL MENU - Pr'!L561="", "", 'AYIRA MINI MART FINAL MENU - Pr'!L561)</f>
        <v/>
      </c>
      <c r="M561" s="56" t="str">
        <f>IF('AYIRA MINI MART FINAL MENU - Pr'!M561="", "", 'AYIRA MINI MART FINAL MENU - Pr'!M561)</f>
        <v/>
      </c>
      <c r="N561" s="56" t="str">
        <f>IF('AYIRA MINI MART FINAL MENU - Pr'!N561="", "", 'AYIRA MINI MART FINAL MENU - Pr'!N561)</f>
        <v/>
      </c>
      <c r="O561" s="57"/>
      <c r="P561" s="57"/>
      <c r="Q561" s="57"/>
      <c r="R561" s="57"/>
      <c r="S561" s="57"/>
      <c r="T561" s="57"/>
      <c r="U561" s="57"/>
      <c r="V561" s="57"/>
      <c r="W561" s="57"/>
      <c r="X561" s="57"/>
      <c r="Y561" s="57"/>
      <c r="Z561" s="57"/>
    </row>
    <row r="562">
      <c r="A562" s="56" t="str">
        <f>IFERROR(__xludf.DUMMYFUNCTION("IF('AYIRA MINI MART FINAL MENU - Pr'!A562="""", """", IF(LEN(TRIM(REGEXREPLACE(REGEXREPLACE('AYIRA MINI MART FINAL MENU - Pr'!A562, ""^[^\x{0600}-\x{06FF}]+"", """"), ""^[-–\s]+"", """")))&gt;0, TRIM(REGEXREPLACE(REGEXREPLACE('AYIRA MINI MART FINAL MENU - Pr"&amp;"'!A562, ""^[^\x{0600}-\x{06FF}]+"", """"), ""^[-–\s]+"", """")), GOOGLETRANSLATE('AYIRA MINI MART FINAL MENU - Pr'!A562, ""en"", ""ar"")))"),"طبيعي Potato شيبس 167 غرام")</f>
        <v>طبيعي Potato شيبس 167 غرام</v>
      </c>
      <c r="B562" s="56" t="str">
        <f>IFERROR(__xludf.DUMMYFUNCTION("IF('AYIRA MINI MART FINAL MENU - Pr'!B562="""", """", IF(LEN(TRIM(REGEXREPLACE(REGEXREPLACE('AYIRA MINI MART FINAL MENU - Pr'!B562, ""^[^\x{0600}-\x{06FF}]+"", """"), ""^[-–\s]+"", """")))&gt;0, TRIM(REGEXREPLACE(REGEXREPLACE('AYIRA MINI MART FINAL MENU - Pr"&amp;"'!B562, ""^[^\x{0600}-\x{06FF}]+"", """"), ""^[-–\s]+"", """")), GOOGLETRANSLATE('AYIRA MINI MART FINAL MENU - Pr'!B562, ""en"", ""ar"")))"),"الشيبس والمقرمشات")</f>
        <v>الشيبس والمقرمشات</v>
      </c>
      <c r="C562" s="58">
        <f>IF('AYIRA MINI MART FINAL MENU - Pr'!C562="", "", 'AYIRA MINI MART FINAL MENU - Pr'!C562)</f>
        <v>7</v>
      </c>
      <c r="D562" s="58" t="str">
        <f>IF('AYIRA MINI MART FINAL MENU - Pr'!D562="", "", 'AYIRA MINI MART FINAL MENU - Pr'!D562)</f>
        <v>لا تقاوم طعم Nice Paprika Natural Potato Chips 167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2" s="56" t="str">
        <f>IF('AYIRA MINI MART FINAL MENU - Pr'!E562="", "", 'AYIRA MINI MART FINAL MENU - Pr'!E562)</f>
        <v/>
      </c>
      <c r="F562" s="56" t="str">
        <f>IF('AYIRA MINI MART FINAL MENU - Pr'!F562="", "", 'AYIRA MINI MART FINAL MENU - Pr'!F562)</f>
        <v/>
      </c>
      <c r="G562" s="56" t="str">
        <f>IF('AYIRA MINI MART FINAL MENU - Pr'!G562="", "", 'AYIRA MINI MART FINAL MENU - Pr'!G562)</f>
        <v/>
      </c>
      <c r="H562" s="56" t="str">
        <f>IF('AYIRA MINI MART FINAL MENU - Pr'!H562="", "", 'AYIRA MINI MART FINAL MENU - Pr'!H562)</f>
        <v/>
      </c>
      <c r="I562" s="56" t="str">
        <f>IF('AYIRA MINI MART FINAL MENU - Pr'!I562="", "", 'AYIRA MINI MART FINAL MENU - Pr'!I562)</f>
        <v/>
      </c>
      <c r="J562" s="56" t="str">
        <f>IFERROR(__xludf.DUMMYFUNCTION("IF('AYIRA MINI MART FINAL MENU - Pr'!J562="""", """", GOOGLETRANSLATE('AYIRA MINI MART FINAL MENU - Pr'!J562, ""en"", ""ar""))"),"يعرض")</f>
        <v>يعرض</v>
      </c>
      <c r="K562" s="56" t="str">
        <f>IF('AYIRA MINI MART FINAL MENU - Pr'!K562="", "", 'AYIRA MINI MART FINAL MENU - Pr'!K562)</f>
        <v/>
      </c>
      <c r="L562" s="56" t="str">
        <f>IF('AYIRA MINI MART FINAL MENU - Pr'!L562="", "", 'AYIRA MINI MART FINAL MENU - Pr'!L562)</f>
        <v/>
      </c>
      <c r="M562" s="56" t="str">
        <f>IF('AYIRA MINI MART FINAL MENU - Pr'!M562="", "", 'AYIRA MINI MART FINAL MENU - Pr'!M562)</f>
        <v/>
      </c>
      <c r="N562" s="56" t="str">
        <f>IF('AYIRA MINI MART FINAL MENU - Pr'!N562="", "", 'AYIRA MINI MART FINAL MENU - Pr'!N562)</f>
        <v/>
      </c>
      <c r="O562" s="57"/>
      <c r="P562" s="57"/>
      <c r="Q562" s="57"/>
      <c r="R562" s="57"/>
      <c r="S562" s="57"/>
      <c r="T562" s="57"/>
      <c r="U562" s="57"/>
      <c r="V562" s="57"/>
      <c r="W562" s="57"/>
      <c r="X562" s="57"/>
      <c r="Y562" s="57"/>
      <c r="Z562" s="57"/>
    </row>
    <row r="563">
      <c r="A563" s="56" t="str">
        <f>IFERROR(__xludf.DUMMYFUNCTION("IF('AYIRA MINI MART FINAL MENU - Pr'!A563="""", """", IF(LEN(TRIM(REGEXREPLACE(REGEXREPLACE('AYIRA MINI MART FINAL MENU - Pr'!A563, ""^[^\x{0600}-\x{06FF}]+"", """"), ""^[-–\s]+"", """")))&gt;0, TRIM(REGEXREPLACE(REGEXREPLACE('AYIRA MINI MART FINAL MENU - Pr"&amp;"'!A563, ""^[^\x{0600}-\x{06FF}]+"", """"), ""^[-–\s]+"", """")), GOOGLETRANSLATE('AYIRA MINI MART FINAL MENU - Pr'!A563, ""en"", ""ar"")))"),"ملح &amp; Vinegar طبيعي Potato شيبس 167 غرام")</f>
        <v>ملح &amp; Vinegar طبيعي Potato شيبس 167 غرام</v>
      </c>
      <c r="B563" s="56" t="str">
        <f>IFERROR(__xludf.DUMMYFUNCTION("IF('AYIRA MINI MART FINAL MENU - Pr'!B563="""", """", IF(LEN(TRIM(REGEXREPLACE(REGEXREPLACE('AYIRA MINI MART FINAL MENU - Pr'!B563, ""^[^\x{0600}-\x{06FF}]+"", """"), ""^[-–\s]+"", """")))&gt;0, TRIM(REGEXREPLACE(REGEXREPLACE('AYIRA MINI MART FINAL MENU - Pr"&amp;"'!B563, ""^[^\x{0600}-\x{06FF}]+"", """"), ""^[-–\s]+"", """")), GOOGLETRANSLATE('AYIRA MINI MART FINAL MENU - Pr'!B563, ""en"", ""ar"")))"),"الشيبس والمقرمشات")</f>
        <v>الشيبس والمقرمشات</v>
      </c>
      <c r="C563" s="58">
        <f>IF('AYIRA MINI MART FINAL MENU - Pr'!C563="", "", 'AYIRA MINI MART FINAL MENU - Pr'!C563)</f>
        <v>7</v>
      </c>
      <c r="D563" s="58" t="str">
        <f>IF('AYIRA MINI MART FINAL MENU - Pr'!D563="", "", 'AYIRA MINI MART FINAL MENU - Pr'!D563)</f>
        <v>لا تقاوم طعم Nice Salt &amp; Vinegar Natural Potato Chips 167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3" s="56" t="str">
        <f>IF('AYIRA MINI MART FINAL MENU - Pr'!E563="", "", 'AYIRA MINI MART FINAL MENU - Pr'!E563)</f>
        <v/>
      </c>
      <c r="F563" s="56" t="str">
        <f>IF('AYIRA MINI MART FINAL MENU - Pr'!F563="", "", 'AYIRA MINI MART FINAL MENU - Pr'!F563)</f>
        <v/>
      </c>
      <c r="G563" s="56" t="str">
        <f>IF('AYIRA MINI MART FINAL MENU - Pr'!G563="", "", 'AYIRA MINI MART FINAL MENU - Pr'!G563)</f>
        <v/>
      </c>
      <c r="H563" s="56" t="str">
        <f>IF('AYIRA MINI MART FINAL MENU - Pr'!H563="", "", 'AYIRA MINI MART FINAL MENU - Pr'!H563)</f>
        <v/>
      </c>
      <c r="I563" s="56" t="str">
        <f>IF('AYIRA MINI MART FINAL MENU - Pr'!I563="", "", 'AYIRA MINI MART FINAL MENU - Pr'!I563)</f>
        <v/>
      </c>
      <c r="J563" s="56" t="str">
        <f>IFERROR(__xludf.DUMMYFUNCTION("IF('AYIRA MINI MART FINAL MENU - Pr'!J563="""", """", GOOGLETRANSLATE('AYIRA MINI MART FINAL MENU - Pr'!J563, ""en"", ""ar""))"),"يعرض")</f>
        <v>يعرض</v>
      </c>
      <c r="K563" s="56" t="str">
        <f>IF('AYIRA MINI MART FINAL MENU - Pr'!K563="", "", 'AYIRA MINI MART FINAL MENU - Pr'!K563)</f>
        <v/>
      </c>
      <c r="L563" s="56" t="str">
        <f>IF('AYIRA MINI MART FINAL MENU - Pr'!L563="", "", 'AYIRA MINI MART FINAL MENU - Pr'!L563)</f>
        <v/>
      </c>
      <c r="M563" s="56" t="str">
        <f>IF('AYIRA MINI MART FINAL MENU - Pr'!M563="", "", 'AYIRA MINI MART FINAL MENU - Pr'!M563)</f>
        <v/>
      </c>
      <c r="N563" s="56" t="str">
        <f>IF('AYIRA MINI MART FINAL MENU - Pr'!N563="", "", 'AYIRA MINI MART FINAL MENU - Pr'!N563)</f>
        <v/>
      </c>
      <c r="O563" s="57"/>
      <c r="P563" s="57"/>
      <c r="Q563" s="57"/>
      <c r="R563" s="57"/>
      <c r="S563" s="57"/>
      <c r="T563" s="57"/>
      <c r="U563" s="57"/>
      <c r="V563" s="57"/>
      <c r="W563" s="57"/>
      <c r="X563" s="57"/>
      <c r="Y563" s="57"/>
      <c r="Z563" s="57"/>
    </row>
    <row r="564">
      <c r="A564" s="56" t="str">
        <f>IFERROR(__xludf.DUMMYFUNCTION("IF('AYIRA MINI MART FINAL MENU - Pr'!A564="""", """", IF(LEN(TRIM(REGEXREPLACE(REGEXREPLACE('AYIRA MINI MART FINAL MENU - Pr'!A564, ""^[^\x{0600}-\x{06FF}]+"", """"), ""^[-–\s]+"", """")))&gt;0, TRIM(REGEXREPLACE(REGEXREPLACE('AYIRA MINI MART FINAL MENU - Pr"&amp;"'!A564, ""^[^\x{0600}-\x{06FF}]+"", """"), ""^[-–\s]+"", """")), GOOGLETRANSLATE('AYIRA MINI MART FINAL MENU - Pr'!A564, ""en"", ""ar"")))"),"جبنة طبيعي Potato شيبس 80 غرام")</f>
        <v>جبنة طبيعي Potato شيبس 80 غرام</v>
      </c>
      <c r="B564" s="56" t="str">
        <f>IFERROR(__xludf.DUMMYFUNCTION("IF('AYIRA MINI MART FINAL MENU - Pr'!B564="""", """", IF(LEN(TRIM(REGEXREPLACE(REGEXREPLACE('AYIRA MINI MART FINAL MENU - Pr'!B564, ""^[^\x{0600}-\x{06FF}]+"", """"), ""^[-–\s]+"", """")))&gt;0, TRIM(REGEXREPLACE(REGEXREPLACE('AYIRA MINI MART FINAL MENU - Pr"&amp;"'!B564, ""^[^\x{0600}-\x{06FF}]+"", """"), ""^[-–\s]+"", """")), GOOGLETRANSLATE('AYIRA MINI MART FINAL MENU - Pr'!B564, ""en"", ""ar"")))"),"الشيبس والمقرمشات")</f>
        <v>الشيبس والمقرمشات</v>
      </c>
      <c r="C564" s="58">
        <f>IF('AYIRA MINI MART FINAL MENU - Pr'!C564="", "", 'AYIRA MINI MART FINAL MENU - Pr'!C564)</f>
        <v>4</v>
      </c>
      <c r="D564" s="58" t="str">
        <f>IF('AYIRA MINI MART FINAL MENU - Pr'!D564="", "", 'AYIRA MINI MART FINAL MENU - Pr'!D564)</f>
        <v>لا تقاوم طعم Nice French Cheese Natural Potato Chips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4" s="56" t="str">
        <f>IF('AYIRA MINI MART FINAL MENU - Pr'!E564="", "", 'AYIRA MINI MART FINAL MENU - Pr'!E564)</f>
        <v/>
      </c>
      <c r="F564" s="56" t="str">
        <f>IF('AYIRA MINI MART FINAL MENU - Pr'!F564="", "", 'AYIRA MINI MART FINAL MENU - Pr'!F564)</f>
        <v/>
      </c>
      <c r="G564" s="56" t="str">
        <f>IF('AYIRA MINI MART FINAL MENU - Pr'!G564="", "", 'AYIRA MINI MART FINAL MENU - Pr'!G564)</f>
        <v/>
      </c>
      <c r="H564" s="56" t="str">
        <f>IF('AYIRA MINI MART FINAL MENU - Pr'!H564="", "", 'AYIRA MINI MART FINAL MENU - Pr'!H564)</f>
        <v/>
      </c>
      <c r="I564" s="56" t="str">
        <f>IF('AYIRA MINI MART FINAL MENU - Pr'!I564="", "", 'AYIRA MINI MART FINAL MENU - Pr'!I564)</f>
        <v/>
      </c>
      <c r="J564" s="56" t="str">
        <f>IFERROR(__xludf.DUMMYFUNCTION("IF('AYIRA MINI MART FINAL MENU - Pr'!J564="""", """", GOOGLETRANSLATE('AYIRA MINI MART FINAL MENU - Pr'!J564, ""en"", ""ar""))"),"يعرض")</f>
        <v>يعرض</v>
      </c>
      <c r="K564" s="56" t="str">
        <f>IF('AYIRA MINI MART FINAL MENU - Pr'!K564="", "", 'AYIRA MINI MART FINAL MENU - Pr'!K564)</f>
        <v/>
      </c>
      <c r="L564" s="56" t="str">
        <f>IF('AYIRA MINI MART FINAL MENU - Pr'!L564="", "", 'AYIRA MINI MART FINAL MENU - Pr'!L564)</f>
        <v/>
      </c>
      <c r="M564" s="56" t="str">
        <f>IF('AYIRA MINI MART FINAL MENU - Pr'!M564="", "", 'AYIRA MINI MART FINAL MENU - Pr'!M564)</f>
        <v/>
      </c>
      <c r="N564" s="56" t="str">
        <f>IF('AYIRA MINI MART FINAL MENU - Pr'!N564="", "", 'AYIRA MINI MART FINAL MENU - Pr'!N564)</f>
        <v/>
      </c>
      <c r="O564" s="57"/>
      <c r="P564" s="57"/>
      <c r="Q564" s="57"/>
      <c r="R564" s="57"/>
      <c r="S564" s="57"/>
      <c r="T564" s="57"/>
      <c r="U564" s="57"/>
      <c r="V564" s="57"/>
      <c r="W564" s="57"/>
      <c r="X564" s="57"/>
      <c r="Y564" s="57"/>
      <c r="Z564" s="57"/>
    </row>
    <row r="565">
      <c r="A565" s="56" t="str">
        <f>IFERROR(__xludf.DUMMYFUNCTION("IF('AYIRA MINI MART FINAL MENU - Pr'!A565="""", """", IF(LEN(TRIM(REGEXREPLACE(REGEXREPLACE('AYIRA MINI MART FINAL MENU - Pr'!A565, ""^[^\x{0600}-\x{06FF}]+"", """"), ""^[-–\s]+"", """")))&gt;0, TRIM(REGEXREPLACE(REGEXREPLACE('AYIRA MINI MART FINAL MENU - Pr"&amp;"'!A565, ""^[^\x{0600}-\x{06FF}]+"", """"), ""^[-–\s]+"", """")), GOOGLETRANSLATE('AYIRA MINI MART FINAL MENU - Pr'!A565, ""en"", ""ar"")))"),"طبيعي Potato شيبس 80 غرام")</f>
        <v>طبيعي Potato شيبس 80 غرام</v>
      </c>
      <c r="B565" s="56" t="str">
        <f>IFERROR(__xludf.DUMMYFUNCTION("IF('AYIRA MINI MART FINAL MENU - Pr'!B565="""", """", IF(LEN(TRIM(REGEXREPLACE(REGEXREPLACE('AYIRA MINI MART FINAL MENU - Pr'!B565, ""^[^\x{0600}-\x{06FF}]+"", """"), ""^[-–\s]+"", """")))&gt;0, TRIM(REGEXREPLACE(REGEXREPLACE('AYIRA MINI MART FINAL MENU - Pr"&amp;"'!B565, ""^[^\x{0600}-\x{06FF}]+"", """"), ""^[-–\s]+"", """")), GOOGLETRANSLATE('AYIRA MINI MART FINAL MENU - Pr'!B565, ""en"", ""ar"")))"),"الشيبس والمقرمشات")</f>
        <v>الشيبس والمقرمشات</v>
      </c>
      <c r="C565" s="58">
        <f>IF('AYIRA MINI MART FINAL MENU - Pr'!C565="", "", 'AYIRA MINI MART FINAL MENU - Pr'!C565)</f>
        <v>4</v>
      </c>
      <c r="D565" s="58" t="str">
        <f>IF('AYIRA MINI MART FINAL MENU - Pr'!D565="", "", 'AYIRA MINI MART FINAL MENU - Pr'!D565)</f>
        <v>لا تقاوم طعم Nice Paprika Natural Potato Chips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5" s="56" t="str">
        <f>IF('AYIRA MINI MART FINAL MENU - Pr'!E565="", "", 'AYIRA MINI MART FINAL MENU - Pr'!E565)</f>
        <v/>
      </c>
      <c r="F565" s="56" t="str">
        <f>IF('AYIRA MINI MART FINAL MENU - Pr'!F565="", "", 'AYIRA MINI MART FINAL MENU - Pr'!F565)</f>
        <v/>
      </c>
      <c r="G565" s="56" t="str">
        <f>IF('AYIRA MINI MART FINAL MENU - Pr'!G565="", "", 'AYIRA MINI MART FINAL MENU - Pr'!G565)</f>
        <v/>
      </c>
      <c r="H565" s="56" t="str">
        <f>IF('AYIRA MINI MART FINAL MENU - Pr'!H565="", "", 'AYIRA MINI MART FINAL MENU - Pr'!H565)</f>
        <v/>
      </c>
      <c r="I565" s="56" t="str">
        <f>IF('AYIRA MINI MART FINAL MENU - Pr'!I565="", "", 'AYIRA MINI MART FINAL MENU - Pr'!I565)</f>
        <v/>
      </c>
      <c r="J565" s="56" t="str">
        <f>IFERROR(__xludf.DUMMYFUNCTION("IF('AYIRA MINI MART FINAL MENU - Pr'!J565="""", """", GOOGLETRANSLATE('AYIRA MINI MART FINAL MENU - Pr'!J565, ""en"", ""ar""))"),"يعرض")</f>
        <v>يعرض</v>
      </c>
      <c r="K565" s="56" t="str">
        <f>IF('AYIRA MINI MART FINAL MENU - Pr'!K565="", "", 'AYIRA MINI MART FINAL MENU - Pr'!K565)</f>
        <v/>
      </c>
      <c r="L565" s="56" t="str">
        <f>IF('AYIRA MINI MART FINAL MENU - Pr'!L565="", "", 'AYIRA MINI MART FINAL MENU - Pr'!L565)</f>
        <v/>
      </c>
      <c r="M565" s="56" t="str">
        <f>IF('AYIRA MINI MART FINAL MENU - Pr'!M565="", "", 'AYIRA MINI MART FINAL MENU - Pr'!M565)</f>
        <v/>
      </c>
      <c r="N565" s="56" t="str">
        <f>IF('AYIRA MINI MART FINAL MENU - Pr'!N565="", "", 'AYIRA MINI MART FINAL MENU - Pr'!N565)</f>
        <v/>
      </c>
      <c r="O565" s="57"/>
      <c r="P565" s="57"/>
      <c r="Q565" s="57"/>
      <c r="R565" s="57"/>
      <c r="S565" s="57"/>
      <c r="T565" s="57"/>
      <c r="U565" s="57"/>
      <c r="V565" s="57"/>
      <c r="W565" s="57"/>
      <c r="X565" s="57"/>
      <c r="Y565" s="57"/>
      <c r="Z565" s="57"/>
    </row>
    <row r="566">
      <c r="A566" s="56" t="str">
        <f>IFERROR(__xludf.DUMMYFUNCTION("IF('AYIRA MINI MART FINAL MENU - Pr'!A566="""", """", IF(LEN(TRIM(REGEXREPLACE(REGEXREPLACE('AYIRA MINI MART FINAL MENU - Pr'!A566, ""^[^\x{0600}-\x{06FF}]+"", """"), ""^[-–\s]+"", """")))&gt;0, TRIM(REGEXREPLACE(REGEXREPLACE('AYIRA MINI MART FINAL MENU - Pr"&amp;"'!A566, ""^[^\x{0600}-\x{06FF}]+"", """"), ""^[-–\s]+"", """")), GOOGLETRANSLATE('AYIRA MINI MART FINAL MENU - Pr'!A566, ""en"", ""ar"")))"),"كاتشاب طبيعي Potato شيبس 80 غرام")</f>
        <v>كاتشاب طبيعي Potato شيبس 80 غرام</v>
      </c>
      <c r="B566" s="56" t="str">
        <f>IFERROR(__xludf.DUMMYFUNCTION("IF('AYIRA MINI MART FINAL MENU - Pr'!B566="""", """", IF(LEN(TRIM(REGEXREPLACE(REGEXREPLACE('AYIRA MINI MART FINAL MENU - Pr'!B566, ""^[^\x{0600}-\x{06FF}]+"", """"), ""^[-–\s]+"", """")))&gt;0, TRIM(REGEXREPLACE(REGEXREPLACE('AYIRA MINI MART FINAL MENU - Pr"&amp;"'!B566, ""^[^\x{0600}-\x{06FF}]+"", """"), ""^[-–\s]+"", """")), GOOGLETRANSLATE('AYIRA MINI MART FINAL MENU - Pr'!B566, ""en"", ""ar"")))"),"الشيبس والمقرمشات")</f>
        <v>الشيبس والمقرمشات</v>
      </c>
      <c r="C566" s="58">
        <f>IF('AYIRA MINI MART FINAL MENU - Pr'!C566="", "", 'AYIRA MINI MART FINAL MENU - Pr'!C566)</f>
        <v>4</v>
      </c>
      <c r="D566" s="58" t="str">
        <f>IF('AYIRA MINI MART FINAL MENU - Pr'!D566="", "", 'AYIRA MINI MART FINAL MENU - Pr'!D566)</f>
        <v>لا تقاوم طعم Nice Tomato Ketchup Natural Potato Chips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6" s="56" t="str">
        <f>IF('AYIRA MINI MART FINAL MENU - Pr'!E566="", "", 'AYIRA MINI MART FINAL MENU - Pr'!E566)</f>
        <v/>
      </c>
      <c r="F566" s="56" t="str">
        <f>IF('AYIRA MINI MART FINAL MENU - Pr'!F566="", "", 'AYIRA MINI MART FINAL MENU - Pr'!F566)</f>
        <v/>
      </c>
      <c r="G566" s="56" t="str">
        <f>IF('AYIRA MINI MART FINAL MENU - Pr'!G566="", "", 'AYIRA MINI MART FINAL MENU - Pr'!G566)</f>
        <v/>
      </c>
      <c r="H566" s="56" t="str">
        <f>IF('AYIRA MINI MART FINAL MENU - Pr'!H566="", "", 'AYIRA MINI MART FINAL MENU - Pr'!H566)</f>
        <v/>
      </c>
      <c r="I566" s="56" t="str">
        <f>IF('AYIRA MINI MART FINAL MENU - Pr'!I566="", "", 'AYIRA MINI MART FINAL MENU - Pr'!I566)</f>
        <v/>
      </c>
      <c r="J566" s="56" t="str">
        <f>IFERROR(__xludf.DUMMYFUNCTION("IF('AYIRA MINI MART FINAL MENU - Pr'!J566="""", """", GOOGLETRANSLATE('AYIRA MINI MART FINAL MENU - Pr'!J566, ""en"", ""ar""))"),"يعرض")</f>
        <v>يعرض</v>
      </c>
      <c r="K566" s="56" t="str">
        <f>IF('AYIRA MINI MART FINAL MENU - Pr'!K566="", "", 'AYIRA MINI MART FINAL MENU - Pr'!K566)</f>
        <v/>
      </c>
      <c r="L566" s="56" t="str">
        <f>IF('AYIRA MINI MART FINAL MENU - Pr'!L566="", "", 'AYIRA MINI MART FINAL MENU - Pr'!L566)</f>
        <v/>
      </c>
      <c r="M566" s="56" t="str">
        <f>IF('AYIRA MINI MART FINAL MENU - Pr'!M566="", "", 'AYIRA MINI MART FINAL MENU - Pr'!M566)</f>
        <v/>
      </c>
      <c r="N566" s="56" t="str">
        <f>IF('AYIRA MINI MART FINAL MENU - Pr'!N566="", "", 'AYIRA MINI MART FINAL MENU - Pr'!N566)</f>
        <v/>
      </c>
      <c r="O566" s="57"/>
      <c r="P566" s="57"/>
      <c r="Q566" s="57"/>
      <c r="R566" s="57"/>
      <c r="S566" s="57"/>
      <c r="T566" s="57"/>
      <c r="U566" s="57"/>
      <c r="V566" s="57"/>
      <c r="W566" s="57"/>
      <c r="X566" s="57"/>
      <c r="Y566" s="57"/>
      <c r="Z566" s="57"/>
    </row>
    <row r="567">
      <c r="A567" s="56" t="str">
        <f>IFERROR(__xludf.DUMMYFUNCTION("IF('AYIRA MINI MART FINAL MENU - Pr'!A567="""", """", IF(LEN(TRIM(REGEXREPLACE(REGEXREPLACE('AYIRA MINI MART FINAL MENU - Pr'!A567, ""^[^\x{0600}-\x{06FF}]+"", """"), ""^[-–\s]+"", """")))&gt;0, TRIM(REGEXREPLACE(REGEXREPLACE('AYIRA MINI MART FINAL MENU - Pr"&amp;"'!A567, ""^[^\x{0600}-\x{06FF}]+"", """"), ""^[-–\s]+"", """")), GOOGLETRANSLATE('AYIRA MINI MART FINAL MENU - Pr'!A567, ""en"", ""ar"")))"),"مملح طبيعي Potato شيبس 80 غرام")</f>
        <v>مملح طبيعي Potato شيبس 80 غرام</v>
      </c>
      <c r="B567" s="56" t="str">
        <f>IFERROR(__xludf.DUMMYFUNCTION("IF('AYIRA MINI MART FINAL MENU - Pr'!B567="""", """", IF(LEN(TRIM(REGEXREPLACE(REGEXREPLACE('AYIRA MINI MART FINAL MENU - Pr'!B567, ""^[^\x{0600}-\x{06FF}]+"", """"), ""^[-–\s]+"", """")))&gt;0, TRIM(REGEXREPLACE(REGEXREPLACE('AYIRA MINI MART FINAL MENU - Pr"&amp;"'!B567, ""^[^\x{0600}-\x{06FF}]+"", """"), ""^[-–\s]+"", """")), GOOGLETRANSLATE('AYIRA MINI MART FINAL MENU - Pr'!B567, ""en"", ""ar"")))"),"الشيبس والمقرمشات")</f>
        <v>الشيبس والمقرمشات</v>
      </c>
      <c r="C567" s="58">
        <f>IF('AYIRA MINI MART FINAL MENU - Pr'!C567="", "", 'AYIRA MINI MART FINAL MENU - Pr'!C567)</f>
        <v>4</v>
      </c>
      <c r="D567" s="58" t="str">
        <f>IF('AYIRA MINI MART FINAL MENU - Pr'!D567="", "", 'AYIRA MINI MART FINAL MENU - Pr'!D567)</f>
        <v>لا تقاوم طعم Nice Lightly Salted Natural Potato Chips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7" s="56" t="str">
        <f>IF('AYIRA MINI MART FINAL MENU - Pr'!E567="", "", 'AYIRA MINI MART FINAL MENU - Pr'!E567)</f>
        <v/>
      </c>
      <c r="F567" s="56" t="str">
        <f>IF('AYIRA MINI MART FINAL MENU - Pr'!F567="", "", 'AYIRA MINI MART FINAL MENU - Pr'!F567)</f>
        <v/>
      </c>
      <c r="G567" s="56" t="str">
        <f>IF('AYIRA MINI MART FINAL MENU - Pr'!G567="", "", 'AYIRA MINI MART FINAL MENU - Pr'!G567)</f>
        <v/>
      </c>
      <c r="H567" s="56" t="str">
        <f>IF('AYIRA MINI MART FINAL MENU - Pr'!H567="", "", 'AYIRA MINI MART FINAL MENU - Pr'!H567)</f>
        <v/>
      </c>
      <c r="I567" s="56" t="str">
        <f>IF('AYIRA MINI MART FINAL MENU - Pr'!I567="", "", 'AYIRA MINI MART FINAL MENU - Pr'!I567)</f>
        <v/>
      </c>
      <c r="J567" s="56" t="str">
        <f>IFERROR(__xludf.DUMMYFUNCTION("IF('AYIRA MINI MART FINAL MENU - Pr'!J567="""", """", GOOGLETRANSLATE('AYIRA MINI MART FINAL MENU - Pr'!J567, ""en"", ""ar""))"),"يعرض")</f>
        <v>يعرض</v>
      </c>
      <c r="K567" s="56" t="str">
        <f>IF('AYIRA MINI MART FINAL MENU - Pr'!K567="", "", 'AYIRA MINI MART FINAL MENU - Pr'!K567)</f>
        <v/>
      </c>
      <c r="L567" s="56" t="str">
        <f>IF('AYIRA MINI MART FINAL MENU - Pr'!L567="", "", 'AYIRA MINI MART FINAL MENU - Pr'!L567)</f>
        <v/>
      </c>
      <c r="M567" s="56" t="str">
        <f>IF('AYIRA MINI MART FINAL MENU - Pr'!M567="", "", 'AYIRA MINI MART FINAL MENU - Pr'!M567)</f>
        <v/>
      </c>
      <c r="N567" s="56" t="str">
        <f>IF('AYIRA MINI MART FINAL MENU - Pr'!N567="", "", 'AYIRA MINI MART FINAL MENU - Pr'!N567)</f>
        <v/>
      </c>
      <c r="O567" s="57"/>
      <c r="P567" s="57"/>
      <c r="Q567" s="57"/>
      <c r="R567" s="57"/>
      <c r="S567" s="57"/>
      <c r="T567" s="57"/>
      <c r="U567" s="57"/>
      <c r="V567" s="57"/>
      <c r="W567" s="57"/>
      <c r="X567" s="57"/>
      <c r="Y567" s="57"/>
      <c r="Z567" s="57"/>
    </row>
    <row r="568">
      <c r="A568" s="56" t="str">
        <f>IFERROR(__xludf.DUMMYFUNCTION("IF('AYIRA MINI MART FINAL MENU - Pr'!A568="""", """", IF(LEN(TRIM(REGEXREPLACE(REGEXREPLACE('AYIRA MINI MART FINAL MENU - Pr'!A568, ""^[^\x{0600}-\x{06FF}]+"", """"), ""^[-–\s]+"", """")))&gt;0, TRIM(REGEXREPLACE(REGEXREPLACE('AYIRA MINI MART FINAL MENU - Pr"&amp;"'!A568, ""^[^\x{0600}-\x{06FF}]+"", """"), ""^[-–\s]+"", """")), GOOGLETRANSLATE('AYIRA MINI MART FINAL MENU - Pr'!A568, ""en"", ""ar"")))"),"شيبس Oman Chili Flavour 100 غرام")</f>
        <v>شيبس Oman Chili Flavour 100 غرام</v>
      </c>
      <c r="B568" s="56" t="str">
        <f>IFERROR(__xludf.DUMMYFUNCTION("IF('AYIRA MINI MART FINAL MENU - Pr'!B568="""", """", IF(LEN(TRIM(REGEXREPLACE(REGEXREPLACE('AYIRA MINI MART FINAL MENU - Pr'!B568, ""^[^\x{0600}-\x{06FF}]+"", """"), ""^[-–\s]+"", """")))&gt;0, TRIM(REGEXREPLACE(REGEXREPLACE('AYIRA MINI MART FINAL MENU - Pr"&amp;"'!B568, ""^[^\x{0600}-\x{06FF}]+"", """"), ""^[-–\s]+"", """")), GOOGLETRANSLATE('AYIRA MINI MART FINAL MENU - Pr'!B568, ""en"", ""ar"")))"),"الشيبس والمقرمشات")</f>
        <v>الشيبس والمقرمشات</v>
      </c>
      <c r="C568" s="58">
        <f>IF('AYIRA MINI MART FINAL MENU - Pr'!C568="", "", 'AYIRA MINI MART FINAL MENU - Pr'!C568)</f>
        <v>6</v>
      </c>
      <c r="D568" s="58" t="str">
        <f>IF('AYIRA MINI MART FINAL MENU - Pr'!D568="", "", 'AYIRA MINI MART FINAL MENU - Pr'!D568)</f>
        <v>لا تقاوم طعم Chips Oman Chili Flavour 100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8" s="56" t="str">
        <f>IF('AYIRA MINI MART FINAL MENU - Pr'!E568="", "", 'AYIRA MINI MART FINAL MENU - Pr'!E568)</f>
        <v/>
      </c>
      <c r="F568" s="56" t="str">
        <f>IF('AYIRA MINI MART FINAL MENU - Pr'!F568="", "", 'AYIRA MINI MART FINAL MENU - Pr'!F568)</f>
        <v/>
      </c>
      <c r="G568" s="56" t="str">
        <f>IF('AYIRA MINI MART FINAL MENU - Pr'!G568="", "", 'AYIRA MINI MART FINAL MENU - Pr'!G568)</f>
        <v/>
      </c>
      <c r="H568" s="56" t="str">
        <f>IF('AYIRA MINI MART FINAL MENU - Pr'!H568="", "", 'AYIRA MINI MART FINAL MENU - Pr'!H568)</f>
        <v/>
      </c>
      <c r="I568" s="56" t="str">
        <f>IF('AYIRA MINI MART FINAL MENU - Pr'!I568="", "", 'AYIRA MINI MART FINAL MENU - Pr'!I568)</f>
        <v/>
      </c>
      <c r="J568" s="56" t="str">
        <f>IFERROR(__xludf.DUMMYFUNCTION("IF('AYIRA MINI MART FINAL MENU - Pr'!J568="""", """", GOOGLETRANSLATE('AYIRA MINI MART FINAL MENU - Pr'!J568, ""en"", ""ar""))"),"يعرض")</f>
        <v>يعرض</v>
      </c>
      <c r="K568" s="56" t="str">
        <f>IF('AYIRA MINI MART FINAL MENU - Pr'!K568="", "", 'AYIRA MINI MART FINAL MENU - Pr'!K568)</f>
        <v/>
      </c>
      <c r="L568" s="56" t="str">
        <f>IF('AYIRA MINI MART FINAL MENU - Pr'!L568="", "", 'AYIRA MINI MART FINAL MENU - Pr'!L568)</f>
        <v/>
      </c>
      <c r="M568" s="56" t="str">
        <f>IF('AYIRA MINI MART FINAL MENU - Pr'!M568="", "", 'AYIRA MINI MART FINAL MENU - Pr'!M568)</f>
        <v/>
      </c>
      <c r="N568" s="56" t="str">
        <f>IF('AYIRA MINI MART FINAL MENU - Pr'!N568="", "", 'AYIRA MINI MART FINAL MENU - Pr'!N568)</f>
        <v/>
      </c>
      <c r="O568" s="57"/>
      <c r="P568" s="57"/>
      <c r="Q568" s="57"/>
      <c r="R568" s="57"/>
      <c r="S568" s="57"/>
      <c r="T568" s="57"/>
      <c r="U568" s="57"/>
      <c r="V568" s="57"/>
      <c r="W568" s="57"/>
      <c r="X568" s="57"/>
      <c r="Y568" s="57"/>
      <c r="Z568" s="57"/>
    </row>
    <row r="569">
      <c r="A569" s="56" t="str">
        <f>IFERROR(__xludf.DUMMYFUNCTION("IF('AYIRA MINI MART FINAL MENU - Pr'!A569="""", """", IF(LEN(TRIM(REGEXREPLACE(REGEXREPLACE('AYIRA MINI MART FINAL MENU - Pr'!A569, ""^[^\x{0600}-\x{06FF}]+"", """"), ""^[-–\s]+"", """")))&gt;0, TRIM(REGEXREPLACE(REGEXREPLACE('AYIRA MINI MART FINAL MENU - Pr"&amp;"'!A569, ""^[^\x{0600}-\x{06FF}]+"", """"), ""^[-–\s]+"", """")), GOOGLETRANSLATE('AYIRA MINI MART FINAL MENU - Pr'!A569, ""en"", ""ar"")))"),"شيبس 75 غرام")</f>
        <v>شيبس 75 غرام</v>
      </c>
      <c r="B569" s="56" t="str">
        <f>IFERROR(__xludf.DUMMYFUNCTION("IF('AYIRA MINI MART FINAL MENU - Pr'!B569="""", """", IF(LEN(TRIM(REGEXREPLACE(REGEXREPLACE('AYIRA MINI MART FINAL MENU - Pr'!B569, ""^[^\x{0600}-\x{06FF}]+"", """"), ""^[-–\s]+"", """")))&gt;0, TRIM(REGEXREPLACE(REGEXREPLACE('AYIRA MINI MART FINAL MENU - Pr"&amp;"'!B569, ""^[^\x{0600}-\x{06FF}]+"", """"), ""^[-–\s]+"", """")), GOOGLETRANSLATE('AYIRA MINI MART FINAL MENU - Pr'!B569, ""en"", ""ar"")))"),"الشيبس والمقرمشات")</f>
        <v>الشيبس والمقرمشات</v>
      </c>
      <c r="C569" s="58">
        <f>IF('AYIRA MINI MART FINAL MENU - Pr'!C569="", "", 'AYIRA MINI MART FINAL MENU - Pr'!C569)</f>
        <v>5</v>
      </c>
      <c r="D569" s="58" t="str">
        <f>IF('AYIRA MINI MART FINAL MENU - Pr'!D569="", "", 'AYIRA MINI MART FINAL MENU - Pr'!D569)</f>
        <v>لا تقاوم طعم Salad Chips 75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69" s="56" t="str">
        <f>IF('AYIRA MINI MART FINAL MENU - Pr'!E569="", "", 'AYIRA MINI MART FINAL MENU - Pr'!E569)</f>
        <v/>
      </c>
      <c r="F569" s="56" t="str">
        <f>IF('AYIRA MINI MART FINAL MENU - Pr'!F569="", "", 'AYIRA MINI MART FINAL MENU - Pr'!F569)</f>
        <v/>
      </c>
      <c r="G569" s="56" t="str">
        <f>IF('AYIRA MINI MART FINAL MENU - Pr'!G569="", "", 'AYIRA MINI MART FINAL MENU - Pr'!G569)</f>
        <v/>
      </c>
      <c r="H569" s="56" t="str">
        <f>IF('AYIRA MINI MART FINAL MENU - Pr'!H569="", "", 'AYIRA MINI MART FINAL MENU - Pr'!H569)</f>
        <v/>
      </c>
      <c r="I569" s="56" t="str">
        <f>IF('AYIRA MINI MART FINAL MENU - Pr'!I569="", "", 'AYIRA MINI MART FINAL MENU - Pr'!I569)</f>
        <v/>
      </c>
      <c r="J569" s="56" t="str">
        <f>IFERROR(__xludf.DUMMYFUNCTION("IF('AYIRA MINI MART FINAL MENU - Pr'!J569="""", """", GOOGLETRANSLATE('AYIRA MINI MART FINAL MENU - Pr'!J569, ""en"", ""ar""))"),"يعرض")</f>
        <v>يعرض</v>
      </c>
      <c r="K569" s="56" t="str">
        <f>IF('AYIRA MINI MART FINAL MENU - Pr'!K569="", "", 'AYIRA MINI MART FINAL MENU - Pr'!K569)</f>
        <v/>
      </c>
      <c r="L569" s="56" t="str">
        <f>IF('AYIRA MINI MART FINAL MENU - Pr'!L569="", "", 'AYIRA MINI MART FINAL MENU - Pr'!L569)</f>
        <v/>
      </c>
      <c r="M569" s="56" t="str">
        <f>IF('AYIRA MINI MART FINAL MENU - Pr'!M569="", "", 'AYIRA MINI MART FINAL MENU - Pr'!M569)</f>
        <v/>
      </c>
      <c r="N569" s="56" t="str">
        <f>IF('AYIRA MINI MART FINAL MENU - Pr'!N569="", "", 'AYIRA MINI MART FINAL MENU - Pr'!N569)</f>
        <v/>
      </c>
      <c r="O569" s="57"/>
      <c r="P569" s="57"/>
      <c r="Q569" s="57"/>
      <c r="R569" s="57"/>
      <c r="S569" s="57"/>
      <c r="T569" s="57"/>
      <c r="U569" s="57"/>
      <c r="V569" s="57"/>
      <c r="W569" s="57"/>
      <c r="X569" s="57"/>
      <c r="Y569" s="57"/>
      <c r="Z569" s="57"/>
    </row>
    <row r="570">
      <c r="A570" s="56" t="str">
        <f>IFERROR(__xludf.DUMMYFUNCTION("IF('AYIRA MINI MART FINAL MENU - Pr'!A570="""", """", IF(LEN(TRIM(REGEXREPLACE(REGEXREPLACE('AYIRA MINI MART FINAL MENU - Pr'!A570, ""^[^\x{0600}-\x{06FF}]+"", """"), ""^[-–\s]+"", """")))&gt;0, TRIM(REGEXREPLACE(REGEXREPLACE('AYIRA MINI MART FINAL MENU - Pr"&amp;"'!A570, ""^[^\x{0600}-\x{06FF}]+"", """"), ""^[-–\s]+"", """")), GOOGLETRANSLATE('AYIRA MINI MART FINAL MENU - Pr'!A570, ""en"", ""ar"")))"),"شيبس جبنة Flavour 70 غرام")</f>
        <v>شيبس جبنة Flavour 70 غرام</v>
      </c>
      <c r="B570" s="56" t="str">
        <f>IFERROR(__xludf.DUMMYFUNCTION("IF('AYIRA MINI MART FINAL MENU - Pr'!B570="""", """", IF(LEN(TRIM(REGEXREPLACE(REGEXREPLACE('AYIRA MINI MART FINAL MENU - Pr'!B570, ""^[^\x{0600}-\x{06FF}]+"", """"), ""^[-–\s]+"", """")))&gt;0, TRIM(REGEXREPLACE(REGEXREPLACE('AYIRA MINI MART FINAL MENU - Pr"&amp;"'!B570, ""^[^\x{0600}-\x{06FF}]+"", """"), ""^[-–\s]+"", """")), GOOGLETRANSLATE('AYIRA MINI MART FINAL MENU - Pr'!B570, ""en"", ""ar"")))"),"الشيبس والمقرمشات")</f>
        <v>الشيبس والمقرمشات</v>
      </c>
      <c r="C570" s="58">
        <f>IF('AYIRA MINI MART FINAL MENU - Pr'!C570="", "", 'AYIRA MINI MART FINAL MENU - Pr'!C570)</f>
        <v>3.5</v>
      </c>
      <c r="D570" s="58" t="str">
        <f>IF('AYIRA MINI MART FINAL MENU - Pr'!D570="", "", 'AYIRA MINI MART FINAL MENU - Pr'!D570)</f>
        <v>لا تقاوم طعم Molto Chips Cheese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0" s="56" t="str">
        <f>IF('AYIRA MINI MART FINAL MENU - Pr'!E570="", "", 'AYIRA MINI MART FINAL MENU - Pr'!E570)</f>
        <v/>
      </c>
      <c r="F570" s="56" t="str">
        <f>IF('AYIRA MINI MART FINAL MENU - Pr'!F570="", "", 'AYIRA MINI MART FINAL MENU - Pr'!F570)</f>
        <v/>
      </c>
      <c r="G570" s="56" t="str">
        <f>IF('AYIRA MINI MART FINAL MENU - Pr'!G570="", "", 'AYIRA MINI MART FINAL MENU - Pr'!G570)</f>
        <v/>
      </c>
      <c r="H570" s="56" t="str">
        <f>IF('AYIRA MINI MART FINAL MENU - Pr'!H570="", "", 'AYIRA MINI MART FINAL MENU - Pr'!H570)</f>
        <v/>
      </c>
      <c r="I570" s="56" t="str">
        <f>IF('AYIRA MINI MART FINAL MENU - Pr'!I570="", "", 'AYIRA MINI MART FINAL MENU - Pr'!I570)</f>
        <v/>
      </c>
      <c r="J570" s="56" t="str">
        <f>IFERROR(__xludf.DUMMYFUNCTION("IF('AYIRA MINI MART FINAL MENU - Pr'!J570="""", """", GOOGLETRANSLATE('AYIRA MINI MART FINAL MENU - Pr'!J570, ""en"", ""ar""))"),"إنتهى من المخزن")</f>
        <v>إنتهى من المخزن</v>
      </c>
      <c r="K570" s="56" t="str">
        <f>IF('AYIRA MINI MART FINAL MENU - Pr'!K570="", "", 'AYIRA MINI MART FINAL MENU - Pr'!K570)</f>
        <v/>
      </c>
      <c r="L570" s="56" t="str">
        <f>IF('AYIRA MINI MART FINAL MENU - Pr'!L570="", "", 'AYIRA MINI MART FINAL MENU - Pr'!L570)</f>
        <v/>
      </c>
      <c r="M570" s="56" t="str">
        <f>IF('AYIRA MINI MART FINAL MENU - Pr'!M570="", "", 'AYIRA MINI MART FINAL MENU - Pr'!M570)</f>
        <v/>
      </c>
      <c r="N570" s="56" t="str">
        <f>IF('AYIRA MINI MART FINAL MENU - Pr'!N570="", "", 'AYIRA MINI MART FINAL MENU - Pr'!N570)</f>
        <v/>
      </c>
      <c r="O570" s="57"/>
      <c r="P570" s="57"/>
      <c r="Q570" s="57"/>
      <c r="R570" s="57"/>
      <c r="S570" s="57"/>
      <c r="T570" s="57"/>
      <c r="U570" s="57"/>
      <c r="V570" s="57"/>
      <c r="W570" s="57"/>
      <c r="X570" s="57"/>
      <c r="Y570" s="57"/>
      <c r="Z570" s="57"/>
    </row>
    <row r="571">
      <c r="A571" s="56" t="str">
        <f>IFERROR(__xludf.DUMMYFUNCTION("IF('AYIRA MINI MART FINAL MENU - Pr'!A571="""", """", IF(LEN(TRIM(REGEXREPLACE(REGEXREPLACE('AYIRA MINI MART FINAL MENU - Pr'!A571, ""^[^\x{0600}-\x{06FF}]+"", """"), ""^[-–\s]+"", """")))&gt;0, TRIM(REGEXREPLACE(REGEXREPLACE('AYIRA MINI MART FINAL MENU - Pr"&amp;"'!A571, ""^[^\x{0600}-\x{06FF}]+"", """"), ""^[-–\s]+"", """")), GOOGLETRANSLATE('AYIRA MINI MART FINAL MENU - Pr'!A571, ""en"", ""ar"")))"),"شيبس باربيكيو Flavour 70 غرام")</f>
        <v>شيبس باربيكيو Flavour 70 غرام</v>
      </c>
      <c r="B571" s="56" t="str">
        <f>IFERROR(__xludf.DUMMYFUNCTION("IF('AYIRA MINI MART FINAL MENU - Pr'!B571="""", """", IF(LEN(TRIM(REGEXREPLACE(REGEXREPLACE('AYIRA MINI MART FINAL MENU - Pr'!B571, ""^[^\x{0600}-\x{06FF}]+"", """"), ""^[-–\s]+"", """")))&gt;0, TRIM(REGEXREPLACE(REGEXREPLACE('AYIRA MINI MART FINAL MENU - Pr"&amp;"'!B571, ""^[^\x{0600}-\x{06FF}]+"", """"), ""^[-–\s]+"", """")), GOOGLETRANSLATE('AYIRA MINI MART FINAL MENU - Pr'!B571, ""en"", ""ar"")))"),"الشيبس والمقرمشات")</f>
        <v>الشيبس والمقرمشات</v>
      </c>
      <c r="C571" s="58">
        <f>IF('AYIRA MINI MART FINAL MENU - Pr'!C571="", "", 'AYIRA MINI MART FINAL MENU - Pr'!C571)</f>
        <v>3.5</v>
      </c>
      <c r="D571" s="58" t="str">
        <f>IF('AYIRA MINI MART FINAL MENU - Pr'!D571="", "", 'AYIRA MINI MART FINAL MENU - Pr'!D571)</f>
        <v>لا تقاوم طعم Molto Chips Barbecue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1" s="56" t="str">
        <f>IF('AYIRA MINI MART FINAL MENU - Pr'!E571="", "", 'AYIRA MINI MART FINAL MENU - Pr'!E571)</f>
        <v/>
      </c>
      <c r="F571" s="56" t="str">
        <f>IF('AYIRA MINI MART FINAL MENU - Pr'!F571="", "", 'AYIRA MINI MART FINAL MENU - Pr'!F571)</f>
        <v/>
      </c>
      <c r="G571" s="56" t="str">
        <f>IF('AYIRA MINI MART FINAL MENU - Pr'!G571="", "", 'AYIRA MINI MART FINAL MENU - Pr'!G571)</f>
        <v/>
      </c>
      <c r="H571" s="56" t="str">
        <f>IF('AYIRA MINI MART FINAL MENU - Pr'!H571="", "", 'AYIRA MINI MART FINAL MENU - Pr'!H571)</f>
        <v/>
      </c>
      <c r="I571" s="56" t="str">
        <f>IF('AYIRA MINI MART FINAL MENU - Pr'!I571="", "", 'AYIRA MINI MART FINAL MENU - Pr'!I571)</f>
        <v/>
      </c>
      <c r="J571" s="56" t="str">
        <f>IFERROR(__xludf.DUMMYFUNCTION("IF('AYIRA MINI MART FINAL MENU - Pr'!J571="""", """", GOOGLETRANSLATE('AYIRA MINI MART FINAL MENU - Pr'!J571, ""en"", ""ar""))"),"يعرض")</f>
        <v>يعرض</v>
      </c>
      <c r="K571" s="56" t="str">
        <f>IF('AYIRA MINI MART FINAL MENU - Pr'!K571="", "", 'AYIRA MINI MART FINAL MENU - Pr'!K571)</f>
        <v/>
      </c>
      <c r="L571" s="56" t="str">
        <f>IF('AYIRA MINI MART FINAL MENU - Pr'!L571="", "", 'AYIRA MINI MART FINAL MENU - Pr'!L571)</f>
        <v/>
      </c>
      <c r="M571" s="56" t="str">
        <f>IF('AYIRA MINI MART FINAL MENU - Pr'!M571="", "", 'AYIRA MINI MART FINAL MENU - Pr'!M571)</f>
        <v/>
      </c>
      <c r="N571" s="56" t="str">
        <f>IF('AYIRA MINI MART FINAL MENU - Pr'!N571="", "", 'AYIRA MINI MART FINAL MENU - Pr'!N571)</f>
        <v/>
      </c>
      <c r="O571" s="57"/>
      <c r="P571" s="57"/>
      <c r="Q571" s="57"/>
      <c r="R571" s="57"/>
      <c r="S571" s="57"/>
      <c r="T571" s="57"/>
      <c r="U571" s="57"/>
      <c r="V571" s="57"/>
      <c r="W571" s="57"/>
      <c r="X571" s="57"/>
      <c r="Y571" s="57"/>
      <c r="Z571" s="57"/>
    </row>
    <row r="572">
      <c r="A572" s="56" t="str">
        <f>IFERROR(__xludf.DUMMYFUNCTION("IF('AYIRA MINI MART FINAL MENU - Pr'!A572="""", """", IF(LEN(TRIM(REGEXREPLACE(REGEXREPLACE('AYIRA MINI MART FINAL MENU - Pr'!A572, ""^[^\x{0600}-\x{06FF}]+"", """"), ""^[-–\s]+"", """")))&gt;0, TRIM(REGEXREPLACE(REGEXREPLACE('AYIRA MINI MART FINAL MENU - Pr"&amp;"'!A572, ""^[^\x{0600}-\x{06FF}]+"", """"), ""^[-–\s]+"", """")), GOOGLETRANSLATE('AYIRA MINI MART FINAL MENU - Pr'!A572, ""en"", ""ar"")))"),"شيبس Chilli &amp; ليمون Flavour 70 غرام")</f>
        <v>شيبس Chilli &amp; ليمون Flavour 70 غرام</v>
      </c>
      <c r="B572" s="56" t="str">
        <f>IFERROR(__xludf.DUMMYFUNCTION("IF('AYIRA MINI MART FINAL MENU - Pr'!B572="""", """", IF(LEN(TRIM(REGEXREPLACE(REGEXREPLACE('AYIRA MINI MART FINAL MENU - Pr'!B572, ""^[^\x{0600}-\x{06FF}]+"", """"), ""^[-–\s]+"", """")))&gt;0, TRIM(REGEXREPLACE(REGEXREPLACE('AYIRA MINI MART FINAL MENU - Pr"&amp;"'!B572, ""^[^\x{0600}-\x{06FF}]+"", """"), ""^[-–\s]+"", """")), GOOGLETRANSLATE('AYIRA MINI MART FINAL MENU - Pr'!B572, ""en"", ""ar"")))"),"الشيبس والمقرمشات")</f>
        <v>الشيبس والمقرمشات</v>
      </c>
      <c r="C572" s="58">
        <f>IF('AYIRA MINI MART FINAL MENU - Pr'!C572="", "", 'AYIRA MINI MART FINAL MENU - Pr'!C572)</f>
        <v>3.5</v>
      </c>
      <c r="D572" s="58" t="str">
        <f>IF('AYIRA MINI MART FINAL MENU - Pr'!D572="", "", 'AYIRA MINI MART FINAL MENU - Pr'!D572)</f>
        <v>لا تقاوم طعم Molto Chips Chilli &amp; Lemon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2" s="56" t="str">
        <f>IF('AYIRA MINI MART FINAL MENU - Pr'!E572="", "", 'AYIRA MINI MART FINAL MENU - Pr'!E572)</f>
        <v/>
      </c>
      <c r="F572" s="56" t="str">
        <f>IF('AYIRA MINI MART FINAL MENU - Pr'!F572="", "", 'AYIRA MINI MART FINAL MENU - Pr'!F572)</f>
        <v/>
      </c>
      <c r="G572" s="56" t="str">
        <f>IF('AYIRA MINI MART FINAL MENU - Pr'!G572="", "", 'AYIRA MINI MART FINAL MENU - Pr'!G572)</f>
        <v/>
      </c>
      <c r="H572" s="56" t="str">
        <f>IF('AYIRA MINI MART FINAL MENU - Pr'!H572="", "", 'AYIRA MINI MART FINAL MENU - Pr'!H572)</f>
        <v/>
      </c>
      <c r="I572" s="56" t="str">
        <f>IF('AYIRA MINI MART FINAL MENU - Pr'!I572="", "", 'AYIRA MINI MART FINAL MENU - Pr'!I572)</f>
        <v/>
      </c>
      <c r="J572" s="56" t="str">
        <f>IFERROR(__xludf.DUMMYFUNCTION("IF('AYIRA MINI MART FINAL MENU - Pr'!J572="""", """", GOOGLETRANSLATE('AYIRA MINI MART FINAL MENU - Pr'!J572, ""en"", ""ar""))"),"يعرض")</f>
        <v>يعرض</v>
      </c>
      <c r="K572" s="56" t="str">
        <f>IF('AYIRA MINI MART FINAL MENU - Pr'!K572="", "", 'AYIRA MINI MART FINAL MENU - Pr'!K572)</f>
        <v/>
      </c>
      <c r="L572" s="56" t="str">
        <f>IF('AYIRA MINI MART FINAL MENU - Pr'!L572="", "", 'AYIRA MINI MART FINAL MENU - Pr'!L572)</f>
        <v/>
      </c>
      <c r="M572" s="56" t="str">
        <f>IF('AYIRA MINI MART FINAL MENU - Pr'!M572="", "", 'AYIRA MINI MART FINAL MENU - Pr'!M572)</f>
        <v/>
      </c>
      <c r="N572" s="56" t="str">
        <f>IF('AYIRA MINI MART FINAL MENU - Pr'!N572="", "", 'AYIRA MINI MART FINAL MENU - Pr'!N572)</f>
        <v/>
      </c>
      <c r="O572" s="57"/>
      <c r="P572" s="57"/>
      <c r="Q572" s="57"/>
      <c r="R572" s="57"/>
      <c r="S572" s="57"/>
      <c r="T572" s="57"/>
      <c r="U572" s="57"/>
      <c r="V572" s="57"/>
      <c r="W572" s="57"/>
      <c r="X572" s="57"/>
      <c r="Y572" s="57"/>
      <c r="Z572" s="57"/>
    </row>
    <row r="573">
      <c r="A573" s="56" t="str">
        <f>IFERROR(__xludf.DUMMYFUNCTION("IF('AYIRA MINI MART FINAL MENU - Pr'!A573="""", """", IF(LEN(TRIM(REGEXREPLACE(REGEXREPLACE('AYIRA MINI MART FINAL MENU - Pr'!A573, ""^[^\x{0600}-\x{06FF}]+"", """"), ""^[-–\s]+"", """")))&gt;0, TRIM(REGEXREPLACE(REGEXREPLACE('AYIRA MINI MART FINAL MENU - Pr"&amp;"'!A573, ""^[^\x{0600}-\x{06FF}]+"", """"), ""^[-–\s]+"", """")), GOOGLETRANSLATE('AYIRA MINI MART FINAL MENU - Pr'!A573, ""en"", ""ar"")))"),"شيبس ملح Flavour 70 غرام")</f>
        <v>شيبس ملح Flavour 70 غرام</v>
      </c>
      <c r="B573" s="56" t="str">
        <f>IFERROR(__xludf.DUMMYFUNCTION("IF('AYIRA MINI MART FINAL MENU - Pr'!B573="""", """", IF(LEN(TRIM(REGEXREPLACE(REGEXREPLACE('AYIRA MINI MART FINAL MENU - Pr'!B573, ""^[^\x{0600}-\x{06FF}]+"", """"), ""^[-–\s]+"", """")))&gt;0, TRIM(REGEXREPLACE(REGEXREPLACE('AYIRA MINI MART FINAL MENU - Pr"&amp;"'!B573, ""^[^\x{0600}-\x{06FF}]+"", """"), ""^[-–\s]+"", """")), GOOGLETRANSLATE('AYIRA MINI MART FINAL MENU - Pr'!B573, ""en"", ""ar"")))"),"الشيبس والمقرمشات")</f>
        <v>الشيبس والمقرمشات</v>
      </c>
      <c r="C573" s="58">
        <f>IF('AYIRA MINI MART FINAL MENU - Pr'!C573="", "", 'AYIRA MINI MART FINAL MENU - Pr'!C573)</f>
        <v>3.5</v>
      </c>
      <c r="D573" s="58" t="str">
        <f>IF('AYIRA MINI MART FINAL MENU - Pr'!D573="", "", 'AYIRA MINI MART FINAL MENU - Pr'!D573)</f>
        <v>لا تقاوم طعم Molto Chips Salt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3" s="56" t="str">
        <f>IF('AYIRA MINI MART FINAL MENU - Pr'!E573="", "", 'AYIRA MINI MART FINAL MENU - Pr'!E573)</f>
        <v/>
      </c>
      <c r="F573" s="56" t="str">
        <f>IF('AYIRA MINI MART FINAL MENU - Pr'!F573="", "", 'AYIRA MINI MART FINAL MENU - Pr'!F573)</f>
        <v/>
      </c>
      <c r="G573" s="56" t="str">
        <f>IF('AYIRA MINI MART FINAL MENU - Pr'!G573="", "", 'AYIRA MINI MART FINAL MENU - Pr'!G573)</f>
        <v/>
      </c>
      <c r="H573" s="56" t="str">
        <f>IF('AYIRA MINI MART FINAL MENU - Pr'!H573="", "", 'AYIRA MINI MART FINAL MENU - Pr'!H573)</f>
        <v/>
      </c>
      <c r="I573" s="56" t="str">
        <f>IF('AYIRA MINI MART FINAL MENU - Pr'!I573="", "", 'AYIRA MINI MART FINAL MENU - Pr'!I573)</f>
        <v/>
      </c>
      <c r="J573" s="56" t="str">
        <f>IFERROR(__xludf.DUMMYFUNCTION("IF('AYIRA MINI MART FINAL MENU - Pr'!J573="""", """", GOOGLETRANSLATE('AYIRA MINI MART FINAL MENU - Pr'!J573, ""en"", ""ar""))"),"يعرض")</f>
        <v>يعرض</v>
      </c>
      <c r="K573" s="56" t="str">
        <f>IF('AYIRA MINI MART FINAL MENU - Pr'!K573="", "", 'AYIRA MINI MART FINAL MENU - Pr'!K573)</f>
        <v/>
      </c>
      <c r="L573" s="56" t="str">
        <f>IF('AYIRA MINI MART FINAL MENU - Pr'!L573="", "", 'AYIRA MINI MART FINAL MENU - Pr'!L573)</f>
        <v/>
      </c>
      <c r="M573" s="56" t="str">
        <f>IF('AYIRA MINI MART FINAL MENU - Pr'!M573="", "", 'AYIRA MINI MART FINAL MENU - Pr'!M573)</f>
        <v/>
      </c>
      <c r="N573" s="56" t="str">
        <f>IF('AYIRA MINI MART FINAL MENU - Pr'!N573="", "", 'AYIRA MINI MART FINAL MENU - Pr'!N573)</f>
        <v/>
      </c>
      <c r="O573" s="57"/>
      <c r="P573" s="57"/>
      <c r="Q573" s="57"/>
      <c r="R573" s="57"/>
      <c r="S573" s="57"/>
      <c r="T573" s="57"/>
      <c r="U573" s="57"/>
      <c r="V573" s="57"/>
      <c r="W573" s="57"/>
      <c r="X573" s="57"/>
      <c r="Y573" s="57"/>
      <c r="Z573" s="57"/>
    </row>
    <row r="574">
      <c r="A574" s="56" t="str">
        <f>IFERROR(__xludf.DUMMYFUNCTION("IF('AYIRA MINI MART FINAL MENU - Pr'!A574="""", """", IF(LEN(TRIM(REGEXREPLACE(REGEXREPLACE('AYIRA MINI MART FINAL MENU - Pr'!A574, ""^[^\x{0600}-\x{06FF}]+"", """"), ""^[-–\s]+"", """")))&gt;0, TRIM(REGEXREPLACE(REGEXREPLACE('AYIRA MINI MART FINAL MENU - Pr"&amp;"'!A574, ""^[^\x{0600}-\x{06FF}]+"", """"), ""^[-–\s]+"", """")), GOOGLETRANSLATE('AYIRA MINI MART FINAL MENU - Pr'!A574, ""en"", ""ar"")))"),"شيبس كاتشاب Flavour 70 غرام")</f>
        <v>شيبس كاتشاب Flavour 70 غرام</v>
      </c>
      <c r="B574" s="56" t="str">
        <f>IFERROR(__xludf.DUMMYFUNCTION("IF('AYIRA MINI MART FINAL MENU - Pr'!B574="""", """", IF(LEN(TRIM(REGEXREPLACE(REGEXREPLACE('AYIRA MINI MART FINAL MENU - Pr'!B574, ""^[^\x{0600}-\x{06FF}]+"", """"), ""^[-–\s]+"", """")))&gt;0, TRIM(REGEXREPLACE(REGEXREPLACE('AYIRA MINI MART FINAL MENU - Pr"&amp;"'!B574, ""^[^\x{0600}-\x{06FF}]+"", """"), ""^[-–\s]+"", """")), GOOGLETRANSLATE('AYIRA MINI MART FINAL MENU - Pr'!B574, ""en"", ""ar"")))"),"الشيبس والمقرمشات")</f>
        <v>الشيبس والمقرمشات</v>
      </c>
      <c r="C574" s="58">
        <f>IF('AYIRA MINI MART FINAL MENU - Pr'!C574="", "", 'AYIRA MINI MART FINAL MENU - Pr'!C574)</f>
        <v>3.5</v>
      </c>
      <c r="D574" s="58" t="str">
        <f>IF('AYIRA MINI MART FINAL MENU - Pr'!D574="", "", 'AYIRA MINI MART FINAL MENU - Pr'!D574)</f>
        <v>لا تقاوم طعم Molto Chips Ketchup Flavour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4" s="56" t="str">
        <f>IF('AYIRA MINI MART FINAL MENU - Pr'!E574="", "", 'AYIRA MINI MART FINAL MENU - Pr'!E574)</f>
        <v/>
      </c>
      <c r="F574" s="56" t="str">
        <f>IF('AYIRA MINI MART FINAL MENU - Pr'!F574="", "", 'AYIRA MINI MART FINAL MENU - Pr'!F574)</f>
        <v/>
      </c>
      <c r="G574" s="56" t="str">
        <f>IF('AYIRA MINI MART FINAL MENU - Pr'!G574="", "", 'AYIRA MINI MART FINAL MENU - Pr'!G574)</f>
        <v/>
      </c>
      <c r="H574" s="56" t="str">
        <f>IF('AYIRA MINI MART FINAL MENU - Pr'!H574="", "", 'AYIRA MINI MART FINAL MENU - Pr'!H574)</f>
        <v/>
      </c>
      <c r="I574" s="56" t="str">
        <f>IF('AYIRA MINI MART FINAL MENU - Pr'!I574="", "", 'AYIRA MINI MART FINAL MENU - Pr'!I574)</f>
        <v/>
      </c>
      <c r="J574" s="56" t="str">
        <f>IFERROR(__xludf.DUMMYFUNCTION("IF('AYIRA MINI MART FINAL MENU - Pr'!J574="""", """", GOOGLETRANSLATE('AYIRA MINI MART FINAL MENU - Pr'!J574, ""en"", ""ar""))"),"يعرض")</f>
        <v>يعرض</v>
      </c>
      <c r="K574" s="56" t="str">
        <f>IF('AYIRA MINI MART FINAL MENU - Pr'!K574="", "", 'AYIRA MINI MART FINAL MENU - Pr'!K574)</f>
        <v/>
      </c>
      <c r="L574" s="56" t="str">
        <f>IF('AYIRA MINI MART FINAL MENU - Pr'!L574="", "", 'AYIRA MINI MART FINAL MENU - Pr'!L574)</f>
        <v/>
      </c>
      <c r="M574" s="56" t="str">
        <f>IF('AYIRA MINI MART FINAL MENU - Pr'!M574="", "", 'AYIRA MINI MART FINAL MENU - Pr'!M574)</f>
        <v/>
      </c>
      <c r="N574" s="56" t="str">
        <f>IF('AYIRA MINI MART FINAL MENU - Pr'!N574="", "", 'AYIRA MINI MART FINAL MENU - Pr'!N574)</f>
        <v/>
      </c>
      <c r="O574" s="57"/>
      <c r="P574" s="57"/>
      <c r="Q574" s="57"/>
      <c r="R574" s="57"/>
      <c r="S574" s="57"/>
      <c r="T574" s="57"/>
      <c r="U574" s="57"/>
      <c r="V574" s="57"/>
      <c r="W574" s="57"/>
      <c r="X574" s="57"/>
      <c r="Y574" s="57"/>
      <c r="Z574" s="57"/>
    </row>
    <row r="575">
      <c r="A575" s="56" t="str">
        <f>IFERROR(__xludf.DUMMYFUNCTION("IF('AYIRA MINI MART FINAL MENU - Pr'!A575="""", """", IF(LEN(TRIM(REGEXREPLACE(REGEXREPLACE('AYIRA MINI MART FINAL MENU - Pr'!A575, ""^[^\x{0600}-\x{06FF}]+"", """"), ""^[-–\s]+"", """")))&gt;0, TRIM(REGEXREPLACE(REGEXREPLACE('AYIRA MINI MART FINAL MENU - Pr"&amp;"'!A575, ""^[^\x{0600}-\x{06FF}]+"", """"), ""^[-–\s]+"", """")), GOOGLETRANSLATE('AYIRA MINI MART FINAL MENU - Pr'!A575, ""en"", ""ar"")))"),"طبيعي Potato شيبس باربيكيو Flavour 40 غرام")</f>
        <v>طبيعي Potato شيبس باربيكيو Flavour 40 غرام</v>
      </c>
      <c r="B575" s="56" t="str">
        <f>IFERROR(__xludf.DUMMYFUNCTION("IF('AYIRA MINI MART FINAL MENU - Pr'!B575="""", """", IF(LEN(TRIM(REGEXREPLACE(REGEXREPLACE('AYIRA MINI MART FINAL MENU - Pr'!B575, ""^[^\x{0600}-\x{06FF}]+"", """"), ""^[-–\s]+"", """")))&gt;0, TRIM(REGEXREPLACE(REGEXREPLACE('AYIRA MINI MART FINAL MENU - Pr"&amp;"'!B575, ""^[^\x{0600}-\x{06FF}]+"", """"), ""^[-–\s]+"", """")), GOOGLETRANSLATE('AYIRA MINI MART FINAL MENU - Pr'!B575, ""en"", ""ar"")))"),"الشيبس والمقرمشات")</f>
        <v>الشيبس والمقرمشات</v>
      </c>
      <c r="C575" s="58">
        <f>IF('AYIRA MINI MART FINAL MENU - Pr'!C575="", "", 'AYIRA MINI MART FINAL MENU - Pr'!C575)</f>
        <v>3.5</v>
      </c>
      <c r="D575" s="58" t="str">
        <f>IF('AYIRA MINI MART FINAL MENU - Pr'!D575="", "", 'AYIRA MINI MART FINAL MENU - Pr'!D575)</f>
        <v>لا تقاوم طعم Karkish Natural Potato Chips Barbecue Flavour 40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5" s="56" t="str">
        <f>IF('AYIRA MINI MART FINAL MENU - Pr'!E575="", "", 'AYIRA MINI MART FINAL MENU - Pr'!E575)</f>
        <v/>
      </c>
      <c r="F575" s="56" t="str">
        <f>IF('AYIRA MINI MART FINAL MENU - Pr'!F575="", "", 'AYIRA MINI MART FINAL MENU - Pr'!F575)</f>
        <v/>
      </c>
      <c r="G575" s="56" t="str">
        <f>IF('AYIRA MINI MART FINAL MENU - Pr'!G575="", "", 'AYIRA MINI MART FINAL MENU - Pr'!G575)</f>
        <v/>
      </c>
      <c r="H575" s="56" t="str">
        <f>IF('AYIRA MINI MART FINAL MENU - Pr'!H575="", "", 'AYIRA MINI MART FINAL MENU - Pr'!H575)</f>
        <v/>
      </c>
      <c r="I575" s="56" t="str">
        <f>IF('AYIRA MINI MART FINAL MENU - Pr'!I575="", "", 'AYIRA MINI MART FINAL MENU - Pr'!I575)</f>
        <v/>
      </c>
      <c r="J575" s="56" t="str">
        <f>IFERROR(__xludf.DUMMYFUNCTION("IF('AYIRA MINI MART FINAL MENU - Pr'!J575="""", """", GOOGLETRANSLATE('AYIRA MINI MART FINAL MENU - Pr'!J575, ""en"", ""ar""))"),"إنتهى من المخزن")</f>
        <v>إنتهى من المخزن</v>
      </c>
      <c r="K575" s="56" t="str">
        <f>IF('AYIRA MINI MART FINAL MENU - Pr'!K575="", "", 'AYIRA MINI MART FINAL MENU - Pr'!K575)</f>
        <v/>
      </c>
      <c r="L575" s="56" t="str">
        <f>IF('AYIRA MINI MART FINAL MENU - Pr'!L575="", "", 'AYIRA MINI MART FINAL MENU - Pr'!L575)</f>
        <v/>
      </c>
      <c r="M575" s="56" t="str">
        <f>IF('AYIRA MINI MART FINAL MENU - Pr'!M575="", "", 'AYIRA MINI MART FINAL MENU - Pr'!M575)</f>
        <v/>
      </c>
      <c r="N575" s="56" t="str">
        <f>IF('AYIRA MINI MART FINAL MENU - Pr'!N575="", "", 'AYIRA MINI MART FINAL MENU - Pr'!N575)</f>
        <v/>
      </c>
      <c r="O575" s="57"/>
      <c r="P575" s="57"/>
      <c r="Q575" s="57"/>
      <c r="R575" s="57"/>
      <c r="S575" s="57"/>
      <c r="T575" s="57"/>
      <c r="U575" s="57"/>
      <c r="V575" s="57"/>
      <c r="W575" s="57"/>
      <c r="X575" s="57"/>
      <c r="Y575" s="57"/>
      <c r="Z575" s="57"/>
    </row>
    <row r="576">
      <c r="A576" s="56" t="str">
        <f>IFERROR(__xludf.DUMMYFUNCTION("IF('AYIRA MINI MART FINAL MENU - Pr'!A576="""", """", IF(LEN(TRIM(REGEXREPLACE(REGEXREPLACE('AYIRA MINI MART FINAL MENU - Pr'!A576, ""^[^\x{0600}-\x{06FF}]+"", """"), ""^[-–\s]+"", """")))&gt;0, TRIM(REGEXREPLACE(REGEXREPLACE('AYIRA MINI MART FINAL MENU - Pr"&amp;"'!A576, ""^[^\x{0600}-\x{06FF}]+"", """"), ""^[-–\s]+"", """")), GOOGLETRANSLATE('AYIRA MINI MART FINAL MENU - Pr'!A576, ""en"", ""ar"")))"),"حار Chili Pepper &amp; Lime Tortilla Chips, Artificially Flavoured 113.4 غرام")</f>
        <v>حار Chili Pepper &amp; Lime Tortilla Chips, Artificially Flavoured 113.4 غرام</v>
      </c>
      <c r="B576" s="56" t="str">
        <f>IFERROR(__xludf.DUMMYFUNCTION("IF('AYIRA MINI MART FINAL MENU - Pr'!B576="""", """", IF(LEN(TRIM(REGEXREPLACE(REGEXREPLACE('AYIRA MINI MART FINAL MENU - Pr'!B576, ""^[^\x{0600}-\x{06FF}]+"", """"), ""^[-–\s]+"", """")))&gt;0, TRIM(REGEXREPLACE(REGEXREPLACE('AYIRA MINI MART FINAL MENU - Pr"&amp;"'!B576, ""^[^\x{0600}-\x{06FF}]+"", """"), ""^[-–\s]+"", """")), GOOGLETRANSLATE('AYIRA MINI MART FINAL MENU - Pr'!B576, ""en"", ""ar"")))"),"الشيبس والمقرمشات")</f>
        <v>الشيبس والمقرمشات</v>
      </c>
      <c r="C576" s="58">
        <f>IF('AYIRA MINI MART FINAL MENU - Pr'!C576="", "", 'AYIRA MINI MART FINAL MENU - Pr'!C576)</f>
        <v>14</v>
      </c>
      <c r="D576" s="58" t="str">
        <f>IF('AYIRA MINI MART FINAL MENU - Pr'!D576="", "", 'AYIRA MINI MART FINAL MENU - Pr'!D576)</f>
        <v>لا تقاوم طعم Takis Fuego Hot Chili Pepper &amp; Lime Tortilla Chips, Artificially Flavoured 113.4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6" s="56" t="str">
        <f>IF('AYIRA MINI MART FINAL MENU - Pr'!E576="", "", 'AYIRA MINI MART FINAL MENU - Pr'!E576)</f>
        <v/>
      </c>
      <c r="F576" s="56" t="str">
        <f>IF('AYIRA MINI MART FINAL MENU - Pr'!F576="", "", 'AYIRA MINI MART FINAL MENU - Pr'!F576)</f>
        <v/>
      </c>
      <c r="G576" s="56" t="str">
        <f>IF('AYIRA MINI MART FINAL MENU - Pr'!G576="", "", 'AYIRA MINI MART FINAL MENU - Pr'!G576)</f>
        <v/>
      </c>
      <c r="H576" s="56" t="str">
        <f>IF('AYIRA MINI MART FINAL MENU - Pr'!H576="", "", 'AYIRA MINI MART FINAL MENU - Pr'!H576)</f>
        <v/>
      </c>
      <c r="I576" s="56" t="str">
        <f>IF('AYIRA MINI MART FINAL MENU - Pr'!I576="", "", 'AYIRA MINI MART FINAL MENU - Pr'!I576)</f>
        <v/>
      </c>
      <c r="J576" s="56" t="str">
        <f>IFERROR(__xludf.DUMMYFUNCTION("IF('AYIRA MINI MART FINAL MENU - Pr'!J576="""", """", GOOGLETRANSLATE('AYIRA MINI MART FINAL MENU - Pr'!J576, ""en"", ""ar""))"),"إنتهى من المخزن")</f>
        <v>إنتهى من المخزن</v>
      </c>
      <c r="K576" s="56" t="str">
        <f>IF('AYIRA MINI MART FINAL MENU - Pr'!K576="", "", 'AYIRA MINI MART FINAL MENU - Pr'!K576)</f>
        <v/>
      </c>
      <c r="L576" s="56" t="str">
        <f>IF('AYIRA MINI MART FINAL MENU - Pr'!L576="", "", 'AYIRA MINI MART FINAL MENU - Pr'!L576)</f>
        <v/>
      </c>
      <c r="M576" s="56" t="str">
        <f>IF('AYIRA MINI MART FINAL MENU - Pr'!M576="", "", 'AYIRA MINI MART FINAL MENU - Pr'!M576)</f>
        <v/>
      </c>
      <c r="N576" s="56" t="str">
        <f>IF('AYIRA MINI MART FINAL MENU - Pr'!N576="", "", 'AYIRA MINI MART FINAL MENU - Pr'!N576)</f>
        <v/>
      </c>
      <c r="O576" s="57"/>
      <c r="P576" s="57"/>
      <c r="Q576" s="57"/>
      <c r="R576" s="57"/>
      <c r="S576" s="57"/>
      <c r="T576" s="57"/>
      <c r="U576" s="57"/>
      <c r="V576" s="57"/>
      <c r="W576" s="57"/>
      <c r="X576" s="57"/>
      <c r="Y576" s="57"/>
      <c r="Z576" s="57"/>
    </row>
    <row r="577">
      <c r="A577" s="56" t="str">
        <f>IFERROR(__xludf.DUMMYFUNCTION("IF('AYIRA MINI MART FINAL MENU - Pr'!A577="""", """", IF(LEN(TRIM(REGEXREPLACE(REGEXREPLACE('AYIRA MINI MART FINAL MENU - Pr'!A577, ""^[^\x{0600}-\x{06FF}]+"", """"), ""^[-–\s]+"", """")))&gt;0, TRIM(REGEXREPLACE(REGEXREPLACE('AYIRA MINI MART FINAL MENU - Pr"&amp;"'!A577, ""^[^\x{0600}-\x{06FF}]+"", """"), ""^[-–\s]+"", """")), GOOGLETRANSLATE('AYIRA MINI MART FINAL MENU - Pr'!A577, ""en"", ""ar"")))"),"غرام")</f>
        <v>غرام</v>
      </c>
      <c r="B577" s="56" t="str">
        <f>IFERROR(__xludf.DUMMYFUNCTION("IF('AYIRA MINI MART FINAL MENU - Pr'!B577="""", """", IF(LEN(TRIM(REGEXREPLACE(REGEXREPLACE('AYIRA MINI MART FINAL MENU - Pr'!B577, ""^[^\x{0600}-\x{06FF}]+"", """"), ""^[-–\s]+"", """")))&gt;0, TRIM(REGEXREPLACE(REGEXREPLACE('AYIRA MINI MART FINAL MENU - Pr"&amp;"'!B577, ""^[^\x{0600}-\x{06FF}]+"", """"), ""^[-–\s]+"", """")), GOOGLETRANSLATE('AYIRA MINI MART FINAL MENU - Pr'!B577, ""en"", ""ar"")))"),"الشيبس والمقرمشات")</f>
        <v>الشيبس والمقرمشات</v>
      </c>
      <c r="C577" s="58">
        <f>IF('AYIRA MINI MART FINAL MENU - Pr'!C577="", "", 'AYIRA MINI MART FINAL MENU - Pr'!C577)</f>
        <v>14</v>
      </c>
      <c r="D577" s="58" t="str">
        <f>IF('AYIRA MINI MART FINAL MENU - Pr'!D577="", "", 'AYIRA MINI MART FINAL MENU - Pr'!D577)</f>
        <v>لا تقاوم طعم Takis Zombie Habanero &amp; Cucumber Tortilla Chips, Artificially Flavoured 92.3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7" s="56" t="str">
        <f>IF('AYIRA MINI MART FINAL MENU - Pr'!E577="", "", 'AYIRA MINI MART FINAL MENU - Pr'!E577)</f>
        <v/>
      </c>
      <c r="F577" s="56" t="str">
        <f>IF('AYIRA MINI MART FINAL MENU - Pr'!F577="", "", 'AYIRA MINI MART FINAL MENU - Pr'!F577)</f>
        <v/>
      </c>
      <c r="G577" s="56" t="str">
        <f>IF('AYIRA MINI MART FINAL MENU - Pr'!G577="", "", 'AYIRA MINI MART FINAL MENU - Pr'!G577)</f>
        <v/>
      </c>
      <c r="H577" s="56" t="str">
        <f>IF('AYIRA MINI MART FINAL MENU - Pr'!H577="", "", 'AYIRA MINI MART FINAL MENU - Pr'!H577)</f>
        <v/>
      </c>
      <c r="I577" s="56" t="str">
        <f>IF('AYIRA MINI MART FINAL MENU - Pr'!I577="", "", 'AYIRA MINI MART FINAL MENU - Pr'!I577)</f>
        <v/>
      </c>
      <c r="J577" s="56" t="str">
        <f>IFERROR(__xludf.DUMMYFUNCTION("IF('AYIRA MINI MART FINAL MENU - Pr'!J577="""", """", GOOGLETRANSLATE('AYIRA MINI MART FINAL MENU - Pr'!J577, ""en"", ""ar""))"),"إنتهى من المخزن")</f>
        <v>إنتهى من المخزن</v>
      </c>
      <c r="K577" s="56" t="str">
        <f>IF('AYIRA MINI MART FINAL MENU - Pr'!K577="", "", 'AYIRA MINI MART FINAL MENU - Pr'!K577)</f>
        <v/>
      </c>
      <c r="L577" s="56" t="str">
        <f>IF('AYIRA MINI MART FINAL MENU - Pr'!L577="", "", 'AYIRA MINI MART FINAL MENU - Pr'!L577)</f>
        <v/>
      </c>
      <c r="M577" s="56" t="str">
        <f>IF('AYIRA MINI MART FINAL MENU - Pr'!M577="", "", 'AYIRA MINI MART FINAL MENU - Pr'!M577)</f>
        <v/>
      </c>
      <c r="N577" s="56" t="str">
        <f>IF('AYIRA MINI MART FINAL MENU - Pr'!N577="", "", 'AYIRA MINI MART FINAL MENU - Pr'!N577)</f>
        <v/>
      </c>
      <c r="O577" s="57"/>
      <c r="P577" s="57"/>
      <c r="Q577" s="57"/>
      <c r="R577" s="57"/>
      <c r="S577" s="57"/>
      <c r="T577" s="57"/>
      <c r="U577" s="57"/>
      <c r="V577" s="57"/>
      <c r="W577" s="57"/>
      <c r="X577" s="57"/>
      <c r="Y577" s="57"/>
      <c r="Z577" s="57"/>
    </row>
    <row r="578">
      <c r="A578" s="56" t="str">
        <f>IFERROR(__xludf.DUMMYFUNCTION("IF('AYIRA MINI MART FINAL MENU - Pr'!A578="""", """", IF(LEN(TRIM(REGEXREPLACE(REGEXREPLACE('AYIRA MINI MART FINAL MENU - Pr'!A578, ""^[^\x{0600}-\x{06FF}]+"", """"), ""^[-–\s]+"", """")))&gt;0, TRIM(REGEXREPLACE(REGEXREPLACE('AYIRA MINI MART FINAL MENU - Pr"&amp;"'!A578, ""^[^\x{0600}-\x{06FF}]+"", """"), ""^[-–\s]+"", """")), GOOGLETRANSLATE('AYIRA MINI MART FINAL MENU - Pr'!A578, ""en"", ""ar"")))"),"حار Chili Pepper &amp; Lime Tortilla Chips, Artificially Flavoured 113.4 غرام")</f>
        <v>حار Chili Pepper &amp; Lime Tortilla Chips, Artificially Flavoured 113.4 غرام</v>
      </c>
      <c r="B578" s="56" t="str">
        <f>IFERROR(__xludf.DUMMYFUNCTION("IF('AYIRA MINI MART FINAL MENU - Pr'!B578="""", """", IF(LEN(TRIM(REGEXREPLACE(REGEXREPLACE('AYIRA MINI MART FINAL MENU - Pr'!B578, ""^[^\x{0600}-\x{06FF}]+"", """"), ""^[-–\s]+"", """")))&gt;0, TRIM(REGEXREPLACE(REGEXREPLACE('AYIRA MINI MART FINAL MENU - Pr"&amp;"'!B578, ""^[^\x{0600}-\x{06FF}]+"", """"), ""^[-–\s]+"", """")), GOOGLETRANSLATE('AYIRA MINI MART FINAL MENU - Pr'!B578, ""en"", ""ar"")))"),"الشيبس والمقرمشات")</f>
        <v>الشيبس والمقرمشات</v>
      </c>
      <c r="C578" s="58">
        <f>IF('AYIRA MINI MART FINAL MENU - Pr'!C578="", "", 'AYIRA MINI MART FINAL MENU - Pr'!C578)</f>
        <v>23</v>
      </c>
      <c r="D578" s="58" t="str">
        <f>IF('AYIRA MINI MART FINAL MENU - Pr'!D578="", "", 'AYIRA MINI MART FINAL MENU - Pr'!D578)</f>
        <v>لا تقاوم طعم Takis Blue Heat Hot Chili Pepper &amp; Lime Tortilla Chips, Artificially Flavoured 113.4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8" s="56" t="str">
        <f>IF('AYIRA MINI MART FINAL MENU - Pr'!E578="", "", 'AYIRA MINI MART FINAL MENU - Pr'!E578)</f>
        <v/>
      </c>
      <c r="F578" s="56" t="str">
        <f>IF('AYIRA MINI MART FINAL MENU - Pr'!F578="", "", 'AYIRA MINI MART FINAL MENU - Pr'!F578)</f>
        <v/>
      </c>
      <c r="G578" s="56" t="str">
        <f>IF('AYIRA MINI MART FINAL MENU - Pr'!G578="", "", 'AYIRA MINI MART FINAL MENU - Pr'!G578)</f>
        <v/>
      </c>
      <c r="H578" s="56" t="str">
        <f>IF('AYIRA MINI MART FINAL MENU - Pr'!H578="", "", 'AYIRA MINI MART FINAL MENU - Pr'!H578)</f>
        <v/>
      </c>
      <c r="I578" s="56" t="str">
        <f>IF('AYIRA MINI MART FINAL MENU - Pr'!I578="", "", 'AYIRA MINI MART FINAL MENU - Pr'!I578)</f>
        <v/>
      </c>
      <c r="J578" s="56" t="str">
        <f>IFERROR(__xludf.DUMMYFUNCTION("IF('AYIRA MINI MART FINAL MENU - Pr'!J578="""", """", GOOGLETRANSLATE('AYIRA MINI MART FINAL MENU - Pr'!J578, ""en"", ""ar""))"),"إنتهى من المخزن")</f>
        <v>إنتهى من المخزن</v>
      </c>
      <c r="K578" s="56" t="str">
        <f>IF('AYIRA MINI MART FINAL MENU - Pr'!K578="", "", 'AYIRA MINI MART FINAL MENU - Pr'!K578)</f>
        <v/>
      </c>
      <c r="L578" s="56" t="str">
        <f>IF('AYIRA MINI MART FINAL MENU - Pr'!L578="", "", 'AYIRA MINI MART FINAL MENU - Pr'!L578)</f>
        <v/>
      </c>
      <c r="M578" s="56" t="str">
        <f>IF('AYIRA MINI MART FINAL MENU - Pr'!M578="", "", 'AYIRA MINI MART FINAL MENU - Pr'!M578)</f>
        <v/>
      </c>
      <c r="N578" s="56" t="str">
        <f>IF('AYIRA MINI MART FINAL MENU - Pr'!N578="", "", 'AYIRA MINI MART FINAL MENU - Pr'!N578)</f>
        <v/>
      </c>
      <c r="O578" s="57"/>
      <c r="P578" s="57"/>
      <c r="Q578" s="57"/>
      <c r="R578" s="57"/>
      <c r="S578" s="57"/>
      <c r="T578" s="57"/>
      <c r="U578" s="57"/>
      <c r="V578" s="57"/>
      <c r="W578" s="57"/>
      <c r="X578" s="57"/>
      <c r="Y578" s="57"/>
      <c r="Z578" s="57"/>
    </row>
    <row r="579">
      <c r="A579" s="56" t="str">
        <f>IFERROR(__xludf.DUMMYFUNCTION("IF('AYIRA MINI MART FINAL MENU - Pr'!A579="""", """", IF(LEN(TRIM(REGEXREPLACE(REGEXREPLACE('AYIRA MINI MART FINAL MENU - Pr'!A579, ""^[^\x{0600}-\x{06FF}]+"", """"), ""^[-–\s]+"", """")))&gt;0, TRIM(REGEXREPLACE(REGEXREPLACE('AYIRA MINI MART FINAL MENU - Pr"&amp;"'!A579, ""^[^\x{0600}-\x{06FF}]+"", """"), ""^[-–\s]+"", """")), GOOGLETRANSLATE('AYIRA MINI MART FINAL MENU - Pr'!A579, ""en"", ""ar"")))"),"كاتشاب 12 غرام")</f>
        <v>كاتشاب 12 غرام</v>
      </c>
      <c r="B579" s="56" t="str">
        <f>IFERROR(__xludf.DUMMYFUNCTION("IF('AYIRA MINI MART FINAL MENU - Pr'!B579="""", """", IF(LEN(TRIM(REGEXREPLACE(REGEXREPLACE('AYIRA MINI MART FINAL MENU - Pr'!B579, ""^[^\x{0600}-\x{06FF}]+"", """"), ""^[-–\s]+"", """")))&gt;0, TRIM(REGEXREPLACE(REGEXREPLACE('AYIRA MINI MART FINAL MENU - Pr"&amp;"'!B579, ""^[^\x{0600}-\x{06FF}]+"", """"), ""^[-–\s]+"", """")), GOOGLETRANSLATE('AYIRA MINI MART FINAL MENU - Pr'!B579, ""en"", ""ar"")))"),"الشيبس والمقرمشات")</f>
        <v>الشيبس والمقرمشات</v>
      </c>
      <c r="C579" s="58">
        <f>IF('AYIRA MINI MART FINAL MENU - Pr'!C579="", "", 'AYIRA MINI MART FINAL MENU - Pr'!C579)</f>
        <v>1</v>
      </c>
      <c r="D579" s="58" t="str">
        <f>IF('AYIRA MINI MART FINAL MENU - Pr'!D579="", "", 'AYIRA MINI MART FINAL MENU - Pr'!D579)</f>
        <v>لا تقاوم طعم ABC Ketchup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79" s="56" t="str">
        <f>IF('AYIRA MINI MART FINAL MENU - Pr'!E579="", "", 'AYIRA MINI MART FINAL MENU - Pr'!E579)</f>
        <v/>
      </c>
      <c r="F579" s="56" t="str">
        <f>IF('AYIRA MINI MART FINAL MENU - Pr'!F579="", "", 'AYIRA MINI MART FINAL MENU - Pr'!F579)</f>
        <v/>
      </c>
      <c r="G579" s="56" t="str">
        <f>IF('AYIRA MINI MART FINAL MENU - Pr'!G579="", "", 'AYIRA MINI MART FINAL MENU - Pr'!G579)</f>
        <v/>
      </c>
      <c r="H579" s="56" t="str">
        <f>IF('AYIRA MINI MART FINAL MENU - Pr'!H579="", "", 'AYIRA MINI MART FINAL MENU - Pr'!H579)</f>
        <v/>
      </c>
      <c r="I579" s="56" t="str">
        <f>IF('AYIRA MINI MART FINAL MENU - Pr'!I579="", "", 'AYIRA MINI MART FINAL MENU - Pr'!I579)</f>
        <v/>
      </c>
      <c r="J579" s="56" t="str">
        <f>IFERROR(__xludf.DUMMYFUNCTION("IF('AYIRA MINI MART FINAL MENU - Pr'!J579="""", """", GOOGLETRANSLATE('AYIRA MINI MART FINAL MENU - Pr'!J579, ""en"", ""ar""))"),"يعرض")</f>
        <v>يعرض</v>
      </c>
      <c r="K579" s="56" t="str">
        <f>IF('AYIRA MINI MART FINAL MENU - Pr'!K579="", "", 'AYIRA MINI MART FINAL MENU - Pr'!K579)</f>
        <v/>
      </c>
      <c r="L579" s="56" t="str">
        <f>IF('AYIRA MINI MART FINAL MENU - Pr'!L579="", "", 'AYIRA MINI MART FINAL MENU - Pr'!L579)</f>
        <v/>
      </c>
      <c r="M579" s="56" t="str">
        <f>IF('AYIRA MINI MART FINAL MENU - Pr'!M579="", "", 'AYIRA MINI MART FINAL MENU - Pr'!M579)</f>
        <v/>
      </c>
      <c r="N579" s="56" t="str">
        <f>IF('AYIRA MINI MART FINAL MENU - Pr'!N579="", "", 'AYIRA MINI MART FINAL MENU - Pr'!N579)</f>
        <v/>
      </c>
      <c r="O579" s="57"/>
      <c r="P579" s="57"/>
      <c r="Q579" s="57"/>
      <c r="R579" s="57"/>
      <c r="S579" s="57"/>
      <c r="T579" s="57"/>
      <c r="U579" s="57"/>
      <c r="V579" s="57"/>
      <c r="W579" s="57"/>
      <c r="X579" s="57"/>
      <c r="Y579" s="57"/>
      <c r="Z579" s="57"/>
    </row>
    <row r="580">
      <c r="A580" s="56" t="str">
        <f>IFERROR(__xludf.DUMMYFUNCTION("IF('AYIRA MINI MART FINAL MENU - Pr'!A580="""", """", IF(LEN(TRIM(REGEXREPLACE(REGEXREPLACE('AYIRA MINI MART FINAL MENU - Pr'!A580, ""^[^\x{0600}-\x{06FF}]+"", """"), ""^[-–\s]+"", """")))&gt;0, TRIM(REGEXREPLACE(REGEXREPLACE('AYIRA MINI MART FINAL MENU - Pr"&amp;"'!A580, ""^[^\x{0600}-\x{06FF}]+"", """"), ""^[-–\s]+"", """")), GOOGLETRANSLATE('AYIRA MINI MART FINAL MENU - Pr'!A580, ""en"", ""ar"")))"),"شيبس Oman Chili Flavour 15 غرام")</f>
        <v>شيبس Oman Chili Flavour 15 غرام</v>
      </c>
      <c r="B580" s="56" t="str">
        <f>IFERROR(__xludf.DUMMYFUNCTION("IF('AYIRA MINI MART FINAL MENU - Pr'!B580="""", """", IF(LEN(TRIM(REGEXREPLACE(REGEXREPLACE('AYIRA MINI MART FINAL MENU - Pr'!B580, ""^[^\x{0600}-\x{06FF}]+"", """"), ""^[-–\s]+"", """")))&gt;0, TRIM(REGEXREPLACE(REGEXREPLACE('AYIRA MINI MART FINAL MENU - Pr"&amp;"'!B580, ""^[^\x{0600}-\x{06FF}]+"", """"), ""^[-–\s]+"", """")), GOOGLETRANSLATE('AYIRA MINI MART FINAL MENU - Pr'!B580, ""en"", ""ar"")))"),"الشيبس والمقرمشات")</f>
        <v>الشيبس والمقرمشات</v>
      </c>
      <c r="C580" s="58">
        <f>IF('AYIRA MINI MART FINAL MENU - Pr'!C580="", "", 'AYIRA MINI MART FINAL MENU - Pr'!C580)</f>
        <v>1</v>
      </c>
      <c r="D580" s="58" t="str">
        <f>IF('AYIRA MINI MART FINAL MENU - Pr'!D580="", "", 'AYIRA MINI MART FINAL MENU - Pr'!D580)</f>
        <v>لا تقاوم طعم Chips Oman Chili Flavour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80" s="56" t="str">
        <f>IF('AYIRA MINI MART FINAL MENU - Pr'!E580="", "", 'AYIRA MINI MART FINAL MENU - Pr'!E580)</f>
        <v/>
      </c>
      <c r="F580" s="56" t="str">
        <f>IF('AYIRA MINI MART FINAL MENU - Pr'!F580="", "", 'AYIRA MINI MART FINAL MENU - Pr'!F580)</f>
        <v/>
      </c>
      <c r="G580" s="56" t="str">
        <f>IF('AYIRA MINI MART FINAL MENU - Pr'!G580="", "", 'AYIRA MINI MART FINAL MENU - Pr'!G580)</f>
        <v/>
      </c>
      <c r="H580" s="56" t="str">
        <f>IF('AYIRA MINI MART FINAL MENU - Pr'!H580="", "", 'AYIRA MINI MART FINAL MENU - Pr'!H580)</f>
        <v/>
      </c>
      <c r="I580" s="56" t="str">
        <f>IF('AYIRA MINI MART FINAL MENU - Pr'!I580="", "", 'AYIRA MINI MART FINAL MENU - Pr'!I580)</f>
        <v/>
      </c>
      <c r="J580" s="56" t="str">
        <f>IFERROR(__xludf.DUMMYFUNCTION("IF('AYIRA MINI MART FINAL MENU - Pr'!J580="""", """", GOOGLETRANSLATE('AYIRA MINI MART FINAL MENU - Pr'!J580, ""en"", ""ar""))"),"يعرض")</f>
        <v>يعرض</v>
      </c>
      <c r="K580" s="56" t="str">
        <f>IF('AYIRA MINI MART FINAL MENU - Pr'!K580="", "", 'AYIRA MINI MART FINAL MENU - Pr'!K580)</f>
        <v/>
      </c>
      <c r="L580" s="56" t="str">
        <f>IF('AYIRA MINI MART FINAL MENU - Pr'!L580="", "", 'AYIRA MINI MART FINAL MENU - Pr'!L580)</f>
        <v/>
      </c>
      <c r="M580" s="56" t="str">
        <f>IF('AYIRA MINI MART FINAL MENU - Pr'!M580="", "", 'AYIRA MINI MART FINAL MENU - Pr'!M580)</f>
        <v/>
      </c>
      <c r="N580" s="56" t="str">
        <f>IF('AYIRA MINI MART FINAL MENU - Pr'!N580="", "", 'AYIRA MINI MART FINAL MENU - Pr'!N580)</f>
        <v/>
      </c>
      <c r="O580" s="57"/>
      <c r="P580" s="57"/>
      <c r="Q580" s="57"/>
      <c r="R580" s="57"/>
      <c r="S580" s="57"/>
      <c r="T580" s="57"/>
      <c r="U580" s="57"/>
      <c r="V580" s="57"/>
      <c r="W580" s="57"/>
      <c r="X580" s="57"/>
      <c r="Y580" s="57"/>
      <c r="Z580" s="57"/>
    </row>
    <row r="581">
      <c r="A581" s="56" t="str">
        <f>IFERROR(__xludf.DUMMYFUNCTION("IF('AYIRA MINI MART FINAL MENU - Pr'!A581="""", """", IF(LEN(TRIM(REGEXREPLACE(REGEXREPLACE('AYIRA MINI MART FINAL MENU - Pr'!A581, ""^[^\x{0600}-\x{06FF}]+"", """"), ""^[-–\s]+"", """")))&gt;0, TRIM(REGEXREPLACE(REGEXREPLACE('AYIRA MINI MART FINAL MENU - Pr"&amp;"'!A581, ""^[^\x{0600}-\x{06FF}]+"", """"), ""^[-–\s]+"", """")), GOOGLETRANSLATE('AYIRA MINI MART FINAL MENU - Pr'!A581, ""en"", ""ar"")))"),"شيبس 15 غرام")</f>
        <v>شيبس 15 غرام</v>
      </c>
      <c r="B581" s="56" t="str">
        <f>IFERROR(__xludf.DUMMYFUNCTION("IF('AYIRA MINI MART FINAL MENU - Pr'!B581="""", """", IF(LEN(TRIM(REGEXREPLACE(REGEXREPLACE('AYIRA MINI MART FINAL MENU - Pr'!B581, ""^[^\x{0600}-\x{06FF}]+"", """"), ""^[-–\s]+"", """")))&gt;0, TRIM(REGEXREPLACE(REGEXREPLACE('AYIRA MINI MART FINAL MENU - Pr"&amp;"'!B581, ""^[^\x{0600}-\x{06FF}]+"", """"), ""^[-–\s]+"", """")), GOOGLETRANSLATE('AYIRA MINI MART FINAL MENU - Pr'!B581, ""en"", ""ar"")))"),"الشيبس والمقرمشات")</f>
        <v>الشيبس والمقرمشات</v>
      </c>
      <c r="C581" s="58">
        <f>IF('AYIRA MINI MART FINAL MENU - Pr'!C581="", "", 'AYIRA MINI MART FINAL MENU - Pr'!C581)</f>
        <v>1</v>
      </c>
      <c r="D581" s="58" t="str">
        <f>IF('AYIRA MINI MART FINAL MENU - Pr'!D581="", "", 'AYIRA MINI MART FINAL MENU - Pr'!D581)</f>
        <v>لا تقاوم طعم Salad Chips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81" s="56" t="str">
        <f>IF('AYIRA MINI MART FINAL MENU - Pr'!E581="", "", 'AYIRA MINI MART FINAL MENU - Pr'!E581)</f>
        <v/>
      </c>
      <c r="F581" s="56" t="str">
        <f>IF('AYIRA MINI MART FINAL MENU - Pr'!F581="", "", 'AYIRA MINI MART FINAL MENU - Pr'!F581)</f>
        <v/>
      </c>
      <c r="G581" s="56" t="str">
        <f>IF('AYIRA MINI MART FINAL MENU - Pr'!G581="", "", 'AYIRA MINI MART FINAL MENU - Pr'!G581)</f>
        <v/>
      </c>
      <c r="H581" s="56" t="str">
        <f>IF('AYIRA MINI MART FINAL MENU - Pr'!H581="", "", 'AYIRA MINI MART FINAL MENU - Pr'!H581)</f>
        <v/>
      </c>
      <c r="I581" s="56" t="str">
        <f>IF('AYIRA MINI MART FINAL MENU - Pr'!I581="", "", 'AYIRA MINI MART FINAL MENU - Pr'!I581)</f>
        <v/>
      </c>
      <c r="J581" s="56" t="str">
        <f>IFERROR(__xludf.DUMMYFUNCTION("IF('AYIRA MINI MART FINAL MENU - Pr'!J581="""", """", GOOGLETRANSLATE('AYIRA MINI MART FINAL MENU - Pr'!J581, ""en"", ""ar""))"),"يعرض")</f>
        <v>يعرض</v>
      </c>
      <c r="K581" s="56" t="str">
        <f>IF('AYIRA MINI MART FINAL MENU - Pr'!K581="", "", 'AYIRA MINI MART FINAL MENU - Pr'!K581)</f>
        <v/>
      </c>
      <c r="L581" s="56" t="str">
        <f>IF('AYIRA MINI MART FINAL MENU - Pr'!L581="", "", 'AYIRA MINI MART FINAL MENU - Pr'!L581)</f>
        <v/>
      </c>
      <c r="M581" s="56" t="str">
        <f>IF('AYIRA MINI MART FINAL MENU - Pr'!M581="", "", 'AYIRA MINI MART FINAL MENU - Pr'!M581)</f>
        <v/>
      </c>
      <c r="N581" s="56" t="str">
        <f>IF('AYIRA MINI MART FINAL MENU - Pr'!N581="", "", 'AYIRA MINI MART FINAL MENU - Pr'!N581)</f>
        <v/>
      </c>
      <c r="O581" s="57"/>
      <c r="P581" s="57"/>
      <c r="Q581" s="57"/>
      <c r="R581" s="57"/>
      <c r="S581" s="57"/>
      <c r="T581" s="57"/>
      <c r="U581" s="57"/>
      <c r="V581" s="57"/>
      <c r="W581" s="57"/>
      <c r="X581" s="57"/>
      <c r="Y581" s="57"/>
      <c r="Z581" s="57"/>
    </row>
    <row r="582">
      <c r="A582" s="56" t="str">
        <f>IFERROR(__xludf.DUMMYFUNCTION("IF('AYIRA MINI MART FINAL MENU - Pr'!A582="""", """", IF(LEN(TRIM(REGEXREPLACE(REGEXREPLACE('AYIRA MINI MART FINAL MENU - Pr'!A582, ""^[^\x{0600}-\x{06FF}]+"", """"), ""^[-–\s]+"", """")))&gt;0, TRIM(REGEXREPLACE(REGEXREPLACE('AYIRA MINI MART FINAL MENU - Pr"&amp;"'!A582, ""^[^\x{0600}-\x{06FF}]+"", """"), ""^[-–\s]+"", """")), GOOGLETRANSLATE('AYIRA MINI MART FINAL MENU - Pr'!A582, ""en"", ""ar"")))"),"ميني Takis Fuego حار Chili Pepper &amp; Lime Artificially Flavoured Tortilla شيبس 35 غرام")</f>
        <v>ميني Takis Fuego حار Chili Pepper &amp; Lime Artificially Flavoured Tortilla شيبس 35 غرام</v>
      </c>
      <c r="B582" s="56" t="str">
        <f>IFERROR(__xludf.DUMMYFUNCTION("IF('AYIRA MINI MART FINAL MENU - Pr'!B582="""", """", IF(LEN(TRIM(REGEXREPLACE(REGEXREPLACE('AYIRA MINI MART FINAL MENU - Pr'!B582, ""^[^\x{0600}-\x{06FF}]+"", """"), ""^[-–\s]+"", """")))&gt;0, TRIM(REGEXREPLACE(REGEXREPLACE('AYIRA MINI MART FINAL MENU - Pr"&amp;"'!B582, ""^[^\x{0600}-\x{06FF}]+"", """"), ""^[-–\s]+"", """")), GOOGLETRANSLATE('AYIRA MINI MART FINAL MENU - Pr'!B582, ""en"", ""ar"")))"),"الشيبس والمقرمشات")</f>
        <v>الشيبس والمقرمشات</v>
      </c>
      <c r="C582" s="58">
        <f>IF('AYIRA MINI MART FINAL MENU - Pr'!C582="", "", 'AYIRA MINI MART FINAL MENU - Pr'!C582)</f>
        <v>3.5</v>
      </c>
      <c r="D582" s="58" t="str">
        <f>IF('AYIRA MINI MART FINAL MENU - Pr'!D582="", "", 'AYIRA MINI MART FINAL MENU - Pr'!D582)</f>
        <v>لا تقاوم طعم Mini Takis Fuego Hot Chili Pepper &amp; Lime Artificially Flavoured Tortilla Chips 35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82" s="56" t="str">
        <f>IF('AYIRA MINI MART FINAL MENU - Pr'!E582="", "", 'AYIRA MINI MART FINAL MENU - Pr'!E582)</f>
        <v/>
      </c>
      <c r="F582" s="56" t="str">
        <f>IF('AYIRA MINI MART FINAL MENU - Pr'!F582="", "", 'AYIRA MINI MART FINAL MENU - Pr'!F582)</f>
        <v/>
      </c>
      <c r="G582" s="56" t="str">
        <f>IF('AYIRA MINI MART FINAL MENU - Pr'!G582="", "", 'AYIRA MINI MART FINAL MENU - Pr'!G582)</f>
        <v/>
      </c>
      <c r="H582" s="56" t="str">
        <f>IF('AYIRA MINI MART FINAL MENU - Pr'!H582="", "", 'AYIRA MINI MART FINAL MENU - Pr'!H582)</f>
        <v/>
      </c>
      <c r="I582" s="56" t="str">
        <f>IF('AYIRA MINI MART FINAL MENU - Pr'!I582="", "", 'AYIRA MINI MART FINAL MENU - Pr'!I582)</f>
        <v/>
      </c>
      <c r="J582" s="56" t="str">
        <f>IFERROR(__xludf.DUMMYFUNCTION("IF('AYIRA MINI MART FINAL MENU - Pr'!J582="""", """", GOOGLETRANSLATE('AYIRA MINI MART FINAL MENU - Pr'!J582, ""en"", ""ar""))"),"إنتهى من المخزن")</f>
        <v>إنتهى من المخزن</v>
      </c>
      <c r="K582" s="56" t="str">
        <f>IF('AYIRA MINI MART FINAL MENU - Pr'!K582="", "", 'AYIRA MINI MART FINAL MENU - Pr'!K582)</f>
        <v/>
      </c>
      <c r="L582" s="56" t="str">
        <f>IF('AYIRA MINI MART FINAL MENU - Pr'!L582="", "", 'AYIRA MINI MART FINAL MENU - Pr'!L582)</f>
        <v/>
      </c>
      <c r="M582" s="56" t="str">
        <f>IF('AYIRA MINI MART FINAL MENU - Pr'!M582="", "", 'AYIRA MINI MART FINAL MENU - Pr'!M582)</f>
        <v/>
      </c>
      <c r="N582" s="56" t="str">
        <f>IF('AYIRA MINI MART FINAL MENU - Pr'!N582="", "", 'AYIRA MINI MART FINAL MENU - Pr'!N582)</f>
        <v/>
      </c>
      <c r="O582" s="57"/>
      <c r="P582" s="57"/>
      <c r="Q582" s="57"/>
      <c r="R582" s="57"/>
      <c r="S582" s="57"/>
      <c r="T582" s="57"/>
      <c r="U582" s="57"/>
      <c r="V582" s="57"/>
      <c r="W582" s="57"/>
      <c r="X582" s="57"/>
      <c r="Y582" s="57"/>
      <c r="Z582" s="57"/>
    </row>
    <row r="583">
      <c r="A583" s="56" t="str">
        <f>IFERROR(__xludf.DUMMYFUNCTION("IF('AYIRA MINI MART FINAL MENU - Pr'!A583="""", """", IF(LEN(TRIM(REGEXREPLACE(REGEXREPLACE('AYIRA MINI MART FINAL MENU - Pr'!A583, ""^[^\x{0600}-\x{06FF}]+"", """"), ""^[-–\s]+"", """")))&gt;0, TRIM(REGEXREPLACE(REGEXREPLACE('AYIRA MINI MART FINAL MENU - Pr"&amp;"'!A583, ""^[^\x{0600}-\x{06FF}]+"", """"), ""^[-–\s]+"", """")), GOOGLETRANSLATE('AYIRA MINI MART FINAL MENU - Pr'!A583, ""en"", ""ar"")))"),"كاتشاب 60 غرام")</f>
        <v>كاتشاب 60 غرام</v>
      </c>
      <c r="B583" s="56" t="str">
        <f>IFERROR(__xludf.DUMMYFUNCTION("IF('AYIRA MINI MART FINAL MENU - Pr'!B583="""", """", IF(LEN(TRIM(REGEXREPLACE(REGEXREPLACE('AYIRA MINI MART FINAL MENU - Pr'!B583, ""^[^\x{0600}-\x{06FF}]+"", """"), ""^[-–\s]+"", """")))&gt;0, TRIM(REGEXREPLACE(REGEXREPLACE('AYIRA MINI MART FINAL MENU - Pr"&amp;"'!B583, ""^[^\x{0600}-\x{06FF}]+"", """"), ""^[-–\s]+"", """")), GOOGLETRANSLATE('AYIRA MINI MART FINAL MENU - Pr'!B583, ""en"", ""ar"")))"),"الشيبس والمقرمشات")</f>
        <v>الشيبس والمقرمشات</v>
      </c>
      <c r="C583" s="58">
        <f>IF('AYIRA MINI MART FINAL MENU - Pr'!C583="", "", 'AYIRA MINI MART FINAL MENU - Pr'!C583)</f>
        <v>5</v>
      </c>
      <c r="D583" s="58" t="str">
        <f>IF('AYIRA MINI MART FINAL MENU - Pr'!D583="", "", 'AYIRA MINI MART FINAL MENU - Pr'!D583)</f>
        <v>لا تقاوم طعم Raja Potatos Crunchies Ketchup 60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83" s="56" t="str">
        <f>IF('AYIRA MINI MART FINAL MENU - Pr'!E583="", "", 'AYIRA MINI MART FINAL MENU - Pr'!E583)</f>
        <v/>
      </c>
      <c r="F583" s="56" t="str">
        <f>IF('AYIRA MINI MART FINAL MENU - Pr'!F583="", "", 'AYIRA MINI MART FINAL MENU - Pr'!F583)</f>
        <v/>
      </c>
      <c r="G583" s="56" t="str">
        <f>IF('AYIRA MINI MART FINAL MENU - Pr'!G583="", "", 'AYIRA MINI MART FINAL MENU - Pr'!G583)</f>
        <v/>
      </c>
      <c r="H583" s="56" t="str">
        <f>IF('AYIRA MINI MART FINAL MENU - Pr'!H583="", "", 'AYIRA MINI MART FINAL MENU - Pr'!H583)</f>
        <v/>
      </c>
      <c r="I583" s="56" t="str">
        <f>IF('AYIRA MINI MART FINAL MENU - Pr'!I583="", "", 'AYIRA MINI MART FINAL MENU - Pr'!I583)</f>
        <v/>
      </c>
      <c r="J583" s="56" t="str">
        <f>IFERROR(__xludf.DUMMYFUNCTION("IF('AYIRA MINI MART FINAL MENU - Pr'!J583="""", """", GOOGLETRANSLATE('AYIRA MINI MART FINAL MENU - Pr'!J583, ""en"", ""ar""))"),"يعرض")</f>
        <v>يعرض</v>
      </c>
      <c r="K583" s="56" t="str">
        <f>IF('AYIRA MINI MART FINAL MENU - Pr'!K583="", "", 'AYIRA MINI MART FINAL MENU - Pr'!K583)</f>
        <v/>
      </c>
      <c r="L583" s="56" t="str">
        <f>IF('AYIRA MINI MART FINAL MENU - Pr'!L583="", "", 'AYIRA MINI MART FINAL MENU - Pr'!L583)</f>
        <v/>
      </c>
      <c r="M583" s="56" t="str">
        <f>IF('AYIRA MINI MART FINAL MENU - Pr'!M583="", "", 'AYIRA MINI MART FINAL MENU - Pr'!M583)</f>
        <v/>
      </c>
      <c r="N583" s="56" t="str">
        <f>IF('AYIRA MINI MART FINAL MENU - Pr'!N583="", "", 'AYIRA MINI MART FINAL MENU - Pr'!N583)</f>
        <v/>
      </c>
      <c r="O583" s="57"/>
      <c r="P583" s="57"/>
      <c r="Q583" s="57"/>
      <c r="R583" s="57"/>
      <c r="S583" s="57"/>
      <c r="T583" s="57"/>
      <c r="U583" s="57"/>
      <c r="V583" s="57"/>
      <c r="W583" s="57"/>
      <c r="X583" s="57"/>
      <c r="Y583" s="57"/>
      <c r="Z583" s="57"/>
    </row>
    <row r="584">
      <c r="A584" s="56" t="str">
        <f>IFERROR(__xludf.DUMMYFUNCTION("IF('AYIRA MINI MART FINAL MENU - Pr'!A584="""", """", IF(LEN(TRIM(REGEXREPLACE(REGEXREPLACE('AYIRA MINI MART FINAL MENU - Pr'!A584, ""^[^\x{0600}-\x{06FF}]+"", """"), ""^[-–\s]+"", """")))&gt;0, TRIM(REGEXREPLACE(REGEXREPLACE('AYIRA MINI MART FINAL MENU - Pr"&amp;"'!A584, ""^[^\x{0600}-\x{06FF}]+"", """"), ""^[-–\s]+"", """")), GOOGLETRANSLATE('AYIRA MINI MART FINAL MENU - Pr'!A584, ""en"", ""ar"")))"),"حار Shrimp 60 غرام")</f>
        <v>حار Shrimp 60 غرام</v>
      </c>
      <c r="B584" s="56" t="str">
        <f>IFERROR(__xludf.DUMMYFUNCTION("IF('AYIRA MINI MART FINAL MENU - Pr'!B584="""", """", IF(LEN(TRIM(REGEXREPLACE(REGEXREPLACE('AYIRA MINI MART FINAL MENU - Pr'!B584, ""^[^\x{0600}-\x{06FF}]+"", """"), ""^[-–\s]+"", """")))&gt;0, TRIM(REGEXREPLACE(REGEXREPLACE('AYIRA MINI MART FINAL MENU - Pr"&amp;"'!B584, ""^[^\x{0600}-\x{06FF}]+"", """"), ""^[-–\s]+"", """")), GOOGLETRANSLATE('AYIRA MINI MART FINAL MENU - Pr'!B584, ""en"", ""ar"")))"),"الشيبس والمقرمشات")</f>
        <v>الشيبس والمقرمشات</v>
      </c>
      <c r="C584" s="58">
        <f>IF('AYIRA MINI MART FINAL MENU - Pr'!C584="", "", 'AYIRA MINI MART FINAL MENU - Pr'!C584)</f>
        <v>2.5</v>
      </c>
      <c r="D584" s="58" t="str">
        <f>IF('AYIRA MINI MART FINAL MENU - Pr'!D584="", "", 'AYIRA MINI MART FINAL MENU - Pr'!D584)</f>
        <v>لا تقاوم طعم Chilli Out Fire Fingers Spicy Shrimp 60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84" s="56" t="str">
        <f>IF('AYIRA MINI MART FINAL MENU - Pr'!E584="", "", 'AYIRA MINI MART FINAL MENU - Pr'!E584)</f>
        <v/>
      </c>
      <c r="F584" s="56" t="str">
        <f>IF('AYIRA MINI MART FINAL MENU - Pr'!F584="", "", 'AYIRA MINI MART FINAL MENU - Pr'!F584)</f>
        <v/>
      </c>
      <c r="G584" s="56" t="str">
        <f>IF('AYIRA MINI MART FINAL MENU - Pr'!G584="", "", 'AYIRA MINI MART FINAL MENU - Pr'!G584)</f>
        <v/>
      </c>
      <c r="H584" s="56" t="str">
        <f>IF('AYIRA MINI MART FINAL MENU - Pr'!H584="", "", 'AYIRA MINI MART FINAL MENU - Pr'!H584)</f>
        <v/>
      </c>
      <c r="I584" s="56" t="str">
        <f>IF('AYIRA MINI MART FINAL MENU - Pr'!I584="", "", 'AYIRA MINI MART FINAL MENU - Pr'!I584)</f>
        <v/>
      </c>
      <c r="J584" s="56" t="str">
        <f>IFERROR(__xludf.DUMMYFUNCTION("IF('AYIRA MINI MART FINAL MENU - Pr'!J584="""", """", GOOGLETRANSLATE('AYIRA MINI MART FINAL MENU - Pr'!J584, ""en"", ""ar""))"),"يعرض")</f>
        <v>يعرض</v>
      </c>
      <c r="K584" s="56" t="str">
        <f>IF('AYIRA MINI MART FINAL MENU - Pr'!K584="", "", 'AYIRA MINI MART FINAL MENU - Pr'!K584)</f>
        <v/>
      </c>
      <c r="L584" s="56" t="str">
        <f>IF('AYIRA MINI MART FINAL MENU - Pr'!L584="", "", 'AYIRA MINI MART FINAL MENU - Pr'!L584)</f>
        <v/>
      </c>
      <c r="M584" s="56" t="str">
        <f>IF('AYIRA MINI MART FINAL MENU - Pr'!M584="", "", 'AYIRA MINI MART FINAL MENU - Pr'!M584)</f>
        <v/>
      </c>
      <c r="N584" s="56" t="str">
        <f>IF('AYIRA MINI MART FINAL MENU - Pr'!N584="", "", 'AYIRA MINI MART FINAL MENU - Pr'!N584)</f>
        <v/>
      </c>
      <c r="O584" s="57"/>
      <c r="P584" s="57"/>
      <c r="Q584" s="57"/>
      <c r="R584" s="57"/>
      <c r="S584" s="57"/>
      <c r="T584" s="57"/>
      <c r="U584" s="57"/>
      <c r="V584" s="57"/>
      <c r="W584" s="57"/>
      <c r="X584" s="57"/>
      <c r="Y584" s="57"/>
      <c r="Z584" s="57"/>
    </row>
    <row r="585">
      <c r="A585" s="56" t="str">
        <f>IFERROR(__xludf.DUMMYFUNCTION("IF('AYIRA MINI MART FINAL MENU - Pr'!A585="""", """", IF(LEN(TRIM(REGEXREPLACE(REGEXREPLACE('AYIRA MINI MART FINAL MENU - Pr'!A585, ""^[^\x{0600}-\x{06FF}]+"", """"), ""^[-–\s]+"", """")))&gt;0, TRIM(REGEXREPLACE(REGEXREPLACE('AYIRA MINI MART FINAL MENU - Pr"&amp;"'!A585, ""^[^\x{0600}-\x{06FF}]+"", """"), ""^[-–\s]+"", """")), GOOGLETRANSLATE('AYIRA MINI MART FINAL MENU - Pr'!A585, ""en"", ""ar"")))"),"حار Chicken 60 غرام")</f>
        <v>حار Chicken 60 غرام</v>
      </c>
      <c r="B585" s="56" t="str">
        <f>IFERROR(__xludf.DUMMYFUNCTION("IF('AYIRA MINI MART FINAL MENU - Pr'!B585="""", """", IF(LEN(TRIM(REGEXREPLACE(REGEXREPLACE('AYIRA MINI MART FINAL MENU - Pr'!B585, ""^[^\x{0600}-\x{06FF}]+"", """"), ""^[-–\s]+"", """")))&gt;0, TRIM(REGEXREPLACE(REGEXREPLACE('AYIRA MINI MART FINAL MENU - Pr"&amp;"'!B585, ""^[^\x{0600}-\x{06FF}]+"", """"), ""^[-–\s]+"", """")), GOOGLETRANSLATE('AYIRA MINI MART FINAL MENU - Pr'!B585, ""en"", ""ar"")))"),"الشيبس والمقرمشات")</f>
        <v>الشيبس والمقرمشات</v>
      </c>
      <c r="C585" s="58">
        <f>IF('AYIRA MINI MART FINAL MENU - Pr'!C585="", "", 'AYIRA MINI MART FINAL MENU - Pr'!C585)</f>
        <v>2.5</v>
      </c>
      <c r="D585" s="58" t="str">
        <f>IF('AYIRA MINI MART FINAL MENU - Pr'!D585="", "", 'AYIRA MINI MART FINAL MENU - Pr'!D585)</f>
        <v>لا تقاوم طعم Chilli Out Fire Fingers Spicy Chicken 60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85" s="56" t="str">
        <f>IF('AYIRA MINI MART FINAL MENU - Pr'!E585="", "", 'AYIRA MINI MART FINAL MENU - Pr'!E585)</f>
        <v/>
      </c>
      <c r="F585" s="56" t="str">
        <f>IF('AYIRA MINI MART FINAL MENU - Pr'!F585="", "", 'AYIRA MINI MART FINAL MENU - Pr'!F585)</f>
        <v/>
      </c>
      <c r="G585" s="56" t="str">
        <f>IF('AYIRA MINI MART FINAL MENU - Pr'!G585="", "", 'AYIRA MINI MART FINAL MENU - Pr'!G585)</f>
        <v/>
      </c>
      <c r="H585" s="56" t="str">
        <f>IF('AYIRA MINI MART FINAL MENU - Pr'!H585="", "", 'AYIRA MINI MART FINAL MENU - Pr'!H585)</f>
        <v/>
      </c>
      <c r="I585" s="56" t="str">
        <f>IF('AYIRA MINI MART FINAL MENU - Pr'!I585="", "", 'AYIRA MINI MART FINAL MENU - Pr'!I585)</f>
        <v/>
      </c>
      <c r="J585" s="56" t="str">
        <f>IFERROR(__xludf.DUMMYFUNCTION("IF('AYIRA MINI MART FINAL MENU - Pr'!J585="""", """", GOOGLETRANSLATE('AYIRA MINI MART FINAL MENU - Pr'!J585, ""en"", ""ar""))"),"يعرض")</f>
        <v>يعرض</v>
      </c>
      <c r="K585" s="56" t="str">
        <f>IF('AYIRA MINI MART FINAL MENU - Pr'!K585="", "", 'AYIRA MINI MART FINAL MENU - Pr'!K585)</f>
        <v/>
      </c>
      <c r="L585" s="56" t="str">
        <f>IF('AYIRA MINI MART FINAL MENU - Pr'!L585="", "", 'AYIRA MINI MART FINAL MENU - Pr'!L585)</f>
        <v/>
      </c>
      <c r="M585" s="56" t="str">
        <f>IF('AYIRA MINI MART FINAL MENU - Pr'!M585="", "", 'AYIRA MINI MART FINAL MENU - Pr'!M585)</f>
        <v/>
      </c>
      <c r="N585" s="56" t="str">
        <f>IF('AYIRA MINI MART FINAL MENU - Pr'!N585="", "", 'AYIRA MINI MART FINAL MENU - Pr'!N585)</f>
        <v/>
      </c>
      <c r="O585" s="57"/>
      <c r="P585" s="57"/>
      <c r="Q585" s="57"/>
      <c r="R585" s="57"/>
      <c r="S585" s="57"/>
      <c r="T585" s="57"/>
      <c r="U585" s="57"/>
      <c r="V585" s="57"/>
      <c r="W585" s="57"/>
      <c r="X585" s="57"/>
      <c r="Y585" s="57"/>
      <c r="Z585" s="57"/>
    </row>
    <row r="586">
      <c r="A586" s="56" t="str">
        <f>IFERROR(__xludf.DUMMYFUNCTION("IF('AYIRA MINI MART FINAL MENU - Pr'!A586="""", """", IF(LEN(TRIM(REGEXREPLACE(REGEXREPLACE('AYIRA MINI MART FINAL MENU - Pr'!A586, ""^[^\x{0600}-\x{06FF}]+"", """"), ""^[-–\s]+"", """")))&gt;0, TRIM(REGEXREPLACE(REGEXREPLACE('AYIRA MINI MART FINAL MENU - Pr"&amp;"'!A586, ""^[^\x{0600}-\x{06FF}]+"", """"), ""^[-–\s]+"", """")), GOOGLETRANSLATE('AYIRA MINI MART FINAL MENU - Pr'!A586, ""en"", ""ar"")))"),"جبنة 12 غرام")</f>
        <v>جبنة 12 غرام</v>
      </c>
      <c r="B586" s="56" t="str">
        <f>IFERROR(__xludf.DUMMYFUNCTION("IF('AYIRA MINI MART FINAL MENU - Pr'!B586="""", """", IF(LEN(TRIM(REGEXREPLACE(REGEXREPLACE('AYIRA MINI MART FINAL MENU - Pr'!B586, ""^[^\x{0600}-\x{06FF}]+"", """"), ""^[-–\s]+"", """")))&gt;0, TRIM(REGEXREPLACE(REGEXREPLACE('AYIRA MINI MART FINAL MENU - Pr"&amp;"'!B586, ""^[^\x{0600}-\x{06FF}]+"", """"), ""^[-–\s]+"", """")), GOOGLETRANSLATE('AYIRA MINI MART FINAL MENU - Pr'!B586, ""en"", ""ar"")))"),"الشيبس والمقرمشات")</f>
        <v>الشيبس والمقرمشات</v>
      </c>
      <c r="C586" s="58">
        <f>IF('AYIRA MINI MART FINAL MENU - Pr'!C586="", "", 'AYIRA MINI MART FINAL MENU - Pr'!C586)</f>
        <v>1</v>
      </c>
      <c r="D586" s="58" t="str">
        <f>IF('AYIRA MINI MART FINAL MENU - Pr'!D586="", "", 'AYIRA MINI MART FINAL MENU - Pr'!D586)</f>
        <v>لا تقاوم طعم ABC Cheese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86" s="56" t="str">
        <f>IF('AYIRA MINI MART FINAL MENU - Pr'!E586="", "", 'AYIRA MINI MART FINAL MENU - Pr'!E586)</f>
        <v/>
      </c>
      <c r="F586" s="56" t="str">
        <f>IF('AYIRA MINI MART FINAL MENU - Pr'!F586="", "", 'AYIRA MINI MART FINAL MENU - Pr'!F586)</f>
        <v/>
      </c>
      <c r="G586" s="56" t="str">
        <f>IF('AYIRA MINI MART FINAL MENU - Pr'!G586="", "", 'AYIRA MINI MART FINAL MENU - Pr'!G586)</f>
        <v/>
      </c>
      <c r="H586" s="56" t="str">
        <f>IF('AYIRA MINI MART FINAL MENU - Pr'!H586="", "", 'AYIRA MINI MART FINAL MENU - Pr'!H586)</f>
        <v/>
      </c>
      <c r="I586" s="56" t="str">
        <f>IF('AYIRA MINI MART FINAL MENU - Pr'!I586="", "", 'AYIRA MINI MART FINAL MENU - Pr'!I586)</f>
        <v/>
      </c>
      <c r="J586" s="56" t="str">
        <f>IFERROR(__xludf.DUMMYFUNCTION("IF('AYIRA MINI MART FINAL MENU - Pr'!J586="""", """", GOOGLETRANSLATE('AYIRA MINI MART FINAL MENU - Pr'!J586, ""en"", ""ar""))"),"يعرض")</f>
        <v>يعرض</v>
      </c>
      <c r="K586" s="56" t="str">
        <f>IF('AYIRA MINI MART FINAL MENU - Pr'!K586="", "", 'AYIRA MINI MART FINAL MENU - Pr'!K586)</f>
        <v/>
      </c>
      <c r="L586" s="56" t="str">
        <f>IF('AYIRA MINI MART FINAL MENU - Pr'!L586="", "", 'AYIRA MINI MART FINAL MENU - Pr'!L586)</f>
        <v/>
      </c>
      <c r="M586" s="56" t="str">
        <f>IF('AYIRA MINI MART FINAL MENU - Pr'!M586="", "", 'AYIRA MINI MART FINAL MENU - Pr'!M586)</f>
        <v/>
      </c>
      <c r="N586" s="56" t="str">
        <f>IF('AYIRA MINI MART FINAL MENU - Pr'!N586="", "", 'AYIRA MINI MART FINAL MENU - Pr'!N586)</f>
        <v/>
      </c>
      <c r="O586" s="57"/>
      <c r="P586" s="57"/>
      <c r="Q586" s="57"/>
      <c r="R586" s="57"/>
      <c r="S586" s="57"/>
      <c r="T586" s="57"/>
      <c r="U586" s="57"/>
      <c r="V586" s="57"/>
      <c r="W586" s="57"/>
      <c r="X586" s="57"/>
      <c r="Y586" s="57"/>
      <c r="Z586" s="57"/>
    </row>
    <row r="587">
      <c r="A587" s="56" t="str">
        <f>IFERROR(__xludf.DUMMYFUNCTION("IF('AYIRA MINI MART FINAL MENU - Pr'!A587="""", """", IF(LEN(TRIM(REGEXREPLACE(REGEXREPLACE('AYIRA MINI MART FINAL MENU - Pr'!A587, ""^[^\x{0600}-\x{06FF}]+"", """"), ""^[-–\s]+"", """")))&gt;0, TRIM(REGEXREPLACE(REGEXREPLACE('AYIRA MINI MART FINAL MENU - Pr"&amp;"'!A587, ""^[^\x{0600}-\x{06FF}]+"", """"), ""^[-–\s]+"", """")), GOOGLETRANSLATE('AYIRA MINI MART FINAL MENU - Pr'!A587, ""en"", ""ar"")))"),"لوز قطعة Granio حليب شوكولاتة 40 GM")</f>
        <v>لوز قطعة Granio حليب شوكولاتة 40 GM</v>
      </c>
      <c r="B587" s="56" t="str">
        <f>IFERROR(__xludf.DUMMYFUNCTION("IF('AYIRA MINI MART FINAL MENU - Pr'!B587="""", """", IF(LEN(TRIM(REGEXREPLACE(REGEXREPLACE('AYIRA MINI MART FINAL MENU - Pr'!B587, ""^[^\x{0600}-\x{06FF}]+"", """"), ""^[-–\s]+"", """")))&gt;0, TRIM(REGEXREPLACE(REGEXREPLACE('AYIRA MINI MART FINAL MENU - Pr"&amp;"'!B587, ""^[^\x{0600}-\x{06FF}]+"", """"), ""^[-–\s]+"", """")), GOOGLETRANSLATE('AYIRA MINI MART FINAL MENU - Pr'!B587, ""en"", ""ar"")))"),"الشوكولاتة")</f>
        <v>الشوكولاتة</v>
      </c>
      <c r="C587" s="58">
        <f>IF('AYIRA MINI MART FINAL MENU - Pr'!C587="", "", 'AYIRA MINI MART FINAL MENU - Pr'!C587)</f>
        <v>2.5</v>
      </c>
      <c r="D587" s="58" t="str">
        <f>IF('AYIRA MINI MART FINAL MENU - Pr'!D587="", "", 'AYIRA MINI MART FINAL MENU - Pr'!D587)</f>
        <v>دلّل حواسك مع Date &amp; Almond Bar Granio Milk Chocolate 40 GM،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587" s="56" t="str">
        <f>IF('AYIRA MINI MART FINAL MENU - Pr'!E587="", "", 'AYIRA MINI MART FINAL MENU - Pr'!E587)</f>
        <v/>
      </c>
      <c r="F587" s="56" t="str">
        <f>IF('AYIRA MINI MART FINAL MENU - Pr'!F587="", "", 'AYIRA MINI MART FINAL MENU - Pr'!F587)</f>
        <v/>
      </c>
      <c r="G587" s="56" t="str">
        <f>IF('AYIRA MINI MART FINAL MENU - Pr'!G587="", "", 'AYIRA MINI MART FINAL MENU - Pr'!G587)</f>
        <v/>
      </c>
      <c r="H587" s="56" t="str">
        <f>IF('AYIRA MINI MART FINAL MENU - Pr'!H587="", "", 'AYIRA MINI MART FINAL MENU - Pr'!H587)</f>
        <v/>
      </c>
      <c r="I587" s="56" t="str">
        <f>IF('AYIRA MINI MART FINAL MENU - Pr'!I587="", "", 'AYIRA MINI MART FINAL MENU - Pr'!I587)</f>
        <v/>
      </c>
      <c r="J587" s="56" t="str">
        <f>IFERROR(__xludf.DUMMYFUNCTION("IF('AYIRA MINI MART FINAL MENU - Pr'!J587="""", """", GOOGLETRANSLATE('AYIRA MINI MART FINAL MENU - Pr'!J587, ""en"", ""ar""))"),"إنتهى من المخزن")</f>
        <v>إنتهى من المخزن</v>
      </c>
      <c r="K587" s="56" t="str">
        <f>IF('AYIRA MINI MART FINAL MENU - Pr'!K587="", "", 'AYIRA MINI MART FINAL MENU - Pr'!K587)</f>
        <v/>
      </c>
      <c r="L587" s="56" t="str">
        <f>IF('AYIRA MINI MART FINAL MENU - Pr'!L587="", "", 'AYIRA MINI MART FINAL MENU - Pr'!L587)</f>
        <v/>
      </c>
      <c r="M587" s="56" t="str">
        <f>IF('AYIRA MINI MART FINAL MENU - Pr'!M587="", "", 'AYIRA MINI MART FINAL MENU - Pr'!M587)</f>
        <v/>
      </c>
      <c r="N587" s="56" t="str">
        <f>IF('AYIRA MINI MART FINAL MENU - Pr'!N587="", "", 'AYIRA MINI MART FINAL MENU - Pr'!N587)</f>
        <v/>
      </c>
      <c r="O587" s="57"/>
      <c r="P587" s="57"/>
      <c r="Q587" s="57"/>
      <c r="R587" s="57"/>
      <c r="S587" s="57"/>
      <c r="T587" s="57"/>
      <c r="U587" s="57"/>
      <c r="V587" s="57"/>
      <c r="W587" s="57"/>
      <c r="X587" s="57"/>
      <c r="Y587" s="57"/>
      <c r="Z587" s="57"/>
    </row>
    <row r="588">
      <c r="A588" s="56" t="str">
        <f>IFERROR(__xludf.DUMMYFUNCTION("IF('AYIRA MINI MART FINAL MENU - Pr'!A588="""", """", IF(LEN(TRIM(REGEXREPLACE(REGEXREPLACE('AYIRA MINI MART FINAL MENU - Pr'!A588, ""^[^\x{0600}-\x{06FF}]+"", """"), ""^[-–\s]+"", """")))&gt;0, TRIM(REGEXREPLACE(REGEXREPLACE('AYIRA MINI MART FINAL MENU - Pr"&amp;"'!A588, ""^[^\x{0600}-\x{06FF}]+"", """"), ""^[-–\s]+"", """")), GOOGLETRANSLATE('AYIRA MINI MART FINAL MENU - Pr'!A588, ""en"", ""ar"")))"),"نوتيلا Biscuits 1.4 GM")</f>
        <v>نوتيلا Biscuits 1.4 GM</v>
      </c>
      <c r="B588" s="56" t="str">
        <f>IFERROR(__xludf.DUMMYFUNCTION("IF('AYIRA MINI MART FINAL MENU - Pr'!B588="""", """", IF(LEN(TRIM(REGEXREPLACE(REGEXREPLACE('AYIRA MINI MART FINAL MENU - Pr'!B588, ""^[^\x{0600}-\x{06FF}]+"", """"), ""^[-–\s]+"", """")))&gt;0, TRIM(REGEXREPLACE(REGEXREPLACE('AYIRA MINI MART FINAL MENU - Pr"&amp;"'!B588, ""^[^\x{0600}-\x{06FF}]+"", """"), ""^[-–\s]+"", """")), GOOGLETRANSLATE('AYIRA MINI MART FINAL MENU - Pr'!B588, ""en"", ""ar"")))"),"الشوكولاتة")</f>
        <v>الشوكولاتة</v>
      </c>
      <c r="C588" s="58">
        <f>IF('AYIRA MINI MART FINAL MENU - Pr'!C588="", "", 'AYIRA MINI MART FINAL MENU - Pr'!C588)</f>
        <v>3.5</v>
      </c>
      <c r="D588" s="58" t="str">
        <f>IF('AYIRA MINI MART FINAL MENU - Pr'!D588="", "", 'AYIRA MINI MART FINAL MENU - Pr'!D588)</f>
        <v>دلّل حواسك مع نوتيلا،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588" s="56" t="str">
        <f>IF('AYIRA MINI MART FINAL MENU - Pr'!E588="", "", 'AYIRA MINI MART FINAL MENU - Pr'!E588)</f>
        <v/>
      </c>
      <c r="F588" s="56" t="str">
        <f>IF('AYIRA MINI MART FINAL MENU - Pr'!F588="", "", 'AYIRA MINI MART FINAL MENU - Pr'!F588)</f>
        <v/>
      </c>
      <c r="G588" s="56" t="str">
        <f>IF('AYIRA MINI MART FINAL MENU - Pr'!G588="", "", 'AYIRA MINI MART FINAL MENU - Pr'!G588)</f>
        <v/>
      </c>
      <c r="H588" s="56" t="str">
        <f>IF('AYIRA MINI MART FINAL MENU - Pr'!H588="", "", 'AYIRA MINI MART FINAL MENU - Pr'!H588)</f>
        <v/>
      </c>
      <c r="I588" s="56" t="str">
        <f>IF('AYIRA MINI MART FINAL MENU - Pr'!I588="", "", 'AYIRA MINI MART FINAL MENU - Pr'!I588)</f>
        <v/>
      </c>
      <c r="J588" s="56" t="str">
        <f>IFERROR(__xludf.DUMMYFUNCTION("IF('AYIRA MINI MART FINAL MENU - Pr'!J588="""", """", GOOGLETRANSLATE('AYIRA MINI MART FINAL MENU - Pr'!J588, ""en"", ""ar""))"),"يعرض")</f>
        <v>يعرض</v>
      </c>
      <c r="K588" s="56" t="str">
        <f>IF('AYIRA MINI MART FINAL MENU - Pr'!K588="", "", 'AYIRA MINI MART FINAL MENU - Pr'!K588)</f>
        <v/>
      </c>
      <c r="L588" s="56" t="str">
        <f>IF('AYIRA MINI MART FINAL MENU - Pr'!L588="", "", 'AYIRA MINI MART FINAL MENU - Pr'!L588)</f>
        <v/>
      </c>
      <c r="M588" s="56" t="str">
        <f>IF('AYIRA MINI MART FINAL MENU - Pr'!M588="", "", 'AYIRA MINI MART FINAL MENU - Pr'!M588)</f>
        <v/>
      </c>
      <c r="N588" s="56" t="str">
        <f>IF('AYIRA MINI MART FINAL MENU - Pr'!N588="", "", 'AYIRA MINI MART FINAL MENU - Pr'!N588)</f>
        <v/>
      </c>
      <c r="O588" s="57"/>
      <c r="P588" s="57"/>
      <c r="Q588" s="57"/>
      <c r="R588" s="57"/>
      <c r="S588" s="57"/>
      <c r="T588" s="57"/>
      <c r="U588" s="57"/>
      <c r="V588" s="57"/>
      <c r="W588" s="57"/>
      <c r="X588" s="57"/>
      <c r="Y588" s="57"/>
      <c r="Z588" s="57"/>
    </row>
    <row r="589">
      <c r="A589" s="56" t="str">
        <f>IFERROR(__xludf.DUMMYFUNCTION("IF('AYIRA MINI MART FINAL MENU - Pr'!A589="""", """", IF(LEN(TRIM(REGEXREPLACE(REGEXREPLACE('AYIRA MINI MART FINAL MENU - Pr'!A589, ""^[^\x{0600}-\x{06FF}]+"", """"), ""^[-–\s]+"", """")))&gt;0, TRIM(REGEXREPLACE(REGEXREPLACE('AYIRA MINI MART FINAL MENU - Pr"&amp;"'!A589, ""^[^\x{0600}-\x{06FF}]+"", """"), ""^[-–\s]+"", """")), GOOGLETRANSLATE('AYIRA MINI MART FINAL MENU - Pr'!A589, ""en"", ""ar"")))"),"أولكر رولوكات 24 غرام")</f>
        <v>أولكر رولوكات 24 غرام</v>
      </c>
      <c r="B589" s="56" t="str">
        <f>IFERROR(__xludf.DUMMYFUNCTION("IF('AYIRA MINI MART FINAL MENU - Pr'!B589="""", """", IF(LEN(TRIM(REGEXREPLACE(REGEXREPLACE('AYIRA MINI MART FINAL MENU - Pr'!B589, ""^[^\x{0600}-\x{06FF}]+"", """"), ""^[-–\s]+"", """")))&gt;0, TRIM(REGEXREPLACE(REGEXREPLACE('AYIRA MINI MART FINAL MENU - Pr"&amp;"'!B589, ""^[^\x{0600}-\x{06FF}]+"", """"), ""^[-–\s]+"", """")), GOOGLETRANSLATE('AYIRA MINI MART FINAL MENU - Pr'!B589, ""en"", ""ar"")))"),"الشوكولاتة")</f>
        <v>الشوكولاتة</v>
      </c>
      <c r="C589" s="58">
        <f>IF('AYIRA MINI MART FINAL MENU - Pr'!C589="", "", 'AYIRA MINI MART FINAL MENU - Pr'!C589)</f>
        <v>1.5</v>
      </c>
      <c r="D589" s="58" t="str">
        <f>IF('AYIRA MINI MART FINAL MENU - Pr'!D589="", "", 'AYIRA MINI MART FINAL MENU - Pr'!D589)</f>
        <v>لا تقاوم طعم Ülker Rulokat 24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89" s="56" t="str">
        <f>IF('AYIRA MINI MART FINAL MENU - Pr'!E589="", "", 'AYIRA MINI MART FINAL MENU - Pr'!E589)</f>
        <v/>
      </c>
      <c r="F589" s="56" t="str">
        <f>IF('AYIRA MINI MART FINAL MENU - Pr'!F589="", "", 'AYIRA MINI MART FINAL MENU - Pr'!F589)</f>
        <v/>
      </c>
      <c r="G589" s="56" t="str">
        <f>IF('AYIRA MINI MART FINAL MENU - Pr'!G589="", "", 'AYIRA MINI MART FINAL MENU - Pr'!G589)</f>
        <v/>
      </c>
      <c r="H589" s="56" t="str">
        <f>IF('AYIRA MINI MART FINAL MENU - Pr'!H589="", "", 'AYIRA MINI MART FINAL MENU - Pr'!H589)</f>
        <v/>
      </c>
      <c r="I589" s="56" t="str">
        <f>IF('AYIRA MINI MART FINAL MENU - Pr'!I589="", "", 'AYIRA MINI MART FINAL MENU - Pr'!I589)</f>
        <v/>
      </c>
      <c r="J589" s="56" t="str">
        <f>IFERROR(__xludf.DUMMYFUNCTION("IF('AYIRA MINI MART FINAL MENU - Pr'!J589="""", """", GOOGLETRANSLATE('AYIRA MINI MART FINAL MENU - Pr'!J589, ""en"", ""ar""))"),"يعرض")</f>
        <v>يعرض</v>
      </c>
      <c r="K589" s="56" t="str">
        <f>IF('AYIRA MINI MART FINAL MENU - Pr'!K589="", "", 'AYIRA MINI MART FINAL MENU - Pr'!K589)</f>
        <v/>
      </c>
      <c r="L589" s="56" t="str">
        <f>IF('AYIRA MINI MART FINAL MENU - Pr'!L589="", "", 'AYIRA MINI MART FINAL MENU - Pr'!L589)</f>
        <v/>
      </c>
      <c r="M589" s="56" t="str">
        <f>IF('AYIRA MINI MART FINAL MENU - Pr'!M589="", "", 'AYIRA MINI MART FINAL MENU - Pr'!M589)</f>
        <v/>
      </c>
      <c r="N589" s="56" t="str">
        <f>IF('AYIRA MINI MART FINAL MENU - Pr'!N589="", "", 'AYIRA MINI MART FINAL MENU - Pr'!N589)</f>
        <v/>
      </c>
      <c r="O589" s="57"/>
      <c r="P589" s="57"/>
      <c r="Q589" s="57"/>
      <c r="R589" s="57"/>
      <c r="S589" s="57"/>
      <c r="T589" s="57"/>
      <c r="U589" s="57"/>
      <c r="V589" s="57"/>
      <c r="W589" s="57"/>
      <c r="X589" s="57"/>
      <c r="Y589" s="57"/>
      <c r="Z589" s="57"/>
    </row>
    <row r="590">
      <c r="A590" s="56" t="str">
        <f>IFERROR(__xludf.DUMMYFUNCTION("IF('AYIRA MINI MART FINAL MENU - Pr'!A590="""", """", IF(LEN(TRIM(REGEXREPLACE(REGEXREPLACE('AYIRA MINI MART FINAL MENU - Pr'!A590, ""^[^\x{0600}-\x{06FF}]+"", """"), ""^[-–\s]+"", """")))&gt;0, TRIM(REGEXREPLACE(REGEXREPLACE('AYIRA MINI MART FINAL MENU - Pr"&amp;"'!A590, ""^[^\x{0600}-\x{06FF}]+"", """"), ""^[-–\s]+"", """")), GOOGLETRANSLATE('AYIRA MINI MART FINAL MENU - Pr'!A590, ""en"", ""ar"")))"),"جوردينا تروبي 35 غرام")</f>
        <v>جوردينا تروبي 35 غرام</v>
      </c>
      <c r="B590" s="56" t="str">
        <f>IFERROR(__xludf.DUMMYFUNCTION("IF('AYIRA MINI MART FINAL MENU - Pr'!B590="""", """", IF(LEN(TRIM(REGEXREPLACE(REGEXREPLACE('AYIRA MINI MART FINAL MENU - Pr'!B590, ""^[^\x{0600}-\x{06FF}]+"", """"), ""^[-–\s]+"", """")))&gt;0, TRIM(REGEXREPLACE(REGEXREPLACE('AYIRA MINI MART FINAL MENU - Pr"&amp;"'!B590, ""^[^\x{0600}-\x{06FF}]+"", """"), ""^[-–\s]+"", """")), GOOGLETRANSLATE('AYIRA MINI MART FINAL MENU - Pr'!B590, ""en"", ""ar"")))"),"الشوكولاتة")</f>
        <v>الشوكولاتة</v>
      </c>
      <c r="C590" s="56" t="str">
        <f>IF('AYIRA MINI MART FINAL MENU - Pr'!C590="", "", 'AYIRA MINI MART FINAL MENU - Pr'!C590)</f>
        <v/>
      </c>
      <c r="D590" s="58" t="str">
        <f>IF('AYIRA MINI MART FINAL MENU - Pr'!D590="", "", 'AYIRA MINI MART FINAL MENU - Pr'!D590)</f>
        <v>لا تقاوم طعم Jordina Tropi 35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90" s="56" t="str">
        <f>IF('AYIRA MINI MART FINAL MENU - Pr'!E590="", "", 'AYIRA MINI MART FINAL MENU - Pr'!E590)</f>
        <v/>
      </c>
      <c r="F590" s="56" t="str">
        <f>IF('AYIRA MINI MART FINAL MENU - Pr'!F590="", "", 'AYIRA MINI MART FINAL MENU - Pr'!F590)</f>
        <v/>
      </c>
      <c r="G590" s="56" t="str">
        <f>IF('AYIRA MINI MART FINAL MENU - Pr'!G590="", "", 'AYIRA MINI MART FINAL MENU - Pr'!G590)</f>
        <v/>
      </c>
      <c r="H590" s="56" t="str">
        <f>IF('AYIRA MINI MART FINAL MENU - Pr'!H590="", "", 'AYIRA MINI MART FINAL MENU - Pr'!H590)</f>
        <v/>
      </c>
      <c r="I590" s="56" t="str">
        <f>IF('AYIRA MINI MART FINAL MENU - Pr'!I590="", "", 'AYIRA MINI MART FINAL MENU - Pr'!I590)</f>
        <v/>
      </c>
      <c r="J590" s="56" t="str">
        <f>IFERROR(__xludf.DUMMYFUNCTION("IF('AYIRA MINI MART FINAL MENU - Pr'!J590="""", """", GOOGLETRANSLATE('AYIRA MINI MART FINAL MENU - Pr'!J590, ""en"", ""ar""))"),"إنتهى من المخزن")</f>
        <v>إنتهى من المخزن</v>
      </c>
      <c r="K590" s="56" t="str">
        <f>IF('AYIRA MINI MART FINAL MENU - Pr'!K590="", "", 'AYIRA MINI MART FINAL MENU - Pr'!K590)</f>
        <v/>
      </c>
      <c r="L590" s="56" t="str">
        <f>IF('AYIRA MINI MART FINAL MENU - Pr'!L590="", "", 'AYIRA MINI MART FINAL MENU - Pr'!L590)</f>
        <v/>
      </c>
      <c r="M590" s="56" t="str">
        <f>IF('AYIRA MINI MART FINAL MENU - Pr'!M590="", "", 'AYIRA MINI MART FINAL MENU - Pr'!M590)</f>
        <v/>
      </c>
      <c r="N590" s="56" t="str">
        <f>IF('AYIRA MINI MART FINAL MENU - Pr'!N590="", "", 'AYIRA MINI MART FINAL MENU - Pr'!N590)</f>
        <v/>
      </c>
      <c r="O590" s="57"/>
      <c r="P590" s="57"/>
      <c r="Q590" s="57"/>
      <c r="R590" s="57"/>
      <c r="S590" s="57"/>
      <c r="T590" s="57"/>
      <c r="U590" s="57"/>
      <c r="V590" s="57"/>
      <c r="W590" s="57"/>
      <c r="X590" s="57"/>
      <c r="Y590" s="57"/>
      <c r="Z590" s="57"/>
    </row>
    <row r="591">
      <c r="A591" s="56" t="str">
        <f>IFERROR(__xludf.DUMMYFUNCTION("IF('AYIRA MINI MART FINAL MENU - Pr'!A591="""", """", IF(LEN(TRIM(REGEXREPLACE(REGEXREPLACE('AYIRA MINI MART FINAL MENU - Pr'!A591, ""^[^\x{0600}-\x{06FF}]+"", """"), ""^[-–\s]+"", """")))&gt;0, TRIM(REGEXREPLACE(REGEXREPLACE('AYIRA MINI MART FINAL MENU - Pr"&amp;"'!A591, ""^[^\x{0600}-\x{06FF}]+"", """"), ""^[-–\s]+"", """")), GOOGLETRANSLATE('AYIRA MINI MART FINAL MENU - Pr'!A591, ""en"", ""ar"")))"),"أولكر غوفريت بالشوكولاتة 36 غرام")</f>
        <v>أولكر غوفريت بالشوكولاتة 36 غرام</v>
      </c>
      <c r="B591" s="56" t="str">
        <f>IFERROR(__xludf.DUMMYFUNCTION("IF('AYIRA MINI MART FINAL MENU - Pr'!B591="""", """", IF(LEN(TRIM(REGEXREPLACE(REGEXREPLACE('AYIRA MINI MART FINAL MENU - Pr'!B591, ""^[^\x{0600}-\x{06FF}]+"", """"), ""^[-–\s]+"", """")))&gt;0, TRIM(REGEXREPLACE(REGEXREPLACE('AYIRA MINI MART FINAL MENU - Pr"&amp;"'!B591, ""^[^\x{0600}-\x{06FF}]+"", """"), ""^[-–\s]+"", """")), GOOGLETRANSLATE('AYIRA MINI MART FINAL MENU - Pr'!B591, ""en"", ""ar"")))"),"الشوكولاتة")</f>
        <v>الشوكولاتة</v>
      </c>
      <c r="C591" s="58">
        <f>IF('AYIRA MINI MART FINAL MENU - Pr'!C591="", "", 'AYIRA MINI MART FINAL MENU - Pr'!C591)</f>
        <v>2</v>
      </c>
      <c r="D591" s="58" t="str">
        <f>IF('AYIRA MINI MART FINAL MENU - Pr'!D591="", "", 'AYIRA MINI MART FINAL MENU - Pr'!D591)</f>
        <v>لا تقاوم طعم Ülker Çikolatalı Gofret 36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91" s="56" t="str">
        <f>IF('AYIRA MINI MART FINAL MENU - Pr'!E591="", "", 'AYIRA MINI MART FINAL MENU - Pr'!E591)</f>
        <v/>
      </c>
      <c r="F591" s="56" t="str">
        <f>IF('AYIRA MINI MART FINAL MENU - Pr'!F591="", "", 'AYIRA MINI MART FINAL MENU - Pr'!F591)</f>
        <v/>
      </c>
      <c r="G591" s="56" t="str">
        <f>IF('AYIRA MINI MART FINAL MENU - Pr'!G591="", "", 'AYIRA MINI MART FINAL MENU - Pr'!G591)</f>
        <v/>
      </c>
      <c r="H591" s="56" t="str">
        <f>IF('AYIRA MINI MART FINAL MENU - Pr'!H591="", "", 'AYIRA MINI MART FINAL MENU - Pr'!H591)</f>
        <v/>
      </c>
      <c r="I591" s="56" t="str">
        <f>IF('AYIRA MINI MART FINAL MENU - Pr'!I591="", "", 'AYIRA MINI MART FINAL MENU - Pr'!I591)</f>
        <v/>
      </c>
      <c r="J591" s="56" t="str">
        <f>IFERROR(__xludf.DUMMYFUNCTION("IF('AYIRA MINI MART FINAL MENU - Pr'!J591="""", """", GOOGLETRANSLATE('AYIRA MINI MART FINAL MENU - Pr'!J591, ""en"", ""ar""))"),"يعرض")</f>
        <v>يعرض</v>
      </c>
      <c r="K591" s="56" t="str">
        <f>IF('AYIRA MINI MART FINAL MENU - Pr'!K591="", "", 'AYIRA MINI MART FINAL MENU - Pr'!K591)</f>
        <v/>
      </c>
      <c r="L591" s="56" t="str">
        <f>IF('AYIRA MINI MART FINAL MENU - Pr'!L591="", "", 'AYIRA MINI MART FINAL MENU - Pr'!L591)</f>
        <v/>
      </c>
      <c r="M591" s="56" t="str">
        <f>IF('AYIRA MINI MART FINAL MENU - Pr'!M591="", "", 'AYIRA MINI MART FINAL MENU - Pr'!M591)</f>
        <v/>
      </c>
      <c r="N591" s="56" t="str">
        <f>IF('AYIRA MINI MART FINAL MENU - Pr'!N591="", "", 'AYIRA MINI MART FINAL MENU - Pr'!N591)</f>
        <v/>
      </c>
      <c r="O591" s="57"/>
      <c r="P591" s="57"/>
      <c r="Q591" s="57"/>
      <c r="R591" s="57"/>
      <c r="S591" s="57"/>
      <c r="T591" s="57"/>
      <c r="U591" s="57"/>
      <c r="V591" s="57"/>
      <c r="W591" s="57"/>
      <c r="X591" s="57"/>
      <c r="Y591" s="57"/>
      <c r="Z591" s="57"/>
    </row>
    <row r="592">
      <c r="A592" s="56" t="str">
        <f>IFERROR(__xludf.DUMMYFUNCTION("IF('AYIRA MINI MART FINAL MENU - Pr'!A592="""", """", IF(LEN(TRIM(REGEXREPLACE(REGEXREPLACE('AYIRA MINI MART FINAL MENU - Pr'!A592, ""^[^\x{0600}-\x{06FF}]+"", """"), ""^[-–\s]+"", """")))&gt;0, TRIM(REGEXREPLACE(REGEXREPLACE('AYIRA MINI MART FINAL MENU - Pr"&amp;"'!A592, ""^[^\x{0600}-\x{06FF}]+"", """"), ""^[-–\s]+"", """")), GOOGLETRANSLATE('AYIRA MINI MART FINAL MENU - Pr'!A592, ""en"", ""ar"")))"),"كلاسيك Cremkakao 45 GM")</f>
        <v>كلاسيك Cremkakao 45 GM</v>
      </c>
      <c r="B592" s="56" t="str">
        <f>IFERROR(__xludf.DUMMYFUNCTION("IF('AYIRA MINI MART FINAL MENU - Pr'!B592="""", """", IF(LEN(TRIM(REGEXREPLACE(REGEXREPLACE('AYIRA MINI MART FINAL MENU - Pr'!B592, ""^[^\x{0600}-\x{06FF}]+"", """"), ""^[-–\s]+"", """")))&gt;0, TRIM(REGEXREPLACE(REGEXREPLACE('AYIRA MINI MART FINAL MENU - Pr"&amp;"'!B592, ""^[^\x{0600}-\x{06FF}]+"", """"), ""^[-–\s]+"", """")), GOOGLETRANSLATE('AYIRA MINI MART FINAL MENU - Pr'!B592, ""en"", ""ar"")))"),"الشوكولاتة")</f>
        <v>الشوكولاتة</v>
      </c>
      <c r="C592" s="58">
        <f>IF('AYIRA MINI MART FINAL MENU - Pr'!C592="", "", 'AYIRA MINI MART FINAL MENU - Pr'!C592)</f>
        <v>3</v>
      </c>
      <c r="D592" s="58" t="str">
        <f>IF('AYIRA MINI MART FINAL MENU - Pr'!D592="", "", 'AYIRA MINI MART FINAL MENU - Pr'!D592)</f>
        <v>لا تقاوم طعم Loacker Classic Cremkakao 45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92" s="56" t="str">
        <f>IF('AYIRA MINI MART FINAL MENU - Pr'!E592="", "", 'AYIRA MINI MART FINAL MENU - Pr'!E592)</f>
        <v/>
      </c>
      <c r="F592" s="56" t="str">
        <f>IF('AYIRA MINI MART FINAL MENU - Pr'!F592="", "", 'AYIRA MINI MART FINAL MENU - Pr'!F592)</f>
        <v/>
      </c>
      <c r="G592" s="56" t="str">
        <f>IF('AYIRA MINI MART FINAL MENU - Pr'!G592="", "", 'AYIRA MINI MART FINAL MENU - Pr'!G592)</f>
        <v/>
      </c>
      <c r="H592" s="56" t="str">
        <f>IF('AYIRA MINI MART FINAL MENU - Pr'!H592="", "", 'AYIRA MINI MART FINAL MENU - Pr'!H592)</f>
        <v/>
      </c>
      <c r="I592" s="56" t="str">
        <f>IF('AYIRA MINI MART FINAL MENU - Pr'!I592="", "", 'AYIRA MINI MART FINAL MENU - Pr'!I592)</f>
        <v/>
      </c>
      <c r="J592" s="56" t="str">
        <f>IFERROR(__xludf.DUMMYFUNCTION("IF('AYIRA MINI MART FINAL MENU - Pr'!J592="""", """", GOOGLETRANSLATE('AYIRA MINI MART FINAL MENU - Pr'!J592, ""en"", ""ar""))"),"يعرض")</f>
        <v>يعرض</v>
      </c>
      <c r="K592" s="56" t="str">
        <f>IF('AYIRA MINI MART FINAL MENU - Pr'!K592="", "", 'AYIRA MINI MART FINAL MENU - Pr'!K592)</f>
        <v/>
      </c>
      <c r="L592" s="56" t="str">
        <f>IF('AYIRA MINI MART FINAL MENU - Pr'!L592="", "", 'AYIRA MINI MART FINAL MENU - Pr'!L592)</f>
        <v/>
      </c>
      <c r="M592" s="56" t="str">
        <f>IF('AYIRA MINI MART FINAL MENU - Pr'!M592="", "", 'AYIRA MINI MART FINAL MENU - Pr'!M592)</f>
        <v/>
      </c>
      <c r="N592" s="56" t="str">
        <f>IF('AYIRA MINI MART FINAL MENU - Pr'!N592="", "", 'AYIRA MINI MART FINAL MENU - Pr'!N592)</f>
        <v/>
      </c>
      <c r="O592" s="57"/>
      <c r="P592" s="57"/>
      <c r="Q592" s="57"/>
      <c r="R592" s="57"/>
      <c r="S592" s="57"/>
      <c r="T592" s="57"/>
      <c r="U592" s="57"/>
      <c r="V592" s="57"/>
      <c r="W592" s="57"/>
      <c r="X592" s="57"/>
      <c r="Y592" s="57"/>
      <c r="Z592" s="57"/>
    </row>
    <row r="593">
      <c r="A593" s="56" t="str">
        <f>IFERROR(__xludf.DUMMYFUNCTION("IF('AYIRA MINI MART FINAL MENU - Pr'!A593="""", """", IF(LEN(TRIM(REGEXREPLACE(REGEXREPLACE('AYIRA MINI MART FINAL MENU - Pr'!A593, ""^[^\x{0600}-\x{06FF}]+"", """"), ""^[-–\s]+"", """")))&gt;0, TRIM(REGEXREPLACE(REGEXREPLACE('AYIRA MINI MART FINAL MENU - Pr"&amp;"'!A593, ""^[^\x{0600}-\x{06FF}]+"", """"), ""^[-–\s]+"", """")), GOOGLETRANSLATE('AYIRA MINI MART FINAL MENU - Pr'!A593, ""en"", ""ar"")))"),"كلاسيك Napolitaner 45 GM")</f>
        <v>كلاسيك Napolitaner 45 GM</v>
      </c>
      <c r="B593" s="56" t="str">
        <f>IFERROR(__xludf.DUMMYFUNCTION("IF('AYIRA MINI MART FINAL MENU - Pr'!B593="""", """", IF(LEN(TRIM(REGEXREPLACE(REGEXREPLACE('AYIRA MINI MART FINAL MENU - Pr'!B593, ""^[^\x{0600}-\x{06FF}]+"", """"), ""^[-–\s]+"", """")))&gt;0, TRIM(REGEXREPLACE(REGEXREPLACE('AYIRA MINI MART FINAL MENU - Pr"&amp;"'!B593, ""^[^\x{0600}-\x{06FF}]+"", """"), ""^[-–\s]+"", """")), GOOGLETRANSLATE('AYIRA MINI MART FINAL MENU - Pr'!B593, ""en"", ""ar"")))"),"الشوكولاتة")</f>
        <v>الشوكولاتة</v>
      </c>
      <c r="C593" s="58">
        <f>IF('AYIRA MINI MART FINAL MENU - Pr'!C593="", "", 'AYIRA MINI MART FINAL MENU - Pr'!C593)</f>
        <v>3</v>
      </c>
      <c r="D593" s="58" t="str">
        <f>IF('AYIRA MINI MART FINAL MENU - Pr'!D593="", "", 'AYIRA MINI MART FINAL MENU - Pr'!D593)</f>
        <v>لا تقاوم طعم Loacker Classic Napolitaner 45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93" s="56" t="str">
        <f>IF('AYIRA MINI MART FINAL MENU - Pr'!E593="", "", 'AYIRA MINI MART FINAL MENU - Pr'!E593)</f>
        <v/>
      </c>
      <c r="F593" s="56" t="str">
        <f>IF('AYIRA MINI MART FINAL MENU - Pr'!F593="", "", 'AYIRA MINI MART FINAL MENU - Pr'!F593)</f>
        <v/>
      </c>
      <c r="G593" s="56" t="str">
        <f>IF('AYIRA MINI MART FINAL MENU - Pr'!G593="", "", 'AYIRA MINI MART FINAL MENU - Pr'!G593)</f>
        <v/>
      </c>
      <c r="H593" s="56" t="str">
        <f>IF('AYIRA MINI MART FINAL MENU - Pr'!H593="", "", 'AYIRA MINI MART FINAL MENU - Pr'!H593)</f>
        <v/>
      </c>
      <c r="I593" s="56" t="str">
        <f>IF('AYIRA MINI MART FINAL MENU - Pr'!I593="", "", 'AYIRA MINI MART FINAL MENU - Pr'!I593)</f>
        <v/>
      </c>
      <c r="J593" s="56" t="str">
        <f>IFERROR(__xludf.DUMMYFUNCTION("IF('AYIRA MINI MART FINAL MENU - Pr'!J593="""", """", GOOGLETRANSLATE('AYIRA MINI MART FINAL MENU - Pr'!J593, ""en"", ""ar""))"),"يعرض")</f>
        <v>يعرض</v>
      </c>
      <c r="K593" s="56" t="str">
        <f>IF('AYIRA MINI MART FINAL MENU - Pr'!K593="", "", 'AYIRA MINI MART FINAL MENU - Pr'!K593)</f>
        <v/>
      </c>
      <c r="L593" s="56" t="str">
        <f>IF('AYIRA MINI MART FINAL MENU - Pr'!L593="", "", 'AYIRA MINI MART FINAL MENU - Pr'!L593)</f>
        <v/>
      </c>
      <c r="M593" s="56" t="str">
        <f>IF('AYIRA MINI MART FINAL MENU - Pr'!M593="", "", 'AYIRA MINI MART FINAL MENU - Pr'!M593)</f>
        <v/>
      </c>
      <c r="N593" s="56" t="str">
        <f>IF('AYIRA MINI MART FINAL MENU - Pr'!N593="", "", 'AYIRA MINI MART FINAL MENU - Pr'!N593)</f>
        <v/>
      </c>
      <c r="O593" s="57"/>
      <c r="P593" s="57"/>
      <c r="Q593" s="57"/>
      <c r="R593" s="57"/>
      <c r="S593" s="57"/>
      <c r="T593" s="57"/>
      <c r="U593" s="57"/>
      <c r="V593" s="57"/>
      <c r="W593" s="57"/>
      <c r="X593" s="57"/>
      <c r="Y593" s="57"/>
      <c r="Z593" s="57"/>
    </row>
    <row r="594">
      <c r="A594" s="56" t="str">
        <f>IFERROR(__xludf.DUMMYFUNCTION("IF('AYIRA MINI MART FINAL MENU - Pr'!A594="""", """", IF(LEN(TRIM(REGEXREPLACE(REGEXREPLACE('AYIRA MINI MART FINAL MENU - Pr'!A594, ""^[^\x{0600}-\x{06FF}]+"", """"), ""^[-–\s]+"", """")))&gt;0, TRIM(REGEXREPLACE(REGEXREPLACE('AYIRA MINI MART FINAL MENU - Pr"&amp;"'!A594, ""^[^\x{0600}-\x{06FF}]+"", """"), ""^[-–\s]+"", """")), GOOGLETRANSLATE('AYIRA MINI MART FINAL MENU - Pr'!A594, ""en"", ""ar"")))"),"مالتيزرز 37 GM")</f>
        <v>مالتيزرز 37 GM</v>
      </c>
      <c r="B594" s="56" t="str">
        <f>IFERROR(__xludf.DUMMYFUNCTION("IF('AYIRA MINI MART FINAL MENU - Pr'!B594="""", """", IF(LEN(TRIM(REGEXREPLACE(REGEXREPLACE('AYIRA MINI MART FINAL MENU - Pr'!B594, ""^[^\x{0600}-\x{06FF}]+"", """"), ""^[-–\s]+"", """")))&gt;0, TRIM(REGEXREPLACE(REGEXREPLACE('AYIRA MINI MART FINAL MENU - Pr"&amp;"'!B594, ""^[^\x{0600}-\x{06FF}]+"", """"), ""^[-–\s]+"", """")), GOOGLETRANSLATE('AYIRA MINI MART FINAL MENU - Pr'!B594, ""en"", ""ar"")))"),"الشوكولاتة")</f>
        <v>الشوكولاتة</v>
      </c>
      <c r="C594" s="58">
        <f>IF('AYIRA MINI MART FINAL MENU - Pr'!C594="", "", 'AYIRA MINI MART FINAL MENU - Pr'!C594)</f>
        <v>4.5</v>
      </c>
      <c r="D594" s="58" t="str">
        <f>IF('AYIRA MINI MART FINAL MENU - Pr'!D594="", "", 'AYIRA MINI MART FINAL MENU - Pr'!D594)</f>
        <v>لا تقاوم طعم Maltesers 37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94" s="56" t="str">
        <f>IF('AYIRA MINI MART FINAL MENU - Pr'!E594="", "", 'AYIRA MINI MART FINAL MENU - Pr'!E594)</f>
        <v/>
      </c>
      <c r="F594" s="56" t="str">
        <f>IF('AYIRA MINI MART FINAL MENU - Pr'!F594="", "", 'AYIRA MINI MART FINAL MENU - Pr'!F594)</f>
        <v/>
      </c>
      <c r="G594" s="56" t="str">
        <f>IF('AYIRA MINI MART FINAL MENU - Pr'!G594="", "", 'AYIRA MINI MART FINAL MENU - Pr'!G594)</f>
        <v/>
      </c>
      <c r="H594" s="56" t="str">
        <f>IF('AYIRA MINI MART FINAL MENU - Pr'!H594="", "", 'AYIRA MINI MART FINAL MENU - Pr'!H594)</f>
        <v/>
      </c>
      <c r="I594" s="56" t="str">
        <f>IF('AYIRA MINI MART FINAL MENU - Pr'!I594="", "", 'AYIRA MINI MART FINAL MENU - Pr'!I594)</f>
        <v/>
      </c>
      <c r="J594" s="56" t="str">
        <f>IFERROR(__xludf.DUMMYFUNCTION("IF('AYIRA MINI MART FINAL MENU - Pr'!J594="""", """", GOOGLETRANSLATE('AYIRA MINI MART FINAL MENU - Pr'!J594, ""en"", ""ar""))"),"يعرض")</f>
        <v>يعرض</v>
      </c>
      <c r="K594" s="56" t="str">
        <f>IF('AYIRA MINI MART FINAL MENU - Pr'!K594="", "", 'AYIRA MINI MART FINAL MENU - Pr'!K594)</f>
        <v/>
      </c>
      <c r="L594" s="56" t="str">
        <f>IF('AYIRA MINI MART FINAL MENU - Pr'!L594="", "", 'AYIRA MINI MART FINAL MENU - Pr'!L594)</f>
        <v/>
      </c>
      <c r="M594" s="56" t="str">
        <f>IF('AYIRA MINI MART FINAL MENU - Pr'!M594="", "", 'AYIRA MINI MART FINAL MENU - Pr'!M594)</f>
        <v/>
      </c>
      <c r="N594" s="56" t="str">
        <f>IF('AYIRA MINI MART FINAL MENU - Pr'!N594="", "", 'AYIRA MINI MART FINAL MENU - Pr'!N594)</f>
        <v/>
      </c>
      <c r="O594" s="57"/>
      <c r="P594" s="57"/>
      <c r="Q594" s="57"/>
      <c r="R594" s="57"/>
      <c r="S594" s="57"/>
      <c r="T594" s="57"/>
      <c r="U594" s="57"/>
      <c r="V594" s="57"/>
      <c r="W594" s="57"/>
      <c r="X594" s="57"/>
      <c r="Y594" s="57"/>
      <c r="Z594" s="57"/>
    </row>
    <row r="595">
      <c r="A595" s="56" t="str">
        <f>IFERROR(__xludf.DUMMYFUNCTION("IF('AYIRA MINI MART FINAL MENU - Pr'!A595="""", """", IF(LEN(TRIM(REGEXREPLACE(REGEXREPLACE('AYIRA MINI MART FINAL MENU - Pr'!A595, ""^[^\x{0600}-\x{06FF}]+"", """"), ""^[-–\s]+"", """")))&gt;0, TRIM(REGEXREPLACE(REGEXREPLACE('AYIRA MINI MART FINAL MENU - Pr"&amp;"'!A595, ""^[^\x{0600}-\x{06FF}]+"", """"), ""^[-–\s]+"", """")), GOOGLETRANSLATE('AYIRA MINI MART FINAL MENU - Pr'!A595, ""en"", ""ar"")))"),"ميني عصا 20 GM")</f>
        <v>ميني عصا 20 GM</v>
      </c>
      <c r="B595" s="56" t="str">
        <f>IFERROR(__xludf.DUMMYFUNCTION("IF('AYIRA MINI MART FINAL MENU - Pr'!B595="""", """", IF(LEN(TRIM(REGEXREPLACE(REGEXREPLACE('AYIRA MINI MART FINAL MENU - Pr'!B595, ""^[^\x{0600}-\x{06FF}]+"", """"), ""^[-–\s]+"", """")))&gt;0, TRIM(REGEXREPLACE(REGEXREPLACE('AYIRA MINI MART FINAL MENU - Pr"&amp;"'!B595, ""^[^\x{0600}-\x{06FF}]+"", """"), ""^[-–\s]+"", """")), GOOGLETRANSLATE('AYIRA MINI MART FINAL MENU - Pr'!B595, ""en"", ""ar"")))"),"الشوكولاتة")</f>
        <v>الشوكولاتة</v>
      </c>
      <c r="C595" s="58">
        <f>IF('AYIRA MINI MART FINAL MENU - Pr'!C595="", "", 'AYIRA MINI MART FINAL MENU - Pr'!C595)</f>
        <v>1</v>
      </c>
      <c r="D595" s="58" t="str">
        <f>IF('AYIRA MINI MART FINAL MENU - Pr'!D595="", "", 'AYIRA MINI MART FINAL MENU - Pr'!D595)</f>
        <v>لا تقاوم طعم Astor Mini Stick 20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95" s="56" t="str">
        <f>IF('AYIRA MINI MART FINAL MENU - Pr'!E595="", "", 'AYIRA MINI MART FINAL MENU - Pr'!E595)</f>
        <v/>
      </c>
      <c r="F595" s="56" t="str">
        <f>IF('AYIRA MINI MART FINAL MENU - Pr'!F595="", "", 'AYIRA MINI MART FINAL MENU - Pr'!F595)</f>
        <v/>
      </c>
      <c r="G595" s="56" t="str">
        <f>IF('AYIRA MINI MART FINAL MENU - Pr'!G595="", "", 'AYIRA MINI MART FINAL MENU - Pr'!G595)</f>
        <v/>
      </c>
      <c r="H595" s="56" t="str">
        <f>IF('AYIRA MINI MART FINAL MENU - Pr'!H595="", "", 'AYIRA MINI MART FINAL MENU - Pr'!H595)</f>
        <v/>
      </c>
      <c r="I595" s="56" t="str">
        <f>IF('AYIRA MINI MART FINAL MENU - Pr'!I595="", "", 'AYIRA MINI MART FINAL MENU - Pr'!I595)</f>
        <v/>
      </c>
      <c r="J595" s="56" t="str">
        <f>IFERROR(__xludf.DUMMYFUNCTION("IF('AYIRA MINI MART FINAL MENU - Pr'!J595="""", """", GOOGLETRANSLATE('AYIRA MINI MART FINAL MENU - Pr'!J595, ""en"", ""ar""))"),"يعرض")</f>
        <v>يعرض</v>
      </c>
      <c r="K595" s="56" t="str">
        <f>IF('AYIRA MINI MART FINAL MENU - Pr'!K595="", "", 'AYIRA MINI MART FINAL MENU - Pr'!K595)</f>
        <v/>
      </c>
      <c r="L595" s="56" t="str">
        <f>IF('AYIRA MINI MART FINAL MENU - Pr'!L595="", "", 'AYIRA MINI MART FINAL MENU - Pr'!L595)</f>
        <v/>
      </c>
      <c r="M595" s="56" t="str">
        <f>IF('AYIRA MINI MART FINAL MENU - Pr'!M595="", "", 'AYIRA MINI MART FINAL MENU - Pr'!M595)</f>
        <v/>
      </c>
      <c r="N595" s="56" t="str">
        <f>IF('AYIRA MINI MART FINAL MENU - Pr'!N595="", "", 'AYIRA MINI MART FINAL MENU - Pr'!N595)</f>
        <v/>
      </c>
      <c r="O595" s="57"/>
      <c r="P595" s="57"/>
      <c r="Q595" s="57"/>
      <c r="R595" s="57"/>
      <c r="S595" s="57"/>
      <c r="T595" s="57"/>
      <c r="U595" s="57"/>
      <c r="V595" s="57"/>
      <c r="W595" s="57"/>
      <c r="X595" s="57"/>
      <c r="Y595" s="57"/>
      <c r="Z595" s="57"/>
    </row>
    <row r="596">
      <c r="A596" s="56" t="str">
        <f>IFERROR(__xludf.DUMMYFUNCTION("IF('AYIRA MINI MART FINAL MENU - Pr'!A596="""", """", IF(LEN(TRIM(REGEXREPLACE(REGEXREPLACE('AYIRA MINI MART FINAL MENU - Pr'!A596, ""^[^\x{0600}-\x{06FF}]+"", """"), ""^[-–\s]+"", """")))&gt;0, TRIM(REGEXREPLACE(REGEXREPLACE('AYIRA MINI MART FINAL MENU - Pr"&amp;"'!A596, ""^[^\x{0600}-\x{06FF}]+"", """"), ""^[-–\s]+"", """")), GOOGLETRANSLATE('AYIRA MINI MART FINAL MENU - Pr'!A596, ""en"", ""ar"")))"),"شوكولاتة 45 GM")</f>
        <v>شوكولاتة 45 GM</v>
      </c>
      <c r="B596" s="56" t="str">
        <f>IFERROR(__xludf.DUMMYFUNCTION("IF('AYIRA MINI MART FINAL MENU - Pr'!B596="""", """", IF(LEN(TRIM(REGEXREPLACE(REGEXREPLACE('AYIRA MINI MART FINAL MENU - Pr'!B596, ""^[^\x{0600}-\x{06FF}]+"", """"), ""^[-–\s]+"", """")))&gt;0, TRIM(REGEXREPLACE(REGEXREPLACE('AYIRA MINI MART FINAL MENU - Pr"&amp;"'!B596, ""^[^\x{0600}-\x{06FF}]+"", """"), ""^[-–\s]+"", """")), GOOGLETRANSLATE('AYIRA MINI MART FINAL MENU - Pr'!B596, ""en"", ""ar"")))"),"الشوكولاتة")</f>
        <v>الشوكولاتة</v>
      </c>
      <c r="C596" s="58">
        <f>IF('AYIRA MINI MART FINAL MENU - Pr'!C596="", "", 'AYIRA MINI MART FINAL MENU - Pr'!C596)</f>
        <v>4</v>
      </c>
      <c r="D596" s="58" t="str">
        <f>IF('AYIRA MINI MART FINAL MENU - Pr'!D596="", "", 'AYIRA MINI MART FINAL MENU - Pr'!D596)</f>
        <v>دلّل حواسك مع إم آند إم،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596" s="56" t="str">
        <f>IF('AYIRA MINI MART FINAL MENU - Pr'!E596="", "", 'AYIRA MINI MART FINAL MENU - Pr'!E596)</f>
        <v/>
      </c>
      <c r="F596" s="56" t="str">
        <f>IF('AYIRA MINI MART FINAL MENU - Pr'!F596="", "", 'AYIRA MINI MART FINAL MENU - Pr'!F596)</f>
        <v/>
      </c>
      <c r="G596" s="56" t="str">
        <f>IF('AYIRA MINI MART FINAL MENU - Pr'!G596="", "", 'AYIRA MINI MART FINAL MENU - Pr'!G596)</f>
        <v/>
      </c>
      <c r="H596" s="56" t="str">
        <f>IF('AYIRA MINI MART FINAL MENU - Pr'!H596="", "", 'AYIRA MINI MART FINAL MENU - Pr'!H596)</f>
        <v/>
      </c>
      <c r="I596" s="56" t="str">
        <f>IF('AYIRA MINI MART FINAL MENU - Pr'!I596="", "", 'AYIRA MINI MART FINAL MENU - Pr'!I596)</f>
        <v/>
      </c>
      <c r="J596" s="56" t="str">
        <f>IFERROR(__xludf.DUMMYFUNCTION("IF('AYIRA MINI MART FINAL MENU - Pr'!J596="""", """", GOOGLETRANSLATE('AYIRA MINI MART FINAL MENU - Pr'!J596, ""en"", ""ar""))"),"يعرض")</f>
        <v>يعرض</v>
      </c>
      <c r="K596" s="56" t="str">
        <f>IF('AYIRA MINI MART FINAL MENU - Pr'!K596="", "", 'AYIRA MINI MART FINAL MENU - Pr'!K596)</f>
        <v/>
      </c>
      <c r="L596" s="56" t="str">
        <f>IF('AYIRA MINI MART FINAL MENU - Pr'!L596="", "", 'AYIRA MINI MART FINAL MENU - Pr'!L596)</f>
        <v/>
      </c>
      <c r="M596" s="56" t="str">
        <f>IF('AYIRA MINI MART FINAL MENU - Pr'!M596="", "", 'AYIRA MINI MART FINAL MENU - Pr'!M596)</f>
        <v/>
      </c>
      <c r="N596" s="56" t="str">
        <f>IF('AYIRA MINI MART FINAL MENU - Pr'!N596="", "", 'AYIRA MINI MART FINAL MENU - Pr'!N596)</f>
        <v/>
      </c>
      <c r="O596" s="57"/>
      <c r="P596" s="57"/>
      <c r="Q596" s="57"/>
      <c r="R596" s="57"/>
      <c r="S596" s="57"/>
      <c r="T596" s="57"/>
      <c r="U596" s="57"/>
      <c r="V596" s="57"/>
      <c r="W596" s="57"/>
      <c r="X596" s="57"/>
      <c r="Y596" s="57"/>
      <c r="Z596" s="57"/>
    </row>
    <row r="597">
      <c r="A597" s="56" t="str">
        <f>IFERROR(__xludf.DUMMYFUNCTION("IF('AYIRA MINI MART FINAL MENU - Pr'!A597="""", """", IF(LEN(TRIM(REGEXREPLACE(REGEXREPLACE('AYIRA MINI MART FINAL MENU - Pr'!A597, ""^[^\x{0600}-\x{06FF}]+"", """"), ""^[-–\s]+"", """")))&gt;0, TRIM(REGEXREPLACE(REGEXREPLACE('AYIRA MINI MART FINAL MENU - Pr"&amp;"'!A597, ""^[^\x{0600}-\x{06FF}]+"", """"), ""^[-–\s]+"", """")), GOOGLETRANSLATE('AYIRA MINI MART FINAL MENU - Pr'!A597, ""en"", ""ar"")))"),"نستله Lion 30 GM")</f>
        <v>نستله Lion 30 GM</v>
      </c>
      <c r="B597" s="56" t="str">
        <f>IFERROR(__xludf.DUMMYFUNCTION("IF('AYIRA MINI MART FINAL MENU - Pr'!B597="""", """", IF(LEN(TRIM(REGEXREPLACE(REGEXREPLACE('AYIRA MINI MART FINAL MENU - Pr'!B597, ""^[^\x{0600}-\x{06FF}]+"", """"), ""^[-–\s]+"", """")))&gt;0, TRIM(REGEXREPLACE(REGEXREPLACE('AYIRA MINI MART FINAL MENU - Pr"&amp;"'!B597, ""^[^\x{0600}-\x{06FF}]+"", """"), ""^[-–\s]+"", """")), GOOGLETRANSLATE('AYIRA MINI MART FINAL MENU - Pr'!B597, ""en"", ""ar"")))"),"الشوكولاتة")</f>
        <v>الشوكولاتة</v>
      </c>
      <c r="C597" s="58">
        <f>IF('AYIRA MINI MART FINAL MENU - Pr'!C597="", "", 'AYIRA MINI MART FINAL MENU - Pr'!C597)</f>
        <v>3</v>
      </c>
      <c r="D597" s="58" t="str">
        <f>IF('AYIRA MINI MART FINAL MENU - Pr'!D597="", "", 'AYIRA MINI MART FINAL MENU - Pr'!D597)</f>
        <v>لا تقاوم طعم Nestlé Lion 30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597" s="56" t="str">
        <f>IF('AYIRA MINI MART FINAL MENU - Pr'!E597="", "", 'AYIRA MINI MART FINAL MENU - Pr'!E597)</f>
        <v/>
      </c>
      <c r="F597" s="56" t="str">
        <f>IF('AYIRA MINI MART FINAL MENU - Pr'!F597="", "", 'AYIRA MINI MART FINAL MENU - Pr'!F597)</f>
        <v/>
      </c>
      <c r="G597" s="56" t="str">
        <f>IF('AYIRA MINI MART FINAL MENU - Pr'!G597="", "", 'AYIRA MINI MART FINAL MENU - Pr'!G597)</f>
        <v/>
      </c>
      <c r="H597" s="56" t="str">
        <f>IF('AYIRA MINI MART FINAL MENU - Pr'!H597="", "", 'AYIRA MINI MART FINAL MENU - Pr'!H597)</f>
        <v/>
      </c>
      <c r="I597" s="56" t="str">
        <f>IF('AYIRA MINI MART FINAL MENU - Pr'!I597="", "", 'AYIRA MINI MART FINAL MENU - Pr'!I597)</f>
        <v/>
      </c>
      <c r="J597" s="56" t="str">
        <f>IFERROR(__xludf.DUMMYFUNCTION("IF('AYIRA MINI MART FINAL MENU - Pr'!J597="""", """", GOOGLETRANSLATE('AYIRA MINI MART FINAL MENU - Pr'!J597, ""en"", ""ar""))"),"يعرض")</f>
        <v>يعرض</v>
      </c>
      <c r="K597" s="56" t="str">
        <f>IF('AYIRA MINI MART FINAL MENU - Pr'!K597="", "", 'AYIRA MINI MART FINAL MENU - Pr'!K597)</f>
        <v/>
      </c>
      <c r="L597" s="56" t="str">
        <f>IF('AYIRA MINI MART FINAL MENU - Pr'!L597="", "", 'AYIRA MINI MART FINAL MENU - Pr'!L597)</f>
        <v/>
      </c>
      <c r="M597" s="56" t="str">
        <f>IF('AYIRA MINI MART FINAL MENU - Pr'!M597="", "", 'AYIRA MINI MART FINAL MENU - Pr'!M597)</f>
        <v/>
      </c>
      <c r="N597" s="56" t="str">
        <f>IF('AYIRA MINI MART FINAL MENU - Pr'!N597="", "", 'AYIRA MINI MART FINAL MENU - Pr'!N597)</f>
        <v/>
      </c>
      <c r="O597" s="57"/>
      <c r="P597" s="57"/>
      <c r="Q597" s="57"/>
      <c r="R597" s="57"/>
      <c r="S597" s="57"/>
      <c r="T597" s="57"/>
      <c r="U597" s="57"/>
      <c r="V597" s="57"/>
      <c r="W597" s="57"/>
      <c r="X597" s="57"/>
      <c r="Y597" s="57"/>
      <c r="Z597" s="57"/>
    </row>
    <row r="598">
      <c r="A598" s="56" t="str">
        <f>IFERROR(__xludf.DUMMYFUNCTION("IF('AYIRA MINI MART FINAL MENU - Pr'!A598="""", """", IF(LEN(TRIM(REGEXREPLACE(REGEXREPLACE('AYIRA MINI MART FINAL MENU - Pr'!A598, ""^[^\x{0600}-\x{06FF}]+"", """"), ""^[-–\s]+"", """")))&gt;0, TRIM(REGEXREPLACE(REGEXREPLACE('AYIRA MINI MART FINAL MENU - Pr"&amp;"'!A598, ""^[^\x{0600}-\x{06FF}]+"", """"), ""^[-–\s]+"", """")), GOOGLETRANSLATE('AYIRA MINI MART FINAL MENU - Pr'!A598, ""en"", ""ar"")))"),"فول سوداني 45 GM")</f>
        <v>فول سوداني 45 GM</v>
      </c>
      <c r="B598" s="56" t="str">
        <f>IFERROR(__xludf.DUMMYFUNCTION("IF('AYIRA MINI MART FINAL MENU - Pr'!B598="""", """", IF(LEN(TRIM(REGEXREPLACE(REGEXREPLACE('AYIRA MINI MART FINAL MENU - Pr'!B598, ""^[^\x{0600}-\x{06FF}]+"", """"), ""^[-–\s]+"", """")))&gt;0, TRIM(REGEXREPLACE(REGEXREPLACE('AYIRA MINI MART FINAL MENU - Pr"&amp;"'!B598, ""^[^\x{0600}-\x{06FF}]+"", """"), ""^[-–\s]+"", """")), GOOGLETRANSLATE('AYIRA MINI MART FINAL MENU - Pr'!B598, ""en"", ""ar"")))"),"الشوكولاتة")</f>
        <v>الشوكولاتة</v>
      </c>
      <c r="C598" s="58">
        <f>IF('AYIRA MINI MART FINAL MENU - Pr'!C598="", "", 'AYIRA MINI MART FINAL MENU - Pr'!C598)</f>
        <v>4</v>
      </c>
      <c r="D598" s="58" t="str">
        <f>IF('AYIRA MINI MART FINAL MENU - Pr'!D598="", "", 'AYIRA MINI MART FINAL MENU - Pr'!D598)</f>
        <v>اختر إم آند إم،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598" s="56" t="str">
        <f>IF('AYIRA MINI MART FINAL MENU - Pr'!E598="", "", 'AYIRA MINI MART FINAL MENU - Pr'!E598)</f>
        <v/>
      </c>
      <c r="F598" s="56" t="str">
        <f>IF('AYIRA MINI MART FINAL MENU - Pr'!F598="", "", 'AYIRA MINI MART FINAL MENU - Pr'!F598)</f>
        <v/>
      </c>
      <c r="G598" s="56" t="str">
        <f>IF('AYIRA MINI MART FINAL MENU - Pr'!G598="", "", 'AYIRA MINI MART FINAL MENU - Pr'!G598)</f>
        <v/>
      </c>
      <c r="H598" s="56" t="str">
        <f>IF('AYIRA MINI MART FINAL MENU - Pr'!H598="", "", 'AYIRA MINI MART FINAL MENU - Pr'!H598)</f>
        <v/>
      </c>
      <c r="I598" s="56" t="str">
        <f>IF('AYIRA MINI MART FINAL MENU - Pr'!I598="", "", 'AYIRA MINI MART FINAL MENU - Pr'!I598)</f>
        <v/>
      </c>
      <c r="J598" s="56" t="str">
        <f>IFERROR(__xludf.DUMMYFUNCTION("IF('AYIRA MINI MART FINAL MENU - Pr'!J598="""", """", GOOGLETRANSLATE('AYIRA MINI MART FINAL MENU - Pr'!J598, ""en"", ""ar""))"),"يعرض")</f>
        <v>يعرض</v>
      </c>
      <c r="K598" s="56" t="str">
        <f>IF('AYIRA MINI MART FINAL MENU - Pr'!K598="", "", 'AYIRA MINI MART FINAL MENU - Pr'!K598)</f>
        <v/>
      </c>
      <c r="L598" s="56" t="str">
        <f>IF('AYIRA MINI MART FINAL MENU - Pr'!L598="", "", 'AYIRA MINI MART FINAL MENU - Pr'!L598)</f>
        <v/>
      </c>
      <c r="M598" s="56" t="str">
        <f>IF('AYIRA MINI MART FINAL MENU - Pr'!M598="", "", 'AYIRA MINI MART FINAL MENU - Pr'!M598)</f>
        <v/>
      </c>
      <c r="N598" s="56" t="str">
        <f>IF('AYIRA MINI MART FINAL MENU - Pr'!N598="", "", 'AYIRA MINI MART FINAL MENU - Pr'!N598)</f>
        <v/>
      </c>
      <c r="O598" s="57"/>
      <c r="P598" s="57"/>
      <c r="Q598" s="57"/>
      <c r="R598" s="57"/>
      <c r="S598" s="57"/>
      <c r="T598" s="57"/>
      <c r="U598" s="57"/>
      <c r="V598" s="57"/>
      <c r="W598" s="57"/>
      <c r="X598" s="57"/>
      <c r="Y598" s="57"/>
      <c r="Z598" s="57"/>
    </row>
    <row r="599">
      <c r="A599" s="56" t="str">
        <f>IFERROR(__xludf.DUMMYFUNCTION("IF('AYIRA MINI MART FINAL MENU - Pr'!A599="""", """", IF(LEN(TRIM(REGEXREPLACE(REGEXREPLACE('AYIRA MINI MART FINAL MENU - Pr'!A599, ""^[^\x{0600}-\x{06FF}]+"", """"), ""^[-–\s]+"", """")))&gt;0, TRIM(REGEXREPLACE(REGEXREPLACE('AYIRA MINI MART FINAL MENU - Pr"&amp;"'!A599, ""^[^\x{0600}-\x{06FF}]+"", """"), ""^[-–\s]+"", """")), GOOGLETRANSLATE('AYIRA MINI MART FINAL MENU - Pr'!A599, ""en"", ""ar"")))"),"شوكولاتة فيتامين 7 – 50 GM")</f>
        <v>شوكولاتة فيتامين 7 – 50 GM</v>
      </c>
      <c r="B599" s="56" t="str">
        <f>IFERROR(__xludf.DUMMYFUNCTION("IF('AYIRA MINI MART FINAL MENU - Pr'!B599="""", """", IF(LEN(TRIM(REGEXREPLACE(REGEXREPLACE('AYIRA MINI MART FINAL MENU - Pr'!B599, ""^[^\x{0600}-\x{06FF}]+"", """"), ""^[-–\s]+"", """")))&gt;0, TRIM(REGEXREPLACE(REGEXREPLACE('AYIRA MINI MART FINAL MENU - Pr"&amp;"'!B599, ""^[^\x{0600}-\x{06FF}]+"", """"), ""^[-–\s]+"", """")), GOOGLETRANSLATE('AYIRA MINI MART FINAL MENU - Pr'!B599, ""en"", ""ar"")))"),"الشوكولاتة")</f>
        <v>الشوكولاتة</v>
      </c>
      <c r="C599" s="58">
        <f>IF('AYIRA MINI MART FINAL MENU - Pr'!C599="", "", 'AYIRA MINI MART FINAL MENU - Pr'!C599)</f>
        <v>7</v>
      </c>
      <c r="D599" s="58" t="str">
        <f>IF('AYIRA MINI MART FINAL MENU - Pr'!D599="", "", 'AYIRA MINI MART FINAL MENU - Pr'!D599)</f>
        <v>دلّل حواسك مع Go On Protein Cocoa Chocolate Vitamin 7 – 50 GM،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599" s="56" t="str">
        <f>IF('AYIRA MINI MART FINAL MENU - Pr'!E599="", "", 'AYIRA MINI MART FINAL MENU - Pr'!E599)</f>
        <v/>
      </c>
      <c r="F599" s="56" t="str">
        <f>IF('AYIRA MINI MART FINAL MENU - Pr'!F599="", "", 'AYIRA MINI MART FINAL MENU - Pr'!F599)</f>
        <v/>
      </c>
      <c r="G599" s="56" t="str">
        <f>IF('AYIRA MINI MART FINAL MENU - Pr'!G599="", "", 'AYIRA MINI MART FINAL MENU - Pr'!G599)</f>
        <v/>
      </c>
      <c r="H599" s="56" t="str">
        <f>IF('AYIRA MINI MART FINAL MENU - Pr'!H599="", "", 'AYIRA MINI MART FINAL MENU - Pr'!H599)</f>
        <v/>
      </c>
      <c r="I599" s="56" t="str">
        <f>IF('AYIRA MINI MART FINAL MENU - Pr'!I599="", "", 'AYIRA MINI MART FINAL MENU - Pr'!I599)</f>
        <v/>
      </c>
      <c r="J599" s="56" t="str">
        <f>IFERROR(__xludf.DUMMYFUNCTION("IF('AYIRA MINI MART FINAL MENU - Pr'!J599="""", """", GOOGLETRANSLATE('AYIRA MINI MART FINAL MENU - Pr'!J599, ""en"", ""ar""))"),"يعرض")</f>
        <v>يعرض</v>
      </c>
      <c r="K599" s="56" t="str">
        <f>IF('AYIRA MINI MART FINAL MENU - Pr'!K599="", "", 'AYIRA MINI MART FINAL MENU - Pr'!K599)</f>
        <v/>
      </c>
      <c r="L599" s="56" t="str">
        <f>IF('AYIRA MINI MART FINAL MENU - Pr'!L599="", "", 'AYIRA MINI MART FINAL MENU - Pr'!L599)</f>
        <v/>
      </c>
      <c r="M599" s="56" t="str">
        <f>IF('AYIRA MINI MART FINAL MENU - Pr'!M599="", "", 'AYIRA MINI MART FINAL MENU - Pr'!M599)</f>
        <v/>
      </c>
      <c r="N599" s="56" t="str">
        <f>IF('AYIRA MINI MART FINAL MENU - Pr'!N599="", "", 'AYIRA MINI MART FINAL MENU - Pr'!N599)</f>
        <v/>
      </c>
      <c r="O599" s="57"/>
      <c r="P599" s="57"/>
      <c r="Q599" s="57"/>
      <c r="R599" s="57"/>
      <c r="S599" s="57"/>
      <c r="T599" s="57"/>
      <c r="U599" s="57"/>
      <c r="V599" s="57"/>
      <c r="W599" s="57"/>
      <c r="X599" s="57"/>
      <c r="Y599" s="57"/>
      <c r="Z599" s="57"/>
    </row>
    <row r="600">
      <c r="A600" s="56" t="str">
        <f>IFERROR(__xludf.DUMMYFUNCTION("IF('AYIRA MINI MART FINAL MENU - Pr'!A600="""", """", IF(LEN(TRIM(REGEXREPLACE(REGEXREPLACE('AYIRA MINI MART FINAL MENU - Pr'!A600, ""^[^\x{0600}-\x{06FF}]+"", """"), ""^[-–\s]+"", """")))&gt;0, TRIM(REGEXREPLACE(REGEXREPLACE('AYIRA MINI MART FINAL MENU - Pr"&amp;"'!A600, ""^[^\x{0600}-\x{06FF}]+"", """"), ""^[-–\s]+"", """")), GOOGLETRANSLATE('AYIRA MINI MART FINAL MENU - Pr'!A600, ""en"", ""ar"")))"),"فيتامين L-Carnitine Magnesium 7 فيتامينات 50 GM")</f>
        <v>فيتامين L-Carnitine Magnesium 7 فيتامينات 50 GM</v>
      </c>
      <c r="B600" s="56" t="str">
        <f>IFERROR(__xludf.DUMMYFUNCTION("IF('AYIRA MINI MART FINAL MENU - Pr'!B600="""", """", IF(LEN(TRIM(REGEXREPLACE(REGEXREPLACE('AYIRA MINI MART FINAL MENU - Pr'!B600, ""^[^\x{0600}-\x{06FF}]+"", """"), ""^[-–\s]+"", """")))&gt;0, TRIM(REGEXREPLACE(REGEXREPLACE('AYIRA MINI MART FINAL MENU - Pr"&amp;"'!B600, ""^[^\x{0600}-\x{06FF}]+"", """"), ""^[-–\s]+"", """")), GOOGLETRANSLATE('AYIRA MINI MART FINAL MENU - Pr'!B600, ""en"", ""ar"")))"),"الشوكولاتة")</f>
        <v>الشوكولاتة</v>
      </c>
      <c r="C600" s="58">
        <f>IF('AYIRA MINI MART FINAL MENU - Pr'!C600="", "", 'AYIRA MINI MART FINAL MENU - Pr'!C600)</f>
        <v>4</v>
      </c>
      <c r="D600" s="58" t="str">
        <f>IF('AYIRA MINI MART FINAL MENU - Pr'!D600="", "", 'AYIRA MINI MART FINAL MENU - Pr'!D600)</f>
        <v>لا تقاوم طعم Go On Vitamin L-Carnitine Magnesium 7 Vitamins 50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00" s="56" t="str">
        <f>IF('AYIRA MINI MART FINAL MENU - Pr'!E600="", "", 'AYIRA MINI MART FINAL MENU - Pr'!E600)</f>
        <v/>
      </c>
      <c r="F600" s="56" t="str">
        <f>IF('AYIRA MINI MART FINAL MENU - Pr'!F600="", "", 'AYIRA MINI MART FINAL MENU - Pr'!F600)</f>
        <v/>
      </c>
      <c r="G600" s="56" t="str">
        <f>IF('AYIRA MINI MART FINAL MENU - Pr'!G600="", "", 'AYIRA MINI MART FINAL MENU - Pr'!G600)</f>
        <v/>
      </c>
      <c r="H600" s="56" t="str">
        <f>IF('AYIRA MINI MART FINAL MENU - Pr'!H600="", "", 'AYIRA MINI MART FINAL MENU - Pr'!H600)</f>
        <v/>
      </c>
      <c r="I600" s="56" t="str">
        <f>IF('AYIRA MINI MART FINAL MENU - Pr'!I600="", "", 'AYIRA MINI MART FINAL MENU - Pr'!I600)</f>
        <v/>
      </c>
      <c r="J600" s="56" t="str">
        <f>IFERROR(__xludf.DUMMYFUNCTION("IF('AYIRA MINI MART FINAL MENU - Pr'!J600="""", """", GOOGLETRANSLATE('AYIRA MINI MART FINAL MENU - Pr'!J600, ""en"", ""ar""))"),"يعرض")</f>
        <v>يعرض</v>
      </c>
      <c r="K600" s="56" t="str">
        <f>IF('AYIRA MINI MART FINAL MENU - Pr'!K600="", "", 'AYIRA MINI MART FINAL MENU - Pr'!K600)</f>
        <v/>
      </c>
      <c r="L600" s="56" t="str">
        <f>IF('AYIRA MINI MART FINAL MENU - Pr'!L600="", "", 'AYIRA MINI MART FINAL MENU - Pr'!L600)</f>
        <v/>
      </c>
      <c r="M600" s="56" t="str">
        <f>IF('AYIRA MINI MART FINAL MENU - Pr'!M600="", "", 'AYIRA MINI MART FINAL MENU - Pr'!M600)</f>
        <v/>
      </c>
      <c r="N600" s="56" t="str">
        <f>IF('AYIRA MINI MART FINAL MENU - Pr'!N600="", "", 'AYIRA MINI MART FINAL MENU - Pr'!N600)</f>
        <v/>
      </c>
      <c r="O600" s="57"/>
      <c r="P600" s="57"/>
      <c r="Q600" s="57"/>
      <c r="R600" s="57"/>
      <c r="S600" s="57"/>
      <c r="T600" s="57"/>
      <c r="U600" s="57"/>
      <c r="V600" s="57"/>
      <c r="W600" s="57"/>
      <c r="X600" s="57"/>
      <c r="Y600" s="57"/>
      <c r="Z600" s="57"/>
    </row>
    <row r="601">
      <c r="A601" s="56" t="str">
        <f>IFERROR(__xludf.DUMMYFUNCTION("IF('AYIRA MINI MART FINAL MENU - Pr'!A601="""", """", IF(LEN(TRIM(REGEXREPLACE(REGEXREPLACE('AYIRA MINI MART FINAL MENU - Pr'!A601, ""^[^\x{0600}-\x{06FF}]+"", """"), ""^[-–\s]+"", """")))&gt;0, TRIM(REGEXREPLACE(REGEXREPLACE('AYIRA MINI MART FINAL MENU - Pr"&amp;"'!A601, ""^[^\x{0600}-\x{06FF}]+"", """"), ""^[-–\s]+"", """")), GOOGLETRANSLATE('AYIRA MINI MART FINAL MENU - Pr'!A601, ""en"", ""ar"")))"),"غالاكسي Minstrels Pleasure Worth Sharing 42 GM")</f>
        <v>غالاكسي Minstrels Pleasure Worth Sharing 42 GM</v>
      </c>
      <c r="B601" s="56" t="str">
        <f>IFERROR(__xludf.DUMMYFUNCTION("IF('AYIRA MINI MART FINAL MENU - Pr'!B601="""", """", IF(LEN(TRIM(REGEXREPLACE(REGEXREPLACE('AYIRA MINI MART FINAL MENU - Pr'!B601, ""^[^\x{0600}-\x{06FF}]+"", """"), ""^[-–\s]+"", """")))&gt;0, TRIM(REGEXREPLACE(REGEXREPLACE('AYIRA MINI MART FINAL MENU - Pr"&amp;"'!B601, ""^[^\x{0600}-\x{06FF}]+"", """"), ""^[-–\s]+"", """")), GOOGLETRANSLATE('AYIRA MINI MART FINAL MENU - Pr'!B601, ""en"", ""ar"")))"),"الشوكولاتة")</f>
        <v>الشوكولاتة</v>
      </c>
      <c r="C601" s="58">
        <f>IF('AYIRA MINI MART FINAL MENU - Pr'!C601="", "", 'AYIRA MINI MART FINAL MENU - Pr'!C601)</f>
        <v>4.5</v>
      </c>
      <c r="D601" s="58" t="str">
        <f>IF('AYIRA MINI MART FINAL MENU - Pr'!D601="", "", 'AYIRA MINI MART FINAL MENU - Pr'!D601)</f>
        <v>لا تقاوم طعم Galaxy Minstrels Pleasure Worth Sharing 42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01" s="56" t="str">
        <f>IF('AYIRA MINI MART FINAL MENU - Pr'!E601="", "", 'AYIRA MINI MART FINAL MENU - Pr'!E601)</f>
        <v/>
      </c>
      <c r="F601" s="56" t="str">
        <f>IF('AYIRA MINI MART FINAL MENU - Pr'!F601="", "", 'AYIRA MINI MART FINAL MENU - Pr'!F601)</f>
        <v/>
      </c>
      <c r="G601" s="56" t="str">
        <f>IF('AYIRA MINI MART FINAL MENU - Pr'!G601="", "", 'AYIRA MINI MART FINAL MENU - Pr'!G601)</f>
        <v/>
      </c>
      <c r="H601" s="56" t="str">
        <f>IF('AYIRA MINI MART FINAL MENU - Pr'!H601="", "", 'AYIRA MINI MART FINAL MENU - Pr'!H601)</f>
        <v/>
      </c>
      <c r="I601" s="56" t="str">
        <f>IF('AYIRA MINI MART FINAL MENU - Pr'!I601="", "", 'AYIRA MINI MART FINAL MENU - Pr'!I601)</f>
        <v/>
      </c>
      <c r="J601" s="56" t="str">
        <f>IFERROR(__xludf.DUMMYFUNCTION("IF('AYIRA MINI MART FINAL MENU - Pr'!J601="""", """", GOOGLETRANSLATE('AYIRA MINI MART FINAL MENU - Pr'!J601, ""en"", ""ar""))"),"يعرض")</f>
        <v>يعرض</v>
      </c>
      <c r="K601" s="56" t="str">
        <f>IF('AYIRA MINI MART FINAL MENU - Pr'!K601="", "", 'AYIRA MINI MART FINAL MENU - Pr'!K601)</f>
        <v/>
      </c>
      <c r="L601" s="56" t="str">
        <f>IF('AYIRA MINI MART FINAL MENU - Pr'!L601="", "", 'AYIRA MINI MART FINAL MENU - Pr'!L601)</f>
        <v/>
      </c>
      <c r="M601" s="56" t="str">
        <f>IF('AYIRA MINI MART FINAL MENU - Pr'!M601="", "", 'AYIRA MINI MART FINAL MENU - Pr'!M601)</f>
        <v/>
      </c>
      <c r="N601" s="56" t="str">
        <f>IF('AYIRA MINI MART FINAL MENU - Pr'!N601="", "", 'AYIRA MINI MART FINAL MENU - Pr'!N601)</f>
        <v/>
      </c>
      <c r="O601" s="57"/>
      <c r="P601" s="57"/>
      <c r="Q601" s="57"/>
      <c r="R601" s="57"/>
      <c r="S601" s="57"/>
      <c r="T601" s="57"/>
      <c r="U601" s="57"/>
      <c r="V601" s="57"/>
      <c r="W601" s="57"/>
      <c r="X601" s="57"/>
      <c r="Y601" s="57"/>
      <c r="Z601" s="57"/>
    </row>
    <row r="602">
      <c r="A602" s="56" t="str">
        <f>IFERROR(__xludf.DUMMYFUNCTION("IF('AYIRA MINI MART FINAL MENU - Pr'!A602="""", """", IF(LEN(TRIM(REGEXREPLACE(REGEXREPLACE('AYIRA MINI MART FINAL MENU - Pr'!A602, ""^[^\x{0600}-\x{06FF}]+"", """"), ""^[-–\s]+"", """")))&gt;0, TRIM(REGEXREPLACE(REGEXREPLACE('AYIRA MINI MART FINAL MENU - Pr"&amp;"'!A602, ""^[^\x{0600}-\x{06FF}]+"", """"), ""^[-–\s]+"", """")), GOOGLETRANSLATE('AYIRA MINI MART FINAL MENU - Pr'!A602, ""en"", ""ar"")))"),"نستله كيت كات 36.5 GM")</f>
        <v>نستله كيت كات 36.5 GM</v>
      </c>
      <c r="B602" s="56" t="str">
        <f>IFERROR(__xludf.DUMMYFUNCTION("IF('AYIRA MINI MART FINAL MENU - Pr'!B602="""", """", IF(LEN(TRIM(REGEXREPLACE(REGEXREPLACE('AYIRA MINI MART FINAL MENU - Pr'!B602, ""^[^\x{0600}-\x{06FF}]+"", """"), ""^[-–\s]+"", """")))&gt;0, TRIM(REGEXREPLACE(REGEXREPLACE('AYIRA MINI MART FINAL MENU - Pr"&amp;"'!B602, ""^[^\x{0600}-\x{06FF}]+"", """"), ""^[-–\s]+"", """")), GOOGLETRANSLATE('AYIRA MINI MART FINAL MENU - Pr'!B602, ""en"", ""ar"")))"),"الشوكولاتة")</f>
        <v>الشوكولاتة</v>
      </c>
      <c r="C602" s="58">
        <f>IF('AYIRA MINI MART FINAL MENU - Pr'!C602="", "", 'AYIRA MINI MART FINAL MENU - Pr'!C602)</f>
        <v>4</v>
      </c>
      <c r="D602" s="58" t="str">
        <f>IF('AYIRA MINI MART FINAL MENU - Pr'!D602="", "", 'AYIRA MINI MART FINAL MENU - Pr'!D602)</f>
        <v>دلّل حواسك مع كيت كات،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02" s="56" t="str">
        <f>IF('AYIRA MINI MART FINAL MENU - Pr'!E602="", "", 'AYIRA MINI MART FINAL MENU - Pr'!E602)</f>
        <v/>
      </c>
      <c r="F602" s="56" t="str">
        <f>IF('AYIRA MINI MART FINAL MENU - Pr'!F602="", "", 'AYIRA MINI MART FINAL MENU - Pr'!F602)</f>
        <v/>
      </c>
      <c r="G602" s="56" t="str">
        <f>IF('AYIRA MINI MART FINAL MENU - Pr'!G602="", "", 'AYIRA MINI MART FINAL MENU - Pr'!G602)</f>
        <v/>
      </c>
      <c r="H602" s="56" t="str">
        <f>IF('AYIRA MINI MART FINAL MENU - Pr'!H602="", "", 'AYIRA MINI MART FINAL MENU - Pr'!H602)</f>
        <v/>
      </c>
      <c r="I602" s="56" t="str">
        <f>IF('AYIRA MINI MART FINAL MENU - Pr'!I602="", "", 'AYIRA MINI MART FINAL MENU - Pr'!I602)</f>
        <v/>
      </c>
      <c r="J602" s="56" t="str">
        <f>IFERROR(__xludf.DUMMYFUNCTION("IF('AYIRA MINI MART FINAL MENU - Pr'!J602="""", """", GOOGLETRANSLATE('AYIRA MINI MART FINAL MENU - Pr'!J602, ""en"", ""ar""))"),"يعرض")</f>
        <v>يعرض</v>
      </c>
      <c r="K602" s="56" t="str">
        <f>IF('AYIRA MINI MART FINAL MENU - Pr'!K602="", "", 'AYIRA MINI MART FINAL MENU - Pr'!K602)</f>
        <v/>
      </c>
      <c r="L602" s="56" t="str">
        <f>IF('AYIRA MINI MART FINAL MENU - Pr'!L602="", "", 'AYIRA MINI MART FINAL MENU - Pr'!L602)</f>
        <v/>
      </c>
      <c r="M602" s="56" t="str">
        <f>IF('AYIRA MINI MART FINAL MENU - Pr'!M602="", "", 'AYIRA MINI MART FINAL MENU - Pr'!M602)</f>
        <v/>
      </c>
      <c r="N602" s="56" t="str">
        <f>IF('AYIRA MINI MART FINAL MENU - Pr'!N602="", "", 'AYIRA MINI MART FINAL MENU - Pr'!N602)</f>
        <v/>
      </c>
      <c r="O602" s="57"/>
      <c r="P602" s="57"/>
      <c r="Q602" s="57"/>
      <c r="R602" s="57"/>
      <c r="S602" s="57"/>
      <c r="T602" s="57"/>
      <c r="U602" s="57"/>
      <c r="V602" s="57"/>
      <c r="W602" s="57"/>
      <c r="X602" s="57"/>
      <c r="Y602" s="57"/>
      <c r="Z602" s="57"/>
    </row>
    <row r="603">
      <c r="A603" s="56" t="str">
        <f>IFERROR(__xludf.DUMMYFUNCTION("IF('AYIRA MINI MART FINAL MENU - Pr'!A603="""", """", IF(LEN(TRIM(REGEXREPLACE(REGEXREPLACE('AYIRA MINI MART FINAL MENU - Pr'!A603, ""^[^\x{0600}-\x{06FF}]+"", """"), ""^[-–\s]+"", """")))&gt;0, TRIM(REGEXREPLACE(REGEXREPLACE('AYIRA MINI MART FINAL MENU - Pr"&amp;"'!A603, ""^[^\x{0600}-\x{06FF}]+"", """"), ""^[-–\s]+"", """")), GOOGLETRANSLATE('AYIRA MINI MART FINAL MENU - Pr'!A603, ""en"", ""ar"")))"),"نستله كيت كات 18 GM")</f>
        <v>نستله كيت كات 18 GM</v>
      </c>
      <c r="B603" s="56" t="str">
        <f>IFERROR(__xludf.DUMMYFUNCTION("IF('AYIRA MINI MART FINAL MENU - Pr'!B603="""", """", IF(LEN(TRIM(REGEXREPLACE(REGEXREPLACE('AYIRA MINI MART FINAL MENU - Pr'!B603, ""^[^\x{0600}-\x{06FF}]+"", """"), ""^[-–\s]+"", """")))&gt;0, TRIM(REGEXREPLACE(REGEXREPLACE('AYIRA MINI MART FINAL MENU - Pr"&amp;"'!B603, ""^[^\x{0600}-\x{06FF}]+"", """"), ""^[-–\s]+"", """")), GOOGLETRANSLATE('AYIRA MINI MART FINAL MENU - Pr'!B603, ""en"", ""ar"")))"),"الشوكولاتة")</f>
        <v>الشوكولاتة</v>
      </c>
      <c r="C603" s="58">
        <f>IF('AYIRA MINI MART FINAL MENU - Pr'!C603="", "", 'AYIRA MINI MART FINAL MENU - Pr'!C603)</f>
        <v>2</v>
      </c>
      <c r="D603" s="58" t="str">
        <f>IF('AYIRA MINI MART FINAL MENU - Pr'!D603="", "", 'AYIRA MINI MART FINAL MENU - Pr'!D603)</f>
        <v>دلّل حواسك مع كيت كات،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03" s="56" t="str">
        <f>IF('AYIRA MINI MART FINAL MENU - Pr'!E603="", "", 'AYIRA MINI MART FINAL MENU - Pr'!E603)</f>
        <v/>
      </c>
      <c r="F603" s="56" t="str">
        <f>IF('AYIRA MINI MART FINAL MENU - Pr'!F603="", "", 'AYIRA MINI MART FINAL MENU - Pr'!F603)</f>
        <v/>
      </c>
      <c r="G603" s="56" t="str">
        <f>IF('AYIRA MINI MART FINAL MENU - Pr'!G603="", "", 'AYIRA MINI MART FINAL MENU - Pr'!G603)</f>
        <v/>
      </c>
      <c r="H603" s="56" t="str">
        <f>IF('AYIRA MINI MART FINAL MENU - Pr'!H603="", "", 'AYIRA MINI MART FINAL MENU - Pr'!H603)</f>
        <v/>
      </c>
      <c r="I603" s="56" t="str">
        <f>IF('AYIRA MINI MART FINAL MENU - Pr'!I603="", "", 'AYIRA MINI MART FINAL MENU - Pr'!I603)</f>
        <v/>
      </c>
      <c r="J603" s="56" t="str">
        <f>IFERROR(__xludf.DUMMYFUNCTION("IF('AYIRA MINI MART FINAL MENU - Pr'!J603="""", """", GOOGLETRANSLATE('AYIRA MINI MART FINAL MENU - Pr'!J603, ""en"", ""ar""))"),"يعرض")</f>
        <v>يعرض</v>
      </c>
      <c r="K603" s="56" t="str">
        <f>IF('AYIRA MINI MART FINAL MENU - Pr'!K603="", "", 'AYIRA MINI MART FINAL MENU - Pr'!K603)</f>
        <v/>
      </c>
      <c r="L603" s="56" t="str">
        <f>IF('AYIRA MINI MART FINAL MENU - Pr'!L603="", "", 'AYIRA MINI MART FINAL MENU - Pr'!L603)</f>
        <v/>
      </c>
      <c r="M603" s="56" t="str">
        <f>IF('AYIRA MINI MART FINAL MENU - Pr'!M603="", "", 'AYIRA MINI MART FINAL MENU - Pr'!M603)</f>
        <v/>
      </c>
      <c r="N603" s="56" t="str">
        <f>IF('AYIRA MINI MART FINAL MENU - Pr'!N603="", "", 'AYIRA MINI MART FINAL MENU - Pr'!N603)</f>
        <v/>
      </c>
      <c r="O603" s="57"/>
      <c r="P603" s="57"/>
      <c r="Q603" s="57"/>
      <c r="R603" s="57"/>
      <c r="S603" s="57"/>
      <c r="T603" s="57"/>
      <c r="U603" s="57"/>
      <c r="V603" s="57"/>
      <c r="W603" s="57"/>
      <c r="X603" s="57"/>
      <c r="Y603" s="57"/>
      <c r="Z603" s="57"/>
    </row>
    <row r="604">
      <c r="A604" s="56" t="str">
        <f>IFERROR(__xludf.DUMMYFUNCTION("IF('AYIRA MINI MART FINAL MENU - Pr'!A604="""", """", IF(LEN(TRIM(REGEXREPLACE(REGEXREPLACE('AYIRA MINI MART FINAL MENU - Pr'!A604, ""^[^\x{0600}-\x{06FF}]+"", """"), ""^[-–\s]+"", """")))&gt;0, TRIM(REGEXREPLACE(REGEXREPLACE('AYIRA MINI MART FINAL MENU - Pr"&amp;"'!A604, ""^[^\x{0600}-\x{06FF}]+"", """"), ""^[-–\s]+"", """")), GOOGLETRANSLATE('AYIRA MINI MART FINAL MENU - Pr'!A604, ""en"", ""ar"")))"),"فليك شوكولاتة 32 غرام")</f>
        <v>فليك شوكولاتة 32 غرام</v>
      </c>
      <c r="B604" s="56" t="str">
        <f>IFERROR(__xludf.DUMMYFUNCTION("IF('AYIRA MINI MART FINAL MENU - Pr'!B604="""", """", IF(LEN(TRIM(REGEXREPLACE(REGEXREPLACE('AYIRA MINI MART FINAL MENU - Pr'!B604, ""^[^\x{0600}-\x{06FF}]+"", """"), ""^[-–\s]+"", """")))&gt;0, TRIM(REGEXREPLACE(REGEXREPLACE('AYIRA MINI MART FINAL MENU - Pr"&amp;"'!B604, ""^[^\x{0600}-\x{06FF}]+"", """"), ""^[-–\s]+"", """")), GOOGLETRANSLATE('AYIRA MINI MART FINAL MENU - Pr'!B604, ""en"", ""ar"")))"),"الشوكولاتة")</f>
        <v>الشوكولاتة</v>
      </c>
      <c r="C604" s="58">
        <f>IF('AYIRA MINI MART FINAL MENU - Pr'!C604="", "", 'AYIRA MINI MART FINAL MENU - Pr'!C604)</f>
        <v>3.5</v>
      </c>
      <c r="D604" s="58" t="str">
        <f>IF('AYIRA MINI MART FINAL MENU - Pr'!D604="", "", 'AYIRA MINI MART FINAL MENU - Pr'!D604)</f>
        <v>لا تقاوم طعم Flake 32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04" s="56" t="str">
        <f>IF('AYIRA MINI MART FINAL MENU - Pr'!E604="", "", 'AYIRA MINI MART FINAL MENU - Pr'!E604)</f>
        <v/>
      </c>
      <c r="F604" s="56" t="str">
        <f>IF('AYIRA MINI MART FINAL MENU - Pr'!F604="", "", 'AYIRA MINI MART FINAL MENU - Pr'!F604)</f>
        <v/>
      </c>
      <c r="G604" s="56" t="str">
        <f>IF('AYIRA MINI MART FINAL MENU - Pr'!G604="", "", 'AYIRA MINI MART FINAL MENU - Pr'!G604)</f>
        <v/>
      </c>
      <c r="H604" s="56" t="str">
        <f>IF('AYIRA MINI MART FINAL MENU - Pr'!H604="", "", 'AYIRA MINI MART FINAL MENU - Pr'!H604)</f>
        <v/>
      </c>
      <c r="I604" s="56" t="str">
        <f>IF('AYIRA MINI MART FINAL MENU - Pr'!I604="", "", 'AYIRA MINI MART FINAL MENU - Pr'!I604)</f>
        <v/>
      </c>
      <c r="J604" s="56" t="str">
        <f>IFERROR(__xludf.DUMMYFUNCTION("IF('AYIRA MINI MART FINAL MENU - Pr'!J604="""", """", GOOGLETRANSLATE('AYIRA MINI MART FINAL MENU - Pr'!J604, ""en"", ""ar""))"),"يعرض")</f>
        <v>يعرض</v>
      </c>
      <c r="K604" s="56" t="str">
        <f>IF('AYIRA MINI MART FINAL MENU - Pr'!K604="", "", 'AYIRA MINI MART FINAL MENU - Pr'!K604)</f>
        <v/>
      </c>
      <c r="L604" s="56" t="str">
        <f>IF('AYIRA MINI MART FINAL MENU - Pr'!L604="", "", 'AYIRA MINI MART FINAL MENU - Pr'!L604)</f>
        <v/>
      </c>
      <c r="M604" s="56" t="str">
        <f>IF('AYIRA MINI MART FINAL MENU - Pr'!M604="", "", 'AYIRA MINI MART FINAL MENU - Pr'!M604)</f>
        <v/>
      </c>
      <c r="N604" s="56" t="str">
        <f>IF('AYIRA MINI MART FINAL MENU - Pr'!N604="", "", 'AYIRA MINI MART FINAL MENU - Pr'!N604)</f>
        <v/>
      </c>
      <c r="O604" s="57"/>
      <c r="P604" s="57"/>
      <c r="Q604" s="57"/>
      <c r="R604" s="57"/>
      <c r="S604" s="57"/>
      <c r="T604" s="57"/>
      <c r="U604" s="57"/>
      <c r="V604" s="57"/>
      <c r="W604" s="57"/>
      <c r="X604" s="57"/>
      <c r="Y604" s="57"/>
      <c r="Z604" s="57"/>
    </row>
    <row r="605">
      <c r="A605" s="56" t="str">
        <f>IFERROR(__xludf.DUMMYFUNCTION("IF('AYIRA MINI MART FINAL MENU - Pr'!A605="""", """", IF(LEN(TRIM(REGEXREPLACE(REGEXREPLACE('AYIRA MINI MART FINAL MENU - Pr'!A605, ""^[^\x{0600}-\x{06FF}]+"", """"), ""^[-–\s]+"", """")))&gt;0, TRIM(REGEXREPLACE(REGEXREPLACE('AYIRA MINI MART FINAL MENU - Pr"&amp;"'!A605, ""^[^\x{0600}-\x{06FF}]+"", """"), ""^[-–\s]+"", """")), GOOGLETRANSLATE('AYIRA MINI MART FINAL MENU - Pr'!A605, ""en"", ""ar"")))"),"إم آند إم سناكس 36 غرام")</f>
        <v>إم آند إم سناكس 36 غرام</v>
      </c>
      <c r="B605" s="56" t="str">
        <f>IFERROR(__xludf.DUMMYFUNCTION("IF('AYIRA MINI MART FINAL MENU - Pr'!B605="""", """", IF(LEN(TRIM(REGEXREPLACE(REGEXREPLACE('AYIRA MINI MART FINAL MENU - Pr'!B605, ""^[^\x{0600}-\x{06FF}]+"", """"), ""^[-–\s]+"", """")))&gt;0, TRIM(REGEXREPLACE(REGEXREPLACE('AYIRA MINI MART FINAL MENU - Pr"&amp;"'!B605, ""^[^\x{0600}-\x{06FF}]+"", """"), ""^[-–\s]+"", """")), GOOGLETRANSLATE('AYIRA MINI MART FINAL MENU - Pr'!B605, ""en"", ""ar"")))"),"الشوكولاتة")</f>
        <v>الشوكولاتة</v>
      </c>
      <c r="C605" s="58">
        <f>IF('AYIRA MINI MART FINAL MENU - Pr'!C605="", "", 'AYIRA MINI MART FINAL MENU - Pr'!C605)</f>
        <v>4</v>
      </c>
      <c r="D605" s="58" t="str">
        <f>IF('AYIRA MINI MART FINAL MENU - Pr'!D605="", "", 'AYIRA MINI MART FINAL MENU - Pr'!D605)</f>
        <v>لا تقاوم طعم إم آند إم،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05" s="56" t="str">
        <f>IF('AYIRA MINI MART FINAL MENU - Pr'!E605="", "", 'AYIRA MINI MART FINAL MENU - Pr'!E605)</f>
        <v/>
      </c>
      <c r="F605" s="56" t="str">
        <f>IF('AYIRA MINI MART FINAL MENU - Pr'!F605="", "", 'AYIRA MINI MART FINAL MENU - Pr'!F605)</f>
        <v/>
      </c>
      <c r="G605" s="56" t="str">
        <f>IF('AYIRA MINI MART FINAL MENU - Pr'!G605="", "", 'AYIRA MINI MART FINAL MENU - Pr'!G605)</f>
        <v/>
      </c>
      <c r="H605" s="56" t="str">
        <f>IF('AYIRA MINI MART FINAL MENU - Pr'!H605="", "", 'AYIRA MINI MART FINAL MENU - Pr'!H605)</f>
        <v/>
      </c>
      <c r="I605" s="56" t="str">
        <f>IF('AYIRA MINI MART FINAL MENU - Pr'!I605="", "", 'AYIRA MINI MART FINAL MENU - Pr'!I605)</f>
        <v/>
      </c>
      <c r="J605" s="56" t="str">
        <f>IFERROR(__xludf.DUMMYFUNCTION("IF('AYIRA MINI MART FINAL MENU - Pr'!J605="""", """", GOOGLETRANSLATE('AYIRA MINI MART FINAL MENU - Pr'!J605, ""en"", ""ar""))"),"يعرض")</f>
        <v>يعرض</v>
      </c>
      <c r="K605" s="56" t="str">
        <f>IF('AYIRA MINI MART FINAL MENU - Pr'!K605="", "", 'AYIRA MINI MART FINAL MENU - Pr'!K605)</f>
        <v/>
      </c>
      <c r="L605" s="56" t="str">
        <f>IF('AYIRA MINI MART FINAL MENU - Pr'!L605="", "", 'AYIRA MINI MART FINAL MENU - Pr'!L605)</f>
        <v/>
      </c>
      <c r="M605" s="56" t="str">
        <f>IF('AYIRA MINI MART FINAL MENU - Pr'!M605="", "", 'AYIRA MINI MART FINAL MENU - Pr'!M605)</f>
        <v/>
      </c>
      <c r="N605" s="56" t="str">
        <f>IF('AYIRA MINI MART FINAL MENU - Pr'!N605="", "", 'AYIRA MINI MART FINAL MENU - Pr'!N605)</f>
        <v/>
      </c>
      <c r="O605" s="57"/>
      <c r="P605" s="57"/>
      <c r="Q605" s="57"/>
      <c r="R605" s="57"/>
      <c r="S605" s="57"/>
      <c r="T605" s="57"/>
      <c r="U605" s="57"/>
      <c r="V605" s="57"/>
      <c r="W605" s="57"/>
      <c r="X605" s="57"/>
      <c r="Y605" s="57"/>
      <c r="Z605" s="57"/>
    </row>
    <row r="606">
      <c r="A606" s="56" t="str">
        <f>IFERROR(__xludf.DUMMYFUNCTION("IF('AYIRA MINI MART FINAL MENU - Pr'!A606="""", """", IF(LEN(TRIM(REGEXREPLACE(REGEXREPLACE('AYIRA MINI MART FINAL MENU - Pr'!A606, ""^[^\x{0600}-\x{06FF}]+"", """"), ""^[-–\s]+"", """")))&gt;0, TRIM(REGEXREPLACE(REGEXREPLACE('AYIRA MINI MART FINAL MENU - Pr"&amp;"'!A606, ""^[^\x{0600}-\x{06FF}]+"", """"), ""^[-–\s]+"", """")), GOOGLETRANSLATE('AYIRA MINI MART FINAL MENU - Pr'!A606, ""en"", ""ar"")))"),"نستله كيت كات Crunchy 40 GM")</f>
        <v>نستله كيت كات Crunchy 40 GM</v>
      </c>
      <c r="B606" s="56" t="str">
        <f>IFERROR(__xludf.DUMMYFUNCTION("IF('AYIRA MINI MART FINAL MENU - Pr'!B606="""", """", IF(LEN(TRIM(REGEXREPLACE(REGEXREPLACE('AYIRA MINI MART FINAL MENU - Pr'!B606, ""^[^\x{0600}-\x{06FF}]+"", """"), ""^[-–\s]+"", """")))&gt;0, TRIM(REGEXREPLACE(REGEXREPLACE('AYIRA MINI MART FINAL MENU - Pr"&amp;"'!B606, ""^[^\x{0600}-\x{06FF}]+"", """"), ""^[-–\s]+"", """")), GOOGLETRANSLATE('AYIRA MINI MART FINAL MENU - Pr'!B606, ""en"", ""ar"")))"),"الشوكولاتة")</f>
        <v>الشوكولاتة</v>
      </c>
      <c r="C606" s="58">
        <f>IF('AYIRA MINI MART FINAL MENU - Pr'!C606="", "", 'AYIRA MINI MART FINAL MENU - Pr'!C606)</f>
        <v>4</v>
      </c>
      <c r="D606" s="58" t="str">
        <f>IF('AYIRA MINI MART FINAL MENU - Pr'!D606="", "", 'AYIRA MINI MART FINAL MENU - Pr'!D606)</f>
        <v>دلّل حواسك مع كيت كات،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06" s="56" t="str">
        <f>IF('AYIRA MINI MART FINAL MENU - Pr'!E606="", "", 'AYIRA MINI MART FINAL MENU - Pr'!E606)</f>
        <v/>
      </c>
      <c r="F606" s="56" t="str">
        <f>IF('AYIRA MINI MART FINAL MENU - Pr'!F606="", "", 'AYIRA MINI MART FINAL MENU - Pr'!F606)</f>
        <v/>
      </c>
      <c r="G606" s="56" t="str">
        <f>IF('AYIRA MINI MART FINAL MENU - Pr'!G606="", "", 'AYIRA MINI MART FINAL MENU - Pr'!G606)</f>
        <v/>
      </c>
      <c r="H606" s="56" t="str">
        <f>IF('AYIRA MINI MART FINAL MENU - Pr'!H606="", "", 'AYIRA MINI MART FINAL MENU - Pr'!H606)</f>
        <v/>
      </c>
      <c r="I606" s="56" t="str">
        <f>IF('AYIRA MINI MART FINAL MENU - Pr'!I606="", "", 'AYIRA MINI MART FINAL MENU - Pr'!I606)</f>
        <v/>
      </c>
      <c r="J606" s="56" t="str">
        <f>IFERROR(__xludf.DUMMYFUNCTION("IF('AYIRA MINI MART FINAL MENU - Pr'!J606="""", """", GOOGLETRANSLATE('AYIRA MINI MART FINAL MENU - Pr'!J606, ""en"", ""ar""))"),"يعرض")</f>
        <v>يعرض</v>
      </c>
      <c r="K606" s="56" t="str">
        <f>IF('AYIRA MINI MART FINAL MENU - Pr'!K606="", "", 'AYIRA MINI MART FINAL MENU - Pr'!K606)</f>
        <v/>
      </c>
      <c r="L606" s="56" t="str">
        <f>IF('AYIRA MINI MART FINAL MENU - Pr'!L606="", "", 'AYIRA MINI MART FINAL MENU - Pr'!L606)</f>
        <v/>
      </c>
      <c r="M606" s="56" t="str">
        <f>IF('AYIRA MINI MART FINAL MENU - Pr'!M606="", "", 'AYIRA MINI MART FINAL MENU - Pr'!M606)</f>
        <v/>
      </c>
      <c r="N606" s="56" t="str">
        <f>IF('AYIRA MINI MART FINAL MENU - Pr'!N606="", "", 'AYIRA MINI MART FINAL MENU - Pr'!N606)</f>
        <v/>
      </c>
      <c r="O606" s="57"/>
      <c r="P606" s="57"/>
      <c r="Q606" s="57"/>
      <c r="R606" s="57"/>
      <c r="S606" s="57"/>
      <c r="T606" s="57"/>
      <c r="U606" s="57"/>
      <c r="V606" s="57"/>
      <c r="W606" s="57"/>
      <c r="X606" s="57"/>
      <c r="Y606" s="57"/>
      <c r="Z606" s="57"/>
    </row>
    <row r="607">
      <c r="A607" s="56" t="str">
        <f>IFERROR(__xludf.DUMMYFUNCTION("IF('AYIRA MINI MART FINAL MENU - Pr'!A607="""", """", IF(LEN(TRIM(REGEXREPLACE(REGEXREPLACE('AYIRA MINI MART FINAL MENU - Pr'!A607, ""^[^\x{0600}-\x{06FF}]+"", """"), ""^[-–\s]+"", """")))&gt;0, TRIM(REGEXREPLACE(REGEXREPLACE('AYIRA MINI MART FINAL MENU - Pr"&amp;"'!A607, ""^[^\x{0600}-\x{06FF}]+"", """"), ""^[-–\s]+"", """")), GOOGLETRANSLATE('AYIRA MINI MART FINAL MENU - Pr'!A607, ""en"", ""ar"")))"),"شوكولاتة ويفر 32 GM")</f>
        <v>شوكولاتة ويفر 32 GM</v>
      </c>
      <c r="B607" s="56" t="str">
        <f>IFERROR(__xludf.DUMMYFUNCTION("IF('AYIRA MINI MART FINAL MENU - Pr'!B607="""", """", IF(LEN(TRIM(REGEXREPLACE(REGEXREPLACE('AYIRA MINI MART FINAL MENU - Pr'!B607, ""^[^\x{0600}-\x{06FF}]+"", """"), ""^[-–\s]+"", """")))&gt;0, TRIM(REGEXREPLACE(REGEXREPLACE('AYIRA MINI MART FINAL MENU - Pr"&amp;"'!B607, ""^[^\x{0600}-\x{06FF}]+"", """"), ""^[-–\s]+"", """")), GOOGLETRANSLATE('AYIRA MINI MART FINAL MENU - Pr'!B607, ""en"", ""ar"")))"),"الشوكولاتة")</f>
        <v>الشوكولاتة</v>
      </c>
      <c r="C607" s="58">
        <f>IF('AYIRA MINI MART FINAL MENU - Pr'!C607="", "", 'AYIRA MINI MART FINAL MENU - Pr'!C607)</f>
        <v>1</v>
      </c>
      <c r="D607" s="58" t="str">
        <f>IF('AYIRA MINI MART FINAL MENU - Pr'!D607="", "", 'AYIRA MINI MART FINAL MENU - Pr'!D607)</f>
        <v>دلّل حواسك مع Sando Italian Recipe Chocolate Wafer 32 GM،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07" s="56" t="str">
        <f>IF('AYIRA MINI MART FINAL MENU - Pr'!E607="", "", 'AYIRA MINI MART FINAL MENU - Pr'!E607)</f>
        <v/>
      </c>
      <c r="F607" s="56" t="str">
        <f>IF('AYIRA MINI MART FINAL MENU - Pr'!F607="", "", 'AYIRA MINI MART FINAL MENU - Pr'!F607)</f>
        <v/>
      </c>
      <c r="G607" s="56" t="str">
        <f>IF('AYIRA MINI MART FINAL MENU - Pr'!G607="", "", 'AYIRA MINI MART FINAL MENU - Pr'!G607)</f>
        <v/>
      </c>
      <c r="H607" s="56" t="str">
        <f>IF('AYIRA MINI MART FINAL MENU - Pr'!H607="", "", 'AYIRA MINI MART FINAL MENU - Pr'!H607)</f>
        <v/>
      </c>
      <c r="I607" s="56" t="str">
        <f>IF('AYIRA MINI MART FINAL MENU - Pr'!I607="", "", 'AYIRA MINI MART FINAL MENU - Pr'!I607)</f>
        <v/>
      </c>
      <c r="J607" s="56" t="str">
        <f>IFERROR(__xludf.DUMMYFUNCTION("IF('AYIRA MINI MART FINAL MENU - Pr'!J607="""", """", GOOGLETRANSLATE('AYIRA MINI MART FINAL MENU - Pr'!J607, ""en"", ""ar""))"),"يعرض")</f>
        <v>يعرض</v>
      </c>
      <c r="K607" s="56" t="str">
        <f>IF('AYIRA MINI MART FINAL MENU - Pr'!K607="", "", 'AYIRA MINI MART FINAL MENU - Pr'!K607)</f>
        <v/>
      </c>
      <c r="L607" s="56" t="str">
        <f>IF('AYIRA MINI MART FINAL MENU - Pr'!L607="", "", 'AYIRA MINI MART FINAL MENU - Pr'!L607)</f>
        <v/>
      </c>
      <c r="M607" s="56" t="str">
        <f>IF('AYIRA MINI MART FINAL MENU - Pr'!M607="", "", 'AYIRA MINI MART FINAL MENU - Pr'!M607)</f>
        <v/>
      </c>
      <c r="N607" s="56" t="str">
        <f>IF('AYIRA MINI MART FINAL MENU - Pr'!N607="", "", 'AYIRA MINI MART FINAL MENU - Pr'!N607)</f>
        <v/>
      </c>
      <c r="O607" s="57"/>
      <c r="P607" s="57"/>
      <c r="Q607" s="57"/>
      <c r="R607" s="57"/>
      <c r="S607" s="57"/>
      <c r="T607" s="57"/>
      <c r="U607" s="57"/>
      <c r="V607" s="57"/>
      <c r="W607" s="57"/>
      <c r="X607" s="57"/>
      <c r="Y607" s="57"/>
      <c r="Z607" s="57"/>
    </row>
    <row r="608">
      <c r="A608" s="56" t="str">
        <f>IFERROR(__xludf.DUMMYFUNCTION("IF('AYIRA MINI MART FINAL MENU - Pr'!A608="""", """", IF(LEN(TRIM(REGEXREPLACE(REGEXREPLACE('AYIRA MINI MART FINAL MENU - Pr'!A608, ""^[^\x{0600}-\x{06FF}]+"", """"), ""^[-–\s]+"", """")))&gt;0, TRIM(REGEXREPLACE(REGEXREPLACE('AYIRA MINI MART FINAL MENU - Pr"&amp;"'!A608, ""^[^\x{0600}-\x{06FF}]+"", """"), ""^[-–\s]+"", """")), GOOGLETRANSLATE('AYIRA MINI MART FINAL MENU - Pr'!A608, ""en"", ""ar"")))"),"فيريرو روشيه 37.5 GM")</f>
        <v>فيريرو روشيه 37.5 GM</v>
      </c>
      <c r="B608" s="56" t="str">
        <f>IFERROR(__xludf.DUMMYFUNCTION("IF('AYIRA MINI MART FINAL MENU - Pr'!B608="""", """", IF(LEN(TRIM(REGEXREPLACE(REGEXREPLACE('AYIRA MINI MART FINAL MENU - Pr'!B608, ""^[^\x{0600}-\x{06FF}]+"", """"), ""^[-–\s]+"", """")))&gt;0, TRIM(REGEXREPLACE(REGEXREPLACE('AYIRA MINI MART FINAL MENU - Pr"&amp;"'!B608, ""^[^\x{0600}-\x{06FF}]+"", """"), ""^[-–\s]+"", """")), GOOGLETRANSLATE('AYIRA MINI MART FINAL MENU - Pr'!B608, ""en"", ""ar"")))"),"الشوكولاتة")</f>
        <v>الشوكولاتة</v>
      </c>
      <c r="C608" s="58">
        <f>IF('AYIRA MINI MART FINAL MENU - Pr'!C608="", "", 'AYIRA MINI MART FINAL MENU - Pr'!C608)</f>
        <v>6.5</v>
      </c>
      <c r="D608" s="58" t="str">
        <f>IF('AYIRA MINI MART FINAL MENU - Pr'!D608="", "", 'AYIRA MINI MART FINAL MENU - Pr'!D608)</f>
        <v>دلّل حواسك مع فيريرو،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08" s="56" t="str">
        <f>IF('AYIRA MINI MART FINAL MENU - Pr'!E608="", "", 'AYIRA MINI MART FINAL MENU - Pr'!E608)</f>
        <v/>
      </c>
      <c r="F608" s="56" t="str">
        <f>IF('AYIRA MINI MART FINAL MENU - Pr'!F608="", "", 'AYIRA MINI MART FINAL MENU - Pr'!F608)</f>
        <v/>
      </c>
      <c r="G608" s="56" t="str">
        <f>IF('AYIRA MINI MART FINAL MENU - Pr'!G608="", "", 'AYIRA MINI MART FINAL MENU - Pr'!G608)</f>
        <v/>
      </c>
      <c r="H608" s="56" t="str">
        <f>IF('AYIRA MINI MART FINAL MENU - Pr'!H608="", "", 'AYIRA MINI MART FINAL MENU - Pr'!H608)</f>
        <v/>
      </c>
      <c r="I608" s="56" t="str">
        <f>IF('AYIRA MINI MART FINAL MENU - Pr'!I608="", "", 'AYIRA MINI MART FINAL MENU - Pr'!I608)</f>
        <v/>
      </c>
      <c r="J608" s="56" t="str">
        <f>IFERROR(__xludf.DUMMYFUNCTION("IF('AYIRA MINI MART FINAL MENU - Pr'!J608="""", """", GOOGLETRANSLATE('AYIRA MINI MART FINAL MENU - Pr'!J608, ""en"", ""ar""))"),"يعرض")</f>
        <v>يعرض</v>
      </c>
      <c r="K608" s="56" t="str">
        <f>IF('AYIRA MINI MART FINAL MENU - Pr'!K608="", "", 'AYIRA MINI MART FINAL MENU - Pr'!K608)</f>
        <v/>
      </c>
      <c r="L608" s="56" t="str">
        <f>IF('AYIRA MINI MART FINAL MENU - Pr'!L608="", "", 'AYIRA MINI MART FINAL MENU - Pr'!L608)</f>
        <v/>
      </c>
      <c r="M608" s="56" t="str">
        <f>IF('AYIRA MINI MART FINAL MENU - Pr'!M608="", "", 'AYIRA MINI MART FINAL MENU - Pr'!M608)</f>
        <v/>
      </c>
      <c r="N608" s="56" t="str">
        <f>IF('AYIRA MINI MART FINAL MENU - Pr'!N608="", "", 'AYIRA MINI MART FINAL MENU - Pr'!N608)</f>
        <v/>
      </c>
      <c r="O608" s="57"/>
      <c r="P608" s="57"/>
      <c r="Q608" s="57"/>
      <c r="R608" s="57"/>
      <c r="S608" s="57"/>
      <c r="T608" s="57"/>
      <c r="U608" s="57"/>
      <c r="V608" s="57"/>
      <c r="W608" s="57"/>
      <c r="X608" s="57"/>
      <c r="Y608" s="57"/>
      <c r="Z608" s="57"/>
    </row>
    <row r="609">
      <c r="A609" s="56" t="str">
        <f>IFERROR(__xludf.DUMMYFUNCTION("IF('AYIRA MINI MART FINAL MENU - Pr'!A609="""", """", IF(LEN(TRIM(REGEXREPLACE(REGEXREPLACE('AYIRA MINI MART FINAL MENU - Pr'!A609, ""^[^\x{0600}-\x{06FF}]+"", """"), ""^[-–\s]+"", """")))&gt;0, TRIM(REGEXREPLACE(REGEXREPLACE('AYIRA MINI MART FINAL MENU - Pr"&amp;"'!A609, ""^[^\x{0600}-\x{06FF}]+"", """"), ""^[-–\s]+"", """")), GOOGLETRANSLATE('AYIRA MINI MART FINAL MENU - Pr'!A609, ""en"", ""ar"")))"),"رافاييلو 30 GM")</f>
        <v>رافاييلو 30 GM</v>
      </c>
      <c r="B609" s="56" t="str">
        <f>IFERROR(__xludf.DUMMYFUNCTION("IF('AYIRA MINI MART FINAL MENU - Pr'!B609="""", """", IF(LEN(TRIM(REGEXREPLACE(REGEXREPLACE('AYIRA MINI MART FINAL MENU - Pr'!B609, ""^[^\x{0600}-\x{06FF}]+"", """"), ""^[-–\s]+"", """")))&gt;0, TRIM(REGEXREPLACE(REGEXREPLACE('AYIRA MINI MART FINAL MENU - Pr"&amp;"'!B609, ""^[^\x{0600}-\x{06FF}]+"", """"), ""^[-–\s]+"", """")), GOOGLETRANSLATE('AYIRA MINI MART FINAL MENU - Pr'!B609, ""en"", ""ar"")))"),"الشوكولاتة")</f>
        <v>الشوكولاتة</v>
      </c>
      <c r="C609" s="58">
        <f>IF('AYIRA MINI MART FINAL MENU - Pr'!C609="", "", 'AYIRA MINI MART FINAL MENU - Pr'!C609)</f>
        <v>5</v>
      </c>
      <c r="D609" s="58" t="str">
        <f>IF('AYIRA MINI MART FINAL MENU - Pr'!D609="", "", 'AYIRA MINI MART FINAL MENU - Pr'!D609)</f>
        <v>لا تقاوم طعم Confetteria Raffaello 30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09" s="56" t="str">
        <f>IF('AYIRA MINI MART FINAL MENU - Pr'!E609="", "", 'AYIRA MINI MART FINAL MENU - Pr'!E609)</f>
        <v/>
      </c>
      <c r="F609" s="56" t="str">
        <f>IF('AYIRA MINI MART FINAL MENU - Pr'!F609="", "", 'AYIRA MINI MART FINAL MENU - Pr'!F609)</f>
        <v/>
      </c>
      <c r="G609" s="56" t="str">
        <f>IF('AYIRA MINI MART FINAL MENU - Pr'!G609="", "", 'AYIRA MINI MART FINAL MENU - Pr'!G609)</f>
        <v/>
      </c>
      <c r="H609" s="56" t="str">
        <f>IF('AYIRA MINI MART FINAL MENU - Pr'!H609="", "", 'AYIRA MINI MART FINAL MENU - Pr'!H609)</f>
        <v/>
      </c>
      <c r="I609" s="56" t="str">
        <f>IF('AYIRA MINI MART FINAL MENU - Pr'!I609="", "", 'AYIRA MINI MART FINAL MENU - Pr'!I609)</f>
        <v/>
      </c>
      <c r="J609" s="56" t="str">
        <f>IFERROR(__xludf.DUMMYFUNCTION("IF('AYIRA MINI MART FINAL MENU - Pr'!J609="""", """", GOOGLETRANSLATE('AYIRA MINI MART FINAL MENU - Pr'!J609, ""en"", ""ar""))"),"يعرض")</f>
        <v>يعرض</v>
      </c>
      <c r="K609" s="56" t="str">
        <f>IF('AYIRA MINI MART FINAL MENU - Pr'!K609="", "", 'AYIRA MINI MART FINAL MENU - Pr'!K609)</f>
        <v/>
      </c>
      <c r="L609" s="56" t="str">
        <f>IF('AYIRA MINI MART FINAL MENU - Pr'!L609="", "", 'AYIRA MINI MART FINAL MENU - Pr'!L609)</f>
        <v/>
      </c>
      <c r="M609" s="56" t="str">
        <f>IF('AYIRA MINI MART FINAL MENU - Pr'!M609="", "", 'AYIRA MINI MART FINAL MENU - Pr'!M609)</f>
        <v/>
      </c>
      <c r="N609" s="56" t="str">
        <f>IF('AYIRA MINI MART FINAL MENU - Pr'!N609="", "", 'AYIRA MINI MART FINAL MENU - Pr'!N609)</f>
        <v/>
      </c>
      <c r="O609" s="57"/>
      <c r="P609" s="57"/>
      <c r="Q609" s="57"/>
      <c r="R609" s="57"/>
      <c r="S609" s="57"/>
      <c r="T609" s="57"/>
      <c r="U609" s="57"/>
      <c r="V609" s="57"/>
      <c r="W609" s="57"/>
      <c r="X609" s="57"/>
      <c r="Y609" s="57"/>
      <c r="Z609" s="57"/>
    </row>
    <row r="610">
      <c r="A610" s="56" t="str">
        <f>IFERROR(__xludf.DUMMYFUNCTION("IF('AYIRA MINI MART FINAL MENU - Pr'!A610="""", """", IF(LEN(TRIM(REGEXREPLACE(REGEXREPLACE('AYIRA MINI MART FINAL MENU - Pr'!A610, ""^[^\x{0600}-\x{06FF}]+"", """"), ""^[-–\s]+"", """")))&gt;0, TRIM(REGEXREPLACE(REGEXREPLACE('AYIRA MINI MART FINAL MENU - Pr"&amp;"'!A610, ""^[^\x{0600}-\x{06FF}]+"", """"), ""^[-–\s]+"", """")), GOOGLETRANSLATE('AYIRA MINI MART FINAL MENU - Pr'!A610, ""en"", ""ar"")))"),"إكستريم حلوى حامضة 18 غرام")</f>
        <v>إكستريم حلوى حامضة 18 غرام</v>
      </c>
      <c r="B610" s="56" t="str">
        <f>IFERROR(__xludf.DUMMYFUNCTION("IF('AYIRA MINI MART FINAL MENU - Pr'!B610="""", """", IF(LEN(TRIM(REGEXREPLACE(REGEXREPLACE('AYIRA MINI MART FINAL MENU - Pr'!B610, ""^[^\x{0600}-\x{06FF}]+"", """"), ""^[-–\s]+"", """")))&gt;0, TRIM(REGEXREPLACE(REGEXREPLACE('AYIRA MINI MART FINAL MENU - Pr"&amp;"'!B610, ""^[^\x{0600}-\x{06FF}]+"", """"), ""^[-–\s]+"", """")), GOOGLETRANSLATE('AYIRA MINI MART FINAL MENU - Pr'!B610, ""en"", ""ar"")))"),"الحلوى 🍬")</f>
        <v>الحلوى 🍬</v>
      </c>
      <c r="C610" s="58">
        <f>IF('AYIRA MINI MART FINAL MENU - Pr'!C610="", "", 'AYIRA MINI MART FINAL MENU - Pr'!C610)</f>
        <v>1</v>
      </c>
      <c r="D610" s="58" t="str">
        <f>IF('AYIRA MINI MART FINAL MENU - Pr'!D610="", "", 'AYIRA MINI MART FINAL MENU - Pr'!D610)</f>
        <v>أضف لحظة حلوة إلى يومك مع X-Treme Sour Candy 18 GM،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610" s="56" t="str">
        <f>IF('AYIRA MINI MART FINAL MENU - Pr'!E610="", "", 'AYIRA MINI MART FINAL MENU - Pr'!E610)</f>
        <v/>
      </c>
      <c r="F610" s="56" t="str">
        <f>IF('AYIRA MINI MART FINAL MENU - Pr'!F610="", "", 'AYIRA MINI MART FINAL MENU - Pr'!F610)</f>
        <v/>
      </c>
      <c r="G610" s="56" t="str">
        <f>IF('AYIRA MINI MART FINAL MENU - Pr'!G610="", "", 'AYIRA MINI MART FINAL MENU - Pr'!G610)</f>
        <v/>
      </c>
      <c r="H610" s="56" t="str">
        <f>IF('AYIRA MINI MART FINAL MENU - Pr'!H610="", "", 'AYIRA MINI MART FINAL MENU - Pr'!H610)</f>
        <v/>
      </c>
      <c r="I610" s="56" t="str">
        <f>IF('AYIRA MINI MART FINAL MENU - Pr'!I610="", "", 'AYIRA MINI MART FINAL MENU - Pr'!I610)</f>
        <v/>
      </c>
      <c r="J610" s="56" t="str">
        <f>IFERROR(__xludf.DUMMYFUNCTION("IF('AYIRA MINI MART FINAL MENU - Pr'!J610="""", """", GOOGLETRANSLATE('AYIRA MINI MART FINAL MENU - Pr'!J610, ""en"", ""ar""))"),"يعرض")</f>
        <v>يعرض</v>
      </c>
      <c r="K610" s="56" t="str">
        <f>IF('AYIRA MINI MART FINAL MENU - Pr'!K610="", "", 'AYIRA MINI MART FINAL MENU - Pr'!K610)</f>
        <v/>
      </c>
      <c r="L610" s="56" t="str">
        <f>IF('AYIRA MINI MART FINAL MENU - Pr'!L610="", "", 'AYIRA MINI MART FINAL MENU - Pr'!L610)</f>
        <v/>
      </c>
      <c r="M610" s="56" t="str">
        <f>IF('AYIRA MINI MART FINAL MENU - Pr'!M610="", "", 'AYIRA MINI MART FINAL MENU - Pr'!M610)</f>
        <v/>
      </c>
      <c r="N610" s="56" t="str">
        <f>IF('AYIRA MINI MART FINAL MENU - Pr'!N610="", "", 'AYIRA MINI MART FINAL MENU - Pr'!N610)</f>
        <v/>
      </c>
      <c r="O610" s="57"/>
      <c r="P610" s="57"/>
      <c r="Q610" s="57"/>
      <c r="R610" s="57"/>
      <c r="S610" s="57"/>
      <c r="T610" s="57"/>
      <c r="U610" s="57"/>
      <c r="V610" s="57"/>
      <c r="W610" s="57"/>
      <c r="X610" s="57"/>
      <c r="Y610" s="57"/>
      <c r="Z610" s="57"/>
    </row>
    <row r="611">
      <c r="A611" s="56" t="str">
        <f>IFERROR(__xludf.DUMMYFUNCTION("IF('AYIRA MINI MART FINAL MENU - Pr'!A611="""", """", IF(LEN(TRIM(REGEXREPLACE(REGEXREPLACE('AYIRA MINI MART FINAL MENU - Pr'!A611, ""^[^\x{0600}-\x{06FF}]+"", """"), ""^[-–\s]+"", """")))&gt;0, TRIM(REGEXREPLACE(REGEXREPLACE('AYIRA MINI MART FINAL MENU - Pr"&amp;"'!A611, ""^[^\x{0600}-\x{06FF}]+"", """"), ""^[-–\s]+"", """")), GOOGLETRANSLATE('AYIRA MINI MART FINAL MENU - Pr'!A611, ""en"", ""ar"")))"),"بودرة with Lolly Dipper 10 GM")</f>
        <v>بودرة with Lolly Dipper 10 GM</v>
      </c>
      <c r="B611" s="56" t="str">
        <f>IFERROR(__xludf.DUMMYFUNCTION("IF('AYIRA MINI MART FINAL MENU - Pr'!B611="""", """", IF(LEN(TRIM(REGEXREPLACE(REGEXREPLACE('AYIRA MINI MART FINAL MENU - Pr'!B611, ""^[^\x{0600}-\x{06FF}]+"", """"), ""^[-–\s]+"", """")))&gt;0, TRIM(REGEXREPLACE(REGEXREPLACE('AYIRA MINI MART FINAL MENU - Pr"&amp;"'!B611, ""^[^\x{0600}-\x{06FF}]+"", """"), ""^[-–\s]+"", """")), GOOGLETRANSLATE('AYIRA MINI MART FINAL MENU - Pr'!B611, ""en"", ""ar"")))"),"الحلوى 🍬")</f>
        <v>الحلوى 🍬</v>
      </c>
      <c r="C611" s="58">
        <f>IF('AYIRA MINI MART FINAL MENU - Pr'!C611="", "", 'AYIRA MINI MART FINAL MENU - Pr'!C611)</f>
        <v>1.5</v>
      </c>
      <c r="D611" s="58" t="str">
        <f>IF('AYIRA MINI MART FINAL MENU - Pr'!D611="", "", 'AYIRA MINI MART FINAL MENU - Pr'!D611)</f>
        <v>لا تقاوم طعم Brain Blasterz Sour Powder with Lolly Dipper 10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11" s="56" t="str">
        <f>IF('AYIRA MINI MART FINAL MENU - Pr'!E611="", "", 'AYIRA MINI MART FINAL MENU - Pr'!E611)</f>
        <v/>
      </c>
      <c r="F611" s="56" t="str">
        <f>IF('AYIRA MINI MART FINAL MENU - Pr'!F611="", "", 'AYIRA MINI MART FINAL MENU - Pr'!F611)</f>
        <v/>
      </c>
      <c r="G611" s="56" t="str">
        <f>IF('AYIRA MINI MART FINAL MENU - Pr'!G611="", "", 'AYIRA MINI MART FINAL MENU - Pr'!G611)</f>
        <v/>
      </c>
      <c r="H611" s="56" t="str">
        <f>IF('AYIRA MINI MART FINAL MENU - Pr'!H611="", "", 'AYIRA MINI MART FINAL MENU - Pr'!H611)</f>
        <v/>
      </c>
      <c r="I611" s="56" t="str">
        <f>IF('AYIRA MINI MART FINAL MENU - Pr'!I611="", "", 'AYIRA MINI MART FINAL MENU - Pr'!I611)</f>
        <v/>
      </c>
      <c r="J611" s="56" t="str">
        <f>IFERROR(__xludf.DUMMYFUNCTION("IF('AYIRA MINI MART FINAL MENU - Pr'!J611="""", """", GOOGLETRANSLATE('AYIRA MINI MART FINAL MENU - Pr'!J611, ""en"", ""ar""))"),"يعرض")</f>
        <v>يعرض</v>
      </c>
      <c r="K611" s="56" t="str">
        <f>IF('AYIRA MINI MART FINAL MENU - Pr'!K611="", "", 'AYIRA MINI MART FINAL MENU - Pr'!K611)</f>
        <v/>
      </c>
      <c r="L611" s="56" t="str">
        <f>IF('AYIRA MINI MART FINAL MENU - Pr'!L611="", "", 'AYIRA MINI MART FINAL MENU - Pr'!L611)</f>
        <v/>
      </c>
      <c r="M611" s="56" t="str">
        <f>IF('AYIRA MINI MART FINAL MENU - Pr'!M611="", "", 'AYIRA MINI MART FINAL MENU - Pr'!M611)</f>
        <v/>
      </c>
      <c r="N611" s="56" t="str">
        <f>IF('AYIRA MINI MART FINAL MENU - Pr'!N611="", "", 'AYIRA MINI MART FINAL MENU - Pr'!N611)</f>
        <v/>
      </c>
      <c r="O611" s="57"/>
      <c r="P611" s="57"/>
      <c r="Q611" s="57"/>
      <c r="R611" s="57"/>
      <c r="S611" s="57"/>
      <c r="T611" s="57"/>
      <c r="U611" s="57"/>
      <c r="V611" s="57"/>
      <c r="W611" s="57"/>
      <c r="X611" s="57"/>
      <c r="Y611" s="57"/>
      <c r="Z611" s="57"/>
    </row>
    <row r="612">
      <c r="A612" s="56" t="str">
        <f>IFERROR(__xludf.DUMMYFUNCTION("IF('AYIRA MINI MART FINAL MENU - Pr'!A612="""", """", IF(LEN(TRIM(REGEXREPLACE(REGEXREPLACE('AYIRA MINI MART FINAL MENU - Pr'!A612, ""^[^\x{0600}-\x{06FF}]+"", """"), ""^[-–\s]+"", """")))&gt;0, TRIM(REGEXREPLACE(REGEXREPLACE('AYIRA MINI MART FINAL MENU - Pr"&amp;"'!A612, ""^[^\x{0600}-\x{06FF}]+"", """"), ""^[-–\s]+"", """")), GOOGLETRANSLATE('AYIRA MINI MART FINAL MENU - Pr'!A612, ""en"", ""ar"")))"),"حار Dog with Candy Mustard 15 مل")</f>
        <v>حار Dog with Candy Mustard 15 مل</v>
      </c>
      <c r="B612" s="56" t="str">
        <f>IFERROR(__xludf.DUMMYFUNCTION("IF('AYIRA MINI MART FINAL MENU - Pr'!B612="""", """", IF(LEN(TRIM(REGEXREPLACE(REGEXREPLACE('AYIRA MINI MART FINAL MENU - Pr'!B612, ""^[^\x{0600}-\x{06FF}]+"", """"), ""^[-–\s]+"", """")))&gt;0, TRIM(REGEXREPLACE(REGEXREPLACE('AYIRA MINI MART FINAL MENU - Pr"&amp;"'!B612, ""^[^\x{0600}-\x{06FF}]+"", """"), ""^[-–\s]+"", """")), GOOGLETRANSLATE('AYIRA MINI MART FINAL MENU - Pr'!B612, ""en"", ""ar"")))"),"الحلوى 🍬")</f>
        <v>الحلوى 🍬</v>
      </c>
      <c r="C612" s="58">
        <f>IF('AYIRA MINI MART FINAL MENU - Pr'!C612="", "", 'AYIRA MINI MART FINAL MENU - Pr'!C612)</f>
        <v>1.5</v>
      </c>
      <c r="D612" s="58" t="str">
        <f>IF('AYIRA MINI MART FINAL MENU - Pr'!D612="", "", 'AYIRA MINI MART FINAL MENU - Pr'!D612)</f>
        <v>أضف لحظة حلوة إلى يومك مع Hot Dog with Candy Mustard 15 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612" s="56" t="str">
        <f>IF('AYIRA MINI MART FINAL MENU - Pr'!E612="", "", 'AYIRA MINI MART FINAL MENU - Pr'!E612)</f>
        <v/>
      </c>
      <c r="F612" s="56" t="str">
        <f>IF('AYIRA MINI MART FINAL MENU - Pr'!F612="", "", 'AYIRA MINI MART FINAL MENU - Pr'!F612)</f>
        <v/>
      </c>
      <c r="G612" s="56" t="str">
        <f>IF('AYIRA MINI MART FINAL MENU - Pr'!G612="", "", 'AYIRA MINI MART FINAL MENU - Pr'!G612)</f>
        <v/>
      </c>
      <c r="H612" s="56" t="str">
        <f>IF('AYIRA MINI MART FINAL MENU - Pr'!H612="", "", 'AYIRA MINI MART FINAL MENU - Pr'!H612)</f>
        <v/>
      </c>
      <c r="I612" s="56" t="str">
        <f>IF('AYIRA MINI MART FINAL MENU - Pr'!I612="", "", 'AYIRA MINI MART FINAL MENU - Pr'!I612)</f>
        <v/>
      </c>
      <c r="J612" s="56" t="str">
        <f>IFERROR(__xludf.DUMMYFUNCTION("IF('AYIRA MINI MART FINAL MENU - Pr'!J612="""", """", GOOGLETRANSLATE('AYIRA MINI MART FINAL MENU - Pr'!J612, ""en"", ""ar""))"),"يعرض")</f>
        <v>يعرض</v>
      </c>
      <c r="K612" s="56" t="str">
        <f>IF('AYIRA MINI MART FINAL MENU - Pr'!K612="", "", 'AYIRA MINI MART FINAL MENU - Pr'!K612)</f>
        <v/>
      </c>
      <c r="L612" s="56" t="str">
        <f>IF('AYIRA MINI MART FINAL MENU - Pr'!L612="", "", 'AYIRA MINI MART FINAL MENU - Pr'!L612)</f>
        <v/>
      </c>
      <c r="M612" s="56" t="str">
        <f>IF('AYIRA MINI MART FINAL MENU - Pr'!M612="", "", 'AYIRA MINI MART FINAL MENU - Pr'!M612)</f>
        <v/>
      </c>
      <c r="N612" s="56" t="str">
        <f>IF('AYIRA MINI MART FINAL MENU - Pr'!N612="", "", 'AYIRA MINI MART FINAL MENU - Pr'!N612)</f>
        <v/>
      </c>
      <c r="O612" s="57"/>
      <c r="P612" s="57"/>
      <c r="Q612" s="57"/>
      <c r="R612" s="57"/>
      <c r="S612" s="57"/>
      <c r="T612" s="57"/>
      <c r="U612" s="57"/>
      <c r="V612" s="57"/>
      <c r="W612" s="57"/>
      <c r="X612" s="57"/>
      <c r="Y612" s="57"/>
      <c r="Z612" s="57"/>
    </row>
    <row r="613">
      <c r="A613" s="56" t="str">
        <f>IFERROR(__xludf.DUMMYFUNCTION("IF('AYIRA MINI MART FINAL MENU - Pr'!A613="""", """", IF(LEN(TRIM(REGEXREPLACE(REGEXREPLACE('AYIRA MINI MART FINAL MENU - Pr'!A613, ""^[^\x{0600}-\x{06FF}]+"", """"), ""^[-–\s]+"", """")))&gt;0, TRIM(REGEXREPLACE(REGEXREPLACE('AYIRA MINI MART FINAL MENU - Pr"&amp;"'!A613, ""^[^\x{0600}-\x{06FF}]+"", """"), ""^[-–\s]+"", """")), GOOGLETRANSLATE('AYIRA MINI MART FINAL MENU - Pr'!A613, ""en"", ""ar"")))"),"برتقال 5 غرام")</f>
        <v>برتقال 5 غرام</v>
      </c>
      <c r="B613" s="56" t="str">
        <f>IFERROR(__xludf.DUMMYFUNCTION("IF('AYIRA MINI MART FINAL MENU - Pr'!B613="""", """", IF(LEN(TRIM(REGEXREPLACE(REGEXREPLACE('AYIRA MINI MART FINAL MENU - Pr'!B613, ""^[^\x{0600}-\x{06FF}]+"", """"), ""^[-–\s]+"", """")))&gt;0, TRIM(REGEXREPLACE(REGEXREPLACE('AYIRA MINI MART FINAL MENU - Pr"&amp;"'!B613, ""^[^\x{0600}-\x{06FF}]+"", """"), ""^[-–\s]+"", """")), GOOGLETRANSLATE('AYIRA MINI MART FINAL MENU - Pr'!B613, ""en"", ""ar"")))"),"الحلوى 🍬")</f>
        <v>الحلوى 🍬</v>
      </c>
      <c r="C613" s="58">
        <f>IF('AYIRA MINI MART FINAL MENU - Pr'!C613="", "", 'AYIRA MINI MART FINAL MENU - Pr'!C613)</f>
        <v>1</v>
      </c>
      <c r="D613" s="58" t="str">
        <f>IF('AYIRA MINI MART FINAL MENU - Pr'!D613="", "", 'AYIRA MINI MART FINAL MENU - Pr'!D613)</f>
        <v>أضف لحظة حلوة إلى يومك مع Kiokpop Candy Orange 5G،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613" s="56" t="str">
        <f>IF('AYIRA MINI MART FINAL MENU - Pr'!E613="", "", 'AYIRA MINI MART FINAL MENU - Pr'!E613)</f>
        <v/>
      </c>
      <c r="F613" s="56" t="str">
        <f>IF('AYIRA MINI MART FINAL MENU - Pr'!F613="", "", 'AYIRA MINI MART FINAL MENU - Pr'!F613)</f>
        <v/>
      </c>
      <c r="G613" s="56" t="str">
        <f>IF('AYIRA MINI MART FINAL MENU - Pr'!G613="", "", 'AYIRA MINI MART FINAL MENU - Pr'!G613)</f>
        <v/>
      </c>
      <c r="H613" s="56" t="str">
        <f>IF('AYIRA MINI MART FINAL MENU - Pr'!H613="", "", 'AYIRA MINI MART FINAL MENU - Pr'!H613)</f>
        <v/>
      </c>
      <c r="I613" s="56" t="str">
        <f>IF('AYIRA MINI MART FINAL MENU - Pr'!I613="", "", 'AYIRA MINI MART FINAL MENU - Pr'!I613)</f>
        <v/>
      </c>
      <c r="J613" s="56" t="str">
        <f>IFERROR(__xludf.DUMMYFUNCTION("IF('AYIRA MINI MART FINAL MENU - Pr'!J613="""", """", GOOGLETRANSLATE('AYIRA MINI MART FINAL MENU - Pr'!J613, ""en"", ""ar""))"),"يعرض")</f>
        <v>يعرض</v>
      </c>
      <c r="K613" s="56" t="str">
        <f>IF('AYIRA MINI MART FINAL MENU - Pr'!K613="", "", 'AYIRA MINI MART FINAL MENU - Pr'!K613)</f>
        <v/>
      </c>
      <c r="L613" s="56" t="str">
        <f>IF('AYIRA MINI MART FINAL MENU - Pr'!L613="", "", 'AYIRA MINI MART FINAL MENU - Pr'!L613)</f>
        <v/>
      </c>
      <c r="M613" s="56" t="str">
        <f>IF('AYIRA MINI MART FINAL MENU - Pr'!M613="", "", 'AYIRA MINI MART FINAL MENU - Pr'!M613)</f>
        <v/>
      </c>
      <c r="N613" s="56" t="str">
        <f>IF('AYIRA MINI MART FINAL MENU - Pr'!N613="", "", 'AYIRA MINI MART FINAL MENU - Pr'!N613)</f>
        <v/>
      </c>
      <c r="O613" s="57"/>
      <c r="P613" s="57"/>
      <c r="Q613" s="57"/>
      <c r="R613" s="57"/>
      <c r="S613" s="57"/>
      <c r="T613" s="57"/>
      <c r="U613" s="57"/>
      <c r="V613" s="57"/>
      <c r="W613" s="57"/>
      <c r="X613" s="57"/>
      <c r="Y613" s="57"/>
      <c r="Z613" s="57"/>
    </row>
    <row r="614">
      <c r="A614" s="56" t="str">
        <f>IFERROR(__xludf.DUMMYFUNCTION("IF('AYIRA MINI MART FINAL MENU - Pr'!A614="""", """", IF(LEN(TRIM(REGEXREPLACE(REGEXREPLACE('AYIRA MINI MART FINAL MENU - Pr'!A614, ""^[^\x{0600}-\x{06FF}]+"", """"), ""^[-–\s]+"", """")))&gt;0, TRIM(REGEXREPLACE(REGEXREPLACE('AYIRA MINI MART FINAL MENU - Pr"&amp;"'!A614, ""^[^\x{0600}-\x{06FF}]+"", """"), ""^[-–\s]+"", """")), GOOGLETRANSLATE('AYIRA MINI MART FINAL MENU - Pr'!A614, ""en"", ""ar"")))"),"تشوبا تشوبس Soft Bubble Gum Babol Tutti Frutti Flavour 27 GM")</f>
        <v>تشوبا تشوبس Soft Bubble Gum Babol Tutti Frutti Flavour 27 GM</v>
      </c>
      <c r="B614" s="56" t="str">
        <f>IFERROR(__xludf.DUMMYFUNCTION("IF('AYIRA MINI MART FINAL MENU - Pr'!B614="""", """", IF(LEN(TRIM(REGEXREPLACE(REGEXREPLACE('AYIRA MINI MART FINAL MENU - Pr'!B614, ""^[^\x{0600}-\x{06FF}]+"", """"), ""^[-–\s]+"", """")))&gt;0, TRIM(REGEXREPLACE(REGEXREPLACE('AYIRA MINI MART FINAL MENU - Pr"&amp;"'!B614, ""^[^\x{0600}-\x{06FF}]+"", """"), ""^[-–\s]+"", """")), GOOGLETRANSLATE('AYIRA MINI MART FINAL MENU - Pr'!B614, ""en"", ""ar"")))"),"العلكة")</f>
        <v>العلكة</v>
      </c>
      <c r="C614" s="58">
        <f>IF('AYIRA MINI MART FINAL MENU - Pr'!C614="", "", 'AYIRA MINI MART FINAL MENU - Pr'!C614)</f>
        <v>1.5</v>
      </c>
      <c r="D614" s="58" t="str">
        <f>IF('AYIRA MINI MART FINAL MENU - Pr'!D614="", "", 'AYIRA MINI MART FINAL MENU - Pr'!D614)</f>
        <v>استمتع بـ Chupa Chups Soft Bubble Gum Babol Tutti Frutti Flavour 27 GM،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614" s="56" t="str">
        <f>IF('AYIRA MINI MART FINAL MENU - Pr'!E614="", "", 'AYIRA MINI MART FINAL MENU - Pr'!E614)</f>
        <v/>
      </c>
      <c r="F614" s="56" t="str">
        <f>IF('AYIRA MINI MART FINAL MENU - Pr'!F614="", "", 'AYIRA MINI MART FINAL MENU - Pr'!F614)</f>
        <v/>
      </c>
      <c r="G614" s="56" t="str">
        <f>IF('AYIRA MINI MART FINAL MENU - Pr'!G614="", "", 'AYIRA MINI MART FINAL MENU - Pr'!G614)</f>
        <v/>
      </c>
      <c r="H614" s="56" t="str">
        <f>IF('AYIRA MINI MART FINAL MENU - Pr'!H614="", "", 'AYIRA MINI MART FINAL MENU - Pr'!H614)</f>
        <v/>
      </c>
      <c r="I614" s="56" t="str">
        <f>IF('AYIRA MINI MART FINAL MENU - Pr'!I614="", "", 'AYIRA MINI MART FINAL MENU - Pr'!I614)</f>
        <v/>
      </c>
      <c r="J614" s="56" t="str">
        <f>IFERROR(__xludf.DUMMYFUNCTION("IF('AYIRA MINI MART FINAL MENU - Pr'!J614="""", """", GOOGLETRANSLATE('AYIRA MINI MART FINAL MENU - Pr'!J614, ""en"", ""ar""))"),"يعرض")</f>
        <v>يعرض</v>
      </c>
      <c r="K614" s="56" t="str">
        <f>IF('AYIRA MINI MART FINAL MENU - Pr'!K614="", "", 'AYIRA MINI MART FINAL MENU - Pr'!K614)</f>
        <v/>
      </c>
      <c r="L614" s="56" t="str">
        <f>IF('AYIRA MINI MART FINAL MENU - Pr'!L614="", "", 'AYIRA MINI MART FINAL MENU - Pr'!L614)</f>
        <v/>
      </c>
      <c r="M614" s="56" t="str">
        <f>IF('AYIRA MINI MART FINAL MENU - Pr'!M614="", "", 'AYIRA MINI MART FINAL MENU - Pr'!M614)</f>
        <v/>
      </c>
      <c r="N614" s="56" t="str">
        <f>IF('AYIRA MINI MART FINAL MENU - Pr'!N614="", "", 'AYIRA MINI MART FINAL MENU - Pr'!N614)</f>
        <v/>
      </c>
      <c r="O614" s="57"/>
      <c r="P614" s="57"/>
      <c r="Q614" s="57"/>
      <c r="R614" s="57"/>
      <c r="S614" s="57"/>
      <c r="T614" s="57"/>
      <c r="U614" s="57"/>
      <c r="V614" s="57"/>
      <c r="W614" s="57"/>
      <c r="X614" s="57"/>
      <c r="Y614" s="57"/>
      <c r="Z614" s="57"/>
    </row>
    <row r="615">
      <c r="A615" s="56" t="str">
        <f>IFERROR(__xludf.DUMMYFUNCTION("IF('AYIRA MINI MART FINAL MENU - Pr'!A615="""", """", IF(LEN(TRIM(REGEXREPLACE(REGEXREPLACE('AYIRA MINI MART FINAL MENU - Pr'!A615, ""^[^\x{0600}-\x{06FF}]+"", """"), ""^[-–\s]+"", """")))&gt;0, TRIM(REGEXREPLACE(REGEXREPLACE('AYIRA MINI MART FINAL MENU - Pr"&amp;"'!A615, ""^[^\x{0600}-\x{06FF}]+"", """"), ""^[-–\s]+"", """")), GOOGLETRANSLATE('AYIRA MINI MART FINAL MENU - Pr'!A615, ""en"", ""ar"")))"),"تشوبا تشوبس Soft Bubble Gum Babol فراولة Flavour 27 GM")</f>
        <v>تشوبا تشوبس Soft Bubble Gum Babol فراولة Flavour 27 GM</v>
      </c>
      <c r="B615" s="56" t="str">
        <f>IFERROR(__xludf.DUMMYFUNCTION("IF('AYIRA MINI MART FINAL MENU - Pr'!B615="""", """", IF(LEN(TRIM(REGEXREPLACE(REGEXREPLACE('AYIRA MINI MART FINAL MENU - Pr'!B615, ""^[^\x{0600}-\x{06FF}]+"", """"), ""^[-–\s]+"", """")))&gt;0, TRIM(REGEXREPLACE(REGEXREPLACE('AYIRA MINI MART FINAL MENU - Pr"&amp;"'!B615, ""^[^\x{0600}-\x{06FF}]+"", """"), ""^[-–\s]+"", """")), GOOGLETRANSLATE('AYIRA MINI MART FINAL MENU - Pr'!B615, ""en"", ""ar"")))"),"العلكة")</f>
        <v>العلكة</v>
      </c>
      <c r="C615" s="58">
        <f>IF('AYIRA MINI MART FINAL MENU - Pr'!C615="", "", 'AYIRA MINI MART FINAL MENU - Pr'!C615)</f>
        <v>1.5</v>
      </c>
      <c r="D615" s="58" t="str">
        <f>IF('AYIRA MINI MART FINAL MENU - Pr'!D615="", "", 'AYIRA MINI MART FINAL MENU - Pr'!D615)</f>
        <v>استمتع بـ Chupa Chups Soft Bubble Gum Babol Strawberry Flavour 27 GM،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615" s="56" t="str">
        <f>IF('AYIRA MINI MART FINAL MENU - Pr'!E615="", "", 'AYIRA MINI MART FINAL MENU - Pr'!E615)</f>
        <v/>
      </c>
      <c r="F615" s="56" t="str">
        <f>IF('AYIRA MINI MART FINAL MENU - Pr'!F615="", "", 'AYIRA MINI MART FINAL MENU - Pr'!F615)</f>
        <v/>
      </c>
      <c r="G615" s="56" t="str">
        <f>IF('AYIRA MINI MART FINAL MENU - Pr'!G615="", "", 'AYIRA MINI MART FINAL MENU - Pr'!G615)</f>
        <v/>
      </c>
      <c r="H615" s="56" t="str">
        <f>IF('AYIRA MINI MART FINAL MENU - Pr'!H615="", "", 'AYIRA MINI MART FINAL MENU - Pr'!H615)</f>
        <v/>
      </c>
      <c r="I615" s="56" t="str">
        <f>IF('AYIRA MINI MART FINAL MENU - Pr'!I615="", "", 'AYIRA MINI MART FINAL MENU - Pr'!I615)</f>
        <v/>
      </c>
      <c r="J615" s="56" t="str">
        <f>IFERROR(__xludf.DUMMYFUNCTION("IF('AYIRA MINI MART FINAL MENU - Pr'!J615="""", """", GOOGLETRANSLATE('AYIRA MINI MART FINAL MENU - Pr'!J615, ""en"", ""ar""))"),"يعرض")</f>
        <v>يعرض</v>
      </c>
      <c r="K615" s="56" t="str">
        <f>IF('AYIRA MINI MART FINAL MENU - Pr'!K615="", "", 'AYIRA MINI MART FINAL MENU - Pr'!K615)</f>
        <v/>
      </c>
      <c r="L615" s="56" t="str">
        <f>IF('AYIRA MINI MART FINAL MENU - Pr'!L615="", "", 'AYIRA MINI MART FINAL MENU - Pr'!L615)</f>
        <v/>
      </c>
      <c r="M615" s="56" t="str">
        <f>IF('AYIRA MINI MART FINAL MENU - Pr'!M615="", "", 'AYIRA MINI MART FINAL MENU - Pr'!M615)</f>
        <v/>
      </c>
      <c r="N615" s="56" t="str">
        <f>IF('AYIRA MINI MART FINAL MENU - Pr'!N615="", "", 'AYIRA MINI MART FINAL MENU - Pr'!N615)</f>
        <v/>
      </c>
      <c r="O615" s="57"/>
      <c r="P615" s="57"/>
      <c r="Q615" s="57"/>
      <c r="R615" s="57"/>
      <c r="S615" s="57"/>
      <c r="T615" s="57"/>
      <c r="U615" s="57"/>
      <c r="V615" s="57"/>
      <c r="W615" s="57"/>
      <c r="X615" s="57"/>
      <c r="Y615" s="57"/>
      <c r="Z615" s="57"/>
    </row>
    <row r="616">
      <c r="A616" s="56" t="str">
        <f>IFERROR(__xludf.DUMMYFUNCTION("IF('AYIRA MINI MART FINAL MENU - Pr'!A616="""", """", IF(LEN(TRIM(REGEXREPLACE(REGEXREPLACE('AYIRA MINI MART FINAL MENU - Pr'!A616, ""^[^\x{0600}-\x{06FF}]+"", """"), ""^[-–\s]+"", """")))&gt;0, TRIM(REGEXREPLACE(REGEXREPLACE('AYIRA MINI MART FINAL MENU - Pr"&amp;"'!A616, ""^[^\x{0600}-\x{06FF}]+"", """"), ""^[-–\s]+"", """")), GOOGLETRANSLATE('AYIRA MINI MART FINAL MENU - Pr'!A616, ""en"", ""ar"")))"),"غالاكسي Crispy 36 GM")</f>
        <v>غالاكسي Crispy 36 GM</v>
      </c>
      <c r="B616" s="56" t="str">
        <f>IFERROR(__xludf.DUMMYFUNCTION("IF('AYIRA MINI MART FINAL MENU - Pr'!B616="""", """", IF(LEN(TRIM(REGEXREPLACE(REGEXREPLACE('AYIRA MINI MART FINAL MENU - Pr'!B616, ""^[^\x{0600}-\x{06FF}]+"", """"), ""^[-–\s]+"", """")))&gt;0, TRIM(REGEXREPLACE(REGEXREPLACE('AYIRA MINI MART FINAL MENU - Pr"&amp;"'!B616, ""^[^\x{0600}-\x{06FF}]+"", """"), ""^[-–\s]+"", """")), GOOGLETRANSLATE('AYIRA MINI MART FINAL MENU - Pr'!B616, ""en"", ""ar"")))"),"الشوكولاتة")</f>
        <v>الشوكولاتة</v>
      </c>
      <c r="C616" s="58">
        <f>IF('AYIRA MINI MART FINAL MENU - Pr'!C616="", "", 'AYIRA MINI MART FINAL MENU - Pr'!C616)</f>
        <v>4</v>
      </c>
      <c r="D616" s="58" t="str">
        <f>IF('AYIRA MINI MART FINAL MENU - Pr'!D616="", "", 'AYIRA MINI MART FINAL MENU - Pr'!D616)</f>
        <v>لا تقاوم طعم Galaxy Crispy 36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16" s="56" t="str">
        <f>IF('AYIRA MINI MART FINAL MENU - Pr'!E616="", "", 'AYIRA MINI MART FINAL MENU - Pr'!E616)</f>
        <v/>
      </c>
      <c r="F616" s="56" t="str">
        <f>IF('AYIRA MINI MART FINAL MENU - Pr'!F616="", "", 'AYIRA MINI MART FINAL MENU - Pr'!F616)</f>
        <v/>
      </c>
      <c r="G616" s="56" t="str">
        <f>IF('AYIRA MINI MART FINAL MENU - Pr'!G616="", "", 'AYIRA MINI MART FINAL MENU - Pr'!G616)</f>
        <v/>
      </c>
      <c r="H616" s="56" t="str">
        <f>IF('AYIRA MINI MART FINAL MENU - Pr'!H616="", "", 'AYIRA MINI MART FINAL MENU - Pr'!H616)</f>
        <v/>
      </c>
      <c r="I616" s="56" t="str">
        <f>IF('AYIRA MINI MART FINAL MENU - Pr'!I616="", "", 'AYIRA MINI MART FINAL MENU - Pr'!I616)</f>
        <v/>
      </c>
      <c r="J616" s="56" t="str">
        <f>IFERROR(__xludf.DUMMYFUNCTION("IF('AYIRA MINI MART FINAL MENU - Pr'!J616="""", """", GOOGLETRANSLATE('AYIRA MINI MART FINAL MENU - Pr'!J616, ""en"", ""ar""))"),"يعرض")</f>
        <v>يعرض</v>
      </c>
      <c r="K616" s="56" t="str">
        <f>IF('AYIRA MINI MART FINAL MENU - Pr'!K616="", "", 'AYIRA MINI MART FINAL MENU - Pr'!K616)</f>
        <v/>
      </c>
      <c r="L616" s="56" t="str">
        <f>IF('AYIRA MINI MART FINAL MENU - Pr'!L616="", "", 'AYIRA MINI MART FINAL MENU - Pr'!L616)</f>
        <v/>
      </c>
      <c r="M616" s="56" t="str">
        <f>IF('AYIRA MINI MART FINAL MENU - Pr'!M616="", "", 'AYIRA MINI MART FINAL MENU - Pr'!M616)</f>
        <v/>
      </c>
      <c r="N616" s="56" t="str">
        <f>IF('AYIRA MINI MART FINAL MENU - Pr'!N616="", "", 'AYIRA MINI MART FINAL MENU - Pr'!N616)</f>
        <v/>
      </c>
      <c r="O616" s="57"/>
      <c r="P616" s="57"/>
      <c r="Q616" s="57"/>
      <c r="R616" s="57"/>
      <c r="S616" s="57"/>
      <c r="T616" s="57"/>
      <c r="U616" s="57"/>
      <c r="V616" s="57"/>
      <c r="W616" s="57"/>
      <c r="X616" s="57"/>
      <c r="Y616" s="57"/>
      <c r="Z616" s="57"/>
    </row>
    <row r="617">
      <c r="A617" s="56" t="str">
        <f>IFERROR(__xludf.DUMMYFUNCTION("IF('AYIRA MINI MART FINAL MENU - Pr'!A617="""", """", IF(LEN(TRIM(REGEXREPLACE(REGEXREPLACE('AYIRA MINI MART FINAL MENU - Pr'!A617, ""^[^\x{0600}-\x{06FF}]+"", """"), ""^[-–\s]+"", """")))&gt;0, TRIM(REGEXREPLACE(REGEXREPLACE('AYIRA MINI MART FINAL MENU - Pr"&amp;"'!A617, ""^[^\x{0600}-\x{06FF}]+"", """"), ""^[-–\s]+"", """")), GOOGLETRANSLATE('AYIRA MINI MART FINAL MENU - Pr'!A617, ""en"", ""ar"")))"),"سنيكرز 70 GM")</f>
        <v>سنيكرز 70 GM</v>
      </c>
      <c r="B617" s="56" t="str">
        <f>IFERROR(__xludf.DUMMYFUNCTION("IF('AYIRA MINI MART FINAL MENU - Pr'!B617="""", """", IF(LEN(TRIM(REGEXREPLACE(REGEXREPLACE('AYIRA MINI MART FINAL MENU - Pr'!B617, ""^[^\x{0600}-\x{06FF}]+"", """"), ""^[-–\s]+"", """")))&gt;0, TRIM(REGEXREPLACE(REGEXREPLACE('AYIRA MINI MART FINAL MENU - Pr"&amp;"'!B617, ""^[^\x{0600}-\x{06FF}]+"", """"), ""^[-–\s]+"", """")), GOOGLETRANSLATE('AYIRA MINI MART FINAL MENU - Pr'!B617, ""en"", ""ar"")))"),"الشوكولاتة")</f>
        <v>الشوكولاتة</v>
      </c>
      <c r="C617" s="58">
        <f>IF('AYIRA MINI MART FINAL MENU - Pr'!C617="", "", 'AYIRA MINI MART FINAL MENU - Pr'!C617)</f>
        <v>5</v>
      </c>
      <c r="D617" s="58" t="str">
        <f>IF('AYIRA MINI MART FINAL MENU - Pr'!D617="", "", 'AYIRA MINI MART FINAL MENU - Pr'!D617)</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17" s="56" t="str">
        <f>IF('AYIRA MINI MART FINAL MENU - Pr'!E617="", "", 'AYIRA MINI MART FINAL MENU - Pr'!E617)</f>
        <v/>
      </c>
      <c r="F617" s="56" t="str">
        <f>IF('AYIRA MINI MART FINAL MENU - Pr'!F617="", "", 'AYIRA MINI MART FINAL MENU - Pr'!F617)</f>
        <v/>
      </c>
      <c r="G617" s="56" t="str">
        <f>IF('AYIRA MINI MART FINAL MENU - Pr'!G617="", "", 'AYIRA MINI MART FINAL MENU - Pr'!G617)</f>
        <v/>
      </c>
      <c r="H617" s="56" t="str">
        <f>IF('AYIRA MINI MART FINAL MENU - Pr'!H617="", "", 'AYIRA MINI MART FINAL MENU - Pr'!H617)</f>
        <v/>
      </c>
      <c r="I617" s="56" t="str">
        <f>IF('AYIRA MINI MART FINAL MENU - Pr'!I617="", "", 'AYIRA MINI MART FINAL MENU - Pr'!I617)</f>
        <v/>
      </c>
      <c r="J617" s="56" t="str">
        <f>IFERROR(__xludf.DUMMYFUNCTION("IF('AYIRA MINI MART FINAL MENU - Pr'!J617="""", """", GOOGLETRANSLATE('AYIRA MINI MART FINAL MENU - Pr'!J617, ""en"", ""ar""))"),"يعرض")</f>
        <v>يعرض</v>
      </c>
      <c r="K617" s="56" t="str">
        <f>IF('AYIRA MINI MART FINAL MENU - Pr'!K617="", "", 'AYIRA MINI MART FINAL MENU - Pr'!K617)</f>
        <v/>
      </c>
      <c r="L617" s="56" t="str">
        <f>IF('AYIRA MINI MART FINAL MENU - Pr'!L617="", "", 'AYIRA MINI MART FINAL MENU - Pr'!L617)</f>
        <v/>
      </c>
      <c r="M617" s="56" t="str">
        <f>IF('AYIRA MINI MART FINAL MENU - Pr'!M617="", "", 'AYIRA MINI MART FINAL MENU - Pr'!M617)</f>
        <v/>
      </c>
      <c r="N617" s="56" t="str">
        <f>IF('AYIRA MINI MART FINAL MENU - Pr'!N617="", "", 'AYIRA MINI MART FINAL MENU - Pr'!N617)</f>
        <v/>
      </c>
      <c r="O617" s="57"/>
      <c r="P617" s="57"/>
      <c r="Q617" s="57"/>
      <c r="R617" s="57"/>
      <c r="S617" s="57"/>
      <c r="T617" s="57"/>
      <c r="U617" s="57"/>
      <c r="V617" s="57"/>
      <c r="W617" s="57"/>
      <c r="X617" s="57"/>
      <c r="Y617" s="57"/>
      <c r="Z617" s="57"/>
    </row>
    <row r="618">
      <c r="A618" s="56" t="str">
        <f>IFERROR(__xludf.DUMMYFUNCTION("IF('AYIRA MINI MART FINAL MENU - Pr'!A618="""", """", IF(LEN(TRIM(REGEXREPLACE(REGEXREPLACE('AYIRA MINI MART FINAL MENU - Pr'!A618, ""^[^\x{0600}-\x{06FF}]+"", """"), ""^[-–\s]+"", """")))&gt;0, TRIM(REGEXREPLACE(REGEXREPLACE('AYIRA MINI MART FINAL MENU - Pr"&amp;"'!A618, ""^[^\x{0600}-\x{06FF}]+"", """"), ""^[-–\s]+"", """")), GOOGLETRANSLATE('AYIRA MINI MART FINAL MENU - Pr'!A618, ""en"", ""ar"")))"),"سنيكرز 45 GM")</f>
        <v>سنيكرز 45 GM</v>
      </c>
      <c r="B618" s="56" t="str">
        <f>IFERROR(__xludf.DUMMYFUNCTION("IF('AYIRA MINI MART FINAL MENU - Pr'!B618="""", """", IF(LEN(TRIM(REGEXREPLACE(REGEXREPLACE('AYIRA MINI MART FINAL MENU - Pr'!B618, ""^[^\x{0600}-\x{06FF}]+"", """"), ""^[-–\s]+"", """")))&gt;0, TRIM(REGEXREPLACE(REGEXREPLACE('AYIRA MINI MART FINAL MENU - Pr"&amp;"'!B618, ""^[^\x{0600}-\x{06FF}]+"", """"), ""^[-–\s]+"", """")), GOOGLETRANSLATE('AYIRA MINI MART FINAL MENU - Pr'!B618, ""en"", ""ar"")))"),"الشوكولاتة")</f>
        <v>الشوكولاتة</v>
      </c>
      <c r="C618" s="58">
        <f>IF('AYIRA MINI MART FINAL MENU - Pr'!C618="", "", 'AYIRA MINI MART FINAL MENU - Pr'!C618)</f>
        <v>3</v>
      </c>
      <c r="D618" s="58" t="str">
        <f>IF('AYIRA MINI MART FINAL MENU - Pr'!D618="", "", 'AYIRA MINI MART FINAL MENU - Pr'!D618)</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18" s="56" t="str">
        <f>IF('AYIRA MINI MART FINAL MENU - Pr'!E618="", "", 'AYIRA MINI MART FINAL MENU - Pr'!E618)</f>
        <v/>
      </c>
      <c r="F618" s="56" t="str">
        <f>IF('AYIRA MINI MART FINAL MENU - Pr'!F618="", "", 'AYIRA MINI MART FINAL MENU - Pr'!F618)</f>
        <v/>
      </c>
      <c r="G618" s="56" t="str">
        <f>IF('AYIRA MINI MART FINAL MENU - Pr'!G618="", "", 'AYIRA MINI MART FINAL MENU - Pr'!G618)</f>
        <v/>
      </c>
      <c r="H618" s="56" t="str">
        <f>IF('AYIRA MINI MART FINAL MENU - Pr'!H618="", "", 'AYIRA MINI MART FINAL MENU - Pr'!H618)</f>
        <v/>
      </c>
      <c r="I618" s="56" t="str">
        <f>IF('AYIRA MINI MART FINAL MENU - Pr'!I618="", "", 'AYIRA MINI MART FINAL MENU - Pr'!I618)</f>
        <v/>
      </c>
      <c r="J618" s="56" t="str">
        <f>IFERROR(__xludf.DUMMYFUNCTION("IF('AYIRA MINI MART FINAL MENU - Pr'!J618="""", """", GOOGLETRANSLATE('AYIRA MINI MART FINAL MENU - Pr'!J618, ""en"", ""ar""))"),"يخفي")</f>
        <v>يخفي</v>
      </c>
      <c r="K618" s="56" t="str">
        <f>IF('AYIRA MINI MART FINAL MENU - Pr'!K618="", "", 'AYIRA MINI MART FINAL MENU - Pr'!K618)</f>
        <v/>
      </c>
      <c r="L618" s="56" t="str">
        <f>IF('AYIRA MINI MART FINAL MENU - Pr'!L618="", "", 'AYIRA MINI MART FINAL MENU - Pr'!L618)</f>
        <v/>
      </c>
      <c r="M618" s="56" t="str">
        <f>IF('AYIRA MINI MART FINAL MENU - Pr'!M618="", "", 'AYIRA MINI MART FINAL MENU - Pr'!M618)</f>
        <v/>
      </c>
      <c r="N618" s="56" t="str">
        <f>IF('AYIRA MINI MART FINAL MENU - Pr'!N618="", "", 'AYIRA MINI MART FINAL MENU - Pr'!N618)</f>
        <v/>
      </c>
      <c r="O618" s="57"/>
      <c r="P618" s="57"/>
      <c r="Q618" s="57"/>
      <c r="R618" s="57"/>
      <c r="S618" s="57"/>
      <c r="T618" s="57"/>
      <c r="U618" s="57"/>
      <c r="V618" s="57"/>
      <c r="W618" s="57"/>
      <c r="X618" s="57"/>
      <c r="Y618" s="57"/>
      <c r="Z618" s="57"/>
    </row>
    <row r="619">
      <c r="A619" s="56" t="str">
        <f>IFERROR(__xludf.DUMMYFUNCTION("IF('AYIRA MINI MART FINAL MENU - Pr'!A619="""", """", IF(LEN(TRIM(REGEXREPLACE(REGEXREPLACE('AYIRA MINI MART FINAL MENU - Pr'!A619, ""^[^\x{0600}-\x{06FF}]+"", """"), ""^[-–\s]+"", """")))&gt;0, TRIM(REGEXREPLACE(REGEXREPLACE('AYIRA MINI MART FINAL MENU - Pr"&amp;"'!A619, ""^[^\x{0600}-\x{06FF}]+"", """"), ""^[-–\s]+"", """")), GOOGLETRANSLATE('AYIRA MINI MART FINAL MENU - Pr'!A619, ""en"", ""ar"")))"),"سنيكرز Creamy فول سوداني زبدة 36.5 GM")</f>
        <v>سنيكرز Creamy فول سوداني زبدة 36.5 GM</v>
      </c>
      <c r="B619" s="56" t="str">
        <f>IFERROR(__xludf.DUMMYFUNCTION("IF('AYIRA MINI MART FINAL MENU - Pr'!B619="""", """", IF(LEN(TRIM(REGEXREPLACE(REGEXREPLACE('AYIRA MINI MART FINAL MENU - Pr'!B619, ""^[^\x{0600}-\x{06FF}]+"", """"), ""^[-–\s]+"", """")))&gt;0, TRIM(REGEXREPLACE(REGEXREPLACE('AYIRA MINI MART FINAL MENU - Pr"&amp;"'!B619, ""^[^\x{0600}-\x{06FF}]+"", """"), ""^[-–\s]+"", """")), GOOGLETRANSLATE('AYIRA MINI MART FINAL MENU - Pr'!B619, ""en"", ""ar"")))"),"الشوكولاتة")</f>
        <v>الشوكولاتة</v>
      </c>
      <c r="C619" s="58">
        <f>IF('AYIRA MINI MART FINAL MENU - Pr'!C619="", "", 'AYIRA MINI MART FINAL MENU - Pr'!C619)</f>
        <v>3.5</v>
      </c>
      <c r="D619" s="58" t="str">
        <f>IF('AYIRA MINI MART FINAL MENU - Pr'!D619="", "", 'AYIRA MINI MART FINAL MENU - Pr'!D619)</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19" s="56" t="str">
        <f>IF('AYIRA MINI MART FINAL MENU - Pr'!E619="", "", 'AYIRA MINI MART FINAL MENU - Pr'!E619)</f>
        <v/>
      </c>
      <c r="F619" s="56" t="str">
        <f>IF('AYIRA MINI MART FINAL MENU - Pr'!F619="", "", 'AYIRA MINI MART FINAL MENU - Pr'!F619)</f>
        <v/>
      </c>
      <c r="G619" s="56" t="str">
        <f>IF('AYIRA MINI MART FINAL MENU - Pr'!G619="", "", 'AYIRA MINI MART FINAL MENU - Pr'!G619)</f>
        <v/>
      </c>
      <c r="H619" s="56" t="str">
        <f>IF('AYIRA MINI MART FINAL MENU - Pr'!H619="", "", 'AYIRA MINI MART FINAL MENU - Pr'!H619)</f>
        <v/>
      </c>
      <c r="I619" s="56" t="str">
        <f>IF('AYIRA MINI MART FINAL MENU - Pr'!I619="", "", 'AYIRA MINI MART FINAL MENU - Pr'!I619)</f>
        <v/>
      </c>
      <c r="J619" s="56" t="str">
        <f>IFERROR(__xludf.DUMMYFUNCTION("IF('AYIRA MINI MART FINAL MENU - Pr'!J619="""", """", GOOGLETRANSLATE('AYIRA MINI MART FINAL MENU - Pr'!J619, ""en"", ""ar""))"),"يعرض")</f>
        <v>يعرض</v>
      </c>
      <c r="K619" s="56" t="str">
        <f>IF('AYIRA MINI MART FINAL MENU - Pr'!K619="", "", 'AYIRA MINI MART FINAL MENU - Pr'!K619)</f>
        <v/>
      </c>
      <c r="L619" s="56" t="str">
        <f>IF('AYIRA MINI MART FINAL MENU - Pr'!L619="", "", 'AYIRA MINI MART FINAL MENU - Pr'!L619)</f>
        <v/>
      </c>
      <c r="M619" s="56" t="str">
        <f>IF('AYIRA MINI MART FINAL MENU - Pr'!M619="", "", 'AYIRA MINI MART FINAL MENU - Pr'!M619)</f>
        <v/>
      </c>
      <c r="N619" s="56" t="str">
        <f>IF('AYIRA MINI MART FINAL MENU - Pr'!N619="", "", 'AYIRA MINI MART FINAL MENU - Pr'!N619)</f>
        <v/>
      </c>
      <c r="O619" s="57"/>
      <c r="P619" s="57"/>
      <c r="Q619" s="57"/>
      <c r="R619" s="57"/>
      <c r="S619" s="57"/>
      <c r="T619" s="57"/>
      <c r="U619" s="57"/>
      <c r="V619" s="57"/>
      <c r="W619" s="57"/>
      <c r="X619" s="57"/>
      <c r="Y619" s="57"/>
      <c r="Z619" s="57"/>
    </row>
    <row r="620">
      <c r="A620" s="56" t="str">
        <f>IFERROR(__xludf.DUMMYFUNCTION("IF('AYIRA MINI MART FINAL MENU - Pr'!A620="""", """", IF(LEN(TRIM(REGEXREPLACE(REGEXREPLACE('AYIRA MINI MART FINAL MENU - Pr'!A620, ""^[^\x{0600}-\x{06FF}]+"", """"), ""^[-–\s]+"", """")))&gt;0, TRIM(REGEXREPLACE(REGEXREPLACE('AYIRA MINI MART FINAL MENU - Pr"&amp;"'!A620, ""^[^\x{0600}-\x{06FF}]+"", """"), ""^[-–\s]+"", """")), GOOGLETRANSLATE('AYIRA MINI MART FINAL MENU - Pr'!A620, ""en"", ""ar"")))"),"سنيكرز داكن 42 GM")</f>
        <v>سنيكرز داكن 42 GM</v>
      </c>
      <c r="B620" s="56" t="str">
        <f>IFERROR(__xludf.DUMMYFUNCTION("IF('AYIRA MINI MART FINAL MENU - Pr'!B620="""", """", IF(LEN(TRIM(REGEXREPLACE(REGEXREPLACE('AYIRA MINI MART FINAL MENU - Pr'!B620, ""^[^\x{0600}-\x{06FF}]+"", """"), ""^[-–\s]+"", """")))&gt;0, TRIM(REGEXREPLACE(REGEXREPLACE('AYIRA MINI MART FINAL MENU - Pr"&amp;"'!B620, ""^[^\x{0600}-\x{06FF}]+"", """"), ""^[-–\s]+"", """")), GOOGLETRANSLATE('AYIRA MINI MART FINAL MENU - Pr'!B620, ""en"", ""ar"")))"),"الشوكولاتة")</f>
        <v>الشوكولاتة</v>
      </c>
      <c r="C620" s="58">
        <f>IF('AYIRA MINI MART FINAL MENU - Pr'!C620="", "", 'AYIRA MINI MART FINAL MENU - Pr'!C620)</f>
        <v>4</v>
      </c>
      <c r="D620" s="58" t="str">
        <f>IF('AYIRA MINI MART FINAL MENU - Pr'!D620="", "", 'AYIRA MINI MART FINAL MENU - Pr'!D620)</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20" s="56" t="str">
        <f>IF('AYIRA MINI MART FINAL MENU - Pr'!E620="", "", 'AYIRA MINI MART FINAL MENU - Pr'!E620)</f>
        <v/>
      </c>
      <c r="F620" s="56" t="str">
        <f>IF('AYIRA MINI MART FINAL MENU - Pr'!F620="", "", 'AYIRA MINI MART FINAL MENU - Pr'!F620)</f>
        <v/>
      </c>
      <c r="G620" s="56" t="str">
        <f>IF('AYIRA MINI MART FINAL MENU - Pr'!G620="", "", 'AYIRA MINI MART FINAL MENU - Pr'!G620)</f>
        <v/>
      </c>
      <c r="H620" s="56" t="str">
        <f>IF('AYIRA MINI MART FINAL MENU - Pr'!H620="", "", 'AYIRA MINI MART FINAL MENU - Pr'!H620)</f>
        <v/>
      </c>
      <c r="I620" s="56" t="str">
        <f>IF('AYIRA MINI MART FINAL MENU - Pr'!I620="", "", 'AYIRA MINI MART FINAL MENU - Pr'!I620)</f>
        <v/>
      </c>
      <c r="J620" s="56" t="str">
        <f>IFERROR(__xludf.DUMMYFUNCTION("IF('AYIRA MINI MART FINAL MENU - Pr'!J620="""", """", GOOGLETRANSLATE('AYIRA MINI MART FINAL MENU - Pr'!J620, ""en"", ""ar""))"),"يعرض")</f>
        <v>يعرض</v>
      </c>
      <c r="K620" s="56" t="str">
        <f>IF('AYIRA MINI MART FINAL MENU - Pr'!K620="", "", 'AYIRA MINI MART FINAL MENU - Pr'!K620)</f>
        <v/>
      </c>
      <c r="L620" s="56" t="str">
        <f>IF('AYIRA MINI MART FINAL MENU - Pr'!L620="", "", 'AYIRA MINI MART FINAL MENU - Pr'!L620)</f>
        <v/>
      </c>
      <c r="M620" s="56" t="str">
        <f>IF('AYIRA MINI MART FINAL MENU - Pr'!M620="", "", 'AYIRA MINI MART FINAL MENU - Pr'!M620)</f>
        <v/>
      </c>
      <c r="N620" s="56" t="str">
        <f>IF('AYIRA MINI MART FINAL MENU - Pr'!N620="", "", 'AYIRA MINI MART FINAL MENU - Pr'!N620)</f>
        <v/>
      </c>
      <c r="O620" s="57"/>
      <c r="P620" s="57"/>
      <c r="Q620" s="57"/>
      <c r="R620" s="57"/>
      <c r="S620" s="57"/>
      <c r="T620" s="57"/>
      <c r="U620" s="57"/>
      <c r="V620" s="57"/>
      <c r="W620" s="57"/>
      <c r="X620" s="57"/>
      <c r="Y620" s="57"/>
      <c r="Z620" s="57"/>
    </row>
    <row r="621">
      <c r="A621" s="56" t="str">
        <f>IFERROR(__xludf.DUMMYFUNCTION("IF('AYIRA MINI MART FINAL MENU - Pr'!A621="""", """", IF(LEN(TRIM(REGEXREPLACE(REGEXREPLACE('AYIRA MINI MART FINAL MENU - Pr'!A621, ""^[^\x{0600}-\x{06FF}]+"", """"), ""^[-–\s]+"", """")))&gt;0, TRIM(REGEXREPLACE(REGEXREPLACE('AYIRA MINI MART FINAL MENU - Pr"&amp;"'!A621, ""^[^\x{0600}-\x{06FF}]+"", """"), ""^[-–\s]+"", """")), GOOGLETRANSLATE('AYIRA MINI MART FINAL MENU - Pr'!A621, ""en"", ""ar"")))"),"سنيكرز X-Treme 42 GM")</f>
        <v>سنيكرز X-Treme 42 GM</v>
      </c>
      <c r="B621" s="56" t="str">
        <f>IFERROR(__xludf.DUMMYFUNCTION("IF('AYIRA MINI MART FINAL MENU - Pr'!B621="""", """", IF(LEN(TRIM(REGEXREPLACE(REGEXREPLACE('AYIRA MINI MART FINAL MENU - Pr'!B621, ""^[^\x{0600}-\x{06FF}]+"", """"), ""^[-–\s]+"", """")))&gt;0, TRIM(REGEXREPLACE(REGEXREPLACE('AYIRA MINI MART FINAL MENU - Pr"&amp;"'!B621, ""^[^\x{0600}-\x{06FF}]+"", """"), ""^[-–\s]+"", """")), GOOGLETRANSLATE('AYIRA MINI MART FINAL MENU - Pr'!B621, ""en"", ""ar"")))"),"الشوكولاتة")</f>
        <v>الشوكولاتة</v>
      </c>
      <c r="C621" s="58">
        <f>IF('AYIRA MINI MART FINAL MENU - Pr'!C621="", "", 'AYIRA MINI MART FINAL MENU - Pr'!C621)</f>
        <v>3.5</v>
      </c>
      <c r="D621" s="58" t="str">
        <f>IF('AYIRA MINI MART FINAL MENU - Pr'!D621="", "", 'AYIRA MINI MART FINAL MENU - Pr'!D621)</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21" s="56" t="str">
        <f>IF('AYIRA MINI MART FINAL MENU - Pr'!E621="", "", 'AYIRA MINI MART FINAL MENU - Pr'!E621)</f>
        <v/>
      </c>
      <c r="F621" s="56" t="str">
        <f>IF('AYIRA MINI MART FINAL MENU - Pr'!F621="", "", 'AYIRA MINI MART FINAL MENU - Pr'!F621)</f>
        <v/>
      </c>
      <c r="G621" s="56" t="str">
        <f>IF('AYIRA MINI MART FINAL MENU - Pr'!G621="", "", 'AYIRA MINI MART FINAL MENU - Pr'!G621)</f>
        <v/>
      </c>
      <c r="H621" s="56" t="str">
        <f>IF('AYIRA MINI MART FINAL MENU - Pr'!H621="", "", 'AYIRA MINI MART FINAL MENU - Pr'!H621)</f>
        <v/>
      </c>
      <c r="I621" s="56" t="str">
        <f>IF('AYIRA MINI MART FINAL MENU - Pr'!I621="", "", 'AYIRA MINI MART FINAL MENU - Pr'!I621)</f>
        <v/>
      </c>
      <c r="J621" s="56" t="str">
        <f>IFERROR(__xludf.DUMMYFUNCTION("IF('AYIRA MINI MART FINAL MENU - Pr'!J621="""", """", GOOGLETRANSLATE('AYIRA MINI MART FINAL MENU - Pr'!J621, ""en"", ""ar""))"),"يعرض")</f>
        <v>يعرض</v>
      </c>
      <c r="K621" s="56" t="str">
        <f>IF('AYIRA MINI MART FINAL MENU - Pr'!K621="", "", 'AYIRA MINI MART FINAL MENU - Pr'!K621)</f>
        <v/>
      </c>
      <c r="L621" s="56" t="str">
        <f>IF('AYIRA MINI MART FINAL MENU - Pr'!L621="", "", 'AYIRA MINI MART FINAL MENU - Pr'!L621)</f>
        <v/>
      </c>
      <c r="M621" s="56" t="str">
        <f>IF('AYIRA MINI MART FINAL MENU - Pr'!M621="", "", 'AYIRA MINI MART FINAL MENU - Pr'!M621)</f>
        <v/>
      </c>
      <c r="N621" s="56" t="str">
        <f>IF('AYIRA MINI MART FINAL MENU - Pr'!N621="", "", 'AYIRA MINI MART FINAL MENU - Pr'!N621)</f>
        <v/>
      </c>
      <c r="O621" s="57"/>
      <c r="P621" s="57"/>
      <c r="Q621" s="57"/>
      <c r="R621" s="57"/>
      <c r="S621" s="57"/>
      <c r="T621" s="57"/>
      <c r="U621" s="57"/>
      <c r="V621" s="57"/>
      <c r="W621" s="57"/>
      <c r="X621" s="57"/>
      <c r="Y621" s="57"/>
      <c r="Z621" s="57"/>
    </row>
    <row r="622">
      <c r="A622" s="56" t="str">
        <f>IFERROR(__xludf.DUMMYFUNCTION("IF('AYIRA MINI MART FINAL MENU - Pr'!A622="""", """", IF(LEN(TRIM(REGEXREPLACE(REGEXREPLACE('AYIRA MINI MART FINAL MENU - Pr'!A622, ""^[^\x{0600}-\x{06FF}]+"", """"), ""^[-–\s]+"", """")))&gt;0, TRIM(REGEXREPLACE(REGEXREPLACE('AYIRA MINI MART FINAL MENU - Pr"&amp;"'!A622, ""^[^\x{0600}-\x{06FF}]+"", """"), ""^[-–\s]+"", """")), GOOGLETRANSLATE('AYIRA MINI MART FINAL MENU - Pr'!A622, ""en"", ""ar"")))"),"سبارك 18 غرام")</f>
        <v>سبارك 18 غرام</v>
      </c>
      <c r="B622" s="56" t="str">
        <f>IFERROR(__xludf.DUMMYFUNCTION("IF('AYIRA MINI MART FINAL MENU - Pr'!B622="""", """", IF(LEN(TRIM(REGEXREPLACE(REGEXREPLACE('AYIRA MINI MART FINAL MENU - Pr'!B622, ""^[^\x{0600}-\x{06FF}]+"", """"), ""^[-–\s]+"", """")))&gt;0, TRIM(REGEXREPLACE(REGEXREPLACE('AYIRA MINI MART FINAL MENU - Pr"&amp;"'!B622, ""^[^\x{0600}-\x{06FF}]+"", """"), ""^[-–\s]+"", """")), GOOGLETRANSLATE('AYIRA MINI MART FINAL MENU - Pr'!B622, ""en"", ""ar"")))"),"الشوكولاتة")</f>
        <v>الشوكولاتة</v>
      </c>
      <c r="C622" s="58">
        <f>IF('AYIRA MINI MART FINAL MENU - Pr'!C622="", "", 'AYIRA MINI MART FINAL MENU - Pr'!C622)</f>
        <v>1</v>
      </c>
      <c r="D622" s="58" t="str">
        <f>IF('AYIRA MINI MART FINAL MENU - Pr'!D622="", "", 'AYIRA MINI MART FINAL MENU - Pr'!D622)</f>
        <v>لا تقاوم طعم Spark 18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22" s="56" t="str">
        <f>IF('AYIRA MINI MART FINAL MENU - Pr'!E622="", "", 'AYIRA MINI MART FINAL MENU - Pr'!E622)</f>
        <v/>
      </c>
      <c r="F622" s="56" t="str">
        <f>IF('AYIRA MINI MART FINAL MENU - Pr'!F622="", "", 'AYIRA MINI MART FINAL MENU - Pr'!F622)</f>
        <v/>
      </c>
      <c r="G622" s="56" t="str">
        <f>IF('AYIRA MINI MART FINAL MENU - Pr'!G622="", "", 'AYIRA MINI MART FINAL MENU - Pr'!G622)</f>
        <v/>
      </c>
      <c r="H622" s="56" t="str">
        <f>IF('AYIRA MINI MART FINAL MENU - Pr'!H622="", "", 'AYIRA MINI MART FINAL MENU - Pr'!H622)</f>
        <v/>
      </c>
      <c r="I622" s="56" t="str">
        <f>IF('AYIRA MINI MART FINAL MENU - Pr'!I622="", "", 'AYIRA MINI MART FINAL MENU - Pr'!I622)</f>
        <v/>
      </c>
      <c r="J622" s="56" t="str">
        <f>IFERROR(__xludf.DUMMYFUNCTION("IF('AYIRA MINI MART FINAL MENU - Pr'!J622="""", """", GOOGLETRANSLATE('AYIRA MINI MART FINAL MENU - Pr'!J622, ""en"", ""ar""))"),"يعرض")</f>
        <v>يعرض</v>
      </c>
      <c r="K622" s="56" t="str">
        <f>IF('AYIRA MINI MART FINAL MENU - Pr'!K622="", "", 'AYIRA MINI MART FINAL MENU - Pr'!K622)</f>
        <v/>
      </c>
      <c r="L622" s="56" t="str">
        <f>IF('AYIRA MINI MART FINAL MENU - Pr'!L622="", "", 'AYIRA MINI MART FINAL MENU - Pr'!L622)</f>
        <v/>
      </c>
      <c r="M622" s="56" t="str">
        <f>IF('AYIRA MINI MART FINAL MENU - Pr'!M622="", "", 'AYIRA MINI MART FINAL MENU - Pr'!M622)</f>
        <v/>
      </c>
      <c r="N622" s="56" t="str">
        <f>IF('AYIRA MINI MART FINAL MENU - Pr'!N622="", "", 'AYIRA MINI MART FINAL MENU - Pr'!N622)</f>
        <v/>
      </c>
      <c r="O622" s="57"/>
      <c r="P622" s="57"/>
      <c r="Q622" s="57"/>
      <c r="R622" s="57"/>
      <c r="S622" s="57"/>
      <c r="T622" s="57"/>
      <c r="U622" s="57"/>
      <c r="V622" s="57"/>
      <c r="W622" s="57"/>
      <c r="X622" s="57"/>
      <c r="Y622" s="57"/>
      <c r="Z622" s="57"/>
    </row>
    <row r="623">
      <c r="A623" s="56" t="str">
        <f>IFERROR(__xludf.DUMMYFUNCTION("IF('AYIRA MINI MART FINAL MENU - Pr'!A623="""", """", IF(LEN(TRIM(REGEXREPLACE(REGEXREPLACE('AYIRA MINI MART FINAL MENU - Pr'!A623, ""^[^\x{0600}-\x{06FF}]+"", """"), ""^[-–\s]+"", """")))&gt;0, TRIM(REGEXREPLACE(REGEXREPLACE('AYIRA MINI MART FINAL MENU - Pr"&amp;"'!A623, ""^[^\x{0600}-\x{06FF}]+"", """"), ""^[-–\s]+"", """")), GOOGLETRANSLATE('AYIRA MINI MART FINAL MENU - Pr'!A623, ""en"", ""ar"")))"),"غالاكسي كوكيز Crumble 36 gm")</f>
        <v>غالاكسي كوكيز Crumble 36 gm</v>
      </c>
      <c r="B623" s="56" t="str">
        <f>IFERROR(__xludf.DUMMYFUNCTION("IF('AYIRA MINI MART FINAL MENU - Pr'!B623="""", """", IF(LEN(TRIM(REGEXREPLACE(REGEXREPLACE('AYIRA MINI MART FINAL MENU - Pr'!B623, ""^[^\x{0600}-\x{06FF}]+"", """"), ""^[-–\s]+"", """")))&gt;0, TRIM(REGEXREPLACE(REGEXREPLACE('AYIRA MINI MART FINAL MENU - Pr"&amp;"'!B623, ""^[^\x{0600}-\x{06FF}]+"", """"), ""^[-–\s]+"", """")), GOOGLETRANSLATE('AYIRA MINI MART FINAL MENU - Pr'!B623, ""en"", ""ar"")))"),"الشوكولاتة")</f>
        <v>الشوكولاتة</v>
      </c>
      <c r="C623" s="58">
        <f>IF('AYIRA MINI MART FINAL MENU - Pr'!C623="", "", 'AYIRA MINI MART FINAL MENU - Pr'!C623)</f>
        <v>4</v>
      </c>
      <c r="D623" s="58" t="str">
        <f>IF('AYIRA MINI MART FINAL MENU - Pr'!D623="", "", 'AYIRA MINI MART FINAL MENU - Pr'!D623)</f>
        <v>لا تقاوم طعم Galaxy Cookie Crumble 36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23" s="56" t="str">
        <f>IF('AYIRA MINI MART FINAL MENU - Pr'!E623="", "", 'AYIRA MINI MART FINAL MENU - Pr'!E623)</f>
        <v/>
      </c>
      <c r="F623" s="56" t="str">
        <f>IF('AYIRA MINI MART FINAL MENU - Pr'!F623="", "", 'AYIRA MINI MART FINAL MENU - Pr'!F623)</f>
        <v/>
      </c>
      <c r="G623" s="56" t="str">
        <f>IF('AYIRA MINI MART FINAL MENU - Pr'!G623="", "", 'AYIRA MINI MART FINAL MENU - Pr'!G623)</f>
        <v/>
      </c>
      <c r="H623" s="56" t="str">
        <f>IF('AYIRA MINI MART FINAL MENU - Pr'!H623="", "", 'AYIRA MINI MART FINAL MENU - Pr'!H623)</f>
        <v/>
      </c>
      <c r="I623" s="56" t="str">
        <f>IF('AYIRA MINI MART FINAL MENU - Pr'!I623="", "", 'AYIRA MINI MART FINAL MENU - Pr'!I623)</f>
        <v/>
      </c>
      <c r="J623" s="56" t="str">
        <f>IFERROR(__xludf.DUMMYFUNCTION("IF('AYIRA MINI MART FINAL MENU - Pr'!J623="""", """", GOOGLETRANSLATE('AYIRA MINI MART FINAL MENU - Pr'!J623, ""en"", ""ar""))"),"يعرض")</f>
        <v>يعرض</v>
      </c>
      <c r="K623" s="56" t="str">
        <f>IF('AYIRA MINI MART FINAL MENU - Pr'!K623="", "", 'AYIRA MINI MART FINAL MENU - Pr'!K623)</f>
        <v/>
      </c>
      <c r="L623" s="56" t="str">
        <f>IF('AYIRA MINI MART FINAL MENU - Pr'!L623="", "", 'AYIRA MINI MART FINAL MENU - Pr'!L623)</f>
        <v/>
      </c>
      <c r="M623" s="56" t="str">
        <f>IF('AYIRA MINI MART FINAL MENU - Pr'!M623="", "", 'AYIRA MINI MART FINAL MENU - Pr'!M623)</f>
        <v/>
      </c>
      <c r="N623" s="56" t="str">
        <f>IF('AYIRA MINI MART FINAL MENU - Pr'!N623="", "", 'AYIRA MINI MART FINAL MENU - Pr'!N623)</f>
        <v/>
      </c>
      <c r="O623" s="57"/>
      <c r="P623" s="57"/>
      <c r="Q623" s="57"/>
      <c r="R623" s="57"/>
      <c r="S623" s="57"/>
      <c r="T623" s="57"/>
      <c r="U623" s="57"/>
      <c r="V623" s="57"/>
      <c r="W623" s="57"/>
      <c r="X623" s="57"/>
      <c r="Y623" s="57"/>
      <c r="Z623" s="57"/>
    </row>
    <row r="624">
      <c r="A624" s="56" t="str">
        <f>IFERROR(__xludf.DUMMYFUNCTION("IF('AYIRA MINI MART FINAL MENU - Pr'!A624="""", """", IF(LEN(TRIM(REGEXREPLACE(REGEXREPLACE('AYIRA MINI MART FINAL MENU - Pr'!A624, ""^[^\x{0600}-\x{06FF}]+"", """"), ""^[-–\s]+"", """")))&gt;0, TRIM(REGEXREPLACE(REGEXREPLACE('AYIRA MINI MART FINAL MENU - Pr"&amp;"'!A624, ""^[^\x{0600}-\x{06FF}]+"", """"), ""^[-–\s]+"", """")), GOOGLETRANSLATE('AYIRA MINI MART FINAL MENU - Pr'!A624, ""en"", ""ar"")))"),"غالاكسي Fruit &amp; Nut 36 gm")</f>
        <v>غالاكسي Fruit &amp; Nut 36 gm</v>
      </c>
      <c r="B624" s="56" t="str">
        <f>IFERROR(__xludf.DUMMYFUNCTION("IF('AYIRA MINI MART FINAL MENU - Pr'!B624="""", """", IF(LEN(TRIM(REGEXREPLACE(REGEXREPLACE('AYIRA MINI MART FINAL MENU - Pr'!B624, ""^[^\x{0600}-\x{06FF}]+"", """"), ""^[-–\s]+"", """")))&gt;0, TRIM(REGEXREPLACE(REGEXREPLACE('AYIRA MINI MART FINAL MENU - Pr"&amp;"'!B624, ""^[^\x{0600}-\x{06FF}]+"", """"), ""^[-–\s]+"", """")), GOOGLETRANSLATE('AYIRA MINI MART FINAL MENU - Pr'!B624, ""en"", ""ar"")))"),"الشوكولاتة")</f>
        <v>الشوكولاتة</v>
      </c>
      <c r="C624" s="58">
        <f>IF('AYIRA MINI MART FINAL MENU - Pr'!C624="", "", 'AYIRA MINI MART FINAL MENU - Pr'!C624)</f>
        <v>4</v>
      </c>
      <c r="D624" s="58" t="str">
        <f>IF('AYIRA MINI MART FINAL MENU - Pr'!D624="", "", 'AYIRA MINI MART FINAL MENU - Pr'!D624)</f>
        <v>اختر Galaxy Fruit &amp; Nut 36 gm،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624" s="56" t="str">
        <f>IF('AYIRA MINI MART FINAL MENU - Pr'!E624="", "", 'AYIRA MINI MART FINAL MENU - Pr'!E624)</f>
        <v/>
      </c>
      <c r="F624" s="56" t="str">
        <f>IF('AYIRA MINI MART FINAL MENU - Pr'!F624="", "", 'AYIRA MINI MART FINAL MENU - Pr'!F624)</f>
        <v/>
      </c>
      <c r="G624" s="56" t="str">
        <f>IF('AYIRA MINI MART FINAL MENU - Pr'!G624="", "", 'AYIRA MINI MART FINAL MENU - Pr'!G624)</f>
        <v/>
      </c>
      <c r="H624" s="56" t="str">
        <f>IF('AYIRA MINI MART FINAL MENU - Pr'!H624="", "", 'AYIRA MINI MART FINAL MENU - Pr'!H624)</f>
        <v/>
      </c>
      <c r="I624" s="56" t="str">
        <f>IF('AYIRA MINI MART FINAL MENU - Pr'!I624="", "", 'AYIRA MINI MART FINAL MENU - Pr'!I624)</f>
        <v/>
      </c>
      <c r="J624" s="56" t="str">
        <f>IFERROR(__xludf.DUMMYFUNCTION("IF('AYIRA MINI MART FINAL MENU - Pr'!J624="""", """", GOOGLETRANSLATE('AYIRA MINI MART FINAL MENU - Pr'!J624, ""en"", ""ar""))"),"يعرض")</f>
        <v>يعرض</v>
      </c>
      <c r="K624" s="56" t="str">
        <f>IF('AYIRA MINI MART FINAL MENU - Pr'!K624="", "", 'AYIRA MINI MART FINAL MENU - Pr'!K624)</f>
        <v/>
      </c>
      <c r="L624" s="56" t="str">
        <f>IF('AYIRA MINI MART FINAL MENU - Pr'!L624="", "", 'AYIRA MINI MART FINAL MENU - Pr'!L624)</f>
        <v/>
      </c>
      <c r="M624" s="56" t="str">
        <f>IF('AYIRA MINI MART FINAL MENU - Pr'!M624="", "", 'AYIRA MINI MART FINAL MENU - Pr'!M624)</f>
        <v/>
      </c>
      <c r="N624" s="56" t="str">
        <f>IF('AYIRA MINI MART FINAL MENU - Pr'!N624="", "", 'AYIRA MINI MART FINAL MENU - Pr'!N624)</f>
        <v/>
      </c>
      <c r="O624" s="57"/>
      <c r="P624" s="57"/>
      <c r="Q624" s="57"/>
      <c r="R624" s="57"/>
      <c r="S624" s="57"/>
      <c r="T624" s="57"/>
      <c r="U624" s="57"/>
      <c r="V624" s="57"/>
      <c r="W624" s="57"/>
      <c r="X624" s="57"/>
      <c r="Y624" s="57"/>
      <c r="Z624" s="57"/>
    </row>
    <row r="625">
      <c r="A625" s="56" t="str">
        <f>IFERROR(__xludf.DUMMYFUNCTION("IF('AYIRA MINI MART FINAL MENU - Pr'!A625="""", """", IF(LEN(TRIM(REGEXREPLACE(REGEXREPLACE('AYIRA MINI MART FINAL MENU - Pr'!A625, ""^[^\x{0600}-\x{06FF}]+"", """"), ""^[-–\s]+"", """")))&gt;0, TRIM(REGEXREPLACE(REGEXREPLACE('AYIRA MINI MART FINAL MENU - Pr"&amp;"'!A625, ""^[^\x{0600}-\x{06FF}]+"", """"), ""^[-–\s]+"", """")), GOOGLETRANSLATE('AYIRA MINI MART FINAL MENU - Pr'!A625, ""en"", ""ar"")))"),"غالاكسي بندق 36 gm")</f>
        <v>غالاكسي بندق 36 gm</v>
      </c>
      <c r="B625" s="56" t="str">
        <f>IFERROR(__xludf.DUMMYFUNCTION("IF('AYIRA MINI MART FINAL MENU - Pr'!B625="""", """", IF(LEN(TRIM(REGEXREPLACE(REGEXREPLACE('AYIRA MINI MART FINAL MENU - Pr'!B625, ""^[^\x{0600}-\x{06FF}]+"", """"), ""^[-–\s]+"", """")))&gt;0, TRIM(REGEXREPLACE(REGEXREPLACE('AYIRA MINI MART FINAL MENU - Pr"&amp;"'!B625, ""^[^\x{0600}-\x{06FF}]+"", """"), ""^[-–\s]+"", """")), GOOGLETRANSLATE('AYIRA MINI MART FINAL MENU - Pr'!B625, ""en"", ""ar"")))"),"الشوكولاتة")</f>
        <v>الشوكولاتة</v>
      </c>
      <c r="C625" s="58">
        <f>IF('AYIRA MINI MART FINAL MENU - Pr'!C625="", "", 'AYIRA MINI MART FINAL MENU - Pr'!C625)</f>
        <v>4</v>
      </c>
      <c r="D625" s="58" t="str">
        <f>IF('AYIRA MINI MART FINAL MENU - Pr'!D625="", "", 'AYIRA MINI MART FINAL MENU - Pr'!D625)</f>
        <v>اختر Galaxy Hazelnut 36 gm،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625" s="56" t="str">
        <f>IF('AYIRA MINI MART FINAL MENU - Pr'!E625="", "", 'AYIRA MINI MART FINAL MENU - Pr'!E625)</f>
        <v/>
      </c>
      <c r="F625" s="56" t="str">
        <f>IF('AYIRA MINI MART FINAL MENU - Pr'!F625="", "", 'AYIRA MINI MART FINAL MENU - Pr'!F625)</f>
        <v/>
      </c>
      <c r="G625" s="56" t="str">
        <f>IF('AYIRA MINI MART FINAL MENU - Pr'!G625="", "", 'AYIRA MINI MART FINAL MENU - Pr'!G625)</f>
        <v/>
      </c>
      <c r="H625" s="56" t="str">
        <f>IF('AYIRA MINI MART FINAL MENU - Pr'!H625="", "", 'AYIRA MINI MART FINAL MENU - Pr'!H625)</f>
        <v/>
      </c>
      <c r="I625" s="56" t="str">
        <f>IF('AYIRA MINI MART FINAL MENU - Pr'!I625="", "", 'AYIRA MINI MART FINAL MENU - Pr'!I625)</f>
        <v/>
      </c>
      <c r="J625" s="56" t="str">
        <f>IFERROR(__xludf.DUMMYFUNCTION("IF('AYIRA MINI MART FINAL MENU - Pr'!J625="""", """", GOOGLETRANSLATE('AYIRA MINI MART FINAL MENU - Pr'!J625, ""en"", ""ar""))"),"يعرض")</f>
        <v>يعرض</v>
      </c>
      <c r="K625" s="56" t="str">
        <f>IF('AYIRA MINI MART FINAL MENU - Pr'!K625="", "", 'AYIRA MINI MART FINAL MENU - Pr'!K625)</f>
        <v/>
      </c>
      <c r="L625" s="56" t="str">
        <f>IF('AYIRA MINI MART FINAL MENU - Pr'!L625="", "", 'AYIRA MINI MART FINAL MENU - Pr'!L625)</f>
        <v/>
      </c>
      <c r="M625" s="56" t="str">
        <f>IF('AYIRA MINI MART FINAL MENU - Pr'!M625="", "", 'AYIRA MINI MART FINAL MENU - Pr'!M625)</f>
        <v/>
      </c>
      <c r="N625" s="56" t="str">
        <f>IF('AYIRA MINI MART FINAL MENU - Pr'!N625="", "", 'AYIRA MINI MART FINAL MENU - Pr'!N625)</f>
        <v/>
      </c>
      <c r="O625" s="57"/>
      <c r="P625" s="57"/>
      <c r="Q625" s="57"/>
      <c r="R625" s="57"/>
      <c r="S625" s="57"/>
      <c r="T625" s="57"/>
      <c r="U625" s="57"/>
      <c r="V625" s="57"/>
      <c r="W625" s="57"/>
      <c r="X625" s="57"/>
      <c r="Y625" s="57"/>
      <c r="Z625" s="57"/>
    </row>
    <row r="626">
      <c r="A626" s="56" t="str">
        <f>IFERROR(__xludf.DUMMYFUNCTION("IF('AYIRA MINI MART FINAL MENU - Pr'!A626="""", """", IF(LEN(TRIM(REGEXREPLACE(REGEXREPLACE('AYIRA MINI MART FINAL MENU - Pr'!A626, ""^[^\x{0600}-\x{06FF}]+"", """"), ""^[-–\s]+"", """")))&gt;0, TRIM(REGEXREPLACE(REGEXREPLACE('AYIRA MINI MART FINAL MENU - Pr"&amp;"'!A626, ""^[^\x{0600}-\x{06FF}]+"", """"), ""^[-–\s]+"", """")), GOOGLETRANSLATE('AYIRA MINI MART FINAL MENU - Pr'!A626, ""en"", ""ar"")))"),"غالاكسي Smooth داكن 40 gm")</f>
        <v>غالاكسي Smooth داكن 40 gm</v>
      </c>
      <c r="B626" s="56" t="str">
        <f>IFERROR(__xludf.DUMMYFUNCTION("IF('AYIRA MINI MART FINAL MENU - Pr'!B626="""", """", IF(LEN(TRIM(REGEXREPLACE(REGEXREPLACE('AYIRA MINI MART FINAL MENU - Pr'!B626, ""^[^\x{0600}-\x{06FF}]+"", """"), ""^[-–\s]+"", """")))&gt;0, TRIM(REGEXREPLACE(REGEXREPLACE('AYIRA MINI MART FINAL MENU - Pr"&amp;"'!B626, ""^[^\x{0600}-\x{06FF}]+"", """"), ""^[-–\s]+"", """")), GOOGLETRANSLATE('AYIRA MINI MART FINAL MENU - Pr'!B626, ""en"", ""ar"")))"),"الشوكولاتة")</f>
        <v>الشوكولاتة</v>
      </c>
      <c r="C626" s="58">
        <f>IF('AYIRA MINI MART FINAL MENU - Pr'!C626="", "", 'AYIRA MINI MART FINAL MENU - Pr'!C626)</f>
        <v>4.5</v>
      </c>
      <c r="D626" s="58" t="str">
        <f>IF('AYIRA MINI MART FINAL MENU - Pr'!D626="", "", 'AYIRA MINI MART FINAL MENU - Pr'!D626)</f>
        <v>لا تقاوم طعم Galaxy Smooth Dark 40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26" s="56" t="str">
        <f>IF('AYIRA MINI MART FINAL MENU - Pr'!E626="", "", 'AYIRA MINI MART FINAL MENU - Pr'!E626)</f>
        <v/>
      </c>
      <c r="F626" s="56" t="str">
        <f>IF('AYIRA MINI MART FINAL MENU - Pr'!F626="", "", 'AYIRA MINI MART FINAL MENU - Pr'!F626)</f>
        <v/>
      </c>
      <c r="G626" s="56" t="str">
        <f>IF('AYIRA MINI MART FINAL MENU - Pr'!G626="", "", 'AYIRA MINI MART FINAL MENU - Pr'!G626)</f>
        <v/>
      </c>
      <c r="H626" s="56" t="str">
        <f>IF('AYIRA MINI MART FINAL MENU - Pr'!H626="", "", 'AYIRA MINI MART FINAL MENU - Pr'!H626)</f>
        <v/>
      </c>
      <c r="I626" s="56" t="str">
        <f>IF('AYIRA MINI MART FINAL MENU - Pr'!I626="", "", 'AYIRA MINI MART FINAL MENU - Pr'!I626)</f>
        <v/>
      </c>
      <c r="J626" s="56" t="str">
        <f>IFERROR(__xludf.DUMMYFUNCTION("IF('AYIRA MINI MART FINAL MENU - Pr'!J626="""", """", GOOGLETRANSLATE('AYIRA MINI MART FINAL MENU - Pr'!J626, ""en"", ""ar""))"),"يعرض")</f>
        <v>يعرض</v>
      </c>
      <c r="K626" s="56" t="str">
        <f>IF('AYIRA MINI MART FINAL MENU - Pr'!K626="", "", 'AYIRA MINI MART FINAL MENU - Pr'!K626)</f>
        <v/>
      </c>
      <c r="L626" s="56" t="str">
        <f>IF('AYIRA MINI MART FINAL MENU - Pr'!L626="", "", 'AYIRA MINI MART FINAL MENU - Pr'!L626)</f>
        <v/>
      </c>
      <c r="M626" s="56" t="str">
        <f>IF('AYIRA MINI MART FINAL MENU - Pr'!M626="", "", 'AYIRA MINI MART FINAL MENU - Pr'!M626)</f>
        <v/>
      </c>
      <c r="N626" s="56" t="str">
        <f>IF('AYIRA MINI MART FINAL MENU - Pr'!N626="", "", 'AYIRA MINI MART FINAL MENU - Pr'!N626)</f>
        <v/>
      </c>
      <c r="O626" s="57"/>
      <c r="P626" s="57"/>
      <c r="Q626" s="57"/>
      <c r="R626" s="57"/>
      <c r="S626" s="57"/>
      <c r="T626" s="57"/>
      <c r="U626" s="57"/>
      <c r="V626" s="57"/>
      <c r="W626" s="57"/>
      <c r="X626" s="57"/>
      <c r="Y626" s="57"/>
      <c r="Z626" s="57"/>
    </row>
    <row r="627">
      <c r="A627" s="56" t="str">
        <f>IFERROR(__xludf.DUMMYFUNCTION("IF('AYIRA MINI MART FINAL MENU - Pr'!A627="""", """", IF(LEN(TRIM(REGEXREPLACE(REGEXREPLACE('AYIRA MINI MART FINAL MENU - Pr'!A627, ""^[^\x{0600}-\x{06FF}]+"", """"), ""^[-–\s]+"", """")))&gt;0, TRIM(REGEXREPLACE(REGEXREPLACE('AYIRA MINI MART FINAL MENU - Pr"&amp;"'!A627, ""^[^\x{0600}-\x{06FF}]+"", """"), ""^[-–\s]+"", """")), GOOGLETRANSLATE('AYIRA MINI MART FINAL MENU - Pr'!A627, ""en"", ""ar"")))"),"غالاكسي Smooth أبيض 38 gm")</f>
        <v>غالاكسي Smooth أبيض 38 gm</v>
      </c>
      <c r="B627" s="56" t="str">
        <f>IFERROR(__xludf.DUMMYFUNCTION("IF('AYIRA MINI MART FINAL MENU - Pr'!B627="""", """", IF(LEN(TRIM(REGEXREPLACE(REGEXREPLACE('AYIRA MINI MART FINAL MENU - Pr'!B627, ""^[^\x{0600}-\x{06FF}]+"", """"), ""^[-–\s]+"", """")))&gt;0, TRIM(REGEXREPLACE(REGEXREPLACE('AYIRA MINI MART FINAL MENU - Pr"&amp;"'!B627, ""^[^\x{0600}-\x{06FF}]+"", """"), ""^[-–\s]+"", """")), GOOGLETRANSLATE('AYIRA MINI MART FINAL MENU - Pr'!B627, ""en"", ""ar"")))"),"الشوكولاتة")</f>
        <v>الشوكولاتة</v>
      </c>
      <c r="C627" s="58">
        <f>IF('AYIRA MINI MART FINAL MENU - Pr'!C627="", "", 'AYIRA MINI MART FINAL MENU - Pr'!C627)</f>
        <v>4.5</v>
      </c>
      <c r="D627" s="58" t="str">
        <f>IF('AYIRA MINI MART FINAL MENU - Pr'!D627="", "", 'AYIRA MINI MART FINAL MENU - Pr'!D627)</f>
        <v>لا تقاوم طعم Galaxy Smooth White 38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27" s="56" t="str">
        <f>IF('AYIRA MINI MART FINAL MENU - Pr'!E627="", "", 'AYIRA MINI MART FINAL MENU - Pr'!E627)</f>
        <v/>
      </c>
      <c r="F627" s="56" t="str">
        <f>IF('AYIRA MINI MART FINAL MENU - Pr'!F627="", "", 'AYIRA MINI MART FINAL MENU - Pr'!F627)</f>
        <v/>
      </c>
      <c r="G627" s="56" t="str">
        <f>IF('AYIRA MINI MART FINAL MENU - Pr'!G627="", "", 'AYIRA MINI MART FINAL MENU - Pr'!G627)</f>
        <v/>
      </c>
      <c r="H627" s="56" t="str">
        <f>IF('AYIRA MINI MART FINAL MENU - Pr'!H627="", "", 'AYIRA MINI MART FINAL MENU - Pr'!H627)</f>
        <v/>
      </c>
      <c r="I627" s="56" t="str">
        <f>IF('AYIRA MINI MART FINAL MENU - Pr'!I627="", "", 'AYIRA MINI MART FINAL MENU - Pr'!I627)</f>
        <v/>
      </c>
      <c r="J627" s="56" t="str">
        <f>IFERROR(__xludf.DUMMYFUNCTION("IF('AYIRA MINI MART FINAL MENU - Pr'!J627="""", """", GOOGLETRANSLATE('AYIRA MINI MART FINAL MENU - Pr'!J627, ""en"", ""ar""))"),"يعرض")</f>
        <v>يعرض</v>
      </c>
      <c r="K627" s="56" t="str">
        <f>IF('AYIRA MINI MART FINAL MENU - Pr'!K627="", "", 'AYIRA MINI MART FINAL MENU - Pr'!K627)</f>
        <v/>
      </c>
      <c r="L627" s="56" t="str">
        <f>IF('AYIRA MINI MART FINAL MENU - Pr'!L627="", "", 'AYIRA MINI MART FINAL MENU - Pr'!L627)</f>
        <v/>
      </c>
      <c r="M627" s="56" t="str">
        <f>IF('AYIRA MINI MART FINAL MENU - Pr'!M627="", "", 'AYIRA MINI MART FINAL MENU - Pr'!M627)</f>
        <v/>
      </c>
      <c r="N627" s="56" t="str">
        <f>IF('AYIRA MINI MART FINAL MENU - Pr'!N627="", "", 'AYIRA MINI MART FINAL MENU - Pr'!N627)</f>
        <v/>
      </c>
      <c r="O627" s="57"/>
      <c r="P627" s="57"/>
      <c r="Q627" s="57"/>
      <c r="R627" s="57"/>
      <c r="S627" s="57"/>
      <c r="T627" s="57"/>
      <c r="U627" s="57"/>
      <c r="V627" s="57"/>
      <c r="W627" s="57"/>
      <c r="X627" s="57"/>
      <c r="Y627" s="57"/>
      <c r="Z627" s="57"/>
    </row>
    <row r="628">
      <c r="A628" s="56" t="str">
        <f>IFERROR(__xludf.DUMMYFUNCTION("IF('AYIRA MINI MART FINAL MENU - Pr'!A628="""", """", IF(LEN(TRIM(REGEXREPLACE(REGEXREPLACE('AYIRA MINI MART FINAL MENU - Pr'!A628, ""^[^\x{0600}-\x{06FF}]+"", """"), ""^[-–\s]+"", """")))&gt;0, TRIM(REGEXREPLACE(REGEXREPLACE('AYIRA MINI MART FINAL MENU - Pr"&amp;"'!A628, ""^[^\x{0600}-\x{06FF}]+"", """"), ""^[-–\s]+"", """")), GOOGLETRANSLATE('AYIRA MINI MART FINAL MENU - Pr'!A628, ""en"", ""ar"")))"),"غالاكسي Smooth حليب 36 gm")</f>
        <v>غالاكسي Smooth حليب 36 gm</v>
      </c>
      <c r="B628" s="56" t="str">
        <f>IFERROR(__xludf.DUMMYFUNCTION("IF('AYIRA MINI MART FINAL MENU - Pr'!B628="""", """", IF(LEN(TRIM(REGEXREPLACE(REGEXREPLACE('AYIRA MINI MART FINAL MENU - Pr'!B628, ""^[^\x{0600}-\x{06FF}]+"", """"), ""^[-–\s]+"", """")))&gt;0, TRIM(REGEXREPLACE(REGEXREPLACE('AYIRA MINI MART FINAL MENU - Pr"&amp;"'!B628, ""^[^\x{0600}-\x{06FF}]+"", """"), ""^[-–\s]+"", """")), GOOGLETRANSLATE('AYIRA MINI MART FINAL MENU - Pr'!B628, ""en"", ""ar"")))"),"الشوكولاتة")</f>
        <v>الشوكولاتة</v>
      </c>
      <c r="C628" s="58">
        <f>IF('AYIRA MINI MART FINAL MENU - Pr'!C628="", "", 'AYIRA MINI MART FINAL MENU - Pr'!C628)</f>
        <v>4</v>
      </c>
      <c r="D628" s="58" t="str">
        <f>IF('AYIRA MINI MART FINAL MENU - Pr'!D628="", "", 'AYIRA MINI MART FINAL MENU - Pr'!D628)</f>
        <v>لا تقاوم طعم Galaxy Smooth Milk 36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28" s="56" t="str">
        <f>IF('AYIRA MINI MART FINAL MENU - Pr'!E628="", "", 'AYIRA MINI MART FINAL MENU - Pr'!E628)</f>
        <v/>
      </c>
      <c r="F628" s="56" t="str">
        <f>IF('AYIRA MINI MART FINAL MENU - Pr'!F628="", "", 'AYIRA MINI MART FINAL MENU - Pr'!F628)</f>
        <v/>
      </c>
      <c r="G628" s="56" t="str">
        <f>IF('AYIRA MINI MART FINAL MENU - Pr'!G628="", "", 'AYIRA MINI MART FINAL MENU - Pr'!G628)</f>
        <v/>
      </c>
      <c r="H628" s="56" t="str">
        <f>IF('AYIRA MINI MART FINAL MENU - Pr'!H628="", "", 'AYIRA MINI MART FINAL MENU - Pr'!H628)</f>
        <v/>
      </c>
      <c r="I628" s="56" t="str">
        <f>IF('AYIRA MINI MART FINAL MENU - Pr'!I628="", "", 'AYIRA MINI MART FINAL MENU - Pr'!I628)</f>
        <v/>
      </c>
      <c r="J628" s="56" t="str">
        <f>IFERROR(__xludf.DUMMYFUNCTION("IF('AYIRA MINI MART FINAL MENU - Pr'!J628="""", """", GOOGLETRANSLATE('AYIRA MINI MART FINAL MENU - Pr'!J628, ""en"", ""ar""))"),"يعرض")</f>
        <v>يعرض</v>
      </c>
      <c r="K628" s="56" t="str">
        <f>IF('AYIRA MINI MART FINAL MENU - Pr'!K628="", "", 'AYIRA MINI MART FINAL MENU - Pr'!K628)</f>
        <v/>
      </c>
      <c r="L628" s="56" t="str">
        <f>IF('AYIRA MINI MART FINAL MENU - Pr'!L628="", "", 'AYIRA MINI MART FINAL MENU - Pr'!L628)</f>
        <v/>
      </c>
      <c r="M628" s="56" t="str">
        <f>IF('AYIRA MINI MART FINAL MENU - Pr'!M628="", "", 'AYIRA MINI MART FINAL MENU - Pr'!M628)</f>
        <v/>
      </c>
      <c r="N628" s="56" t="str">
        <f>IF('AYIRA MINI MART FINAL MENU - Pr'!N628="", "", 'AYIRA MINI MART FINAL MENU - Pr'!N628)</f>
        <v/>
      </c>
      <c r="O628" s="57"/>
      <c r="P628" s="57"/>
      <c r="Q628" s="57"/>
      <c r="R628" s="57"/>
      <c r="S628" s="57"/>
      <c r="T628" s="57"/>
      <c r="U628" s="57"/>
      <c r="V628" s="57"/>
      <c r="W628" s="57"/>
      <c r="X628" s="57"/>
      <c r="Y628" s="57"/>
      <c r="Z628" s="57"/>
    </row>
    <row r="629">
      <c r="A629" s="56" t="str">
        <f>IFERROR(__xludf.DUMMYFUNCTION("IF('AYIRA MINI MART FINAL MENU - Pr'!A629="""", """", IF(LEN(TRIM(REGEXREPLACE(REGEXREPLACE('AYIRA MINI MART FINAL MENU - Pr'!A629, ""^[^\x{0600}-\x{06FF}]+"", """"), ""^[-–\s]+"", """")))&gt;0, TRIM(REGEXREPLACE(REGEXREPLACE('AYIRA MINI MART FINAL MENU - Pr"&amp;"'!A629, ""^[^\x{0600}-\x{06FF}]+"", """"), ""^[-–\s]+"", """")), GOOGLETRANSLATE('AYIRA MINI MART FINAL MENU - Pr'!A629, ""en"", ""ar"")))"),"أولكر لافيفا 35 غرام")</f>
        <v>أولكر لافيفا 35 غرام</v>
      </c>
      <c r="B629" s="56" t="str">
        <f>IFERROR(__xludf.DUMMYFUNCTION("IF('AYIRA MINI MART FINAL MENU - Pr'!B629="""", """", IF(LEN(TRIM(REGEXREPLACE(REGEXREPLACE('AYIRA MINI MART FINAL MENU - Pr'!B629, ""^[^\x{0600}-\x{06FF}]+"", """"), ""^[-–\s]+"", """")))&gt;0, TRIM(REGEXREPLACE(REGEXREPLACE('AYIRA MINI MART FINAL MENU - Pr"&amp;"'!B629, ""^[^\x{0600}-\x{06FF}]+"", """"), ""^[-–\s]+"", """")), GOOGLETRANSLATE('AYIRA MINI MART FINAL MENU - Pr'!B629, ""en"", ""ar"")))"),"الشوكولاتة")</f>
        <v>الشوكولاتة</v>
      </c>
      <c r="C629" s="58">
        <f>IF('AYIRA MINI MART FINAL MENU - Pr'!C629="", "", 'AYIRA MINI MART FINAL MENU - Pr'!C629)</f>
        <v>3.5</v>
      </c>
      <c r="D629" s="58" t="str">
        <f>IF('AYIRA MINI MART FINAL MENU - Pr'!D629="", "", 'AYIRA MINI MART FINAL MENU - Pr'!D629)</f>
        <v>لا تقاوم طعم Ülker Laviva 35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29" s="56" t="str">
        <f>IF('AYIRA MINI MART FINAL MENU - Pr'!E629="", "", 'AYIRA MINI MART FINAL MENU - Pr'!E629)</f>
        <v/>
      </c>
      <c r="F629" s="56" t="str">
        <f>IF('AYIRA MINI MART FINAL MENU - Pr'!F629="", "", 'AYIRA MINI MART FINAL MENU - Pr'!F629)</f>
        <v/>
      </c>
      <c r="G629" s="56" t="str">
        <f>IF('AYIRA MINI MART FINAL MENU - Pr'!G629="", "", 'AYIRA MINI MART FINAL MENU - Pr'!G629)</f>
        <v/>
      </c>
      <c r="H629" s="56" t="str">
        <f>IF('AYIRA MINI MART FINAL MENU - Pr'!H629="", "", 'AYIRA MINI MART FINAL MENU - Pr'!H629)</f>
        <v/>
      </c>
      <c r="I629" s="56" t="str">
        <f>IF('AYIRA MINI MART FINAL MENU - Pr'!I629="", "", 'AYIRA MINI MART FINAL MENU - Pr'!I629)</f>
        <v/>
      </c>
      <c r="J629" s="56" t="str">
        <f>IFERROR(__xludf.DUMMYFUNCTION("IF('AYIRA MINI MART FINAL MENU - Pr'!J629="""", """", GOOGLETRANSLATE('AYIRA MINI MART FINAL MENU - Pr'!J629, ""en"", ""ar""))"),"يعرض")</f>
        <v>يعرض</v>
      </c>
      <c r="K629" s="56" t="str">
        <f>IF('AYIRA MINI MART FINAL MENU - Pr'!K629="", "", 'AYIRA MINI MART FINAL MENU - Pr'!K629)</f>
        <v/>
      </c>
      <c r="L629" s="56" t="str">
        <f>IF('AYIRA MINI MART FINAL MENU - Pr'!L629="", "", 'AYIRA MINI MART FINAL MENU - Pr'!L629)</f>
        <v/>
      </c>
      <c r="M629" s="56" t="str">
        <f>IF('AYIRA MINI MART FINAL MENU - Pr'!M629="", "", 'AYIRA MINI MART FINAL MENU - Pr'!M629)</f>
        <v/>
      </c>
      <c r="N629" s="56" t="str">
        <f>IF('AYIRA MINI MART FINAL MENU - Pr'!N629="", "", 'AYIRA MINI MART FINAL MENU - Pr'!N629)</f>
        <v/>
      </c>
      <c r="O629" s="57"/>
      <c r="P629" s="57"/>
      <c r="Q629" s="57"/>
      <c r="R629" s="57"/>
      <c r="S629" s="57"/>
      <c r="T629" s="57"/>
      <c r="U629" s="57"/>
      <c r="V629" s="57"/>
      <c r="W629" s="57"/>
      <c r="X629" s="57"/>
      <c r="Y629" s="57"/>
      <c r="Z629" s="57"/>
    </row>
    <row r="630">
      <c r="A630" s="56" t="str">
        <f>IFERROR(__xludf.DUMMYFUNCTION("IF('AYIRA MINI MART FINAL MENU - Pr'!A630="""", """", IF(LEN(TRIM(REGEXREPLACE(REGEXREPLACE('AYIRA MINI MART FINAL MENU - Pr'!A630, ""^[^\x{0600}-\x{06FF}]+"", """"), ""^[-–\s]+"", """")))&gt;0, TRIM(REGEXREPLACE(REGEXREPLACE('AYIRA MINI MART FINAL MENU - Pr"&amp;"'!A630, ""^[^\x{0600}-\x{06FF}]+"", """"), ""^[-–\s]+"", """")), GOOGLETRANSLATE('AYIRA MINI MART FINAL MENU - Pr'!A630, ""en"", ""ar"")))"),"غالاكسي كراميل 40 gm")</f>
        <v>غالاكسي كراميل 40 gm</v>
      </c>
      <c r="B630" s="56" t="str">
        <f>IFERROR(__xludf.DUMMYFUNCTION("IF('AYIRA MINI MART FINAL MENU - Pr'!B630="""", """", IF(LEN(TRIM(REGEXREPLACE(REGEXREPLACE('AYIRA MINI MART FINAL MENU - Pr'!B630, ""^[^\x{0600}-\x{06FF}]+"", """"), ""^[-–\s]+"", """")))&gt;0, TRIM(REGEXREPLACE(REGEXREPLACE('AYIRA MINI MART FINAL MENU - Pr"&amp;"'!B630, ""^[^\x{0600}-\x{06FF}]+"", """"), ""^[-–\s]+"", """")), GOOGLETRANSLATE('AYIRA MINI MART FINAL MENU - Pr'!B630, ""en"", ""ar"")))"),"الشوكولاتة")</f>
        <v>الشوكولاتة</v>
      </c>
      <c r="C630" s="58">
        <f>IF('AYIRA MINI MART FINAL MENU - Pr'!C630="", "", 'AYIRA MINI MART FINAL MENU - Pr'!C630)</f>
        <v>4</v>
      </c>
      <c r="D630" s="58" t="str">
        <f>IF('AYIRA MINI MART FINAL MENU - Pr'!D630="", "", 'AYIRA MINI MART FINAL MENU - Pr'!D630)</f>
        <v>لا تقاوم طعم Galaxy Caramel 40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30" s="56" t="str">
        <f>IF('AYIRA MINI MART FINAL MENU - Pr'!E630="", "", 'AYIRA MINI MART FINAL MENU - Pr'!E630)</f>
        <v/>
      </c>
      <c r="F630" s="56" t="str">
        <f>IF('AYIRA MINI MART FINAL MENU - Pr'!F630="", "", 'AYIRA MINI MART FINAL MENU - Pr'!F630)</f>
        <v/>
      </c>
      <c r="G630" s="56" t="str">
        <f>IF('AYIRA MINI MART FINAL MENU - Pr'!G630="", "", 'AYIRA MINI MART FINAL MENU - Pr'!G630)</f>
        <v/>
      </c>
      <c r="H630" s="56" t="str">
        <f>IF('AYIRA MINI MART FINAL MENU - Pr'!H630="", "", 'AYIRA MINI MART FINAL MENU - Pr'!H630)</f>
        <v/>
      </c>
      <c r="I630" s="56" t="str">
        <f>IF('AYIRA MINI MART FINAL MENU - Pr'!I630="", "", 'AYIRA MINI MART FINAL MENU - Pr'!I630)</f>
        <v/>
      </c>
      <c r="J630" s="56" t="str">
        <f>IFERROR(__xludf.DUMMYFUNCTION("IF('AYIRA MINI MART FINAL MENU - Pr'!J630="""", """", GOOGLETRANSLATE('AYIRA MINI MART FINAL MENU - Pr'!J630, ""en"", ""ar""))"),"يعرض")</f>
        <v>يعرض</v>
      </c>
      <c r="K630" s="56" t="str">
        <f>IF('AYIRA MINI MART FINAL MENU - Pr'!K630="", "", 'AYIRA MINI MART FINAL MENU - Pr'!K630)</f>
        <v/>
      </c>
      <c r="L630" s="56" t="str">
        <f>IF('AYIRA MINI MART FINAL MENU - Pr'!L630="", "", 'AYIRA MINI MART FINAL MENU - Pr'!L630)</f>
        <v/>
      </c>
      <c r="M630" s="56" t="str">
        <f>IF('AYIRA MINI MART FINAL MENU - Pr'!M630="", "", 'AYIRA MINI MART FINAL MENU - Pr'!M630)</f>
        <v/>
      </c>
      <c r="N630" s="56" t="str">
        <f>IF('AYIRA MINI MART FINAL MENU - Pr'!N630="", "", 'AYIRA MINI MART FINAL MENU - Pr'!N630)</f>
        <v/>
      </c>
      <c r="O630" s="57"/>
      <c r="P630" s="57"/>
      <c r="Q630" s="57"/>
      <c r="R630" s="57"/>
      <c r="S630" s="57"/>
      <c r="T630" s="57"/>
      <c r="U630" s="57"/>
      <c r="V630" s="57"/>
      <c r="W630" s="57"/>
      <c r="X630" s="57"/>
      <c r="Y630" s="57"/>
      <c r="Z630" s="57"/>
    </row>
    <row r="631">
      <c r="A631" s="56" t="str">
        <f>IFERROR(__xludf.DUMMYFUNCTION("IF('AYIRA MINI MART FINAL MENU - Pr'!A631="""", """", IF(LEN(TRIM(REGEXREPLACE(REGEXREPLACE('AYIRA MINI MART FINAL MENU - Pr'!A631, ""^[^\x{0600}-\x{06FF}]+"", """"), ""^[-–\s]+"", """")))&gt;0, TRIM(REGEXREPLACE(REGEXREPLACE('AYIRA MINI MART FINAL MENU - Pr"&amp;"'!A631, ""^[^\x{0600}-\x{06FF}]+"", """"), ""^[-–\s]+"", """")), GOOGLETRANSLATE('AYIRA MINI MART FINAL MENU - Pr'!A631, ""en"", ""ar"")))"),"غوديفا Belgium 1926 Double شوكولاتة قطعة 35 gm")</f>
        <v>غوديفا Belgium 1926 Double شوكولاتة قطعة 35 gm</v>
      </c>
      <c r="B631" s="56" t="str">
        <f>IFERROR(__xludf.DUMMYFUNCTION("IF('AYIRA MINI MART FINAL MENU - Pr'!B631="""", """", IF(LEN(TRIM(REGEXREPLACE(REGEXREPLACE('AYIRA MINI MART FINAL MENU - Pr'!B631, ""^[^\x{0600}-\x{06FF}]+"", """"), ""^[-–\s]+"", """")))&gt;0, TRIM(REGEXREPLACE(REGEXREPLACE('AYIRA MINI MART FINAL MENU - Pr"&amp;"'!B631, ""^[^\x{0600}-\x{06FF}]+"", """"), ""^[-–\s]+"", """")), GOOGLETRANSLATE('AYIRA MINI MART FINAL MENU - Pr'!B631, ""en"", ""ar"")))"),"الشوكولاتة")</f>
        <v>الشوكولاتة</v>
      </c>
      <c r="C631" s="58">
        <f>IF('AYIRA MINI MART FINAL MENU - Pr'!C631="", "", 'AYIRA MINI MART FINAL MENU - Pr'!C631)</f>
        <v>4</v>
      </c>
      <c r="D631" s="58" t="str">
        <f>IF('AYIRA MINI MART FINAL MENU - Pr'!D631="", "", 'AYIRA MINI MART FINAL MENU - Pr'!D631)</f>
        <v>دلّل حواسك مع Godiva Belgium 1926 Double Chocolate Bar 35 gm،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31" s="56" t="str">
        <f>IF('AYIRA MINI MART FINAL MENU - Pr'!E631="", "", 'AYIRA MINI MART FINAL MENU - Pr'!E631)</f>
        <v/>
      </c>
      <c r="F631" s="56" t="str">
        <f>IF('AYIRA MINI MART FINAL MENU - Pr'!F631="", "", 'AYIRA MINI MART FINAL MENU - Pr'!F631)</f>
        <v/>
      </c>
      <c r="G631" s="56" t="str">
        <f>IF('AYIRA MINI MART FINAL MENU - Pr'!G631="", "", 'AYIRA MINI MART FINAL MENU - Pr'!G631)</f>
        <v/>
      </c>
      <c r="H631" s="56" t="str">
        <f>IF('AYIRA MINI MART FINAL MENU - Pr'!H631="", "", 'AYIRA MINI MART FINAL MENU - Pr'!H631)</f>
        <v/>
      </c>
      <c r="I631" s="56" t="str">
        <f>IF('AYIRA MINI MART FINAL MENU - Pr'!I631="", "", 'AYIRA MINI MART FINAL MENU - Pr'!I631)</f>
        <v/>
      </c>
      <c r="J631" s="56" t="str">
        <f>IFERROR(__xludf.DUMMYFUNCTION("IF('AYIRA MINI MART FINAL MENU - Pr'!J631="""", """", GOOGLETRANSLATE('AYIRA MINI MART FINAL MENU - Pr'!J631, ""en"", ""ar""))"),"يعرض")</f>
        <v>يعرض</v>
      </c>
      <c r="K631" s="56" t="str">
        <f>IF('AYIRA MINI MART FINAL MENU - Pr'!K631="", "", 'AYIRA MINI MART FINAL MENU - Pr'!K631)</f>
        <v/>
      </c>
      <c r="L631" s="56" t="str">
        <f>IF('AYIRA MINI MART FINAL MENU - Pr'!L631="", "", 'AYIRA MINI MART FINAL MENU - Pr'!L631)</f>
        <v/>
      </c>
      <c r="M631" s="56" t="str">
        <f>IF('AYIRA MINI MART FINAL MENU - Pr'!M631="", "", 'AYIRA MINI MART FINAL MENU - Pr'!M631)</f>
        <v/>
      </c>
      <c r="N631" s="56" t="str">
        <f>IF('AYIRA MINI MART FINAL MENU - Pr'!N631="", "", 'AYIRA MINI MART FINAL MENU - Pr'!N631)</f>
        <v/>
      </c>
      <c r="O631" s="57"/>
      <c r="P631" s="57"/>
      <c r="Q631" s="57"/>
      <c r="R631" s="57"/>
      <c r="S631" s="57"/>
      <c r="T631" s="57"/>
      <c r="U631" s="57"/>
      <c r="V631" s="57"/>
      <c r="W631" s="57"/>
      <c r="X631" s="57"/>
      <c r="Y631" s="57"/>
      <c r="Z631" s="57"/>
    </row>
    <row r="632">
      <c r="A632" s="56" t="str">
        <f>IFERROR(__xludf.DUMMYFUNCTION("IF('AYIRA MINI MART FINAL MENU - Pr'!A632="""", """", IF(LEN(TRIM(REGEXREPLACE(REGEXREPLACE('AYIRA MINI MART FINAL MENU - Pr'!A632, ""^[^\x{0600}-\x{06FF}]+"", """"), ""^[-–\s]+"", """")))&gt;0, TRIM(REGEXREPLACE(REGEXREPLACE('AYIRA MINI MART FINAL MENU - Pr"&amp;"'!A632, ""^[^\x{0600}-\x{06FF}]+"", """"), ""^[-–\s]+"", """")), GOOGLETRANSLATE('AYIRA MINI MART FINAL MENU - Pr'!A632, ""en"", ""ar"")))"),"سنيكرز ويفر Rolls 24 gm")</f>
        <v>سنيكرز ويفر Rolls 24 gm</v>
      </c>
      <c r="B632" s="56" t="str">
        <f>IFERROR(__xludf.DUMMYFUNCTION("IF('AYIRA MINI MART FINAL MENU - Pr'!B632="""", """", IF(LEN(TRIM(REGEXREPLACE(REGEXREPLACE('AYIRA MINI MART FINAL MENU - Pr'!B632, ""^[^\x{0600}-\x{06FF}]+"", """"), ""^[-–\s]+"", """")))&gt;0, TRIM(REGEXREPLACE(REGEXREPLACE('AYIRA MINI MART FINAL MENU - Pr"&amp;"'!B632, ""^[^\x{0600}-\x{06FF}]+"", """"), ""^[-–\s]+"", """")), GOOGLETRANSLATE('AYIRA MINI MART FINAL MENU - Pr'!B632, ""en"", ""ar"")))"),"الشوكولاتة")</f>
        <v>الشوكولاتة</v>
      </c>
      <c r="C632" s="58">
        <f>IF('AYIRA MINI MART FINAL MENU - Pr'!C632="", "", 'AYIRA MINI MART FINAL MENU - Pr'!C632)</f>
        <v>2</v>
      </c>
      <c r="D632" s="58" t="str">
        <f>IF('AYIRA MINI MART FINAL MENU - Pr'!D632="", "", 'AYIRA MINI MART FINAL MENU - Pr'!D632)</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32" s="56" t="str">
        <f>IF('AYIRA MINI MART FINAL MENU - Pr'!E632="", "", 'AYIRA MINI MART FINAL MENU - Pr'!E632)</f>
        <v/>
      </c>
      <c r="F632" s="56" t="str">
        <f>IF('AYIRA MINI MART FINAL MENU - Pr'!F632="", "", 'AYIRA MINI MART FINAL MENU - Pr'!F632)</f>
        <v/>
      </c>
      <c r="G632" s="56" t="str">
        <f>IF('AYIRA MINI MART FINAL MENU - Pr'!G632="", "", 'AYIRA MINI MART FINAL MENU - Pr'!G632)</f>
        <v/>
      </c>
      <c r="H632" s="56" t="str">
        <f>IF('AYIRA MINI MART FINAL MENU - Pr'!H632="", "", 'AYIRA MINI MART FINAL MENU - Pr'!H632)</f>
        <v/>
      </c>
      <c r="I632" s="56" t="str">
        <f>IF('AYIRA MINI MART FINAL MENU - Pr'!I632="", "", 'AYIRA MINI MART FINAL MENU - Pr'!I632)</f>
        <v/>
      </c>
      <c r="J632" s="56" t="str">
        <f>IFERROR(__xludf.DUMMYFUNCTION("IF('AYIRA MINI MART FINAL MENU - Pr'!J632="""", """", GOOGLETRANSLATE('AYIRA MINI MART FINAL MENU - Pr'!J632, ""en"", ""ar""))"),"يعرض")</f>
        <v>يعرض</v>
      </c>
      <c r="K632" s="56" t="str">
        <f>IF('AYIRA MINI MART FINAL MENU - Pr'!K632="", "", 'AYIRA MINI MART FINAL MENU - Pr'!K632)</f>
        <v/>
      </c>
      <c r="L632" s="56" t="str">
        <f>IF('AYIRA MINI MART FINAL MENU - Pr'!L632="", "", 'AYIRA MINI MART FINAL MENU - Pr'!L632)</f>
        <v/>
      </c>
      <c r="M632" s="56" t="str">
        <f>IF('AYIRA MINI MART FINAL MENU - Pr'!M632="", "", 'AYIRA MINI MART FINAL MENU - Pr'!M632)</f>
        <v/>
      </c>
      <c r="N632" s="56" t="str">
        <f>IF('AYIRA MINI MART FINAL MENU - Pr'!N632="", "", 'AYIRA MINI MART FINAL MENU - Pr'!N632)</f>
        <v/>
      </c>
      <c r="O632" s="57"/>
      <c r="P632" s="57"/>
      <c r="Q632" s="57"/>
      <c r="R632" s="57"/>
      <c r="S632" s="57"/>
      <c r="T632" s="57"/>
      <c r="U632" s="57"/>
      <c r="V632" s="57"/>
      <c r="W632" s="57"/>
      <c r="X632" s="57"/>
      <c r="Y632" s="57"/>
      <c r="Z632" s="57"/>
    </row>
    <row r="633">
      <c r="A633" s="56" t="str">
        <f>IFERROR(__xludf.DUMMYFUNCTION("IF('AYIRA MINI MART FINAL MENU - Pr'!A633="""", """", IF(LEN(TRIM(REGEXREPLACE(REGEXREPLACE('AYIRA MINI MART FINAL MENU - Pr'!A633, ""^[^\x{0600}-\x{06FF}]+"", """"), ""^[-–\s]+"", """")))&gt;0, TRIM(REGEXREPLACE(REGEXREPLACE('AYIRA MINI MART FINAL MENU - Pr"&amp;"'!A633, ""^[^\x{0600}-\x{06FF}]+"", """"), ""^[-–\s]+"", """")), GOOGLETRANSLATE('AYIRA MINI MART FINAL MENU - Pr'!A633, ""en"", ""ar"")))"),"هاريبو Mega-Roulette 45 gm")</f>
        <v>هاريبو Mega-Roulette 45 gm</v>
      </c>
      <c r="B633" s="56" t="str">
        <f>IFERROR(__xludf.DUMMYFUNCTION("IF('AYIRA MINI MART FINAL MENU - Pr'!B633="""", """", IF(LEN(TRIM(REGEXREPLACE(REGEXREPLACE('AYIRA MINI MART FINAL MENU - Pr'!B633, ""^[^\x{0600}-\x{06FF}]+"", """"), ""^[-–\s]+"", """")))&gt;0, TRIM(REGEXREPLACE(REGEXREPLACE('AYIRA MINI MART FINAL MENU - Pr"&amp;"'!B633, ""^[^\x{0600}-\x{06FF}]+"", """"), ""^[-–\s]+"", """")), GOOGLETRANSLATE('AYIRA MINI MART FINAL MENU - Pr'!B633, ""en"", ""ar"")))"),"الحلوى 🍬")</f>
        <v>الحلوى 🍬</v>
      </c>
      <c r="C633" s="58">
        <f>IF('AYIRA MINI MART FINAL MENU - Pr'!C633="", "", 'AYIRA MINI MART FINAL MENU - Pr'!C633)</f>
        <v>2.5</v>
      </c>
      <c r="D633" s="58" t="str">
        <f>IF('AYIRA MINI MART FINAL MENU - Pr'!D633="", "", 'AYIRA MINI MART FINAL MENU - Pr'!D633)</f>
        <v>أضف لحظة حلوة إلى يومك مع هاريبو،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633" s="56" t="str">
        <f>IF('AYIRA MINI MART FINAL MENU - Pr'!E633="", "", 'AYIRA MINI MART FINAL MENU - Pr'!E633)</f>
        <v/>
      </c>
      <c r="F633" s="56" t="str">
        <f>IF('AYIRA MINI MART FINAL MENU - Pr'!F633="", "", 'AYIRA MINI MART FINAL MENU - Pr'!F633)</f>
        <v/>
      </c>
      <c r="G633" s="56" t="str">
        <f>IF('AYIRA MINI MART FINAL MENU - Pr'!G633="", "", 'AYIRA MINI MART FINAL MENU - Pr'!G633)</f>
        <v/>
      </c>
      <c r="H633" s="56" t="str">
        <f>IF('AYIRA MINI MART FINAL MENU - Pr'!H633="", "", 'AYIRA MINI MART FINAL MENU - Pr'!H633)</f>
        <v/>
      </c>
      <c r="I633" s="56" t="str">
        <f>IF('AYIRA MINI MART FINAL MENU - Pr'!I633="", "", 'AYIRA MINI MART FINAL MENU - Pr'!I633)</f>
        <v/>
      </c>
      <c r="J633" s="56" t="str">
        <f>IFERROR(__xludf.DUMMYFUNCTION("IF('AYIRA MINI MART FINAL MENU - Pr'!J633="""", """", GOOGLETRANSLATE('AYIRA MINI MART FINAL MENU - Pr'!J633, ""en"", ""ar""))"),"يعرض")</f>
        <v>يعرض</v>
      </c>
      <c r="K633" s="56" t="str">
        <f>IF('AYIRA MINI MART FINAL MENU - Pr'!K633="", "", 'AYIRA MINI MART FINAL MENU - Pr'!K633)</f>
        <v/>
      </c>
      <c r="L633" s="56" t="str">
        <f>IF('AYIRA MINI MART FINAL MENU - Pr'!L633="", "", 'AYIRA MINI MART FINAL MENU - Pr'!L633)</f>
        <v/>
      </c>
      <c r="M633" s="56" t="str">
        <f>IF('AYIRA MINI MART FINAL MENU - Pr'!M633="", "", 'AYIRA MINI MART FINAL MENU - Pr'!M633)</f>
        <v/>
      </c>
      <c r="N633" s="56" t="str">
        <f>IF('AYIRA MINI MART FINAL MENU - Pr'!N633="", "", 'AYIRA MINI MART FINAL MENU - Pr'!N633)</f>
        <v/>
      </c>
      <c r="O633" s="57"/>
      <c r="P633" s="57"/>
      <c r="Q633" s="57"/>
      <c r="R633" s="57"/>
      <c r="S633" s="57"/>
      <c r="T633" s="57"/>
      <c r="U633" s="57"/>
      <c r="V633" s="57"/>
      <c r="W633" s="57"/>
      <c r="X633" s="57"/>
      <c r="Y633" s="57"/>
      <c r="Z633" s="57"/>
    </row>
    <row r="634">
      <c r="A634" s="56" t="str">
        <f>IFERROR(__xludf.DUMMYFUNCTION("IF('AYIRA MINI MART FINAL MENU - Pr'!A634="""", """", IF(LEN(TRIM(REGEXREPLACE(REGEXREPLACE('AYIRA MINI MART FINAL MENU - Pr'!A634, ""^[^\x{0600}-\x{06FF}]+"", """"), ""^[-–\s]+"", """")))&gt;0, TRIM(REGEXREPLACE(REGEXREPLACE('AYIRA MINI MART FINAL MENU - Pr"&amp;"'!A634, ""^[^\x{0600}-\x{06FF}]+"", """"), ""^[-–\s]+"", """")), GOOGLETRANSLATE('AYIRA MINI MART FINAL MENU - Pr'!A634, ""en"", ""ar"")))"),"بندق كريم 28 gm")</f>
        <v>بندق كريم 28 gm</v>
      </c>
      <c r="B634" s="56" t="str">
        <f>IFERROR(__xludf.DUMMYFUNCTION("IF('AYIRA MINI MART FINAL MENU - Pr'!B634="""", """", IF(LEN(TRIM(REGEXREPLACE(REGEXREPLACE('AYIRA MINI MART FINAL MENU - Pr'!B634, ""^[^\x{0600}-\x{06FF}]+"", """"), ""^[-–\s]+"", """")))&gt;0, TRIM(REGEXREPLACE(REGEXREPLACE('AYIRA MINI MART FINAL MENU - Pr"&amp;"'!B634, ""^[^\x{0600}-\x{06FF}]+"", """"), ""^[-–\s]+"", """")), GOOGLETRANSLATE('AYIRA MINI MART FINAL MENU - Pr'!B634, ""en"", ""ar"")))"),"الشوكولاتة")</f>
        <v>الشوكولاتة</v>
      </c>
      <c r="C634" s="58">
        <f>IF('AYIRA MINI MART FINAL MENU - Pr'!C634="", "", 'AYIRA MINI MART FINAL MENU - Pr'!C634)</f>
        <v>1.5</v>
      </c>
      <c r="D634" s="58" t="str">
        <f>IF('AYIRA MINI MART FINAL MENU - Pr'!D634="", "", 'AYIRA MINI MART FINAL MENU - Pr'!D634)</f>
        <v>اختر Ülker Katkattat Hazelnut Cream 28 gm،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634" s="56" t="str">
        <f>IF('AYIRA MINI MART FINAL MENU - Pr'!E634="", "", 'AYIRA MINI MART FINAL MENU - Pr'!E634)</f>
        <v/>
      </c>
      <c r="F634" s="56" t="str">
        <f>IF('AYIRA MINI MART FINAL MENU - Pr'!F634="", "", 'AYIRA MINI MART FINAL MENU - Pr'!F634)</f>
        <v/>
      </c>
      <c r="G634" s="56" t="str">
        <f>IF('AYIRA MINI MART FINAL MENU - Pr'!G634="", "", 'AYIRA MINI MART FINAL MENU - Pr'!G634)</f>
        <v/>
      </c>
      <c r="H634" s="56" t="str">
        <f>IF('AYIRA MINI MART FINAL MENU - Pr'!H634="", "", 'AYIRA MINI MART FINAL MENU - Pr'!H634)</f>
        <v/>
      </c>
      <c r="I634" s="56" t="str">
        <f>IF('AYIRA MINI MART FINAL MENU - Pr'!I634="", "", 'AYIRA MINI MART FINAL MENU - Pr'!I634)</f>
        <v/>
      </c>
      <c r="J634" s="56" t="str">
        <f>IFERROR(__xludf.DUMMYFUNCTION("IF('AYIRA MINI MART FINAL MENU - Pr'!J634="""", """", GOOGLETRANSLATE('AYIRA MINI MART FINAL MENU - Pr'!J634, ""en"", ""ar""))"),"يعرض")</f>
        <v>يعرض</v>
      </c>
      <c r="K634" s="56" t="str">
        <f>IF('AYIRA MINI MART FINAL MENU - Pr'!K634="", "", 'AYIRA MINI MART FINAL MENU - Pr'!K634)</f>
        <v/>
      </c>
      <c r="L634" s="56" t="str">
        <f>IF('AYIRA MINI MART FINAL MENU - Pr'!L634="", "", 'AYIRA MINI MART FINAL MENU - Pr'!L634)</f>
        <v/>
      </c>
      <c r="M634" s="56" t="str">
        <f>IF('AYIRA MINI MART FINAL MENU - Pr'!M634="", "", 'AYIRA MINI MART FINAL MENU - Pr'!M634)</f>
        <v/>
      </c>
      <c r="N634" s="56" t="str">
        <f>IF('AYIRA MINI MART FINAL MENU - Pr'!N634="", "", 'AYIRA MINI MART FINAL MENU - Pr'!N634)</f>
        <v/>
      </c>
      <c r="O634" s="57"/>
      <c r="P634" s="57"/>
      <c r="Q634" s="57"/>
      <c r="R634" s="57"/>
      <c r="S634" s="57"/>
      <c r="T634" s="57"/>
      <c r="U634" s="57"/>
      <c r="V634" s="57"/>
      <c r="W634" s="57"/>
      <c r="X634" s="57"/>
      <c r="Y634" s="57"/>
      <c r="Z634" s="57"/>
    </row>
    <row r="635">
      <c r="A635" s="56" t="str">
        <f>IFERROR(__xludf.DUMMYFUNCTION("IF('AYIRA MINI MART FINAL MENU - Pr'!A635="""", """", IF(LEN(TRIM(REGEXREPLACE(REGEXREPLACE('AYIRA MINI MART FINAL MENU - Pr'!A635, ""^[^\x{0600}-\x{06FF}]+"", """"), ""^[-–\s]+"", """")))&gt;0, TRIM(REGEXREPLACE(REGEXREPLACE('AYIRA MINI MART FINAL MENU - Pr"&amp;"'!A635, ""^[^\x{0600}-\x{06FF}]+"", """"), ""^[-–\s]+"", """")), GOOGLETRANSLATE('AYIRA MINI MART FINAL MENU - Pr'!A635, ""en"", ""ar"")))"),"أولكر هوبي 30 غرام")</f>
        <v>أولكر هوبي 30 غرام</v>
      </c>
      <c r="B635" s="56" t="str">
        <f>IFERROR(__xludf.DUMMYFUNCTION("IF('AYIRA MINI MART FINAL MENU - Pr'!B635="""", """", IF(LEN(TRIM(REGEXREPLACE(REGEXREPLACE('AYIRA MINI MART FINAL MENU - Pr'!B635, ""^[^\x{0600}-\x{06FF}]+"", """"), ""^[-–\s]+"", """")))&gt;0, TRIM(REGEXREPLACE(REGEXREPLACE('AYIRA MINI MART FINAL MENU - Pr"&amp;"'!B635, ""^[^\x{0600}-\x{06FF}]+"", """"), ""^[-–\s]+"", """")), GOOGLETRANSLATE('AYIRA MINI MART FINAL MENU - Pr'!B635, ""en"", ""ar"")))"),"الشوكولاتة")</f>
        <v>الشوكولاتة</v>
      </c>
      <c r="C635" s="58">
        <f>IF('AYIRA MINI MART FINAL MENU - Pr'!C635="", "", 'AYIRA MINI MART FINAL MENU - Pr'!C635)</f>
        <v>1</v>
      </c>
      <c r="D635" s="58" t="str">
        <f>IF('AYIRA MINI MART FINAL MENU - Pr'!D635="", "", 'AYIRA MINI MART FINAL MENU - Pr'!D635)</f>
        <v>لا تقاوم طعم Ülker Hobby 30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35" s="56" t="str">
        <f>IF('AYIRA MINI MART FINAL MENU - Pr'!E635="", "", 'AYIRA MINI MART FINAL MENU - Pr'!E635)</f>
        <v/>
      </c>
      <c r="F635" s="56" t="str">
        <f>IF('AYIRA MINI MART FINAL MENU - Pr'!F635="", "", 'AYIRA MINI MART FINAL MENU - Pr'!F635)</f>
        <v/>
      </c>
      <c r="G635" s="56" t="str">
        <f>IF('AYIRA MINI MART FINAL MENU - Pr'!G635="", "", 'AYIRA MINI MART FINAL MENU - Pr'!G635)</f>
        <v/>
      </c>
      <c r="H635" s="56" t="str">
        <f>IF('AYIRA MINI MART FINAL MENU - Pr'!H635="", "", 'AYIRA MINI MART FINAL MENU - Pr'!H635)</f>
        <v/>
      </c>
      <c r="I635" s="56" t="str">
        <f>IF('AYIRA MINI MART FINAL MENU - Pr'!I635="", "", 'AYIRA MINI MART FINAL MENU - Pr'!I635)</f>
        <v/>
      </c>
      <c r="J635" s="56" t="str">
        <f>IFERROR(__xludf.DUMMYFUNCTION("IF('AYIRA MINI MART FINAL MENU - Pr'!J635="""", """", GOOGLETRANSLATE('AYIRA MINI MART FINAL MENU - Pr'!J635, ""en"", ""ar""))"),"يعرض")</f>
        <v>يعرض</v>
      </c>
      <c r="K635" s="56" t="str">
        <f>IF('AYIRA MINI MART FINAL MENU - Pr'!K635="", "", 'AYIRA MINI MART FINAL MENU - Pr'!K635)</f>
        <v/>
      </c>
      <c r="L635" s="56" t="str">
        <f>IF('AYIRA MINI MART FINAL MENU - Pr'!L635="", "", 'AYIRA MINI MART FINAL MENU - Pr'!L635)</f>
        <v/>
      </c>
      <c r="M635" s="56" t="str">
        <f>IF('AYIRA MINI MART FINAL MENU - Pr'!M635="", "", 'AYIRA MINI MART FINAL MENU - Pr'!M635)</f>
        <v/>
      </c>
      <c r="N635" s="56" t="str">
        <f>IF('AYIRA MINI MART FINAL MENU - Pr'!N635="", "", 'AYIRA MINI MART FINAL MENU - Pr'!N635)</f>
        <v/>
      </c>
      <c r="O635" s="57"/>
      <c r="P635" s="57"/>
      <c r="Q635" s="57"/>
      <c r="R635" s="57"/>
      <c r="S635" s="57"/>
      <c r="T635" s="57"/>
      <c r="U635" s="57"/>
      <c r="V635" s="57"/>
      <c r="W635" s="57"/>
      <c r="X635" s="57"/>
      <c r="Y635" s="57"/>
      <c r="Z635" s="57"/>
    </row>
    <row r="636">
      <c r="A636" s="56" t="str">
        <f>IFERROR(__xludf.DUMMYFUNCTION("IF('AYIRA MINI MART FINAL MENU - Pr'!A636="""", """", IF(LEN(TRIM(REGEXREPLACE(REGEXREPLACE('AYIRA MINI MART FINAL MENU - Pr'!A636, ""^[^\x{0600}-\x{06FF}]+"", """"), ""^[-–\s]+"", """")))&gt;0, TRIM(REGEXREPLACE(REGEXREPLACE('AYIRA MINI MART FINAL MENU - Pr"&amp;"'!A636, ""^[^\x{0600}-\x{06FF}]+"", """"), ""^[-–\s]+"", """")), GOOGLETRANSLATE('AYIRA MINI MART FINAL MENU - Pr'!A636, ""en"", ""ar"")))"),"كريم Filling 35 gm")</f>
        <v>كريم Filling 35 gm</v>
      </c>
      <c r="B636" s="56" t="str">
        <f>IFERROR(__xludf.DUMMYFUNCTION("IF('AYIRA MINI MART FINAL MENU - Pr'!B636="""", """", IF(LEN(TRIM(REGEXREPLACE(REGEXREPLACE('AYIRA MINI MART FINAL MENU - Pr'!B636, ""^[^\x{0600}-\x{06FF}]+"", """"), ""^[-–\s]+"", """")))&gt;0, TRIM(REGEXREPLACE(REGEXREPLACE('AYIRA MINI MART FINAL MENU - Pr"&amp;"'!B636, ""^[^\x{0600}-\x{06FF}]+"", """"), ""^[-–\s]+"", """")), GOOGLETRANSLATE('AYIRA MINI MART FINAL MENU - Pr'!B636, ""en"", ""ar"")))"),"الشوكولاتة")</f>
        <v>الشوكولاتة</v>
      </c>
      <c r="C636" s="58">
        <f>IF('AYIRA MINI MART FINAL MENU - Pr'!C636="", "", 'AYIRA MINI MART FINAL MENU - Pr'!C636)</f>
        <v>4</v>
      </c>
      <c r="D636" s="58" t="str">
        <f>IF('AYIRA MINI MART FINAL MENU - Pr'!D636="", "", 'AYIRA MINI MART FINAL MENU - Pr'!D636)</f>
        <v>لا تقاوم طعم Ülker Laviva Milky Cream Filling 35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36" s="56" t="str">
        <f>IF('AYIRA MINI MART FINAL MENU - Pr'!E636="", "", 'AYIRA MINI MART FINAL MENU - Pr'!E636)</f>
        <v/>
      </c>
      <c r="F636" s="56" t="str">
        <f>IF('AYIRA MINI MART FINAL MENU - Pr'!F636="", "", 'AYIRA MINI MART FINAL MENU - Pr'!F636)</f>
        <v/>
      </c>
      <c r="G636" s="56" t="str">
        <f>IF('AYIRA MINI MART FINAL MENU - Pr'!G636="", "", 'AYIRA MINI MART FINAL MENU - Pr'!G636)</f>
        <v/>
      </c>
      <c r="H636" s="56" t="str">
        <f>IF('AYIRA MINI MART FINAL MENU - Pr'!H636="", "", 'AYIRA MINI MART FINAL MENU - Pr'!H636)</f>
        <v/>
      </c>
      <c r="I636" s="56" t="str">
        <f>IF('AYIRA MINI MART FINAL MENU - Pr'!I636="", "", 'AYIRA MINI MART FINAL MENU - Pr'!I636)</f>
        <v/>
      </c>
      <c r="J636" s="56" t="str">
        <f>IFERROR(__xludf.DUMMYFUNCTION("IF('AYIRA MINI MART FINAL MENU - Pr'!J636="""", """", GOOGLETRANSLATE('AYIRA MINI MART FINAL MENU - Pr'!J636, ""en"", ""ar""))"),"يعرض")</f>
        <v>يعرض</v>
      </c>
      <c r="K636" s="56" t="str">
        <f>IF('AYIRA MINI MART FINAL MENU - Pr'!K636="", "", 'AYIRA MINI MART FINAL MENU - Pr'!K636)</f>
        <v/>
      </c>
      <c r="L636" s="56" t="str">
        <f>IF('AYIRA MINI MART FINAL MENU - Pr'!L636="", "", 'AYIRA MINI MART FINAL MENU - Pr'!L636)</f>
        <v/>
      </c>
      <c r="M636" s="56" t="str">
        <f>IF('AYIRA MINI MART FINAL MENU - Pr'!M636="", "", 'AYIRA MINI MART FINAL MENU - Pr'!M636)</f>
        <v/>
      </c>
      <c r="N636" s="56" t="str">
        <f>IF('AYIRA MINI MART FINAL MENU - Pr'!N636="", "", 'AYIRA MINI MART FINAL MENU - Pr'!N636)</f>
        <v/>
      </c>
      <c r="O636" s="57"/>
      <c r="P636" s="57"/>
      <c r="Q636" s="57"/>
      <c r="R636" s="57"/>
      <c r="S636" s="57"/>
      <c r="T636" s="57"/>
      <c r="U636" s="57"/>
      <c r="V636" s="57"/>
      <c r="W636" s="57"/>
      <c r="X636" s="57"/>
      <c r="Y636" s="57"/>
      <c r="Z636" s="57"/>
    </row>
    <row r="637">
      <c r="A637" s="56" t="str">
        <f>IFERROR(__xludf.DUMMYFUNCTION("IF('AYIRA MINI MART FINAL MENU - Pr'!A637="""", """", IF(LEN(TRIM(REGEXREPLACE(REGEXREPLACE('AYIRA MINI MART FINAL MENU - Pr'!A637, ""^[^\x{0600}-\x{06FF}]+"", """"), ""^[-–\s]+"", """")))&gt;0, TRIM(REGEXREPLACE(REGEXREPLACE('AYIRA MINI MART FINAL MENU - Pr"&amp;"'!A637, ""^[^\x{0600}-\x{06FF}]+"", """"), ""^[-–\s]+"", """")), GOOGLETRANSLATE('AYIRA MINI MART FINAL MENU - Pr'!A637, ""en"", ""ar"")))"),"بندق 40 gm")</f>
        <v>بندق 40 gm</v>
      </c>
      <c r="B637" s="56" t="str">
        <f>IFERROR(__xludf.DUMMYFUNCTION("IF('AYIRA MINI MART FINAL MENU - Pr'!B637="""", """", IF(LEN(TRIM(REGEXREPLACE(REGEXREPLACE('AYIRA MINI MART FINAL MENU - Pr'!B637, ""^[^\x{0600}-\x{06FF}]+"", """"), ""^[-–\s]+"", """")))&gt;0, TRIM(REGEXREPLACE(REGEXREPLACE('AYIRA MINI MART FINAL MENU - Pr"&amp;"'!B637, ""^[^\x{0600}-\x{06FF}]+"", """"), ""^[-–\s]+"", """")), GOOGLETRANSLATE('AYIRA MINI MART FINAL MENU - Pr'!B637, ""en"", ""ar"")))"),"الشوكولاتة")</f>
        <v>الشوكولاتة</v>
      </c>
      <c r="C637" s="58">
        <f>IF('AYIRA MINI MART FINAL MENU - Pr'!C637="", "", 'AYIRA MINI MART FINAL MENU - Pr'!C637)</f>
        <v>4</v>
      </c>
      <c r="D637" s="58" t="str">
        <f>IF('AYIRA MINI MART FINAL MENU - Pr'!D637="", "", 'AYIRA MINI MART FINAL MENU - Pr'!D637)</f>
        <v>اختر Ülker Çikolata Hazelnut 40 gm،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637" s="56" t="str">
        <f>IF('AYIRA MINI MART FINAL MENU - Pr'!E637="", "", 'AYIRA MINI MART FINAL MENU - Pr'!E637)</f>
        <v/>
      </c>
      <c r="F637" s="56" t="str">
        <f>IF('AYIRA MINI MART FINAL MENU - Pr'!F637="", "", 'AYIRA MINI MART FINAL MENU - Pr'!F637)</f>
        <v/>
      </c>
      <c r="G637" s="56" t="str">
        <f>IF('AYIRA MINI MART FINAL MENU - Pr'!G637="", "", 'AYIRA MINI MART FINAL MENU - Pr'!G637)</f>
        <v/>
      </c>
      <c r="H637" s="56" t="str">
        <f>IF('AYIRA MINI MART FINAL MENU - Pr'!H637="", "", 'AYIRA MINI MART FINAL MENU - Pr'!H637)</f>
        <v/>
      </c>
      <c r="I637" s="56" t="str">
        <f>IF('AYIRA MINI MART FINAL MENU - Pr'!I637="", "", 'AYIRA MINI MART FINAL MENU - Pr'!I637)</f>
        <v/>
      </c>
      <c r="J637" s="56" t="str">
        <f>IFERROR(__xludf.DUMMYFUNCTION("IF('AYIRA MINI MART FINAL MENU - Pr'!J637="""", """", GOOGLETRANSLATE('AYIRA MINI MART FINAL MENU - Pr'!J637, ""en"", ""ar""))"),"يعرض")</f>
        <v>يعرض</v>
      </c>
      <c r="K637" s="56" t="str">
        <f>IF('AYIRA MINI MART FINAL MENU - Pr'!K637="", "", 'AYIRA MINI MART FINAL MENU - Pr'!K637)</f>
        <v/>
      </c>
      <c r="L637" s="56" t="str">
        <f>IF('AYIRA MINI MART FINAL MENU - Pr'!L637="", "", 'AYIRA MINI MART FINAL MENU - Pr'!L637)</f>
        <v/>
      </c>
      <c r="M637" s="56" t="str">
        <f>IF('AYIRA MINI MART FINAL MENU - Pr'!M637="", "", 'AYIRA MINI MART FINAL MENU - Pr'!M637)</f>
        <v/>
      </c>
      <c r="N637" s="56" t="str">
        <f>IF('AYIRA MINI MART FINAL MENU - Pr'!N637="", "", 'AYIRA MINI MART FINAL MENU - Pr'!N637)</f>
        <v/>
      </c>
      <c r="O637" s="57"/>
      <c r="P637" s="57"/>
      <c r="Q637" s="57"/>
      <c r="R637" s="57"/>
      <c r="S637" s="57"/>
      <c r="T637" s="57"/>
      <c r="U637" s="57"/>
      <c r="V637" s="57"/>
      <c r="W637" s="57"/>
      <c r="X637" s="57"/>
      <c r="Y637" s="57"/>
      <c r="Z637" s="57"/>
    </row>
    <row r="638">
      <c r="A638" s="56" t="str">
        <f>IFERROR(__xludf.DUMMYFUNCTION("IF('AYIRA MINI MART FINAL MENU - Pr'!A638="""", """", IF(LEN(TRIM(REGEXREPLACE(REGEXREPLACE('AYIRA MINI MART FINAL MENU - Pr'!A638, ""^[^\x{0600}-\x{06FF}]+"", """"), ""^[-–\s]+"", """")))&gt;0, TRIM(REGEXREPLACE(REGEXREPLACE('AYIRA MINI MART FINAL MENU - Pr"&amp;"'!A638, ""^[^\x{0600}-\x{06FF}]+"", """"), ""^[-–\s]+"", """")), GOOGLETRANSLATE('AYIRA MINI MART FINAL MENU - Pr'!A638, ""en"", ""ar"")))"),"باونتي 50 gm")</f>
        <v>باونتي 50 gm</v>
      </c>
      <c r="B638" s="56" t="str">
        <f>IFERROR(__xludf.DUMMYFUNCTION("IF('AYIRA MINI MART FINAL MENU - Pr'!B638="""", """", IF(LEN(TRIM(REGEXREPLACE(REGEXREPLACE('AYIRA MINI MART FINAL MENU - Pr'!B638, ""^[^\x{0600}-\x{06FF}]+"", """"), ""^[-–\s]+"", """")))&gt;0, TRIM(REGEXREPLACE(REGEXREPLACE('AYIRA MINI MART FINAL MENU - Pr"&amp;"'!B638, ""^[^\x{0600}-\x{06FF}]+"", """"), ""^[-–\s]+"", """")), GOOGLETRANSLATE('AYIRA MINI MART FINAL MENU - Pr'!B638, ""en"", ""ar"")))"),"الشوكولاتة")</f>
        <v>الشوكولاتة</v>
      </c>
      <c r="C638" s="58">
        <f>IF('AYIRA MINI MART FINAL MENU - Pr'!C638="", "", 'AYIRA MINI MART FINAL MENU - Pr'!C638)</f>
        <v>4.5</v>
      </c>
      <c r="D638" s="58" t="str">
        <f>IF('AYIRA MINI MART FINAL MENU - Pr'!D638="", "", 'AYIRA MINI MART FINAL MENU - Pr'!D638)</f>
        <v>دلّل حواسك مع باونتي،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38" s="56" t="str">
        <f>IF('AYIRA MINI MART FINAL MENU - Pr'!E638="", "", 'AYIRA MINI MART FINAL MENU - Pr'!E638)</f>
        <v/>
      </c>
      <c r="F638" s="56" t="str">
        <f>IF('AYIRA MINI MART FINAL MENU - Pr'!F638="", "", 'AYIRA MINI MART FINAL MENU - Pr'!F638)</f>
        <v/>
      </c>
      <c r="G638" s="56" t="str">
        <f>IF('AYIRA MINI MART FINAL MENU - Pr'!G638="", "", 'AYIRA MINI MART FINAL MENU - Pr'!G638)</f>
        <v/>
      </c>
      <c r="H638" s="56" t="str">
        <f>IF('AYIRA MINI MART FINAL MENU - Pr'!H638="", "", 'AYIRA MINI MART FINAL MENU - Pr'!H638)</f>
        <v/>
      </c>
      <c r="I638" s="56" t="str">
        <f>IF('AYIRA MINI MART FINAL MENU - Pr'!I638="", "", 'AYIRA MINI MART FINAL MENU - Pr'!I638)</f>
        <v/>
      </c>
      <c r="J638" s="56" t="str">
        <f>IFERROR(__xludf.DUMMYFUNCTION("IF('AYIRA MINI MART FINAL MENU - Pr'!J638="""", """", GOOGLETRANSLATE('AYIRA MINI MART FINAL MENU - Pr'!J638, ""en"", ""ar""))"),"يعرض")</f>
        <v>يعرض</v>
      </c>
      <c r="K638" s="56" t="str">
        <f>IF('AYIRA MINI MART FINAL MENU - Pr'!K638="", "", 'AYIRA MINI MART FINAL MENU - Pr'!K638)</f>
        <v/>
      </c>
      <c r="L638" s="56" t="str">
        <f>IF('AYIRA MINI MART FINAL MENU - Pr'!L638="", "", 'AYIRA MINI MART FINAL MENU - Pr'!L638)</f>
        <v/>
      </c>
      <c r="M638" s="56" t="str">
        <f>IF('AYIRA MINI MART FINAL MENU - Pr'!M638="", "", 'AYIRA MINI MART FINAL MENU - Pr'!M638)</f>
        <v/>
      </c>
      <c r="N638" s="56" t="str">
        <f>IF('AYIRA MINI MART FINAL MENU - Pr'!N638="", "", 'AYIRA MINI MART FINAL MENU - Pr'!N638)</f>
        <v/>
      </c>
      <c r="O638" s="57"/>
      <c r="P638" s="57"/>
      <c r="Q638" s="57"/>
      <c r="R638" s="57"/>
      <c r="S638" s="57"/>
      <c r="T638" s="57"/>
      <c r="U638" s="57"/>
      <c r="V638" s="57"/>
      <c r="W638" s="57"/>
      <c r="X638" s="57"/>
      <c r="Y638" s="57"/>
      <c r="Z638" s="57"/>
    </row>
    <row r="639">
      <c r="A639" s="56" t="str">
        <f>IFERROR(__xludf.DUMMYFUNCTION("IF('AYIRA MINI MART FINAL MENU - Pr'!A639="""", """", IF(LEN(TRIM(REGEXREPLACE(REGEXREPLACE('AYIRA MINI MART FINAL MENU - Pr'!A639, ""^[^\x{0600}-\x{06FF}]+"", """"), ""^[-–\s]+"", """")))&gt;0, TRIM(REGEXREPLACE(REGEXREPLACE('AYIRA MINI MART FINAL MENU - Pr"&amp;"'!A639, ""^[^\x{0600}-\x{06FF}]+"", """"), ""^[-–\s]+"", """")), GOOGLETRANSLATE('AYIRA MINI MART FINAL MENU - Pr'!A639, ""en"", ""ar"")))"),"ويفر Rolls")</f>
        <v>ويفر Rolls</v>
      </c>
      <c r="B639" s="56" t="str">
        <f>IFERROR(__xludf.DUMMYFUNCTION("IF('AYIRA MINI MART FINAL MENU - Pr'!B639="""", """", IF(LEN(TRIM(REGEXREPLACE(REGEXREPLACE('AYIRA MINI MART FINAL MENU - Pr'!B639, ""^[^\x{0600}-\x{06FF}]+"", """"), ""^[-–\s]+"", """")))&gt;0, TRIM(REGEXREPLACE(REGEXREPLACE('AYIRA MINI MART FINAL MENU - Pr"&amp;"'!B639, ""^[^\x{0600}-\x{06FF}]+"", """"), ""^[-–\s]+"", """")), GOOGLETRANSLATE('AYIRA MINI MART FINAL MENU - Pr'!B639, ""en"", ""ar"")))"),"البسكويت والويفر")</f>
        <v>البسكويت والويفر</v>
      </c>
      <c r="C639" s="58">
        <f>IF('AYIRA MINI MART FINAL MENU - Pr'!C639="", "", 'AYIRA MINI MART FINAL MENU - Pr'!C639)</f>
        <v>2</v>
      </c>
      <c r="D639" s="58" t="str">
        <f>IF('AYIRA MINI MART FINAL MENU - Pr'!D639="", "", 'AYIRA MINI MART FINAL MENU - Pr'!D639)</f>
        <v>لا تقاوم طعم Boundry Wafer Rolls،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39" s="56" t="str">
        <f>IF('AYIRA MINI MART FINAL MENU - Pr'!E639="", "", 'AYIRA MINI MART FINAL MENU - Pr'!E639)</f>
        <v/>
      </c>
      <c r="F639" s="56" t="str">
        <f>IF('AYIRA MINI MART FINAL MENU - Pr'!F639="", "", 'AYIRA MINI MART FINAL MENU - Pr'!F639)</f>
        <v/>
      </c>
      <c r="G639" s="56" t="str">
        <f>IF('AYIRA MINI MART FINAL MENU - Pr'!G639="", "", 'AYIRA MINI MART FINAL MENU - Pr'!G639)</f>
        <v/>
      </c>
      <c r="H639" s="56" t="str">
        <f>IF('AYIRA MINI MART FINAL MENU - Pr'!H639="", "", 'AYIRA MINI MART FINAL MENU - Pr'!H639)</f>
        <v/>
      </c>
      <c r="I639" s="56" t="str">
        <f>IF('AYIRA MINI MART FINAL MENU - Pr'!I639="", "", 'AYIRA MINI MART FINAL MENU - Pr'!I639)</f>
        <v/>
      </c>
      <c r="J639" s="56" t="str">
        <f>IFERROR(__xludf.DUMMYFUNCTION("IF('AYIRA MINI MART FINAL MENU - Pr'!J639="""", """", GOOGLETRANSLATE('AYIRA MINI MART FINAL MENU - Pr'!J639, ""en"", ""ar""))"),"يعرض")</f>
        <v>يعرض</v>
      </c>
      <c r="K639" s="56" t="str">
        <f>IF('AYIRA MINI MART FINAL MENU - Pr'!K639="", "", 'AYIRA MINI MART FINAL MENU - Pr'!K639)</f>
        <v/>
      </c>
      <c r="L639" s="56" t="str">
        <f>IF('AYIRA MINI MART FINAL MENU - Pr'!L639="", "", 'AYIRA MINI MART FINAL MENU - Pr'!L639)</f>
        <v/>
      </c>
      <c r="M639" s="56" t="str">
        <f>IF('AYIRA MINI MART FINAL MENU - Pr'!M639="", "", 'AYIRA MINI MART FINAL MENU - Pr'!M639)</f>
        <v/>
      </c>
      <c r="N639" s="56" t="str">
        <f>IF('AYIRA MINI MART FINAL MENU - Pr'!N639="", "", 'AYIRA MINI MART FINAL MENU - Pr'!N639)</f>
        <v/>
      </c>
      <c r="O639" s="57"/>
      <c r="P639" s="57"/>
      <c r="Q639" s="57"/>
      <c r="R639" s="57"/>
      <c r="S639" s="57"/>
      <c r="T639" s="57"/>
      <c r="U639" s="57"/>
      <c r="V639" s="57"/>
      <c r="W639" s="57"/>
      <c r="X639" s="57"/>
      <c r="Y639" s="57"/>
      <c r="Z639" s="57"/>
    </row>
    <row r="640">
      <c r="A640" s="56" t="str">
        <f>IFERROR(__xludf.DUMMYFUNCTION("IF('AYIRA MINI MART FINAL MENU - Pr'!A640="""", """", IF(LEN(TRIM(REGEXREPLACE(REGEXREPLACE('AYIRA MINI MART FINAL MENU - Pr'!A640, ""^[^\x{0600}-\x{06FF}]+"", """"), ""^[-–\s]+"", """")))&gt;0, TRIM(REGEXREPLACE(REGEXREPLACE('AYIRA MINI MART FINAL MENU - Pr"&amp;"'!A640, ""^[^\x{0600}-\x{06FF}]+"", """"), ""^[-–\s]+"", """")), GOOGLETRANSLATE('AYIRA MINI MART FINAL MENU - Pr'!A640, ""en"", ""ar"")))"),"تويكس ويفر Rolls 22.5 gm")</f>
        <v>تويكس ويفر Rolls 22.5 gm</v>
      </c>
      <c r="B640" s="56" t="str">
        <f>IFERROR(__xludf.DUMMYFUNCTION("IF('AYIRA MINI MART FINAL MENU - Pr'!B640="""", """", IF(LEN(TRIM(REGEXREPLACE(REGEXREPLACE('AYIRA MINI MART FINAL MENU - Pr'!B640, ""^[^\x{0600}-\x{06FF}]+"", """"), ""^[-–\s]+"", """")))&gt;0, TRIM(REGEXREPLACE(REGEXREPLACE('AYIRA MINI MART FINAL MENU - Pr"&amp;"'!B640, ""^[^\x{0600}-\x{06FF}]+"", """"), ""^[-–\s]+"", """")), GOOGLETRANSLATE('AYIRA MINI MART FINAL MENU - Pr'!B640, ""en"", ""ar"")))"),"الشوكولاتة")</f>
        <v>الشوكولاتة</v>
      </c>
      <c r="C640" s="58">
        <f>IF('AYIRA MINI MART FINAL MENU - Pr'!C640="", "", 'AYIRA MINI MART FINAL MENU - Pr'!C640)</f>
        <v>2</v>
      </c>
      <c r="D640" s="58" t="str">
        <f>IF('AYIRA MINI MART FINAL MENU - Pr'!D640="", "", 'AYIRA MINI MART FINAL MENU - Pr'!D640)</f>
        <v>دلّل حواسك مع تويكس،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0" s="56" t="str">
        <f>IF('AYIRA MINI MART FINAL MENU - Pr'!E640="", "", 'AYIRA MINI MART FINAL MENU - Pr'!E640)</f>
        <v/>
      </c>
      <c r="F640" s="56" t="str">
        <f>IF('AYIRA MINI MART FINAL MENU - Pr'!F640="", "", 'AYIRA MINI MART FINAL MENU - Pr'!F640)</f>
        <v/>
      </c>
      <c r="G640" s="56" t="str">
        <f>IF('AYIRA MINI MART FINAL MENU - Pr'!G640="", "", 'AYIRA MINI MART FINAL MENU - Pr'!G640)</f>
        <v/>
      </c>
      <c r="H640" s="56" t="str">
        <f>IF('AYIRA MINI MART FINAL MENU - Pr'!H640="", "", 'AYIRA MINI MART FINAL MENU - Pr'!H640)</f>
        <v/>
      </c>
      <c r="I640" s="56" t="str">
        <f>IF('AYIRA MINI MART FINAL MENU - Pr'!I640="", "", 'AYIRA MINI MART FINAL MENU - Pr'!I640)</f>
        <v/>
      </c>
      <c r="J640" s="56" t="str">
        <f>IFERROR(__xludf.DUMMYFUNCTION("IF('AYIRA MINI MART FINAL MENU - Pr'!J640="""", """", GOOGLETRANSLATE('AYIRA MINI MART FINAL MENU - Pr'!J640, ""en"", ""ar""))"),"يعرض")</f>
        <v>يعرض</v>
      </c>
      <c r="K640" s="56" t="str">
        <f>IF('AYIRA MINI MART FINAL MENU - Pr'!K640="", "", 'AYIRA MINI MART FINAL MENU - Pr'!K640)</f>
        <v/>
      </c>
      <c r="L640" s="56" t="str">
        <f>IF('AYIRA MINI MART FINAL MENU - Pr'!L640="", "", 'AYIRA MINI MART FINAL MENU - Pr'!L640)</f>
        <v/>
      </c>
      <c r="M640" s="56" t="str">
        <f>IF('AYIRA MINI MART FINAL MENU - Pr'!M640="", "", 'AYIRA MINI MART FINAL MENU - Pr'!M640)</f>
        <v/>
      </c>
      <c r="N640" s="56" t="str">
        <f>IF('AYIRA MINI MART FINAL MENU - Pr'!N640="", "", 'AYIRA MINI MART FINAL MENU - Pr'!N640)</f>
        <v/>
      </c>
      <c r="O640" s="57"/>
      <c r="P640" s="57"/>
      <c r="Q640" s="57"/>
      <c r="R640" s="57"/>
      <c r="S640" s="57"/>
      <c r="T640" s="57"/>
      <c r="U640" s="57"/>
      <c r="V640" s="57"/>
      <c r="W640" s="57"/>
      <c r="X640" s="57"/>
      <c r="Y640" s="57"/>
      <c r="Z640" s="57"/>
    </row>
    <row r="641">
      <c r="A641" s="56" t="str">
        <f>IFERROR(__xludf.DUMMYFUNCTION("IF('AYIRA MINI MART FINAL MENU - Pr'!A641="""", """", IF(LEN(TRIM(REGEXREPLACE(REGEXREPLACE('AYIRA MINI MART FINAL MENU - Pr'!A641, ""^[^\x{0600}-\x{06FF}]+"", """"), ""^[-–\s]+"", """")))&gt;0, TRIM(REGEXREPLACE(REGEXREPLACE('AYIRA MINI MART FINAL MENU - Pr"&amp;"'!A641, ""^[^\x{0600}-\x{06FF}]+"", """"), ""^[-–\s]+"", """")), GOOGLETRANSLATE('AYIRA MINI MART FINAL MENU - Pr'!A641, ""en"", ""ar"")))"),"نستله Tola Crispy ويفر with كراميل &amp; حليب شوكولاتة")</f>
        <v>نستله Tola Crispy ويفر with كراميل &amp; حليب شوكولاتة</v>
      </c>
      <c r="B641" s="56" t="str">
        <f>IFERROR(__xludf.DUMMYFUNCTION("IF('AYIRA MINI MART FINAL MENU - Pr'!B641="""", """", IF(LEN(TRIM(REGEXREPLACE(REGEXREPLACE('AYIRA MINI MART FINAL MENU - Pr'!B641, ""^[^\x{0600}-\x{06FF}]+"", """"), ""^[-–\s]+"", """")))&gt;0, TRIM(REGEXREPLACE(REGEXREPLACE('AYIRA MINI MART FINAL MENU - Pr"&amp;"'!B641, ""^[^\x{0600}-\x{06FF}]+"", """"), ""^[-–\s]+"", """")), GOOGLETRANSLATE('AYIRA MINI MART FINAL MENU - Pr'!B641, ""en"", ""ar"")))"),"الشوكولاتة")</f>
        <v>الشوكولاتة</v>
      </c>
      <c r="C641" s="58">
        <f>IF('AYIRA MINI MART FINAL MENU - Pr'!C641="", "", 'AYIRA MINI MART FINAL MENU - Pr'!C641)</f>
        <v>2.5</v>
      </c>
      <c r="D641" s="58" t="str">
        <f>IF('AYIRA MINI MART FINAL MENU - Pr'!D641="", "", 'AYIRA MINI MART FINAL MENU - Pr'!D641)</f>
        <v>دلّل حواسك مع Nestlé Tola Crispy Wafer with Caramel &amp; Milk Chocolate،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1" s="56" t="str">
        <f>IF('AYIRA MINI MART FINAL MENU - Pr'!E641="", "", 'AYIRA MINI MART FINAL MENU - Pr'!E641)</f>
        <v/>
      </c>
      <c r="F641" s="56" t="str">
        <f>IF('AYIRA MINI MART FINAL MENU - Pr'!F641="", "", 'AYIRA MINI MART FINAL MENU - Pr'!F641)</f>
        <v/>
      </c>
      <c r="G641" s="56" t="str">
        <f>IF('AYIRA MINI MART FINAL MENU - Pr'!G641="", "", 'AYIRA MINI MART FINAL MENU - Pr'!G641)</f>
        <v/>
      </c>
      <c r="H641" s="56" t="str">
        <f>IF('AYIRA MINI MART FINAL MENU - Pr'!H641="", "", 'AYIRA MINI MART FINAL MENU - Pr'!H641)</f>
        <v/>
      </c>
      <c r="I641" s="56" t="str">
        <f>IF('AYIRA MINI MART FINAL MENU - Pr'!I641="", "", 'AYIRA MINI MART FINAL MENU - Pr'!I641)</f>
        <v/>
      </c>
      <c r="J641" s="56" t="str">
        <f>IFERROR(__xludf.DUMMYFUNCTION("IF('AYIRA MINI MART FINAL MENU - Pr'!J641="""", """", GOOGLETRANSLATE('AYIRA MINI MART FINAL MENU - Pr'!J641, ""en"", ""ar""))"),"يعرض")</f>
        <v>يعرض</v>
      </c>
      <c r="K641" s="56" t="str">
        <f>IF('AYIRA MINI MART FINAL MENU - Pr'!K641="", "", 'AYIRA MINI MART FINAL MENU - Pr'!K641)</f>
        <v/>
      </c>
      <c r="L641" s="56" t="str">
        <f>IF('AYIRA MINI MART FINAL MENU - Pr'!L641="", "", 'AYIRA MINI MART FINAL MENU - Pr'!L641)</f>
        <v/>
      </c>
      <c r="M641" s="56" t="str">
        <f>IF('AYIRA MINI MART FINAL MENU - Pr'!M641="", "", 'AYIRA MINI MART FINAL MENU - Pr'!M641)</f>
        <v/>
      </c>
      <c r="N641" s="56" t="str">
        <f>IF('AYIRA MINI MART FINAL MENU - Pr'!N641="", "", 'AYIRA MINI MART FINAL MENU - Pr'!N641)</f>
        <v/>
      </c>
      <c r="O641" s="57"/>
      <c r="P641" s="57"/>
      <c r="Q641" s="57"/>
      <c r="R641" s="57"/>
      <c r="S641" s="57"/>
      <c r="T641" s="57"/>
      <c r="U641" s="57"/>
      <c r="V641" s="57"/>
      <c r="W641" s="57"/>
      <c r="X641" s="57"/>
      <c r="Y641" s="57"/>
      <c r="Z641" s="57"/>
    </row>
    <row r="642">
      <c r="A642" s="56" t="str">
        <f>IFERROR(__xludf.DUMMYFUNCTION("IF('AYIRA MINI MART FINAL MENU - Pr'!A642="""", """", IF(LEN(TRIM(REGEXREPLACE(REGEXREPLACE('AYIRA MINI MART FINAL MENU - Pr'!A642, ""^[^\x{0600}-\x{06FF}]+"", """"), ""^[-–\s]+"", """")))&gt;0, TRIM(REGEXREPLACE(REGEXREPLACE('AYIRA MINI MART FINAL MENU - Pr"&amp;"'!A642, ""^[^\x{0600}-\x{06FF}]+"", """"), ""^[-–\s]+"", """")), GOOGLETRANSLATE('AYIRA MINI MART FINAL MENU - Pr'!A642, ""en"", ""ar"")))"),"سنيكرز شوكولاتة قطعة")</f>
        <v>سنيكرز شوكولاتة قطعة</v>
      </c>
      <c r="B642" s="56" t="str">
        <f>IFERROR(__xludf.DUMMYFUNCTION("IF('AYIRA MINI MART FINAL MENU - Pr'!B642="""", """", IF(LEN(TRIM(REGEXREPLACE(REGEXREPLACE('AYIRA MINI MART FINAL MENU - Pr'!B642, ""^[^\x{0600}-\x{06FF}]+"", """"), ""^[-–\s]+"", """")))&gt;0, TRIM(REGEXREPLACE(REGEXREPLACE('AYIRA MINI MART FINAL MENU - Pr"&amp;"'!B642, ""^[^\x{0600}-\x{06FF}]+"", """"), ""^[-–\s]+"", """")), GOOGLETRANSLATE('AYIRA MINI MART FINAL MENU - Pr'!B642, ""en"", ""ar"")))"),"الشوكولاتة")</f>
        <v>الشوكولاتة</v>
      </c>
      <c r="C642" s="58">
        <f>IF('AYIRA MINI MART FINAL MENU - Pr'!C642="", "", 'AYIRA MINI MART FINAL MENU - Pr'!C642)</f>
        <v>3</v>
      </c>
      <c r="D642" s="58" t="str">
        <f>IF('AYIRA MINI MART FINAL MENU - Pr'!D642="", "", 'AYIRA MINI MART FINAL MENU - Pr'!D642)</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2" s="56" t="str">
        <f>IF('AYIRA MINI MART FINAL MENU - Pr'!E642="", "", 'AYIRA MINI MART FINAL MENU - Pr'!E642)</f>
        <v/>
      </c>
      <c r="F642" s="56" t="str">
        <f>IF('AYIRA MINI MART FINAL MENU - Pr'!F642="", "", 'AYIRA MINI MART FINAL MENU - Pr'!F642)</f>
        <v/>
      </c>
      <c r="G642" s="56" t="str">
        <f>IF('AYIRA MINI MART FINAL MENU - Pr'!G642="", "", 'AYIRA MINI MART FINAL MENU - Pr'!G642)</f>
        <v/>
      </c>
      <c r="H642" s="56" t="str">
        <f>IF('AYIRA MINI MART FINAL MENU - Pr'!H642="", "", 'AYIRA MINI MART FINAL MENU - Pr'!H642)</f>
        <v/>
      </c>
      <c r="I642" s="56" t="str">
        <f>IF('AYIRA MINI MART FINAL MENU - Pr'!I642="", "", 'AYIRA MINI MART FINAL MENU - Pr'!I642)</f>
        <v/>
      </c>
      <c r="J642" s="56" t="str">
        <f>IFERROR(__xludf.DUMMYFUNCTION("IF('AYIRA MINI MART FINAL MENU - Pr'!J642="""", """", GOOGLETRANSLATE('AYIRA MINI MART FINAL MENU - Pr'!J642, ""en"", ""ar""))"),"يعرض")</f>
        <v>يعرض</v>
      </c>
      <c r="K642" s="56" t="str">
        <f>IF('AYIRA MINI MART FINAL MENU - Pr'!K642="", "", 'AYIRA MINI MART FINAL MENU - Pr'!K642)</f>
        <v/>
      </c>
      <c r="L642" s="56" t="str">
        <f>IF('AYIRA MINI MART FINAL MENU - Pr'!L642="", "", 'AYIRA MINI MART FINAL MENU - Pr'!L642)</f>
        <v/>
      </c>
      <c r="M642" s="56" t="str">
        <f>IF('AYIRA MINI MART FINAL MENU - Pr'!M642="", "", 'AYIRA MINI MART FINAL MENU - Pr'!M642)</f>
        <v/>
      </c>
      <c r="N642" s="56" t="str">
        <f>IF('AYIRA MINI MART FINAL MENU - Pr'!N642="", "", 'AYIRA MINI MART FINAL MENU - Pr'!N642)</f>
        <v/>
      </c>
      <c r="O642" s="57"/>
      <c r="P642" s="57"/>
      <c r="Q642" s="57"/>
      <c r="R642" s="57"/>
      <c r="S642" s="57"/>
      <c r="T642" s="57"/>
      <c r="U642" s="57"/>
      <c r="V642" s="57"/>
      <c r="W642" s="57"/>
      <c r="X642" s="57"/>
      <c r="Y642" s="57"/>
      <c r="Z642" s="57"/>
    </row>
    <row r="643">
      <c r="A643" s="56" t="str">
        <f>IFERROR(__xludf.DUMMYFUNCTION("IF('AYIRA MINI MART FINAL MENU - Pr'!A643="""", """", IF(LEN(TRIM(REGEXREPLACE(REGEXREPLACE('AYIRA MINI MART FINAL MENU - Pr'!A643, ""^[^\x{0600}-\x{06FF}]+"", """"), ""^[-–\s]+"", """")))&gt;0, TRIM(REGEXREPLACE(REGEXREPLACE('AYIRA MINI MART FINAL MENU - Pr"&amp;"'!A643, ""^[^\x{0600}-\x{06FF}]+"", """"), ""^[-–\s]+"", """")), GOOGLETRANSLATE('AYIRA MINI MART FINAL MENU - Pr'!A643, ""en"", ""ar"")))"),"كيندر Bueno أبيض 3.5 غرام")</f>
        <v>كيندر Bueno أبيض 3.5 غرام</v>
      </c>
      <c r="B643" s="56" t="str">
        <f>IFERROR(__xludf.DUMMYFUNCTION("IF('AYIRA MINI MART FINAL MENU - Pr'!B643="""", """", IF(LEN(TRIM(REGEXREPLACE(REGEXREPLACE('AYIRA MINI MART FINAL MENU - Pr'!B643, ""^[^\x{0600}-\x{06FF}]+"", """"), ""^[-–\s]+"", """")))&gt;0, TRIM(REGEXREPLACE(REGEXREPLACE('AYIRA MINI MART FINAL MENU - Pr"&amp;"'!B643, ""^[^\x{0600}-\x{06FF}]+"", """"), ""^[-–\s]+"", """")), GOOGLETRANSLATE('AYIRA MINI MART FINAL MENU - Pr'!B643, ""en"", ""ar"")))"),"الشوكولاتة")</f>
        <v>الشوكولاتة</v>
      </c>
      <c r="C643" s="58">
        <f>IF('AYIRA MINI MART FINAL MENU - Pr'!C643="", "", 'AYIRA MINI MART FINAL MENU - Pr'!C643)</f>
        <v>3.5</v>
      </c>
      <c r="D643" s="58" t="str">
        <f>IF('AYIRA MINI MART FINAL MENU - Pr'!D643="", "", 'AYIRA MINI MART FINAL MENU - Pr'!D643)</f>
        <v>دلّل حواسك مع كيندر،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3" s="56" t="str">
        <f>IF('AYIRA MINI MART FINAL MENU - Pr'!E643="", "", 'AYIRA MINI MART FINAL MENU - Pr'!E643)</f>
        <v/>
      </c>
      <c r="F643" s="56" t="str">
        <f>IF('AYIRA MINI MART FINAL MENU - Pr'!F643="", "", 'AYIRA MINI MART FINAL MENU - Pr'!F643)</f>
        <v/>
      </c>
      <c r="G643" s="56" t="str">
        <f>IF('AYIRA MINI MART FINAL MENU - Pr'!G643="", "", 'AYIRA MINI MART FINAL MENU - Pr'!G643)</f>
        <v/>
      </c>
      <c r="H643" s="56" t="str">
        <f>IF('AYIRA MINI MART FINAL MENU - Pr'!H643="", "", 'AYIRA MINI MART FINAL MENU - Pr'!H643)</f>
        <v/>
      </c>
      <c r="I643" s="56" t="str">
        <f>IF('AYIRA MINI MART FINAL MENU - Pr'!I643="", "", 'AYIRA MINI MART FINAL MENU - Pr'!I643)</f>
        <v/>
      </c>
      <c r="J643" s="56" t="str">
        <f>IFERROR(__xludf.DUMMYFUNCTION("IF('AYIRA MINI MART FINAL MENU - Pr'!J643="""", """", GOOGLETRANSLATE('AYIRA MINI MART FINAL MENU - Pr'!J643, ""en"", ""ar""))"),"يعرض")</f>
        <v>يعرض</v>
      </c>
      <c r="K643" s="56" t="str">
        <f>IF('AYIRA MINI MART FINAL MENU - Pr'!K643="", "", 'AYIRA MINI MART FINAL MENU - Pr'!K643)</f>
        <v/>
      </c>
      <c r="L643" s="56" t="str">
        <f>IF('AYIRA MINI MART FINAL MENU - Pr'!L643="", "", 'AYIRA MINI MART FINAL MENU - Pr'!L643)</f>
        <v/>
      </c>
      <c r="M643" s="56" t="str">
        <f>IF('AYIRA MINI MART FINAL MENU - Pr'!M643="", "", 'AYIRA MINI MART FINAL MENU - Pr'!M643)</f>
        <v/>
      </c>
      <c r="N643" s="56" t="str">
        <f>IF('AYIRA MINI MART FINAL MENU - Pr'!N643="", "", 'AYIRA MINI MART FINAL MENU - Pr'!N643)</f>
        <v/>
      </c>
      <c r="O643" s="57"/>
      <c r="P643" s="57"/>
      <c r="Q643" s="57"/>
      <c r="R643" s="57"/>
      <c r="S643" s="57"/>
      <c r="T643" s="57"/>
      <c r="U643" s="57"/>
      <c r="V643" s="57"/>
      <c r="W643" s="57"/>
      <c r="X643" s="57"/>
      <c r="Y643" s="57"/>
      <c r="Z643" s="57"/>
    </row>
    <row r="644">
      <c r="A644" s="56" t="str">
        <f>IFERROR(__xludf.DUMMYFUNCTION("IF('AYIRA MINI MART FINAL MENU - Pr'!A644="""", """", IF(LEN(TRIM(REGEXREPLACE(REGEXREPLACE('AYIRA MINI MART FINAL MENU - Pr'!A644, ""^[^\x{0600}-\x{06FF}]+"", """"), ""^[-–\s]+"", """")))&gt;0, TRIM(REGEXREPLACE(REGEXREPLACE('AYIRA MINI MART FINAL MENU - Pr"&amp;"'!A644, ""^[^\x{0600}-\x{06FF}]+"", """"), ""^[-–\s]+"", """")), GOOGLETRANSLATE('AYIRA MINI MART FINAL MENU - Pr'!A644, ""en"", ""ar"")))"),"كيندر Cards 25.6 غرام")</f>
        <v>كيندر Cards 25.6 غرام</v>
      </c>
      <c r="B644" s="56" t="str">
        <f>IFERROR(__xludf.DUMMYFUNCTION("IF('AYIRA MINI MART FINAL MENU - Pr'!B644="""", """", IF(LEN(TRIM(REGEXREPLACE(REGEXREPLACE('AYIRA MINI MART FINAL MENU - Pr'!B644, ""^[^\x{0600}-\x{06FF}]+"", """"), ""^[-–\s]+"", """")))&gt;0, TRIM(REGEXREPLACE(REGEXREPLACE('AYIRA MINI MART FINAL MENU - Pr"&amp;"'!B644, ""^[^\x{0600}-\x{06FF}]+"", """"), ""^[-–\s]+"", """")), GOOGLETRANSLATE('AYIRA MINI MART FINAL MENU - Pr'!B644, ""en"", ""ar"")))"),"الشوكولاتة")</f>
        <v>الشوكولاتة</v>
      </c>
      <c r="C644" s="58">
        <f>IF('AYIRA MINI MART FINAL MENU - Pr'!C644="", "", 'AYIRA MINI MART FINAL MENU - Pr'!C644)</f>
        <v>3.5</v>
      </c>
      <c r="D644" s="58" t="str">
        <f>IF('AYIRA MINI MART FINAL MENU - Pr'!D644="", "", 'AYIRA MINI MART FINAL MENU - Pr'!D644)</f>
        <v>دلّل حواسك مع كيندر،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4" s="56" t="str">
        <f>IF('AYIRA MINI MART FINAL MENU - Pr'!E644="", "", 'AYIRA MINI MART FINAL MENU - Pr'!E644)</f>
        <v/>
      </c>
      <c r="F644" s="56" t="str">
        <f>IF('AYIRA MINI MART FINAL MENU - Pr'!F644="", "", 'AYIRA MINI MART FINAL MENU - Pr'!F644)</f>
        <v/>
      </c>
      <c r="G644" s="56" t="str">
        <f>IF('AYIRA MINI MART FINAL MENU - Pr'!G644="", "", 'AYIRA MINI MART FINAL MENU - Pr'!G644)</f>
        <v/>
      </c>
      <c r="H644" s="56" t="str">
        <f>IF('AYIRA MINI MART FINAL MENU - Pr'!H644="", "", 'AYIRA MINI MART FINAL MENU - Pr'!H644)</f>
        <v/>
      </c>
      <c r="I644" s="56" t="str">
        <f>IF('AYIRA MINI MART FINAL MENU - Pr'!I644="", "", 'AYIRA MINI MART FINAL MENU - Pr'!I644)</f>
        <v/>
      </c>
      <c r="J644" s="56" t="str">
        <f>IFERROR(__xludf.DUMMYFUNCTION("IF('AYIRA MINI MART FINAL MENU - Pr'!J644="""", """", GOOGLETRANSLATE('AYIRA MINI MART FINAL MENU - Pr'!J644, ""en"", ""ar""))"),"يعرض")</f>
        <v>يعرض</v>
      </c>
      <c r="K644" s="56" t="str">
        <f>IF('AYIRA MINI MART FINAL MENU - Pr'!K644="", "", 'AYIRA MINI MART FINAL MENU - Pr'!K644)</f>
        <v/>
      </c>
      <c r="L644" s="56" t="str">
        <f>IF('AYIRA MINI MART FINAL MENU - Pr'!L644="", "", 'AYIRA MINI MART FINAL MENU - Pr'!L644)</f>
        <v/>
      </c>
      <c r="M644" s="56" t="str">
        <f>IF('AYIRA MINI MART FINAL MENU - Pr'!M644="", "", 'AYIRA MINI MART FINAL MENU - Pr'!M644)</f>
        <v/>
      </c>
      <c r="N644" s="56" t="str">
        <f>IF('AYIRA MINI MART FINAL MENU - Pr'!N644="", "", 'AYIRA MINI MART FINAL MENU - Pr'!N644)</f>
        <v/>
      </c>
      <c r="O644" s="57"/>
      <c r="P644" s="57"/>
      <c r="Q644" s="57"/>
      <c r="R644" s="57"/>
      <c r="S644" s="57"/>
      <c r="T644" s="57"/>
      <c r="U644" s="57"/>
      <c r="V644" s="57"/>
      <c r="W644" s="57"/>
      <c r="X644" s="57"/>
      <c r="Y644" s="57"/>
      <c r="Z644" s="57"/>
    </row>
    <row r="645">
      <c r="A645" s="56" t="str">
        <f>IFERROR(__xludf.DUMMYFUNCTION("IF('AYIRA MINI MART FINAL MENU - Pr'!A645="""", """", IF(LEN(TRIM(REGEXREPLACE(REGEXREPLACE('AYIRA MINI MART FINAL MENU - Pr'!A645, ""^[^\x{0600}-\x{06FF}]+"", """"), ""^[-–\s]+"", """")))&gt;0, TRIM(REGEXREPLACE(REGEXREPLACE('AYIRA MINI MART FINAL MENU - Pr"&amp;"'!A645, ""^[^\x{0600}-\x{06FF}]+"", """"), ""^[-–\s]+"", """")), GOOGLETRANSLATE('AYIRA MINI MART FINAL MENU - Pr'!A645, ""en"", ""ar"")))"),"كيندر Maxi 21 غرام")</f>
        <v>كيندر Maxi 21 غرام</v>
      </c>
      <c r="B645" s="56" t="str">
        <f>IFERROR(__xludf.DUMMYFUNCTION("IF('AYIRA MINI MART FINAL MENU - Pr'!B645="""", """", IF(LEN(TRIM(REGEXREPLACE(REGEXREPLACE('AYIRA MINI MART FINAL MENU - Pr'!B645, ""^[^\x{0600}-\x{06FF}]+"", """"), ""^[-–\s]+"", """")))&gt;0, TRIM(REGEXREPLACE(REGEXREPLACE('AYIRA MINI MART FINAL MENU - Pr"&amp;"'!B645, ""^[^\x{0600}-\x{06FF}]+"", """"), ""^[-–\s]+"", """")), GOOGLETRANSLATE('AYIRA MINI MART FINAL MENU - Pr'!B645, ""en"", ""ar"")))"),"الشوكولاتة")</f>
        <v>الشوكولاتة</v>
      </c>
      <c r="C645" s="58">
        <f>IF('AYIRA MINI MART FINAL MENU - Pr'!C645="", "", 'AYIRA MINI MART FINAL MENU - Pr'!C645)</f>
        <v>2</v>
      </c>
      <c r="D645" s="58" t="str">
        <f>IF('AYIRA MINI MART FINAL MENU - Pr'!D645="", "", 'AYIRA MINI MART FINAL MENU - Pr'!D645)</f>
        <v>دلّل حواسك مع كيندر،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5" s="56" t="str">
        <f>IF('AYIRA MINI MART FINAL MENU - Pr'!E645="", "", 'AYIRA MINI MART FINAL MENU - Pr'!E645)</f>
        <v/>
      </c>
      <c r="F645" s="56" t="str">
        <f>IF('AYIRA MINI MART FINAL MENU - Pr'!F645="", "", 'AYIRA MINI MART FINAL MENU - Pr'!F645)</f>
        <v/>
      </c>
      <c r="G645" s="56" t="str">
        <f>IF('AYIRA MINI MART FINAL MENU - Pr'!G645="", "", 'AYIRA MINI MART FINAL MENU - Pr'!G645)</f>
        <v/>
      </c>
      <c r="H645" s="56" t="str">
        <f>IF('AYIRA MINI MART FINAL MENU - Pr'!H645="", "", 'AYIRA MINI MART FINAL MENU - Pr'!H645)</f>
        <v/>
      </c>
      <c r="I645" s="56" t="str">
        <f>IF('AYIRA MINI MART FINAL MENU - Pr'!I645="", "", 'AYIRA MINI MART FINAL MENU - Pr'!I645)</f>
        <v/>
      </c>
      <c r="J645" s="56" t="str">
        <f>IFERROR(__xludf.DUMMYFUNCTION("IF('AYIRA MINI MART FINAL MENU - Pr'!J645="""", """", GOOGLETRANSLATE('AYIRA MINI MART FINAL MENU - Pr'!J645, ""en"", ""ar""))"),"يعرض")</f>
        <v>يعرض</v>
      </c>
      <c r="K645" s="56" t="str">
        <f>IF('AYIRA MINI MART FINAL MENU - Pr'!K645="", "", 'AYIRA MINI MART FINAL MENU - Pr'!K645)</f>
        <v/>
      </c>
      <c r="L645" s="56" t="str">
        <f>IF('AYIRA MINI MART FINAL MENU - Pr'!L645="", "", 'AYIRA MINI MART FINAL MENU - Pr'!L645)</f>
        <v/>
      </c>
      <c r="M645" s="56" t="str">
        <f>IF('AYIRA MINI MART FINAL MENU - Pr'!M645="", "", 'AYIRA MINI MART FINAL MENU - Pr'!M645)</f>
        <v/>
      </c>
      <c r="N645" s="56" t="str">
        <f>IF('AYIRA MINI MART FINAL MENU - Pr'!N645="", "", 'AYIRA MINI MART FINAL MENU - Pr'!N645)</f>
        <v/>
      </c>
      <c r="O645" s="57"/>
      <c r="P645" s="57"/>
      <c r="Q645" s="57"/>
      <c r="R645" s="57"/>
      <c r="S645" s="57"/>
      <c r="T645" s="57"/>
      <c r="U645" s="57"/>
      <c r="V645" s="57"/>
      <c r="W645" s="57"/>
      <c r="X645" s="57"/>
      <c r="Y645" s="57"/>
      <c r="Z645" s="57"/>
    </row>
    <row r="646">
      <c r="A646" s="56" t="str">
        <f>IFERROR(__xludf.DUMMYFUNCTION("IF('AYIRA MINI MART FINAL MENU - Pr'!A646="""", """", IF(LEN(TRIM(REGEXREPLACE(REGEXREPLACE('AYIRA MINI MART FINAL MENU - Pr'!A646, ""^[^\x{0600}-\x{06FF}]+"", """"), ""^[-–\s]+"", """")))&gt;0, TRIM(REGEXREPLACE(REGEXREPLACE('AYIRA MINI MART FINAL MENU - Pr"&amp;"'!A646, ""^[^\x{0600}-\x{06FF}]+"", """"), ""^[-–\s]+"", """")), GOOGLETRANSLATE('AYIRA MINI MART FINAL MENU - Pr'!A646, ""en"", ""ar"")))"),"كيندر شوكولاتة 4 Bars 50 غرام")</f>
        <v>كيندر شوكولاتة 4 Bars 50 غرام</v>
      </c>
      <c r="B646" s="56" t="str">
        <f>IFERROR(__xludf.DUMMYFUNCTION("IF('AYIRA MINI MART FINAL MENU - Pr'!B646="""", """", IF(LEN(TRIM(REGEXREPLACE(REGEXREPLACE('AYIRA MINI MART FINAL MENU - Pr'!B646, ""^[^\x{0600}-\x{06FF}]+"", """"), ""^[-–\s]+"", """")))&gt;0, TRIM(REGEXREPLACE(REGEXREPLACE('AYIRA MINI MART FINAL MENU - Pr"&amp;"'!B646, ""^[^\x{0600}-\x{06FF}]+"", """"), ""^[-–\s]+"", """")), GOOGLETRANSLATE('AYIRA MINI MART FINAL MENU - Pr'!B646, ""en"", ""ar"")))"),"الشوكولاتة")</f>
        <v>الشوكولاتة</v>
      </c>
      <c r="C646" s="58">
        <f>IF('AYIRA MINI MART FINAL MENU - Pr'!C646="", "", 'AYIRA MINI MART FINAL MENU - Pr'!C646)</f>
        <v>4.5</v>
      </c>
      <c r="D646" s="58" t="str">
        <f>IF('AYIRA MINI MART FINAL MENU - Pr'!D646="", "", 'AYIRA MINI MART FINAL MENU - Pr'!D646)</f>
        <v>دلّل حواسك مع كيندر،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6" s="56" t="str">
        <f>IF('AYIRA MINI MART FINAL MENU - Pr'!E646="", "", 'AYIRA MINI MART FINAL MENU - Pr'!E646)</f>
        <v/>
      </c>
      <c r="F646" s="56" t="str">
        <f>IF('AYIRA MINI MART FINAL MENU - Pr'!F646="", "", 'AYIRA MINI MART FINAL MENU - Pr'!F646)</f>
        <v/>
      </c>
      <c r="G646" s="56" t="str">
        <f>IF('AYIRA MINI MART FINAL MENU - Pr'!G646="", "", 'AYIRA MINI MART FINAL MENU - Pr'!G646)</f>
        <v/>
      </c>
      <c r="H646" s="56" t="str">
        <f>IF('AYIRA MINI MART FINAL MENU - Pr'!H646="", "", 'AYIRA MINI MART FINAL MENU - Pr'!H646)</f>
        <v/>
      </c>
      <c r="I646" s="56" t="str">
        <f>IF('AYIRA MINI MART FINAL MENU - Pr'!I646="", "", 'AYIRA MINI MART FINAL MENU - Pr'!I646)</f>
        <v/>
      </c>
      <c r="J646" s="56" t="str">
        <f>IFERROR(__xludf.DUMMYFUNCTION("IF('AYIRA MINI MART FINAL MENU - Pr'!J646="""", """", GOOGLETRANSLATE('AYIRA MINI MART FINAL MENU - Pr'!J646, ""en"", ""ar""))"),"يعرض")</f>
        <v>يعرض</v>
      </c>
      <c r="K646" s="56" t="str">
        <f>IF('AYIRA MINI MART FINAL MENU - Pr'!K646="", "", 'AYIRA MINI MART FINAL MENU - Pr'!K646)</f>
        <v/>
      </c>
      <c r="L646" s="56" t="str">
        <f>IF('AYIRA MINI MART FINAL MENU - Pr'!L646="", "", 'AYIRA MINI MART FINAL MENU - Pr'!L646)</f>
        <v/>
      </c>
      <c r="M646" s="56" t="str">
        <f>IF('AYIRA MINI MART FINAL MENU - Pr'!M646="", "", 'AYIRA MINI MART FINAL MENU - Pr'!M646)</f>
        <v/>
      </c>
      <c r="N646" s="56" t="str">
        <f>IF('AYIRA MINI MART FINAL MENU - Pr'!N646="", "", 'AYIRA MINI MART FINAL MENU - Pr'!N646)</f>
        <v/>
      </c>
      <c r="O646" s="57"/>
      <c r="P646" s="57"/>
      <c r="Q646" s="57"/>
      <c r="R646" s="57"/>
      <c r="S646" s="57"/>
      <c r="T646" s="57"/>
      <c r="U646" s="57"/>
      <c r="V646" s="57"/>
      <c r="W646" s="57"/>
      <c r="X646" s="57"/>
      <c r="Y646" s="57"/>
      <c r="Z646" s="57"/>
    </row>
    <row r="647">
      <c r="A647" s="56" t="str">
        <f>IFERROR(__xludf.DUMMYFUNCTION("IF('AYIRA MINI MART FINAL MENU - Pr'!A647="""", """", IF(LEN(TRIM(REGEXREPLACE(REGEXREPLACE('AYIRA MINI MART FINAL MENU - Pr'!A647, ""^[^\x{0600}-\x{06FF}]+"", """"), ""^[-–\s]+"", """")))&gt;0, TRIM(REGEXREPLACE(REGEXREPLACE('AYIRA MINI MART FINAL MENU - Pr"&amp;"'!A647, ""^[^\x{0600}-\x{06FF}]+"", """"), ""^[-–\s]+"", """")), GOOGLETRANSLATE('AYIRA MINI MART FINAL MENU - Pr'!A647, ""en"", ""ar"")))"),"تويكس Top 21 غرام")</f>
        <v>تويكس Top 21 غرام</v>
      </c>
      <c r="B647" s="56" t="str">
        <f>IFERROR(__xludf.DUMMYFUNCTION("IF('AYIRA MINI MART FINAL MENU - Pr'!B647="""", """", IF(LEN(TRIM(REGEXREPLACE(REGEXREPLACE('AYIRA MINI MART FINAL MENU - Pr'!B647, ""^[^\x{0600}-\x{06FF}]+"", """"), ""^[-–\s]+"", """")))&gt;0, TRIM(REGEXREPLACE(REGEXREPLACE('AYIRA MINI MART FINAL MENU - Pr"&amp;"'!B647, ""^[^\x{0600}-\x{06FF}]+"", """"), ""^[-–\s]+"", """")), GOOGLETRANSLATE('AYIRA MINI MART FINAL MENU - Pr'!B647, ""en"", ""ar"")))"),"الشوكولاتة")</f>
        <v>الشوكولاتة</v>
      </c>
      <c r="C647" s="58">
        <f>IF('AYIRA MINI MART FINAL MENU - Pr'!C647="", "", 'AYIRA MINI MART FINAL MENU - Pr'!C647)</f>
        <v>1.5</v>
      </c>
      <c r="D647" s="58" t="str">
        <f>IF('AYIRA MINI MART FINAL MENU - Pr'!D647="", "", 'AYIRA MINI MART FINAL MENU - Pr'!D647)</f>
        <v>دلّل حواسك مع تويكس،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7" s="56" t="str">
        <f>IF('AYIRA MINI MART FINAL MENU - Pr'!E647="", "", 'AYIRA MINI MART FINAL MENU - Pr'!E647)</f>
        <v/>
      </c>
      <c r="F647" s="56" t="str">
        <f>IF('AYIRA MINI MART FINAL MENU - Pr'!F647="", "", 'AYIRA MINI MART FINAL MENU - Pr'!F647)</f>
        <v/>
      </c>
      <c r="G647" s="56" t="str">
        <f>IF('AYIRA MINI MART FINAL MENU - Pr'!G647="", "", 'AYIRA MINI MART FINAL MENU - Pr'!G647)</f>
        <v/>
      </c>
      <c r="H647" s="56" t="str">
        <f>IF('AYIRA MINI MART FINAL MENU - Pr'!H647="", "", 'AYIRA MINI MART FINAL MENU - Pr'!H647)</f>
        <v/>
      </c>
      <c r="I647" s="56" t="str">
        <f>IF('AYIRA MINI MART FINAL MENU - Pr'!I647="", "", 'AYIRA MINI MART FINAL MENU - Pr'!I647)</f>
        <v/>
      </c>
      <c r="J647" s="56" t="str">
        <f>IFERROR(__xludf.DUMMYFUNCTION("IF('AYIRA MINI MART FINAL MENU - Pr'!J647="""", """", GOOGLETRANSLATE('AYIRA MINI MART FINAL MENU - Pr'!J647, ""en"", ""ar""))"),"يعرض")</f>
        <v>يعرض</v>
      </c>
      <c r="K647" s="56" t="str">
        <f>IF('AYIRA MINI MART FINAL MENU - Pr'!K647="", "", 'AYIRA MINI MART FINAL MENU - Pr'!K647)</f>
        <v/>
      </c>
      <c r="L647" s="56" t="str">
        <f>IF('AYIRA MINI MART FINAL MENU - Pr'!L647="", "", 'AYIRA MINI MART FINAL MENU - Pr'!L647)</f>
        <v/>
      </c>
      <c r="M647" s="56" t="str">
        <f>IF('AYIRA MINI MART FINAL MENU - Pr'!M647="", "", 'AYIRA MINI MART FINAL MENU - Pr'!M647)</f>
        <v/>
      </c>
      <c r="N647" s="56" t="str">
        <f>IF('AYIRA MINI MART FINAL MENU - Pr'!N647="", "", 'AYIRA MINI MART FINAL MENU - Pr'!N647)</f>
        <v/>
      </c>
      <c r="O647" s="57"/>
      <c r="P647" s="57"/>
      <c r="Q647" s="57"/>
      <c r="R647" s="57"/>
      <c r="S647" s="57"/>
      <c r="T647" s="57"/>
      <c r="U647" s="57"/>
      <c r="V647" s="57"/>
      <c r="W647" s="57"/>
      <c r="X647" s="57"/>
      <c r="Y647" s="57"/>
      <c r="Z647" s="57"/>
    </row>
    <row r="648">
      <c r="A648" s="56" t="str">
        <f>IFERROR(__xludf.DUMMYFUNCTION("IF('AYIRA MINI MART FINAL MENU - Pr'!A648="""", """", IF(LEN(TRIM(REGEXREPLACE(REGEXREPLACE('AYIRA MINI MART FINAL MENU - Pr'!A648, ""^[^\x{0600}-\x{06FF}]+"", """"), ""^[-–\s]+"", """")))&gt;0, TRIM(REGEXREPLACE(REGEXREPLACE('AYIRA MINI MART FINAL MENU - Pr"&amp;"'!A648, ""^[^\x{0600}-\x{06FF}]+"", """"), ""^[-–\s]+"", """")), GOOGLETRANSLATE('AYIRA MINI MART FINAL MENU - Pr'!A648, ""en"", ""ar"")))"),"تويكس أبيض 23غ")</f>
        <v>تويكس أبيض 23غ</v>
      </c>
      <c r="B648" s="56" t="str">
        <f>IFERROR(__xludf.DUMMYFUNCTION("IF('AYIRA MINI MART FINAL MENU - Pr'!B648="""", """", IF(LEN(TRIM(REGEXREPLACE(REGEXREPLACE('AYIRA MINI MART FINAL MENU - Pr'!B648, ""^[^\x{0600}-\x{06FF}]+"", """"), ""^[-–\s]+"", """")))&gt;0, TRIM(REGEXREPLACE(REGEXREPLACE('AYIRA MINI MART FINAL MENU - Pr"&amp;"'!B648, ""^[^\x{0600}-\x{06FF}]+"", """"), ""^[-–\s]+"", """")), GOOGLETRANSLATE('AYIRA MINI MART FINAL MENU - Pr'!B648, ""en"", ""ar"")))"),"الشوكولاتة")</f>
        <v>الشوكولاتة</v>
      </c>
      <c r="C648" s="58">
        <f>IF('AYIRA MINI MART FINAL MENU - Pr'!C648="", "", 'AYIRA MINI MART FINAL MENU - Pr'!C648)</f>
        <v>4</v>
      </c>
      <c r="D648" s="58" t="str">
        <f>IF('AYIRA MINI MART FINAL MENU - Pr'!D648="", "", 'AYIRA MINI MART FINAL MENU - Pr'!D648)</f>
        <v>دلّل حواسك مع تويكس،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8" s="56" t="str">
        <f>IF('AYIRA MINI MART FINAL MENU - Pr'!E648="", "", 'AYIRA MINI MART FINAL MENU - Pr'!E648)</f>
        <v/>
      </c>
      <c r="F648" s="56" t="str">
        <f>IF('AYIRA MINI MART FINAL MENU - Pr'!F648="", "", 'AYIRA MINI MART FINAL MENU - Pr'!F648)</f>
        <v/>
      </c>
      <c r="G648" s="56" t="str">
        <f>IF('AYIRA MINI MART FINAL MENU - Pr'!G648="", "", 'AYIRA MINI MART FINAL MENU - Pr'!G648)</f>
        <v/>
      </c>
      <c r="H648" s="56" t="str">
        <f>IF('AYIRA MINI MART FINAL MENU - Pr'!H648="", "", 'AYIRA MINI MART FINAL MENU - Pr'!H648)</f>
        <v/>
      </c>
      <c r="I648" s="56" t="str">
        <f>IF('AYIRA MINI MART FINAL MENU - Pr'!I648="", "", 'AYIRA MINI MART FINAL MENU - Pr'!I648)</f>
        <v/>
      </c>
      <c r="J648" s="56" t="str">
        <f>IFERROR(__xludf.DUMMYFUNCTION("IF('AYIRA MINI MART FINAL MENU - Pr'!J648="""", """", GOOGLETRANSLATE('AYIRA MINI MART FINAL MENU - Pr'!J648, ""en"", ""ar""))"),"يعرض")</f>
        <v>يعرض</v>
      </c>
      <c r="K648" s="56" t="str">
        <f>IF('AYIRA MINI MART FINAL MENU - Pr'!K648="", "", 'AYIRA MINI MART FINAL MENU - Pr'!K648)</f>
        <v/>
      </c>
      <c r="L648" s="56" t="str">
        <f>IF('AYIRA MINI MART FINAL MENU - Pr'!L648="", "", 'AYIRA MINI MART FINAL MENU - Pr'!L648)</f>
        <v/>
      </c>
      <c r="M648" s="56" t="str">
        <f>IF('AYIRA MINI MART FINAL MENU - Pr'!M648="", "", 'AYIRA MINI MART FINAL MENU - Pr'!M648)</f>
        <v/>
      </c>
      <c r="N648" s="56" t="str">
        <f>IF('AYIRA MINI MART FINAL MENU - Pr'!N648="", "", 'AYIRA MINI MART FINAL MENU - Pr'!N648)</f>
        <v/>
      </c>
      <c r="O648" s="57"/>
      <c r="P648" s="57"/>
      <c r="Q648" s="57"/>
      <c r="R648" s="57"/>
      <c r="S648" s="57"/>
      <c r="T648" s="57"/>
      <c r="U648" s="57"/>
      <c r="V648" s="57"/>
      <c r="W648" s="57"/>
      <c r="X648" s="57"/>
      <c r="Y648" s="57"/>
      <c r="Z648" s="57"/>
    </row>
    <row r="649">
      <c r="A649" s="56" t="str">
        <f>IFERROR(__xludf.DUMMYFUNCTION("IF('AYIRA MINI MART FINAL MENU - Pr'!A649="""", """", IF(LEN(TRIM(REGEXREPLACE(REGEXREPLACE('AYIRA MINI MART FINAL MENU - Pr'!A649, ""^[^\x{0600}-\x{06FF}]+"", """"), ""^[-–\s]+"", """")))&gt;0, TRIM(REGEXREPLACE(REGEXREPLACE('AYIRA MINI MART FINAL MENU - Pr"&amp;"'!A649, ""^[^\x{0600}-\x{06FF}]+"", """"), ""^[-–\s]+"", """")), GOOGLETRANSLATE('AYIRA MINI MART FINAL MENU - Pr'!A649, ""en"", ""ar"")))"),"شوكولاتة دبي فستق مع كنافة 27غ")</f>
        <v>شوكولاتة دبي فستق مع كنافة 27غ</v>
      </c>
      <c r="B649" s="56" t="str">
        <f>IFERROR(__xludf.DUMMYFUNCTION("IF('AYIRA MINI MART FINAL MENU - Pr'!B649="""", """", IF(LEN(TRIM(REGEXREPLACE(REGEXREPLACE('AYIRA MINI MART FINAL MENU - Pr'!B649, ""^[^\x{0600}-\x{06FF}]+"", """"), ""^[-–\s]+"", """")))&gt;0, TRIM(REGEXREPLACE(REGEXREPLACE('AYIRA MINI MART FINAL MENU - Pr"&amp;"'!B649, ""^[^\x{0600}-\x{06FF}]+"", """"), ""^[-–\s]+"", """")), GOOGLETRANSLATE('AYIRA MINI MART FINAL MENU - Pr'!B649, ""en"", ""ar"")))"),"الشوكولاتة")</f>
        <v>الشوكولاتة</v>
      </c>
      <c r="C649" s="58">
        <f>IF('AYIRA MINI MART FINAL MENU - Pr'!C649="", "", 'AYIRA MINI MART FINAL MENU - Pr'!C649)</f>
        <v>4.5</v>
      </c>
      <c r="D649" s="58" t="str">
        <f>IF('AYIRA MINI MART FINAL MENU - Pr'!D649="", "", 'AYIRA MINI MART FINAL MENU - Pr'!D649)</f>
        <v>دلّل حواسك مع Dubai Chocolate Pistachio with Kunafa 27g
 ،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49" s="56" t="str">
        <f>IF('AYIRA MINI MART FINAL MENU - Pr'!E649="", "", 'AYIRA MINI MART FINAL MENU - Pr'!E649)</f>
        <v/>
      </c>
      <c r="F649" s="56" t="str">
        <f>IF('AYIRA MINI MART FINAL MENU - Pr'!F649="", "", 'AYIRA MINI MART FINAL MENU - Pr'!F649)</f>
        <v/>
      </c>
      <c r="G649" s="56" t="str">
        <f>IF('AYIRA MINI MART FINAL MENU - Pr'!G649="", "", 'AYIRA MINI MART FINAL MENU - Pr'!G649)</f>
        <v/>
      </c>
      <c r="H649" s="56" t="str">
        <f>IF('AYIRA MINI MART FINAL MENU - Pr'!H649="", "", 'AYIRA MINI MART FINAL MENU - Pr'!H649)</f>
        <v/>
      </c>
      <c r="I649" s="56" t="str">
        <f>IF('AYIRA MINI MART FINAL MENU - Pr'!I649="", "", 'AYIRA MINI MART FINAL MENU - Pr'!I649)</f>
        <v/>
      </c>
      <c r="J649" s="56" t="str">
        <f>IFERROR(__xludf.DUMMYFUNCTION("IF('AYIRA MINI MART FINAL MENU - Pr'!J649="""", """", GOOGLETRANSLATE('AYIRA MINI MART FINAL MENU - Pr'!J649, ""en"", ""ar""))"),"يعرض")</f>
        <v>يعرض</v>
      </c>
      <c r="K649" s="56" t="str">
        <f>IF('AYIRA MINI MART FINAL MENU - Pr'!K649="", "", 'AYIRA MINI MART FINAL MENU - Pr'!K649)</f>
        <v/>
      </c>
      <c r="L649" s="56" t="str">
        <f>IF('AYIRA MINI MART FINAL MENU - Pr'!L649="", "", 'AYIRA MINI MART FINAL MENU - Pr'!L649)</f>
        <v/>
      </c>
      <c r="M649" s="56" t="str">
        <f>IF('AYIRA MINI MART FINAL MENU - Pr'!M649="", "", 'AYIRA MINI MART FINAL MENU - Pr'!M649)</f>
        <v/>
      </c>
      <c r="N649" s="56" t="str">
        <f>IF('AYIRA MINI MART FINAL MENU - Pr'!N649="", "", 'AYIRA MINI MART FINAL MENU - Pr'!N649)</f>
        <v/>
      </c>
      <c r="O649" s="57"/>
      <c r="P649" s="57"/>
      <c r="Q649" s="57"/>
      <c r="R649" s="57"/>
      <c r="S649" s="57"/>
      <c r="T649" s="57"/>
      <c r="U649" s="57"/>
      <c r="V649" s="57"/>
      <c r="W649" s="57"/>
      <c r="X649" s="57"/>
      <c r="Y649" s="57"/>
      <c r="Z649" s="57"/>
    </row>
    <row r="650">
      <c r="A650" s="56" t="str">
        <f>IFERROR(__xludf.DUMMYFUNCTION("IF('AYIRA MINI MART FINAL MENU - Pr'!A650="""", """", IF(LEN(TRIM(REGEXREPLACE(REGEXREPLACE('AYIRA MINI MART FINAL MENU - Pr'!A650, ""^[^\x{0600}-\x{06FF}]+"", """"), ""^[-–\s]+"", """")))&gt;0, TRIM(REGEXREPLACE(REGEXREPLACE('AYIRA MINI MART FINAL MENU - Pr"&amp;"'!A650, ""^[^\x{0600}-\x{06FF}]+"", """"), ""^[-–\s]+"", """")), GOOGLETRANSLATE('AYIRA MINI MART FINAL MENU - Pr'!A650, ""en"", ""ar"")))"),"ميلكي بار 12غ")</f>
        <v>ميلكي بار 12غ</v>
      </c>
      <c r="B650" s="56" t="str">
        <f>IFERROR(__xludf.DUMMYFUNCTION("IF('AYIRA MINI MART FINAL MENU - Pr'!B650="""", """", IF(LEN(TRIM(REGEXREPLACE(REGEXREPLACE('AYIRA MINI MART FINAL MENU - Pr'!B650, ""^[^\x{0600}-\x{06FF}]+"", """"), ""^[-–\s]+"", """")))&gt;0, TRIM(REGEXREPLACE(REGEXREPLACE('AYIRA MINI MART FINAL MENU - Pr"&amp;"'!B650, ""^[^\x{0600}-\x{06FF}]+"", """"), ""^[-–\s]+"", """")), GOOGLETRANSLATE('AYIRA MINI MART FINAL MENU - Pr'!B650, ""en"", ""ar"")))"),"الشوكولاتة")</f>
        <v>الشوكولاتة</v>
      </c>
      <c r="C650" s="58">
        <f>IF('AYIRA MINI MART FINAL MENU - Pr'!C650="", "", 'AYIRA MINI MART FINAL MENU - Pr'!C650)</f>
        <v>1.5</v>
      </c>
      <c r="D650" s="58" t="str">
        <f>IF('AYIRA MINI MART FINAL MENU - Pr'!D650="", "", 'AYIRA MINI MART FINAL MENU - Pr'!D650)</f>
        <v>لا تقاوم طعم Milky Bar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0" s="56" t="str">
        <f>IF('AYIRA MINI MART FINAL MENU - Pr'!E650="", "", 'AYIRA MINI MART FINAL MENU - Pr'!E650)</f>
        <v/>
      </c>
      <c r="F650" s="56" t="str">
        <f>IF('AYIRA MINI MART FINAL MENU - Pr'!F650="", "", 'AYIRA MINI MART FINAL MENU - Pr'!F650)</f>
        <v/>
      </c>
      <c r="G650" s="56" t="str">
        <f>IF('AYIRA MINI MART FINAL MENU - Pr'!G650="", "", 'AYIRA MINI MART FINAL MENU - Pr'!G650)</f>
        <v/>
      </c>
      <c r="H650" s="56" t="str">
        <f>IF('AYIRA MINI MART FINAL MENU - Pr'!H650="", "", 'AYIRA MINI MART FINAL MENU - Pr'!H650)</f>
        <v/>
      </c>
      <c r="I650" s="56" t="str">
        <f>IF('AYIRA MINI MART FINAL MENU - Pr'!I650="", "", 'AYIRA MINI MART FINAL MENU - Pr'!I650)</f>
        <v/>
      </c>
      <c r="J650" s="56" t="str">
        <f>IFERROR(__xludf.DUMMYFUNCTION("IF('AYIRA MINI MART FINAL MENU - Pr'!J650="""", """", GOOGLETRANSLATE('AYIRA MINI MART FINAL MENU - Pr'!J650, ""en"", ""ar""))"),"يعرض")</f>
        <v>يعرض</v>
      </c>
      <c r="K650" s="56" t="str">
        <f>IF('AYIRA MINI MART FINAL MENU - Pr'!K650="", "", 'AYIRA MINI MART FINAL MENU - Pr'!K650)</f>
        <v/>
      </c>
      <c r="L650" s="56" t="str">
        <f>IF('AYIRA MINI MART FINAL MENU - Pr'!L650="", "", 'AYIRA MINI MART FINAL MENU - Pr'!L650)</f>
        <v/>
      </c>
      <c r="M650" s="56" t="str">
        <f>IF('AYIRA MINI MART FINAL MENU - Pr'!M650="", "", 'AYIRA MINI MART FINAL MENU - Pr'!M650)</f>
        <v/>
      </c>
      <c r="N650" s="56" t="str">
        <f>IF('AYIRA MINI MART FINAL MENU - Pr'!N650="", "", 'AYIRA MINI MART FINAL MENU - Pr'!N650)</f>
        <v/>
      </c>
      <c r="O650" s="57"/>
      <c r="P650" s="57"/>
      <c r="Q650" s="57"/>
      <c r="R650" s="57"/>
      <c r="S650" s="57"/>
      <c r="T650" s="57"/>
      <c r="U650" s="57"/>
      <c r="V650" s="57"/>
      <c r="W650" s="57"/>
      <c r="X650" s="57"/>
      <c r="Y650" s="57"/>
      <c r="Z650" s="57"/>
    </row>
    <row r="651">
      <c r="A651" s="56" t="str">
        <f>IFERROR(__xludf.DUMMYFUNCTION("IF('AYIRA MINI MART FINAL MENU - Pr'!A651="""", """", IF(LEN(TRIM(REGEXREPLACE(REGEXREPLACE('AYIRA MINI MART FINAL MENU - Pr'!A651, ""^[^\x{0600}-\x{06FF}]+"", """"), ""^[-–\s]+"", """")))&gt;0, TRIM(REGEXREPLACE(REGEXREPLACE('AYIRA MINI MART FINAL MENU - Pr"&amp;"'!A651, ""^[^\x{0600}-\x{06FF}]+"", """"), ""^[-–\s]+"", """")), GOOGLETRANSLATE('AYIRA MINI MART FINAL MENU - Pr'!A651, ""en"", ""ar"")))"),"فريت سي بيلتس فراولة 20غ")</f>
        <v>فريت سي بيلتس فراولة 20غ</v>
      </c>
      <c r="B651" s="56" t="str">
        <f>IFERROR(__xludf.DUMMYFUNCTION("IF('AYIRA MINI MART FINAL MENU - Pr'!B651="""", """", IF(LEN(TRIM(REGEXREPLACE(REGEXREPLACE('AYIRA MINI MART FINAL MENU - Pr'!B651, ""^[^\x{0600}-\x{06FF}]+"", """"), ""^[-–\s]+"", """")))&gt;0, TRIM(REGEXREPLACE(REGEXREPLACE('AYIRA MINI MART FINAL MENU - Pr"&amp;"'!B651, ""^[^\x{0600}-\x{06FF}]+"", """"), ""^[-–\s]+"", """")), GOOGLETRANSLATE('AYIRA MINI MART FINAL MENU - Pr'!B651, ""en"", ""ar"")))"),"الحلوى 🍬")</f>
        <v>الحلوى 🍬</v>
      </c>
      <c r="C651" s="58">
        <f>IF('AYIRA MINI MART FINAL MENU - Pr'!C651="", "", 'AYIRA MINI MART FINAL MENU - Pr'!C651)</f>
        <v>1</v>
      </c>
      <c r="D651" s="58" t="str">
        <f>IF('AYIRA MINI MART FINAL MENU - Pr'!D651="", "", 'AYIRA MINI MART FINAL MENU - Pr'!D651)</f>
        <v>لا تقاوم طعم Frit-C Belts Licorice Belts Strawberry Flavour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1" s="56" t="str">
        <f>IF('AYIRA MINI MART FINAL MENU - Pr'!E651="", "", 'AYIRA MINI MART FINAL MENU - Pr'!E651)</f>
        <v/>
      </c>
      <c r="F651" s="56" t="str">
        <f>IF('AYIRA MINI MART FINAL MENU - Pr'!F651="", "", 'AYIRA MINI MART FINAL MENU - Pr'!F651)</f>
        <v/>
      </c>
      <c r="G651" s="56" t="str">
        <f>IF('AYIRA MINI MART FINAL MENU - Pr'!G651="", "", 'AYIRA MINI MART FINAL MENU - Pr'!G651)</f>
        <v/>
      </c>
      <c r="H651" s="56" t="str">
        <f>IF('AYIRA MINI MART FINAL MENU - Pr'!H651="", "", 'AYIRA MINI MART FINAL MENU - Pr'!H651)</f>
        <v/>
      </c>
      <c r="I651" s="56" t="str">
        <f>IF('AYIRA MINI MART FINAL MENU - Pr'!I651="", "", 'AYIRA MINI MART FINAL MENU - Pr'!I651)</f>
        <v/>
      </c>
      <c r="J651" s="56" t="str">
        <f>IFERROR(__xludf.DUMMYFUNCTION("IF('AYIRA MINI MART FINAL MENU - Pr'!J651="""", """", GOOGLETRANSLATE('AYIRA MINI MART FINAL MENU - Pr'!J651, ""en"", ""ar""))"),"")</f>
        <v/>
      </c>
      <c r="K651" s="56" t="str">
        <f>IF('AYIRA MINI MART FINAL MENU - Pr'!K651="", "", 'AYIRA MINI MART FINAL MENU - Pr'!K651)</f>
        <v/>
      </c>
      <c r="L651" s="56" t="str">
        <f>IF('AYIRA MINI MART FINAL MENU - Pr'!L651="", "", 'AYIRA MINI MART FINAL MENU - Pr'!L651)</f>
        <v/>
      </c>
      <c r="M651" s="56" t="str">
        <f>IF('AYIRA MINI MART FINAL MENU - Pr'!M651="", "", 'AYIRA MINI MART FINAL MENU - Pr'!M651)</f>
        <v/>
      </c>
      <c r="N651" s="56" t="str">
        <f>IF('AYIRA MINI MART FINAL MENU - Pr'!N651="", "", 'AYIRA MINI MART FINAL MENU - Pr'!N651)</f>
        <v/>
      </c>
      <c r="O651" s="57"/>
      <c r="P651" s="57"/>
      <c r="Q651" s="57"/>
      <c r="R651" s="57"/>
      <c r="S651" s="57"/>
      <c r="T651" s="57"/>
      <c r="U651" s="57"/>
      <c r="V651" s="57"/>
      <c r="W651" s="57"/>
      <c r="X651" s="57"/>
      <c r="Y651" s="57"/>
      <c r="Z651" s="57"/>
    </row>
    <row r="652">
      <c r="A652" s="56" t="str">
        <f>IFERROR(__xludf.DUMMYFUNCTION("IF('AYIRA MINI MART FINAL MENU - Pr'!A652="""", """", IF(LEN(TRIM(REGEXREPLACE(REGEXREPLACE('AYIRA MINI MART FINAL MENU - Pr'!A652, ""^[^\x{0600}-\x{06FF}]+"", """"), ""^[-–\s]+"", """")))&gt;0, TRIM(REGEXREPLACE(REGEXREPLACE('AYIRA MINI MART FINAL MENU - Pr"&amp;"'!A652, ""^[^\x{0600}-\x{06FF}]+"", """"), ""^[-–\s]+"", """")), GOOGLETRANSLATE('AYIRA MINI MART FINAL MENU - Pr'!A652, ""en"", ""ar"")))"),"بطاطس سموكي باربيكيو 15غ")</f>
        <v>بطاطس سموكي باربيكيو 15غ</v>
      </c>
      <c r="B652" s="56" t="str">
        <f>IFERROR(__xludf.DUMMYFUNCTION("IF('AYIRA MINI MART FINAL MENU - Pr'!B652="""", """", IF(LEN(TRIM(REGEXREPLACE(REGEXREPLACE('AYIRA MINI MART FINAL MENU - Pr'!B652, ""^[^\x{0600}-\x{06FF}]+"", """"), ""^[-–\s]+"", """")))&gt;0, TRIM(REGEXREPLACE(REGEXREPLACE('AYIRA MINI MART FINAL MENU - Pr"&amp;"'!B652, ""^[^\x{0600}-\x{06FF}]+"", """"), ""^[-–\s]+"", """")), GOOGLETRANSLATE('AYIRA MINI MART FINAL MENU - Pr'!B652, ""en"", ""ar"")))"),"الشيبس والمقرمشات")</f>
        <v>الشيبس والمقرمشات</v>
      </c>
      <c r="C652" s="58">
        <f>IF('AYIRA MINI MART FINAL MENU - Pr'!C652="", "", 'AYIRA MINI MART FINAL MENU - Pr'!C652)</f>
        <v>1</v>
      </c>
      <c r="D652" s="58" t="str">
        <f>IF('AYIRA MINI MART FINAL MENU - Pr'!D652="", "", 'AYIRA MINI MART FINAL MENU - Pr'!D652)</f>
        <v>لا تقاوم طعم Batatos Smokey BBQ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2" s="56" t="str">
        <f>IF('AYIRA MINI MART FINAL MENU - Pr'!E652="", "", 'AYIRA MINI MART FINAL MENU - Pr'!E652)</f>
        <v/>
      </c>
      <c r="F652" s="56" t="str">
        <f>IF('AYIRA MINI MART FINAL MENU - Pr'!F652="", "", 'AYIRA MINI MART FINAL MENU - Pr'!F652)</f>
        <v/>
      </c>
      <c r="G652" s="56" t="str">
        <f>IF('AYIRA MINI MART FINAL MENU - Pr'!G652="", "", 'AYIRA MINI MART FINAL MENU - Pr'!G652)</f>
        <v/>
      </c>
      <c r="H652" s="56" t="str">
        <f>IF('AYIRA MINI MART FINAL MENU - Pr'!H652="", "", 'AYIRA MINI MART FINAL MENU - Pr'!H652)</f>
        <v/>
      </c>
      <c r="I652" s="56" t="str">
        <f>IF('AYIRA MINI MART FINAL MENU - Pr'!I652="", "", 'AYIRA MINI MART FINAL MENU - Pr'!I652)</f>
        <v/>
      </c>
      <c r="J652" s="56" t="str">
        <f>IFERROR(__xludf.DUMMYFUNCTION("IF('AYIRA MINI MART FINAL MENU - Pr'!J652="""", """", GOOGLETRANSLATE('AYIRA MINI MART FINAL MENU - Pr'!J652, ""en"", ""ar""))"),"")</f>
        <v/>
      </c>
      <c r="K652" s="56" t="str">
        <f>IF('AYIRA MINI MART FINAL MENU - Pr'!K652="", "", 'AYIRA MINI MART FINAL MENU - Pr'!K652)</f>
        <v/>
      </c>
      <c r="L652" s="56" t="str">
        <f>IF('AYIRA MINI MART FINAL MENU - Pr'!L652="", "", 'AYIRA MINI MART FINAL MENU - Pr'!L652)</f>
        <v/>
      </c>
      <c r="M652" s="56" t="str">
        <f>IF('AYIRA MINI MART FINAL MENU - Pr'!M652="", "", 'AYIRA MINI MART FINAL MENU - Pr'!M652)</f>
        <v/>
      </c>
      <c r="N652" s="56" t="str">
        <f>IF('AYIRA MINI MART FINAL MENU - Pr'!N652="", "", 'AYIRA MINI MART FINAL MENU - Pr'!N652)</f>
        <v/>
      </c>
      <c r="O652" s="57"/>
      <c r="P652" s="57"/>
      <c r="Q652" s="57"/>
      <c r="R652" s="57"/>
      <c r="S652" s="57"/>
      <c r="T652" s="57"/>
      <c r="U652" s="57"/>
      <c r="V652" s="57"/>
      <c r="W652" s="57"/>
      <c r="X652" s="57"/>
      <c r="Y652" s="57"/>
      <c r="Z652" s="57"/>
    </row>
    <row r="653">
      <c r="A653" s="56" t="str">
        <f>IFERROR(__xludf.DUMMYFUNCTION("IF('AYIRA MINI MART FINAL MENU - Pr'!A653="""", """", IF(LEN(TRIM(REGEXREPLACE(REGEXREPLACE('AYIRA MINI MART FINAL MENU - Pr'!A653, ""^[^\x{0600}-\x{06FF}]+"", """"), ""^[-–\s]+"", """")))&gt;0, TRIM(REGEXREPLACE(REGEXREPLACE('AYIRA MINI MART FINAL MENU - Pr"&amp;"'!A653, ""^[^\x{0600}-\x{06FF}]+"", """"), ""^[-–\s]+"", """")), GOOGLETRANSLATE('AYIRA MINI MART FINAL MENU - Pr'!A653, ""en"", ""ar"")))"),"بطاطس كلاسيك 15غ")</f>
        <v>بطاطس كلاسيك 15غ</v>
      </c>
      <c r="B653" s="56" t="str">
        <f>IFERROR(__xludf.DUMMYFUNCTION("IF('AYIRA MINI MART FINAL MENU - Pr'!B653="""", """", IF(LEN(TRIM(REGEXREPLACE(REGEXREPLACE('AYIRA MINI MART FINAL MENU - Pr'!B653, ""^[^\x{0600}-\x{06FF}]+"", """"), ""^[-–\s]+"", """")))&gt;0, TRIM(REGEXREPLACE(REGEXREPLACE('AYIRA MINI MART FINAL MENU - Pr"&amp;"'!B653, ""^[^\x{0600}-\x{06FF}]+"", """"), ""^[-–\s]+"", """")), GOOGLETRANSLATE('AYIRA MINI MART FINAL MENU - Pr'!B653, ""en"", ""ar"")))"),"الشيبس والمقرمشات")</f>
        <v>الشيبس والمقرمشات</v>
      </c>
      <c r="C653" s="58">
        <f>IF('AYIRA MINI MART FINAL MENU - Pr'!C653="", "", 'AYIRA MINI MART FINAL MENU - Pr'!C653)</f>
        <v>1</v>
      </c>
      <c r="D653" s="58" t="str">
        <f>IF('AYIRA MINI MART FINAL MENU - Pr'!D653="", "", 'AYIRA MINI MART FINAL MENU - Pr'!D653)</f>
        <v>لا تقاوم طعم Batatos Classic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3" s="56" t="str">
        <f>IF('AYIRA MINI MART FINAL MENU - Pr'!E653="", "", 'AYIRA MINI MART FINAL MENU - Pr'!E653)</f>
        <v/>
      </c>
      <c r="F653" s="56" t="str">
        <f>IF('AYIRA MINI MART FINAL MENU - Pr'!F653="", "", 'AYIRA MINI MART FINAL MENU - Pr'!F653)</f>
        <v/>
      </c>
      <c r="G653" s="56" t="str">
        <f>IF('AYIRA MINI MART FINAL MENU - Pr'!G653="", "", 'AYIRA MINI MART FINAL MENU - Pr'!G653)</f>
        <v/>
      </c>
      <c r="H653" s="56" t="str">
        <f>IF('AYIRA MINI MART FINAL MENU - Pr'!H653="", "", 'AYIRA MINI MART FINAL MENU - Pr'!H653)</f>
        <v/>
      </c>
      <c r="I653" s="56" t="str">
        <f>IF('AYIRA MINI MART FINAL MENU - Pr'!I653="", "", 'AYIRA MINI MART FINAL MENU - Pr'!I653)</f>
        <v/>
      </c>
      <c r="J653" s="56" t="str">
        <f>IFERROR(__xludf.DUMMYFUNCTION("IF('AYIRA MINI MART FINAL MENU - Pr'!J653="""", """", GOOGLETRANSLATE('AYIRA MINI MART FINAL MENU - Pr'!J653, ""en"", ""ar""))"),"")</f>
        <v/>
      </c>
      <c r="K653" s="56" t="str">
        <f>IF('AYIRA MINI MART FINAL MENU - Pr'!K653="", "", 'AYIRA MINI MART FINAL MENU - Pr'!K653)</f>
        <v/>
      </c>
      <c r="L653" s="56" t="str">
        <f>IF('AYIRA MINI MART FINAL MENU - Pr'!L653="", "", 'AYIRA MINI MART FINAL MENU - Pr'!L653)</f>
        <v/>
      </c>
      <c r="M653" s="56" t="str">
        <f>IF('AYIRA MINI MART FINAL MENU - Pr'!M653="", "", 'AYIRA MINI MART FINAL MENU - Pr'!M653)</f>
        <v/>
      </c>
      <c r="N653" s="56" t="str">
        <f>IF('AYIRA MINI MART FINAL MENU - Pr'!N653="", "", 'AYIRA MINI MART FINAL MENU - Pr'!N653)</f>
        <v/>
      </c>
      <c r="O653" s="57"/>
      <c r="P653" s="57"/>
      <c r="Q653" s="57"/>
      <c r="R653" s="57"/>
      <c r="S653" s="57"/>
      <c r="T653" s="57"/>
      <c r="U653" s="57"/>
      <c r="V653" s="57"/>
      <c r="W653" s="57"/>
      <c r="X653" s="57"/>
      <c r="Y653" s="57"/>
      <c r="Z653" s="57"/>
    </row>
    <row r="654">
      <c r="A654" s="56" t="str">
        <f>IFERROR(__xludf.DUMMYFUNCTION("IF('AYIRA MINI MART FINAL MENU - Pr'!A654="""", """", IF(LEN(TRIM(REGEXREPLACE(REGEXREPLACE('AYIRA MINI MART FINAL MENU - Pr'!A654, ""^[^\x{0600}-\x{06FF}]+"", """"), ""^[-–\s]+"", """")))&gt;0, TRIM(REGEXREPLACE(REGEXREPLACE('AYIRA MINI MART FINAL MENU - Pr"&amp;"'!A654, ""^[^\x{0600}-\x{06FF}]+"", """"), ""^[-–\s]+"", """")), GOOGLETRANSLATE('AYIRA MINI MART FINAL MENU - Pr'!A654, ""en"", ""ar"")))"),"بطاطس كاتشب 15غ")</f>
        <v>بطاطس كاتشب 15غ</v>
      </c>
      <c r="B654" s="56" t="str">
        <f>IFERROR(__xludf.DUMMYFUNCTION("IF('AYIRA MINI MART FINAL MENU - Pr'!B654="""", """", IF(LEN(TRIM(REGEXREPLACE(REGEXREPLACE('AYIRA MINI MART FINAL MENU - Pr'!B654, ""^[^\x{0600}-\x{06FF}]+"", """"), ""^[-–\s]+"", """")))&gt;0, TRIM(REGEXREPLACE(REGEXREPLACE('AYIRA MINI MART FINAL MENU - Pr"&amp;"'!B654, ""^[^\x{0600}-\x{06FF}]+"", """"), ""^[-–\s]+"", """")), GOOGLETRANSLATE('AYIRA MINI MART FINAL MENU - Pr'!B654, ""en"", ""ar"")))"),"الشيبس والمقرمشات")</f>
        <v>الشيبس والمقرمشات</v>
      </c>
      <c r="C654" s="58">
        <f>IF('AYIRA MINI MART FINAL MENU - Pr'!C654="", "", 'AYIRA MINI MART FINAL MENU - Pr'!C654)</f>
        <v>1</v>
      </c>
      <c r="D654" s="58" t="str">
        <f>IF('AYIRA MINI MART FINAL MENU - Pr'!D654="", "", 'AYIRA MINI MART FINAL MENU - Pr'!D654)</f>
        <v>لا تقاوم طعم Batatos Tangy Ketchup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4" s="56" t="str">
        <f>IF('AYIRA MINI MART FINAL MENU - Pr'!E654="", "", 'AYIRA MINI MART FINAL MENU - Pr'!E654)</f>
        <v/>
      </c>
      <c r="F654" s="56" t="str">
        <f>IF('AYIRA MINI MART FINAL MENU - Pr'!F654="", "", 'AYIRA MINI MART FINAL MENU - Pr'!F654)</f>
        <v/>
      </c>
      <c r="G654" s="56" t="str">
        <f>IF('AYIRA MINI MART FINAL MENU - Pr'!G654="", "", 'AYIRA MINI MART FINAL MENU - Pr'!G654)</f>
        <v/>
      </c>
      <c r="H654" s="56" t="str">
        <f>IF('AYIRA MINI MART FINAL MENU - Pr'!H654="", "", 'AYIRA MINI MART FINAL MENU - Pr'!H654)</f>
        <v/>
      </c>
      <c r="I654" s="56" t="str">
        <f>IF('AYIRA MINI MART FINAL MENU - Pr'!I654="", "", 'AYIRA MINI MART FINAL MENU - Pr'!I654)</f>
        <v/>
      </c>
      <c r="J654" s="56" t="str">
        <f>IFERROR(__xludf.DUMMYFUNCTION("IF('AYIRA MINI MART FINAL MENU - Pr'!J654="""", """", GOOGLETRANSLATE('AYIRA MINI MART FINAL MENU - Pr'!J654, ""en"", ""ar""))"),"")</f>
        <v/>
      </c>
      <c r="K654" s="56" t="str">
        <f>IF('AYIRA MINI MART FINAL MENU - Pr'!K654="", "", 'AYIRA MINI MART FINAL MENU - Pr'!K654)</f>
        <v/>
      </c>
      <c r="L654" s="56" t="str">
        <f>IF('AYIRA MINI MART FINAL MENU - Pr'!L654="", "", 'AYIRA MINI MART FINAL MENU - Pr'!L654)</f>
        <v/>
      </c>
      <c r="M654" s="56" t="str">
        <f>IF('AYIRA MINI MART FINAL MENU - Pr'!M654="", "", 'AYIRA MINI MART FINAL MENU - Pr'!M654)</f>
        <v/>
      </c>
      <c r="N654" s="56" t="str">
        <f>IF('AYIRA MINI MART FINAL MENU - Pr'!N654="", "", 'AYIRA MINI MART FINAL MENU - Pr'!N654)</f>
        <v/>
      </c>
      <c r="O654" s="57"/>
      <c r="P654" s="57"/>
      <c r="Q654" s="57"/>
      <c r="R654" s="57"/>
      <c r="S654" s="57"/>
      <c r="T654" s="57"/>
      <c r="U654" s="57"/>
      <c r="V654" s="57"/>
      <c r="W654" s="57"/>
      <c r="X654" s="57"/>
      <c r="Y654" s="57"/>
      <c r="Z654" s="57"/>
    </row>
    <row r="655">
      <c r="A655" s="56" t="str">
        <f>IFERROR(__xludf.DUMMYFUNCTION("IF('AYIRA MINI MART FINAL MENU - Pr'!A655="""", """", IF(LEN(TRIM(REGEXREPLACE(REGEXREPLACE('AYIRA MINI MART FINAL MENU - Pr'!A655, ""^[^\x{0600}-\x{06FF}]+"", """"), ""^[-–\s]+"", """")))&gt;0, TRIM(REGEXREPLACE(REGEXREPLACE('AYIRA MINI MART FINAL MENU - Pr"&amp;"'!A655, ""^[^\x{0600}-\x{06FF}]+"", """"), ""^[-–\s]+"", """")), GOOGLETRANSLATE('AYIRA MINI MART FINAL MENU - Pr'!A655, ""en"", ""ar"")))"),"بطاطس حار 15غ")</f>
        <v>بطاطس حار 15غ</v>
      </c>
      <c r="B655" s="56" t="str">
        <f>IFERROR(__xludf.DUMMYFUNCTION("IF('AYIRA MINI MART FINAL MENU - Pr'!B655="""", """", IF(LEN(TRIM(REGEXREPLACE(REGEXREPLACE('AYIRA MINI MART FINAL MENU - Pr'!B655, ""^[^\x{0600}-\x{06FF}]+"", """"), ""^[-–\s]+"", """")))&gt;0, TRIM(REGEXREPLACE(REGEXREPLACE('AYIRA MINI MART FINAL MENU - Pr"&amp;"'!B655, ""^[^\x{0600}-\x{06FF}]+"", """"), ""^[-–\s]+"", """")), GOOGLETRANSLATE('AYIRA MINI MART FINAL MENU - Pr'!B655, ""en"", ""ar"")))"),"الشيبس والمقرمشات")</f>
        <v>الشيبس والمقرمشات</v>
      </c>
      <c r="C655" s="58">
        <f>IF('AYIRA MINI MART FINAL MENU - Pr'!C655="", "", 'AYIRA MINI MART FINAL MENU - Pr'!C655)</f>
        <v>1</v>
      </c>
      <c r="D655" s="58" t="str">
        <f>IF('AYIRA MINI MART FINAL MENU - Pr'!D655="", "", 'AYIRA MINI MART FINAL MENU - Pr'!D655)</f>
        <v>لا تقاوم طعم Batatos Spicy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5" s="56" t="str">
        <f>IF('AYIRA MINI MART FINAL MENU - Pr'!E655="", "", 'AYIRA MINI MART FINAL MENU - Pr'!E655)</f>
        <v/>
      </c>
      <c r="F655" s="56" t="str">
        <f>IF('AYIRA MINI MART FINAL MENU - Pr'!F655="", "", 'AYIRA MINI MART FINAL MENU - Pr'!F655)</f>
        <v/>
      </c>
      <c r="G655" s="56" t="str">
        <f>IF('AYIRA MINI MART FINAL MENU - Pr'!G655="", "", 'AYIRA MINI MART FINAL MENU - Pr'!G655)</f>
        <v/>
      </c>
      <c r="H655" s="56" t="str">
        <f>IF('AYIRA MINI MART FINAL MENU - Pr'!H655="", "", 'AYIRA MINI MART FINAL MENU - Pr'!H655)</f>
        <v/>
      </c>
      <c r="I655" s="56" t="str">
        <f>IF('AYIRA MINI MART FINAL MENU - Pr'!I655="", "", 'AYIRA MINI MART FINAL MENU - Pr'!I655)</f>
        <v/>
      </c>
      <c r="J655" s="56" t="str">
        <f>IFERROR(__xludf.DUMMYFUNCTION("IF('AYIRA MINI MART FINAL MENU - Pr'!J655="""", """", GOOGLETRANSLATE('AYIRA MINI MART FINAL MENU - Pr'!J655, ""en"", ""ar""))"),"")</f>
        <v/>
      </c>
      <c r="K655" s="56" t="str">
        <f>IF('AYIRA MINI MART FINAL MENU - Pr'!K655="", "", 'AYIRA MINI MART FINAL MENU - Pr'!K655)</f>
        <v/>
      </c>
      <c r="L655" s="56" t="str">
        <f>IF('AYIRA MINI MART FINAL MENU - Pr'!L655="", "", 'AYIRA MINI MART FINAL MENU - Pr'!L655)</f>
        <v/>
      </c>
      <c r="M655" s="56" t="str">
        <f>IF('AYIRA MINI MART FINAL MENU - Pr'!M655="", "", 'AYIRA MINI MART FINAL MENU - Pr'!M655)</f>
        <v/>
      </c>
      <c r="N655" s="56" t="str">
        <f>IF('AYIRA MINI MART FINAL MENU - Pr'!N655="", "", 'AYIRA MINI MART FINAL MENU - Pr'!N655)</f>
        <v/>
      </c>
      <c r="O655" s="57"/>
      <c r="P655" s="57"/>
      <c r="Q655" s="57"/>
      <c r="R655" s="57"/>
      <c r="S655" s="57"/>
      <c r="T655" s="57"/>
      <c r="U655" s="57"/>
      <c r="V655" s="57"/>
      <c r="W655" s="57"/>
      <c r="X655" s="57"/>
      <c r="Y655" s="57"/>
      <c r="Z655" s="57"/>
    </row>
    <row r="656">
      <c r="A656" s="56" t="str">
        <f>IFERROR(__xludf.DUMMYFUNCTION("IF('AYIRA MINI MART FINAL MENU - Pr'!A656="""", """", IF(LEN(TRIM(REGEXREPLACE(REGEXREPLACE('AYIRA MINI MART FINAL MENU - Pr'!A656, ""^[^\x{0600}-\x{06FF}]+"", """"), ""^[-–\s]+"", """")))&gt;0, TRIM(REGEXREPLACE(REGEXREPLACE('AYIRA MINI MART FINAL MENU - Pr"&amp;"'!A656, ""^[^\x{0600}-\x{06FF}]+"", """"), ""^[-–\s]+"", """")), GOOGLETRANSLATE('AYIRA MINI MART FINAL MENU - Pr'!A656, ""en"", ""ar"")))"),"بطاطس ويسكونسن شيدر 15غ")</f>
        <v>بطاطس ويسكونسن شيدر 15غ</v>
      </c>
      <c r="B656" s="56" t="str">
        <f>IFERROR(__xludf.DUMMYFUNCTION("IF('AYIRA MINI MART FINAL MENU - Pr'!B656="""", """", IF(LEN(TRIM(REGEXREPLACE(REGEXREPLACE('AYIRA MINI MART FINAL MENU - Pr'!B656, ""^[^\x{0600}-\x{06FF}]+"", """"), ""^[-–\s]+"", """")))&gt;0, TRIM(REGEXREPLACE(REGEXREPLACE('AYIRA MINI MART FINAL MENU - Pr"&amp;"'!B656, ""^[^\x{0600}-\x{06FF}]+"", """"), ""^[-–\s]+"", """")), GOOGLETRANSLATE('AYIRA MINI MART FINAL MENU - Pr'!B656, ""en"", ""ar"")))"),"الشيبس والمقرمشات")</f>
        <v>الشيبس والمقرمشات</v>
      </c>
      <c r="C656" s="58">
        <f>IF('AYIRA MINI MART FINAL MENU - Pr'!C656="", "", 'AYIRA MINI MART FINAL MENU - Pr'!C656)</f>
        <v>1</v>
      </c>
      <c r="D656" s="58" t="str">
        <f>IF('AYIRA MINI MART FINAL MENU - Pr'!D656="", "", 'AYIRA MINI MART FINAL MENU - Pr'!D656)</f>
        <v>لا تقاوم طعم Batatos Wisconsin Cheddar 15g،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6" s="56" t="str">
        <f>IF('AYIRA MINI MART FINAL MENU - Pr'!E656="", "", 'AYIRA MINI MART FINAL MENU - Pr'!E656)</f>
        <v/>
      </c>
      <c r="F656" s="56" t="str">
        <f>IF('AYIRA MINI MART FINAL MENU - Pr'!F656="", "", 'AYIRA MINI MART FINAL MENU - Pr'!F656)</f>
        <v/>
      </c>
      <c r="G656" s="56" t="str">
        <f>IF('AYIRA MINI MART FINAL MENU - Pr'!G656="", "", 'AYIRA MINI MART FINAL MENU - Pr'!G656)</f>
        <v/>
      </c>
      <c r="H656" s="56" t="str">
        <f>IF('AYIRA MINI MART FINAL MENU - Pr'!H656="", "", 'AYIRA MINI MART FINAL MENU - Pr'!H656)</f>
        <v/>
      </c>
      <c r="I656" s="56" t="str">
        <f>IF('AYIRA MINI MART FINAL MENU - Pr'!I656="", "", 'AYIRA MINI MART FINAL MENU - Pr'!I656)</f>
        <v/>
      </c>
      <c r="J656" s="56" t="str">
        <f>IFERROR(__xludf.DUMMYFUNCTION("IF('AYIRA MINI MART FINAL MENU - Pr'!J656="""", """", GOOGLETRANSLATE('AYIRA MINI MART FINAL MENU - Pr'!J656, ""en"", ""ar""))"),"")</f>
        <v/>
      </c>
      <c r="K656" s="56" t="str">
        <f>IF('AYIRA MINI MART FINAL MENU - Pr'!K656="", "", 'AYIRA MINI MART FINAL MENU - Pr'!K656)</f>
        <v/>
      </c>
      <c r="L656" s="56" t="str">
        <f>IF('AYIRA MINI MART FINAL MENU - Pr'!L656="", "", 'AYIRA MINI MART FINAL MENU - Pr'!L656)</f>
        <v/>
      </c>
      <c r="M656" s="56" t="str">
        <f>IF('AYIRA MINI MART FINAL MENU - Pr'!M656="", "", 'AYIRA MINI MART FINAL MENU - Pr'!M656)</f>
        <v/>
      </c>
      <c r="N656" s="56" t="str">
        <f>IF('AYIRA MINI MART FINAL MENU - Pr'!N656="", "", 'AYIRA MINI MART FINAL MENU - Pr'!N656)</f>
        <v/>
      </c>
      <c r="O656" s="57"/>
      <c r="P656" s="57"/>
      <c r="Q656" s="57"/>
      <c r="R656" s="57"/>
      <c r="S656" s="57"/>
      <c r="T656" s="57"/>
      <c r="U656" s="57"/>
      <c r="V656" s="57"/>
      <c r="W656" s="57"/>
      <c r="X656" s="57"/>
      <c r="Y656" s="57"/>
      <c r="Z656" s="57"/>
    </row>
    <row r="657">
      <c r="A657" s="56" t="str">
        <f>IFERROR(__xludf.DUMMYFUNCTION("IF('AYIRA MINI MART FINAL MENU - Pr'!A657="""", """", IF(LEN(TRIM(REGEXREPLACE(REGEXREPLACE('AYIRA MINI MART FINAL MENU - Pr'!A657, ""^[^\x{0600}-\x{06FF}]+"", """"), ""^[-–\s]+"", """")))&gt;0, TRIM(REGEXREPLACE(REGEXREPLACE('AYIRA MINI MART FINAL MENU - Pr"&amp;"'!A657, ""^[^\x{0600}-\x{06FF}]+"", """"), ""^[-–\s]+"", """")), GOOGLETRANSLATE('AYIRA MINI MART FINAL MENU - Pr'!A657, ""en"", ""ar"")))"),"البادية شيبس بطاطس 16غ")</f>
        <v>البادية شيبس بطاطس 16غ</v>
      </c>
      <c r="B657" s="56" t="str">
        <f>IFERROR(__xludf.DUMMYFUNCTION("IF('AYIRA MINI MART FINAL MENU - Pr'!B657="""", """", IF(LEN(TRIM(REGEXREPLACE(REGEXREPLACE('AYIRA MINI MART FINAL MENU - Pr'!B657, ""^[^\x{0600}-\x{06FF}]+"", """"), ""^[-–\s]+"", """")))&gt;0, TRIM(REGEXREPLACE(REGEXREPLACE('AYIRA MINI MART FINAL MENU - Pr"&amp;"'!B657, ""^[^\x{0600}-\x{06FF}]+"", """"), ""^[-–\s]+"", """")), GOOGLETRANSLATE('AYIRA MINI MART FINAL MENU - Pr'!B657, ""en"", ""ar"")))"),"الشيبس والمقرمشات")</f>
        <v>الشيبس والمقرمشات</v>
      </c>
      <c r="C657" s="58">
        <f>IF('AYIRA MINI MART FINAL MENU - Pr'!C657="", "", 'AYIRA MINI MART FINAL MENU - Pr'!C657)</f>
        <v>1</v>
      </c>
      <c r="D657" s="58" t="str">
        <f>IF('AYIRA MINI MART FINAL MENU - Pr'!D657="", "", 'AYIRA MINI MART FINAL MENU - Pr'!D657)</f>
        <v>لا تقاوم طعم Albadia Potato Chips 16g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7" s="56" t="str">
        <f>IF('AYIRA MINI MART FINAL MENU - Pr'!E657="", "", 'AYIRA MINI MART FINAL MENU - Pr'!E657)</f>
        <v/>
      </c>
      <c r="F657" s="56" t="str">
        <f>IF('AYIRA MINI MART FINAL MENU - Pr'!F657="", "", 'AYIRA MINI MART FINAL MENU - Pr'!F657)</f>
        <v/>
      </c>
      <c r="G657" s="56" t="str">
        <f>IF('AYIRA MINI MART FINAL MENU - Pr'!G657="", "", 'AYIRA MINI MART FINAL MENU - Pr'!G657)</f>
        <v/>
      </c>
      <c r="H657" s="56" t="str">
        <f>IF('AYIRA MINI MART FINAL MENU - Pr'!H657="", "", 'AYIRA MINI MART FINAL MENU - Pr'!H657)</f>
        <v/>
      </c>
      <c r="I657" s="56" t="str">
        <f>IF('AYIRA MINI MART FINAL MENU - Pr'!I657="", "", 'AYIRA MINI MART FINAL MENU - Pr'!I657)</f>
        <v/>
      </c>
      <c r="J657" s="56" t="str">
        <f>IFERROR(__xludf.DUMMYFUNCTION("IF('AYIRA MINI MART FINAL MENU - Pr'!J657="""", """", GOOGLETRANSLATE('AYIRA MINI MART FINAL MENU - Pr'!J657, ""en"", ""ar""))"),"")</f>
        <v/>
      </c>
      <c r="K657" s="56" t="str">
        <f>IF('AYIRA MINI MART FINAL MENU - Pr'!K657="", "", 'AYIRA MINI MART FINAL MENU - Pr'!K657)</f>
        <v/>
      </c>
      <c r="L657" s="56" t="str">
        <f>IF('AYIRA MINI MART FINAL MENU - Pr'!L657="", "", 'AYIRA MINI MART FINAL MENU - Pr'!L657)</f>
        <v/>
      </c>
      <c r="M657" s="56" t="str">
        <f>IF('AYIRA MINI MART FINAL MENU - Pr'!M657="", "", 'AYIRA MINI MART FINAL MENU - Pr'!M657)</f>
        <v/>
      </c>
      <c r="N657" s="56" t="str">
        <f>IF('AYIRA MINI MART FINAL MENU - Pr'!N657="", "", 'AYIRA MINI MART FINAL MENU - Pr'!N657)</f>
        <v/>
      </c>
      <c r="O657" s="57"/>
      <c r="P657" s="57"/>
      <c r="Q657" s="57"/>
      <c r="R657" s="57"/>
      <c r="S657" s="57"/>
      <c r="T657" s="57"/>
      <c r="U657" s="57"/>
      <c r="V657" s="57"/>
      <c r="W657" s="57"/>
      <c r="X657" s="57"/>
      <c r="Y657" s="57"/>
      <c r="Z657" s="57"/>
    </row>
    <row r="658">
      <c r="A658" s="56" t="str">
        <f>IFERROR(__xludf.DUMMYFUNCTION("IF('AYIRA MINI MART FINAL MENU - Pr'!A658="""", """", IF(LEN(TRIM(REGEXREPLACE(REGEXREPLACE('AYIRA MINI MART FINAL MENU - Pr'!A658, ""^[^\x{0600}-\x{06FF}]+"", """"), ""^[-–\s]+"", """")))&gt;0, TRIM(REGEXREPLACE(REGEXREPLACE('AYIRA MINI MART FINAL MENU - Pr"&amp;"'!A658, ""^[^\x{0600}-\x{06FF}]+"", """"), ""^[-–\s]+"", """")), GOOGLETRANSLATE('AYIRA MINI MART FINAL MENU - Pr'!A658, ""en"", ""ar"")))"),"البادية شيبس بطاطس فلفل حار 16غ")</f>
        <v>البادية شيبس بطاطس فلفل حار 16غ</v>
      </c>
      <c r="B658" s="56" t="str">
        <f>IFERROR(__xludf.DUMMYFUNCTION("IF('AYIRA MINI MART FINAL MENU - Pr'!B658="""", """", IF(LEN(TRIM(REGEXREPLACE(REGEXREPLACE('AYIRA MINI MART FINAL MENU - Pr'!B658, ""^[^\x{0600}-\x{06FF}]+"", """"), ""^[-–\s]+"", """")))&gt;0, TRIM(REGEXREPLACE(REGEXREPLACE('AYIRA MINI MART FINAL MENU - Pr"&amp;"'!B658, ""^[^\x{0600}-\x{06FF}]+"", """"), ""^[-–\s]+"", """")), GOOGLETRANSLATE('AYIRA MINI MART FINAL MENU - Pr'!B658, ""en"", ""ar"")))"),"الشيبس والمقرمشات")</f>
        <v>الشيبس والمقرمشات</v>
      </c>
      <c r="C658" s="58">
        <f>IF('AYIRA MINI MART FINAL MENU - Pr'!C658="", "", 'AYIRA MINI MART FINAL MENU - Pr'!C658)</f>
        <v>1</v>
      </c>
      <c r="D658" s="58" t="str">
        <f>IF('AYIRA MINI MART FINAL MENU - Pr'!D658="", "", 'AYIRA MINI MART FINAL MENU - Pr'!D658)</f>
        <v>لا تقاوم طعم Albadia Potato Chips Chilli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8" s="56" t="str">
        <f>IF('AYIRA MINI MART FINAL MENU - Pr'!E658="", "", 'AYIRA MINI MART FINAL MENU - Pr'!E658)</f>
        <v/>
      </c>
      <c r="F658" s="56" t="str">
        <f>IF('AYIRA MINI MART FINAL MENU - Pr'!F658="", "", 'AYIRA MINI MART FINAL MENU - Pr'!F658)</f>
        <v/>
      </c>
      <c r="G658" s="56" t="str">
        <f>IF('AYIRA MINI MART FINAL MENU - Pr'!G658="", "", 'AYIRA MINI MART FINAL MENU - Pr'!G658)</f>
        <v/>
      </c>
      <c r="H658" s="56" t="str">
        <f>IF('AYIRA MINI MART FINAL MENU - Pr'!H658="", "", 'AYIRA MINI MART FINAL MENU - Pr'!H658)</f>
        <v/>
      </c>
      <c r="I658" s="56" t="str">
        <f>IF('AYIRA MINI MART FINAL MENU - Pr'!I658="", "", 'AYIRA MINI MART FINAL MENU - Pr'!I658)</f>
        <v/>
      </c>
      <c r="J658" s="56" t="str">
        <f>IFERROR(__xludf.DUMMYFUNCTION("IF('AYIRA MINI MART FINAL MENU - Pr'!J658="""", """", GOOGLETRANSLATE('AYIRA MINI MART FINAL MENU - Pr'!J658, ""en"", ""ar""))"),"")</f>
        <v/>
      </c>
      <c r="K658" s="56" t="str">
        <f>IF('AYIRA MINI MART FINAL MENU - Pr'!K658="", "", 'AYIRA MINI MART FINAL MENU - Pr'!K658)</f>
        <v/>
      </c>
      <c r="L658" s="56" t="str">
        <f>IF('AYIRA MINI MART FINAL MENU - Pr'!L658="", "", 'AYIRA MINI MART FINAL MENU - Pr'!L658)</f>
        <v/>
      </c>
      <c r="M658" s="56" t="str">
        <f>IF('AYIRA MINI MART FINAL MENU - Pr'!M658="", "", 'AYIRA MINI MART FINAL MENU - Pr'!M658)</f>
        <v/>
      </c>
      <c r="N658" s="56" t="str">
        <f>IF('AYIRA MINI MART FINAL MENU - Pr'!N658="", "", 'AYIRA MINI MART FINAL MENU - Pr'!N658)</f>
        <v/>
      </c>
      <c r="O658" s="57"/>
      <c r="P658" s="57"/>
      <c r="Q658" s="57"/>
      <c r="R658" s="57"/>
      <c r="S658" s="57"/>
      <c r="T658" s="57"/>
      <c r="U658" s="57"/>
      <c r="V658" s="57"/>
      <c r="W658" s="57"/>
      <c r="X658" s="57"/>
      <c r="Y658" s="57"/>
      <c r="Z658" s="57"/>
    </row>
    <row r="659">
      <c r="A659" s="56" t="str">
        <f>IFERROR(__xludf.DUMMYFUNCTION("IF('AYIRA MINI MART FINAL MENU - Pr'!A659="""", """", IF(LEN(TRIM(REGEXREPLACE(REGEXREPLACE('AYIRA MINI MART FINAL MENU - Pr'!A659, ""^[^\x{0600}-\x{06FF}]+"", """"), ""^[-–\s]+"", """")))&gt;0, TRIM(REGEXREPLACE(REGEXREPLACE('AYIRA MINI MART FINAL MENU - Pr"&amp;"'!A659, ""^[^\x{0600}-\x{06FF}]+"", """"), ""^[-–\s]+"", """")), GOOGLETRANSLATE('AYIRA MINI MART FINAL MENU - Pr'!A659, ""en"", ""ar"")))"),"رقائق بطاطس جبنة 15غ")</f>
        <v>رقائق بطاطس جبنة 15غ</v>
      </c>
      <c r="B659" s="56" t="str">
        <f>IFERROR(__xludf.DUMMYFUNCTION("IF('AYIRA MINI MART FINAL MENU - Pr'!B659="""", """", IF(LEN(TRIM(REGEXREPLACE(REGEXREPLACE('AYIRA MINI MART FINAL MENU - Pr'!B659, ""^[^\x{0600}-\x{06FF}]+"", """"), ""^[-–\s]+"", """")))&gt;0, TRIM(REGEXREPLACE(REGEXREPLACE('AYIRA MINI MART FINAL MENU - Pr"&amp;"'!B659, ""^[^\x{0600}-\x{06FF}]+"", """"), ""^[-–\s]+"", """")), GOOGLETRANSLATE('AYIRA MINI MART FINAL MENU - Pr'!B659, ""en"", ""ar"")))"),"الشيبس والمقرمشات")</f>
        <v>الشيبس والمقرمشات</v>
      </c>
      <c r="C659" s="58">
        <f>IF('AYIRA MINI MART FINAL MENU - Pr'!C659="", "", 'AYIRA MINI MART FINAL MENU - Pr'!C659)</f>
        <v>1</v>
      </c>
      <c r="D659" s="58" t="str">
        <f>IF('AYIRA MINI MART FINAL MENU - Pr'!D659="", "", 'AYIRA MINI MART FINAL MENU - Pr'!D659)</f>
        <v>لا تقاوم طعم Potato Ripples Crunch Cheese Flavour 15g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59" s="56" t="str">
        <f>IF('AYIRA MINI MART FINAL MENU - Pr'!E659="", "", 'AYIRA MINI MART FINAL MENU - Pr'!E659)</f>
        <v/>
      </c>
      <c r="F659" s="56" t="str">
        <f>IF('AYIRA MINI MART FINAL MENU - Pr'!F659="", "", 'AYIRA MINI MART FINAL MENU - Pr'!F659)</f>
        <v/>
      </c>
      <c r="G659" s="56" t="str">
        <f>IF('AYIRA MINI MART FINAL MENU - Pr'!G659="", "", 'AYIRA MINI MART FINAL MENU - Pr'!G659)</f>
        <v/>
      </c>
      <c r="H659" s="56" t="str">
        <f>IF('AYIRA MINI MART FINAL MENU - Pr'!H659="", "", 'AYIRA MINI MART FINAL MENU - Pr'!H659)</f>
        <v/>
      </c>
      <c r="I659" s="56" t="str">
        <f>IF('AYIRA MINI MART FINAL MENU - Pr'!I659="", "", 'AYIRA MINI MART FINAL MENU - Pr'!I659)</f>
        <v/>
      </c>
      <c r="J659" s="56" t="str">
        <f>IFERROR(__xludf.DUMMYFUNCTION("IF('AYIRA MINI MART FINAL MENU - Pr'!J659="""", """", GOOGLETRANSLATE('AYIRA MINI MART FINAL MENU - Pr'!J659, ""en"", ""ar""))"),"")</f>
        <v/>
      </c>
      <c r="K659" s="56" t="str">
        <f>IF('AYIRA MINI MART FINAL MENU - Pr'!K659="", "", 'AYIRA MINI MART FINAL MENU - Pr'!K659)</f>
        <v/>
      </c>
      <c r="L659" s="56" t="str">
        <f>IF('AYIRA MINI MART FINAL MENU - Pr'!L659="", "", 'AYIRA MINI MART FINAL MENU - Pr'!L659)</f>
        <v/>
      </c>
      <c r="M659" s="56" t="str">
        <f>IF('AYIRA MINI MART FINAL MENU - Pr'!M659="", "", 'AYIRA MINI MART FINAL MENU - Pr'!M659)</f>
        <v/>
      </c>
      <c r="N659" s="56" t="str">
        <f>IF('AYIRA MINI MART FINAL MENU - Pr'!N659="", "", 'AYIRA MINI MART FINAL MENU - Pr'!N659)</f>
        <v/>
      </c>
      <c r="O659" s="57"/>
      <c r="P659" s="57"/>
      <c r="Q659" s="57"/>
      <c r="R659" s="57"/>
      <c r="S659" s="57"/>
      <c r="T659" s="57"/>
      <c r="U659" s="57"/>
      <c r="V659" s="57"/>
      <c r="W659" s="57"/>
      <c r="X659" s="57"/>
      <c r="Y659" s="57"/>
      <c r="Z659" s="57"/>
    </row>
    <row r="660">
      <c r="A660" s="56" t="str">
        <f>IFERROR(__xludf.DUMMYFUNCTION("IF('AYIRA MINI MART FINAL MENU - Pr'!A660="""", """", IF(LEN(TRIM(REGEXREPLACE(REGEXREPLACE('AYIRA MINI MART FINAL MENU - Pr'!A660, ""^[^\x{0600}-\x{06FF}]+"", """"), ""^[-–\s]+"", """")))&gt;0, TRIM(REGEXREPLACE(REGEXREPLACE('AYIRA MINI MART FINAL MENU - Pr"&amp;"'!A660, ""^[^\x{0600}-\x{06FF}]+"", """"), ""^[-–\s]+"", """")), GOOGLETRANSLATE('AYIRA MINI MART FINAL MENU - Pr'!A660, ""en"", ""ar"")))"),"شيبس Ready مملح 15 غرام")</f>
        <v>شيبس Ready مملح 15 غرام</v>
      </c>
      <c r="B660" s="56" t="str">
        <f>IFERROR(__xludf.DUMMYFUNCTION("IF('AYIRA MINI MART FINAL MENU - Pr'!B660="""", """", IF(LEN(TRIM(REGEXREPLACE(REGEXREPLACE('AYIRA MINI MART FINAL MENU - Pr'!B660, ""^[^\x{0600}-\x{06FF}]+"", """"), ""^[-–\s]+"", """")))&gt;0, TRIM(REGEXREPLACE(REGEXREPLACE('AYIRA MINI MART FINAL MENU - Pr"&amp;"'!B660, ""^[^\x{0600}-\x{06FF}]+"", """"), ""^[-–\s]+"", """")), GOOGLETRANSLATE('AYIRA MINI MART FINAL MENU - Pr'!B660, ""en"", ""ar"")))"),"الشيبس والمقرمشات")</f>
        <v>الشيبس والمقرمشات</v>
      </c>
      <c r="C660" s="58">
        <f>IF('AYIRA MINI MART FINAL MENU - Pr'!C660="", "", 'AYIRA MINI MART FINAL MENU - Pr'!C660)</f>
        <v>1</v>
      </c>
      <c r="D660" s="58" t="str">
        <f>IF('AYIRA MINI MART FINAL MENU - Pr'!D660="", "", 'AYIRA MINI MART FINAL MENU - Pr'!D660)</f>
        <v>لا تقاوم طعم Al Mudhish Potato Chips Ready Salted 15g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0" s="56" t="str">
        <f>IF('AYIRA MINI MART FINAL MENU - Pr'!E660="", "", 'AYIRA MINI MART FINAL MENU - Pr'!E660)</f>
        <v/>
      </c>
      <c r="F660" s="56" t="str">
        <f>IF('AYIRA MINI MART FINAL MENU - Pr'!F660="", "", 'AYIRA MINI MART FINAL MENU - Pr'!F660)</f>
        <v/>
      </c>
      <c r="G660" s="56" t="str">
        <f>IF('AYIRA MINI MART FINAL MENU - Pr'!G660="", "", 'AYIRA MINI MART FINAL MENU - Pr'!G660)</f>
        <v/>
      </c>
      <c r="H660" s="56" t="str">
        <f>IF('AYIRA MINI MART FINAL MENU - Pr'!H660="", "", 'AYIRA MINI MART FINAL MENU - Pr'!H660)</f>
        <v/>
      </c>
      <c r="I660" s="56" t="str">
        <f>IF('AYIRA MINI MART FINAL MENU - Pr'!I660="", "", 'AYIRA MINI MART FINAL MENU - Pr'!I660)</f>
        <v/>
      </c>
      <c r="J660" s="56" t="str">
        <f>IFERROR(__xludf.DUMMYFUNCTION("IF('AYIRA MINI MART FINAL MENU - Pr'!J660="""", """", GOOGLETRANSLATE('AYIRA MINI MART FINAL MENU - Pr'!J660, ""en"", ""ar""))"),"")</f>
        <v/>
      </c>
      <c r="K660" s="56" t="str">
        <f>IF('AYIRA MINI MART FINAL MENU - Pr'!K660="", "", 'AYIRA MINI MART FINAL MENU - Pr'!K660)</f>
        <v/>
      </c>
      <c r="L660" s="56" t="str">
        <f>IF('AYIRA MINI MART FINAL MENU - Pr'!L660="", "", 'AYIRA MINI MART FINAL MENU - Pr'!L660)</f>
        <v/>
      </c>
      <c r="M660" s="56" t="str">
        <f>IF('AYIRA MINI MART FINAL MENU - Pr'!M660="", "", 'AYIRA MINI MART FINAL MENU - Pr'!M660)</f>
        <v/>
      </c>
      <c r="N660" s="56" t="str">
        <f>IF('AYIRA MINI MART FINAL MENU - Pr'!N660="", "", 'AYIRA MINI MART FINAL MENU - Pr'!N660)</f>
        <v/>
      </c>
      <c r="O660" s="57"/>
      <c r="P660" s="57"/>
      <c r="Q660" s="57"/>
      <c r="R660" s="57"/>
      <c r="S660" s="57"/>
      <c r="T660" s="57"/>
      <c r="U660" s="57"/>
      <c r="V660" s="57"/>
      <c r="W660" s="57"/>
      <c r="X660" s="57"/>
      <c r="Y660" s="57"/>
      <c r="Z660" s="57"/>
    </row>
    <row r="661">
      <c r="A661" s="56" t="str">
        <f>IFERROR(__xludf.DUMMYFUNCTION("IF('AYIRA MINI MART FINAL MENU - Pr'!A661="""", """", IF(LEN(TRIM(REGEXREPLACE(REGEXREPLACE('AYIRA MINI MART FINAL MENU - Pr'!A661, ""^[^\x{0600}-\x{06FF}]+"", """"), ""^[-–\s]+"", """")))&gt;0, TRIM(REGEXREPLACE(REGEXREPLACE('AYIRA MINI MART FINAL MENU - Pr"&amp;"'!A661, ""^[^\x{0600}-\x{06FF}]+"", """"), ""^[-–\s]+"", """")), GOOGLETRANSLATE('AYIRA MINI MART FINAL MENU - Pr'!A661, ""en"", ""ar"")))"),"شيبس 180 غرام")</f>
        <v>شيبس 180 غرام</v>
      </c>
      <c r="B661" s="56" t="str">
        <f>IFERROR(__xludf.DUMMYFUNCTION("IF('AYIRA MINI MART FINAL MENU - Pr'!B661="""", """", IF(LEN(TRIM(REGEXREPLACE(REGEXREPLACE('AYIRA MINI MART FINAL MENU - Pr'!B661, ""^[^\x{0600}-\x{06FF}]+"", """"), ""^[-–\s]+"", """")))&gt;0, TRIM(REGEXREPLACE(REGEXREPLACE('AYIRA MINI MART FINAL MENU - Pr"&amp;"'!B661, ""^[^\x{0600}-\x{06FF}]+"", """"), ""^[-–\s]+"", """")), GOOGLETRANSLATE('AYIRA MINI MART FINAL MENU - Pr'!B661, ""en"", ""ar"")))"),"الشيبس والمقرمشات")</f>
        <v>الشيبس والمقرمشات</v>
      </c>
      <c r="C661" s="58">
        <f>IF('AYIRA MINI MART FINAL MENU - Pr'!C661="", "", 'AYIRA MINI MART FINAL MENU - Pr'!C661)</f>
        <v>9</v>
      </c>
      <c r="D661" s="58" t="str">
        <f>IF('AYIRA MINI MART FINAL MENU - Pr'!D661="", "", 'AYIRA MINI MART FINAL MENU - Pr'!D661)</f>
        <v>لا تقاوم طعم Mexita Sweet &amp; Sour Tortilla Chips 180g،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1" s="56" t="str">
        <f>IF('AYIRA MINI MART FINAL MENU - Pr'!E661="", "", 'AYIRA MINI MART FINAL MENU - Pr'!E661)</f>
        <v/>
      </c>
      <c r="F661" s="56" t="str">
        <f>IF('AYIRA MINI MART FINAL MENU - Pr'!F661="", "", 'AYIRA MINI MART FINAL MENU - Pr'!F661)</f>
        <v/>
      </c>
      <c r="G661" s="56" t="str">
        <f>IF('AYIRA MINI MART FINAL MENU - Pr'!G661="", "", 'AYIRA MINI MART FINAL MENU - Pr'!G661)</f>
        <v/>
      </c>
      <c r="H661" s="56" t="str">
        <f>IF('AYIRA MINI MART FINAL MENU - Pr'!H661="", "", 'AYIRA MINI MART FINAL MENU - Pr'!H661)</f>
        <v/>
      </c>
      <c r="I661" s="56" t="str">
        <f>IF('AYIRA MINI MART FINAL MENU - Pr'!I661="", "", 'AYIRA MINI MART FINAL MENU - Pr'!I661)</f>
        <v/>
      </c>
      <c r="J661" s="56" t="str">
        <f>IFERROR(__xludf.DUMMYFUNCTION("IF('AYIRA MINI MART FINAL MENU - Pr'!J661="""", """", GOOGLETRANSLATE('AYIRA MINI MART FINAL MENU - Pr'!J661, ""en"", ""ar""))"),"")</f>
        <v/>
      </c>
      <c r="K661" s="56" t="str">
        <f>IF('AYIRA MINI MART FINAL MENU - Pr'!K661="", "", 'AYIRA MINI MART FINAL MENU - Pr'!K661)</f>
        <v/>
      </c>
      <c r="L661" s="56" t="str">
        <f>IF('AYIRA MINI MART FINAL MENU - Pr'!L661="", "", 'AYIRA MINI MART FINAL MENU - Pr'!L661)</f>
        <v/>
      </c>
      <c r="M661" s="56" t="str">
        <f>IF('AYIRA MINI MART FINAL MENU - Pr'!M661="", "", 'AYIRA MINI MART FINAL MENU - Pr'!M661)</f>
        <v/>
      </c>
      <c r="N661" s="56" t="str">
        <f>IF('AYIRA MINI MART FINAL MENU - Pr'!N661="", "", 'AYIRA MINI MART FINAL MENU - Pr'!N661)</f>
        <v/>
      </c>
      <c r="O661" s="57"/>
      <c r="P661" s="57"/>
      <c r="Q661" s="57"/>
      <c r="R661" s="57"/>
      <c r="S661" s="57"/>
      <c r="T661" s="57"/>
      <c r="U661" s="57"/>
      <c r="V661" s="57"/>
      <c r="W661" s="57"/>
      <c r="X661" s="57"/>
      <c r="Y661" s="57"/>
      <c r="Z661" s="57"/>
    </row>
    <row r="662">
      <c r="A662" s="56" t="str">
        <f>IFERROR(__xludf.DUMMYFUNCTION("IF('AYIRA MINI MART FINAL MENU - Pr'!A662="""", """", IF(LEN(TRIM(REGEXREPLACE(REGEXREPLACE('AYIRA MINI MART FINAL MENU - Pr'!A662, ""^[^\x{0600}-\x{06FF}]+"", """"), ""^[-–\s]+"", """")))&gt;0, TRIM(REGEXREPLACE(REGEXREPLACE('AYIRA MINI MART FINAL MENU - Pr"&amp;"'!A662, ""^[^\x{0600}-\x{06FF}]+"", """"), ""^[-–\s]+"", """")), GOOGLETRANSLATE('AYIRA MINI MART FINAL MENU - Pr'!A662, ""en"", ""ar"")))"),"شيبس 180 غرام")</f>
        <v>شيبس 180 غرام</v>
      </c>
      <c r="B662" s="56" t="str">
        <f>IFERROR(__xludf.DUMMYFUNCTION("IF('AYIRA MINI MART FINAL MENU - Pr'!B662="""", """", IF(LEN(TRIM(REGEXREPLACE(REGEXREPLACE('AYIRA MINI MART FINAL MENU - Pr'!B662, ""^[^\x{0600}-\x{06FF}]+"", """"), ""^[-–\s]+"", """")))&gt;0, TRIM(REGEXREPLACE(REGEXREPLACE('AYIRA MINI MART FINAL MENU - Pr"&amp;"'!B662, ""^[^\x{0600}-\x{06FF}]+"", """"), ""^[-–\s]+"", """")), GOOGLETRANSLATE('AYIRA MINI MART FINAL MENU - Pr'!B662, ""en"", ""ar"")))"),"الشيبس والمقرمشات")</f>
        <v>الشيبس والمقرمشات</v>
      </c>
      <c r="C662" s="58">
        <f>IF('AYIRA MINI MART FINAL MENU - Pr'!C662="", "", 'AYIRA MINI MART FINAL MENU - Pr'!C662)</f>
        <v>9</v>
      </c>
      <c r="D662" s="58" t="str">
        <f>IF('AYIRA MINI MART FINAL MENU - Pr'!D662="", "", 'AYIRA MINI MART FINAL MENU - Pr'!D662)</f>
        <v>لا تقاوم طعم Mexita Sweet Chilli Pepper Tortilla Chips 180g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2" s="56" t="str">
        <f>IF('AYIRA MINI MART FINAL MENU - Pr'!E662="", "", 'AYIRA MINI MART FINAL MENU - Pr'!E662)</f>
        <v/>
      </c>
      <c r="F662" s="56" t="str">
        <f>IF('AYIRA MINI MART FINAL MENU - Pr'!F662="", "", 'AYIRA MINI MART FINAL MENU - Pr'!F662)</f>
        <v/>
      </c>
      <c r="G662" s="56" t="str">
        <f>IF('AYIRA MINI MART FINAL MENU - Pr'!G662="", "", 'AYIRA MINI MART FINAL MENU - Pr'!G662)</f>
        <v/>
      </c>
      <c r="H662" s="56" t="str">
        <f>IF('AYIRA MINI MART FINAL MENU - Pr'!H662="", "", 'AYIRA MINI MART FINAL MENU - Pr'!H662)</f>
        <v/>
      </c>
      <c r="I662" s="56" t="str">
        <f>IF('AYIRA MINI MART FINAL MENU - Pr'!I662="", "", 'AYIRA MINI MART FINAL MENU - Pr'!I662)</f>
        <v/>
      </c>
      <c r="J662" s="56" t="str">
        <f>IFERROR(__xludf.DUMMYFUNCTION("IF('AYIRA MINI MART FINAL MENU - Pr'!J662="""", """", GOOGLETRANSLATE('AYIRA MINI MART FINAL MENU - Pr'!J662, ""en"", ""ar""))"),"")</f>
        <v/>
      </c>
      <c r="K662" s="56" t="str">
        <f>IF('AYIRA MINI MART FINAL MENU - Pr'!K662="", "", 'AYIRA MINI MART FINAL MENU - Pr'!K662)</f>
        <v/>
      </c>
      <c r="L662" s="56" t="str">
        <f>IF('AYIRA MINI MART FINAL MENU - Pr'!L662="", "", 'AYIRA MINI MART FINAL MENU - Pr'!L662)</f>
        <v/>
      </c>
      <c r="M662" s="56" t="str">
        <f>IF('AYIRA MINI MART FINAL MENU - Pr'!M662="", "", 'AYIRA MINI MART FINAL MENU - Pr'!M662)</f>
        <v/>
      </c>
      <c r="N662" s="56" t="str">
        <f>IF('AYIRA MINI MART FINAL MENU - Pr'!N662="", "", 'AYIRA MINI MART FINAL MENU - Pr'!N662)</f>
        <v/>
      </c>
      <c r="O662" s="57"/>
      <c r="P662" s="57"/>
      <c r="Q662" s="57"/>
      <c r="R662" s="57"/>
      <c r="S662" s="57"/>
      <c r="T662" s="57"/>
      <c r="U662" s="57"/>
      <c r="V662" s="57"/>
      <c r="W662" s="57"/>
      <c r="X662" s="57"/>
      <c r="Y662" s="57"/>
      <c r="Z662" s="57"/>
    </row>
    <row r="663">
      <c r="A663" s="56" t="str">
        <f>IFERROR(__xludf.DUMMYFUNCTION("IF('AYIRA MINI MART FINAL MENU - Pr'!A663="""", """", IF(LEN(TRIM(REGEXREPLACE(REGEXREPLACE('AYIRA MINI MART FINAL MENU - Pr'!A663, ""^[^\x{0600}-\x{06FF}]+"", """"), ""^[-–\s]+"", """")))&gt;0, TRIM(REGEXREPLACE(REGEXREPLACE('AYIRA MINI MART FINAL MENU - Pr"&amp;"'!A663, ""^[^\x{0600}-\x{06FF}]+"", """"), ""^[-–\s]+"", """")), GOOGLETRANSLATE('AYIRA MINI MART FINAL MENU - Pr'!A663, ""en"", ""ar"")))"),"جبنة Tortilla شيبس 180 غرام")</f>
        <v>جبنة Tortilla شيبس 180 غرام</v>
      </c>
      <c r="B663" s="56" t="str">
        <f>IFERROR(__xludf.DUMMYFUNCTION("IF('AYIRA MINI MART FINAL MENU - Pr'!B663="""", """", IF(LEN(TRIM(REGEXREPLACE(REGEXREPLACE('AYIRA MINI MART FINAL MENU - Pr'!B663, ""^[^\x{0600}-\x{06FF}]+"", """"), ""^[-–\s]+"", """")))&gt;0, TRIM(REGEXREPLACE(REGEXREPLACE('AYIRA MINI MART FINAL MENU - Pr"&amp;"'!B663, ""^[^\x{0600}-\x{06FF}]+"", """"), ""^[-–\s]+"", """")), GOOGLETRANSLATE('AYIRA MINI MART FINAL MENU - Pr'!B663, ""en"", ""ar"")))"),"الشيبس والمقرمشات")</f>
        <v>الشيبس والمقرمشات</v>
      </c>
      <c r="C663" s="58">
        <f>IF('AYIRA MINI MART FINAL MENU - Pr'!C663="", "", 'AYIRA MINI MART FINAL MENU - Pr'!C663)</f>
        <v>9</v>
      </c>
      <c r="D663" s="58" t="str">
        <f>IF('AYIRA MINI MART FINAL MENU - Pr'!D663="", "", 'AYIRA MINI MART FINAL MENU - Pr'!D663)</f>
        <v>لا تقاوم طعم Mexita Nacho Cheese Tortilla Chips 180g،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3" s="56" t="str">
        <f>IF('AYIRA MINI MART FINAL MENU - Pr'!E663="", "", 'AYIRA MINI MART FINAL MENU - Pr'!E663)</f>
        <v/>
      </c>
      <c r="F663" s="56" t="str">
        <f>IF('AYIRA MINI MART FINAL MENU - Pr'!F663="", "", 'AYIRA MINI MART FINAL MENU - Pr'!F663)</f>
        <v/>
      </c>
      <c r="G663" s="56" t="str">
        <f>IF('AYIRA MINI MART FINAL MENU - Pr'!G663="", "", 'AYIRA MINI MART FINAL MENU - Pr'!G663)</f>
        <v/>
      </c>
      <c r="H663" s="56" t="str">
        <f>IF('AYIRA MINI MART FINAL MENU - Pr'!H663="", "", 'AYIRA MINI MART FINAL MENU - Pr'!H663)</f>
        <v/>
      </c>
      <c r="I663" s="56" t="str">
        <f>IF('AYIRA MINI MART FINAL MENU - Pr'!I663="", "", 'AYIRA MINI MART FINAL MENU - Pr'!I663)</f>
        <v/>
      </c>
      <c r="J663" s="56" t="str">
        <f>IFERROR(__xludf.DUMMYFUNCTION("IF('AYIRA MINI MART FINAL MENU - Pr'!J663="""", """", GOOGLETRANSLATE('AYIRA MINI MART FINAL MENU - Pr'!J663, ""en"", ""ar""))"),"")</f>
        <v/>
      </c>
      <c r="K663" s="56" t="str">
        <f>IF('AYIRA MINI MART FINAL MENU - Pr'!K663="", "", 'AYIRA MINI MART FINAL MENU - Pr'!K663)</f>
        <v/>
      </c>
      <c r="L663" s="56" t="str">
        <f>IF('AYIRA MINI MART FINAL MENU - Pr'!L663="", "", 'AYIRA MINI MART FINAL MENU - Pr'!L663)</f>
        <v/>
      </c>
      <c r="M663" s="56" t="str">
        <f>IF('AYIRA MINI MART FINAL MENU - Pr'!M663="", "", 'AYIRA MINI MART FINAL MENU - Pr'!M663)</f>
        <v/>
      </c>
      <c r="N663" s="56" t="str">
        <f>IF('AYIRA MINI MART FINAL MENU - Pr'!N663="", "", 'AYIRA MINI MART FINAL MENU - Pr'!N663)</f>
        <v/>
      </c>
      <c r="O663" s="57"/>
      <c r="P663" s="57"/>
      <c r="Q663" s="57"/>
      <c r="R663" s="57"/>
      <c r="S663" s="57"/>
      <c r="T663" s="57"/>
      <c r="U663" s="57"/>
      <c r="V663" s="57"/>
      <c r="W663" s="57"/>
      <c r="X663" s="57"/>
      <c r="Y663" s="57"/>
      <c r="Z663" s="57"/>
    </row>
    <row r="664">
      <c r="A664" s="56" t="str">
        <f>IFERROR(__xludf.DUMMYFUNCTION("IF('AYIRA MINI MART FINAL MENU - Pr'!A664="""", """", IF(LEN(TRIM(REGEXREPLACE(REGEXREPLACE('AYIRA MINI MART FINAL MENU - Pr'!A664, ""^[^\x{0600}-\x{06FF}]+"", """"), ""^[-–\s]+"", """")))&gt;0, TRIM(REGEXREPLACE(REGEXREPLACE('AYIRA MINI MART FINAL MENU - Pr"&amp;"'!A664, ""^[^\x{0600}-\x{06FF}]+"", """"), ""^[-–\s]+"", """")), GOOGLETRANSLATE('AYIRA MINI MART FINAL MENU - Pr'!A664, ""en"", ""ar"")))"),"حار Chilli &amp; Lime Tortilla شيبس 180 غرام")</f>
        <v>حار Chilli &amp; Lime Tortilla شيبس 180 غرام</v>
      </c>
      <c r="B664" s="56" t="str">
        <f>IFERROR(__xludf.DUMMYFUNCTION("IF('AYIRA MINI MART FINAL MENU - Pr'!B664="""", """", IF(LEN(TRIM(REGEXREPLACE(REGEXREPLACE('AYIRA MINI MART FINAL MENU - Pr'!B664, ""^[^\x{0600}-\x{06FF}]+"", """"), ""^[-–\s]+"", """")))&gt;0, TRIM(REGEXREPLACE(REGEXREPLACE('AYIRA MINI MART FINAL MENU - Pr"&amp;"'!B664, ""^[^\x{0600}-\x{06FF}]+"", """"), ""^[-–\s]+"", """")), GOOGLETRANSLATE('AYIRA MINI MART FINAL MENU - Pr'!B664, ""en"", ""ar"")))"),"الشيبس والمقرمشات")</f>
        <v>الشيبس والمقرمشات</v>
      </c>
      <c r="C664" s="58">
        <f>IF('AYIRA MINI MART FINAL MENU - Pr'!C664="", "", 'AYIRA MINI MART FINAL MENU - Pr'!C664)</f>
        <v>9</v>
      </c>
      <c r="D664" s="58" t="str">
        <f>IF('AYIRA MINI MART FINAL MENU - Pr'!D664="", "", 'AYIRA MINI MART FINAL MENU - Pr'!D664)</f>
        <v>لا تقاوم طعم Mexita Hot Chilli &amp; Lime Tortilla Chips 180g
 ،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4" s="56" t="str">
        <f>IF('AYIRA MINI MART FINAL MENU - Pr'!E664="", "", 'AYIRA MINI MART FINAL MENU - Pr'!E664)</f>
        <v/>
      </c>
      <c r="F664" s="56" t="str">
        <f>IF('AYIRA MINI MART FINAL MENU - Pr'!F664="", "", 'AYIRA MINI MART FINAL MENU - Pr'!F664)</f>
        <v/>
      </c>
      <c r="G664" s="56" t="str">
        <f>IF('AYIRA MINI MART FINAL MENU - Pr'!G664="", "", 'AYIRA MINI MART FINAL MENU - Pr'!G664)</f>
        <v/>
      </c>
      <c r="H664" s="56" t="str">
        <f>IF('AYIRA MINI MART FINAL MENU - Pr'!H664="", "", 'AYIRA MINI MART FINAL MENU - Pr'!H664)</f>
        <v/>
      </c>
      <c r="I664" s="56" t="str">
        <f>IF('AYIRA MINI MART FINAL MENU - Pr'!I664="", "", 'AYIRA MINI MART FINAL MENU - Pr'!I664)</f>
        <v/>
      </c>
      <c r="J664" s="56" t="str">
        <f>IFERROR(__xludf.DUMMYFUNCTION("IF('AYIRA MINI MART FINAL MENU - Pr'!J664="""", """", GOOGLETRANSLATE('AYIRA MINI MART FINAL MENU - Pr'!J664, ""en"", ""ar""))"),"")</f>
        <v/>
      </c>
      <c r="K664" s="56" t="str">
        <f>IF('AYIRA MINI MART FINAL MENU - Pr'!K664="", "", 'AYIRA MINI MART FINAL MENU - Pr'!K664)</f>
        <v/>
      </c>
      <c r="L664" s="56" t="str">
        <f>IF('AYIRA MINI MART FINAL MENU - Pr'!L664="", "", 'AYIRA MINI MART FINAL MENU - Pr'!L664)</f>
        <v/>
      </c>
      <c r="M664" s="56" t="str">
        <f>IF('AYIRA MINI MART FINAL MENU - Pr'!M664="", "", 'AYIRA MINI MART FINAL MENU - Pr'!M664)</f>
        <v/>
      </c>
      <c r="N664" s="56" t="str">
        <f>IF('AYIRA MINI MART FINAL MENU - Pr'!N664="", "", 'AYIRA MINI MART FINAL MENU - Pr'!N664)</f>
        <v/>
      </c>
      <c r="O664" s="57"/>
      <c r="P664" s="57"/>
      <c r="Q664" s="57"/>
      <c r="R664" s="57"/>
      <c r="S664" s="57"/>
      <c r="T664" s="57"/>
      <c r="U664" s="57"/>
      <c r="V664" s="57"/>
      <c r="W664" s="57"/>
      <c r="X664" s="57"/>
      <c r="Y664" s="57"/>
      <c r="Z664" s="57"/>
    </row>
    <row r="665">
      <c r="A665" s="56" t="str">
        <f>IFERROR(__xludf.DUMMYFUNCTION("IF('AYIRA MINI MART FINAL MENU - Pr'!A665="""", """", IF(LEN(TRIM(REGEXREPLACE(REGEXREPLACE('AYIRA MINI MART FINAL MENU - Pr'!A665, ""^[^\x{0600}-\x{06FF}]+"", """"), ""^[-–\s]+"", """")))&gt;0, TRIM(REGEXREPLACE(REGEXREPLACE('AYIRA MINI MART FINAL MENU - Pr"&amp;"'!A665, ""^[^\x{0600}-\x{06FF}]+"", """"), ""^[-–\s]+"", """")), GOOGLETRANSLATE('AYIRA MINI MART FINAL MENU - Pr'!A665, ""en"", ""ar"")))"),"بصل 85 غرام")</f>
        <v>بصل 85 غرام</v>
      </c>
      <c r="B665" s="56" t="str">
        <f>IFERROR(__xludf.DUMMYFUNCTION("IF('AYIRA MINI MART FINAL MENU - Pr'!B665="""", """", IF(LEN(TRIM(REGEXREPLACE(REGEXREPLACE('AYIRA MINI MART FINAL MENU - Pr'!B665, ""^[^\x{0600}-\x{06FF}]+"", """"), ""^[-–\s]+"", """")))&gt;0, TRIM(REGEXREPLACE(REGEXREPLACE('AYIRA MINI MART FINAL MENU - Pr"&amp;"'!B665, ""^[^\x{0600}-\x{06FF}]+"", """"), ""^[-–\s]+"", """")), GOOGLETRANSLATE('AYIRA MINI MART FINAL MENU - Pr'!B665, ""en"", ""ar"")))"),"الشيبس والمقرمشات")</f>
        <v>الشيبس والمقرمشات</v>
      </c>
      <c r="C665" s="58">
        <f>IF('AYIRA MINI MART FINAL MENU - Pr'!C665="", "", 'AYIRA MINI MART FINAL MENU - Pr'!C665)</f>
        <v>6</v>
      </c>
      <c r="D665" s="58" t="str">
        <f>IF('AYIRA MINI MART FINAL MENU - Pr'!D665="", "", 'AYIRA MINI MART FINAL MENU - Pr'!D665)</f>
        <v>لا تقاوم طعم Karkish Caramelized Onion 85g،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5" s="56" t="str">
        <f>IF('AYIRA MINI MART FINAL MENU - Pr'!E665="", "", 'AYIRA MINI MART FINAL MENU - Pr'!E665)</f>
        <v/>
      </c>
      <c r="F665" s="56" t="str">
        <f>IF('AYIRA MINI MART FINAL MENU - Pr'!F665="", "", 'AYIRA MINI MART FINAL MENU - Pr'!F665)</f>
        <v/>
      </c>
      <c r="G665" s="56" t="str">
        <f>IF('AYIRA MINI MART FINAL MENU - Pr'!G665="", "", 'AYIRA MINI MART FINAL MENU - Pr'!G665)</f>
        <v/>
      </c>
      <c r="H665" s="56" t="str">
        <f>IF('AYIRA MINI MART FINAL MENU - Pr'!H665="", "", 'AYIRA MINI MART FINAL MENU - Pr'!H665)</f>
        <v/>
      </c>
      <c r="I665" s="56" t="str">
        <f>IF('AYIRA MINI MART FINAL MENU - Pr'!I665="", "", 'AYIRA MINI MART FINAL MENU - Pr'!I665)</f>
        <v/>
      </c>
      <c r="J665" s="56" t="str">
        <f>IFERROR(__xludf.DUMMYFUNCTION("IF('AYIRA MINI MART FINAL MENU - Pr'!J665="""", """", GOOGLETRANSLATE('AYIRA MINI MART FINAL MENU - Pr'!J665, ""en"", ""ar""))"),"يخفي")</f>
        <v>يخفي</v>
      </c>
      <c r="K665" s="56" t="str">
        <f>IF('AYIRA MINI MART FINAL MENU - Pr'!K665="", "", 'AYIRA MINI MART FINAL MENU - Pr'!K665)</f>
        <v/>
      </c>
      <c r="L665" s="56" t="str">
        <f>IF('AYIRA MINI MART FINAL MENU - Pr'!L665="", "", 'AYIRA MINI MART FINAL MENU - Pr'!L665)</f>
        <v/>
      </c>
      <c r="M665" s="56" t="str">
        <f>IF('AYIRA MINI MART FINAL MENU - Pr'!M665="", "", 'AYIRA MINI MART FINAL MENU - Pr'!M665)</f>
        <v/>
      </c>
      <c r="N665" s="56" t="str">
        <f>IF('AYIRA MINI MART FINAL MENU - Pr'!N665="", "", 'AYIRA MINI MART FINAL MENU - Pr'!N665)</f>
        <v/>
      </c>
      <c r="O665" s="57"/>
      <c r="P665" s="57"/>
      <c r="Q665" s="57"/>
      <c r="R665" s="57"/>
      <c r="S665" s="57"/>
      <c r="T665" s="57"/>
      <c r="U665" s="57"/>
      <c r="V665" s="57"/>
      <c r="W665" s="57"/>
      <c r="X665" s="57"/>
      <c r="Y665" s="57"/>
      <c r="Z665" s="57"/>
    </row>
    <row r="666">
      <c r="A666" s="56" t="str">
        <f>IFERROR(__xludf.DUMMYFUNCTION("IF('AYIRA MINI MART FINAL MENU - Pr'!A666="""", """", IF(LEN(TRIM(REGEXREPLACE(REGEXREPLACE('AYIRA MINI MART FINAL MENU - Pr'!A666, ""^[^\x{0600}-\x{06FF}]+"", """"), ""^[-–\s]+"", """")))&gt;0, TRIM(REGEXREPLACE(REGEXREPLACE('AYIRA MINI MART FINAL MENU - Pr"&amp;"'!A666, ""^[^\x{0600}-\x{06FF}]+"", """"), ""^[-–\s]+"", """")), GOOGLETRANSLATE('AYIRA MINI MART FINAL MENU - Pr'!A666, ""en"", ""ar"")))"),"جبنة 85 غرام")</f>
        <v>جبنة 85 غرام</v>
      </c>
      <c r="B666" s="56" t="str">
        <f>IFERROR(__xludf.DUMMYFUNCTION("IF('AYIRA MINI MART FINAL MENU - Pr'!B666="""", """", IF(LEN(TRIM(REGEXREPLACE(REGEXREPLACE('AYIRA MINI MART FINAL MENU - Pr'!B666, ""^[^\x{0600}-\x{06FF}]+"", """"), ""^[-–\s]+"", """")))&gt;0, TRIM(REGEXREPLACE(REGEXREPLACE('AYIRA MINI MART FINAL MENU - Pr"&amp;"'!B666, ""^[^\x{0600}-\x{06FF}]+"", """"), ""^[-–\s]+"", """")), GOOGLETRANSLATE('AYIRA MINI MART FINAL MENU - Pr'!B666, ""en"", ""ar"")))"),"الشيبس والمقرمشات")</f>
        <v>الشيبس والمقرمشات</v>
      </c>
      <c r="C666" s="58">
        <f>IF('AYIRA MINI MART FINAL MENU - Pr'!C666="", "", 'AYIRA MINI MART FINAL MENU - Pr'!C666)</f>
        <v>6</v>
      </c>
      <c r="D666" s="58" t="str">
        <f>IF('AYIRA MINI MART FINAL MENU - Pr'!D666="", "", 'AYIRA MINI MART FINAL MENU - Pr'!D666)</f>
        <v>لا تقاوم طعم Karkish Nacho Cheese 85g،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6" s="56" t="str">
        <f>IF('AYIRA MINI MART FINAL MENU - Pr'!E666="", "", 'AYIRA MINI MART FINAL MENU - Pr'!E666)</f>
        <v/>
      </c>
      <c r="F666" s="56" t="str">
        <f>IF('AYIRA MINI MART FINAL MENU - Pr'!F666="", "", 'AYIRA MINI MART FINAL MENU - Pr'!F666)</f>
        <v/>
      </c>
      <c r="G666" s="56" t="str">
        <f>IF('AYIRA MINI MART FINAL MENU - Pr'!G666="", "", 'AYIRA MINI MART FINAL MENU - Pr'!G666)</f>
        <v/>
      </c>
      <c r="H666" s="56" t="str">
        <f>IF('AYIRA MINI MART FINAL MENU - Pr'!H666="", "", 'AYIRA MINI MART FINAL MENU - Pr'!H666)</f>
        <v/>
      </c>
      <c r="I666" s="56" t="str">
        <f>IF('AYIRA MINI MART FINAL MENU - Pr'!I666="", "", 'AYIRA MINI MART FINAL MENU - Pr'!I666)</f>
        <v/>
      </c>
      <c r="J666" s="56" t="str">
        <f>IFERROR(__xludf.DUMMYFUNCTION("IF('AYIRA MINI MART FINAL MENU - Pr'!J666="""", """", GOOGLETRANSLATE('AYIRA MINI MART FINAL MENU - Pr'!J666, ""en"", ""ar""))"),"يخفي")</f>
        <v>يخفي</v>
      </c>
      <c r="K666" s="56" t="str">
        <f>IF('AYIRA MINI MART FINAL MENU - Pr'!K666="", "", 'AYIRA MINI MART FINAL MENU - Pr'!K666)</f>
        <v/>
      </c>
      <c r="L666" s="56" t="str">
        <f>IF('AYIRA MINI MART FINAL MENU - Pr'!L666="", "", 'AYIRA MINI MART FINAL MENU - Pr'!L666)</f>
        <v/>
      </c>
      <c r="M666" s="56" t="str">
        <f>IF('AYIRA MINI MART FINAL MENU - Pr'!M666="", "", 'AYIRA MINI MART FINAL MENU - Pr'!M666)</f>
        <v/>
      </c>
      <c r="N666" s="56" t="str">
        <f>IF('AYIRA MINI MART FINAL MENU - Pr'!N666="", "", 'AYIRA MINI MART FINAL MENU - Pr'!N666)</f>
        <v/>
      </c>
      <c r="O666" s="57"/>
      <c r="P666" s="57"/>
      <c r="Q666" s="57"/>
      <c r="R666" s="57"/>
      <c r="S666" s="57"/>
      <c r="T666" s="57"/>
      <c r="U666" s="57"/>
      <c r="V666" s="57"/>
      <c r="W666" s="57"/>
      <c r="X666" s="57"/>
      <c r="Y666" s="57"/>
      <c r="Z666" s="57"/>
    </row>
    <row r="667">
      <c r="A667" s="56" t="str">
        <f>IFERROR(__xludf.DUMMYFUNCTION("IF('AYIRA MINI MART FINAL MENU - Pr'!A667="""", """", IF(LEN(TRIM(REGEXREPLACE(REGEXREPLACE('AYIRA MINI MART FINAL MENU - Pr'!A667, ""^[^\x{0600}-\x{06FF}]+"", """"), ""^[-–\s]+"", """")))&gt;0, TRIM(REGEXREPLACE(REGEXREPLACE('AYIRA MINI MART FINAL MENU - Pr"&amp;"'!A667, ""^[^\x{0600}-\x{06FF}]+"", """"), ""^[-–\s]+"", """")), GOOGLETRANSLATE('AYIRA MINI MART FINAL MENU - Pr'!A667, ""en"", ""ar"")))"),"غرام")</f>
        <v>غرام</v>
      </c>
      <c r="B667" s="56" t="str">
        <f>IFERROR(__xludf.DUMMYFUNCTION("IF('AYIRA MINI MART FINAL MENU - Pr'!B667="""", """", IF(LEN(TRIM(REGEXREPLACE(REGEXREPLACE('AYIRA MINI MART FINAL MENU - Pr'!B667, ""^[^\x{0600}-\x{06FF}]+"", """"), ""^[-–\s]+"", """")))&gt;0, TRIM(REGEXREPLACE(REGEXREPLACE('AYIRA MINI MART FINAL MENU - Pr"&amp;"'!B667, ""^[^\x{0600}-\x{06FF}]+"", """"), ""^[-–\s]+"", """")), GOOGLETRANSLATE('AYIRA MINI MART FINAL MENU - Pr'!B667, ""en"", ""ar"")))"),"الشيبس والمقرمشات")</f>
        <v>الشيبس والمقرمشات</v>
      </c>
      <c r="C667" s="58">
        <f>IF('AYIRA MINI MART FINAL MENU - Pr'!C667="", "", 'AYIRA MINI MART FINAL MENU - Pr'!C667)</f>
        <v>3.5</v>
      </c>
      <c r="D667" s="58" t="str">
        <f>IF('AYIRA MINI MART FINAL MENU - Pr'!D667="", "", 'AYIRA MINI MART FINAL MENU - Pr'!D667)</f>
        <v>لا تقاوم طعم Karkish Paprika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7" s="56" t="str">
        <f>IF('AYIRA MINI MART FINAL MENU - Pr'!E667="", "", 'AYIRA MINI MART FINAL MENU - Pr'!E667)</f>
        <v/>
      </c>
      <c r="F667" s="56" t="str">
        <f>IF('AYIRA MINI MART FINAL MENU - Pr'!F667="", "", 'AYIRA MINI MART FINAL MENU - Pr'!F667)</f>
        <v/>
      </c>
      <c r="G667" s="56" t="str">
        <f>IF('AYIRA MINI MART FINAL MENU - Pr'!G667="", "", 'AYIRA MINI MART FINAL MENU - Pr'!G667)</f>
        <v/>
      </c>
      <c r="H667" s="56" t="str">
        <f>IF('AYIRA MINI MART FINAL MENU - Pr'!H667="", "", 'AYIRA MINI MART FINAL MENU - Pr'!H667)</f>
        <v/>
      </c>
      <c r="I667" s="56" t="str">
        <f>IF('AYIRA MINI MART FINAL MENU - Pr'!I667="", "", 'AYIRA MINI MART FINAL MENU - Pr'!I667)</f>
        <v/>
      </c>
      <c r="J667" s="56" t="str">
        <f>IFERROR(__xludf.DUMMYFUNCTION("IF('AYIRA MINI MART FINAL MENU - Pr'!J667="""", """", GOOGLETRANSLATE('AYIRA MINI MART FINAL MENU - Pr'!J667, ""en"", ""ar""))"),"يخفي")</f>
        <v>يخفي</v>
      </c>
      <c r="K667" s="56" t="str">
        <f>IF('AYIRA MINI MART FINAL MENU - Pr'!K667="", "", 'AYIRA MINI MART FINAL MENU - Pr'!K667)</f>
        <v/>
      </c>
      <c r="L667" s="56" t="str">
        <f>IF('AYIRA MINI MART FINAL MENU - Pr'!L667="", "", 'AYIRA MINI MART FINAL MENU - Pr'!L667)</f>
        <v/>
      </c>
      <c r="M667" s="56" t="str">
        <f>IF('AYIRA MINI MART FINAL MENU - Pr'!M667="", "", 'AYIRA MINI MART FINAL MENU - Pr'!M667)</f>
        <v/>
      </c>
      <c r="N667" s="56" t="str">
        <f>IF('AYIRA MINI MART FINAL MENU - Pr'!N667="", "", 'AYIRA MINI MART FINAL MENU - Pr'!N667)</f>
        <v/>
      </c>
      <c r="O667" s="57"/>
      <c r="P667" s="57"/>
      <c r="Q667" s="57"/>
      <c r="R667" s="57"/>
      <c r="S667" s="57"/>
      <c r="T667" s="57"/>
      <c r="U667" s="57"/>
      <c r="V667" s="57"/>
      <c r="W667" s="57"/>
      <c r="X667" s="57"/>
      <c r="Y667" s="57"/>
      <c r="Z667" s="57"/>
    </row>
    <row r="668">
      <c r="A668" s="56" t="str">
        <f>IFERROR(__xludf.DUMMYFUNCTION("IF('AYIRA MINI MART FINAL MENU - Pr'!A668="""", """", IF(LEN(TRIM(REGEXREPLACE(REGEXREPLACE('AYIRA MINI MART FINAL MENU - Pr'!A668, ""^[^\x{0600}-\x{06FF}]+"", """"), ""^[-–\s]+"", """")))&gt;0, TRIM(REGEXREPLACE(REGEXREPLACE('AYIRA MINI MART FINAL MENU - Pr"&amp;"'!A668, ""^[^\x{0600}-\x{06FF}]+"", """"), ""^[-–\s]+"", """")), GOOGLETRANSLATE('AYIRA MINI MART FINAL MENU - Pr'!A668, ""en"", ""ar"")))"),"جبنة 40 غرام")</f>
        <v>جبنة 40 غرام</v>
      </c>
      <c r="B668" s="56" t="str">
        <f>IFERROR(__xludf.DUMMYFUNCTION("IF('AYIRA MINI MART FINAL MENU - Pr'!B668="""", """", IF(LEN(TRIM(REGEXREPLACE(REGEXREPLACE('AYIRA MINI MART FINAL MENU - Pr'!B668, ""^[^\x{0600}-\x{06FF}]+"", """"), ""^[-–\s]+"", """")))&gt;0, TRIM(REGEXREPLACE(REGEXREPLACE('AYIRA MINI MART FINAL MENU - Pr"&amp;"'!B668, ""^[^\x{0600}-\x{06FF}]+"", """"), ""^[-–\s]+"", """")), GOOGLETRANSLATE('AYIRA MINI MART FINAL MENU - Pr'!B668, ""en"", ""ar"")))"),"الشيبس والمقرمشات")</f>
        <v>الشيبس والمقرمشات</v>
      </c>
      <c r="C668" s="58">
        <f>IF('AYIRA MINI MART FINAL MENU - Pr'!C668="", "", 'AYIRA MINI MART FINAL MENU - Pr'!C668)</f>
        <v>3.5</v>
      </c>
      <c r="D668" s="58" t="str">
        <f>IF('AYIRA MINI MART FINAL MENU - Pr'!D668="", "", 'AYIRA MINI MART FINAL MENU - Pr'!D668)</f>
        <v>لا تقاوم طعم Karkish French Cheese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8" s="56" t="str">
        <f>IF('AYIRA MINI MART FINAL MENU - Pr'!E668="", "", 'AYIRA MINI MART FINAL MENU - Pr'!E668)</f>
        <v/>
      </c>
      <c r="F668" s="56" t="str">
        <f>IF('AYIRA MINI MART FINAL MENU - Pr'!F668="", "", 'AYIRA MINI MART FINAL MENU - Pr'!F668)</f>
        <v/>
      </c>
      <c r="G668" s="56" t="str">
        <f>IF('AYIRA MINI MART FINAL MENU - Pr'!G668="", "", 'AYIRA MINI MART FINAL MENU - Pr'!G668)</f>
        <v/>
      </c>
      <c r="H668" s="56" t="str">
        <f>IF('AYIRA MINI MART FINAL MENU - Pr'!H668="", "", 'AYIRA MINI MART FINAL MENU - Pr'!H668)</f>
        <v/>
      </c>
      <c r="I668" s="56" t="str">
        <f>IF('AYIRA MINI MART FINAL MENU - Pr'!I668="", "", 'AYIRA MINI MART FINAL MENU - Pr'!I668)</f>
        <v/>
      </c>
      <c r="J668" s="56" t="str">
        <f>IFERROR(__xludf.DUMMYFUNCTION("IF('AYIRA MINI MART FINAL MENU - Pr'!J668="""", """", GOOGLETRANSLATE('AYIRA MINI MART FINAL MENU - Pr'!J668, ""en"", ""ar""))"),"يخفي")</f>
        <v>يخفي</v>
      </c>
      <c r="K668" s="56" t="str">
        <f>IF('AYIRA MINI MART FINAL MENU - Pr'!K668="", "", 'AYIRA MINI MART FINAL MENU - Pr'!K668)</f>
        <v/>
      </c>
      <c r="L668" s="56" t="str">
        <f>IF('AYIRA MINI MART FINAL MENU - Pr'!L668="", "", 'AYIRA MINI MART FINAL MENU - Pr'!L668)</f>
        <v/>
      </c>
      <c r="M668" s="56" t="str">
        <f>IF('AYIRA MINI MART FINAL MENU - Pr'!M668="", "", 'AYIRA MINI MART FINAL MENU - Pr'!M668)</f>
        <v/>
      </c>
      <c r="N668" s="56" t="str">
        <f>IF('AYIRA MINI MART FINAL MENU - Pr'!N668="", "", 'AYIRA MINI MART FINAL MENU - Pr'!N668)</f>
        <v/>
      </c>
      <c r="O668" s="57"/>
      <c r="P668" s="57"/>
      <c r="Q668" s="57"/>
      <c r="R668" s="57"/>
      <c r="S668" s="57"/>
      <c r="T668" s="57"/>
      <c r="U668" s="57"/>
      <c r="V668" s="57"/>
      <c r="W668" s="57"/>
      <c r="X668" s="57"/>
      <c r="Y668" s="57"/>
      <c r="Z668" s="57"/>
    </row>
    <row r="669">
      <c r="A669" s="56" t="str">
        <f>IFERROR(__xludf.DUMMYFUNCTION("IF('AYIRA MINI MART FINAL MENU - Pr'!A669="""", """", IF(LEN(TRIM(REGEXREPLACE(REGEXREPLACE('AYIRA MINI MART FINAL MENU - Pr'!A669, ""^[^\x{0600}-\x{06FF}]+"", """"), ""^[-–\s]+"", """")))&gt;0, TRIM(REGEXREPLACE(REGEXREPLACE('AYIRA MINI MART FINAL MENU - Pr"&amp;"'!A669, ""^[^\x{0600}-\x{06FF}]+"", """"), ""^[-–\s]+"", """")), GOOGLETRANSLATE('AYIRA MINI MART FINAL MENU - Pr'!A669, ""en"", ""ar"")))"),"حار Chilli 40 غرام")</f>
        <v>حار Chilli 40 غرام</v>
      </c>
      <c r="B669" s="56" t="str">
        <f>IFERROR(__xludf.DUMMYFUNCTION("IF('AYIRA MINI MART FINAL MENU - Pr'!B669="""", """", IF(LEN(TRIM(REGEXREPLACE(REGEXREPLACE('AYIRA MINI MART FINAL MENU - Pr'!B669, ""^[^\x{0600}-\x{06FF}]+"", """"), ""^[-–\s]+"", """")))&gt;0, TRIM(REGEXREPLACE(REGEXREPLACE('AYIRA MINI MART FINAL MENU - Pr"&amp;"'!B669, ""^[^\x{0600}-\x{06FF}]+"", """"), ""^[-–\s]+"", """")), GOOGLETRANSLATE('AYIRA MINI MART FINAL MENU - Pr'!B669, ""en"", ""ar"")))"),"الشيبس والمقرمشات")</f>
        <v>الشيبس والمقرمشات</v>
      </c>
      <c r="C669" s="58">
        <f>IF('AYIRA MINI MART FINAL MENU - Pr'!C669="", "", 'AYIRA MINI MART FINAL MENU - Pr'!C669)</f>
        <v>3.4</v>
      </c>
      <c r="D669" s="58" t="str">
        <f>IF('AYIRA MINI MART FINAL MENU - Pr'!D669="", "", 'AYIRA MINI MART FINAL MENU - Pr'!D669)</f>
        <v>لا تقاوم طعم Karkish Hot Chilli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69" s="56" t="str">
        <f>IF('AYIRA MINI MART FINAL MENU - Pr'!E669="", "", 'AYIRA MINI MART FINAL MENU - Pr'!E669)</f>
        <v/>
      </c>
      <c r="F669" s="56" t="str">
        <f>IF('AYIRA MINI MART FINAL MENU - Pr'!F669="", "", 'AYIRA MINI MART FINAL MENU - Pr'!F669)</f>
        <v/>
      </c>
      <c r="G669" s="56" t="str">
        <f>IF('AYIRA MINI MART FINAL MENU - Pr'!G669="", "", 'AYIRA MINI MART FINAL MENU - Pr'!G669)</f>
        <v/>
      </c>
      <c r="H669" s="56" t="str">
        <f>IF('AYIRA MINI MART FINAL MENU - Pr'!H669="", "", 'AYIRA MINI MART FINAL MENU - Pr'!H669)</f>
        <v/>
      </c>
      <c r="I669" s="56" t="str">
        <f>IF('AYIRA MINI MART FINAL MENU - Pr'!I669="", "", 'AYIRA MINI MART FINAL MENU - Pr'!I669)</f>
        <v/>
      </c>
      <c r="J669" s="56" t="str">
        <f>IFERROR(__xludf.DUMMYFUNCTION("IF('AYIRA MINI MART FINAL MENU - Pr'!J669="""", """", GOOGLETRANSLATE('AYIRA MINI MART FINAL MENU - Pr'!J669, ""en"", ""ar""))"),"")</f>
        <v/>
      </c>
      <c r="K669" s="56" t="str">
        <f>IF('AYIRA MINI MART FINAL MENU - Pr'!K669="", "", 'AYIRA MINI MART FINAL MENU - Pr'!K669)</f>
        <v/>
      </c>
      <c r="L669" s="56" t="str">
        <f>IF('AYIRA MINI MART FINAL MENU - Pr'!L669="", "", 'AYIRA MINI MART FINAL MENU - Pr'!L669)</f>
        <v/>
      </c>
      <c r="M669" s="56" t="str">
        <f>IF('AYIRA MINI MART FINAL MENU - Pr'!M669="", "", 'AYIRA MINI MART FINAL MENU - Pr'!M669)</f>
        <v/>
      </c>
      <c r="N669" s="56" t="str">
        <f>IF('AYIRA MINI MART FINAL MENU - Pr'!N669="", "", 'AYIRA MINI MART FINAL MENU - Pr'!N669)</f>
        <v/>
      </c>
      <c r="O669" s="57"/>
      <c r="P669" s="57"/>
      <c r="Q669" s="57"/>
      <c r="R669" s="57"/>
      <c r="S669" s="57"/>
      <c r="T669" s="57"/>
      <c r="U669" s="57"/>
      <c r="V669" s="57"/>
      <c r="W669" s="57"/>
      <c r="X669" s="57"/>
      <c r="Y669" s="57"/>
      <c r="Z669" s="57"/>
    </row>
    <row r="670">
      <c r="A670" s="56" t="str">
        <f>IFERROR(__xludf.DUMMYFUNCTION("IF('AYIRA MINI MART FINAL MENU - Pr'!A670="""", """", IF(LEN(TRIM(REGEXREPLACE(REGEXREPLACE('AYIRA MINI MART FINAL MENU - Pr'!A670, ""^[^\x{0600}-\x{06FF}]+"", """"), ""^[-–\s]+"", """")))&gt;0, TRIM(REGEXREPLACE(REGEXREPLACE('AYIRA MINI MART FINAL MENU - Pr"&amp;"'!A670, ""^[^\x{0600}-\x{06FF}]+"", """"), ""^[-–\s]+"", """")), GOOGLETRANSLATE('AYIRA MINI MART FINAL MENU - Pr'!A670, ""en"", ""ar"")))"),"جبنة 65 غرام")</f>
        <v>جبنة 65 غرام</v>
      </c>
      <c r="B670" s="56" t="str">
        <f>IFERROR(__xludf.DUMMYFUNCTION("IF('AYIRA MINI MART FINAL MENU - Pr'!B670="""", """", IF(LEN(TRIM(REGEXREPLACE(REGEXREPLACE('AYIRA MINI MART FINAL MENU - Pr'!B670, ""^[^\x{0600}-\x{06FF}]+"", """"), ""^[-–\s]+"", """")))&gt;0, TRIM(REGEXREPLACE(REGEXREPLACE('AYIRA MINI MART FINAL MENU - Pr"&amp;"'!B670, ""^[^\x{0600}-\x{06FF}]+"", """"), ""^[-–\s]+"", """")), GOOGLETRANSLATE('AYIRA MINI MART FINAL MENU - Pr'!B670, ""en"", ""ar"")))"),"الشيبس والمقرمشات")</f>
        <v>الشيبس والمقرمشات</v>
      </c>
      <c r="C670" s="58">
        <f>IF('AYIRA MINI MART FINAL MENU - Pr'!C670="", "", 'AYIRA MINI MART FINAL MENU - Pr'!C670)</f>
        <v>5</v>
      </c>
      <c r="D670" s="58" t="str">
        <f>IF('AYIRA MINI MART FINAL MENU - Pr'!D670="", "", 'AYIRA MINI MART FINAL MENU - Pr'!D670)</f>
        <v>لا تقاوم طعم Bugles Chilli Cheese 65g،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0" s="56" t="str">
        <f>IF('AYIRA MINI MART FINAL MENU - Pr'!E670="", "", 'AYIRA MINI MART FINAL MENU - Pr'!E670)</f>
        <v/>
      </c>
      <c r="F670" s="56" t="str">
        <f>IF('AYIRA MINI MART FINAL MENU - Pr'!F670="", "", 'AYIRA MINI MART FINAL MENU - Pr'!F670)</f>
        <v/>
      </c>
      <c r="G670" s="56" t="str">
        <f>IF('AYIRA MINI MART FINAL MENU - Pr'!G670="", "", 'AYIRA MINI MART FINAL MENU - Pr'!G670)</f>
        <v/>
      </c>
      <c r="H670" s="56" t="str">
        <f>IF('AYIRA MINI MART FINAL MENU - Pr'!H670="", "", 'AYIRA MINI MART FINAL MENU - Pr'!H670)</f>
        <v/>
      </c>
      <c r="I670" s="56" t="str">
        <f>IF('AYIRA MINI MART FINAL MENU - Pr'!I670="", "", 'AYIRA MINI MART FINAL MENU - Pr'!I670)</f>
        <v/>
      </c>
      <c r="J670" s="56" t="str">
        <f>IFERROR(__xludf.DUMMYFUNCTION("IF('AYIRA MINI MART FINAL MENU - Pr'!J670="""", """", GOOGLETRANSLATE('AYIRA MINI MART FINAL MENU - Pr'!J670, ""en"", ""ar""))"),"يعرض")</f>
        <v>يعرض</v>
      </c>
      <c r="K670" s="56" t="str">
        <f>IF('AYIRA MINI MART FINAL MENU - Pr'!K670="", "", 'AYIRA MINI MART FINAL MENU - Pr'!K670)</f>
        <v/>
      </c>
      <c r="L670" s="56" t="str">
        <f>IF('AYIRA MINI MART FINAL MENU - Pr'!L670="", "", 'AYIRA MINI MART FINAL MENU - Pr'!L670)</f>
        <v/>
      </c>
      <c r="M670" s="56" t="str">
        <f>IF('AYIRA MINI MART FINAL MENU - Pr'!M670="", "", 'AYIRA MINI MART FINAL MENU - Pr'!M670)</f>
        <v/>
      </c>
      <c r="N670" s="56" t="str">
        <f>IF('AYIRA MINI MART FINAL MENU - Pr'!N670="", "", 'AYIRA MINI MART FINAL MENU - Pr'!N670)</f>
        <v/>
      </c>
      <c r="O670" s="57"/>
      <c r="P670" s="57"/>
      <c r="Q670" s="57"/>
      <c r="R670" s="57"/>
      <c r="S670" s="57"/>
      <c r="T670" s="57"/>
      <c r="U670" s="57"/>
      <c r="V670" s="57"/>
      <c r="W670" s="57"/>
      <c r="X670" s="57"/>
      <c r="Y670" s="57"/>
      <c r="Z670" s="57"/>
    </row>
    <row r="671">
      <c r="A671" s="56" t="str">
        <f>IFERROR(__xludf.DUMMYFUNCTION("IF('AYIRA MINI MART FINAL MENU - Pr'!A671="""", """", IF(LEN(TRIM(REGEXREPLACE(REGEXREPLACE('AYIRA MINI MART FINAL MENU - Pr'!A671, ""^[^\x{0600}-\x{06FF}]+"", """"), ""^[-–\s]+"", """")))&gt;0, TRIM(REGEXREPLACE(REGEXREPLACE('AYIRA MINI MART FINAL MENU - Pr"&amp;"'!A671, ""^[^\x{0600}-\x{06FF}]+"", """"), ""^[-–\s]+"", """")), GOOGLETRANSLATE('AYIRA MINI MART FINAL MENU - Pr'!A671, ""en"", ""ar"")))"),"ملح &amp; Vinegar Flavour 110 غرام")</f>
        <v>ملح &amp; Vinegar Flavour 110 غرام</v>
      </c>
      <c r="B671" s="56" t="str">
        <f>IFERROR(__xludf.DUMMYFUNCTION("IF('AYIRA MINI MART FINAL MENU - Pr'!B671="""", """", IF(LEN(TRIM(REGEXREPLACE(REGEXREPLACE('AYIRA MINI MART FINAL MENU - Pr'!B671, ""^[^\x{0600}-\x{06FF}]+"", """"), ""^[-–\s]+"", """")))&gt;0, TRIM(REGEXREPLACE(REGEXREPLACE('AYIRA MINI MART FINAL MENU - Pr"&amp;"'!B671, ""^[^\x{0600}-\x{06FF}]+"", """"), ""^[-–\s]+"", """")), GOOGLETRANSLATE('AYIRA MINI MART FINAL MENU - Pr'!B671, ""en"", ""ar"")))"),"الشيبس والمقرمشات")</f>
        <v>الشيبس والمقرمشات</v>
      </c>
      <c r="C671" s="58">
        <f>IF('AYIRA MINI MART FINAL MENU - Pr'!C671="", "", 'AYIRA MINI MART FINAL MENU - Pr'!C671)</f>
        <v>5</v>
      </c>
      <c r="D671" s="58" t="str">
        <f>IF('AYIRA MINI MART FINAL MENU - Pr'!D671="", "", 'AYIRA MINI MART FINAL MENU - Pr'!D671)</f>
        <v>لا تقاوم طعم Al Batal Salt &amp; Vinegar Flavour 110g،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1" s="56" t="str">
        <f>IF('AYIRA MINI MART FINAL MENU - Pr'!E671="", "", 'AYIRA MINI MART FINAL MENU - Pr'!E671)</f>
        <v/>
      </c>
      <c r="F671" s="56" t="str">
        <f>IF('AYIRA MINI MART FINAL MENU - Pr'!F671="", "", 'AYIRA MINI MART FINAL MENU - Pr'!F671)</f>
        <v/>
      </c>
      <c r="G671" s="56" t="str">
        <f>IF('AYIRA MINI MART FINAL MENU - Pr'!G671="", "", 'AYIRA MINI MART FINAL MENU - Pr'!G671)</f>
        <v/>
      </c>
      <c r="H671" s="56" t="str">
        <f>IF('AYIRA MINI MART FINAL MENU - Pr'!H671="", "", 'AYIRA MINI MART FINAL MENU - Pr'!H671)</f>
        <v/>
      </c>
      <c r="I671" s="56" t="str">
        <f>IF('AYIRA MINI MART FINAL MENU - Pr'!I671="", "", 'AYIRA MINI MART FINAL MENU - Pr'!I671)</f>
        <v/>
      </c>
      <c r="J671" s="56" t="str">
        <f>IFERROR(__xludf.DUMMYFUNCTION("IF('AYIRA MINI MART FINAL MENU - Pr'!J671="""", """", GOOGLETRANSLATE('AYIRA MINI MART FINAL MENU - Pr'!J671, ""en"", ""ar""))"),"")</f>
        <v/>
      </c>
      <c r="K671" s="56" t="str">
        <f>IF('AYIRA MINI MART FINAL MENU - Pr'!K671="", "", 'AYIRA MINI MART FINAL MENU - Pr'!K671)</f>
        <v/>
      </c>
      <c r="L671" s="56" t="str">
        <f>IF('AYIRA MINI MART FINAL MENU - Pr'!L671="", "", 'AYIRA MINI MART FINAL MENU - Pr'!L671)</f>
        <v/>
      </c>
      <c r="M671" s="56" t="str">
        <f>IF('AYIRA MINI MART FINAL MENU - Pr'!M671="", "", 'AYIRA MINI MART FINAL MENU - Pr'!M671)</f>
        <v/>
      </c>
      <c r="N671" s="56" t="str">
        <f>IF('AYIRA MINI MART FINAL MENU - Pr'!N671="", "", 'AYIRA MINI MART FINAL MENU - Pr'!N671)</f>
        <v/>
      </c>
      <c r="O671" s="57"/>
      <c r="P671" s="57"/>
      <c r="Q671" s="57"/>
      <c r="R671" s="57"/>
      <c r="S671" s="57"/>
      <c r="T671" s="57"/>
      <c r="U671" s="57"/>
      <c r="V671" s="57"/>
      <c r="W671" s="57"/>
      <c r="X671" s="57"/>
      <c r="Y671" s="57"/>
      <c r="Z671" s="57"/>
    </row>
    <row r="672">
      <c r="A672" s="56" t="str">
        <f>IFERROR(__xludf.DUMMYFUNCTION("IF('AYIRA MINI MART FINAL MENU - Pr'!A672="""", """", IF(LEN(TRIM(REGEXREPLACE(REGEXREPLACE('AYIRA MINI MART FINAL MENU - Pr'!A672, ""^[^\x{0600}-\x{06FF}]+"", """"), ""^[-–\s]+"", """")))&gt;0, TRIM(REGEXREPLACE(REGEXREPLACE('AYIRA MINI MART FINAL MENU - Pr"&amp;"'!A672, ""^[^\x{0600}-\x{06FF}]+"", """"), ""^[-–\s]+"", """")), GOOGLETRANSLATE('AYIRA MINI MART FINAL MENU - Pr'!A672, ""en"", ""ar"")))"),"غرام")</f>
        <v>غرام</v>
      </c>
      <c r="B672" s="56" t="str">
        <f>IFERROR(__xludf.DUMMYFUNCTION("IF('AYIRA MINI MART FINAL MENU - Pr'!B672="""", """", IF(LEN(TRIM(REGEXREPLACE(REGEXREPLACE('AYIRA MINI MART FINAL MENU - Pr'!B672, ""^[^\x{0600}-\x{06FF}]+"", """"), ""^[-–\s]+"", """")))&gt;0, TRIM(REGEXREPLACE(REGEXREPLACE('AYIRA MINI MART FINAL MENU - Pr"&amp;"'!B672, ""^[^\x{0600}-\x{06FF}]+"", """"), ""^[-–\s]+"", """")), GOOGLETRANSLATE('AYIRA MINI MART FINAL MENU - Pr'!B672, ""en"", ""ar"")))"),"الشيبس والمقرمشات")</f>
        <v>الشيبس والمقرمشات</v>
      </c>
      <c r="C672" s="58">
        <f>IF('AYIRA MINI MART FINAL MENU - Pr'!C672="", "", 'AYIRA MINI MART FINAL MENU - Pr'!C672)</f>
        <v>5</v>
      </c>
      <c r="D672" s="58" t="str">
        <f>IF('AYIRA MINI MART FINAL MENU - Pr'!D672="", "", 'AYIRA MINI MART FINAL MENU - Pr'!D672)</f>
        <v>لا تقاوم طعم Bugles Algerian Sauce Flavour 65g،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2" s="56" t="str">
        <f>IF('AYIRA MINI MART FINAL MENU - Pr'!E672="", "", 'AYIRA MINI MART FINAL MENU - Pr'!E672)</f>
        <v/>
      </c>
      <c r="F672" s="56" t="str">
        <f>IF('AYIRA MINI MART FINAL MENU - Pr'!F672="", "", 'AYIRA MINI MART FINAL MENU - Pr'!F672)</f>
        <v/>
      </c>
      <c r="G672" s="56" t="str">
        <f>IF('AYIRA MINI MART FINAL MENU - Pr'!G672="", "", 'AYIRA MINI MART FINAL MENU - Pr'!G672)</f>
        <v/>
      </c>
      <c r="H672" s="56" t="str">
        <f>IF('AYIRA MINI MART FINAL MENU - Pr'!H672="", "", 'AYIRA MINI MART FINAL MENU - Pr'!H672)</f>
        <v/>
      </c>
      <c r="I672" s="56" t="str">
        <f>IF('AYIRA MINI MART FINAL MENU - Pr'!I672="", "", 'AYIRA MINI MART FINAL MENU - Pr'!I672)</f>
        <v/>
      </c>
      <c r="J672" s="56" t="str">
        <f>IFERROR(__xludf.DUMMYFUNCTION("IF('AYIRA MINI MART FINAL MENU - Pr'!J672="""", """", GOOGLETRANSLATE('AYIRA MINI MART FINAL MENU - Pr'!J672, ""en"", ""ar""))"),"")</f>
        <v/>
      </c>
      <c r="K672" s="56" t="str">
        <f>IF('AYIRA MINI MART FINAL MENU - Pr'!K672="", "", 'AYIRA MINI MART FINAL MENU - Pr'!K672)</f>
        <v/>
      </c>
      <c r="L672" s="56" t="str">
        <f>IF('AYIRA MINI MART FINAL MENU - Pr'!L672="", "", 'AYIRA MINI MART FINAL MENU - Pr'!L672)</f>
        <v/>
      </c>
      <c r="M672" s="56" t="str">
        <f>IF('AYIRA MINI MART FINAL MENU - Pr'!M672="", "", 'AYIRA MINI MART FINAL MENU - Pr'!M672)</f>
        <v/>
      </c>
      <c r="N672" s="56" t="str">
        <f>IF('AYIRA MINI MART FINAL MENU - Pr'!N672="", "", 'AYIRA MINI MART FINAL MENU - Pr'!N672)</f>
        <v/>
      </c>
      <c r="O672" s="57"/>
      <c r="P672" s="57"/>
      <c r="Q672" s="57"/>
      <c r="R672" s="57"/>
      <c r="S672" s="57"/>
      <c r="T672" s="57"/>
      <c r="U672" s="57"/>
      <c r="V672" s="57"/>
      <c r="W672" s="57"/>
      <c r="X672" s="57"/>
      <c r="Y672" s="57"/>
      <c r="Z672" s="57"/>
    </row>
    <row r="673">
      <c r="A673" s="56" t="str">
        <f>IFERROR(__xludf.DUMMYFUNCTION("IF('AYIRA MINI MART FINAL MENU - Pr'!A673="""", """", IF(LEN(TRIM(REGEXREPLACE(REGEXREPLACE('AYIRA MINI MART FINAL MENU - Pr'!A673, ""^[^\x{0600}-\x{06FF}]+"", """"), ""^[-–\s]+"", """")))&gt;0, TRIM(REGEXREPLACE(REGEXREPLACE('AYIRA MINI MART FINAL MENU - Pr"&amp;"'!A673, ""^[^\x{0600}-\x{06FF}]+"", """"), ""^[-–\s]+"", """")), GOOGLETRANSLATE('AYIRA MINI MART FINAL MENU - Pr'!A673, ""en"", ""ar"")))"),"جبنة Flavour 110 غرام")</f>
        <v>جبنة Flavour 110 غرام</v>
      </c>
      <c r="B673" s="56" t="str">
        <f>IFERROR(__xludf.DUMMYFUNCTION("IF('AYIRA MINI MART FINAL MENU - Pr'!B673="""", """", IF(LEN(TRIM(REGEXREPLACE(REGEXREPLACE('AYIRA MINI MART FINAL MENU - Pr'!B673, ""^[^\x{0600}-\x{06FF}]+"", """"), ""^[-–\s]+"", """")))&gt;0, TRIM(REGEXREPLACE(REGEXREPLACE('AYIRA MINI MART FINAL MENU - Pr"&amp;"'!B673, ""^[^\x{0600}-\x{06FF}]+"", """"), ""^[-–\s]+"", """")), GOOGLETRANSLATE('AYIRA MINI MART FINAL MENU - Pr'!B673, ""en"", ""ar"")))"),"الشيبس والمقرمشات")</f>
        <v>الشيبس والمقرمشات</v>
      </c>
      <c r="C673" s="58">
        <f>IF('AYIRA MINI MART FINAL MENU - Pr'!C673="", "", 'AYIRA MINI MART FINAL MENU - Pr'!C673)</f>
        <v>5</v>
      </c>
      <c r="D673" s="58" t="str">
        <f>IF('AYIRA MINI MART FINAL MENU - Pr'!D673="", "", 'AYIRA MINI MART FINAL MENU - Pr'!D673)</f>
        <v>لا تقاوم طعم Al Batal Cheese Flavour 110g،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3" s="56" t="str">
        <f>IF('AYIRA MINI MART FINAL MENU - Pr'!E673="", "", 'AYIRA MINI MART FINAL MENU - Pr'!E673)</f>
        <v/>
      </c>
      <c r="F673" s="56" t="str">
        <f>IF('AYIRA MINI MART FINAL MENU - Pr'!F673="", "", 'AYIRA MINI MART FINAL MENU - Pr'!F673)</f>
        <v/>
      </c>
      <c r="G673" s="56" t="str">
        <f>IF('AYIRA MINI MART FINAL MENU - Pr'!G673="", "", 'AYIRA MINI MART FINAL MENU - Pr'!G673)</f>
        <v/>
      </c>
      <c r="H673" s="56" t="str">
        <f>IF('AYIRA MINI MART FINAL MENU - Pr'!H673="", "", 'AYIRA MINI MART FINAL MENU - Pr'!H673)</f>
        <v/>
      </c>
      <c r="I673" s="56" t="str">
        <f>IF('AYIRA MINI MART FINAL MENU - Pr'!I673="", "", 'AYIRA MINI MART FINAL MENU - Pr'!I673)</f>
        <v/>
      </c>
      <c r="J673" s="56" t="str">
        <f>IFERROR(__xludf.DUMMYFUNCTION("IF('AYIRA MINI MART FINAL MENU - Pr'!J673="""", """", GOOGLETRANSLATE('AYIRA MINI MART FINAL MENU - Pr'!J673, ""en"", ""ar""))"),"")</f>
        <v/>
      </c>
      <c r="K673" s="56" t="str">
        <f>IF('AYIRA MINI MART FINAL MENU - Pr'!K673="", "", 'AYIRA MINI MART FINAL MENU - Pr'!K673)</f>
        <v/>
      </c>
      <c r="L673" s="56" t="str">
        <f>IF('AYIRA MINI MART FINAL MENU - Pr'!L673="", "", 'AYIRA MINI MART FINAL MENU - Pr'!L673)</f>
        <v/>
      </c>
      <c r="M673" s="56" t="str">
        <f>IF('AYIRA MINI MART FINAL MENU - Pr'!M673="", "", 'AYIRA MINI MART FINAL MENU - Pr'!M673)</f>
        <v/>
      </c>
      <c r="N673" s="56" t="str">
        <f>IF('AYIRA MINI MART FINAL MENU - Pr'!N673="", "", 'AYIRA MINI MART FINAL MENU - Pr'!N673)</f>
        <v/>
      </c>
      <c r="O673" s="57"/>
      <c r="P673" s="57"/>
      <c r="Q673" s="57"/>
      <c r="R673" s="57"/>
      <c r="S673" s="57"/>
      <c r="T673" s="57"/>
      <c r="U673" s="57"/>
      <c r="V673" s="57"/>
      <c r="W673" s="57"/>
      <c r="X673" s="57"/>
      <c r="Y673" s="57"/>
      <c r="Z673" s="57"/>
    </row>
    <row r="674">
      <c r="A674" s="56" t="str">
        <f>IFERROR(__xludf.DUMMYFUNCTION("IF('AYIRA MINI MART FINAL MENU - Pr'!A674="""", """", IF(LEN(TRIM(REGEXREPLACE(REGEXREPLACE('AYIRA MINI MART FINAL MENU - Pr'!A674, ""^[^\x{0600}-\x{06FF}]+"", """"), ""^[-–\s]+"", """")))&gt;0, TRIM(REGEXREPLACE(REGEXREPLACE('AYIRA MINI MART FINAL MENU - Pr"&amp;"'!A674, ""^[^\x{0600}-\x{06FF}]+"", """"), ""^[-–\s]+"", """")), GOOGLETRANSLATE('AYIRA MINI MART FINAL MENU - Pr'!A674, ""en"", ""ar"")))"),"كاتشاب Flavour 110 غرام")</f>
        <v>كاتشاب Flavour 110 غرام</v>
      </c>
      <c r="B674" s="56" t="str">
        <f>IFERROR(__xludf.DUMMYFUNCTION("IF('AYIRA MINI MART FINAL MENU - Pr'!B674="""", """", IF(LEN(TRIM(REGEXREPLACE(REGEXREPLACE('AYIRA MINI MART FINAL MENU - Pr'!B674, ""^[^\x{0600}-\x{06FF}]+"", """"), ""^[-–\s]+"", """")))&gt;0, TRIM(REGEXREPLACE(REGEXREPLACE('AYIRA MINI MART FINAL MENU - Pr"&amp;"'!B674, ""^[^\x{0600}-\x{06FF}]+"", """"), ""^[-–\s]+"", """")), GOOGLETRANSLATE('AYIRA MINI MART FINAL MENU - Pr'!B674, ""en"", ""ar"")))"),"الشيبس والمقرمشات")</f>
        <v>الشيبس والمقرمشات</v>
      </c>
      <c r="C674" s="58">
        <f>IF('AYIRA MINI MART FINAL MENU - Pr'!C674="", "", 'AYIRA MINI MART FINAL MENU - Pr'!C674)</f>
        <v>5</v>
      </c>
      <c r="D674" s="58" t="str">
        <f>IF('AYIRA MINI MART FINAL MENU - Pr'!D674="", "", 'AYIRA MINI MART FINAL MENU - Pr'!D674)</f>
        <v>لا تقاوم طعم Al Batal Ketchup Flavour 110g،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4" s="56" t="str">
        <f>IF('AYIRA MINI MART FINAL MENU - Pr'!E674="", "", 'AYIRA MINI MART FINAL MENU - Pr'!E674)</f>
        <v/>
      </c>
      <c r="F674" s="56" t="str">
        <f>IF('AYIRA MINI MART FINAL MENU - Pr'!F674="", "", 'AYIRA MINI MART FINAL MENU - Pr'!F674)</f>
        <v/>
      </c>
      <c r="G674" s="56" t="str">
        <f>IF('AYIRA MINI MART FINAL MENU - Pr'!G674="", "", 'AYIRA MINI MART FINAL MENU - Pr'!G674)</f>
        <v/>
      </c>
      <c r="H674" s="56" t="str">
        <f>IF('AYIRA MINI MART FINAL MENU - Pr'!H674="", "", 'AYIRA MINI MART FINAL MENU - Pr'!H674)</f>
        <v/>
      </c>
      <c r="I674" s="56" t="str">
        <f>IF('AYIRA MINI MART FINAL MENU - Pr'!I674="", "", 'AYIRA MINI MART FINAL MENU - Pr'!I674)</f>
        <v/>
      </c>
      <c r="J674" s="56" t="str">
        <f>IFERROR(__xludf.DUMMYFUNCTION("IF('AYIRA MINI MART FINAL MENU - Pr'!J674="""", """", GOOGLETRANSLATE('AYIRA MINI MART FINAL MENU - Pr'!J674, ""en"", ""ar""))"),"")</f>
        <v/>
      </c>
      <c r="K674" s="56" t="str">
        <f>IF('AYIRA MINI MART FINAL MENU - Pr'!K674="", "", 'AYIRA MINI MART FINAL MENU - Pr'!K674)</f>
        <v/>
      </c>
      <c r="L674" s="56" t="str">
        <f>IF('AYIRA MINI MART FINAL MENU - Pr'!L674="", "", 'AYIRA MINI MART FINAL MENU - Pr'!L674)</f>
        <v/>
      </c>
      <c r="M674" s="56" t="str">
        <f>IF('AYIRA MINI MART FINAL MENU - Pr'!M674="", "", 'AYIRA MINI MART FINAL MENU - Pr'!M674)</f>
        <v/>
      </c>
      <c r="N674" s="56" t="str">
        <f>IF('AYIRA MINI MART FINAL MENU - Pr'!N674="", "", 'AYIRA MINI MART FINAL MENU - Pr'!N674)</f>
        <v/>
      </c>
      <c r="O674" s="57"/>
      <c r="P674" s="57"/>
      <c r="Q674" s="57"/>
      <c r="R674" s="57"/>
      <c r="S674" s="57"/>
      <c r="T674" s="57"/>
      <c r="U674" s="57"/>
      <c r="V674" s="57"/>
      <c r="W674" s="57"/>
      <c r="X674" s="57"/>
      <c r="Y674" s="57"/>
      <c r="Z674" s="57"/>
    </row>
    <row r="675">
      <c r="A675" s="56" t="str">
        <f>IFERROR(__xludf.DUMMYFUNCTION("IF('AYIRA MINI MART FINAL MENU - Pr'!A675="""", """", IF(LEN(TRIM(REGEXREPLACE(REGEXREPLACE('AYIRA MINI MART FINAL MENU - Pr'!A675, ""^[^\x{0600}-\x{06FF}]+"", """"), ""^[-–\s]+"", """")))&gt;0, TRIM(REGEXREPLACE(REGEXREPLACE('AYIRA MINI MART FINAL MENU - Pr"&amp;"'!A675, ""^[^\x{0600}-\x{06FF}]+"", """"), ""^[-–\s]+"", """")), GOOGLETRANSLATE('AYIRA MINI MART FINAL MENU - Pr'!A675, ""en"", ""ar"")))"),"حار Flavour 167 غرام")</f>
        <v>حار Flavour 167 غرام</v>
      </c>
      <c r="B675" s="56" t="str">
        <f>IFERROR(__xludf.DUMMYFUNCTION("IF('AYIRA MINI MART FINAL MENU - Pr'!B675="""", """", IF(LEN(TRIM(REGEXREPLACE(REGEXREPLACE('AYIRA MINI MART FINAL MENU - Pr'!B675, ""^[^\x{0600}-\x{06FF}]+"", """"), ""^[-–\s]+"", """")))&gt;0, TRIM(REGEXREPLACE(REGEXREPLACE('AYIRA MINI MART FINAL MENU - Pr"&amp;"'!B675, ""^[^\x{0600}-\x{06FF}]+"", """"), ""^[-–\s]+"", """")), GOOGLETRANSLATE('AYIRA MINI MART FINAL MENU - Pr'!B675, ""en"", ""ar"")))"),"الشيبس والمقرمشات")</f>
        <v>الشيبس والمقرمشات</v>
      </c>
      <c r="C675" s="58">
        <f>IF('AYIRA MINI MART FINAL MENU - Pr'!C675="", "", 'AYIRA MINI MART FINAL MENU - Pr'!C675)</f>
        <v>8</v>
      </c>
      <c r="D675" s="58" t="str">
        <f>IF('AYIRA MINI MART FINAL MENU - Pr'!D675="", "", 'AYIRA MINI MART FINAL MENU - Pr'!D675)</f>
        <v>لا تقاوم طعم Batatos Spicy Flavour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5" s="56" t="str">
        <f>IF('AYIRA MINI MART FINAL MENU - Pr'!E675="", "", 'AYIRA MINI MART FINAL MENU - Pr'!E675)</f>
        <v/>
      </c>
      <c r="F675" s="56" t="str">
        <f>IF('AYIRA MINI MART FINAL MENU - Pr'!F675="", "", 'AYIRA MINI MART FINAL MENU - Pr'!F675)</f>
        <v/>
      </c>
      <c r="G675" s="56" t="str">
        <f>IF('AYIRA MINI MART FINAL MENU - Pr'!G675="", "", 'AYIRA MINI MART FINAL MENU - Pr'!G675)</f>
        <v/>
      </c>
      <c r="H675" s="56" t="str">
        <f>IF('AYIRA MINI MART FINAL MENU - Pr'!H675="", "", 'AYIRA MINI MART FINAL MENU - Pr'!H675)</f>
        <v/>
      </c>
      <c r="I675" s="56" t="str">
        <f>IF('AYIRA MINI MART FINAL MENU - Pr'!I675="", "", 'AYIRA MINI MART FINAL MENU - Pr'!I675)</f>
        <v/>
      </c>
      <c r="J675" s="56" t="str">
        <f>IFERROR(__xludf.DUMMYFUNCTION("IF('AYIRA MINI MART FINAL MENU - Pr'!J675="""", """", GOOGLETRANSLATE('AYIRA MINI MART FINAL MENU - Pr'!J675, ""en"", ""ar""))"),"")</f>
        <v/>
      </c>
      <c r="K675" s="56" t="str">
        <f>IF('AYIRA MINI MART FINAL MENU - Pr'!K675="", "", 'AYIRA MINI MART FINAL MENU - Pr'!K675)</f>
        <v/>
      </c>
      <c r="L675" s="56" t="str">
        <f>IF('AYIRA MINI MART FINAL MENU - Pr'!L675="", "", 'AYIRA MINI MART FINAL MENU - Pr'!L675)</f>
        <v/>
      </c>
      <c r="M675" s="56" t="str">
        <f>IF('AYIRA MINI MART FINAL MENU - Pr'!M675="", "", 'AYIRA MINI MART FINAL MENU - Pr'!M675)</f>
        <v/>
      </c>
      <c r="N675" s="56" t="str">
        <f>IF('AYIRA MINI MART FINAL MENU - Pr'!N675="", "", 'AYIRA MINI MART FINAL MENU - Pr'!N675)</f>
        <v/>
      </c>
      <c r="O675" s="57"/>
      <c r="P675" s="57"/>
      <c r="Q675" s="57"/>
      <c r="R675" s="57"/>
      <c r="S675" s="57"/>
      <c r="T675" s="57"/>
      <c r="U675" s="57"/>
      <c r="V675" s="57"/>
      <c r="W675" s="57"/>
      <c r="X675" s="57"/>
      <c r="Y675" s="57"/>
      <c r="Z675" s="57"/>
    </row>
    <row r="676">
      <c r="A676" s="56" t="str">
        <f>IFERROR(__xludf.DUMMYFUNCTION("IF('AYIRA MINI MART FINAL MENU - Pr'!A676="""", """", IF(LEN(TRIM(REGEXREPLACE(REGEXREPLACE('AYIRA MINI MART FINAL MENU - Pr'!A676, ""^[^\x{0600}-\x{06FF}]+"", """"), ""^[-–\s]+"", """")))&gt;0, TRIM(REGEXREPLACE(REGEXREPLACE('AYIRA MINI MART FINAL MENU - Pr"&amp;"'!A676, ""^[^\x{0600}-\x{06FF}]+"", """"), ""^[-–\s]+"", """")), GOOGLETRANSLATE('AYIRA MINI MART FINAL MENU - Pr'!A676, ""en"", ""ar"")))"),"باربيكيو 167 غرام")</f>
        <v>باربيكيو 167 غرام</v>
      </c>
      <c r="B676" s="56" t="str">
        <f>IFERROR(__xludf.DUMMYFUNCTION("IF('AYIRA MINI MART FINAL MENU - Pr'!B676="""", """", IF(LEN(TRIM(REGEXREPLACE(REGEXREPLACE('AYIRA MINI MART FINAL MENU - Pr'!B676, ""^[^\x{0600}-\x{06FF}]+"", """"), ""^[-–\s]+"", """")))&gt;0, TRIM(REGEXREPLACE(REGEXREPLACE('AYIRA MINI MART FINAL MENU - Pr"&amp;"'!B676, ""^[^\x{0600}-\x{06FF}]+"", """"), ""^[-–\s]+"", """")), GOOGLETRANSLATE('AYIRA MINI MART FINAL MENU - Pr'!B676, ""en"", ""ar"")))"),"الشيبس والمقرمشات")</f>
        <v>الشيبس والمقرمشات</v>
      </c>
      <c r="C676" s="58">
        <f>IF('AYIRA MINI MART FINAL MENU - Pr'!C676="", "", 'AYIRA MINI MART FINAL MENU - Pr'!C676)</f>
        <v>8</v>
      </c>
      <c r="D676" s="58" t="str">
        <f>IF('AYIRA MINI MART FINAL MENU - Pr'!D676="", "", 'AYIRA MINI MART FINAL MENU - Pr'!D676)</f>
        <v>لا تقاوم طعم Batatos Smoky BBQ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6" s="56" t="str">
        <f>IF('AYIRA MINI MART FINAL MENU - Pr'!E676="", "", 'AYIRA MINI MART FINAL MENU - Pr'!E676)</f>
        <v/>
      </c>
      <c r="F676" s="56" t="str">
        <f>IF('AYIRA MINI MART FINAL MENU - Pr'!F676="", "", 'AYIRA MINI MART FINAL MENU - Pr'!F676)</f>
        <v/>
      </c>
      <c r="G676" s="56" t="str">
        <f>IF('AYIRA MINI MART FINAL MENU - Pr'!G676="", "", 'AYIRA MINI MART FINAL MENU - Pr'!G676)</f>
        <v/>
      </c>
      <c r="H676" s="56" t="str">
        <f>IF('AYIRA MINI MART FINAL MENU - Pr'!H676="", "", 'AYIRA MINI MART FINAL MENU - Pr'!H676)</f>
        <v/>
      </c>
      <c r="I676" s="56" t="str">
        <f>IF('AYIRA MINI MART FINAL MENU - Pr'!I676="", "", 'AYIRA MINI MART FINAL MENU - Pr'!I676)</f>
        <v/>
      </c>
      <c r="J676" s="56" t="str">
        <f>IFERROR(__xludf.DUMMYFUNCTION("IF('AYIRA MINI MART FINAL MENU - Pr'!J676="""", """", GOOGLETRANSLATE('AYIRA MINI MART FINAL MENU - Pr'!J676, ""en"", ""ar""))"),"")</f>
        <v/>
      </c>
      <c r="K676" s="56" t="str">
        <f>IF('AYIRA MINI MART FINAL MENU - Pr'!K676="", "", 'AYIRA MINI MART FINAL MENU - Pr'!K676)</f>
        <v/>
      </c>
      <c r="L676" s="56" t="str">
        <f>IF('AYIRA MINI MART FINAL MENU - Pr'!L676="", "", 'AYIRA MINI MART FINAL MENU - Pr'!L676)</f>
        <v/>
      </c>
      <c r="M676" s="56" t="str">
        <f>IF('AYIRA MINI MART FINAL MENU - Pr'!M676="", "", 'AYIRA MINI MART FINAL MENU - Pr'!M676)</f>
        <v/>
      </c>
      <c r="N676" s="56" t="str">
        <f>IF('AYIRA MINI MART FINAL MENU - Pr'!N676="", "", 'AYIRA MINI MART FINAL MENU - Pr'!N676)</f>
        <v/>
      </c>
      <c r="O676" s="57"/>
      <c r="P676" s="57"/>
      <c r="Q676" s="57"/>
      <c r="R676" s="57"/>
      <c r="S676" s="57"/>
      <c r="T676" s="57"/>
      <c r="U676" s="57"/>
      <c r="V676" s="57"/>
      <c r="W676" s="57"/>
      <c r="X676" s="57"/>
      <c r="Y676" s="57"/>
      <c r="Z676" s="57"/>
    </row>
    <row r="677">
      <c r="A677" s="56" t="str">
        <f>IFERROR(__xludf.DUMMYFUNCTION("IF('AYIRA MINI MART FINAL MENU - Pr'!A677="""", """", IF(LEN(TRIM(REGEXREPLACE(REGEXREPLACE('AYIRA MINI MART FINAL MENU - Pr'!A677, ""^[^\x{0600}-\x{06FF}]+"", """"), ""^[-–\s]+"", """")))&gt;0, TRIM(REGEXREPLACE(REGEXREPLACE('AYIRA MINI MART FINAL MENU - Pr"&amp;"'!A677, ""^[^\x{0600}-\x{06FF}]+"", """"), ""^[-–\s]+"", """")), GOOGLETRANSLATE('AYIRA MINI MART FINAL MENU - Pr'!A677, ""en"", ""ar"")))"),"كلاسيك مملح 167 غرام")</f>
        <v>كلاسيك مملح 167 غرام</v>
      </c>
      <c r="B677" s="56" t="str">
        <f>IFERROR(__xludf.DUMMYFUNCTION("IF('AYIRA MINI MART FINAL MENU - Pr'!B677="""", """", IF(LEN(TRIM(REGEXREPLACE(REGEXREPLACE('AYIRA MINI MART FINAL MENU - Pr'!B677, ""^[^\x{0600}-\x{06FF}]+"", """"), ""^[-–\s]+"", """")))&gt;0, TRIM(REGEXREPLACE(REGEXREPLACE('AYIRA MINI MART FINAL MENU - Pr"&amp;"'!B677, ""^[^\x{0600}-\x{06FF}]+"", """"), ""^[-–\s]+"", """")), GOOGLETRANSLATE('AYIRA MINI MART FINAL MENU - Pr'!B677, ""en"", ""ar"")))"),"المشروبات الألبانية")</f>
        <v>المشروبات الألبانية</v>
      </c>
      <c r="C677" s="58">
        <f>IF('AYIRA MINI MART FINAL MENU - Pr'!C677="", "", 'AYIRA MINI MART FINAL MENU - Pr'!C677)</f>
        <v>8</v>
      </c>
      <c r="D677" s="58" t="str">
        <f>IF('AYIRA MINI MART FINAL MENU - Pr'!D677="", "", 'AYIRA MINI MART FINAL MENU - Pr'!D677)</f>
        <v>لا تقاوم طعم Batatos Classic Salted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7" s="56" t="str">
        <f>IF('AYIRA MINI MART FINAL MENU - Pr'!E677="", "", 'AYIRA MINI MART FINAL MENU - Pr'!E677)</f>
        <v/>
      </c>
      <c r="F677" s="56" t="str">
        <f>IF('AYIRA MINI MART FINAL MENU - Pr'!F677="", "", 'AYIRA MINI MART FINAL MENU - Pr'!F677)</f>
        <v/>
      </c>
      <c r="G677" s="56" t="str">
        <f>IF('AYIRA MINI MART FINAL MENU - Pr'!G677="", "", 'AYIRA MINI MART FINAL MENU - Pr'!G677)</f>
        <v/>
      </c>
      <c r="H677" s="56" t="str">
        <f>IF('AYIRA MINI MART FINAL MENU - Pr'!H677="", "", 'AYIRA MINI MART FINAL MENU - Pr'!H677)</f>
        <v/>
      </c>
      <c r="I677" s="56" t="str">
        <f>IF('AYIRA MINI MART FINAL MENU - Pr'!I677="", "", 'AYIRA MINI MART FINAL MENU - Pr'!I677)</f>
        <v/>
      </c>
      <c r="J677" s="56" t="str">
        <f>IFERROR(__xludf.DUMMYFUNCTION("IF('AYIRA MINI MART FINAL MENU - Pr'!J677="""", """", GOOGLETRANSLATE('AYIRA MINI MART FINAL MENU - Pr'!J677, ""en"", ""ar""))"),"")</f>
        <v/>
      </c>
      <c r="K677" s="56" t="str">
        <f>IF('AYIRA MINI MART FINAL MENU - Pr'!K677="", "", 'AYIRA MINI MART FINAL MENU - Pr'!K677)</f>
        <v/>
      </c>
      <c r="L677" s="56" t="str">
        <f>IF('AYIRA MINI MART FINAL MENU - Pr'!L677="", "", 'AYIRA MINI MART FINAL MENU - Pr'!L677)</f>
        <v/>
      </c>
      <c r="M677" s="56" t="str">
        <f>IF('AYIRA MINI MART FINAL MENU - Pr'!M677="", "", 'AYIRA MINI MART FINAL MENU - Pr'!M677)</f>
        <v/>
      </c>
      <c r="N677" s="56" t="str">
        <f>IF('AYIRA MINI MART FINAL MENU - Pr'!N677="", "", 'AYIRA MINI MART FINAL MENU - Pr'!N677)</f>
        <v/>
      </c>
      <c r="O677" s="57"/>
      <c r="P677" s="57"/>
      <c r="Q677" s="57"/>
      <c r="R677" s="57"/>
      <c r="S677" s="57"/>
      <c r="T677" s="57"/>
      <c r="U677" s="57"/>
      <c r="V677" s="57"/>
      <c r="W677" s="57"/>
      <c r="X677" s="57"/>
      <c r="Y677" s="57"/>
      <c r="Z677" s="57"/>
    </row>
    <row r="678">
      <c r="A678" s="56" t="str">
        <f>IFERROR(__xludf.DUMMYFUNCTION("IF('AYIRA MINI MART FINAL MENU - Pr'!A678="""", """", IF(LEN(TRIM(REGEXREPLACE(REGEXREPLACE('AYIRA MINI MART FINAL MENU - Pr'!A678, ""^[^\x{0600}-\x{06FF}]+"", """"), ""^[-–\s]+"", """")))&gt;0, TRIM(REGEXREPLACE(REGEXREPLACE('AYIRA MINI MART FINAL MENU - Pr"&amp;"'!A678, ""^[^\x{0600}-\x{06FF}]+"", """"), ""^[-–\s]+"", """")), GOOGLETRANSLATE('AYIRA MINI MART FINAL MENU - Pr'!A678, ""en"", ""ar"")))"),"غرام")</f>
        <v>غرام</v>
      </c>
      <c r="B678" s="56" t="str">
        <f>IFERROR(__xludf.DUMMYFUNCTION("IF('AYIRA MINI MART FINAL MENU - Pr'!B678="""", """", IF(LEN(TRIM(REGEXREPLACE(REGEXREPLACE('AYIRA MINI MART FINAL MENU - Pr'!B678, ""^[^\x{0600}-\x{06FF}]+"", """"), ""^[-–\s]+"", """")))&gt;0, TRIM(REGEXREPLACE(REGEXREPLACE('AYIRA MINI MART FINAL MENU - Pr"&amp;"'!B678, ""^[^\x{0600}-\x{06FF}]+"", """"), ""^[-–\s]+"", """")), GOOGLETRANSLATE('AYIRA MINI MART FINAL MENU - Pr'!B678, ""en"", ""ar"")))"),"الشيبس والمقرمشات")</f>
        <v>الشيبس والمقرمشات</v>
      </c>
      <c r="C678" s="58">
        <f>IF('AYIRA MINI MART FINAL MENU - Pr'!C678="", "", 'AYIRA MINI MART FINAL MENU - Pr'!C678)</f>
        <v>8</v>
      </c>
      <c r="D678" s="58" t="str">
        <f>IF('AYIRA MINI MART FINAL MENU - Pr'!D678="", "", 'AYIRA MINI MART FINAL MENU - Pr'!D678)</f>
        <v>لا تقاوم طعم Batatos Wisconsin Cheddar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8" s="56" t="str">
        <f>IF('AYIRA MINI MART FINAL MENU - Pr'!E678="", "", 'AYIRA MINI MART FINAL MENU - Pr'!E678)</f>
        <v/>
      </c>
      <c r="F678" s="56" t="str">
        <f>IF('AYIRA MINI MART FINAL MENU - Pr'!F678="", "", 'AYIRA MINI MART FINAL MENU - Pr'!F678)</f>
        <v/>
      </c>
      <c r="G678" s="56" t="str">
        <f>IF('AYIRA MINI MART FINAL MENU - Pr'!G678="", "", 'AYIRA MINI MART FINAL MENU - Pr'!G678)</f>
        <v/>
      </c>
      <c r="H678" s="56" t="str">
        <f>IF('AYIRA MINI MART FINAL MENU - Pr'!H678="", "", 'AYIRA MINI MART FINAL MENU - Pr'!H678)</f>
        <v/>
      </c>
      <c r="I678" s="56" t="str">
        <f>IF('AYIRA MINI MART FINAL MENU - Pr'!I678="", "", 'AYIRA MINI MART FINAL MENU - Pr'!I678)</f>
        <v/>
      </c>
      <c r="J678" s="56" t="str">
        <f>IFERROR(__xludf.DUMMYFUNCTION("IF('AYIRA MINI MART FINAL MENU - Pr'!J678="""", """", GOOGLETRANSLATE('AYIRA MINI MART FINAL MENU - Pr'!J678, ""en"", ""ar""))"),"")</f>
        <v/>
      </c>
      <c r="K678" s="56" t="str">
        <f>IF('AYIRA MINI MART FINAL MENU - Pr'!K678="", "", 'AYIRA MINI MART FINAL MENU - Pr'!K678)</f>
        <v/>
      </c>
      <c r="L678" s="56" t="str">
        <f>IF('AYIRA MINI MART FINAL MENU - Pr'!L678="", "", 'AYIRA MINI MART FINAL MENU - Pr'!L678)</f>
        <v/>
      </c>
      <c r="M678" s="56" t="str">
        <f>IF('AYIRA MINI MART FINAL MENU - Pr'!M678="", "", 'AYIRA MINI MART FINAL MENU - Pr'!M678)</f>
        <v/>
      </c>
      <c r="N678" s="56" t="str">
        <f>IF('AYIRA MINI MART FINAL MENU - Pr'!N678="", "", 'AYIRA MINI MART FINAL MENU - Pr'!N678)</f>
        <v/>
      </c>
      <c r="O678" s="57"/>
      <c r="P678" s="57"/>
      <c r="Q678" s="57"/>
      <c r="R678" s="57"/>
      <c r="S678" s="57"/>
      <c r="T678" s="57"/>
      <c r="U678" s="57"/>
      <c r="V678" s="57"/>
      <c r="W678" s="57"/>
      <c r="X678" s="57"/>
      <c r="Y678" s="57"/>
      <c r="Z678" s="57"/>
    </row>
    <row r="679">
      <c r="A679" s="56" t="str">
        <f>IFERROR(__xludf.DUMMYFUNCTION("IF('AYIRA MINI MART FINAL MENU - Pr'!A679="""", """", IF(LEN(TRIM(REGEXREPLACE(REGEXREPLACE('AYIRA MINI MART FINAL MENU - Pr'!A679, ""^[^\x{0600}-\x{06FF}]+"", """"), ""^[-–\s]+"", """")))&gt;0, TRIM(REGEXREPLACE(REGEXREPLACE('AYIRA MINI MART FINAL MENU - Pr"&amp;"'!A679, ""^[^\x{0600}-\x{06FF}]+"", """"), ""^[-–\s]+"", """")), GOOGLETRANSLATE('AYIRA MINI MART FINAL MENU - Pr'!A679, ""en"", ""ar"")))"),"كاتشاب 167 غرام")</f>
        <v>كاتشاب 167 غرام</v>
      </c>
      <c r="B679" s="56" t="str">
        <f>IFERROR(__xludf.DUMMYFUNCTION("IF('AYIRA MINI MART FINAL MENU - Pr'!B679="""", """", IF(LEN(TRIM(REGEXREPLACE(REGEXREPLACE('AYIRA MINI MART FINAL MENU - Pr'!B679, ""^[^\x{0600}-\x{06FF}]+"", """"), ""^[-–\s]+"", """")))&gt;0, TRIM(REGEXREPLACE(REGEXREPLACE('AYIRA MINI MART FINAL MENU - Pr"&amp;"'!B679, ""^[^\x{0600}-\x{06FF}]+"", """"), ""^[-–\s]+"", """")), GOOGLETRANSLATE('AYIRA MINI MART FINAL MENU - Pr'!B679, ""en"", ""ar"")))"),"الشيبس والمقرمشات")</f>
        <v>الشيبس والمقرمشات</v>
      </c>
      <c r="C679" s="58">
        <f>IF('AYIRA MINI MART FINAL MENU - Pr'!C679="", "", 'AYIRA MINI MART FINAL MENU - Pr'!C679)</f>
        <v>8</v>
      </c>
      <c r="D679" s="58" t="str">
        <f>IF('AYIRA MINI MART FINAL MENU - Pr'!D679="", "", 'AYIRA MINI MART FINAL MENU - Pr'!D679)</f>
        <v>لا تقاوم طعم Batatos Tangy Ketchup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79" s="56" t="str">
        <f>IF('AYIRA MINI MART FINAL MENU - Pr'!E679="", "", 'AYIRA MINI MART FINAL MENU - Pr'!E679)</f>
        <v/>
      </c>
      <c r="F679" s="56" t="str">
        <f>IF('AYIRA MINI MART FINAL MENU - Pr'!F679="", "", 'AYIRA MINI MART FINAL MENU - Pr'!F679)</f>
        <v/>
      </c>
      <c r="G679" s="56" t="str">
        <f>IF('AYIRA MINI MART FINAL MENU - Pr'!G679="", "", 'AYIRA MINI MART FINAL MENU - Pr'!G679)</f>
        <v/>
      </c>
      <c r="H679" s="56" t="str">
        <f>IF('AYIRA MINI MART FINAL MENU - Pr'!H679="", "", 'AYIRA MINI MART FINAL MENU - Pr'!H679)</f>
        <v/>
      </c>
      <c r="I679" s="56" t="str">
        <f>IF('AYIRA MINI MART FINAL MENU - Pr'!I679="", "", 'AYIRA MINI MART FINAL MENU - Pr'!I679)</f>
        <v/>
      </c>
      <c r="J679" s="56" t="str">
        <f>IFERROR(__xludf.DUMMYFUNCTION("IF('AYIRA MINI MART FINAL MENU - Pr'!J679="""", """", GOOGLETRANSLATE('AYIRA MINI MART FINAL MENU - Pr'!J679, ""en"", ""ar""))"),"")</f>
        <v/>
      </c>
      <c r="K679" s="56" t="str">
        <f>IF('AYIRA MINI MART FINAL MENU - Pr'!K679="", "", 'AYIRA MINI MART FINAL MENU - Pr'!K679)</f>
        <v/>
      </c>
      <c r="L679" s="56" t="str">
        <f>IF('AYIRA MINI MART FINAL MENU - Pr'!L679="", "", 'AYIRA MINI MART FINAL MENU - Pr'!L679)</f>
        <v/>
      </c>
      <c r="M679" s="56" t="str">
        <f>IF('AYIRA MINI MART FINAL MENU - Pr'!M679="", "", 'AYIRA MINI MART FINAL MENU - Pr'!M679)</f>
        <v/>
      </c>
      <c r="N679" s="56" t="str">
        <f>IF('AYIRA MINI MART FINAL MENU - Pr'!N679="", "", 'AYIRA MINI MART FINAL MENU - Pr'!N679)</f>
        <v/>
      </c>
      <c r="O679" s="57"/>
      <c r="P679" s="57"/>
      <c r="Q679" s="57"/>
      <c r="R679" s="57"/>
      <c r="S679" s="57"/>
      <c r="T679" s="57"/>
      <c r="U679" s="57"/>
      <c r="V679" s="57"/>
      <c r="W679" s="57"/>
      <c r="X679" s="57"/>
      <c r="Y679" s="57"/>
      <c r="Z679" s="57"/>
    </row>
    <row r="680">
      <c r="A680" s="56" t="str">
        <f>IFERROR(__xludf.DUMMYFUNCTION("IF('AYIRA MINI MART FINAL MENU - Pr'!A680="""", """", IF(LEN(TRIM(REGEXREPLACE(REGEXREPLACE('AYIRA MINI MART FINAL MENU - Pr'!A680, ""^[^\x{0600}-\x{06FF}]+"", """"), ""^[-–\s]+"", """")))&gt;0, TRIM(REGEXREPLACE(REGEXREPLACE('AYIRA MINI MART FINAL MENU - Pr"&amp;"'!A680, ""^[^\x{0600}-\x{06FF}]+"", """"), ""^[-–\s]+"", """")), GOOGLETRANSLATE('AYIRA MINI MART FINAL MENU - Pr'!A680, ""en"", ""ar"")))"),"ملح 167 غرام")</f>
        <v>ملح 167 غرام</v>
      </c>
      <c r="B680" s="56" t="str">
        <f>IFERROR(__xludf.DUMMYFUNCTION("IF('AYIRA MINI MART FINAL MENU - Pr'!B680="""", """", IF(LEN(TRIM(REGEXREPLACE(REGEXREPLACE('AYIRA MINI MART FINAL MENU - Pr'!B680, ""^[^\x{0600}-\x{06FF}]+"", """"), ""^[-–\s]+"", """")))&gt;0, TRIM(REGEXREPLACE(REGEXREPLACE('AYIRA MINI MART FINAL MENU - Pr"&amp;"'!B680, ""^[^\x{0600}-\x{06FF}]+"", """"), ""^[-–\s]+"", """")), GOOGLETRANSLATE('AYIRA MINI MART FINAL MENU - Pr'!B680, ""en"", ""ar"")))"),"الشيبس والمقرمشات")</f>
        <v>الشيبس والمقرمشات</v>
      </c>
      <c r="C680" s="58">
        <f>IF('AYIRA MINI MART FINAL MENU - Pr'!C680="", "", 'AYIRA MINI MART FINAL MENU - Pr'!C680)</f>
        <v>8</v>
      </c>
      <c r="D680" s="58" t="str">
        <f>IF('AYIRA MINI MART FINAL MENU - Pr'!D680="", "", 'AYIRA MINI MART FINAL MENU - Pr'!D680)</f>
        <v>لا تقاوم طعم Batatos Salt 167g،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80" s="56" t="str">
        <f>IF('AYIRA MINI MART FINAL MENU - Pr'!E680="", "", 'AYIRA MINI MART FINAL MENU - Pr'!E680)</f>
        <v/>
      </c>
      <c r="F680" s="56" t="str">
        <f>IF('AYIRA MINI MART FINAL MENU - Pr'!F680="", "", 'AYIRA MINI MART FINAL MENU - Pr'!F680)</f>
        <v/>
      </c>
      <c r="G680" s="56" t="str">
        <f>IF('AYIRA MINI MART FINAL MENU - Pr'!G680="", "", 'AYIRA MINI MART FINAL MENU - Pr'!G680)</f>
        <v/>
      </c>
      <c r="H680" s="56" t="str">
        <f>IF('AYIRA MINI MART FINAL MENU - Pr'!H680="", "", 'AYIRA MINI MART FINAL MENU - Pr'!H680)</f>
        <v/>
      </c>
      <c r="I680" s="56" t="str">
        <f>IF('AYIRA MINI MART FINAL MENU - Pr'!I680="", "", 'AYIRA MINI MART FINAL MENU - Pr'!I680)</f>
        <v/>
      </c>
      <c r="J680" s="56" t="str">
        <f>IFERROR(__xludf.DUMMYFUNCTION("IF('AYIRA MINI MART FINAL MENU - Pr'!J680="""", """", GOOGLETRANSLATE('AYIRA MINI MART FINAL MENU - Pr'!J680, ""en"", ""ar""))"),"")</f>
        <v/>
      </c>
      <c r="K680" s="56" t="str">
        <f>IF('AYIRA MINI MART FINAL MENU - Pr'!K680="", "", 'AYIRA MINI MART FINAL MENU - Pr'!K680)</f>
        <v/>
      </c>
      <c r="L680" s="56" t="str">
        <f>IF('AYIRA MINI MART FINAL MENU - Pr'!L680="", "", 'AYIRA MINI MART FINAL MENU - Pr'!L680)</f>
        <v/>
      </c>
      <c r="M680" s="56" t="str">
        <f>IF('AYIRA MINI MART FINAL MENU - Pr'!M680="", "", 'AYIRA MINI MART FINAL MENU - Pr'!M680)</f>
        <v/>
      </c>
      <c r="N680" s="56" t="str">
        <f>IF('AYIRA MINI MART FINAL MENU - Pr'!N680="", "", 'AYIRA MINI MART FINAL MENU - Pr'!N680)</f>
        <v/>
      </c>
      <c r="O680" s="57"/>
      <c r="P680" s="57"/>
      <c r="Q680" s="57"/>
      <c r="R680" s="57"/>
      <c r="S680" s="57"/>
      <c r="T680" s="57"/>
      <c r="U680" s="57"/>
      <c r="V680" s="57"/>
      <c r="W680" s="57"/>
      <c r="X680" s="57"/>
      <c r="Y680" s="57"/>
      <c r="Z680" s="57"/>
    </row>
    <row r="681">
      <c r="A681" s="56" t="str">
        <f>IFERROR(__xludf.DUMMYFUNCTION("IF('AYIRA MINI MART FINAL MENU - Pr'!A681="""", """", IF(LEN(TRIM(REGEXREPLACE(REGEXREPLACE('AYIRA MINI MART FINAL MENU - Pr'!A681, ""^[^\x{0600}-\x{06FF}]+"", """"), ""^[-–\s]+"", """")))&gt;0, TRIM(REGEXREPLACE(REGEXREPLACE('AYIRA MINI MART FINAL MENU - Pr"&amp;"'!A681, ""^[^\x{0600}-\x{06FF}]+"", """"), ""^[-–\s]+"", """")), GOOGLETRANSLATE('AYIRA MINI MART FINAL MENU - Pr'!A681, ""en"", ""ar"")))"),"فول سوداني زبدة قطعة Granio حليب شوكولاتة 40 غرام")</f>
        <v>فول سوداني زبدة قطعة Granio حليب شوكولاتة 40 غرام</v>
      </c>
      <c r="B681" s="56" t="str">
        <f>IFERROR(__xludf.DUMMYFUNCTION("IF('AYIRA MINI MART FINAL MENU - Pr'!B681="""", """", IF(LEN(TRIM(REGEXREPLACE(REGEXREPLACE('AYIRA MINI MART FINAL MENU - Pr'!B681, ""^[^\x{0600}-\x{06FF}]+"", """"), ""^[-–\s]+"", """")))&gt;0, TRIM(REGEXREPLACE(REGEXREPLACE('AYIRA MINI MART FINAL MENU - Pr"&amp;"'!B681, ""^[^\x{0600}-\x{06FF}]+"", """"), ""^[-–\s]+"", """")), GOOGLETRANSLATE('AYIRA MINI MART FINAL MENU - Pr'!B681, ""en"", ""ar"")))"),"الشوكولاتة")</f>
        <v>الشوكولاتة</v>
      </c>
      <c r="C681" s="58">
        <f>IF('AYIRA MINI MART FINAL MENU - Pr'!C681="", "", 'AYIRA MINI MART FINAL MENU - Pr'!C681)</f>
        <v>0</v>
      </c>
      <c r="D681" s="58" t="str">
        <f>IF('AYIRA MINI MART FINAL MENU - Pr'!D681="", "", 'AYIRA MINI MART FINAL MENU - Pr'!D681)</f>
        <v>دلّل حواسك مع Peanut Butter Bar Granio Milk Chocolate 40g،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681" s="56" t="str">
        <f>IF('AYIRA MINI MART FINAL MENU - Pr'!E681="", "", 'AYIRA MINI MART FINAL MENU - Pr'!E681)</f>
        <v/>
      </c>
      <c r="F681" s="56" t="str">
        <f>IF('AYIRA MINI MART FINAL MENU - Pr'!F681="", "", 'AYIRA MINI MART FINAL MENU - Pr'!F681)</f>
        <v/>
      </c>
      <c r="G681" s="56" t="str">
        <f>IF('AYIRA MINI MART FINAL MENU - Pr'!G681="", "", 'AYIRA MINI MART FINAL MENU - Pr'!G681)</f>
        <v/>
      </c>
      <c r="H681" s="56" t="str">
        <f>IF('AYIRA MINI MART FINAL MENU - Pr'!H681="", "", 'AYIRA MINI MART FINAL MENU - Pr'!H681)</f>
        <v/>
      </c>
      <c r="I681" s="56" t="str">
        <f>IF('AYIRA MINI MART FINAL MENU - Pr'!I681="", "", 'AYIRA MINI MART FINAL MENU - Pr'!I681)</f>
        <v/>
      </c>
      <c r="J681" s="56" t="str">
        <f>IFERROR(__xludf.DUMMYFUNCTION("IF('AYIRA MINI MART FINAL MENU - Pr'!J681="""", """", GOOGLETRANSLATE('AYIRA MINI MART FINAL MENU - Pr'!J681, ""en"", ""ar""))"),"إنتهى من المخزن")</f>
        <v>إنتهى من المخزن</v>
      </c>
      <c r="K681" s="56" t="str">
        <f>IF('AYIRA MINI MART FINAL MENU - Pr'!K681="", "", 'AYIRA MINI MART FINAL MENU - Pr'!K681)</f>
        <v/>
      </c>
      <c r="L681" s="56" t="str">
        <f>IF('AYIRA MINI MART FINAL MENU - Pr'!L681="", "", 'AYIRA MINI MART FINAL MENU - Pr'!L681)</f>
        <v/>
      </c>
      <c r="M681" s="56" t="str">
        <f>IF('AYIRA MINI MART FINAL MENU - Pr'!M681="", "", 'AYIRA MINI MART FINAL MENU - Pr'!M681)</f>
        <v/>
      </c>
      <c r="N681" s="56" t="str">
        <f>IF('AYIRA MINI MART FINAL MENU - Pr'!N681="", "", 'AYIRA MINI MART FINAL MENU - Pr'!N681)</f>
        <v/>
      </c>
      <c r="O681" s="57"/>
      <c r="P681" s="57"/>
      <c r="Q681" s="57"/>
      <c r="R681" s="57"/>
      <c r="S681" s="57"/>
      <c r="T681" s="57"/>
      <c r="U681" s="57"/>
      <c r="V681" s="57"/>
      <c r="W681" s="57"/>
      <c r="X681" s="57"/>
      <c r="Y681" s="57"/>
      <c r="Z681" s="57"/>
    </row>
    <row r="682">
      <c r="A682" s="56" t="str">
        <f>IFERROR(__xludf.DUMMYFUNCTION("IF('AYIRA MINI MART FINAL MENU - Pr'!A682="""", """", IF(LEN(TRIM(REGEXREPLACE(REGEXREPLACE('AYIRA MINI MART FINAL MENU - Pr'!A682, ""^[^\x{0600}-\x{06FF}]+"", """"), ""^[-–\s]+"", """")))&gt;0, TRIM(REGEXREPLACE(REGEXREPLACE('AYIRA MINI MART FINAL MENU - Pr"&amp;"'!A682, ""^[^\x{0600}-\x{06FF}]+"", """"), ""^[-–\s]+"", """")), GOOGLETRANSLATE('AYIRA MINI MART FINAL MENU - Pr'!A682, ""en"", ""ar"")))"),"غالاكسي Flutes 45 غرام")</f>
        <v>غالاكسي Flutes 45 غرام</v>
      </c>
      <c r="B682" s="56" t="str">
        <f>IFERROR(__xludf.DUMMYFUNCTION("IF('AYIRA MINI MART FINAL MENU - Pr'!B682="""", """", IF(LEN(TRIM(REGEXREPLACE(REGEXREPLACE('AYIRA MINI MART FINAL MENU - Pr'!B682, ""^[^\x{0600}-\x{06FF}]+"", """"), ""^[-–\s]+"", """")))&gt;0, TRIM(REGEXREPLACE(REGEXREPLACE('AYIRA MINI MART FINAL MENU - Pr"&amp;"'!B682, ""^[^\x{0600}-\x{06FF}]+"", """"), ""^[-–\s]+"", """")), GOOGLETRANSLATE('AYIRA MINI MART FINAL MENU - Pr'!B682, ""en"", ""ar"")))"),"الشوكولاتة")</f>
        <v>الشوكولاتة</v>
      </c>
      <c r="C682" s="58">
        <f>IF('AYIRA MINI MART FINAL MENU - Pr'!C682="", "", 'AYIRA MINI MART FINAL MENU - Pr'!C682)</f>
        <v>3.5</v>
      </c>
      <c r="D682" s="58" t="str">
        <f>IF('AYIRA MINI MART FINAL MENU - Pr'!D682="", "", 'AYIRA MINI MART FINAL MENU - Pr'!D682)</f>
        <v>لا تقاوم طعم Galaxy Flutes 45g،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82" s="56" t="str">
        <f>IF('AYIRA MINI MART FINAL MENU - Pr'!E682="", "", 'AYIRA MINI MART FINAL MENU - Pr'!E682)</f>
        <v/>
      </c>
      <c r="F682" s="56" t="str">
        <f>IF('AYIRA MINI MART FINAL MENU - Pr'!F682="", "", 'AYIRA MINI MART FINAL MENU - Pr'!F682)</f>
        <v/>
      </c>
      <c r="G682" s="56" t="str">
        <f>IF('AYIRA MINI MART FINAL MENU - Pr'!G682="", "", 'AYIRA MINI MART FINAL MENU - Pr'!G682)</f>
        <v/>
      </c>
      <c r="H682" s="56" t="str">
        <f>IF('AYIRA MINI MART FINAL MENU - Pr'!H682="", "", 'AYIRA MINI MART FINAL MENU - Pr'!H682)</f>
        <v/>
      </c>
      <c r="I682" s="56" t="str">
        <f>IF('AYIRA MINI MART FINAL MENU - Pr'!I682="", "", 'AYIRA MINI MART FINAL MENU - Pr'!I682)</f>
        <v/>
      </c>
      <c r="J682" s="56" t="str">
        <f>IFERROR(__xludf.DUMMYFUNCTION("IF('AYIRA MINI MART FINAL MENU - Pr'!J682="""", """", GOOGLETRANSLATE('AYIRA MINI MART FINAL MENU - Pr'!J682, ""en"", ""ar""))"),"")</f>
        <v/>
      </c>
      <c r="K682" s="56" t="str">
        <f>IF('AYIRA MINI MART FINAL MENU - Pr'!K682="", "", 'AYIRA MINI MART FINAL MENU - Pr'!K682)</f>
        <v/>
      </c>
      <c r="L682" s="56" t="str">
        <f>IF('AYIRA MINI MART FINAL MENU - Pr'!L682="", "", 'AYIRA MINI MART FINAL MENU - Pr'!L682)</f>
        <v/>
      </c>
      <c r="M682" s="56" t="str">
        <f>IF('AYIRA MINI MART FINAL MENU - Pr'!M682="", "", 'AYIRA MINI MART FINAL MENU - Pr'!M682)</f>
        <v/>
      </c>
      <c r="N682" s="56" t="str">
        <f>IF('AYIRA MINI MART FINAL MENU - Pr'!N682="", "", 'AYIRA MINI MART FINAL MENU - Pr'!N682)</f>
        <v/>
      </c>
      <c r="O682" s="57"/>
      <c r="P682" s="57"/>
      <c r="Q682" s="57"/>
      <c r="R682" s="57"/>
      <c r="S682" s="57"/>
      <c r="T682" s="57"/>
      <c r="U682" s="57"/>
      <c r="V682" s="57"/>
      <c r="W682" s="57"/>
      <c r="X682" s="57"/>
      <c r="Y682" s="57"/>
      <c r="Z682" s="57"/>
    </row>
    <row r="683">
      <c r="A683" s="56" t="str">
        <f>IFERROR(__xludf.DUMMYFUNCTION("IF('AYIRA MINI MART FINAL MENU - Pr'!A683="""", """", IF(LEN(TRIM(REGEXREPLACE(REGEXREPLACE('AYIRA MINI MART FINAL MENU - Pr'!A683, ""^[^\x{0600}-\x{06FF}]+"", """"), ""^[-–\s]+"", """")))&gt;0, TRIM(REGEXREPLACE(REGEXREPLACE('AYIRA MINI MART FINAL MENU - Pr"&amp;"'!A683, ""^[^\x{0600}-\x{06FF}]+"", """"), ""^[-–\s]+"", """")), GOOGLETRANSLATE('AYIRA MINI MART FINAL MENU - Pr'!A683, ""en"", ""ar"")))"),"غالاكسي Ripple 30 غرام")</f>
        <v>غالاكسي Ripple 30 غرام</v>
      </c>
      <c r="B683" s="56" t="str">
        <f>IFERROR(__xludf.DUMMYFUNCTION("IF('AYIRA MINI MART FINAL MENU - Pr'!B683="""", """", IF(LEN(TRIM(REGEXREPLACE(REGEXREPLACE('AYIRA MINI MART FINAL MENU - Pr'!B683, ""^[^\x{0600}-\x{06FF}]+"", """"), ""^[-–\s]+"", """")))&gt;0, TRIM(REGEXREPLACE(REGEXREPLACE('AYIRA MINI MART FINAL MENU - Pr"&amp;"'!B683, ""^[^\x{0600}-\x{06FF}]+"", """"), ""^[-–\s]+"", """")), GOOGLETRANSLATE('AYIRA MINI MART FINAL MENU - Pr'!B683, ""en"", ""ar"")))"),"الشوكولاتة")</f>
        <v>الشوكولاتة</v>
      </c>
      <c r="C683" s="58">
        <f>IF('AYIRA MINI MART FINAL MENU - Pr'!C683="", "", 'AYIRA MINI MART FINAL MENU - Pr'!C683)</f>
        <v>3.5</v>
      </c>
      <c r="D683" s="58" t="str">
        <f>IF('AYIRA MINI MART FINAL MENU - Pr'!D683="", "", 'AYIRA MINI MART FINAL MENU - Pr'!D683)</f>
        <v>لا تقاوم طعم Galaxy Ripple 30g،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83" s="56" t="str">
        <f>IF('AYIRA MINI MART FINAL MENU - Pr'!E683="", "", 'AYIRA MINI MART FINAL MENU - Pr'!E683)</f>
        <v/>
      </c>
      <c r="F683" s="56" t="str">
        <f>IF('AYIRA MINI MART FINAL MENU - Pr'!F683="", "", 'AYIRA MINI MART FINAL MENU - Pr'!F683)</f>
        <v/>
      </c>
      <c r="G683" s="56" t="str">
        <f>IF('AYIRA MINI MART FINAL MENU - Pr'!G683="", "", 'AYIRA MINI MART FINAL MENU - Pr'!G683)</f>
        <v/>
      </c>
      <c r="H683" s="56" t="str">
        <f>IF('AYIRA MINI MART FINAL MENU - Pr'!H683="", "", 'AYIRA MINI MART FINAL MENU - Pr'!H683)</f>
        <v/>
      </c>
      <c r="I683" s="56" t="str">
        <f>IF('AYIRA MINI MART FINAL MENU - Pr'!I683="", "", 'AYIRA MINI MART FINAL MENU - Pr'!I683)</f>
        <v/>
      </c>
      <c r="J683" s="56" t="str">
        <f>IFERROR(__xludf.DUMMYFUNCTION("IF('AYIRA MINI MART FINAL MENU - Pr'!J683="""", """", GOOGLETRANSLATE('AYIRA MINI MART FINAL MENU - Pr'!J683, ""en"", ""ar""))"),"")</f>
        <v/>
      </c>
      <c r="K683" s="56" t="str">
        <f>IF('AYIRA MINI MART FINAL MENU - Pr'!K683="", "", 'AYIRA MINI MART FINAL MENU - Pr'!K683)</f>
        <v/>
      </c>
      <c r="L683" s="56" t="str">
        <f>IF('AYIRA MINI MART FINAL MENU - Pr'!L683="", "", 'AYIRA MINI MART FINAL MENU - Pr'!L683)</f>
        <v/>
      </c>
      <c r="M683" s="56" t="str">
        <f>IF('AYIRA MINI MART FINAL MENU - Pr'!M683="", "", 'AYIRA MINI MART FINAL MENU - Pr'!M683)</f>
        <v/>
      </c>
      <c r="N683" s="56" t="str">
        <f>IF('AYIRA MINI MART FINAL MENU - Pr'!N683="", "", 'AYIRA MINI MART FINAL MENU - Pr'!N683)</f>
        <v/>
      </c>
      <c r="O683" s="57"/>
      <c r="P683" s="57"/>
      <c r="Q683" s="57"/>
      <c r="R683" s="57"/>
      <c r="S683" s="57"/>
      <c r="T683" s="57"/>
      <c r="U683" s="57"/>
      <c r="V683" s="57"/>
      <c r="W683" s="57"/>
      <c r="X683" s="57"/>
      <c r="Y683" s="57"/>
      <c r="Z683" s="57"/>
    </row>
    <row r="684">
      <c r="A684" s="56" t="str">
        <f>IFERROR(__xludf.DUMMYFUNCTION("IF('AYIRA MINI MART FINAL MENU - Pr'!A684="""", """", IF(LEN(TRIM(REGEXREPLACE(REGEXREPLACE('AYIRA MINI MART FINAL MENU - Pr'!A684, ""^[^\x{0600}-\x{06FF}]+"", """"), ""^[-–\s]+"", """")))&gt;0, TRIM(REGEXREPLACE(REGEXREPLACE('AYIRA MINI MART FINAL MENU - Pr"&amp;"'!A684, ""^[^\x{0600}-\x{06FF}]+"", """"), ""^[-–\s]+"", """")), GOOGLETRANSLATE('AYIRA MINI MART FINAL MENU - Pr'!A684, ""en"", ""ar"")))"),"غرام")</f>
        <v>غرام</v>
      </c>
      <c r="B684" s="56" t="str">
        <f>IFERROR(__xludf.DUMMYFUNCTION("IF('AYIRA MINI MART FINAL MENU - Pr'!B684="""", """", IF(LEN(TRIM(REGEXREPLACE(REGEXREPLACE('AYIRA MINI MART FINAL MENU - Pr'!B684, ""^[^\x{0600}-\x{06FF}]+"", """"), ""^[-–\s]+"", """")))&gt;0, TRIM(REGEXREPLACE(REGEXREPLACE('AYIRA MINI MART FINAL MENU - Pr"&amp;"'!B684, ""^[^\x{0600}-\x{06FF}]+"", """"), ""^[-–\s]+"", """")), GOOGLETRANSLATE('AYIRA MINI MART FINAL MENU - Pr'!B684, ""en"", ""ar"")))"),"الشوكولاتة")</f>
        <v>الشوكولاتة</v>
      </c>
      <c r="C684" s="58">
        <f>IF('AYIRA MINI MART FINAL MENU - Pr'!C684="", "", 'AYIRA MINI MART FINAL MENU - Pr'!C684)</f>
        <v>3.5</v>
      </c>
      <c r="D684" s="58" t="str">
        <f>IF('AYIRA MINI MART FINAL MENU - Pr'!D684="", "", 'AYIRA MINI MART FINAL MENU - Pr'!D684)</f>
        <v>لا تقاوم طعم Smarties 38g،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84" s="56" t="str">
        <f>IF('AYIRA MINI MART FINAL MENU - Pr'!E684="", "", 'AYIRA MINI MART FINAL MENU - Pr'!E684)</f>
        <v/>
      </c>
      <c r="F684" s="56" t="str">
        <f>IF('AYIRA MINI MART FINAL MENU - Pr'!F684="", "", 'AYIRA MINI MART FINAL MENU - Pr'!F684)</f>
        <v/>
      </c>
      <c r="G684" s="56" t="str">
        <f>IF('AYIRA MINI MART FINAL MENU - Pr'!G684="", "", 'AYIRA MINI MART FINAL MENU - Pr'!G684)</f>
        <v/>
      </c>
      <c r="H684" s="56" t="str">
        <f>IF('AYIRA MINI MART FINAL MENU - Pr'!H684="", "", 'AYIRA MINI MART FINAL MENU - Pr'!H684)</f>
        <v/>
      </c>
      <c r="I684" s="56" t="str">
        <f>IF('AYIRA MINI MART FINAL MENU - Pr'!I684="", "", 'AYIRA MINI MART FINAL MENU - Pr'!I684)</f>
        <v/>
      </c>
      <c r="J684" s="56" t="str">
        <f>IFERROR(__xludf.DUMMYFUNCTION("IF('AYIRA MINI MART FINAL MENU - Pr'!J684="""", """", GOOGLETRANSLATE('AYIRA MINI MART FINAL MENU - Pr'!J684, ""en"", ""ar""))"),"")</f>
        <v/>
      </c>
      <c r="K684" s="56" t="str">
        <f>IF('AYIRA MINI MART FINAL MENU - Pr'!K684="", "", 'AYIRA MINI MART FINAL MENU - Pr'!K684)</f>
        <v/>
      </c>
      <c r="L684" s="56" t="str">
        <f>IF('AYIRA MINI MART FINAL MENU - Pr'!L684="", "", 'AYIRA MINI MART FINAL MENU - Pr'!L684)</f>
        <v/>
      </c>
      <c r="M684" s="56" t="str">
        <f>IF('AYIRA MINI MART FINAL MENU - Pr'!M684="", "", 'AYIRA MINI MART FINAL MENU - Pr'!M684)</f>
        <v/>
      </c>
      <c r="N684" s="56" t="str">
        <f>IF('AYIRA MINI MART FINAL MENU - Pr'!N684="", "", 'AYIRA MINI MART FINAL MENU - Pr'!N684)</f>
        <v/>
      </c>
      <c r="O684" s="57"/>
      <c r="P684" s="57"/>
      <c r="Q684" s="57"/>
      <c r="R684" s="57"/>
      <c r="S684" s="57"/>
      <c r="T684" s="57"/>
      <c r="U684" s="57"/>
      <c r="V684" s="57"/>
      <c r="W684" s="57"/>
      <c r="X684" s="57"/>
      <c r="Y684" s="57"/>
      <c r="Z684" s="57"/>
    </row>
    <row r="685">
      <c r="A685" s="56" t="str">
        <f>IFERROR(__xludf.DUMMYFUNCTION("IF('AYIRA MINI MART FINAL MENU - Pr'!A685="""", """", IF(LEN(TRIM(REGEXREPLACE(REGEXREPLACE('AYIRA MINI MART FINAL MENU - Pr'!A685, ""^[^\x{0600}-\x{06FF}]+"", """"), ""^[-–\s]+"", """")))&gt;0, TRIM(REGEXREPLACE(REGEXREPLACE('AYIRA MINI MART FINAL MENU - Pr"&amp;"'!A685, ""^[^\x{0600}-\x{06FF}]+"", """"), ""^[-–\s]+"", """")), GOOGLETRANSLATE('AYIRA MINI MART FINAL MENU - Pr'!A685, ""en"", ""ar"")))"),"كريم 40 غرام")</f>
        <v>كريم 40 غرام</v>
      </c>
      <c r="B685" s="56" t="str">
        <f>IFERROR(__xludf.DUMMYFUNCTION("IF('AYIRA MINI MART FINAL MENU - Pr'!B685="""", """", IF(LEN(TRIM(REGEXREPLACE(REGEXREPLACE('AYIRA MINI MART FINAL MENU - Pr'!B685, ""^[^\x{0600}-\x{06FF}]+"", """"), ""^[-–\s]+"", """")))&gt;0, TRIM(REGEXREPLACE(REGEXREPLACE('AYIRA MINI MART FINAL MENU - Pr"&amp;"'!B685, ""^[^\x{0600}-\x{06FF}]+"", """"), ""^[-–\s]+"", """")), GOOGLETRANSLATE('AYIRA MINI MART FINAL MENU - Pr'!B685, ""en"", ""ar"")))"),"الشوكولاتة")</f>
        <v>الشوكولاتة</v>
      </c>
      <c r="C685" s="58">
        <f>IF('AYIRA MINI MART FINAL MENU - Pr'!C685="", "", 'AYIRA MINI MART FINAL MENU - Pr'!C685)</f>
        <v>3</v>
      </c>
      <c r="D685" s="58" t="str">
        <f>IF('AYIRA MINI MART FINAL MENU - Pr'!D685="", "", 'AYIRA MINI MART FINAL MENU - Pr'!D685)</f>
        <v>لا تقاوم طعم Ülker Cocoa Cream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85" s="56" t="str">
        <f>IF('AYIRA MINI MART FINAL MENU - Pr'!E685="", "", 'AYIRA MINI MART FINAL MENU - Pr'!E685)</f>
        <v/>
      </c>
      <c r="F685" s="56" t="str">
        <f>IF('AYIRA MINI MART FINAL MENU - Pr'!F685="", "", 'AYIRA MINI MART FINAL MENU - Pr'!F685)</f>
        <v/>
      </c>
      <c r="G685" s="56" t="str">
        <f>IF('AYIRA MINI MART FINAL MENU - Pr'!G685="", "", 'AYIRA MINI MART FINAL MENU - Pr'!G685)</f>
        <v/>
      </c>
      <c r="H685" s="56" t="str">
        <f>IF('AYIRA MINI MART FINAL MENU - Pr'!H685="", "", 'AYIRA MINI MART FINAL MENU - Pr'!H685)</f>
        <v/>
      </c>
      <c r="I685" s="56" t="str">
        <f>IF('AYIRA MINI MART FINAL MENU - Pr'!I685="", "", 'AYIRA MINI MART FINAL MENU - Pr'!I685)</f>
        <v/>
      </c>
      <c r="J685" s="56" t="str">
        <f>IFERROR(__xludf.DUMMYFUNCTION("IF('AYIRA MINI MART FINAL MENU - Pr'!J685="""", """", GOOGLETRANSLATE('AYIRA MINI MART FINAL MENU - Pr'!J685, ""en"", ""ar""))"),"")</f>
        <v/>
      </c>
      <c r="K685" s="56" t="str">
        <f>IF('AYIRA MINI MART FINAL MENU - Pr'!K685="", "", 'AYIRA MINI MART FINAL MENU - Pr'!K685)</f>
        <v/>
      </c>
      <c r="L685" s="56" t="str">
        <f>IF('AYIRA MINI MART FINAL MENU - Pr'!L685="", "", 'AYIRA MINI MART FINAL MENU - Pr'!L685)</f>
        <v/>
      </c>
      <c r="M685" s="56" t="str">
        <f>IF('AYIRA MINI MART FINAL MENU - Pr'!M685="", "", 'AYIRA MINI MART FINAL MENU - Pr'!M685)</f>
        <v/>
      </c>
      <c r="N685" s="56" t="str">
        <f>IF('AYIRA MINI MART FINAL MENU - Pr'!N685="", "", 'AYIRA MINI MART FINAL MENU - Pr'!N685)</f>
        <v/>
      </c>
      <c r="O685" s="57"/>
      <c r="P685" s="57"/>
      <c r="Q685" s="57"/>
      <c r="R685" s="57"/>
      <c r="S685" s="57"/>
      <c r="T685" s="57"/>
      <c r="U685" s="57"/>
      <c r="V685" s="57"/>
      <c r="W685" s="57"/>
      <c r="X685" s="57"/>
      <c r="Y685" s="57"/>
      <c r="Z685" s="57"/>
    </row>
    <row r="686">
      <c r="A686" s="56" t="str">
        <f>IFERROR(__xludf.DUMMYFUNCTION("IF('AYIRA MINI MART FINAL MENU - Pr'!A686="""", """", IF(LEN(TRIM(REGEXREPLACE(REGEXREPLACE('AYIRA MINI MART FINAL MENU - Pr'!A686, ""^[^\x{0600}-\x{06FF}]+"", """"), ""^[-–\s]+"", """")))&gt;0, TRIM(REGEXREPLACE(REGEXREPLACE('AYIRA MINI MART FINAL MENU - Pr"&amp;"'!A686, ""^[^\x{0600}-\x{06FF}]+"", """"), ""^[-–\s]+"", """")), GOOGLETRANSLATE('AYIRA MINI MART FINAL MENU - Pr'!A686, ""en"", ""ar"")))"),"تشوبا تشوبس Bites Fruit Flavour 24.2 غرام")</f>
        <v>تشوبا تشوبس Bites Fruit Flavour 24.2 غرام</v>
      </c>
      <c r="B686" s="56" t="str">
        <f>IFERROR(__xludf.DUMMYFUNCTION("IF('AYIRA MINI MART FINAL MENU - Pr'!B686="""", """", IF(LEN(TRIM(REGEXREPLACE(REGEXREPLACE('AYIRA MINI MART FINAL MENU - Pr'!B686, ""^[^\x{0600}-\x{06FF}]+"", """"), ""^[-–\s]+"", """")))&gt;0, TRIM(REGEXREPLACE(REGEXREPLACE('AYIRA MINI MART FINAL MENU - Pr"&amp;"'!B686, ""^[^\x{0600}-\x{06FF}]+"", """"), ""^[-–\s]+"", """")), GOOGLETRANSLATE('AYIRA MINI MART FINAL MENU - Pr'!B686, ""en"", ""ar"")))"),"الحلوى 🍬")</f>
        <v>الحلوى 🍬</v>
      </c>
      <c r="C686" s="58">
        <f>IF('AYIRA MINI MART FINAL MENU - Pr'!C686="", "", 'AYIRA MINI MART FINAL MENU - Pr'!C686)</f>
        <v>2.5</v>
      </c>
      <c r="D686" s="58" t="str">
        <f>IF('AYIRA MINI MART FINAL MENU - Pr'!D686="", "", 'AYIRA MINI MART FINAL MENU - Pr'!D686)</f>
        <v>لا تقاوم طعم Chupa Chups Bites Fruit Flavour 24.2g،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86" s="56" t="str">
        <f>IF('AYIRA MINI MART FINAL MENU - Pr'!E686="", "", 'AYIRA MINI MART FINAL MENU - Pr'!E686)</f>
        <v/>
      </c>
      <c r="F686" s="56" t="str">
        <f>IF('AYIRA MINI MART FINAL MENU - Pr'!F686="", "", 'AYIRA MINI MART FINAL MENU - Pr'!F686)</f>
        <v/>
      </c>
      <c r="G686" s="56" t="str">
        <f>IF('AYIRA MINI MART FINAL MENU - Pr'!G686="", "", 'AYIRA MINI MART FINAL MENU - Pr'!G686)</f>
        <v/>
      </c>
      <c r="H686" s="56" t="str">
        <f>IF('AYIRA MINI MART FINAL MENU - Pr'!H686="", "", 'AYIRA MINI MART FINAL MENU - Pr'!H686)</f>
        <v/>
      </c>
      <c r="I686" s="56" t="str">
        <f>IF('AYIRA MINI MART FINAL MENU - Pr'!I686="", "", 'AYIRA MINI MART FINAL MENU - Pr'!I686)</f>
        <v/>
      </c>
      <c r="J686" s="56" t="str">
        <f>IFERROR(__xludf.DUMMYFUNCTION("IF('AYIRA MINI MART FINAL MENU - Pr'!J686="""", """", GOOGLETRANSLATE('AYIRA MINI MART FINAL MENU - Pr'!J686, ""en"", ""ar""))"),"")</f>
        <v/>
      </c>
      <c r="K686" s="56" t="str">
        <f>IF('AYIRA MINI MART FINAL MENU - Pr'!K686="", "", 'AYIRA MINI MART FINAL MENU - Pr'!K686)</f>
        <v/>
      </c>
      <c r="L686" s="56" t="str">
        <f>IF('AYIRA MINI MART FINAL MENU - Pr'!L686="", "", 'AYIRA MINI MART FINAL MENU - Pr'!L686)</f>
        <v/>
      </c>
      <c r="M686" s="56" t="str">
        <f>IF('AYIRA MINI MART FINAL MENU - Pr'!M686="", "", 'AYIRA MINI MART FINAL MENU - Pr'!M686)</f>
        <v/>
      </c>
      <c r="N686" s="56" t="str">
        <f>IF('AYIRA MINI MART FINAL MENU - Pr'!N686="", "", 'AYIRA MINI MART FINAL MENU - Pr'!N686)</f>
        <v/>
      </c>
      <c r="O686" s="57"/>
      <c r="P686" s="57"/>
      <c r="Q686" s="57"/>
      <c r="R686" s="57"/>
      <c r="S686" s="57"/>
      <c r="T686" s="57"/>
      <c r="U686" s="57"/>
      <c r="V686" s="57"/>
      <c r="W686" s="57"/>
      <c r="X686" s="57"/>
      <c r="Y686" s="57"/>
      <c r="Z686" s="57"/>
    </row>
    <row r="687">
      <c r="A687" s="56" t="str">
        <f>IFERROR(__xludf.DUMMYFUNCTION("IF('AYIRA MINI MART FINAL MENU - Pr'!A687="""", """", IF(LEN(TRIM(REGEXREPLACE(REGEXREPLACE('AYIRA MINI MART FINAL MENU - Pr'!A687, ""^[^\x{0600}-\x{06FF}]+"", """"), ""^[-–\s]+"", """")))&gt;0, TRIM(REGEXREPLACE(REGEXREPLACE('AYIRA MINI MART FINAL MENU - Pr"&amp;"'!A687, ""^[^\x{0600}-\x{06FF}]+"", """"), ""^[-–\s]+"", """")), GOOGLETRANSLATE('AYIRA MINI MART FINAL MENU - Pr'!A687, ""en"", ""ar"")))"),"غرام")</f>
        <v>غرام</v>
      </c>
      <c r="B687" s="56" t="str">
        <f>IFERROR(__xludf.DUMMYFUNCTION("IF('AYIRA MINI MART FINAL MENU - Pr'!B687="""", """", IF(LEN(TRIM(REGEXREPLACE(REGEXREPLACE('AYIRA MINI MART FINAL MENU - Pr'!B687, ""^[^\x{0600}-\x{06FF}]+"", """"), ""^[-–\s]+"", """")))&gt;0, TRIM(REGEXREPLACE(REGEXREPLACE('AYIRA MINI MART FINAL MENU - Pr"&amp;"'!B687, ""^[^\x{0600}-\x{06FF}]+"", """"), ""^[-–\s]+"", """")), GOOGLETRANSLATE('AYIRA MINI MART FINAL MENU - Pr'!B687, ""en"", ""ar"")))"),"الحلوى 🍬")</f>
        <v>الحلوى 🍬</v>
      </c>
      <c r="C687" s="58">
        <f>IF('AYIRA MINI MART FINAL MENU - Pr'!C687="", "", 'AYIRA MINI MART FINAL MENU - Pr'!C687)</f>
        <v>1</v>
      </c>
      <c r="D687" s="58" t="str">
        <f>IF('AYIRA MINI MART FINAL MENU - Pr'!D687="", "", 'AYIRA MINI MART FINAL MENU - Pr'!D687)</f>
        <v>لا تقاوم طعم Twin Burger 14g،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87" s="56" t="str">
        <f>IF('AYIRA MINI MART FINAL MENU - Pr'!E687="", "", 'AYIRA MINI MART FINAL MENU - Pr'!E687)</f>
        <v/>
      </c>
      <c r="F687" s="56" t="str">
        <f>IF('AYIRA MINI MART FINAL MENU - Pr'!F687="", "", 'AYIRA MINI MART FINAL MENU - Pr'!F687)</f>
        <v/>
      </c>
      <c r="G687" s="56" t="str">
        <f>IF('AYIRA MINI MART FINAL MENU - Pr'!G687="", "", 'AYIRA MINI MART FINAL MENU - Pr'!G687)</f>
        <v/>
      </c>
      <c r="H687" s="56" t="str">
        <f>IF('AYIRA MINI MART FINAL MENU - Pr'!H687="", "", 'AYIRA MINI MART FINAL MENU - Pr'!H687)</f>
        <v/>
      </c>
      <c r="I687" s="56" t="str">
        <f>IF('AYIRA MINI MART FINAL MENU - Pr'!I687="", "", 'AYIRA MINI MART FINAL MENU - Pr'!I687)</f>
        <v/>
      </c>
      <c r="J687" s="56" t="str">
        <f>IFERROR(__xludf.DUMMYFUNCTION("IF('AYIRA MINI MART FINAL MENU - Pr'!J687="""", """", GOOGLETRANSLATE('AYIRA MINI MART FINAL MENU - Pr'!J687, ""en"", ""ar""))"),"")</f>
        <v/>
      </c>
      <c r="K687" s="56" t="str">
        <f>IF('AYIRA MINI MART FINAL MENU - Pr'!K687="", "", 'AYIRA MINI MART FINAL MENU - Pr'!K687)</f>
        <v/>
      </c>
      <c r="L687" s="56" t="str">
        <f>IF('AYIRA MINI MART FINAL MENU - Pr'!L687="", "", 'AYIRA MINI MART FINAL MENU - Pr'!L687)</f>
        <v/>
      </c>
      <c r="M687" s="56" t="str">
        <f>IF('AYIRA MINI MART FINAL MENU - Pr'!M687="", "", 'AYIRA MINI MART FINAL MENU - Pr'!M687)</f>
        <v/>
      </c>
      <c r="N687" s="56" t="str">
        <f>IF('AYIRA MINI MART FINAL MENU - Pr'!N687="", "", 'AYIRA MINI MART FINAL MENU - Pr'!N687)</f>
        <v/>
      </c>
      <c r="O687" s="57"/>
      <c r="P687" s="57"/>
      <c r="Q687" s="57"/>
      <c r="R687" s="57"/>
      <c r="S687" s="57"/>
      <c r="T687" s="57"/>
      <c r="U687" s="57"/>
      <c r="V687" s="57"/>
      <c r="W687" s="57"/>
      <c r="X687" s="57"/>
      <c r="Y687" s="57"/>
      <c r="Z687" s="57"/>
    </row>
    <row r="688">
      <c r="A688" s="56" t="str">
        <f>IFERROR(__xludf.DUMMYFUNCTION("IF('AYIRA MINI MART FINAL MENU - Pr'!A688="""", """", IF(LEN(TRIM(REGEXREPLACE(REGEXREPLACE('AYIRA MINI MART FINAL MENU - Pr'!A688, ""^[^\x{0600}-\x{06FF}]+"", """"), ""^[-–\s]+"", """")))&gt;0, TRIM(REGEXREPLACE(REGEXREPLACE('AYIRA MINI MART FINAL MENU - Pr"&amp;"'!A688, ""^[^\x{0600}-\x{06FF}]+"", """"), ""^[-–\s]+"", """")), GOOGLETRANSLATE('AYIRA MINI MART FINAL MENU - Pr'!A688, ""en"", ""ar"")))"),"غرام")</f>
        <v>غرام</v>
      </c>
      <c r="B688" s="56" t="str">
        <f>IFERROR(__xludf.DUMMYFUNCTION("IF('AYIRA MINI MART FINAL MENU - Pr'!B688="""", """", IF(LEN(TRIM(REGEXREPLACE(REGEXREPLACE('AYIRA MINI MART FINAL MENU - Pr'!B688, ""^[^\x{0600}-\x{06FF}]+"", """"), ""^[-–\s]+"", """")))&gt;0, TRIM(REGEXREPLACE(REGEXREPLACE('AYIRA MINI MART FINAL MENU - Pr"&amp;"'!B688, ""^[^\x{0600}-\x{06FF}]+"", """"), ""^[-–\s]+"", """")), GOOGLETRANSLATE('AYIRA MINI MART FINAL MENU - Pr'!B688, ""en"", ""ar"")))"),"الحلوى 🍬")</f>
        <v>الحلوى 🍬</v>
      </c>
      <c r="C688" s="58">
        <f>IF('AYIRA MINI MART FINAL MENU - Pr'!C688="", "", 'AYIRA MINI MART FINAL MENU - Pr'!C688)</f>
        <v>1</v>
      </c>
      <c r="D688" s="58" t="str">
        <f>IF('AYIRA MINI MART FINAL MENU - Pr'!D688="", "", 'AYIRA MINI MART FINAL MENU - Pr'!D688)</f>
        <v>لا تقاوم طعم Narshmallow 13g،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88" s="56" t="str">
        <f>IF('AYIRA MINI MART FINAL MENU - Pr'!E688="", "", 'AYIRA MINI MART FINAL MENU - Pr'!E688)</f>
        <v/>
      </c>
      <c r="F688" s="56" t="str">
        <f>IF('AYIRA MINI MART FINAL MENU - Pr'!F688="", "", 'AYIRA MINI MART FINAL MENU - Pr'!F688)</f>
        <v/>
      </c>
      <c r="G688" s="56" t="str">
        <f>IF('AYIRA MINI MART FINAL MENU - Pr'!G688="", "", 'AYIRA MINI MART FINAL MENU - Pr'!G688)</f>
        <v/>
      </c>
      <c r="H688" s="56" t="str">
        <f>IF('AYIRA MINI MART FINAL MENU - Pr'!H688="", "", 'AYIRA MINI MART FINAL MENU - Pr'!H688)</f>
        <v/>
      </c>
      <c r="I688" s="56" t="str">
        <f>IF('AYIRA MINI MART FINAL MENU - Pr'!I688="", "", 'AYIRA MINI MART FINAL MENU - Pr'!I688)</f>
        <v/>
      </c>
      <c r="J688" s="56" t="str">
        <f>IFERROR(__xludf.DUMMYFUNCTION("IF('AYIRA MINI MART FINAL MENU - Pr'!J688="""", """", GOOGLETRANSLATE('AYIRA MINI MART FINAL MENU - Pr'!J688, ""en"", ""ar""))"),"")</f>
        <v/>
      </c>
      <c r="K688" s="56" t="str">
        <f>IF('AYIRA MINI MART FINAL MENU - Pr'!K688="", "", 'AYIRA MINI MART FINAL MENU - Pr'!K688)</f>
        <v/>
      </c>
      <c r="L688" s="56" t="str">
        <f>IF('AYIRA MINI MART FINAL MENU - Pr'!L688="", "", 'AYIRA MINI MART FINAL MENU - Pr'!L688)</f>
        <v/>
      </c>
      <c r="M688" s="56" t="str">
        <f>IF('AYIRA MINI MART FINAL MENU - Pr'!M688="", "", 'AYIRA MINI MART FINAL MENU - Pr'!M688)</f>
        <v/>
      </c>
      <c r="N688" s="56" t="str">
        <f>IF('AYIRA MINI MART FINAL MENU - Pr'!N688="", "", 'AYIRA MINI MART FINAL MENU - Pr'!N688)</f>
        <v/>
      </c>
      <c r="O688" s="57"/>
      <c r="P688" s="57"/>
      <c r="Q688" s="57"/>
      <c r="R688" s="57"/>
      <c r="S688" s="57"/>
      <c r="T688" s="57"/>
      <c r="U688" s="57"/>
      <c r="V688" s="57"/>
      <c r="W688" s="57"/>
      <c r="X688" s="57"/>
      <c r="Y688" s="57"/>
      <c r="Z688" s="57"/>
    </row>
    <row r="689">
      <c r="A689" s="56" t="str">
        <f>IFERROR(__xludf.DUMMYFUNCTION("IF('AYIRA MINI MART FINAL MENU - Pr'!A689="""", """", IF(LEN(TRIM(REGEXREPLACE(REGEXREPLACE('AYIRA MINI MART FINAL MENU - Pr'!A689, ""^[^\x{0600}-\x{06FF}]+"", """"), ""^[-–\s]+"", """")))&gt;0, TRIM(REGEXREPLACE(REGEXREPLACE('AYIRA MINI MART FINAL MENU - Pr"&amp;"'!A689, ""^[^\x{0600}-\x{06FF}]+"", """"), ""^[-–\s]+"", """")), GOOGLETRANSLATE('AYIRA MINI MART FINAL MENU - Pr'!A689, ""en"", ""ar"")))"),"غرام")</f>
        <v>غرام</v>
      </c>
      <c r="B689" s="56" t="str">
        <f>IFERROR(__xludf.DUMMYFUNCTION("IF('AYIRA MINI MART FINAL MENU - Pr'!B689="""", """", IF(LEN(TRIM(REGEXREPLACE(REGEXREPLACE('AYIRA MINI MART FINAL MENU - Pr'!B689, ""^[^\x{0600}-\x{06FF}]+"", """"), ""^[-–\s]+"", """")))&gt;0, TRIM(REGEXREPLACE(REGEXREPLACE('AYIRA MINI MART FINAL MENU - Pr"&amp;"'!B689, ""^[^\x{0600}-\x{06FF}]+"", """"), ""^[-–\s]+"", """")), GOOGLETRANSLATE('AYIRA MINI MART FINAL MENU - Pr'!B689, ""en"", ""ar"")))"),"الحلوى 🍬")</f>
        <v>الحلوى 🍬</v>
      </c>
      <c r="C689" s="58">
        <f>IF('AYIRA MINI MART FINAL MENU - Pr'!C689="", "", 'AYIRA MINI MART FINAL MENU - Pr'!C689)</f>
        <v>1</v>
      </c>
      <c r="D689" s="58" t="str">
        <f>IF('AYIRA MINI MART FINAL MENU - Pr'!D689="", "", 'AYIRA MINI MART FINAL MENU - Pr'!D689)</f>
        <v>لا تقاوم طعم Color Bubble Pencil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89" s="56" t="str">
        <f>IF('AYIRA MINI MART FINAL MENU - Pr'!E689="", "", 'AYIRA MINI MART FINAL MENU - Pr'!E689)</f>
        <v/>
      </c>
      <c r="F689" s="56" t="str">
        <f>IF('AYIRA MINI MART FINAL MENU - Pr'!F689="", "", 'AYIRA MINI MART FINAL MENU - Pr'!F689)</f>
        <v/>
      </c>
      <c r="G689" s="56" t="str">
        <f>IF('AYIRA MINI MART FINAL MENU - Pr'!G689="", "", 'AYIRA MINI MART FINAL MENU - Pr'!G689)</f>
        <v/>
      </c>
      <c r="H689" s="56" t="str">
        <f>IF('AYIRA MINI MART FINAL MENU - Pr'!H689="", "", 'AYIRA MINI MART FINAL MENU - Pr'!H689)</f>
        <v/>
      </c>
      <c r="I689" s="56" t="str">
        <f>IF('AYIRA MINI MART FINAL MENU - Pr'!I689="", "", 'AYIRA MINI MART FINAL MENU - Pr'!I689)</f>
        <v/>
      </c>
      <c r="J689" s="56" t="str">
        <f>IFERROR(__xludf.DUMMYFUNCTION("IF('AYIRA MINI MART FINAL MENU - Pr'!J689="""", """", GOOGLETRANSLATE('AYIRA MINI MART FINAL MENU - Pr'!J689, ""en"", ""ar""))"),"")</f>
        <v/>
      </c>
      <c r="K689" s="56" t="str">
        <f>IF('AYIRA MINI MART FINAL MENU - Pr'!K689="", "", 'AYIRA MINI MART FINAL MENU - Pr'!K689)</f>
        <v/>
      </c>
      <c r="L689" s="56" t="str">
        <f>IF('AYIRA MINI MART FINAL MENU - Pr'!L689="", "", 'AYIRA MINI MART FINAL MENU - Pr'!L689)</f>
        <v/>
      </c>
      <c r="M689" s="56" t="str">
        <f>IF('AYIRA MINI MART FINAL MENU - Pr'!M689="", "", 'AYIRA MINI MART FINAL MENU - Pr'!M689)</f>
        <v/>
      </c>
      <c r="N689" s="56" t="str">
        <f>IF('AYIRA MINI MART FINAL MENU - Pr'!N689="", "", 'AYIRA MINI MART FINAL MENU - Pr'!N689)</f>
        <v/>
      </c>
      <c r="O689" s="57"/>
      <c r="P689" s="57"/>
      <c r="Q689" s="57"/>
      <c r="R689" s="57"/>
      <c r="S689" s="57"/>
      <c r="T689" s="57"/>
      <c r="U689" s="57"/>
      <c r="V689" s="57"/>
      <c r="W689" s="57"/>
      <c r="X689" s="57"/>
      <c r="Y689" s="57"/>
      <c r="Z689" s="57"/>
    </row>
    <row r="690">
      <c r="A690" s="56" t="str">
        <f>IFERROR(__xludf.DUMMYFUNCTION("IF('AYIRA MINI MART FINAL MENU - Pr'!A690="""", """", IF(LEN(TRIM(REGEXREPLACE(REGEXREPLACE('AYIRA MINI MART FINAL MENU - Pr'!A690, ""^[^\x{0600}-\x{06FF}]+"", """"), ""^[-–\s]+"", """")))&gt;0, TRIM(REGEXREPLACE(REGEXREPLACE('AYIRA MINI MART FINAL MENU - Pr"&amp;"'!A690, ""^[^\x{0600}-\x{06FF}]+"", """"), ""^[-–\s]+"", """")), GOOGLETRANSLATE('AYIRA MINI MART FINAL MENU - Pr'!A690, ""en"", ""ar"")))"),"غرام")</f>
        <v>غرام</v>
      </c>
      <c r="B690" s="56" t="str">
        <f>IFERROR(__xludf.DUMMYFUNCTION("IF('AYIRA MINI MART FINAL MENU - Pr'!B690="""", """", IF(LEN(TRIM(REGEXREPLACE(REGEXREPLACE('AYIRA MINI MART FINAL MENU - Pr'!B690, ""^[^\x{0600}-\x{06FF}]+"", """"), ""^[-–\s]+"", """")))&gt;0, TRIM(REGEXREPLACE(REGEXREPLACE('AYIRA MINI MART FINAL MENU - Pr"&amp;"'!B690, ""^[^\x{0600}-\x{06FF}]+"", """"), ""^[-–\s]+"", """")), GOOGLETRANSLATE('AYIRA MINI MART FINAL MENU - Pr'!B690, ""en"", ""ar"")))"),"الحلوى 🍬")</f>
        <v>الحلوى 🍬</v>
      </c>
      <c r="C690" s="58">
        <f>IF('AYIRA MINI MART FINAL MENU - Pr'!C690="", "", 'AYIRA MINI MART FINAL MENU - Pr'!C690)</f>
        <v>1</v>
      </c>
      <c r="D690" s="58" t="str">
        <f>IF('AYIRA MINI MART FINAL MENU - Pr'!D690="", "", 'AYIRA MINI MART FINAL MENU - Pr'!D690)</f>
        <v>أضف لحظة حلوة إلى يومك مع Jelly Cola 20g،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690" s="56" t="str">
        <f>IF('AYIRA MINI MART FINAL MENU - Pr'!E690="", "", 'AYIRA MINI MART FINAL MENU - Pr'!E690)</f>
        <v/>
      </c>
      <c r="F690" s="56" t="str">
        <f>IF('AYIRA MINI MART FINAL MENU - Pr'!F690="", "", 'AYIRA MINI MART FINAL MENU - Pr'!F690)</f>
        <v/>
      </c>
      <c r="G690" s="56" t="str">
        <f>IF('AYIRA MINI MART FINAL MENU - Pr'!G690="", "", 'AYIRA MINI MART FINAL MENU - Pr'!G690)</f>
        <v/>
      </c>
      <c r="H690" s="56" t="str">
        <f>IF('AYIRA MINI MART FINAL MENU - Pr'!H690="", "", 'AYIRA MINI MART FINAL MENU - Pr'!H690)</f>
        <v/>
      </c>
      <c r="I690" s="56" t="str">
        <f>IF('AYIRA MINI MART FINAL MENU - Pr'!I690="", "", 'AYIRA MINI MART FINAL MENU - Pr'!I690)</f>
        <v/>
      </c>
      <c r="J690" s="56" t="str">
        <f>IFERROR(__xludf.DUMMYFUNCTION("IF('AYIRA MINI MART FINAL MENU - Pr'!J690="""", """", GOOGLETRANSLATE('AYIRA MINI MART FINAL MENU - Pr'!J690, ""en"", ""ar""))"),"")</f>
        <v/>
      </c>
      <c r="K690" s="56" t="str">
        <f>IF('AYIRA MINI MART FINAL MENU - Pr'!K690="", "", 'AYIRA MINI MART FINAL MENU - Pr'!K690)</f>
        <v/>
      </c>
      <c r="L690" s="56" t="str">
        <f>IF('AYIRA MINI MART FINAL MENU - Pr'!L690="", "", 'AYIRA MINI MART FINAL MENU - Pr'!L690)</f>
        <v/>
      </c>
      <c r="M690" s="56" t="str">
        <f>IF('AYIRA MINI MART FINAL MENU - Pr'!M690="", "", 'AYIRA MINI MART FINAL MENU - Pr'!M690)</f>
        <v/>
      </c>
      <c r="N690" s="56" t="str">
        <f>IF('AYIRA MINI MART FINAL MENU - Pr'!N690="", "", 'AYIRA MINI MART FINAL MENU - Pr'!N690)</f>
        <v/>
      </c>
      <c r="O690" s="57"/>
      <c r="P690" s="57"/>
      <c r="Q690" s="57"/>
      <c r="R690" s="57"/>
      <c r="S690" s="57"/>
      <c r="T690" s="57"/>
      <c r="U690" s="57"/>
      <c r="V690" s="57"/>
      <c r="W690" s="57"/>
      <c r="X690" s="57"/>
      <c r="Y690" s="57"/>
      <c r="Z690" s="57"/>
    </row>
    <row r="691">
      <c r="A691" s="56" t="str">
        <f>IFERROR(__xludf.DUMMYFUNCTION("IF('AYIRA MINI MART FINAL MENU - Pr'!A691="""", """", IF(LEN(TRIM(REGEXREPLACE(REGEXREPLACE('AYIRA MINI MART FINAL MENU - Pr'!A691, ""^[^\x{0600}-\x{06FF}]+"", """"), ""^[-–\s]+"", """")))&gt;0, TRIM(REGEXREPLACE(REGEXREPLACE('AYIRA MINI MART FINAL MENU - Pr"&amp;"'!A691, ""^[^\x{0600}-\x{06FF}]+"", """"), ""^[-–\s]+"", """")), GOOGLETRANSLATE('AYIRA MINI MART FINAL MENU - Pr'!A691, ""en"", ""ar"")))"),"غرام")</f>
        <v>غرام</v>
      </c>
      <c r="B691" s="56" t="str">
        <f>IFERROR(__xludf.DUMMYFUNCTION("IF('AYIRA MINI MART FINAL MENU - Pr'!B691="""", """", IF(LEN(TRIM(REGEXREPLACE(REGEXREPLACE('AYIRA MINI MART FINAL MENU - Pr'!B691, ""^[^\x{0600}-\x{06FF}]+"", """"), ""^[-–\s]+"", """")))&gt;0, TRIM(REGEXREPLACE(REGEXREPLACE('AYIRA MINI MART FINAL MENU - Pr"&amp;"'!B691, ""^[^\x{0600}-\x{06FF}]+"", """"), ""^[-–\s]+"", """")), GOOGLETRANSLATE('AYIRA MINI MART FINAL MENU - Pr'!B691, ""en"", ""ar"")))"),"الحلوى 🍬")</f>
        <v>الحلوى 🍬</v>
      </c>
      <c r="C691" s="58">
        <f>IF('AYIRA MINI MART FINAL MENU - Pr'!C691="", "", 'AYIRA MINI MART FINAL MENU - Pr'!C691)</f>
        <v>1.5</v>
      </c>
      <c r="D691" s="58" t="str">
        <f>IF('AYIRA MINI MART FINAL MENU - Pr'!D691="", "", 'AYIRA MINI MART FINAL MENU - Pr'!D691)</f>
        <v>أضف لحظة حلوة إلى يومك مع Brain Blasters Sour Candy 45g،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691" s="56" t="str">
        <f>IF('AYIRA MINI MART FINAL MENU - Pr'!E691="", "", 'AYIRA MINI MART FINAL MENU - Pr'!E691)</f>
        <v/>
      </c>
      <c r="F691" s="56" t="str">
        <f>IF('AYIRA MINI MART FINAL MENU - Pr'!F691="", "", 'AYIRA MINI MART FINAL MENU - Pr'!F691)</f>
        <v/>
      </c>
      <c r="G691" s="56" t="str">
        <f>IF('AYIRA MINI MART FINAL MENU - Pr'!G691="", "", 'AYIRA MINI MART FINAL MENU - Pr'!G691)</f>
        <v/>
      </c>
      <c r="H691" s="56" t="str">
        <f>IF('AYIRA MINI MART FINAL MENU - Pr'!H691="", "", 'AYIRA MINI MART FINAL MENU - Pr'!H691)</f>
        <v/>
      </c>
      <c r="I691" s="56" t="str">
        <f>IF('AYIRA MINI MART FINAL MENU - Pr'!I691="", "", 'AYIRA MINI MART FINAL MENU - Pr'!I691)</f>
        <v/>
      </c>
      <c r="J691" s="56" t="str">
        <f>IFERROR(__xludf.DUMMYFUNCTION("IF('AYIRA MINI MART FINAL MENU - Pr'!J691="""", """", GOOGLETRANSLATE('AYIRA MINI MART FINAL MENU - Pr'!J691, ""en"", ""ar""))"),"")</f>
        <v/>
      </c>
      <c r="K691" s="56" t="str">
        <f>IF('AYIRA MINI MART FINAL MENU - Pr'!K691="", "", 'AYIRA MINI MART FINAL MENU - Pr'!K691)</f>
        <v/>
      </c>
      <c r="L691" s="56" t="str">
        <f>IF('AYIRA MINI MART FINAL MENU - Pr'!L691="", "", 'AYIRA MINI MART FINAL MENU - Pr'!L691)</f>
        <v/>
      </c>
      <c r="M691" s="56" t="str">
        <f>IF('AYIRA MINI MART FINAL MENU - Pr'!M691="", "", 'AYIRA MINI MART FINAL MENU - Pr'!M691)</f>
        <v/>
      </c>
      <c r="N691" s="56" t="str">
        <f>IF('AYIRA MINI MART FINAL MENU - Pr'!N691="", "", 'AYIRA MINI MART FINAL MENU - Pr'!N691)</f>
        <v/>
      </c>
      <c r="O691" s="57"/>
      <c r="P691" s="57"/>
      <c r="Q691" s="57"/>
      <c r="R691" s="57"/>
      <c r="S691" s="57"/>
      <c r="T691" s="57"/>
      <c r="U691" s="57"/>
      <c r="V691" s="57"/>
      <c r="W691" s="57"/>
      <c r="X691" s="57"/>
      <c r="Y691" s="57"/>
      <c r="Z691" s="57"/>
    </row>
    <row r="692">
      <c r="A692" s="56" t="str">
        <f>IFERROR(__xludf.DUMMYFUNCTION("IF('AYIRA MINI MART FINAL MENU - Pr'!A692="""", """", IF(LEN(TRIM(REGEXREPLACE(REGEXREPLACE('AYIRA MINI MART FINAL MENU - Pr'!A692, ""^[^\x{0600}-\x{06FF}]+"", """"), ""^[-–\s]+"", """")))&gt;0, TRIM(REGEXREPLACE(REGEXREPLACE('AYIRA MINI MART FINAL MENU - Pr"&amp;"'!A692, ""^[^\x{0600}-\x{06FF}]+"", """"), ""^[-–\s]+"", """")), GOOGLETRANSLATE('AYIRA MINI MART FINAL MENU - Pr'!A692, ""en"", ""ar"")))"),"فراولة 10 غرام")</f>
        <v>فراولة 10 غرام</v>
      </c>
      <c r="B692" s="56" t="str">
        <f>IFERROR(__xludf.DUMMYFUNCTION("IF('AYIRA MINI MART FINAL MENU - Pr'!B692="""", """", IF(LEN(TRIM(REGEXREPLACE(REGEXREPLACE('AYIRA MINI MART FINAL MENU - Pr'!B692, ""^[^\x{0600}-\x{06FF}]+"", """"), ""^[-–\s]+"", """")))&gt;0, TRIM(REGEXREPLACE(REGEXREPLACE('AYIRA MINI MART FINAL MENU - Pr"&amp;"'!B692, ""^[^\x{0600}-\x{06FF}]+"", """"), ""^[-–\s]+"", """")), GOOGLETRANSLATE('AYIRA MINI MART FINAL MENU - Pr'!B692, ""en"", ""ar"")))"),"الحلوى 🍬")</f>
        <v>الحلوى 🍬</v>
      </c>
      <c r="C692" s="58">
        <f>IF('AYIRA MINI MART FINAL MENU - Pr'!C692="", "", 'AYIRA MINI MART FINAL MENU - Pr'!C692)</f>
        <v>1</v>
      </c>
      <c r="D692" s="58" t="str">
        <f>IF('AYIRA MINI MART FINAL MENU - Pr'!D692="", "", 'AYIRA MINI MART FINAL MENU - Pr'!D692)</f>
        <v>أضف لحظة حلوة إلى يومك مع Ring Candy Strawberry 10g،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692" s="56" t="str">
        <f>IF('AYIRA MINI MART FINAL MENU - Pr'!E692="", "", 'AYIRA MINI MART FINAL MENU - Pr'!E692)</f>
        <v/>
      </c>
      <c r="F692" s="56" t="str">
        <f>IF('AYIRA MINI MART FINAL MENU - Pr'!F692="", "", 'AYIRA MINI MART FINAL MENU - Pr'!F692)</f>
        <v/>
      </c>
      <c r="G692" s="56" t="str">
        <f>IF('AYIRA MINI MART FINAL MENU - Pr'!G692="", "", 'AYIRA MINI MART FINAL MENU - Pr'!G692)</f>
        <v/>
      </c>
      <c r="H692" s="56" t="str">
        <f>IF('AYIRA MINI MART FINAL MENU - Pr'!H692="", "", 'AYIRA MINI MART FINAL MENU - Pr'!H692)</f>
        <v/>
      </c>
      <c r="I692" s="56" t="str">
        <f>IF('AYIRA MINI MART FINAL MENU - Pr'!I692="", "", 'AYIRA MINI MART FINAL MENU - Pr'!I692)</f>
        <v/>
      </c>
      <c r="J692" s="56" t="str">
        <f>IFERROR(__xludf.DUMMYFUNCTION("IF('AYIRA MINI MART FINAL MENU - Pr'!J692="""", """", GOOGLETRANSLATE('AYIRA MINI MART FINAL MENU - Pr'!J692, ""en"", ""ar""))"),"")</f>
        <v/>
      </c>
      <c r="K692" s="56" t="str">
        <f>IF('AYIRA MINI MART FINAL MENU - Pr'!K692="", "", 'AYIRA MINI MART FINAL MENU - Pr'!K692)</f>
        <v/>
      </c>
      <c r="L692" s="56" t="str">
        <f>IF('AYIRA MINI MART FINAL MENU - Pr'!L692="", "", 'AYIRA MINI MART FINAL MENU - Pr'!L692)</f>
        <v/>
      </c>
      <c r="M692" s="56" t="str">
        <f>IF('AYIRA MINI MART FINAL MENU - Pr'!M692="", "", 'AYIRA MINI MART FINAL MENU - Pr'!M692)</f>
        <v/>
      </c>
      <c r="N692" s="56" t="str">
        <f>IF('AYIRA MINI MART FINAL MENU - Pr'!N692="", "", 'AYIRA MINI MART FINAL MENU - Pr'!N692)</f>
        <v/>
      </c>
      <c r="O692" s="57"/>
      <c r="P692" s="57"/>
      <c r="Q692" s="57"/>
      <c r="R692" s="57"/>
      <c r="S692" s="57"/>
      <c r="T692" s="57"/>
      <c r="U692" s="57"/>
      <c r="V692" s="57"/>
      <c r="W692" s="57"/>
      <c r="X692" s="57"/>
      <c r="Y692" s="57"/>
      <c r="Z692" s="57"/>
    </row>
    <row r="693">
      <c r="A693" s="56" t="str">
        <f>IFERROR(__xludf.DUMMYFUNCTION("IF('AYIRA MINI MART FINAL MENU - Pr'!A693="""", """", IF(LEN(TRIM(REGEXREPLACE(REGEXREPLACE('AYIRA MINI MART FINAL MENU - Pr'!A693, ""^[^\x{0600}-\x{06FF}]+"", """"), ""^[-–\s]+"", """")))&gt;0, TRIM(REGEXREPLACE(REGEXREPLACE('AYIRA MINI MART FINAL MENU - Pr"&amp;"'!A693, ""^[^\x{0600}-\x{06FF}]+"", """"), ""^[-–\s]+"", """")), GOOGLETRANSLATE('AYIRA MINI MART FINAL MENU - Pr'!A693, ""en"", ""ar"")))"),"فراولة 20 غرام")</f>
        <v>فراولة 20 غرام</v>
      </c>
      <c r="B693" s="56" t="str">
        <f>IFERROR(__xludf.DUMMYFUNCTION("IF('AYIRA MINI MART FINAL MENU - Pr'!B693="""", """", IF(LEN(TRIM(REGEXREPLACE(REGEXREPLACE('AYIRA MINI MART FINAL MENU - Pr'!B693, ""^[^\x{0600}-\x{06FF}]+"", """"), ""^[-–\s]+"", """")))&gt;0, TRIM(REGEXREPLACE(REGEXREPLACE('AYIRA MINI MART FINAL MENU - Pr"&amp;"'!B693, ""^[^\x{0600}-\x{06FF}]+"", """"), ""^[-–\s]+"", """")), GOOGLETRANSLATE('AYIRA MINI MART FINAL MENU - Pr'!B693, ""en"", ""ar"")))"),"الحلوى 🍬")</f>
        <v>الحلوى 🍬</v>
      </c>
      <c r="C693" s="58">
        <f>IF('AYIRA MINI MART FINAL MENU - Pr'!C693="", "", 'AYIRA MINI MART FINAL MENU - Pr'!C693)</f>
        <v>1</v>
      </c>
      <c r="D693" s="58" t="str">
        <f>IF('AYIRA MINI MART FINAL MENU - Pr'!D693="", "", 'AYIRA MINI MART FINAL MENU - Pr'!D693)</f>
        <v>لا تقاوم طعم Sour Punk Strawberry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93" s="56" t="str">
        <f>IF('AYIRA MINI MART FINAL MENU - Pr'!E693="", "", 'AYIRA MINI MART FINAL MENU - Pr'!E693)</f>
        <v/>
      </c>
      <c r="F693" s="56" t="str">
        <f>IF('AYIRA MINI MART FINAL MENU - Pr'!F693="", "", 'AYIRA MINI MART FINAL MENU - Pr'!F693)</f>
        <v/>
      </c>
      <c r="G693" s="56" t="str">
        <f>IF('AYIRA MINI MART FINAL MENU - Pr'!G693="", "", 'AYIRA MINI MART FINAL MENU - Pr'!G693)</f>
        <v/>
      </c>
      <c r="H693" s="56" t="str">
        <f>IF('AYIRA MINI MART FINAL MENU - Pr'!H693="", "", 'AYIRA MINI MART FINAL MENU - Pr'!H693)</f>
        <v/>
      </c>
      <c r="I693" s="56" t="str">
        <f>IF('AYIRA MINI MART FINAL MENU - Pr'!I693="", "", 'AYIRA MINI MART FINAL MENU - Pr'!I693)</f>
        <v/>
      </c>
      <c r="J693" s="56" t="str">
        <f>IFERROR(__xludf.DUMMYFUNCTION("IF('AYIRA MINI MART FINAL MENU - Pr'!J693="""", """", GOOGLETRANSLATE('AYIRA MINI MART FINAL MENU - Pr'!J693, ""en"", ""ar""))"),"")</f>
        <v/>
      </c>
      <c r="K693" s="56" t="str">
        <f>IF('AYIRA MINI MART FINAL MENU - Pr'!K693="", "", 'AYIRA MINI MART FINAL MENU - Pr'!K693)</f>
        <v/>
      </c>
      <c r="L693" s="56" t="str">
        <f>IF('AYIRA MINI MART FINAL MENU - Pr'!L693="", "", 'AYIRA MINI MART FINAL MENU - Pr'!L693)</f>
        <v/>
      </c>
      <c r="M693" s="56" t="str">
        <f>IF('AYIRA MINI MART FINAL MENU - Pr'!M693="", "", 'AYIRA MINI MART FINAL MENU - Pr'!M693)</f>
        <v/>
      </c>
      <c r="N693" s="56" t="str">
        <f>IF('AYIRA MINI MART FINAL MENU - Pr'!N693="", "", 'AYIRA MINI MART FINAL MENU - Pr'!N693)</f>
        <v/>
      </c>
      <c r="O693" s="57"/>
      <c r="P693" s="57"/>
      <c r="Q693" s="57"/>
      <c r="R693" s="57"/>
      <c r="S693" s="57"/>
      <c r="T693" s="57"/>
      <c r="U693" s="57"/>
      <c r="V693" s="57"/>
      <c r="W693" s="57"/>
      <c r="X693" s="57"/>
      <c r="Y693" s="57"/>
      <c r="Z693" s="57"/>
    </row>
    <row r="694">
      <c r="A694" s="56" t="str">
        <f>IFERROR(__xludf.DUMMYFUNCTION("IF('AYIRA MINI MART FINAL MENU - Pr'!A694="""", """", IF(LEN(TRIM(REGEXREPLACE(REGEXREPLACE('AYIRA MINI MART FINAL MENU - Pr'!A694, ""^[^\x{0600}-\x{06FF}]+"", """"), ""^[-–\s]+"", """")))&gt;0, TRIM(REGEXREPLACE(REGEXREPLACE('AYIRA MINI MART FINAL MENU - Pr"&amp;"'!A694, ""^[^\x{0600}-\x{06FF}]+"", """"), ""^[-–\s]+"", """")), GOOGLETRANSLATE('AYIRA MINI MART FINAL MENU - Pr'!A694, ""en"", ""ar"")))"),"غرام")</f>
        <v>غرام</v>
      </c>
      <c r="B694" s="56" t="str">
        <f>IFERROR(__xludf.DUMMYFUNCTION("IF('AYIRA MINI MART FINAL MENU - Pr'!B694="""", """", IF(LEN(TRIM(REGEXREPLACE(REGEXREPLACE('AYIRA MINI MART FINAL MENU - Pr'!B694, ""^[^\x{0600}-\x{06FF}]+"", """"), ""^[-–\s]+"", """")))&gt;0, TRIM(REGEXREPLACE(REGEXREPLACE('AYIRA MINI MART FINAL MENU - Pr"&amp;"'!B694, ""^[^\x{0600}-\x{06FF}]+"", """"), ""^[-–\s]+"", """")), GOOGLETRANSLATE('AYIRA MINI MART FINAL MENU - Pr'!B694, ""en"", ""ar"")))"),"الحلوى 🍬")</f>
        <v>الحلوى 🍬</v>
      </c>
      <c r="C694" s="58">
        <f>IF('AYIRA MINI MART FINAL MENU - Pr'!C694="", "", 'AYIRA MINI MART FINAL MENU - Pr'!C694)</f>
        <v>2</v>
      </c>
      <c r="D694" s="58" t="str">
        <f>IF('AYIRA MINI MART FINAL MENU - Pr'!D694="", "", 'AYIRA MINI MART FINAL MENU - Pr'!D694)</f>
        <v>لا تقاوم طعم Sour Punk Blueberry 50g،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94" s="56" t="str">
        <f>IF('AYIRA MINI MART FINAL MENU - Pr'!E694="", "", 'AYIRA MINI MART FINAL MENU - Pr'!E694)</f>
        <v/>
      </c>
      <c r="F694" s="56" t="str">
        <f>IF('AYIRA MINI MART FINAL MENU - Pr'!F694="", "", 'AYIRA MINI MART FINAL MENU - Pr'!F694)</f>
        <v/>
      </c>
      <c r="G694" s="56" t="str">
        <f>IF('AYIRA MINI MART FINAL MENU - Pr'!G694="", "", 'AYIRA MINI MART FINAL MENU - Pr'!G694)</f>
        <v/>
      </c>
      <c r="H694" s="56" t="str">
        <f>IF('AYIRA MINI MART FINAL MENU - Pr'!H694="", "", 'AYIRA MINI MART FINAL MENU - Pr'!H694)</f>
        <v/>
      </c>
      <c r="I694" s="56" t="str">
        <f>IF('AYIRA MINI MART FINAL MENU - Pr'!I694="", "", 'AYIRA MINI MART FINAL MENU - Pr'!I694)</f>
        <v/>
      </c>
      <c r="J694" s="56" t="str">
        <f>IFERROR(__xludf.DUMMYFUNCTION("IF('AYIRA MINI MART FINAL MENU - Pr'!J694="""", """", GOOGLETRANSLATE('AYIRA MINI MART FINAL MENU - Pr'!J694, ""en"", ""ar""))"),"")</f>
        <v/>
      </c>
      <c r="K694" s="56" t="str">
        <f>IF('AYIRA MINI MART FINAL MENU - Pr'!K694="", "", 'AYIRA MINI MART FINAL MENU - Pr'!K694)</f>
        <v/>
      </c>
      <c r="L694" s="56" t="str">
        <f>IF('AYIRA MINI MART FINAL MENU - Pr'!L694="", "", 'AYIRA MINI MART FINAL MENU - Pr'!L694)</f>
        <v/>
      </c>
      <c r="M694" s="56" t="str">
        <f>IF('AYIRA MINI MART FINAL MENU - Pr'!M694="", "", 'AYIRA MINI MART FINAL MENU - Pr'!M694)</f>
        <v/>
      </c>
      <c r="N694" s="56" t="str">
        <f>IF('AYIRA MINI MART FINAL MENU - Pr'!N694="", "", 'AYIRA MINI MART FINAL MENU - Pr'!N694)</f>
        <v/>
      </c>
      <c r="O694" s="57"/>
      <c r="P694" s="57"/>
      <c r="Q694" s="57"/>
      <c r="R694" s="57"/>
      <c r="S694" s="57"/>
      <c r="T694" s="57"/>
      <c r="U694" s="57"/>
      <c r="V694" s="57"/>
      <c r="W694" s="57"/>
      <c r="X694" s="57"/>
      <c r="Y694" s="57"/>
      <c r="Z694" s="57"/>
    </row>
    <row r="695">
      <c r="A695" s="56" t="str">
        <f>IFERROR(__xludf.DUMMYFUNCTION("IF('AYIRA MINI MART FINAL MENU - Pr'!A695="""", """", IF(LEN(TRIM(REGEXREPLACE(REGEXREPLACE('AYIRA MINI MART FINAL MENU - Pr'!A695, ""^[^\x{0600}-\x{06FF}]+"", """"), ""^[-–\s]+"", """")))&gt;0, TRIM(REGEXREPLACE(REGEXREPLACE('AYIRA MINI MART FINAL MENU - Pr"&amp;"'!A695, ""^[^\x{0600}-\x{06FF}]+"", """"), ""^[-–\s]+"", """")), GOOGLETRANSLATE('AYIRA MINI MART FINAL MENU - Pr'!A695, ""en"", ""ar"")))"),"غرام")</f>
        <v>غرام</v>
      </c>
      <c r="B695" s="56" t="str">
        <f>IFERROR(__xludf.DUMMYFUNCTION("IF('AYIRA MINI MART FINAL MENU - Pr'!B695="""", """", IF(LEN(TRIM(REGEXREPLACE(REGEXREPLACE('AYIRA MINI MART FINAL MENU - Pr'!B695, ""^[^\x{0600}-\x{06FF}]+"", """"), ""^[-–\s]+"", """")))&gt;0, TRIM(REGEXREPLACE(REGEXREPLACE('AYIRA MINI MART FINAL MENU - Pr"&amp;"'!B695, ""^[^\x{0600}-\x{06FF}]+"", """"), ""^[-–\s]+"", """")), GOOGLETRANSLATE('AYIRA MINI MART FINAL MENU - Pr'!B695, ""en"", ""ar"")))"),"الحلوى 🍬")</f>
        <v>الحلوى 🍬</v>
      </c>
      <c r="C695" s="58">
        <f>IF('AYIRA MINI MART FINAL MENU - Pr'!C695="", "", 'AYIRA MINI MART FINAL MENU - Pr'!C695)</f>
        <v>2</v>
      </c>
      <c r="D695" s="58" t="str">
        <f>IF('AYIRA MINI MART FINAL MENU - Pr'!D695="", "", 'AYIRA MINI MART FINAL MENU - Pr'!D695)</f>
        <v>استمتع بـ Sour Punk Cola Flavour 50g،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695" s="56" t="str">
        <f>IF('AYIRA MINI MART FINAL MENU - Pr'!E695="", "", 'AYIRA MINI MART FINAL MENU - Pr'!E695)</f>
        <v/>
      </c>
      <c r="F695" s="56" t="str">
        <f>IF('AYIRA MINI MART FINAL MENU - Pr'!F695="", "", 'AYIRA MINI MART FINAL MENU - Pr'!F695)</f>
        <v/>
      </c>
      <c r="G695" s="56" t="str">
        <f>IF('AYIRA MINI MART FINAL MENU - Pr'!G695="", "", 'AYIRA MINI MART FINAL MENU - Pr'!G695)</f>
        <v/>
      </c>
      <c r="H695" s="56" t="str">
        <f>IF('AYIRA MINI MART FINAL MENU - Pr'!H695="", "", 'AYIRA MINI MART FINAL MENU - Pr'!H695)</f>
        <v/>
      </c>
      <c r="I695" s="56" t="str">
        <f>IF('AYIRA MINI MART FINAL MENU - Pr'!I695="", "", 'AYIRA MINI MART FINAL MENU - Pr'!I695)</f>
        <v/>
      </c>
      <c r="J695" s="56" t="str">
        <f>IFERROR(__xludf.DUMMYFUNCTION("IF('AYIRA MINI MART FINAL MENU - Pr'!J695="""", """", GOOGLETRANSLATE('AYIRA MINI MART FINAL MENU - Pr'!J695, ""en"", ""ar""))"),"")</f>
        <v/>
      </c>
      <c r="K695" s="56" t="str">
        <f>IF('AYIRA MINI MART FINAL MENU - Pr'!K695="", "", 'AYIRA MINI MART FINAL MENU - Pr'!K695)</f>
        <v/>
      </c>
      <c r="L695" s="56" t="str">
        <f>IF('AYIRA MINI MART FINAL MENU - Pr'!L695="", "", 'AYIRA MINI MART FINAL MENU - Pr'!L695)</f>
        <v/>
      </c>
      <c r="M695" s="56" t="str">
        <f>IF('AYIRA MINI MART FINAL MENU - Pr'!M695="", "", 'AYIRA MINI MART FINAL MENU - Pr'!M695)</f>
        <v/>
      </c>
      <c r="N695" s="56" t="str">
        <f>IF('AYIRA MINI MART FINAL MENU - Pr'!N695="", "", 'AYIRA MINI MART FINAL MENU - Pr'!N695)</f>
        <v/>
      </c>
      <c r="O695" s="57"/>
      <c r="P695" s="57"/>
      <c r="Q695" s="57"/>
      <c r="R695" s="57"/>
      <c r="S695" s="57"/>
      <c r="T695" s="57"/>
      <c r="U695" s="57"/>
      <c r="V695" s="57"/>
      <c r="W695" s="57"/>
      <c r="X695" s="57"/>
      <c r="Y695" s="57"/>
      <c r="Z695" s="57"/>
    </row>
    <row r="696">
      <c r="A696" s="56" t="str">
        <f>IFERROR(__xludf.DUMMYFUNCTION("IF('AYIRA MINI MART FINAL MENU - Pr'!A696="""", """", IF(LEN(TRIM(REGEXREPLACE(REGEXREPLACE('AYIRA MINI MART FINAL MENU - Pr'!A696, ""^[^\x{0600}-\x{06FF}]+"", """"), ""^[-–\s]+"", """")))&gt;0, TRIM(REGEXREPLACE(REGEXREPLACE('AYIRA MINI MART FINAL MENU - Pr"&amp;"'!A696, ""^[^\x{0600}-\x{06FF}]+"", """"), ""^[-–\s]+"", """")), GOOGLETRANSLATE('AYIRA MINI MART FINAL MENU - Pr'!A696, ""en"", ""ar"")))"),"تفاح Flavour 40 غرام")</f>
        <v>تفاح Flavour 40 غرام</v>
      </c>
      <c r="B696" s="56" t="str">
        <f>IFERROR(__xludf.DUMMYFUNCTION("IF('AYIRA MINI MART FINAL MENU - Pr'!B696="""", """", IF(LEN(TRIM(REGEXREPLACE(REGEXREPLACE('AYIRA MINI MART FINAL MENU - Pr'!B696, ""^[^\x{0600}-\x{06FF}]+"", """"), ""^[-–\s]+"", """")))&gt;0, TRIM(REGEXREPLACE(REGEXREPLACE('AYIRA MINI MART FINAL MENU - Pr"&amp;"'!B696, ""^[^\x{0600}-\x{06FF}]+"", """"), ""^[-–\s]+"", """")), GOOGLETRANSLATE('AYIRA MINI MART FINAL MENU - Pr'!B696, ""en"", ""ar"")))"),"الحلوى 🍬")</f>
        <v>الحلوى 🍬</v>
      </c>
      <c r="C696" s="58">
        <f>IF('AYIRA MINI MART FINAL MENU - Pr'!C696="", "", 'AYIRA MINI MART FINAL MENU - Pr'!C696)</f>
        <v>2</v>
      </c>
      <c r="D696" s="58" t="str">
        <f>IF('AYIRA MINI MART FINAL MENU - Pr'!D696="", "", 'AYIRA MINI MART FINAL MENU - Pr'!D696)</f>
        <v>لا تقاوم طعم Sour Punk Apple Flavour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96" s="56" t="str">
        <f>IF('AYIRA MINI MART FINAL MENU - Pr'!E696="", "", 'AYIRA MINI MART FINAL MENU - Pr'!E696)</f>
        <v/>
      </c>
      <c r="F696" s="56" t="str">
        <f>IF('AYIRA MINI MART FINAL MENU - Pr'!F696="", "", 'AYIRA MINI MART FINAL MENU - Pr'!F696)</f>
        <v/>
      </c>
      <c r="G696" s="56" t="str">
        <f>IF('AYIRA MINI MART FINAL MENU - Pr'!G696="", "", 'AYIRA MINI MART FINAL MENU - Pr'!G696)</f>
        <v/>
      </c>
      <c r="H696" s="56" t="str">
        <f>IF('AYIRA MINI MART FINAL MENU - Pr'!H696="", "", 'AYIRA MINI MART FINAL MENU - Pr'!H696)</f>
        <v/>
      </c>
      <c r="I696" s="56" t="str">
        <f>IF('AYIRA MINI MART FINAL MENU - Pr'!I696="", "", 'AYIRA MINI MART FINAL MENU - Pr'!I696)</f>
        <v/>
      </c>
      <c r="J696" s="56" t="str">
        <f>IFERROR(__xludf.DUMMYFUNCTION("IF('AYIRA MINI MART FINAL MENU - Pr'!J696="""", """", GOOGLETRANSLATE('AYIRA MINI MART FINAL MENU - Pr'!J696, ""en"", ""ar""))"),"")</f>
        <v/>
      </c>
      <c r="K696" s="56" t="str">
        <f>IF('AYIRA MINI MART FINAL MENU - Pr'!K696="", "", 'AYIRA MINI MART FINAL MENU - Pr'!K696)</f>
        <v/>
      </c>
      <c r="L696" s="56" t="str">
        <f>IF('AYIRA MINI MART FINAL MENU - Pr'!L696="", "", 'AYIRA MINI MART FINAL MENU - Pr'!L696)</f>
        <v/>
      </c>
      <c r="M696" s="56" t="str">
        <f>IF('AYIRA MINI MART FINAL MENU - Pr'!M696="", "", 'AYIRA MINI MART FINAL MENU - Pr'!M696)</f>
        <v/>
      </c>
      <c r="N696" s="56" t="str">
        <f>IF('AYIRA MINI MART FINAL MENU - Pr'!N696="", "", 'AYIRA MINI MART FINAL MENU - Pr'!N696)</f>
        <v/>
      </c>
      <c r="O696" s="57"/>
      <c r="P696" s="57"/>
      <c r="Q696" s="57"/>
      <c r="R696" s="57"/>
      <c r="S696" s="57"/>
      <c r="T696" s="57"/>
      <c r="U696" s="57"/>
      <c r="V696" s="57"/>
      <c r="W696" s="57"/>
      <c r="X696" s="57"/>
      <c r="Y696" s="57"/>
      <c r="Z696" s="57"/>
    </row>
    <row r="697">
      <c r="A697" s="56" t="str">
        <f>IFERROR(__xludf.DUMMYFUNCTION("IF('AYIRA MINI MART FINAL MENU - Pr'!A697="""", """", IF(LEN(TRIM(REGEXREPLACE(REGEXREPLACE('AYIRA MINI MART FINAL MENU - Pr'!A697, ""^[^\x{0600}-\x{06FF}]+"", """"), ""^[-–\s]+"", """")))&gt;0, TRIM(REGEXREPLACE(REGEXREPLACE('AYIRA MINI MART FINAL MENU - Pr"&amp;"'!A697, ""^[^\x{0600}-\x{06FF}]+"", """"), ""^[-–\s]+"", """")), GOOGLETRANSLATE('AYIRA MINI MART FINAL MENU - Pr'!A697, ""en"", ""ar"")))"),"غرام")</f>
        <v>غرام</v>
      </c>
      <c r="B697" s="56" t="str">
        <f>IFERROR(__xludf.DUMMYFUNCTION("IF('AYIRA MINI MART FINAL MENU - Pr'!B697="""", """", IF(LEN(TRIM(REGEXREPLACE(REGEXREPLACE('AYIRA MINI MART FINAL MENU - Pr'!B697, ""^[^\x{0600}-\x{06FF}]+"", """"), ""^[-–\s]+"", """")))&gt;0, TRIM(REGEXREPLACE(REGEXREPLACE('AYIRA MINI MART FINAL MENU - Pr"&amp;"'!B697, ""^[^\x{0600}-\x{06FF}]+"", """"), ""^[-–\s]+"", """")), GOOGLETRANSLATE('AYIRA MINI MART FINAL MENU - Pr'!B697, ""en"", ""ar"")))"),"الحلوى 🍬")</f>
        <v>الحلوى 🍬</v>
      </c>
      <c r="C697" s="58">
        <f>IF('AYIRA MINI MART FINAL MENU - Pr'!C697="", "", 'AYIRA MINI MART FINAL MENU - Pr'!C697)</f>
        <v>2</v>
      </c>
      <c r="D697" s="58" t="str">
        <f>IF('AYIRA MINI MART FINAL MENU - Pr'!D697="", "", 'AYIRA MINI MART FINAL MENU - Pr'!D697)</f>
        <v>استمتع بـ Bebeto Cobra X Jelly Gum 30g،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697" s="56" t="str">
        <f>IF('AYIRA MINI MART FINAL MENU - Pr'!E697="", "", 'AYIRA MINI MART FINAL MENU - Pr'!E697)</f>
        <v/>
      </c>
      <c r="F697" s="56" t="str">
        <f>IF('AYIRA MINI MART FINAL MENU - Pr'!F697="", "", 'AYIRA MINI MART FINAL MENU - Pr'!F697)</f>
        <v/>
      </c>
      <c r="G697" s="56" t="str">
        <f>IF('AYIRA MINI MART FINAL MENU - Pr'!G697="", "", 'AYIRA MINI MART FINAL MENU - Pr'!G697)</f>
        <v/>
      </c>
      <c r="H697" s="56" t="str">
        <f>IF('AYIRA MINI MART FINAL MENU - Pr'!H697="", "", 'AYIRA MINI MART FINAL MENU - Pr'!H697)</f>
        <v/>
      </c>
      <c r="I697" s="56" t="str">
        <f>IF('AYIRA MINI MART FINAL MENU - Pr'!I697="", "", 'AYIRA MINI MART FINAL MENU - Pr'!I697)</f>
        <v/>
      </c>
      <c r="J697" s="56" t="str">
        <f>IFERROR(__xludf.DUMMYFUNCTION("IF('AYIRA MINI MART FINAL MENU - Pr'!J697="""", """", GOOGLETRANSLATE('AYIRA MINI MART FINAL MENU - Pr'!J697, ""en"", ""ar""))"),"")</f>
        <v/>
      </c>
      <c r="K697" s="56" t="str">
        <f>IF('AYIRA MINI MART FINAL MENU - Pr'!K697="", "", 'AYIRA MINI MART FINAL MENU - Pr'!K697)</f>
        <v/>
      </c>
      <c r="L697" s="56" t="str">
        <f>IF('AYIRA MINI MART FINAL MENU - Pr'!L697="", "", 'AYIRA MINI MART FINAL MENU - Pr'!L697)</f>
        <v/>
      </c>
      <c r="M697" s="56" t="str">
        <f>IF('AYIRA MINI MART FINAL MENU - Pr'!M697="", "", 'AYIRA MINI MART FINAL MENU - Pr'!M697)</f>
        <v/>
      </c>
      <c r="N697" s="56" t="str">
        <f>IF('AYIRA MINI MART FINAL MENU - Pr'!N697="", "", 'AYIRA MINI MART FINAL MENU - Pr'!N697)</f>
        <v/>
      </c>
      <c r="O697" s="57"/>
      <c r="P697" s="57"/>
      <c r="Q697" s="57"/>
      <c r="R697" s="57"/>
      <c r="S697" s="57"/>
      <c r="T697" s="57"/>
      <c r="U697" s="57"/>
      <c r="V697" s="57"/>
      <c r="W697" s="57"/>
      <c r="X697" s="57"/>
      <c r="Y697" s="57"/>
      <c r="Z697" s="57"/>
    </row>
    <row r="698">
      <c r="A698" s="56" t="str">
        <f>IFERROR(__xludf.DUMMYFUNCTION("IF('AYIRA MINI MART FINAL MENU - Pr'!A698="""", """", IF(LEN(TRIM(REGEXREPLACE(REGEXREPLACE('AYIRA MINI MART FINAL MENU - Pr'!A698, ""^[^\x{0600}-\x{06FF}]+"", """"), ""^[-–\s]+"", """")))&gt;0, TRIM(REGEXREPLACE(REGEXREPLACE('AYIRA MINI MART FINAL MENU - Pr"&amp;"'!A698, ""^[^\x{0600}-\x{06FF}]+"", """"), ""^[-–\s]+"", """")), GOOGLETRANSLATE('AYIRA MINI MART FINAL MENU - Pr'!A698, ""en"", ""ar"")))"),"غرام")</f>
        <v>غرام</v>
      </c>
      <c r="B698" s="56" t="str">
        <f>IFERROR(__xludf.DUMMYFUNCTION("IF('AYIRA MINI MART FINAL MENU - Pr'!B698="""", """", IF(LEN(TRIM(REGEXREPLACE(REGEXREPLACE('AYIRA MINI MART FINAL MENU - Pr'!B698, ""^[^\x{0600}-\x{06FF}]+"", """"), ""^[-–\s]+"", """")))&gt;0, TRIM(REGEXREPLACE(REGEXREPLACE('AYIRA MINI MART FINAL MENU - Pr"&amp;"'!B698, ""^[^\x{0600}-\x{06FF}]+"", """"), ""^[-–\s]+"", """")), GOOGLETRANSLATE('AYIRA MINI MART FINAL MENU - Pr'!B698, ""en"", ""ar"")))"),"الحلوى 🍬")</f>
        <v>الحلوى 🍬</v>
      </c>
      <c r="C698" s="58">
        <f>IF('AYIRA MINI MART FINAL MENU - Pr'!C698="", "", 'AYIRA MINI MART FINAL MENU - Pr'!C698)</f>
        <v>1.5</v>
      </c>
      <c r="D698" s="58" t="str">
        <f>IF('AYIRA MINI MART FINAL MENU - Pr'!D698="", "", 'AYIRA MINI MART FINAL MENU - Pr'!D698)</f>
        <v>لا تقاوم طعم مارس،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698" s="56" t="str">
        <f>IF('AYIRA MINI MART FINAL MENU - Pr'!E698="", "", 'AYIRA MINI MART FINAL MENU - Pr'!E698)</f>
        <v/>
      </c>
      <c r="F698" s="56" t="str">
        <f>IF('AYIRA MINI MART FINAL MENU - Pr'!F698="", "", 'AYIRA MINI MART FINAL MENU - Pr'!F698)</f>
        <v/>
      </c>
      <c r="G698" s="56" t="str">
        <f>IF('AYIRA MINI MART FINAL MENU - Pr'!G698="", "", 'AYIRA MINI MART FINAL MENU - Pr'!G698)</f>
        <v/>
      </c>
      <c r="H698" s="56" t="str">
        <f>IF('AYIRA MINI MART FINAL MENU - Pr'!H698="", "", 'AYIRA MINI MART FINAL MENU - Pr'!H698)</f>
        <v/>
      </c>
      <c r="I698" s="56" t="str">
        <f>IF('AYIRA MINI MART FINAL MENU - Pr'!I698="", "", 'AYIRA MINI MART FINAL MENU - Pr'!I698)</f>
        <v/>
      </c>
      <c r="J698" s="56" t="str">
        <f>IFERROR(__xludf.DUMMYFUNCTION("IF('AYIRA MINI MART FINAL MENU - Pr'!J698="""", """", GOOGLETRANSLATE('AYIRA MINI MART FINAL MENU - Pr'!J698, ""en"", ""ar""))"),"")</f>
        <v/>
      </c>
      <c r="K698" s="56" t="str">
        <f>IF('AYIRA MINI MART FINAL MENU - Pr'!K698="", "", 'AYIRA MINI MART FINAL MENU - Pr'!K698)</f>
        <v/>
      </c>
      <c r="L698" s="56" t="str">
        <f>IF('AYIRA MINI MART FINAL MENU - Pr'!L698="", "", 'AYIRA MINI MART FINAL MENU - Pr'!L698)</f>
        <v/>
      </c>
      <c r="M698" s="56" t="str">
        <f>IF('AYIRA MINI MART FINAL MENU - Pr'!M698="", "", 'AYIRA MINI MART FINAL MENU - Pr'!M698)</f>
        <v/>
      </c>
      <c r="N698" s="56" t="str">
        <f>IF('AYIRA MINI MART FINAL MENU - Pr'!N698="", "", 'AYIRA MINI MART FINAL MENU - Pr'!N698)</f>
        <v/>
      </c>
      <c r="O698" s="57"/>
      <c r="P698" s="57"/>
      <c r="Q698" s="57"/>
      <c r="R698" s="57"/>
      <c r="S698" s="57"/>
      <c r="T698" s="57"/>
      <c r="U698" s="57"/>
      <c r="V698" s="57"/>
      <c r="W698" s="57"/>
      <c r="X698" s="57"/>
      <c r="Y698" s="57"/>
      <c r="Z698" s="57"/>
    </row>
    <row r="699">
      <c r="A699" s="56" t="str">
        <f>IFERROR(__xludf.DUMMYFUNCTION("IF('AYIRA MINI MART FINAL MENU - Pr'!A699="""", """", IF(LEN(TRIM(REGEXREPLACE(REGEXREPLACE('AYIRA MINI MART FINAL MENU - Pr'!A699, ""^[^\x{0600}-\x{06FF}]+"", """"), ""^[-–\s]+"", """")))&gt;0, TRIM(REGEXREPLACE(REGEXREPLACE('AYIRA MINI MART FINAL MENU - Pr"&amp;"'!A699, ""^[^\x{0600}-\x{06FF}]+"", """"), ""^[-–\s]+"", """")), GOOGLETRANSLATE('AYIRA MINI MART FINAL MENU - Pr'!A699, ""en"", ""ar"")))"),"غرام")</f>
        <v>غرام</v>
      </c>
      <c r="B699" s="56" t="str">
        <f>IFERROR(__xludf.DUMMYFUNCTION("IF('AYIRA MINI MART FINAL MENU - Pr'!B699="""", """", IF(LEN(TRIM(REGEXREPLACE(REGEXREPLACE('AYIRA MINI MART FINAL MENU - Pr'!B699, ""^[^\x{0600}-\x{06FF}]+"", """"), ""^[-–\s]+"", """")))&gt;0, TRIM(REGEXREPLACE(REGEXREPLACE('AYIRA MINI MART FINAL MENU - Pr"&amp;"'!B699, ""^[^\x{0600}-\x{06FF}]+"", """"), ""^[-–\s]+"", """")), GOOGLETRANSLATE('AYIRA MINI MART FINAL MENU - Pr'!B699, ""en"", ""ar"")))"),"الحلوى 🍬")</f>
        <v>الحلوى 🍬</v>
      </c>
      <c r="C699" s="58">
        <f>IF('AYIRA MINI MART FINAL MENU - Pr'!C699="", "", 'AYIRA MINI MART FINAL MENU - Pr'!C699)</f>
        <v>2</v>
      </c>
      <c r="D699" s="58" t="str">
        <f>IF('AYIRA MINI MART FINAL MENU - Pr'!D699="", "", 'AYIRA MINI MART FINAL MENU - Pr'!D699)</f>
        <v>أضف لحظة حلوة إلى يومك مع Scary Eyes Chewy Candy 39g،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699" s="56" t="str">
        <f>IF('AYIRA MINI MART FINAL MENU - Pr'!E699="", "", 'AYIRA MINI MART FINAL MENU - Pr'!E699)</f>
        <v/>
      </c>
      <c r="F699" s="56" t="str">
        <f>IF('AYIRA MINI MART FINAL MENU - Pr'!F699="", "", 'AYIRA MINI MART FINAL MENU - Pr'!F699)</f>
        <v/>
      </c>
      <c r="G699" s="56" t="str">
        <f>IF('AYIRA MINI MART FINAL MENU - Pr'!G699="", "", 'AYIRA MINI MART FINAL MENU - Pr'!G699)</f>
        <v/>
      </c>
      <c r="H699" s="56" t="str">
        <f>IF('AYIRA MINI MART FINAL MENU - Pr'!H699="", "", 'AYIRA MINI MART FINAL MENU - Pr'!H699)</f>
        <v/>
      </c>
      <c r="I699" s="56" t="str">
        <f>IF('AYIRA MINI MART FINAL MENU - Pr'!I699="", "", 'AYIRA MINI MART FINAL MENU - Pr'!I699)</f>
        <v/>
      </c>
      <c r="J699" s="56" t="str">
        <f>IFERROR(__xludf.DUMMYFUNCTION("IF('AYIRA MINI MART FINAL MENU - Pr'!J699="""", """", GOOGLETRANSLATE('AYIRA MINI MART FINAL MENU - Pr'!J699, ""en"", ""ar""))"),"")</f>
        <v/>
      </c>
      <c r="K699" s="56" t="str">
        <f>IF('AYIRA MINI MART FINAL MENU - Pr'!K699="", "", 'AYIRA MINI MART FINAL MENU - Pr'!K699)</f>
        <v/>
      </c>
      <c r="L699" s="56" t="str">
        <f>IF('AYIRA MINI MART FINAL MENU - Pr'!L699="", "", 'AYIRA MINI MART FINAL MENU - Pr'!L699)</f>
        <v/>
      </c>
      <c r="M699" s="56" t="str">
        <f>IF('AYIRA MINI MART FINAL MENU - Pr'!M699="", "", 'AYIRA MINI MART FINAL MENU - Pr'!M699)</f>
        <v/>
      </c>
      <c r="N699" s="56" t="str">
        <f>IF('AYIRA MINI MART FINAL MENU - Pr'!N699="", "", 'AYIRA MINI MART FINAL MENU - Pr'!N699)</f>
        <v/>
      </c>
      <c r="O699" s="57"/>
      <c r="P699" s="57"/>
      <c r="Q699" s="57"/>
      <c r="R699" s="57"/>
      <c r="S699" s="57"/>
      <c r="T699" s="57"/>
      <c r="U699" s="57"/>
      <c r="V699" s="57"/>
      <c r="W699" s="57"/>
      <c r="X699" s="57"/>
      <c r="Y699" s="57"/>
      <c r="Z699" s="57"/>
    </row>
    <row r="700">
      <c r="A700" s="56" t="str">
        <f>IFERROR(__xludf.DUMMYFUNCTION("IF('AYIRA MINI MART FINAL MENU - Pr'!A700="""", """", IF(LEN(TRIM(REGEXREPLACE(REGEXREPLACE('AYIRA MINI MART FINAL MENU - Pr'!A700, ""^[^\x{0600}-\x{06FF}]+"", """"), ""^[-–\s]+"", """")))&gt;0, TRIM(REGEXREPLACE(REGEXREPLACE('AYIRA MINI MART FINAL MENU - Pr"&amp;"'!A700, ""^[^\x{0600}-\x{06FF}]+"", """"), ""^[-–\s]+"", """")), GOOGLETRANSLATE('AYIRA MINI MART FINAL MENU - Pr'!A700, ""en"", ""ar"")))"),"غرام")</f>
        <v>غرام</v>
      </c>
      <c r="B700" s="56" t="str">
        <f>IFERROR(__xludf.DUMMYFUNCTION("IF('AYIRA MINI MART FINAL MENU - Pr'!B700="""", """", IF(LEN(TRIM(REGEXREPLACE(REGEXREPLACE('AYIRA MINI MART FINAL MENU - Pr'!B700, ""^[^\x{0600}-\x{06FF}]+"", """"), ""^[-–\s]+"", """")))&gt;0, TRIM(REGEXREPLACE(REGEXREPLACE('AYIRA MINI MART FINAL MENU - Pr"&amp;"'!B700, ""^[^\x{0600}-\x{06FF}]+"", """"), ""^[-–\s]+"", """")), GOOGLETRANSLATE('AYIRA MINI MART FINAL MENU - Pr'!B700, ""en"", ""ar"")))"),"الحلوى 🍬")</f>
        <v>الحلوى 🍬</v>
      </c>
      <c r="C700" s="58">
        <f>IF('AYIRA MINI MART FINAL MENU - Pr'!C700="", "", 'AYIRA MINI MART FINAL MENU - Pr'!C700)</f>
        <v>1</v>
      </c>
      <c r="D700" s="58" t="str">
        <f>IF('AYIRA MINI MART FINAL MENU - Pr'!D700="", "", 'AYIRA MINI MART FINAL MENU - Pr'!D700)</f>
        <v>أضف لحظة حلوة إلى يومك مع Funkee Dips Blue Raspberry Sherbet with Candy Dipstick 12g،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00" s="56" t="str">
        <f>IF('AYIRA MINI MART FINAL MENU - Pr'!E700="", "", 'AYIRA MINI MART FINAL MENU - Pr'!E700)</f>
        <v/>
      </c>
      <c r="F700" s="56" t="str">
        <f>IF('AYIRA MINI MART FINAL MENU - Pr'!F700="", "", 'AYIRA MINI MART FINAL MENU - Pr'!F700)</f>
        <v/>
      </c>
      <c r="G700" s="56" t="str">
        <f>IF('AYIRA MINI MART FINAL MENU - Pr'!G700="", "", 'AYIRA MINI MART FINAL MENU - Pr'!G700)</f>
        <v/>
      </c>
      <c r="H700" s="56" t="str">
        <f>IF('AYIRA MINI MART FINAL MENU - Pr'!H700="", "", 'AYIRA MINI MART FINAL MENU - Pr'!H700)</f>
        <v/>
      </c>
      <c r="I700" s="56" t="str">
        <f>IF('AYIRA MINI MART FINAL MENU - Pr'!I700="", "", 'AYIRA MINI MART FINAL MENU - Pr'!I700)</f>
        <v/>
      </c>
      <c r="J700" s="56" t="str">
        <f>IFERROR(__xludf.DUMMYFUNCTION("IF('AYIRA MINI MART FINAL MENU - Pr'!J700="""", """", GOOGLETRANSLATE('AYIRA MINI MART FINAL MENU - Pr'!J700, ""en"", ""ar""))"),"")</f>
        <v/>
      </c>
      <c r="K700" s="56" t="str">
        <f>IF('AYIRA MINI MART FINAL MENU - Pr'!K700="", "", 'AYIRA MINI MART FINAL MENU - Pr'!K700)</f>
        <v/>
      </c>
      <c r="L700" s="56" t="str">
        <f>IF('AYIRA MINI MART FINAL MENU - Pr'!L700="", "", 'AYIRA MINI MART FINAL MENU - Pr'!L700)</f>
        <v/>
      </c>
      <c r="M700" s="56" t="str">
        <f>IF('AYIRA MINI MART FINAL MENU - Pr'!M700="", "", 'AYIRA MINI MART FINAL MENU - Pr'!M700)</f>
        <v/>
      </c>
      <c r="N700" s="56" t="str">
        <f>IF('AYIRA MINI MART FINAL MENU - Pr'!N700="", "", 'AYIRA MINI MART FINAL MENU - Pr'!N700)</f>
        <v/>
      </c>
      <c r="O700" s="57"/>
      <c r="P700" s="57"/>
      <c r="Q700" s="57"/>
      <c r="R700" s="57"/>
      <c r="S700" s="57"/>
      <c r="T700" s="57"/>
      <c r="U700" s="57"/>
      <c r="V700" s="57"/>
      <c r="W700" s="57"/>
      <c r="X700" s="57"/>
      <c r="Y700" s="57"/>
      <c r="Z700" s="57"/>
    </row>
    <row r="701">
      <c r="A701" s="56" t="str">
        <f>IFERROR(__xludf.DUMMYFUNCTION("IF('AYIRA MINI MART FINAL MENU - Pr'!A701="""", """", IF(LEN(TRIM(REGEXREPLACE(REGEXREPLACE('AYIRA MINI MART FINAL MENU - Pr'!A701, ""^[^\x{0600}-\x{06FF}]+"", """"), ""^[-–\s]+"", """")))&gt;0, TRIM(REGEXREPLACE(REGEXREPLACE('AYIRA MINI MART FINAL MENU - Pr"&amp;"'!A701, ""^[^\x{0600}-\x{06FF}]+"", """"), ""^[-–\s]+"", """")), GOOGLETRANSLATE('AYIRA MINI MART FINAL MENU - Pr'!A701, ""en"", ""ar"")))"),"غرام")</f>
        <v>غرام</v>
      </c>
      <c r="B701" s="56" t="str">
        <f>IFERROR(__xludf.DUMMYFUNCTION("IF('AYIRA MINI MART FINAL MENU - Pr'!B701="""", """", IF(LEN(TRIM(REGEXREPLACE(REGEXREPLACE('AYIRA MINI MART FINAL MENU - Pr'!B701, ""^[^\x{0600}-\x{06FF}]+"", """"), ""^[-–\s]+"", """")))&gt;0, TRIM(REGEXREPLACE(REGEXREPLACE('AYIRA MINI MART FINAL MENU - Pr"&amp;"'!B701, ""^[^\x{0600}-\x{06FF}]+"", """"), ""^[-–\s]+"", """")), GOOGLETRANSLATE('AYIRA MINI MART FINAL MENU - Pr'!B701, ""en"", ""ar"")))"),"الحلوى 🍬")</f>
        <v>الحلوى 🍬</v>
      </c>
      <c r="C701" s="58">
        <f>IF('AYIRA MINI MART FINAL MENU - Pr'!C701="", "", 'AYIRA MINI MART FINAL MENU - Pr'!C701)</f>
        <v>1</v>
      </c>
      <c r="D701" s="58" t="str">
        <f>IF('AYIRA MINI MART FINAL MENU - Pr'!D701="", "", 'AYIRA MINI MART FINAL MENU - Pr'!D701)</f>
        <v>لا تقاوم طعم Jellopy Rainbow Licorice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01" s="56" t="str">
        <f>IF('AYIRA MINI MART FINAL MENU - Pr'!E701="", "", 'AYIRA MINI MART FINAL MENU - Pr'!E701)</f>
        <v/>
      </c>
      <c r="F701" s="56" t="str">
        <f>IF('AYIRA MINI MART FINAL MENU - Pr'!F701="", "", 'AYIRA MINI MART FINAL MENU - Pr'!F701)</f>
        <v/>
      </c>
      <c r="G701" s="56" t="str">
        <f>IF('AYIRA MINI MART FINAL MENU - Pr'!G701="", "", 'AYIRA MINI MART FINAL MENU - Pr'!G701)</f>
        <v/>
      </c>
      <c r="H701" s="56" t="str">
        <f>IF('AYIRA MINI MART FINAL MENU - Pr'!H701="", "", 'AYIRA MINI MART FINAL MENU - Pr'!H701)</f>
        <v/>
      </c>
      <c r="I701" s="56" t="str">
        <f>IF('AYIRA MINI MART FINAL MENU - Pr'!I701="", "", 'AYIRA MINI MART FINAL MENU - Pr'!I701)</f>
        <v/>
      </c>
      <c r="J701" s="56" t="str">
        <f>IFERROR(__xludf.DUMMYFUNCTION("IF('AYIRA MINI MART FINAL MENU - Pr'!J701="""", """", GOOGLETRANSLATE('AYIRA MINI MART FINAL MENU - Pr'!J701, ""en"", ""ar""))"),"")</f>
        <v/>
      </c>
      <c r="K701" s="56" t="str">
        <f>IF('AYIRA MINI MART FINAL MENU - Pr'!K701="", "", 'AYIRA MINI MART FINAL MENU - Pr'!K701)</f>
        <v/>
      </c>
      <c r="L701" s="56" t="str">
        <f>IF('AYIRA MINI MART FINAL MENU - Pr'!L701="", "", 'AYIRA MINI MART FINAL MENU - Pr'!L701)</f>
        <v/>
      </c>
      <c r="M701" s="56" t="str">
        <f>IF('AYIRA MINI MART FINAL MENU - Pr'!M701="", "", 'AYIRA MINI MART FINAL MENU - Pr'!M701)</f>
        <v/>
      </c>
      <c r="N701" s="56" t="str">
        <f>IF('AYIRA MINI MART FINAL MENU - Pr'!N701="", "", 'AYIRA MINI MART FINAL MENU - Pr'!N701)</f>
        <v/>
      </c>
      <c r="O701" s="57"/>
      <c r="P701" s="57"/>
      <c r="Q701" s="57"/>
      <c r="R701" s="57"/>
      <c r="S701" s="57"/>
      <c r="T701" s="57"/>
      <c r="U701" s="57"/>
      <c r="V701" s="57"/>
      <c r="W701" s="57"/>
      <c r="X701" s="57"/>
      <c r="Y701" s="57"/>
      <c r="Z701" s="57"/>
    </row>
    <row r="702">
      <c r="A702" s="56" t="str">
        <f>IFERROR(__xludf.DUMMYFUNCTION("IF('AYIRA MINI MART FINAL MENU - Pr'!A702="""", """", IF(LEN(TRIM(REGEXREPLACE(REGEXREPLACE('AYIRA MINI MART FINAL MENU - Pr'!A702, ""^[^\x{0600}-\x{06FF}]+"", """"), ""^[-–\s]+"", """")))&gt;0, TRIM(REGEXREPLACE(REGEXREPLACE('AYIRA MINI MART FINAL MENU - Pr"&amp;"'!A702, ""^[^\x{0600}-\x{06FF}]+"", """"), ""^[-–\s]+"", """")), GOOGLETRANSLATE('AYIRA MINI MART FINAL MENU - Pr'!A702, ""en"", ""ar"")))"),"غرام")</f>
        <v>غرام</v>
      </c>
      <c r="B702" s="56" t="str">
        <f>IFERROR(__xludf.DUMMYFUNCTION("IF('AYIRA MINI MART FINAL MENU - Pr'!B702="""", """", IF(LEN(TRIM(REGEXREPLACE(REGEXREPLACE('AYIRA MINI MART FINAL MENU - Pr'!B702, ""^[^\x{0600}-\x{06FF}]+"", """"), ""^[-–\s]+"", """")))&gt;0, TRIM(REGEXREPLACE(REGEXREPLACE('AYIRA MINI MART FINAL MENU - Pr"&amp;"'!B702, ""^[^\x{0600}-\x{06FF}]+"", """"), ""^[-–\s]+"", """")), GOOGLETRANSLATE('AYIRA MINI MART FINAL MENU - Pr'!B702, ""en"", ""ar"")))"),"الحلوى 🍬")</f>
        <v>الحلوى 🍬</v>
      </c>
      <c r="C702" s="58">
        <f>IF('AYIRA MINI MART FINAL MENU - Pr'!C702="", "", 'AYIRA MINI MART FINAL MENU - Pr'!C702)</f>
        <v>2</v>
      </c>
      <c r="D702" s="58" t="str">
        <f>IF('AYIRA MINI MART FINAL MENU - Pr'!D702="", "", 'AYIRA MINI MART FINAL MENU - Pr'!D702)</f>
        <v>أضف لحظة حلوة إلى يومك مع Funny Faces Chewy Candy 39g،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02" s="56" t="str">
        <f>IF('AYIRA MINI MART FINAL MENU - Pr'!E702="", "", 'AYIRA MINI MART FINAL MENU - Pr'!E702)</f>
        <v/>
      </c>
      <c r="F702" s="56" t="str">
        <f>IF('AYIRA MINI MART FINAL MENU - Pr'!F702="", "", 'AYIRA MINI MART FINAL MENU - Pr'!F702)</f>
        <v/>
      </c>
      <c r="G702" s="56" t="str">
        <f>IF('AYIRA MINI MART FINAL MENU - Pr'!G702="", "", 'AYIRA MINI MART FINAL MENU - Pr'!G702)</f>
        <v/>
      </c>
      <c r="H702" s="56" t="str">
        <f>IF('AYIRA MINI MART FINAL MENU - Pr'!H702="", "", 'AYIRA MINI MART FINAL MENU - Pr'!H702)</f>
        <v/>
      </c>
      <c r="I702" s="56" t="str">
        <f>IF('AYIRA MINI MART FINAL MENU - Pr'!I702="", "", 'AYIRA MINI MART FINAL MENU - Pr'!I702)</f>
        <v/>
      </c>
      <c r="J702" s="56" t="str">
        <f>IFERROR(__xludf.DUMMYFUNCTION("IF('AYIRA MINI MART FINAL MENU - Pr'!J702="""", """", GOOGLETRANSLATE('AYIRA MINI MART FINAL MENU - Pr'!J702, ""en"", ""ar""))"),"")</f>
        <v/>
      </c>
      <c r="K702" s="56" t="str">
        <f>IF('AYIRA MINI MART FINAL MENU - Pr'!K702="", "", 'AYIRA MINI MART FINAL MENU - Pr'!K702)</f>
        <v/>
      </c>
      <c r="L702" s="56" t="str">
        <f>IF('AYIRA MINI MART FINAL MENU - Pr'!L702="", "", 'AYIRA MINI MART FINAL MENU - Pr'!L702)</f>
        <v/>
      </c>
      <c r="M702" s="56" t="str">
        <f>IF('AYIRA MINI MART FINAL MENU - Pr'!M702="", "", 'AYIRA MINI MART FINAL MENU - Pr'!M702)</f>
        <v/>
      </c>
      <c r="N702" s="56" t="str">
        <f>IF('AYIRA MINI MART FINAL MENU - Pr'!N702="", "", 'AYIRA MINI MART FINAL MENU - Pr'!N702)</f>
        <v/>
      </c>
      <c r="O702" s="57"/>
      <c r="P702" s="57"/>
      <c r="Q702" s="57"/>
      <c r="R702" s="57"/>
      <c r="S702" s="57"/>
      <c r="T702" s="57"/>
      <c r="U702" s="57"/>
      <c r="V702" s="57"/>
      <c r="W702" s="57"/>
      <c r="X702" s="57"/>
      <c r="Y702" s="57"/>
      <c r="Z702" s="57"/>
    </row>
    <row r="703">
      <c r="A703" s="56" t="str">
        <f>IFERROR(__xludf.DUMMYFUNCTION("IF('AYIRA MINI MART FINAL MENU - Pr'!A703="""", """", IF(LEN(TRIM(REGEXREPLACE(REGEXREPLACE('AYIRA MINI MART FINAL MENU - Pr'!A703, ""^[^\x{0600}-\x{06FF}]+"", """"), ""^[-–\s]+"", """")))&gt;0, TRIM(REGEXREPLACE(REGEXREPLACE('AYIRA MINI MART FINAL MENU - Pr"&amp;"'!A703, ""^[^\x{0600}-\x{06FF}]+"", """"), ""^[-–\s]+"", """")), GOOGLETRANSLATE('AYIRA MINI MART FINAL MENU - Pr'!A703, ""en"", ""ar"")))"),"غرام")</f>
        <v>غرام</v>
      </c>
      <c r="B703" s="56" t="str">
        <f>IFERROR(__xludf.DUMMYFUNCTION("IF('AYIRA MINI MART FINAL MENU - Pr'!B703="""", """", IF(LEN(TRIM(REGEXREPLACE(REGEXREPLACE('AYIRA MINI MART FINAL MENU - Pr'!B703, ""^[^\x{0600}-\x{06FF}]+"", """"), ""^[-–\s]+"", """")))&gt;0, TRIM(REGEXREPLACE(REGEXREPLACE('AYIRA MINI MART FINAL MENU - Pr"&amp;"'!B703, ""^[^\x{0600}-\x{06FF}]+"", """"), ""^[-–\s]+"", """")), GOOGLETRANSLATE('AYIRA MINI MART FINAL MENU - Pr'!B703, ""en"", ""ar"")))"),"الحلوى 🍬")</f>
        <v>الحلوى 🍬</v>
      </c>
      <c r="C703" s="58">
        <f>IF('AYIRA MINI MART FINAL MENU - Pr'!C703="", "", 'AYIRA MINI MART FINAL MENU - Pr'!C703)</f>
        <v>1</v>
      </c>
      <c r="D703" s="58" t="str">
        <f>IF('AYIRA MINI MART FINAL MENU - Pr'!D703="", "", 'AYIRA MINI MART FINAL MENU - Pr'!D703)</f>
        <v>لا تقاوم طعم Yupi Fruit Cocktails 14g،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03" s="56" t="str">
        <f>IF('AYIRA MINI MART FINAL MENU - Pr'!E703="", "", 'AYIRA MINI MART FINAL MENU - Pr'!E703)</f>
        <v/>
      </c>
      <c r="F703" s="56" t="str">
        <f>IF('AYIRA MINI MART FINAL MENU - Pr'!F703="", "", 'AYIRA MINI MART FINAL MENU - Pr'!F703)</f>
        <v/>
      </c>
      <c r="G703" s="56" t="str">
        <f>IF('AYIRA MINI MART FINAL MENU - Pr'!G703="", "", 'AYIRA MINI MART FINAL MENU - Pr'!G703)</f>
        <v/>
      </c>
      <c r="H703" s="56" t="str">
        <f>IF('AYIRA MINI MART FINAL MENU - Pr'!H703="", "", 'AYIRA MINI MART FINAL MENU - Pr'!H703)</f>
        <v/>
      </c>
      <c r="I703" s="56" t="str">
        <f>IF('AYIRA MINI MART FINAL MENU - Pr'!I703="", "", 'AYIRA MINI MART FINAL MENU - Pr'!I703)</f>
        <v/>
      </c>
      <c r="J703" s="56" t="str">
        <f>IFERROR(__xludf.DUMMYFUNCTION("IF('AYIRA MINI MART FINAL MENU - Pr'!J703="""", """", GOOGLETRANSLATE('AYIRA MINI MART FINAL MENU - Pr'!J703, ""en"", ""ar""))"),"")</f>
        <v/>
      </c>
      <c r="K703" s="56" t="str">
        <f>IF('AYIRA MINI MART FINAL MENU - Pr'!K703="", "", 'AYIRA MINI MART FINAL MENU - Pr'!K703)</f>
        <v/>
      </c>
      <c r="L703" s="56" t="str">
        <f>IF('AYIRA MINI MART FINAL MENU - Pr'!L703="", "", 'AYIRA MINI MART FINAL MENU - Pr'!L703)</f>
        <v/>
      </c>
      <c r="M703" s="56" t="str">
        <f>IF('AYIRA MINI MART FINAL MENU - Pr'!M703="", "", 'AYIRA MINI MART FINAL MENU - Pr'!M703)</f>
        <v/>
      </c>
      <c r="N703" s="56" t="str">
        <f>IF('AYIRA MINI MART FINAL MENU - Pr'!N703="", "", 'AYIRA MINI MART FINAL MENU - Pr'!N703)</f>
        <v/>
      </c>
      <c r="O703" s="57"/>
      <c r="P703" s="57"/>
      <c r="Q703" s="57"/>
      <c r="R703" s="57"/>
      <c r="S703" s="57"/>
      <c r="T703" s="57"/>
      <c r="U703" s="57"/>
      <c r="V703" s="57"/>
      <c r="W703" s="57"/>
      <c r="X703" s="57"/>
      <c r="Y703" s="57"/>
      <c r="Z703" s="57"/>
    </row>
    <row r="704">
      <c r="A704" s="56" t="str">
        <f>IFERROR(__xludf.DUMMYFUNCTION("IF('AYIRA MINI MART FINAL MENU - Pr'!A704="""", """", IF(LEN(TRIM(REGEXREPLACE(REGEXREPLACE('AYIRA MINI MART FINAL MENU - Pr'!A704, ""^[^\x{0600}-\x{06FF}]+"", """"), ""^[-–\s]+"", """")))&gt;0, TRIM(REGEXREPLACE(REGEXREPLACE('AYIRA MINI MART FINAL MENU - Pr"&amp;"'!A704, ""^[^\x{0600}-\x{06FF}]+"", """"), ""^[-–\s]+"", """")), GOOGLETRANSLATE('AYIRA MINI MART FINAL MENU - Pr'!A704, ""en"", ""ar"")))"),"غرام")</f>
        <v>غرام</v>
      </c>
      <c r="B704" s="56" t="str">
        <f>IFERROR(__xludf.DUMMYFUNCTION("IF('AYIRA MINI MART FINAL MENU - Pr'!B704="""", """", IF(LEN(TRIM(REGEXREPLACE(REGEXREPLACE('AYIRA MINI MART FINAL MENU - Pr'!B704, ""^[^\x{0600}-\x{06FF}]+"", """"), ""^[-–\s]+"", """")))&gt;0, TRIM(REGEXREPLACE(REGEXREPLACE('AYIRA MINI MART FINAL MENU - Pr"&amp;"'!B704, ""^[^\x{0600}-\x{06FF}]+"", """"), ""^[-–\s]+"", """")), GOOGLETRANSLATE('AYIRA MINI MART FINAL MENU - Pr'!B704, ""en"", ""ar"")))"),"الحلوى 🍬")</f>
        <v>الحلوى 🍬</v>
      </c>
      <c r="C704" s="58">
        <f>IF('AYIRA MINI MART FINAL MENU - Pr'!C704="", "", 'AYIRA MINI MART FINAL MENU - Pr'!C704)</f>
        <v>2.5</v>
      </c>
      <c r="D704" s="58" t="str">
        <f>IF('AYIRA MINI MART FINAL MENU - Pr'!D704="", "", 'AYIRA MINI MART FINAL MENU - Pr'!D704)</f>
        <v>لا تقاوم طعم Bubbles Squeeze 40g،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04" s="56" t="str">
        <f>IF('AYIRA MINI MART FINAL MENU - Pr'!E704="", "", 'AYIRA MINI MART FINAL MENU - Pr'!E704)</f>
        <v/>
      </c>
      <c r="F704" s="56" t="str">
        <f>IF('AYIRA MINI MART FINAL MENU - Pr'!F704="", "", 'AYIRA MINI MART FINAL MENU - Pr'!F704)</f>
        <v/>
      </c>
      <c r="G704" s="56" t="str">
        <f>IF('AYIRA MINI MART FINAL MENU - Pr'!G704="", "", 'AYIRA MINI MART FINAL MENU - Pr'!G704)</f>
        <v/>
      </c>
      <c r="H704" s="56" t="str">
        <f>IF('AYIRA MINI MART FINAL MENU - Pr'!H704="", "", 'AYIRA MINI MART FINAL MENU - Pr'!H704)</f>
        <v/>
      </c>
      <c r="I704" s="56" t="str">
        <f>IF('AYIRA MINI MART FINAL MENU - Pr'!I704="", "", 'AYIRA MINI MART FINAL MENU - Pr'!I704)</f>
        <v/>
      </c>
      <c r="J704" s="56" t="str">
        <f>IFERROR(__xludf.DUMMYFUNCTION("IF('AYIRA MINI MART FINAL MENU - Pr'!J704="""", """", GOOGLETRANSLATE('AYIRA MINI MART FINAL MENU - Pr'!J704, ""en"", ""ar""))"),"")</f>
        <v/>
      </c>
      <c r="K704" s="56" t="str">
        <f>IF('AYIRA MINI MART FINAL MENU - Pr'!K704="", "", 'AYIRA MINI MART FINAL MENU - Pr'!K704)</f>
        <v/>
      </c>
      <c r="L704" s="56" t="str">
        <f>IF('AYIRA MINI MART FINAL MENU - Pr'!L704="", "", 'AYIRA MINI MART FINAL MENU - Pr'!L704)</f>
        <v/>
      </c>
      <c r="M704" s="56" t="str">
        <f>IF('AYIRA MINI MART FINAL MENU - Pr'!M704="", "", 'AYIRA MINI MART FINAL MENU - Pr'!M704)</f>
        <v/>
      </c>
      <c r="N704" s="56" t="str">
        <f>IF('AYIRA MINI MART FINAL MENU - Pr'!N704="", "", 'AYIRA MINI MART FINAL MENU - Pr'!N704)</f>
        <v/>
      </c>
      <c r="O704" s="57"/>
      <c r="P704" s="57"/>
      <c r="Q704" s="57"/>
      <c r="R704" s="57"/>
      <c r="S704" s="57"/>
      <c r="T704" s="57"/>
      <c r="U704" s="57"/>
      <c r="V704" s="57"/>
      <c r="W704" s="57"/>
      <c r="X704" s="57"/>
      <c r="Y704" s="57"/>
      <c r="Z704" s="57"/>
    </row>
    <row r="705">
      <c r="A705" s="56" t="str">
        <f>IFERROR(__xludf.DUMMYFUNCTION("IF('AYIRA MINI MART FINAL MENU - Pr'!A705="""", """", IF(LEN(TRIM(REGEXREPLACE(REGEXREPLACE('AYIRA MINI MART FINAL MENU - Pr'!A705, ""^[^\x{0600}-\x{06FF}]+"", """"), ""^[-–\s]+"", """")))&gt;0, TRIM(REGEXREPLACE(REGEXREPLACE('AYIRA MINI MART FINAL MENU - Pr"&amp;"'!A705, ""^[^\x{0600}-\x{06FF}]+"", """"), ""^[-–\s]+"", """")), GOOGLETRANSLATE('AYIRA MINI MART FINAL MENU - Pr'!A705, ""en"", ""ar"")))"),"فراولة Flavour 12 غرام")</f>
        <v>فراولة Flavour 12 غرام</v>
      </c>
      <c r="B705" s="56" t="str">
        <f>IFERROR(__xludf.DUMMYFUNCTION("IF('AYIRA MINI MART FINAL MENU - Pr'!B705="""", """", IF(LEN(TRIM(REGEXREPLACE(REGEXREPLACE('AYIRA MINI MART FINAL MENU - Pr'!B705, ""^[^\x{0600}-\x{06FF}]+"", """"), ""^[-–\s]+"", """")))&gt;0, TRIM(REGEXREPLACE(REGEXREPLACE('AYIRA MINI MART FINAL MENU - Pr"&amp;"'!B705, ""^[^\x{0600}-\x{06FF}]+"", """"), ""^[-–\s]+"", """")), GOOGLETRANSLATE('AYIRA MINI MART FINAL MENU - Pr'!B705, ""en"", ""ar"")))"),"الحلوى 🍬")</f>
        <v>الحلوى 🍬</v>
      </c>
      <c r="C705" s="58">
        <f>IF('AYIRA MINI MART FINAL MENU - Pr'!C705="", "", 'AYIRA MINI MART FINAL MENU - Pr'!C705)</f>
        <v>1</v>
      </c>
      <c r="D705" s="58" t="str">
        <f>IF('AYIRA MINI MART FINAL MENU - Pr'!D705="", "", 'AYIRA MINI MART FINAL MENU - Pr'!D705)</f>
        <v>لا تقاوم طعم Fruit Roll Strawberry Flavour 12g،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05" s="56" t="str">
        <f>IF('AYIRA MINI MART FINAL MENU - Pr'!E705="", "", 'AYIRA MINI MART FINAL MENU - Pr'!E705)</f>
        <v/>
      </c>
      <c r="F705" s="56" t="str">
        <f>IF('AYIRA MINI MART FINAL MENU - Pr'!F705="", "", 'AYIRA MINI MART FINAL MENU - Pr'!F705)</f>
        <v/>
      </c>
      <c r="G705" s="56" t="str">
        <f>IF('AYIRA MINI MART FINAL MENU - Pr'!G705="", "", 'AYIRA MINI MART FINAL MENU - Pr'!G705)</f>
        <v/>
      </c>
      <c r="H705" s="56" t="str">
        <f>IF('AYIRA MINI MART FINAL MENU - Pr'!H705="", "", 'AYIRA MINI MART FINAL MENU - Pr'!H705)</f>
        <v/>
      </c>
      <c r="I705" s="56" t="str">
        <f>IF('AYIRA MINI MART FINAL MENU - Pr'!I705="", "", 'AYIRA MINI MART FINAL MENU - Pr'!I705)</f>
        <v/>
      </c>
      <c r="J705" s="56" t="str">
        <f>IFERROR(__xludf.DUMMYFUNCTION("IF('AYIRA MINI MART FINAL MENU - Pr'!J705="""", """", GOOGLETRANSLATE('AYIRA MINI MART FINAL MENU - Pr'!J705, ""en"", ""ar""))"),"")</f>
        <v/>
      </c>
      <c r="K705" s="56" t="str">
        <f>IF('AYIRA MINI MART FINAL MENU - Pr'!K705="", "", 'AYIRA MINI MART FINAL MENU - Pr'!K705)</f>
        <v/>
      </c>
      <c r="L705" s="56" t="str">
        <f>IF('AYIRA MINI MART FINAL MENU - Pr'!L705="", "", 'AYIRA MINI MART FINAL MENU - Pr'!L705)</f>
        <v/>
      </c>
      <c r="M705" s="56" t="str">
        <f>IF('AYIRA MINI MART FINAL MENU - Pr'!M705="", "", 'AYIRA MINI MART FINAL MENU - Pr'!M705)</f>
        <v/>
      </c>
      <c r="N705" s="56" t="str">
        <f>IF('AYIRA MINI MART FINAL MENU - Pr'!N705="", "", 'AYIRA MINI MART FINAL MENU - Pr'!N705)</f>
        <v/>
      </c>
      <c r="O705" s="57"/>
      <c r="P705" s="57"/>
      <c r="Q705" s="57"/>
      <c r="R705" s="57"/>
      <c r="S705" s="57"/>
      <c r="T705" s="57"/>
      <c r="U705" s="57"/>
      <c r="V705" s="57"/>
      <c r="W705" s="57"/>
      <c r="X705" s="57"/>
      <c r="Y705" s="57"/>
      <c r="Z705" s="57"/>
    </row>
    <row r="706">
      <c r="A706" s="56" t="str">
        <f>IFERROR(__xludf.DUMMYFUNCTION("IF('AYIRA MINI MART FINAL MENU - Pr'!A706="""", """", IF(LEN(TRIM(REGEXREPLACE(REGEXREPLACE('AYIRA MINI MART FINAL MENU - Pr'!A706, ""^[^\x{0600}-\x{06FF}]+"", """"), ""^[-–\s]+"", """")))&gt;0, TRIM(REGEXREPLACE(REGEXREPLACE('AYIRA MINI MART FINAL MENU - Pr"&amp;"'!A706, ""^[^\x{0600}-\x{06FF}]+"", """"), ""^[-–\s]+"", """")), GOOGLETRANSLATE('AYIRA MINI MART FINAL MENU - Pr'!A706, ""en"", ""ar"")))"),"عصا تفاح Flavour 20 غرام")</f>
        <v>عصا تفاح Flavour 20 غرام</v>
      </c>
      <c r="B706" s="56" t="str">
        <f>IFERROR(__xludf.DUMMYFUNCTION("IF('AYIRA MINI MART FINAL MENU - Pr'!B706="""", """", IF(LEN(TRIM(REGEXREPLACE(REGEXREPLACE('AYIRA MINI MART FINAL MENU - Pr'!B706, ""^[^\x{0600}-\x{06FF}]+"", """"), ""^[-–\s]+"", """")))&gt;0, TRIM(REGEXREPLACE(REGEXREPLACE('AYIRA MINI MART FINAL MENU - Pr"&amp;"'!B706, ""^[^\x{0600}-\x{06FF}]+"", """"), ""^[-–\s]+"", """")), GOOGLETRANSLATE('AYIRA MINI MART FINAL MENU - Pr'!B706, ""en"", ""ar"")))"),"الحلوى 🍬")</f>
        <v>الحلوى 🍬</v>
      </c>
      <c r="C706" s="58">
        <f>IF('AYIRA MINI MART FINAL MENU - Pr'!C706="", "", 'AYIRA MINI MART FINAL MENU - Pr'!C706)</f>
        <v>1</v>
      </c>
      <c r="D706" s="58" t="str">
        <f>IF('AYIRA MINI MART FINAL MENU - Pr'!D706="", "", 'AYIRA MINI MART FINAL MENU - Pr'!D706)</f>
        <v>لا تقاوم طعم Sour Stick Apple Flavour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06" s="56" t="str">
        <f>IF('AYIRA MINI MART FINAL MENU - Pr'!E706="", "", 'AYIRA MINI MART FINAL MENU - Pr'!E706)</f>
        <v/>
      </c>
      <c r="F706" s="56" t="str">
        <f>IF('AYIRA MINI MART FINAL MENU - Pr'!F706="", "", 'AYIRA MINI MART FINAL MENU - Pr'!F706)</f>
        <v/>
      </c>
      <c r="G706" s="56" t="str">
        <f>IF('AYIRA MINI MART FINAL MENU - Pr'!G706="", "", 'AYIRA MINI MART FINAL MENU - Pr'!G706)</f>
        <v/>
      </c>
      <c r="H706" s="56" t="str">
        <f>IF('AYIRA MINI MART FINAL MENU - Pr'!H706="", "", 'AYIRA MINI MART FINAL MENU - Pr'!H706)</f>
        <v/>
      </c>
      <c r="I706" s="56" t="str">
        <f>IF('AYIRA MINI MART FINAL MENU - Pr'!I706="", "", 'AYIRA MINI MART FINAL MENU - Pr'!I706)</f>
        <v/>
      </c>
      <c r="J706" s="56" t="str">
        <f>IFERROR(__xludf.DUMMYFUNCTION("IF('AYIRA MINI MART FINAL MENU - Pr'!J706="""", """", GOOGLETRANSLATE('AYIRA MINI MART FINAL MENU - Pr'!J706, ""en"", ""ar""))"),"")</f>
        <v/>
      </c>
      <c r="K706" s="56" t="str">
        <f>IF('AYIRA MINI MART FINAL MENU - Pr'!K706="", "", 'AYIRA MINI MART FINAL MENU - Pr'!K706)</f>
        <v/>
      </c>
      <c r="L706" s="56" t="str">
        <f>IF('AYIRA MINI MART FINAL MENU - Pr'!L706="", "", 'AYIRA MINI MART FINAL MENU - Pr'!L706)</f>
        <v/>
      </c>
      <c r="M706" s="56" t="str">
        <f>IF('AYIRA MINI MART FINAL MENU - Pr'!M706="", "", 'AYIRA MINI MART FINAL MENU - Pr'!M706)</f>
        <v/>
      </c>
      <c r="N706" s="56" t="str">
        <f>IF('AYIRA MINI MART FINAL MENU - Pr'!N706="", "", 'AYIRA MINI MART FINAL MENU - Pr'!N706)</f>
        <v/>
      </c>
      <c r="O706" s="57"/>
      <c r="P706" s="57"/>
      <c r="Q706" s="57"/>
      <c r="R706" s="57"/>
      <c r="S706" s="57"/>
      <c r="T706" s="57"/>
      <c r="U706" s="57"/>
      <c r="V706" s="57"/>
      <c r="W706" s="57"/>
      <c r="X706" s="57"/>
      <c r="Y706" s="57"/>
      <c r="Z706" s="57"/>
    </row>
    <row r="707">
      <c r="A707" s="56" t="str">
        <f>IFERROR(__xludf.DUMMYFUNCTION("IF('AYIRA MINI MART FINAL MENU - Pr'!A707="""", """", IF(LEN(TRIM(REGEXREPLACE(REGEXREPLACE('AYIRA MINI MART FINAL MENU - Pr'!A707, ""^[^\x{0600}-\x{06FF}]+"", """"), ""^[-–\s]+"", """")))&gt;0, TRIM(REGEXREPLACE(REGEXREPLACE('AYIRA MINI MART FINAL MENU - Pr"&amp;"'!A707, ""^[^\x{0600}-\x{06FF}]+"", """"), ""^[-–\s]+"", """")), GOOGLETRANSLATE('AYIRA MINI MART FINAL MENU - Pr'!A707, ""en"", ""ar"")))"),"غرام")</f>
        <v>غرام</v>
      </c>
      <c r="B707" s="56" t="str">
        <f>IFERROR(__xludf.DUMMYFUNCTION("IF('AYIRA MINI MART FINAL MENU - Pr'!B707="""", """", IF(LEN(TRIM(REGEXREPLACE(REGEXREPLACE('AYIRA MINI MART FINAL MENU - Pr'!B707, ""^[^\x{0600}-\x{06FF}]+"", """"), ""^[-–\s]+"", """")))&gt;0, TRIM(REGEXREPLACE(REGEXREPLACE('AYIRA MINI MART FINAL MENU - Pr"&amp;"'!B707, ""^[^\x{0600}-\x{06FF}]+"", """"), ""^[-–\s]+"", """")), GOOGLETRANSLATE('AYIRA MINI MART FINAL MENU - Pr'!B707, ""en"", ""ar"")))"),"الحلوى 🍬")</f>
        <v>الحلوى 🍬</v>
      </c>
      <c r="C707" s="58">
        <f>IF('AYIRA MINI MART FINAL MENU - Pr'!C707="", "", 'AYIRA MINI MART FINAL MENU - Pr'!C707)</f>
        <v>1.5</v>
      </c>
      <c r="D707" s="58" t="str">
        <f>IF('AYIRA MINI MART FINAL MENU - Pr'!D707="", "", 'AYIRA MINI MART FINAL MENU - Pr'!D707)</f>
        <v>لا تقاوم طعم Mallow Iam Filled Mallows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07" s="56" t="str">
        <f>IF('AYIRA MINI MART FINAL MENU - Pr'!E707="", "", 'AYIRA MINI MART FINAL MENU - Pr'!E707)</f>
        <v/>
      </c>
      <c r="F707" s="56" t="str">
        <f>IF('AYIRA MINI MART FINAL MENU - Pr'!F707="", "", 'AYIRA MINI MART FINAL MENU - Pr'!F707)</f>
        <v/>
      </c>
      <c r="G707" s="56" t="str">
        <f>IF('AYIRA MINI MART FINAL MENU - Pr'!G707="", "", 'AYIRA MINI MART FINAL MENU - Pr'!G707)</f>
        <v/>
      </c>
      <c r="H707" s="56" t="str">
        <f>IF('AYIRA MINI MART FINAL MENU - Pr'!H707="", "", 'AYIRA MINI MART FINAL MENU - Pr'!H707)</f>
        <v/>
      </c>
      <c r="I707" s="56" t="str">
        <f>IF('AYIRA MINI MART FINAL MENU - Pr'!I707="", "", 'AYIRA MINI MART FINAL MENU - Pr'!I707)</f>
        <v/>
      </c>
      <c r="J707" s="56" t="str">
        <f>IFERROR(__xludf.DUMMYFUNCTION("IF('AYIRA MINI MART FINAL MENU - Pr'!J707="""", """", GOOGLETRANSLATE('AYIRA MINI MART FINAL MENU - Pr'!J707, ""en"", ""ar""))"),"")</f>
        <v/>
      </c>
      <c r="K707" s="56" t="str">
        <f>IF('AYIRA MINI MART FINAL MENU - Pr'!K707="", "", 'AYIRA MINI MART FINAL MENU - Pr'!K707)</f>
        <v/>
      </c>
      <c r="L707" s="56" t="str">
        <f>IF('AYIRA MINI MART FINAL MENU - Pr'!L707="", "", 'AYIRA MINI MART FINAL MENU - Pr'!L707)</f>
        <v/>
      </c>
      <c r="M707" s="56" t="str">
        <f>IF('AYIRA MINI MART FINAL MENU - Pr'!M707="", "", 'AYIRA MINI MART FINAL MENU - Pr'!M707)</f>
        <v/>
      </c>
      <c r="N707" s="56" t="str">
        <f>IF('AYIRA MINI MART FINAL MENU - Pr'!N707="", "", 'AYIRA MINI MART FINAL MENU - Pr'!N707)</f>
        <v/>
      </c>
      <c r="O707" s="57"/>
      <c r="P707" s="57"/>
      <c r="Q707" s="57"/>
      <c r="R707" s="57"/>
      <c r="S707" s="57"/>
      <c r="T707" s="57"/>
      <c r="U707" s="57"/>
      <c r="V707" s="57"/>
      <c r="W707" s="57"/>
      <c r="X707" s="57"/>
      <c r="Y707" s="57"/>
      <c r="Z707" s="57"/>
    </row>
    <row r="708">
      <c r="A708" s="56" t="str">
        <f>IFERROR(__xludf.DUMMYFUNCTION("IF('AYIRA MINI MART FINAL MENU - Pr'!A708="""", """", IF(LEN(TRIM(REGEXREPLACE(REGEXREPLACE('AYIRA MINI MART FINAL MENU - Pr'!A708, ""^[^\x{0600}-\x{06FF}]+"", """"), ""^[-–\s]+"", """")))&gt;0, TRIM(REGEXREPLACE(REGEXREPLACE('AYIRA MINI MART FINAL MENU - Pr"&amp;"'!A708, ""^[^\x{0600}-\x{06FF}]+"", """"), ""^[-–\s]+"", """")), GOOGLETRANSLATE('AYIRA MINI MART FINAL MENU - Pr'!A708, ""en"", ""ar"")))"),"غرام")</f>
        <v>غرام</v>
      </c>
      <c r="B708" s="56" t="str">
        <f>IFERROR(__xludf.DUMMYFUNCTION("IF('AYIRA MINI MART FINAL MENU - Pr'!B708="""", """", IF(LEN(TRIM(REGEXREPLACE(REGEXREPLACE('AYIRA MINI MART FINAL MENU - Pr'!B708, ""^[^\x{0600}-\x{06FF}]+"", """"), ""^[-–\s]+"", """")))&gt;0, TRIM(REGEXREPLACE(REGEXREPLACE('AYIRA MINI MART FINAL MENU - Pr"&amp;"'!B708, ""^[^\x{0600}-\x{06FF}]+"", """"), ""^[-–\s]+"", """")), GOOGLETRANSLATE('AYIRA MINI MART FINAL MENU - Pr'!B708, ""en"", ""ar"")))"),"الحلوى 🍬")</f>
        <v>الحلوى 🍬</v>
      </c>
      <c r="C708" s="58">
        <f>IF('AYIRA MINI MART FINAL MENU - Pr'!C708="", "", 'AYIRA MINI MART FINAL MENU - Pr'!C708)</f>
        <v>3.5</v>
      </c>
      <c r="D708" s="58" t="str">
        <f>IF('AYIRA MINI MART FINAL MENU - Pr'!D708="", "", 'AYIRA MINI MART FINAL MENU - Pr'!D708)</f>
        <v>لا تقاوم طعم Brain Blasters 45g،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08" s="56" t="str">
        <f>IF('AYIRA MINI MART FINAL MENU - Pr'!E708="", "", 'AYIRA MINI MART FINAL MENU - Pr'!E708)</f>
        <v/>
      </c>
      <c r="F708" s="56" t="str">
        <f>IF('AYIRA MINI MART FINAL MENU - Pr'!F708="", "", 'AYIRA MINI MART FINAL MENU - Pr'!F708)</f>
        <v/>
      </c>
      <c r="G708" s="56" t="str">
        <f>IF('AYIRA MINI MART FINAL MENU - Pr'!G708="", "", 'AYIRA MINI MART FINAL MENU - Pr'!G708)</f>
        <v/>
      </c>
      <c r="H708" s="56" t="str">
        <f>IF('AYIRA MINI MART FINAL MENU - Pr'!H708="", "", 'AYIRA MINI MART FINAL MENU - Pr'!H708)</f>
        <v/>
      </c>
      <c r="I708" s="56" t="str">
        <f>IF('AYIRA MINI MART FINAL MENU - Pr'!I708="", "", 'AYIRA MINI MART FINAL MENU - Pr'!I708)</f>
        <v/>
      </c>
      <c r="J708" s="56" t="str">
        <f>IFERROR(__xludf.DUMMYFUNCTION("IF('AYIRA MINI MART FINAL MENU - Pr'!J708="""", """", GOOGLETRANSLATE('AYIRA MINI MART FINAL MENU - Pr'!J708, ""en"", ""ar""))"),"")</f>
        <v/>
      </c>
      <c r="K708" s="56" t="str">
        <f>IF('AYIRA MINI MART FINAL MENU - Pr'!K708="", "", 'AYIRA MINI MART FINAL MENU - Pr'!K708)</f>
        <v/>
      </c>
      <c r="L708" s="56" t="str">
        <f>IF('AYIRA MINI MART FINAL MENU - Pr'!L708="", "", 'AYIRA MINI MART FINAL MENU - Pr'!L708)</f>
        <v/>
      </c>
      <c r="M708" s="56" t="str">
        <f>IF('AYIRA MINI MART FINAL MENU - Pr'!M708="", "", 'AYIRA MINI MART FINAL MENU - Pr'!M708)</f>
        <v/>
      </c>
      <c r="N708" s="56" t="str">
        <f>IF('AYIRA MINI MART FINAL MENU - Pr'!N708="", "", 'AYIRA MINI MART FINAL MENU - Pr'!N708)</f>
        <v/>
      </c>
      <c r="O708" s="57"/>
      <c r="P708" s="57"/>
      <c r="Q708" s="57"/>
      <c r="R708" s="57"/>
      <c r="S708" s="57"/>
      <c r="T708" s="57"/>
      <c r="U708" s="57"/>
      <c r="V708" s="57"/>
      <c r="W708" s="57"/>
      <c r="X708" s="57"/>
      <c r="Y708" s="57"/>
      <c r="Z708" s="57"/>
    </row>
    <row r="709">
      <c r="A709" s="56" t="str">
        <f>IFERROR(__xludf.DUMMYFUNCTION("IF('AYIRA MINI MART FINAL MENU - Pr'!A709="""", """", IF(LEN(TRIM(REGEXREPLACE(REGEXREPLACE('AYIRA MINI MART FINAL MENU - Pr'!A709, ""^[^\x{0600}-\x{06FF}]+"", """"), ""^[-–\s]+"", """")))&gt;0, TRIM(REGEXREPLACE(REGEXREPLACE('AYIRA MINI MART FINAL MENU - Pr"&amp;"'!A709, ""^[^\x{0600}-\x{06FF}]+"", """"), ""^[-–\s]+"", """")), GOOGLETRANSLATE('AYIRA MINI MART FINAL MENU - Pr'!A709, ""en"", ""ar"")))"),"عنب Flavour 10 غرام")</f>
        <v>عنب Flavour 10 غرام</v>
      </c>
      <c r="B709" s="56" t="str">
        <f>IFERROR(__xludf.DUMMYFUNCTION("IF('AYIRA MINI MART FINAL MENU - Pr'!B709="""", """", IF(LEN(TRIM(REGEXREPLACE(REGEXREPLACE('AYIRA MINI MART FINAL MENU - Pr'!B709, ""^[^\x{0600}-\x{06FF}]+"", """"), ""^[-–\s]+"", """")))&gt;0, TRIM(REGEXREPLACE(REGEXREPLACE('AYIRA MINI MART FINAL MENU - Pr"&amp;"'!B709, ""^[^\x{0600}-\x{06FF}]+"", """"), ""^[-–\s]+"", """")), GOOGLETRANSLATE('AYIRA MINI MART FINAL MENU - Pr'!B709, ""en"", ""ar"")))"),"الحلوى 🍬")</f>
        <v>الحلوى 🍬</v>
      </c>
      <c r="C709" s="58">
        <f>IF('AYIRA MINI MART FINAL MENU - Pr'!C709="", "", 'AYIRA MINI MART FINAL MENU - Pr'!C709)</f>
        <v>1</v>
      </c>
      <c r="D709" s="58" t="str">
        <f>IF('AYIRA MINI MART FINAL MENU - Pr'!D709="", "", 'AYIRA MINI MART FINAL MENU - Pr'!D709)</f>
        <v>أضف لحظة حلوة إلى يومك مع Ring Candy Grape Flavour 10g،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09" s="56" t="str">
        <f>IF('AYIRA MINI MART FINAL MENU - Pr'!E709="", "", 'AYIRA MINI MART FINAL MENU - Pr'!E709)</f>
        <v/>
      </c>
      <c r="F709" s="56" t="str">
        <f>IF('AYIRA MINI MART FINAL MENU - Pr'!F709="", "", 'AYIRA MINI MART FINAL MENU - Pr'!F709)</f>
        <v/>
      </c>
      <c r="G709" s="56" t="str">
        <f>IF('AYIRA MINI MART FINAL MENU - Pr'!G709="", "", 'AYIRA MINI MART FINAL MENU - Pr'!G709)</f>
        <v/>
      </c>
      <c r="H709" s="56" t="str">
        <f>IF('AYIRA MINI MART FINAL MENU - Pr'!H709="", "", 'AYIRA MINI MART FINAL MENU - Pr'!H709)</f>
        <v/>
      </c>
      <c r="I709" s="56" t="str">
        <f>IF('AYIRA MINI MART FINAL MENU - Pr'!I709="", "", 'AYIRA MINI MART FINAL MENU - Pr'!I709)</f>
        <v/>
      </c>
      <c r="J709" s="56" t="str">
        <f>IFERROR(__xludf.DUMMYFUNCTION("IF('AYIRA MINI MART FINAL MENU - Pr'!J709="""", """", GOOGLETRANSLATE('AYIRA MINI MART FINAL MENU - Pr'!J709, ""en"", ""ar""))"),"")</f>
        <v/>
      </c>
      <c r="K709" s="56" t="str">
        <f>IF('AYIRA MINI MART FINAL MENU - Pr'!K709="", "", 'AYIRA MINI MART FINAL MENU - Pr'!K709)</f>
        <v/>
      </c>
      <c r="L709" s="56" t="str">
        <f>IF('AYIRA MINI MART FINAL MENU - Pr'!L709="", "", 'AYIRA MINI MART FINAL MENU - Pr'!L709)</f>
        <v/>
      </c>
      <c r="M709" s="56" t="str">
        <f>IF('AYIRA MINI MART FINAL MENU - Pr'!M709="", "", 'AYIRA MINI MART FINAL MENU - Pr'!M709)</f>
        <v/>
      </c>
      <c r="N709" s="56" t="str">
        <f>IF('AYIRA MINI MART FINAL MENU - Pr'!N709="", "", 'AYIRA MINI MART FINAL MENU - Pr'!N709)</f>
        <v/>
      </c>
      <c r="O709" s="57"/>
      <c r="P709" s="57"/>
      <c r="Q709" s="57"/>
      <c r="R709" s="57"/>
      <c r="S709" s="57"/>
      <c r="T709" s="57"/>
      <c r="U709" s="57"/>
      <c r="V709" s="57"/>
      <c r="W709" s="57"/>
      <c r="X709" s="57"/>
      <c r="Y709" s="57"/>
      <c r="Z709" s="57"/>
    </row>
    <row r="710">
      <c r="A710" s="56" t="str">
        <f>IFERROR(__xludf.DUMMYFUNCTION("IF('AYIRA MINI MART FINAL MENU - Pr'!A710="""", """", IF(LEN(TRIM(REGEXREPLACE(REGEXREPLACE('AYIRA MINI MART FINAL MENU - Pr'!A710, ""^[^\x{0600}-\x{06FF}]+"", """"), ""^[-–\s]+"", """")))&gt;0, TRIM(REGEXREPLACE(REGEXREPLACE('AYIRA MINI MART FINAL MENU - Pr"&amp;"'!A710, ""^[^\x{0600}-\x{06FF}]+"", """"), ""^[-–\s]+"", """")), GOOGLETRANSLATE('AYIRA MINI MART FINAL MENU - Pr'!A710, ""en"", ""ar"")))"),"ميني Licorice فراولة 25 غرام")</f>
        <v>ميني Licorice فراولة 25 غرام</v>
      </c>
      <c r="B710" s="56" t="str">
        <f>IFERROR(__xludf.DUMMYFUNCTION("IF('AYIRA MINI MART FINAL MENU - Pr'!B710="""", """", IF(LEN(TRIM(REGEXREPLACE(REGEXREPLACE('AYIRA MINI MART FINAL MENU - Pr'!B710, ""^[^\x{0600}-\x{06FF}]+"", """"), ""^[-–\s]+"", """")))&gt;0, TRIM(REGEXREPLACE(REGEXREPLACE('AYIRA MINI MART FINAL MENU - Pr"&amp;"'!B710, ""^[^\x{0600}-\x{06FF}]+"", """"), ""^[-–\s]+"", """")), GOOGLETRANSLATE('AYIRA MINI MART FINAL MENU - Pr'!B710, ""en"", ""ar"")))"),"الحلوى 🍬")</f>
        <v>الحلوى 🍬</v>
      </c>
      <c r="C710" s="58">
        <f>IF('AYIRA MINI MART FINAL MENU - Pr'!C710="", "", 'AYIRA MINI MART FINAL MENU - Pr'!C710)</f>
        <v>1</v>
      </c>
      <c r="D710" s="58" t="str">
        <f>IF('AYIRA MINI MART FINAL MENU - Pr'!D710="", "", 'AYIRA MINI MART FINAL MENU - Pr'!D710)</f>
        <v>لا تقاوم طعم Tazzy Mini Licorice Strawberry 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10" s="56" t="str">
        <f>IF('AYIRA MINI MART FINAL MENU - Pr'!E710="", "", 'AYIRA MINI MART FINAL MENU - Pr'!E710)</f>
        <v/>
      </c>
      <c r="F710" s="56" t="str">
        <f>IF('AYIRA MINI MART FINAL MENU - Pr'!F710="", "", 'AYIRA MINI MART FINAL MENU - Pr'!F710)</f>
        <v/>
      </c>
      <c r="G710" s="56" t="str">
        <f>IF('AYIRA MINI MART FINAL MENU - Pr'!G710="", "", 'AYIRA MINI MART FINAL MENU - Pr'!G710)</f>
        <v/>
      </c>
      <c r="H710" s="56" t="str">
        <f>IF('AYIRA MINI MART FINAL MENU - Pr'!H710="", "", 'AYIRA MINI MART FINAL MENU - Pr'!H710)</f>
        <v/>
      </c>
      <c r="I710" s="56" t="str">
        <f>IF('AYIRA MINI MART FINAL MENU - Pr'!I710="", "", 'AYIRA MINI MART FINAL MENU - Pr'!I710)</f>
        <v/>
      </c>
      <c r="J710" s="56" t="str">
        <f>IFERROR(__xludf.DUMMYFUNCTION("IF('AYIRA MINI MART FINAL MENU - Pr'!J710="""", """", GOOGLETRANSLATE('AYIRA MINI MART FINAL MENU - Pr'!J710, ""en"", ""ar""))"),"")</f>
        <v/>
      </c>
      <c r="K710" s="56" t="str">
        <f>IF('AYIRA MINI MART FINAL MENU - Pr'!K710="", "", 'AYIRA MINI MART FINAL MENU - Pr'!K710)</f>
        <v/>
      </c>
      <c r="L710" s="56" t="str">
        <f>IF('AYIRA MINI MART FINAL MENU - Pr'!L710="", "", 'AYIRA MINI MART FINAL MENU - Pr'!L710)</f>
        <v/>
      </c>
      <c r="M710" s="56" t="str">
        <f>IF('AYIRA MINI MART FINAL MENU - Pr'!M710="", "", 'AYIRA MINI MART FINAL MENU - Pr'!M710)</f>
        <v/>
      </c>
      <c r="N710" s="56" t="str">
        <f>IF('AYIRA MINI MART FINAL MENU - Pr'!N710="", "", 'AYIRA MINI MART FINAL MENU - Pr'!N710)</f>
        <v/>
      </c>
      <c r="O710" s="57"/>
      <c r="P710" s="57"/>
      <c r="Q710" s="57"/>
      <c r="R710" s="57"/>
      <c r="S710" s="57"/>
      <c r="T710" s="57"/>
      <c r="U710" s="57"/>
      <c r="V710" s="57"/>
      <c r="W710" s="57"/>
      <c r="X710" s="57"/>
      <c r="Y710" s="57"/>
      <c r="Z710" s="57"/>
    </row>
    <row r="711">
      <c r="A711" s="56" t="str">
        <f>IFERROR(__xludf.DUMMYFUNCTION("IF('AYIRA MINI MART FINAL MENU - Pr'!A711="""", """", IF(LEN(TRIM(REGEXREPLACE(REGEXREPLACE('AYIRA MINI MART FINAL MENU - Pr'!A711, ""^[^\x{0600}-\x{06FF}]+"", """"), ""^[-–\s]+"", """")))&gt;0, TRIM(REGEXREPLACE(REGEXREPLACE('AYIRA MINI MART FINAL MENU - Pr"&amp;"'!A711, ""^[^\x{0600}-\x{06FF}]+"", """"), ""^[-–\s]+"", """")), GOOGLETRANSLATE('AYIRA MINI MART FINAL MENU - Pr'!A711, ""en"", ""ar"")))"),"تفاح 20 غرام")</f>
        <v>تفاح 20 غرام</v>
      </c>
      <c r="B711" s="56" t="str">
        <f>IFERROR(__xludf.DUMMYFUNCTION("IF('AYIRA MINI MART FINAL MENU - Pr'!B711="""", """", IF(LEN(TRIM(REGEXREPLACE(REGEXREPLACE('AYIRA MINI MART FINAL MENU - Pr'!B711, ""^[^\x{0600}-\x{06FF}]+"", """"), ""^[-–\s]+"", """")))&gt;0, TRIM(REGEXREPLACE(REGEXREPLACE('AYIRA MINI MART FINAL MENU - Pr"&amp;"'!B711, ""^[^\x{0600}-\x{06FF}]+"", """"), ""^[-–\s]+"", """")), GOOGLETRANSLATE('AYIRA MINI MART FINAL MENU - Pr'!B711, ""en"", ""ar"")))"),"الحلوى 🍬")</f>
        <v>الحلوى 🍬</v>
      </c>
      <c r="C711" s="58">
        <f>IF('AYIRA MINI MART FINAL MENU - Pr'!C711="", "", 'AYIRA MINI MART FINAL MENU - Pr'!C711)</f>
        <v>1</v>
      </c>
      <c r="D711" s="58" t="str">
        <f>IF('AYIRA MINI MART FINAL MENU - Pr'!D711="", "", 'AYIRA MINI MART FINAL MENU - Pr'!D711)</f>
        <v>لا تقاوم طعم Frit-C Extreme Z Apple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11" s="56" t="str">
        <f>IF('AYIRA MINI MART FINAL MENU - Pr'!E711="", "", 'AYIRA MINI MART FINAL MENU - Pr'!E711)</f>
        <v/>
      </c>
      <c r="F711" s="56" t="str">
        <f>IF('AYIRA MINI MART FINAL MENU - Pr'!F711="", "", 'AYIRA MINI MART FINAL MENU - Pr'!F711)</f>
        <v/>
      </c>
      <c r="G711" s="56" t="str">
        <f>IF('AYIRA MINI MART FINAL MENU - Pr'!G711="", "", 'AYIRA MINI MART FINAL MENU - Pr'!G711)</f>
        <v/>
      </c>
      <c r="H711" s="56" t="str">
        <f>IF('AYIRA MINI MART FINAL MENU - Pr'!H711="", "", 'AYIRA MINI MART FINAL MENU - Pr'!H711)</f>
        <v/>
      </c>
      <c r="I711" s="56" t="str">
        <f>IF('AYIRA MINI MART FINAL MENU - Pr'!I711="", "", 'AYIRA MINI MART FINAL MENU - Pr'!I711)</f>
        <v/>
      </c>
      <c r="J711" s="56" t="str">
        <f>IFERROR(__xludf.DUMMYFUNCTION("IF('AYIRA MINI MART FINAL MENU - Pr'!J711="""", """", GOOGLETRANSLATE('AYIRA MINI MART FINAL MENU - Pr'!J711, ""en"", ""ar""))"),"")</f>
        <v/>
      </c>
      <c r="K711" s="56" t="str">
        <f>IF('AYIRA MINI MART FINAL MENU - Pr'!K711="", "", 'AYIRA MINI MART FINAL MENU - Pr'!K711)</f>
        <v/>
      </c>
      <c r="L711" s="56" t="str">
        <f>IF('AYIRA MINI MART FINAL MENU - Pr'!L711="", "", 'AYIRA MINI MART FINAL MENU - Pr'!L711)</f>
        <v/>
      </c>
      <c r="M711" s="56" t="str">
        <f>IF('AYIRA MINI MART FINAL MENU - Pr'!M711="", "", 'AYIRA MINI MART FINAL MENU - Pr'!M711)</f>
        <v/>
      </c>
      <c r="N711" s="56" t="str">
        <f>IF('AYIRA MINI MART FINAL MENU - Pr'!N711="", "", 'AYIRA MINI MART FINAL MENU - Pr'!N711)</f>
        <v/>
      </c>
      <c r="O711" s="57"/>
      <c r="P711" s="57"/>
      <c r="Q711" s="57"/>
      <c r="R711" s="57"/>
      <c r="S711" s="57"/>
      <c r="T711" s="57"/>
      <c r="U711" s="57"/>
      <c r="V711" s="57"/>
      <c r="W711" s="57"/>
      <c r="X711" s="57"/>
      <c r="Y711" s="57"/>
      <c r="Z711" s="57"/>
    </row>
    <row r="712">
      <c r="A712" s="56" t="str">
        <f>IFERROR(__xludf.DUMMYFUNCTION("IF('AYIRA MINI MART FINAL MENU - Pr'!A712="""", """", IF(LEN(TRIM(REGEXREPLACE(REGEXREPLACE('AYIRA MINI MART FINAL MENU - Pr'!A712, ""^[^\x{0600}-\x{06FF}]+"", """"), ""^[-–\s]+"", """")))&gt;0, TRIM(REGEXREPLACE(REGEXREPLACE('AYIRA MINI MART FINAL MENU - Pr"&amp;"'!A712, ""^[^\x{0600}-\x{06FF}]+"", """"), ""^[-–\s]+"", """")), GOOGLETRANSLATE('AYIRA MINI MART FINAL MENU - Pr'!A712, ""en"", ""ar"")))"),"غرام")</f>
        <v>غرام</v>
      </c>
      <c r="B712" s="56" t="str">
        <f>IFERROR(__xludf.DUMMYFUNCTION("IF('AYIRA MINI MART FINAL MENU - Pr'!B712="""", """", IF(LEN(TRIM(REGEXREPLACE(REGEXREPLACE('AYIRA MINI MART FINAL MENU - Pr'!B712, ""^[^\x{0600}-\x{06FF}]+"", """"), ""^[-–\s]+"", """")))&gt;0, TRIM(REGEXREPLACE(REGEXREPLACE('AYIRA MINI MART FINAL MENU - Pr"&amp;"'!B712, ""^[^\x{0600}-\x{06FF}]+"", """"), ""^[-–\s]+"", """")), GOOGLETRANSLATE('AYIRA MINI MART FINAL MENU - Pr'!B712, ""en"", ""ar"")))"),"الحلوى 🍬")</f>
        <v>الحلوى 🍬</v>
      </c>
      <c r="C712" s="58">
        <f>IF('AYIRA MINI MART FINAL MENU - Pr'!C712="", "", 'AYIRA MINI MART FINAL MENU - Pr'!C712)</f>
        <v>1</v>
      </c>
      <c r="D712" s="58" t="str">
        <f>IF('AYIRA MINI MART FINAL MENU - Pr'!D712="", "", 'AYIRA MINI MART FINAL MENU - Pr'!D712)</f>
        <v>استمتع بـ Frit-C Extreme Z Cola 20g،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712" s="56" t="str">
        <f>IF('AYIRA MINI MART FINAL MENU - Pr'!E712="", "", 'AYIRA MINI MART FINAL MENU - Pr'!E712)</f>
        <v/>
      </c>
      <c r="F712" s="56" t="str">
        <f>IF('AYIRA MINI MART FINAL MENU - Pr'!F712="", "", 'AYIRA MINI MART FINAL MENU - Pr'!F712)</f>
        <v/>
      </c>
      <c r="G712" s="56" t="str">
        <f>IF('AYIRA MINI MART FINAL MENU - Pr'!G712="", "", 'AYIRA MINI MART FINAL MENU - Pr'!G712)</f>
        <v/>
      </c>
      <c r="H712" s="56" t="str">
        <f>IF('AYIRA MINI MART FINAL MENU - Pr'!H712="", "", 'AYIRA MINI MART FINAL MENU - Pr'!H712)</f>
        <v/>
      </c>
      <c r="I712" s="56" t="str">
        <f>IF('AYIRA MINI MART FINAL MENU - Pr'!I712="", "", 'AYIRA MINI MART FINAL MENU - Pr'!I712)</f>
        <v/>
      </c>
      <c r="J712" s="56" t="str">
        <f>IFERROR(__xludf.DUMMYFUNCTION("IF('AYIRA MINI MART FINAL MENU - Pr'!J712="""", """", GOOGLETRANSLATE('AYIRA MINI MART FINAL MENU - Pr'!J712, ""en"", ""ar""))"),"")</f>
        <v/>
      </c>
      <c r="K712" s="56" t="str">
        <f>IF('AYIRA MINI MART FINAL MENU - Pr'!K712="", "", 'AYIRA MINI MART FINAL MENU - Pr'!K712)</f>
        <v/>
      </c>
      <c r="L712" s="56" t="str">
        <f>IF('AYIRA MINI MART FINAL MENU - Pr'!L712="", "", 'AYIRA MINI MART FINAL MENU - Pr'!L712)</f>
        <v/>
      </c>
      <c r="M712" s="56" t="str">
        <f>IF('AYIRA MINI MART FINAL MENU - Pr'!M712="", "", 'AYIRA MINI MART FINAL MENU - Pr'!M712)</f>
        <v/>
      </c>
      <c r="N712" s="56" t="str">
        <f>IF('AYIRA MINI MART FINAL MENU - Pr'!N712="", "", 'AYIRA MINI MART FINAL MENU - Pr'!N712)</f>
        <v/>
      </c>
      <c r="O712" s="57"/>
      <c r="P712" s="57"/>
      <c r="Q712" s="57"/>
      <c r="R712" s="57"/>
      <c r="S712" s="57"/>
      <c r="T712" s="57"/>
      <c r="U712" s="57"/>
      <c r="V712" s="57"/>
      <c r="W712" s="57"/>
      <c r="X712" s="57"/>
      <c r="Y712" s="57"/>
      <c r="Z712" s="57"/>
    </row>
    <row r="713">
      <c r="A713" s="56" t="str">
        <f>IFERROR(__xludf.DUMMYFUNCTION("IF('AYIRA MINI MART FINAL MENU - Pr'!A713="""", """", IF(LEN(TRIM(REGEXREPLACE(REGEXREPLACE('AYIRA MINI MART FINAL MENU - Pr'!A713, ""^[^\x{0600}-\x{06FF}]+"", """"), ""^[-–\s]+"", """")))&gt;0, TRIM(REGEXREPLACE(REGEXREPLACE('AYIRA MINI MART FINAL MENU - Pr"&amp;"'!A713, ""^[^\x{0600}-\x{06FF}]+"", """"), ""^[-–\s]+"", """")), GOOGLETRANSLATE('AYIRA MINI MART FINAL MENU - Pr'!A713, ""en"", ""ar"")))"),"فراولة 20 غرام")</f>
        <v>فراولة 20 غرام</v>
      </c>
      <c r="B713" s="56" t="str">
        <f>IFERROR(__xludf.DUMMYFUNCTION("IF('AYIRA MINI MART FINAL MENU - Pr'!B713="""", """", IF(LEN(TRIM(REGEXREPLACE(REGEXREPLACE('AYIRA MINI MART FINAL MENU - Pr'!B713, ""^[^\x{0600}-\x{06FF}]+"", """"), ""^[-–\s]+"", """")))&gt;0, TRIM(REGEXREPLACE(REGEXREPLACE('AYIRA MINI MART FINAL MENU - Pr"&amp;"'!B713, ""^[^\x{0600}-\x{06FF}]+"", """"), ""^[-–\s]+"", """")), GOOGLETRANSLATE('AYIRA MINI MART FINAL MENU - Pr'!B713, ""en"", ""ar"")))"),"الحلوى 🍬")</f>
        <v>الحلوى 🍬</v>
      </c>
      <c r="C713" s="58">
        <f>IF('AYIRA MINI MART FINAL MENU - Pr'!C713="", "", 'AYIRA MINI MART FINAL MENU - Pr'!C713)</f>
        <v>1</v>
      </c>
      <c r="D713" s="58" t="str">
        <f>IF('AYIRA MINI MART FINAL MENU - Pr'!D713="", "", 'AYIRA MINI MART FINAL MENU - Pr'!D713)</f>
        <v>لا تقاوم طعم Frit-C Extreme Z Strawberry 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13" s="56" t="str">
        <f>IF('AYIRA MINI MART FINAL MENU - Pr'!E713="", "", 'AYIRA MINI MART FINAL MENU - Pr'!E713)</f>
        <v/>
      </c>
      <c r="F713" s="56" t="str">
        <f>IF('AYIRA MINI MART FINAL MENU - Pr'!F713="", "", 'AYIRA MINI MART FINAL MENU - Pr'!F713)</f>
        <v/>
      </c>
      <c r="G713" s="56" t="str">
        <f>IF('AYIRA MINI MART FINAL MENU - Pr'!G713="", "", 'AYIRA MINI MART FINAL MENU - Pr'!G713)</f>
        <v/>
      </c>
      <c r="H713" s="56" t="str">
        <f>IF('AYIRA MINI MART FINAL MENU - Pr'!H713="", "", 'AYIRA MINI MART FINAL MENU - Pr'!H713)</f>
        <v/>
      </c>
      <c r="I713" s="56" t="str">
        <f>IF('AYIRA MINI MART FINAL MENU - Pr'!I713="", "", 'AYIRA MINI MART FINAL MENU - Pr'!I713)</f>
        <v/>
      </c>
      <c r="J713" s="56" t="str">
        <f>IFERROR(__xludf.DUMMYFUNCTION("IF('AYIRA MINI MART FINAL MENU - Pr'!J713="""", """", GOOGLETRANSLATE('AYIRA MINI MART FINAL MENU - Pr'!J713, ""en"", ""ar""))"),"")</f>
        <v/>
      </c>
      <c r="K713" s="56" t="str">
        <f>IF('AYIRA MINI MART FINAL MENU - Pr'!K713="", "", 'AYIRA MINI MART FINAL MENU - Pr'!K713)</f>
        <v/>
      </c>
      <c r="L713" s="56" t="str">
        <f>IF('AYIRA MINI MART FINAL MENU - Pr'!L713="", "", 'AYIRA MINI MART FINAL MENU - Pr'!L713)</f>
        <v/>
      </c>
      <c r="M713" s="56" t="str">
        <f>IF('AYIRA MINI MART FINAL MENU - Pr'!M713="", "", 'AYIRA MINI MART FINAL MENU - Pr'!M713)</f>
        <v/>
      </c>
      <c r="N713" s="56" t="str">
        <f>IF('AYIRA MINI MART FINAL MENU - Pr'!N713="", "", 'AYIRA MINI MART FINAL MENU - Pr'!N713)</f>
        <v/>
      </c>
      <c r="O713" s="57"/>
      <c r="P713" s="57"/>
      <c r="Q713" s="57"/>
      <c r="R713" s="57"/>
      <c r="S713" s="57"/>
      <c r="T713" s="57"/>
      <c r="U713" s="57"/>
      <c r="V713" s="57"/>
      <c r="W713" s="57"/>
      <c r="X713" s="57"/>
      <c r="Y713" s="57"/>
      <c r="Z713" s="57"/>
    </row>
    <row r="714">
      <c r="A714" s="56" t="str">
        <f>IFERROR(__xludf.DUMMYFUNCTION("IF('AYIRA MINI MART FINAL MENU - Pr'!A714="""", """", IF(LEN(TRIM(REGEXREPLACE(REGEXREPLACE('AYIRA MINI MART FINAL MENU - Pr'!A714, ""^[^\x{0600}-\x{06FF}]+"", """"), ""^[-–\s]+"", """")))&gt;0, TRIM(REGEXREPLACE(REGEXREPLACE('AYIRA MINI MART FINAL MENU - Pr"&amp;"'!A714, ""^[^\x{0600}-\x{06FF}]+"", """"), ""^[-–\s]+"", """")), GOOGLETRANSLATE('AYIRA MINI MART FINAL MENU - Pr'!A714, ""en"", ""ar"")))"),"غرام")</f>
        <v>غرام</v>
      </c>
      <c r="B714" s="56" t="str">
        <f>IFERROR(__xludf.DUMMYFUNCTION("IF('AYIRA MINI MART FINAL MENU - Pr'!B714="""", """", IF(LEN(TRIM(REGEXREPLACE(REGEXREPLACE('AYIRA MINI MART FINAL MENU - Pr'!B714, ""^[^\x{0600}-\x{06FF}]+"", """"), ""^[-–\s]+"", """")))&gt;0, TRIM(REGEXREPLACE(REGEXREPLACE('AYIRA MINI MART FINAL MENU - Pr"&amp;"'!B714, ""^[^\x{0600}-\x{06FF}]+"", """"), ""^[-–\s]+"", """")), GOOGLETRANSLATE('AYIRA MINI MART FINAL MENU - Pr'!B714, ""en"", ""ar"")))"),"الحلوى 🍬")</f>
        <v>الحلوى 🍬</v>
      </c>
      <c r="C714" s="58">
        <f>IF('AYIRA MINI MART FINAL MENU - Pr'!C714="", "", 'AYIRA MINI MART FINAL MENU - Pr'!C714)</f>
        <v>1</v>
      </c>
      <c r="D714" s="58" t="str">
        <f>IF('AYIRA MINI MART FINAL MENU - Pr'!D714="", "", 'AYIRA MINI MART FINAL MENU - Pr'!D714)</f>
        <v>لا تقاوم طعم Crazy Brain Pop Blueberry 16g،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14" s="56" t="str">
        <f>IF('AYIRA MINI MART FINAL MENU - Pr'!E714="", "", 'AYIRA MINI MART FINAL MENU - Pr'!E714)</f>
        <v/>
      </c>
      <c r="F714" s="56" t="str">
        <f>IF('AYIRA MINI MART FINAL MENU - Pr'!F714="", "", 'AYIRA MINI MART FINAL MENU - Pr'!F714)</f>
        <v/>
      </c>
      <c r="G714" s="56" t="str">
        <f>IF('AYIRA MINI MART FINAL MENU - Pr'!G714="", "", 'AYIRA MINI MART FINAL MENU - Pr'!G714)</f>
        <v/>
      </c>
      <c r="H714" s="56" t="str">
        <f>IF('AYIRA MINI MART FINAL MENU - Pr'!H714="", "", 'AYIRA MINI MART FINAL MENU - Pr'!H714)</f>
        <v/>
      </c>
      <c r="I714" s="56" t="str">
        <f>IF('AYIRA MINI MART FINAL MENU - Pr'!I714="", "", 'AYIRA MINI MART FINAL MENU - Pr'!I714)</f>
        <v/>
      </c>
      <c r="J714" s="56" t="str">
        <f>IFERROR(__xludf.DUMMYFUNCTION("IF('AYIRA MINI MART FINAL MENU - Pr'!J714="""", """", GOOGLETRANSLATE('AYIRA MINI MART FINAL MENU - Pr'!J714, ""en"", ""ar""))"),"")</f>
        <v/>
      </c>
      <c r="K714" s="56" t="str">
        <f>IF('AYIRA MINI MART FINAL MENU - Pr'!K714="", "", 'AYIRA MINI MART FINAL MENU - Pr'!K714)</f>
        <v/>
      </c>
      <c r="L714" s="56" t="str">
        <f>IF('AYIRA MINI MART FINAL MENU - Pr'!L714="", "", 'AYIRA MINI MART FINAL MENU - Pr'!L714)</f>
        <v/>
      </c>
      <c r="M714" s="56" t="str">
        <f>IF('AYIRA MINI MART FINAL MENU - Pr'!M714="", "", 'AYIRA MINI MART FINAL MENU - Pr'!M714)</f>
        <v/>
      </c>
      <c r="N714" s="56" t="str">
        <f>IF('AYIRA MINI MART FINAL MENU - Pr'!N714="", "", 'AYIRA MINI MART FINAL MENU - Pr'!N714)</f>
        <v/>
      </c>
      <c r="O714" s="57"/>
      <c r="P714" s="57"/>
      <c r="Q714" s="57"/>
      <c r="R714" s="57"/>
      <c r="S714" s="57"/>
      <c r="T714" s="57"/>
      <c r="U714" s="57"/>
      <c r="V714" s="57"/>
      <c r="W714" s="57"/>
      <c r="X714" s="57"/>
      <c r="Y714" s="57"/>
      <c r="Z714" s="57"/>
    </row>
    <row r="715">
      <c r="A715" s="56" t="str">
        <f>IFERROR(__xludf.DUMMYFUNCTION("IF('AYIRA MINI MART FINAL MENU - Pr'!A715="""", """", IF(LEN(TRIM(REGEXREPLACE(REGEXREPLACE('AYIRA MINI MART FINAL MENU - Pr'!A715, ""^[^\x{0600}-\x{06FF}]+"", """"), ""^[-–\s]+"", """")))&gt;0, TRIM(REGEXREPLACE(REGEXREPLACE('AYIRA MINI MART FINAL MENU - Pr"&amp;"'!A715, ""^[^\x{0600}-\x{06FF}]+"", """"), ""^[-–\s]+"", """")), GOOGLETRANSLATE('AYIRA MINI MART FINAL MENU - Pr'!A715, ""en"", ""ar"")))"),"فراولة Sherbet with Candy Dipstick 12 غرام")</f>
        <v>فراولة Sherbet with Candy Dipstick 12 غرام</v>
      </c>
      <c r="B715" s="56" t="str">
        <f>IFERROR(__xludf.DUMMYFUNCTION("IF('AYIRA MINI MART FINAL MENU - Pr'!B715="""", """", IF(LEN(TRIM(REGEXREPLACE(REGEXREPLACE('AYIRA MINI MART FINAL MENU - Pr'!B715, ""^[^\x{0600}-\x{06FF}]+"", """"), ""^[-–\s]+"", """")))&gt;0, TRIM(REGEXREPLACE(REGEXREPLACE('AYIRA MINI MART FINAL MENU - Pr"&amp;"'!B715, ""^[^\x{0600}-\x{06FF}]+"", """"), ""^[-–\s]+"", """")), GOOGLETRANSLATE('AYIRA MINI MART FINAL MENU - Pr'!B715, ""en"", ""ar"")))"),"الحلوى 🍬")</f>
        <v>الحلوى 🍬</v>
      </c>
      <c r="C715" s="58">
        <f>IF('AYIRA MINI MART FINAL MENU - Pr'!C715="", "", 'AYIRA MINI MART FINAL MENU - Pr'!C715)</f>
        <v>1</v>
      </c>
      <c r="D715" s="58" t="str">
        <f>IF('AYIRA MINI MART FINAL MENU - Pr'!D715="", "", 'AYIRA MINI MART FINAL MENU - Pr'!D715)</f>
        <v>أضف لحظة حلوة إلى يومك مع Funkee Dips Strawberry Sherbet with Candy Dipstick 12g،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15" s="56" t="str">
        <f>IF('AYIRA MINI MART FINAL MENU - Pr'!E715="", "", 'AYIRA MINI MART FINAL MENU - Pr'!E715)</f>
        <v/>
      </c>
      <c r="F715" s="56" t="str">
        <f>IF('AYIRA MINI MART FINAL MENU - Pr'!F715="", "", 'AYIRA MINI MART FINAL MENU - Pr'!F715)</f>
        <v/>
      </c>
      <c r="G715" s="56" t="str">
        <f>IF('AYIRA MINI MART FINAL MENU - Pr'!G715="", "", 'AYIRA MINI MART FINAL MENU - Pr'!G715)</f>
        <v/>
      </c>
      <c r="H715" s="56" t="str">
        <f>IF('AYIRA MINI MART FINAL MENU - Pr'!H715="", "", 'AYIRA MINI MART FINAL MENU - Pr'!H715)</f>
        <v/>
      </c>
      <c r="I715" s="56" t="str">
        <f>IF('AYIRA MINI MART FINAL MENU - Pr'!I715="", "", 'AYIRA MINI MART FINAL MENU - Pr'!I715)</f>
        <v/>
      </c>
      <c r="J715" s="56" t="str">
        <f>IFERROR(__xludf.DUMMYFUNCTION("IF('AYIRA MINI MART FINAL MENU - Pr'!J715="""", """", GOOGLETRANSLATE('AYIRA MINI MART FINAL MENU - Pr'!J715, ""en"", ""ar""))"),"")</f>
        <v/>
      </c>
      <c r="K715" s="56" t="str">
        <f>IF('AYIRA MINI MART FINAL MENU - Pr'!K715="", "", 'AYIRA MINI MART FINAL MENU - Pr'!K715)</f>
        <v/>
      </c>
      <c r="L715" s="56" t="str">
        <f>IF('AYIRA MINI MART FINAL MENU - Pr'!L715="", "", 'AYIRA MINI MART FINAL MENU - Pr'!L715)</f>
        <v/>
      </c>
      <c r="M715" s="56" t="str">
        <f>IF('AYIRA MINI MART FINAL MENU - Pr'!M715="", "", 'AYIRA MINI MART FINAL MENU - Pr'!M715)</f>
        <v/>
      </c>
      <c r="N715" s="56" t="str">
        <f>IF('AYIRA MINI MART FINAL MENU - Pr'!N715="", "", 'AYIRA MINI MART FINAL MENU - Pr'!N715)</f>
        <v/>
      </c>
      <c r="O715" s="57"/>
      <c r="P715" s="57"/>
      <c r="Q715" s="57"/>
      <c r="R715" s="57"/>
      <c r="S715" s="57"/>
      <c r="T715" s="57"/>
      <c r="U715" s="57"/>
      <c r="V715" s="57"/>
      <c r="W715" s="57"/>
      <c r="X715" s="57"/>
      <c r="Y715" s="57"/>
      <c r="Z715" s="57"/>
    </row>
    <row r="716">
      <c r="A716" s="56" t="str">
        <f>IFERROR(__xludf.DUMMYFUNCTION("IF('AYIRA MINI MART FINAL MENU - Pr'!A716="""", """", IF(LEN(TRIM(REGEXREPLACE(REGEXREPLACE('AYIRA MINI MART FINAL MENU - Pr'!A716, ""^[^\x{0600}-\x{06FF}]+"", """"), ""^[-–\s]+"", """")))&gt;0, TRIM(REGEXREPLACE(REGEXREPLACE('AYIRA MINI MART FINAL MENU - Pr"&amp;"'!A716, ""^[^\x{0600}-\x{06FF}]+"", """"), ""^[-–\s]+"", """")), GOOGLETRANSLATE('AYIRA MINI MART FINAL MENU - Pr'!A716, ""en"", ""ar"")))"),"كرز Sherbet with Candy Dipstick 12 غرام")</f>
        <v>كرز Sherbet with Candy Dipstick 12 غرام</v>
      </c>
      <c r="B716" s="56" t="str">
        <f>IFERROR(__xludf.DUMMYFUNCTION("IF('AYIRA MINI MART FINAL MENU - Pr'!B716="""", """", IF(LEN(TRIM(REGEXREPLACE(REGEXREPLACE('AYIRA MINI MART FINAL MENU - Pr'!B716, ""^[^\x{0600}-\x{06FF}]+"", """"), ""^[-–\s]+"", """")))&gt;0, TRIM(REGEXREPLACE(REGEXREPLACE('AYIRA MINI MART FINAL MENU - Pr"&amp;"'!B716, ""^[^\x{0600}-\x{06FF}]+"", """"), ""^[-–\s]+"", """")), GOOGLETRANSLATE('AYIRA MINI MART FINAL MENU - Pr'!B716, ""en"", ""ar"")))"),"الحلوى 🍬")</f>
        <v>الحلوى 🍬</v>
      </c>
      <c r="C716" s="58">
        <f>IF('AYIRA MINI MART FINAL MENU - Pr'!C716="", "", 'AYIRA MINI MART FINAL MENU - Pr'!C716)</f>
        <v>1</v>
      </c>
      <c r="D716" s="58" t="str">
        <f>IF('AYIRA MINI MART FINAL MENU - Pr'!D716="", "", 'AYIRA MINI MART FINAL MENU - Pr'!D716)</f>
        <v>أضف لحظة حلوة إلى يومك مع Funkee Dips Cherry Sherbet with Candy Dipstick 12g،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16" s="56" t="str">
        <f>IF('AYIRA MINI MART FINAL MENU - Pr'!E716="", "", 'AYIRA MINI MART FINAL MENU - Pr'!E716)</f>
        <v/>
      </c>
      <c r="F716" s="56" t="str">
        <f>IF('AYIRA MINI MART FINAL MENU - Pr'!F716="", "", 'AYIRA MINI MART FINAL MENU - Pr'!F716)</f>
        <v/>
      </c>
      <c r="G716" s="56" t="str">
        <f>IF('AYIRA MINI MART FINAL MENU - Pr'!G716="", "", 'AYIRA MINI MART FINAL MENU - Pr'!G716)</f>
        <v/>
      </c>
      <c r="H716" s="56" t="str">
        <f>IF('AYIRA MINI MART FINAL MENU - Pr'!H716="", "", 'AYIRA MINI MART FINAL MENU - Pr'!H716)</f>
        <v/>
      </c>
      <c r="I716" s="56" t="str">
        <f>IF('AYIRA MINI MART FINAL MENU - Pr'!I716="", "", 'AYIRA MINI MART FINAL MENU - Pr'!I716)</f>
        <v/>
      </c>
      <c r="J716" s="56" t="str">
        <f>IFERROR(__xludf.DUMMYFUNCTION("IF('AYIRA MINI MART FINAL MENU - Pr'!J716="""", """", GOOGLETRANSLATE('AYIRA MINI MART FINAL MENU - Pr'!J716, ""en"", ""ar""))"),"")</f>
        <v/>
      </c>
      <c r="K716" s="56" t="str">
        <f>IF('AYIRA MINI MART FINAL MENU - Pr'!K716="", "", 'AYIRA MINI MART FINAL MENU - Pr'!K716)</f>
        <v/>
      </c>
      <c r="L716" s="56" t="str">
        <f>IF('AYIRA MINI MART FINAL MENU - Pr'!L716="", "", 'AYIRA MINI MART FINAL MENU - Pr'!L716)</f>
        <v/>
      </c>
      <c r="M716" s="56" t="str">
        <f>IF('AYIRA MINI MART FINAL MENU - Pr'!M716="", "", 'AYIRA MINI MART FINAL MENU - Pr'!M716)</f>
        <v/>
      </c>
      <c r="N716" s="56" t="str">
        <f>IF('AYIRA MINI MART FINAL MENU - Pr'!N716="", "", 'AYIRA MINI MART FINAL MENU - Pr'!N716)</f>
        <v/>
      </c>
      <c r="O716" s="57"/>
      <c r="P716" s="57"/>
      <c r="Q716" s="57"/>
      <c r="R716" s="57"/>
      <c r="S716" s="57"/>
      <c r="T716" s="57"/>
      <c r="U716" s="57"/>
      <c r="V716" s="57"/>
      <c r="W716" s="57"/>
      <c r="X716" s="57"/>
      <c r="Y716" s="57"/>
      <c r="Z716" s="57"/>
    </row>
    <row r="717">
      <c r="A717" s="56" t="str">
        <f>IFERROR(__xludf.DUMMYFUNCTION("IF('AYIRA MINI MART FINAL MENU - Pr'!A717="""", """", IF(LEN(TRIM(REGEXREPLACE(REGEXREPLACE('AYIRA MINI MART FINAL MENU - Pr'!A717, ""^[^\x{0600}-\x{06FF}]+"", """"), ""^[-–\s]+"", """")))&gt;0, TRIM(REGEXREPLACE(REGEXREPLACE('AYIRA MINI MART FINAL MENU - Pr"&amp;"'!A717, ""^[^\x{0600}-\x{06FF}]+"", """"), ""^[-–\s]+"", """")), GOOGLETRANSLATE('AYIRA MINI MART FINAL MENU - Pr'!A717, ""en"", ""ar"")))"),"كاجو 27 غرام")</f>
        <v>كاجو 27 غرام</v>
      </c>
      <c r="B717" s="56" t="str">
        <f>IFERROR(__xludf.DUMMYFUNCTION("IF('AYIRA MINI MART FINAL MENU - Pr'!B717="""", """", IF(LEN(TRIM(REGEXREPLACE(REGEXREPLACE('AYIRA MINI MART FINAL MENU - Pr'!B717, ""^[^\x{0600}-\x{06FF}]+"", """"), ""^[-–\s]+"", """")))&gt;0, TRIM(REGEXREPLACE(REGEXREPLACE('AYIRA MINI MART FINAL MENU - Pr"&amp;"'!B717, ""^[^\x{0600}-\x{06FF}]+"", """"), ""^[-–\s]+"", """")), GOOGLETRANSLATE('AYIRA MINI MART FINAL MENU - Pr'!B717, ""en"", ""ar"")))"),"الحلوى 🍬")</f>
        <v>الحلوى 🍬</v>
      </c>
      <c r="C717" s="58">
        <f>IF('AYIRA MINI MART FINAL MENU - Pr'!C717="", "", 'AYIRA MINI MART FINAL MENU - Pr'!C717)</f>
        <v>2.5</v>
      </c>
      <c r="D717" s="58" t="str">
        <f>IF('AYIRA MINI MART FINAL MENU - Pr'!D717="", "", 'AYIRA MINI MART FINAL MENU - Pr'!D717)</f>
        <v>اختر Choki Choki Choco Cashew 27g،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717" s="56" t="str">
        <f>IF('AYIRA MINI MART FINAL MENU - Pr'!E717="", "", 'AYIRA MINI MART FINAL MENU - Pr'!E717)</f>
        <v/>
      </c>
      <c r="F717" s="56" t="str">
        <f>IF('AYIRA MINI MART FINAL MENU - Pr'!F717="", "", 'AYIRA MINI MART FINAL MENU - Pr'!F717)</f>
        <v/>
      </c>
      <c r="G717" s="56" t="str">
        <f>IF('AYIRA MINI MART FINAL MENU - Pr'!G717="", "", 'AYIRA MINI MART FINAL MENU - Pr'!G717)</f>
        <v/>
      </c>
      <c r="H717" s="56" t="str">
        <f>IF('AYIRA MINI MART FINAL MENU - Pr'!H717="", "", 'AYIRA MINI MART FINAL MENU - Pr'!H717)</f>
        <v/>
      </c>
      <c r="I717" s="56" t="str">
        <f>IF('AYIRA MINI MART FINAL MENU - Pr'!I717="", "", 'AYIRA MINI MART FINAL MENU - Pr'!I717)</f>
        <v/>
      </c>
      <c r="J717" s="56" t="str">
        <f>IFERROR(__xludf.DUMMYFUNCTION("IF('AYIRA MINI MART FINAL MENU - Pr'!J717="""", """", GOOGLETRANSLATE('AYIRA MINI MART FINAL MENU - Pr'!J717, ""en"", ""ar""))"),"")</f>
        <v/>
      </c>
      <c r="K717" s="56" t="str">
        <f>IF('AYIRA MINI MART FINAL MENU - Pr'!K717="", "", 'AYIRA MINI MART FINAL MENU - Pr'!K717)</f>
        <v/>
      </c>
      <c r="L717" s="56" t="str">
        <f>IF('AYIRA MINI MART FINAL MENU - Pr'!L717="", "", 'AYIRA MINI MART FINAL MENU - Pr'!L717)</f>
        <v/>
      </c>
      <c r="M717" s="56" t="str">
        <f>IF('AYIRA MINI MART FINAL MENU - Pr'!M717="", "", 'AYIRA MINI MART FINAL MENU - Pr'!M717)</f>
        <v/>
      </c>
      <c r="N717" s="56" t="str">
        <f>IF('AYIRA MINI MART FINAL MENU - Pr'!N717="", "", 'AYIRA MINI MART FINAL MENU - Pr'!N717)</f>
        <v/>
      </c>
      <c r="O717" s="57"/>
      <c r="P717" s="57"/>
      <c r="Q717" s="57"/>
      <c r="R717" s="57"/>
      <c r="S717" s="57"/>
      <c r="T717" s="57"/>
      <c r="U717" s="57"/>
      <c r="V717" s="57"/>
      <c r="W717" s="57"/>
      <c r="X717" s="57"/>
      <c r="Y717" s="57"/>
      <c r="Z717" s="57"/>
    </row>
    <row r="718">
      <c r="A718" s="56" t="str">
        <f>IFERROR(__xludf.DUMMYFUNCTION("IF('AYIRA MINI MART FINAL MENU - Pr'!A718="""", """", IF(LEN(TRIM(REGEXREPLACE(REGEXREPLACE('AYIRA MINI MART FINAL MENU - Pr'!A718, ""^[^\x{0600}-\x{06FF}]+"", """"), ""^[-–\s]+"", """")))&gt;0, TRIM(REGEXREPLACE(REGEXREPLACE('AYIRA MINI MART FINAL MENU - Pr"&amp;"'!A718, ""^[^\x{0600}-\x{06FF}]+"", """"), ""^[-–\s]+"", """")), GOOGLETRANSLATE('AYIRA MINI MART FINAL MENU - Pr'!A718, ""en"", ""ar"")))"),"عصا Crazy Birds Mix Fruit 11 غرام")</f>
        <v>عصا Crazy Birds Mix Fruit 11 غرام</v>
      </c>
      <c r="B718" s="56" t="str">
        <f>IFERROR(__xludf.DUMMYFUNCTION("IF('AYIRA MINI MART FINAL MENU - Pr'!B718="""", """", IF(LEN(TRIM(REGEXREPLACE(REGEXREPLACE('AYIRA MINI MART FINAL MENU - Pr'!B718, ""^[^\x{0600}-\x{06FF}]+"", """"), ""^[-–\s]+"", """")))&gt;0, TRIM(REGEXREPLACE(REGEXREPLACE('AYIRA MINI MART FINAL MENU - Pr"&amp;"'!B718, ""^[^\x{0600}-\x{06FF}]+"", """"), ""^[-–\s]+"", """")), GOOGLETRANSLATE('AYIRA MINI MART FINAL MENU - Pr'!B718, ""en"", ""ar"")))"),"الحلوى 🍬")</f>
        <v>الحلوى 🍬</v>
      </c>
      <c r="C718" s="58">
        <f>IF('AYIRA MINI MART FINAL MENU - Pr'!C718="", "", 'AYIRA MINI MART FINAL MENU - Pr'!C718)</f>
        <v>1</v>
      </c>
      <c r="D718" s="58" t="str">
        <f>IF('AYIRA MINI MART FINAL MENU - Pr'!D718="", "", 'AYIRA MINI MART FINAL MENU - Pr'!D718)</f>
        <v>لا تقاوم طعم CC Stick Crazy Birds Mix Fruit 11g،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18" s="56" t="str">
        <f>IF('AYIRA MINI MART FINAL MENU - Pr'!E718="", "", 'AYIRA MINI MART FINAL MENU - Pr'!E718)</f>
        <v/>
      </c>
      <c r="F718" s="56" t="str">
        <f>IF('AYIRA MINI MART FINAL MENU - Pr'!F718="", "", 'AYIRA MINI MART FINAL MENU - Pr'!F718)</f>
        <v/>
      </c>
      <c r="G718" s="56" t="str">
        <f>IF('AYIRA MINI MART FINAL MENU - Pr'!G718="", "", 'AYIRA MINI MART FINAL MENU - Pr'!G718)</f>
        <v/>
      </c>
      <c r="H718" s="56" t="str">
        <f>IF('AYIRA MINI MART FINAL MENU - Pr'!H718="", "", 'AYIRA MINI MART FINAL MENU - Pr'!H718)</f>
        <v/>
      </c>
      <c r="I718" s="56" t="str">
        <f>IF('AYIRA MINI MART FINAL MENU - Pr'!I718="", "", 'AYIRA MINI MART FINAL MENU - Pr'!I718)</f>
        <v/>
      </c>
      <c r="J718" s="56" t="str">
        <f>IFERROR(__xludf.DUMMYFUNCTION("IF('AYIRA MINI MART FINAL MENU - Pr'!J718="""", """", GOOGLETRANSLATE('AYIRA MINI MART FINAL MENU - Pr'!J718, ""en"", ""ar""))"),"")</f>
        <v/>
      </c>
      <c r="K718" s="56" t="str">
        <f>IF('AYIRA MINI MART FINAL MENU - Pr'!K718="", "", 'AYIRA MINI MART FINAL MENU - Pr'!K718)</f>
        <v/>
      </c>
      <c r="L718" s="56" t="str">
        <f>IF('AYIRA MINI MART FINAL MENU - Pr'!L718="", "", 'AYIRA MINI MART FINAL MENU - Pr'!L718)</f>
        <v/>
      </c>
      <c r="M718" s="56" t="str">
        <f>IF('AYIRA MINI MART FINAL MENU - Pr'!M718="", "", 'AYIRA MINI MART FINAL MENU - Pr'!M718)</f>
        <v/>
      </c>
      <c r="N718" s="56" t="str">
        <f>IF('AYIRA MINI MART FINAL MENU - Pr'!N718="", "", 'AYIRA MINI MART FINAL MENU - Pr'!N718)</f>
        <v/>
      </c>
      <c r="O718" s="57"/>
      <c r="P718" s="57"/>
      <c r="Q718" s="57"/>
      <c r="R718" s="57"/>
      <c r="S718" s="57"/>
      <c r="T718" s="57"/>
      <c r="U718" s="57"/>
      <c r="V718" s="57"/>
      <c r="W718" s="57"/>
      <c r="X718" s="57"/>
      <c r="Y718" s="57"/>
      <c r="Z718" s="57"/>
    </row>
    <row r="719">
      <c r="A719" s="56" t="str">
        <f>IFERROR(__xludf.DUMMYFUNCTION("IF('AYIRA MINI MART FINAL MENU - Pr'!A719="""", """", IF(LEN(TRIM(REGEXREPLACE(REGEXREPLACE('AYIRA MINI MART FINAL MENU - Pr'!A719, ""^[^\x{0600}-\x{06FF}]+"", """"), ""^[-–\s]+"", """")))&gt;0, TRIM(REGEXREPLACE(REGEXREPLACE('AYIRA MINI MART FINAL MENU - Pr"&amp;"'!A719, ""^[^\x{0600}-\x{06FF}]+"", """"), ""^[-–\s]+"", """")), GOOGLETRANSLATE('AYIRA MINI MART FINAL MENU - Pr'!A719, ""en"", ""ar"")))"),"غرام")</f>
        <v>غرام</v>
      </c>
      <c r="B719" s="56" t="str">
        <f>IFERROR(__xludf.DUMMYFUNCTION("IF('AYIRA MINI MART FINAL MENU - Pr'!B719="""", """", IF(LEN(TRIM(REGEXREPLACE(REGEXREPLACE('AYIRA MINI MART FINAL MENU - Pr'!B719, ""^[^\x{0600}-\x{06FF}]+"", """"), ""^[-–\s]+"", """")))&gt;0, TRIM(REGEXREPLACE(REGEXREPLACE('AYIRA MINI MART FINAL MENU - Pr"&amp;"'!B719, ""^[^\x{0600}-\x{06FF}]+"", """"), ""^[-–\s]+"", """")), GOOGLETRANSLATE('AYIRA MINI MART FINAL MENU - Pr'!B719, ""en"", ""ar"")))"),"الحلوى 🍬")</f>
        <v>الحلوى 🍬</v>
      </c>
      <c r="C719" s="58">
        <f>IF('AYIRA MINI MART FINAL MENU - Pr'!C719="", "", 'AYIRA MINI MART FINAL MENU - Pr'!C719)</f>
        <v>1</v>
      </c>
      <c r="D719" s="58" t="str">
        <f>IF('AYIRA MINI MART FINAL MENU - Pr'!D719="", "", 'AYIRA MINI MART FINAL MENU - Pr'!D719)</f>
        <v>استمتع بـ Tongue Painter Bubble Gum 16g،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719" s="56" t="str">
        <f>IF('AYIRA MINI MART FINAL MENU - Pr'!E719="", "", 'AYIRA MINI MART FINAL MENU - Pr'!E719)</f>
        <v/>
      </c>
      <c r="F719" s="56" t="str">
        <f>IF('AYIRA MINI MART FINAL MENU - Pr'!F719="", "", 'AYIRA MINI MART FINAL MENU - Pr'!F719)</f>
        <v/>
      </c>
      <c r="G719" s="56" t="str">
        <f>IF('AYIRA MINI MART FINAL MENU - Pr'!G719="", "", 'AYIRA MINI MART FINAL MENU - Pr'!G719)</f>
        <v/>
      </c>
      <c r="H719" s="56" t="str">
        <f>IF('AYIRA MINI MART FINAL MENU - Pr'!H719="", "", 'AYIRA MINI MART FINAL MENU - Pr'!H719)</f>
        <v/>
      </c>
      <c r="I719" s="56" t="str">
        <f>IF('AYIRA MINI MART FINAL MENU - Pr'!I719="", "", 'AYIRA MINI MART FINAL MENU - Pr'!I719)</f>
        <v/>
      </c>
      <c r="J719" s="56" t="str">
        <f>IFERROR(__xludf.DUMMYFUNCTION("IF('AYIRA MINI MART FINAL MENU - Pr'!J719="""", """", GOOGLETRANSLATE('AYIRA MINI MART FINAL MENU - Pr'!J719, ""en"", ""ar""))"),"")</f>
        <v/>
      </c>
      <c r="K719" s="56" t="str">
        <f>IF('AYIRA MINI MART FINAL MENU - Pr'!K719="", "", 'AYIRA MINI MART FINAL MENU - Pr'!K719)</f>
        <v/>
      </c>
      <c r="L719" s="56" t="str">
        <f>IF('AYIRA MINI MART FINAL MENU - Pr'!L719="", "", 'AYIRA MINI MART FINAL MENU - Pr'!L719)</f>
        <v/>
      </c>
      <c r="M719" s="56" t="str">
        <f>IF('AYIRA MINI MART FINAL MENU - Pr'!M719="", "", 'AYIRA MINI MART FINAL MENU - Pr'!M719)</f>
        <v/>
      </c>
      <c r="N719" s="56" t="str">
        <f>IF('AYIRA MINI MART FINAL MENU - Pr'!N719="", "", 'AYIRA MINI MART FINAL MENU - Pr'!N719)</f>
        <v/>
      </c>
      <c r="O719" s="57"/>
      <c r="P719" s="57"/>
      <c r="Q719" s="57"/>
      <c r="R719" s="57"/>
      <c r="S719" s="57"/>
      <c r="T719" s="57"/>
      <c r="U719" s="57"/>
      <c r="V719" s="57"/>
      <c r="W719" s="57"/>
      <c r="X719" s="57"/>
      <c r="Y719" s="57"/>
      <c r="Z719" s="57"/>
    </row>
    <row r="720">
      <c r="A720" s="56" t="str">
        <f>IFERROR(__xludf.DUMMYFUNCTION("IF('AYIRA MINI MART FINAL MENU - Pr'!A720="""", """", IF(LEN(TRIM(REGEXREPLACE(REGEXREPLACE('AYIRA MINI MART FINAL MENU - Pr'!A720, ""^[^\x{0600}-\x{06FF}]+"", """"), ""^[-–\s]+"", """")))&gt;0, TRIM(REGEXREPLACE(REGEXREPLACE('AYIRA MINI MART FINAL MENU - Pr"&amp;"'!A720, ""^[^\x{0600}-\x{06FF}]+"", """"), ""^[-–\s]+"", """")), GOOGLETRANSLATE('AYIRA MINI MART FINAL MENU - Pr'!A720, ""en"", ""ar"")))"),"غرام")</f>
        <v>غرام</v>
      </c>
      <c r="B720" s="56" t="str">
        <f>IFERROR(__xludf.DUMMYFUNCTION("IF('AYIRA MINI MART FINAL MENU - Pr'!B720="""", """", IF(LEN(TRIM(REGEXREPLACE(REGEXREPLACE('AYIRA MINI MART FINAL MENU - Pr'!B720, ""^[^\x{0600}-\x{06FF}]+"", """"), ""^[-–\s]+"", """")))&gt;0, TRIM(REGEXREPLACE(REGEXREPLACE('AYIRA MINI MART FINAL MENU - Pr"&amp;"'!B720, ""^[^\x{0600}-\x{06FF}]+"", """"), ""^[-–\s]+"", """")), GOOGLETRANSLATE('AYIRA MINI MART FINAL MENU - Pr'!B720, ""en"", ""ar"")))"),"الحلوى 🍬")</f>
        <v>الحلوى 🍬</v>
      </c>
      <c r="C720" s="58">
        <f>IF('AYIRA MINI MART FINAL MENU - Pr'!C720="", "", 'AYIRA MINI MART FINAL MENU - Pr'!C720)</f>
        <v>1</v>
      </c>
      <c r="D720" s="58" t="str">
        <f>IF('AYIRA MINI MART FINAL MENU - Pr'!D720="", "", 'AYIRA MINI MART FINAL MENU - Pr'!D720)</f>
        <v>لا تقاوم طعم Super Hyper Acid 17.5g،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20" s="56" t="str">
        <f>IF('AYIRA MINI MART FINAL MENU - Pr'!E720="", "", 'AYIRA MINI MART FINAL MENU - Pr'!E720)</f>
        <v/>
      </c>
      <c r="F720" s="56" t="str">
        <f>IF('AYIRA MINI MART FINAL MENU - Pr'!F720="", "", 'AYIRA MINI MART FINAL MENU - Pr'!F720)</f>
        <v/>
      </c>
      <c r="G720" s="56" t="str">
        <f>IF('AYIRA MINI MART FINAL MENU - Pr'!G720="", "", 'AYIRA MINI MART FINAL MENU - Pr'!G720)</f>
        <v/>
      </c>
      <c r="H720" s="56" t="str">
        <f>IF('AYIRA MINI MART FINAL MENU - Pr'!H720="", "", 'AYIRA MINI MART FINAL MENU - Pr'!H720)</f>
        <v/>
      </c>
      <c r="I720" s="56" t="str">
        <f>IF('AYIRA MINI MART FINAL MENU - Pr'!I720="", "", 'AYIRA MINI MART FINAL MENU - Pr'!I720)</f>
        <v/>
      </c>
      <c r="J720" s="56" t="str">
        <f>IFERROR(__xludf.DUMMYFUNCTION("IF('AYIRA MINI MART FINAL MENU - Pr'!J720="""", """", GOOGLETRANSLATE('AYIRA MINI MART FINAL MENU - Pr'!J720, ""en"", ""ar""))"),"")</f>
        <v/>
      </c>
      <c r="K720" s="56" t="str">
        <f>IF('AYIRA MINI MART FINAL MENU - Pr'!K720="", "", 'AYIRA MINI MART FINAL MENU - Pr'!K720)</f>
        <v/>
      </c>
      <c r="L720" s="56" t="str">
        <f>IF('AYIRA MINI MART FINAL MENU - Pr'!L720="", "", 'AYIRA MINI MART FINAL MENU - Pr'!L720)</f>
        <v/>
      </c>
      <c r="M720" s="56" t="str">
        <f>IF('AYIRA MINI MART FINAL MENU - Pr'!M720="", "", 'AYIRA MINI MART FINAL MENU - Pr'!M720)</f>
        <v/>
      </c>
      <c r="N720" s="56" t="str">
        <f>IF('AYIRA MINI MART FINAL MENU - Pr'!N720="", "", 'AYIRA MINI MART FINAL MENU - Pr'!N720)</f>
        <v/>
      </c>
      <c r="O720" s="57"/>
      <c r="P720" s="57"/>
      <c r="Q720" s="57"/>
      <c r="R720" s="57"/>
      <c r="S720" s="57"/>
      <c r="T720" s="57"/>
      <c r="U720" s="57"/>
      <c r="V720" s="57"/>
      <c r="W720" s="57"/>
      <c r="X720" s="57"/>
      <c r="Y720" s="57"/>
      <c r="Z720" s="57"/>
    </row>
    <row r="721">
      <c r="A721" s="56" t="str">
        <f>IFERROR(__xludf.DUMMYFUNCTION("IF('AYIRA MINI MART FINAL MENU - Pr'!A721="""", """", IF(LEN(TRIM(REGEXREPLACE(REGEXREPLACE('AYIRA MINI MART FINAL MENU - Pr'!A721, ""^[^\x{0600}-\x{06FF}]+"", """"), ""^[-–\s]+"", """")))&gt;0, TRIM(REGEXREPLACE(REGEXREPLACE('AYIRA MINI MART FINAL MENU - Pr"&amp;"'!A721, ""^[^\x{0600}-\x{06FF}]+"", """"), ""^[-–\s]+"", """")), GOOGLETRANSLATE('AYIRA MINI MART FINAL MENU - Pr'!A721, ""en"", ""ar"")))"),"تفاح 0.25 غرام")</f>
        <v>تفاح 0.25 غرام</v>
      </c>
      <c r="B721" s="56" t="str">
        <f>IFERROR(__xludf.DUMMYFUNCTION("IF('AYIRA MINI MART FINAL MENU - Pr'!B721="""", """", IF(LEN(TRIM(REGEXREPLACE(REGEXREPLACE('AYIRA MINI MART FINAL MENU - Pr'!B721, ""^[^\x{0600}-\x{06FF}]+"", """"), ""^[-–\s]+"", """")))&gt;0, TRIM(REGEXREPLACE(REGEXREPLACE('AYIRA MINI MART FINAL MENU - Pr"&amp;"'!B721, ""^[^\x{0600}-\x{06FF}]+"", """"), ""^[-–\s]+"", """")), GOOGLETRANSLATE('AYIRA MINI MART FINAL MENU - Pr'!B721, ""en"", ""ar"")))"),"الحلوى 🍬")</f>
        <v>الحلوى 🍬</v>
      </c>
      <c r="C721" s="58">
        <f>IF('AYIRA MINI MART FINAL MENU - Pr'!C721="", "", 'AYIRA MINI MART FINAL MENU - Pr'!C721)</f>
        <v>1</v>
      </c>
      <c r="D721" s="58" t="str">
        <f>IF('AYIRA MINI MART FINAL MENU - Pr'!D721="", "", 'AYIRA MINI MART FINAL MENU - Pr'!D721)</f>
        <v>لا تقاوم طعم Super Hyper Acid Apple 0.25g،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21" s="56" t="str">
        <f>IF('AYIRA MINI MART FINAL MENU - Pr'!E721="", "", 'AYIRA MINI MART FINAL MENU - Pr'!E721)</f>
        <v/>
      </c>
      <c r="F721" s="56" t="str">
        <f>IF('AYIRA MINI MART FINAL MENU - Pr'!F721="", "", 'AYIRA MINI MART FINAL MENU - Pr'!F721)</f>
        <v/>
      </c>
      <c r="G721" s="56" t="str">
        <f>IF('AYIRA MINI MART FINAL MENU - Pr'!G721="", "", 'AYIRA MINI MART FINAL MENU - Pr'!G721)</f>
        <v/>
      </c>
      <c r="H721" s="56" t="str">
        <f>IF('AYIRA MINI MART FINAL MENU - Pr'!H721="", "", 'AYIRA MINI MART FINAL MENU - Pr'!H721)</f>
        <v/>
      </c>
      <c r="I721" s="56" t="str">
        <f>IF('AYIRA MINI MART FINAL MENU - Pr'!I721="", "", 'AYIRA MINI MART FINAL MENU - Pr'!I721)</f>
        <v/>
      </c>
      <c r="J721" s="56" t="str">
        <f>IFERROR(__xludf.DUMMYFUNCTION("IF('AYIRA MINI MART FINAL MENU - Pr'!J721="""", """", GOOGLETRANSLATE('AYIRA MINI MART FINAL MENU - Pr'!J721, ""en"", ""ar""))"),"")</f>
        <v/>
      </c>
      <c r="K721" s="56" t="str">
        <f>IF('AYIRA MINI MART FINAL MENU - Pr'!K721="", "", 'AYIRA MINI MART FINAL MENU - Pr'!K721)</f>
        <v/>
      </c>
      <c r="L721" s="56" t="str">
        <f>IF('AYIRA MINI MART FINAL MENU - Pr'!L721="", "", 'AYIRA MINI MART FINAL MENU - Pr'!L721)</f>
        <v/>
      </c>
      <c r="M721" s="56" t="str">
        <f>IF('AYIRA MINI MART FINAL MENU - Pr'!M721="", "", 'AYIRA MINI MART FINAL MENU - Pr'!M721)</f>
        <v/>
      </c>
      <c r="N721" s="56" t="str">
        <f>IF('AYIRA MINI MART FINAL MENU - Pr'!N721="", "", 'AYIRA MINI MART FINAL MENU - Pr'!N721)</f>
        <v/>
      </c>
      <c r="O721" s="57"/>
      <c r="P721" s="57"/>
      <c r="Q721" s="57"/>
      <c r="R721" s="57"/>
      <c r="S721" s="57"/>
      <c r="T721" s="57"/>
      <c r="U721" s="57"/>
      <c r="V721" s="57"/>
      <c r="W721" s="57"/>
      <c r="X721" s="57"/>
      <c r="Y721" s="57"/>
      <c r="Z721" s="57"/>
    </row>
    <row r="722">
      <c r="A722" s="56" t="str">
        <f>IFERROR(__xludf.DUMMYFUNCTION("IF('AYIRA MINI MART FINAL MENU - Pr'!A722="""", """", IF(LEN(TRIM(REGEXREPLACE(REGEXREPLACE('AYIRA MINI MART FINAL MENU - Pr'!A722, ""^[^\x{0600}-\x{06FF}]+"", """"), ""^[-–\s]+"", """")))&gt;0, TRIM(REGEXREPLACE(REGEXREPLACE('AYIRA MINI MART FINAL MENU - Pr"&amp;"'!A722, ""^[^\x{0600}-\x{06FF}]+"", """"), ""^[-–\s]+"", """")), GOOGLETRANSLATE('AYIRA MINI MART FINAL MENU - Pr'!A722, ""en"", ""ar"")))"),"غرام")</f>
        <v>غرام</v>
      </c>
      <c r="B722" s="56" t="str">
        <f>IFERROR(__xludf.DUMMYFUNCTION("IF('AYIRA MINI MART FINAL MENU - Pr'!B722="""", """", IF(LEN(TRIM(REGEXREPLACE(REGEXREPLACE('AYIRA MINI MART FINAL MENU - Pr'!B722, ""^[^\x{0600}-\x{06FF}]+"", """"), ""^[-–\s]+"", """")))&gt;0, TRIM(REGEXREPLACE(REGEXREPLACE('AYIRA MINI MART FINAL MENU - Pr"&amp;"'!B722, ""^[^\x{0600}-\x{06FF}]+"", """"), ""^[-–\s]+"", """")), GOOGLETRANSLATE('AYIRA MINI MART FINAL MENU - Pr'!B722, ""en"", ""ar"")))"),"الحلوى 🍬")</f>
        <v>الحلوى 🍬</v>
      </c>
      <c r="C722" s="58">
        <f>IF('AYIRA MINI MART FINAL MENU - Pr'!C722="", "", 'AYIRA MINI MART FINAL MENU - Pr'!C722)</f>
        <v>1</v>
      </c>
      <c r="D722" s="58" t="str">
        <f>IF('AYIRA MINI MART FINAL MENU - Pr'!D722="", "", 'AYIRA MINI MART FINAL MENU - Pr'!D722)</f>
        <v>استمتع بـ Crazy Rollz Bubble Gum 12g،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722" s="56" t="str">
        <f>IF('AYIRA MINI MART FINAL MENU - Pr'!E722="", "", 'AYIRA MINI MART FINAL MENU - Pr'!E722)</f>
        <v/>
      </c>
      <c r="F722" s="56" t="str">
        <f>IF('AYIRA MINI MART FINAL MENU - Pr'!F722="", "", 'AYIRA MINI MART FINAL MENU - Pr'!F722)</f>
        <v/>
      </c>
      <c r="G722" s="56" t="str">
        <f>IF('AYIRA MINI MART FINAL MENU - Pr'!G722="", "", 'AYIRA MINI MART FINAL MENU - Pr'!G722)</f>
        <v/>
      </c>
      <c r="H722" s="56" t="str">
        <f>IF('AYIRA MINI MART FINAL MENU - Pr'!H722="", "", 'AYIRA MINI MART FINAL MENU - Pr'!H722)</f>
        <v/>
      </c>
      <c r="I722" s="56" t="str">
        <f>IF('AYIRA MINI MART FINAL MENU - Pr'!I722="", "", 'AYIRA MINI MART FINAL MENU - Pr'!I722)</f>
        <v/>
      </c>
      <c r="J722" s="56" t="str">
        <f>IFERROR(__xludf.DUMMYFUNCTION("IF('AYIRA MINI MART FINAL MENU - Pr'!J722="""", """", GOOGLETRANSLATE('AYIRA MINI MART FINAL MENU - Pr'!J722, ""en"", ""ar""))"),"")</f>
        <v/>
      </c>
      <c r="K722" s="56" t="str">
        <f>IF('AYIRA MINI MART FINAL MENU - Pr'!K722="", "", 'AYIRA MINI MART FINAL MENU - Pr'!K722)</f>
        <v/>
      </c>
      <c r="L722" s="56" t="str">
        <f>IF('AYIRA MINI MART FINAL MENU - Pr'!L722="", "", 'AYIRA MINI MART FINAL MENU - Pr'!L722)</f>
        <v/>
      </c>
      <c r="M722" s="56" t="str">
        <f>IF('AYIRA MINI MART FINAL MENU - Pr'!M722="", "", 'AYIRA MINI MART FINAL MENU - Pr'!M722)</f>
        <v/>
      </c>
      <c r="N722" s="56" t="str">
        <f>IF('AYIRA MINI MART FINAL MENU - Pr'!N722="", "", 'AYIRA MINI MART FINAL MENU - Pr'!N722)</f>
        <v/>
      </c>
      <c r="O722" s="57"/>
      <c r="P722" s="57"/>
      <c r="Q722" s="57"/>
      <c r="R722" s="57"/>
      <c r="S722" s="57"/>
      <c r="T722" s="57"/>
      <c r="U722" s="57"/>
      <c r="V722" s="57"/>
      <c r="W722" s="57"/>
      <c r="X722" s="57"/>
      <c r="Y722" s="57"/>
      <c r="Z722" s="57"/>
    </row>
    <row r="723">
      <c r="A723" s="56" t="str">
        <f>IFERROR(__xludf.DUMMYFUNCTION("IF('AYIRA MINI MART FINAL MENU - Pr'!A723="""", """", IF(LEN(TRIM(REGEXREPLACE(REGEXREPLACE('AYIRA MINI MART FINAL MENU - Pr'!A723, ""^[^\x{0600}-\x{06FF}]+"", """"), ""^[-–\s]+"", """")))&gt;0, TRIM(REGEXREPLACE(REGEXREPLACE('AYIRA MINI MART FINAL MENU - Pr"&amp;"'!A723, ""^[^\x{0600}-\x{06FF}]+"", """"), ""^[-–\s]+"", """")), GOOGLETRANSLATE('AYIRA MINI MART FINAL MENU - Pr'!A723, ""en"", ""ar"")))"),"حليب شوكولاتة 26 غرام")</f>
        <v>حليب شوكولاتة 26 غرام</v>
      </c>
      <c r="B723" s="56" t="str">
        <f>IFERROR(__xludf.DUMMYFUNCTION("IF('AYIRA MINI MART FINAL MENU - Pr'!B723="""", """", IF(LEN(TRIM(REGEXREPLACE(REGEXREPLACE('AYIRA MINI MART FINAL MENU - Pr'!B723, ""^[^\x{0600}-\x{06FF}]+"", """"), ""^[-–\s]+"", """")))&gt;0, TRIM(REGEXREPLACE(REGEXREPLACE('AYIRA MINI MART FINAL MENU - Pr"&amp;"'!B723, ""^[^\x{0600}-\x{06FF}]+"", """"), ""^[-–\s]+"", """")), GOOGLETRANSLATE('AYIRA MINI MART FINAL MENU - Pr'!B723, ""en"", ""ar"")))"),"الشوكولاتة")</f>
        <v>الشوكولاتة</v>
      </c>
      <c r="C723" s="58">
        <f>IF('AYIRA MINI MART FINAL MENU - Pr'!C723="", "", 'AYIRA MINI MART FINAL MENU - Pr'!C723)</f>
        <v>1.5</v>
      </c>
      <c r="D723" s="58" t="str">
        <f>IF('AYIRA MINI MART FINAL MENU - Pr'!D723="", "", 'AYIRA MINI MART FINAL MENU - Pr'!D723)</f>
        <v>دلّل حواسك مع Halley Milk Chocolate 26g،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23" s="56" t="str">
        <f>IF('AYIRA MINI MART FINAL MENU - Pr'!E723="", "", 'AYIRA MINI MART FINAL MENU - Pr'!E723)</f>
        <v/>
      </c>
      <c r="F723" s="56" t="str">
        <f>IF('AYIRA MINI MART FINAL MENU - Pr'!F723="", "", 'AYIRA MINI MART FINAL MENU - Pr'!F723)</f>
        <v/>
      </c>
      <c r="G723" s="56" t="str">
        <f>IF('AYIRA MINI MART FINAL MENU - Pr'!G723="", "", 'AYIRA MINI MART FINAL MENU - Pr'!G723)</f>
        <v/>
      </c>
      <c r="H723" s="56" t="str">
        <f>IF('AYIRA MINI MART FINAL MENU - Pr'!H723="", "", 'AYIRA MINI MART FINAL MENU - Pr'!H723)</f>
        <v/>
      </c>
      <c r="I723" s="56" t="str">
        <f>IF('AYIRA MINI MART FINAL MENU - Pr'!I723="", "", 'AYIRA MINI MART FINAL MENU - Pr'!I723)</f>
        <v/>
      </c>
      <c r="J723" s="56" t="str">
        <f>IFERROR(__xludf.DUMMYFUNCTION("IF('AYIRA MINI MART FINAL MENU - Pr'!J723="""", """", GOOGLETRANSLATE('AYIRA MINI MART FINAL MENU - Pr'!J723, ""en"", ""ar""))"),"")</f>
        <v/>
      </c>
      <c r="K723" s="56" t="str">
        <f>IF('AYIRA MINI MART FINAL MENU - Pr'!K723="", "", 'AYIRA MINI MART FINAL MENU - Pr'!K723)</f>
        <v/>
      </c>
      <c r="L723" s="56" t="str">
        <f>IF('AYIRA MINI MART FINAL MENU - Pr'!L723="", "", 'AYIRA MINI MART FINAL MENU - Pr'!L723)</f>
        <v/>
      </c>
      <c r="M723" s="56" t="str">
        <f>IF('AYIRA MINI MART FINAL MENU - Pr'!M723="", "", 'AYIRA MINI MART FINAL MENU - Pr'!M723)</f>
        <v/>
      </c>
      <c r="N723" s="56" t="str">
        <f>IF('AYIRA MINI MART FINAL MENU - Pr'!N723="", "", 'AYIRA MINI MART FINAL MENU - Pr'!N723)</f>
        <v/>
      </c>
      <c r="O723" s="57"/>
      <c r="P723" s="57"/>
      <c r="Q723" s="57"/>
      <c r="R723" s="57"/>
      <c r="S723" s="57"/>
      <c r="T723" s="57"/>
      <c r="U723" s="57"/>
      <c r="V723" s="57"/>
      <c r="W723" s="57"/>
      <c r="X723" s="57"/>
      <c r="Y723" s="57"/>
      <c r="Z723" s="57"/>
    </row>
    <row r="724">
      <c r="A724" s="56" t="str">
        <f>IFERROR(__xludf.DUMMYFUNCTION("IF('AYIRA MINI MART FINAL MENU - Pr'!A724="""", """", IF(LEN(TRIM(REGEXREPLACE(REGEXREPLACE('AYIRA MINI MART FINAL MENU - Pr'!A724, ""^[^\x{0600}-\x{06FF}]+"", """"), ""^[-–\s]+"", """")))&gt;0, TRIM(REGEXREPLACE(REGEXREPLACE('AYIRA MINI MART FINAL MENU - Pr"&amp;"'!A724, ""^[^\x{0600}-\x{06FF}]+"", """"), ""^[-–\s]+"", """")), GOOGLETRANSLATE('AYIRA MINI MART FINAL MENU - Pr'!A724, ""en"", ""ar"")))"),"غرام")</f>
        <v>غرام</v>
      </c>
      <c r="B724" s="56" t="str">
        <f>IFERROR(__xludf.DUMMYFUNCTION("IF('AYIRA MINI MART FINAL MENU - Pr'!B724="""", """", IF(LEN(TRIM(REGEXREPLACE(REGEXREPLACE('AYIRA MINI MART FINAL MENU - Pr'!B724, ""^[^\x{0600}-\x{06FF}]+"", """"), ""^[-–\s]+"", """")))&gt;0, TRIM(REGEXREPLACE(REGEXREPLACE('AYIRA MINI MART FINAL MENU - Pr"&amp;"'!B724, ""^[^\x{0600}-\x{06FF}]+"", """"), ""^[-–\s]+"", """")), GOOGLETRANSLATE('AYIRA MINI MART FINAL MENU - Pr'!B724, ""en"", ""ar"")))"),"الحلوى 🍬")</f>
        <v>الحلوى 🍬</v>
      </c>
      <c r="C724" s="58">
        <f>IF('AYIRA MINI MART FINAL MENU - Pr'!C724="", "", 'AYIRA MINI MART FINAL MENU - Pr'!C724)</f>
        <v>5.5</v>
      </c>
      <c r="D724" s="58" t="str">
        <f>IF('AYIRA MINI MART FINAL MENU - Pr'!D724="", "", 'AYIRA MINI MART FINAL MENU - Pr'!D724)</f>
        <v>لا تقاوم طعم Ice Blaster 48g،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24" s="56" t="str">
        <f>IF('AYIRA MINI MART FINAL MENU - Pr'!E724="", "", 'AYIRA MINI MART FINAL MENU - Pr'!E724)</f>
        <v/>
      </c>
      <c r="F724" s="56" t="str">
        <f>IF('AYIRA MINI MART FINAL MENU - Pr'!F724="", "", 'AYIRA MINI MART FINAL MENU - Pr'!F724)</f>
        <v/>
      </c>
      <c r="G724" s="56" t="str">
        <f>IF('AYIRA MINI MART FINAL MENU - Pr'!G724="", "", 'AYIRA MINI MART FINAL MENU - Pr'!G724)</f>
        <v/>
      </c>
      <c r="H724" s="56" t="str">
        <f>IF('AYIRA MINI MART FINAL MENU - Pr'!H724="", "", 'AYIRA MINI MART FINAL MENU - Pr'!H724)</f>
        <v/>
      </c>
      <c r="I724" s="56" t="str">
        <f>IF('AYIRA MINI MART FINAL MENU - Pr'!I724="", "", 'AYIRA MINI MART FINAL MENU - Pr'!I724)</f>
        <v/>
      </c>
      <c r="J724" s="56" t="str">
        <f>IFERROR(__xludf.DUMMYFUNCTION("IF('AYIRA MINI MART FINAL MENU - Pr'!J724="""", """", GOOGLETRANSLATE('AYIRA MINI MART FINAL MENU - Pr'!J724, ""en"", ""ar""))"),"")</f>
        <v/>
      </c>
      <c r="K724" s="56" t="str">
        <f>IF('AYIRA MINI MART FINAL MENU - Pr'!K724="", "", 'AYIRA MINI MART FINAL MENU - Pr'!K724)</f>
        <v/>
      </c>
      <c r="L724" s="56" t="str">
        <f>IF('AYIRA MINI MART FINAL MENU - Pr'!L724="", "", 'AYIRA MINI MART FINAL MENU - Pr'!L724)</f>
        <v/>
      </c>
      <c r="M724" s="56" t="str">
        <f>IF('AYIRA MINI MART FINAL MENU - Pr'!M724="", "", 'AYIRA MINI MART FINAL MENU - Pr'!M724)</f>
        <v/>
      </c>
      <c r="N724" s="56" t="str">
        <f>IF('AYIRA MINI MART FINAL MENU - Pr'!N724="", "", 'AYIRA MINI MART FINAL MENU - Pr'!N724)</f>
        <v/>
      </c>
      <c r="O724" s="57"/>
      <c r="P724" s="57"/>
      <c r="Q724" s="57"/>
      <c r="R724" s="57"/>
      <c r="S724" s="57"/>
      <c r="T724" s="57"/>
      <c r="U724" s="57"/>
      <c r="V724" s="57"/>
      <c r="W724" s="57"/>
      <c r="X724" s="57"/>
      <c r="Y724" s="57"/>
      <c r="Z724" s="57"/>
    </row>
    <row r="725">
      <c r="A725" s="56" t="str">
        <f>IFERROR(__xludf.DUMMYFUNCTION("IF('AYIRA MINI MART FINAL MENU - Pr'!A725="""", """", IF(LEN(TRIM(REGEXREPLACE(REGEXREPLACE('AYIRA MINI MART FINAL MENU - Pr'!A725, ""^[^\x{0600}-\x{06FF}]+"", """"), ""^[-–\s]+"", """")))&gt;0, TRIM(REGEXREPLACE(REGEXREPLACE('AYIRA MINI MART FINAL MENU - Pr"&amp;"'!A725, ""^[^\x{0600}-\x{06FF}]+"", """"), ""^[-–\s]+"", """")), GOOGLETRANSLATE('AYIRA MINI MART FINAL MENU - Pr'!A725, ""en"", ""ar"")))"),"ويفر")</f>
        <v>ويفر</v>
      </c>
      <c r="B725" s="56" t="str">
        <f>IFERROR(__xludf.DUMMYFUNCTION("IF('AYIRA MINI MART FINAL MENU - Pr'!B725="""", """", IF(LEN(TRIM(REGEXREPLACE(REGEXREPLACE('AYIRA MINI MART FINAL MENU - Pr'!B725, ""^[^\x{0600}-\x{06FF}]+"", """"), ""^[-–\s]+"", """")))&gt;0, TRIM(REGEXREPLACE(REGEXREPLACE('AYIRA MINI MART FINAL MENU - Pr"&amp;"'!B725, ""^[^\x{0600}-\x{06FF}]+"", """"), ""^[-–\s]+"", """")), GOOGLETRANSLATE('AYIRA MINI MART FINAL MENU - Pr'!B725, ""en"", ""ar"")))"),"الشوكولاتة")</f>
        <v>الشوكولاتة</v>
      </c>
      <c r="C725" s="58">
        <f>IF('AYIRA MINI MART FINAL MENU - Pr'!C725="", "", 'AYIRA MINI MART FINAL MENU - Pr'!C725)</f>
        <v>1</v>
      </c>
      <c r="D725" s="58" t="str">
        <f>IF('AYIRA MINI MART FINAL MENU - Pr'!D725="", "", 'AYIRA MINI MART FINAL MENU - Pr'!D725)</f>
        <v>لا تقاوم طعم Hiss Crispy Wafer،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25" s="56" t="str">
        <f>IF('AYIRA MINI MART FINAL MENU - Pr'!E725="", "", 'AYIRA MINI MART FINAL MENU - Pr'!E725)</f>
        <v/>
      </c>
      <c r="F725" s="56" t="str">
        <f>IF('AYIRA MINI MART FINAL MENU - Pr'!F725="", "", 'AYIRA MINI MART FINAL MENU - Pr'!F725)</f>
        <v/>
      </c>
      <c r="G725" s="56" t="str">
        <f>IF('AYIRA MINI MART FINAL MENU - Pr'!G725="", "", 'AYIRA MINI MART FINAL MENU - Pr'!G725)</f>
        <v/>
      </c>
      <c r="H725" s="56" t="str">
        <f>IF('AYIRA MINI MART FINAL MENU - Pr'!H725="", "", 'AYIRA MINI MART FINAL MENU - Pr'!H725)</f>
        <v/>
      </c>
      <c r="I725" s="56" t="str">
        <f>IF('AYIRA MINI MART FINAL MENU - Pr'!I725="", "", 'AYIRA MINI MART FINAL MENU - Pr'!I725)</f>
        <v/>
      </c>
      <c r="J725" s="56" t="str">
        <f>IFERROR(__xludf.DUMMYFUNCTION("IF('AYIRA MINI MART FINAL MENU - Pr'!J725="""", """", GOOGLETRANSLATE('AYIRA MINI MART FINAL MENU - Pr'!J725, ""en"", ""ar""))"),"")</f>
        <v/>
      </c>
      <c r="K725" s="56" t="str">
        <f>IF('AYIRA MINI MART FINAL MENU - Pr'!K725="", "", 'AYIRA MINI MART FINAL MENU - Pr'!K725)</f>
        <v/>
      </c>
      <c r="L725" s="56" t="str">
        <f>IF('AYIRA MINI MART FINAL MENU - Pr'!L725="", "", 'AYIRA MINI MART FINAL MENU - Pr'!L725)</f>
        <v/>
      </c>
      <c r="M725" s="56" t="str">
        <f>IF('AYIRA MINI MART FINAL MENU - Pr'!M725="", "", 'AYIRA MINI MART FINAL MENU - Pr'!M725)</f>
        <v/>
      </c>
      <c r="N725" s="56" t="str">
        <f>IF('AYIRA MINI MART FINAL MENU - Pr'!N725="", "", 'AYIRA MINI MART FINAL MENU - Pr'!N725)</f>
        <v/>
      </c>
      <c r="O725" s="57"/>
      <c r="P725" s="57"/>
      <c r="Q725" s="57"/>
      <c r="R725" s="57"/>
      <c r="S725" s="57"/>
      <c r="T725" s="57"/>
      <c r="U725" s="57"/>
      <c r="V725" s="57"/>
      <c r="W725" s="57"/>
      <c r="X725" s="57"/>
      <c r="Y725" s="57"/>
      <c r="Z725" s="57"/>
    </row>
    <row r="726">
      <c r="A726" s="56" t="str">
        <f>IFERROR(__xludf.DUMMYFUNCTION("IF('AYIRA MINI MART FINAL MENU - Pr'!A726="""", """", IF(LEN(TRIM(REGEXREPLACE(REGEXREPLACE('AYIRA MINI MART FINAL MENU - Pr'!A726, ""^[^\x{0600}-\x{06FF}]+"", """"), ""^[-–\s]+"", """")))&gt;0, TRIM(REGEXREPLACE(REGEXREPLACE('AYIRA MINI MART FINAL MENU - Pr"&amp;"'!A726, ""^[^\x{0600}-\x{06FF}]+"", """"), ""^[-–\s]+"", """")), GOOGLETRANSLATE('AYIRA MINI MART FINAL MENU - Pr'!A726, ""en"", ""ar"")))"),"غرام")</f>
        <v>غرام</v>
      </c>
      <c r="B726" s="56" t="str">
        <f>IFERROR(__xludf.DUMMYFUNCTION("IF('AYIRA MINI MART FINAL MENU - Pr'!B726="""", """", IF(LEN(TRIM(REGEXREPLACE(REGEXREPLACE('AYIRA MINI MART FINAL MENU - Pr'!B726, ""^[^\x{0600}-\x{06FF}]+"", """"), ""^[-–\s]+"", """")))&gt;0, TRIM(REGEXREPLACE(REGEXREPLACE('AYIRA MINI MART FINAL MENU - Pr"&amp;"'!B726, ""^[^\x{0600}-\x{06FF}]+"", """"), ""^[-–\s]+"", """")), GOOGLETRANSLATE('AYIRA MINI MART FINAL MENU - Pr'!B726, ""en"", ""ar"")))"),"الحلوى 🍬")</f>
        <v>الحلوى 🍬</v>
      </c>
      <c r="C726" s="58">
        <f>IF('AYIRA MINI MART FINAL MENU - Pr'!C726="", "", 'AYIRA MINI MART FINAL MENU - Pr'!C726)</f>
        <v>1</v>
      </c>
      <c r="D726" s="58" t="str">
        <f>IF('AYIRA MINI MART FINAL MENU - Pr'!D726="", "", 'AYIRA MINI MART FINAL MENU - Pr'!D726)</f>
        <v>لا تقاوم طعم Zombie Blueberry 6g،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26" s="56" t="str">
        <f>IF('AYIRA MINI MART FINAL MENU - Pr'!E726="", "", 'AYIRA MINI MART FINAL MENU - Pr'!E726)</f>
        <v/>
      </c>
      <c r="F726" s="56" t="str">
        <f>IF('AYIRA MINI MART FINAL MENU - Pr'!F726="", "", 'AYIRA MINI MART FINAL MENU - Pr'!F726)</f>
        <v/>
      </c>
      <c r="G726" s="56" t="str">
        <f>IF('AYIRA MINI MART FINAL MENU - Pr'!G726="", "", 'AYIRA MINI MART FINAL MENU - Pr'!G726)</f>
        <v/>
      </c>
      <c r="H726" s="56" t="str">
        <f>IF('AYIRA MINI MART FINAL MENU - Pr'!H726="", "", 'AYIRA MINI MART FINAL MENU - Pr'!H726)</f>
        <v/>
      </c>
      <c r="I726" s="56" t="str">
        <f>IF('AYIRA MINI MART FINAL MENU - Pr'!I726="", "", 'AYIRA MINI MART FINAL MENU - Pr'!I726)</f>
        <v/>
      </c>
      <c r="J726" s="56" t="str">
        <f>IFERROR(__xludf.DUMMYFUNCTION("IF('AYIRA MINI MART FINAL MENU - Pr'!J726="""", """", GOOGLETRANSLATE('AYIRA MINI MART FINAL MENU - Pr'!J726, ""en"", ""ar""))"),"")</f>
        <v/>
      </c>
      <c r="K726" s="56" t="str">
        <f>IF('AYIRA MINI MART FINAL MENU - Pr'!K726="", "", 'AYIRA MINI MART FINAL MENU - Pr'!K726)</f>
        <v/>
      </c>
      <c r="L726" s="56" t="str">
        <f>IF('AYIRA MINI MART FINAL MENU - Pr'!L726="", "", 'AYIRA MINI MART FINAL MENU - Pr'!L726)</f>
        <v/>
      </c>
      <c r="M726" s="56" t="str">
        <f>IF('AYIRA MINI MART FINAL MENU - Pr'!M726="", "", 'AYIRA MINI MART FINAL MENU - Pr'!M726)</f>
        <v/>
      </c>
      <c r="N726" s="56" t="str">
        <f>IF('AYIRA MINI MART FINAL MENU - Pr'!N726="", "", 'AYIRA MINI MART FINAL MENU - Pr'!N726)</f>
        <v/>
      </c>
      <c r="O726" s="57"/>
      <c r="P726" s="57"/>
      <c r="Q726" s="57"/>
      <c r="R726" s="57"/>
      <c r="S726" s="57"/>
      <c r="T726" s="57"/>
      <c r="U726" s="57"/>
      <c r="V726" s="57"/>
      <c r="W726" s="57"/>
      <c r="X726" s="57"/>
      <c r="Y726" s="57"/>
      <c r="Z726" s="57"/>
    </row>
    <row r="727">
      <c r="A727" s="56" t="str">
        <f>IFERROR(__xludf.DUMMYFUNCTION("IF('AYIRA MINI MART FINAL MENU - Pr'!A727="""", """", IF(LEN(TRIM(REGEXREPLACE(REGEXREPLACE('AYIRA MINI MART FINAL MENU - Pr'!A727, ""^[^\x{0600}-\x{06FF}]+"", """"), ""^[-–\s]+"", """")))&gt;0, TRIM(REGEXREPLACE(REGEXREPLACE('AYIRA MINI MART FINAL MENU - Pr"&amp;"'!A727, ""^[^\x{0600}-\x{06FF}]+"", """"), ""^[-–\s]+"", """")), GOOGLETRANSLATE('AYIRA MINI MART FINAL MENU - Pr'!A727, ""en"", ""ar"")))"),"بودرة Explosively Sour Bubblegum 35 غرام")</f>
        <v>بودرة Explosively Sour Bubblegum 35 غرام</v>
      </c>
      <c r="B727" s="56" t="str">
        <f>IFERROR(__xludf.DUMMYFUNCTION("IF('AYIRA MINI MART FINAL MENU - Pr'!B727="""", """", IF(LEN(TRIM(REGEXREPLACE(REGEXREPLACE('AYIRA MINI MART FINAL MENU - Pr'!B727, ""^[^\x{0600}-\x{06FF}]+"", """"), ""^[-–\s]+"", """")))&gt;0, TRIM(REGEXREPLACE(REGEXREPLACE('AYIRA MINI MART FINAL MENU - Pr"&amp;"'!B727, ""^[^\x{0600}-\x{06FF}]+"", """"), ""^[-–\s]+"", """")), GOOGLETRANSLATE('AYIRA MINI MART FINAL MENU - Pr'!B727, ""en"", ""ar"")))"),"الحلوى 🍬")</f>
        <v>الحلوى 🍬</v>
      </c>
      <c r="C727" s="58">
        <f>IF('AYIRA MINI MART FINAL MENU - Pr'!C727="", "", 'AYIRA MINI MART FINAL MENU - Pr'!C727)</f>
        <v>2</v>
      </c>
      <c r="D727" s="58" t="str">
        <f>IF('AYIRA MINI MART FINAL MENU - Pr'!D727="", "", 'AYIRA MINI MART FINAL MENU - Pr'!D727)</f>
        <v>استمتع بـ Gum Powder Explosively Sour Bubblegum 35g،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727" s="56" t="str">
        <f>IF('AYIRA MINI MART FINAL MENU - Pr'!E727="", "", 'AYIRA MINI MART FINAL MENU - Pr'!E727)</f>
        <v/>
      </c>
      <c r="F727" s="56" t="str">
        <f>IF('AYIRA MINI MART FINAL MENU - Pr'!F727="", "", 'AYIRA MINI MART FINAL MENU - Pr'!F727)</f>
        <v/>
      </c>
      <c r="G727" s="56" t="str">
        <f>IF('AYIRA MINI MART FINAL MENU - Pr'!G727="", "", 'AYIRA MINI MART FINAL MENU - Pr'!G727)</f>
        <v/>
      </c>
      <c r="H727" s="56" t="str">
        <f>IF('AYIRA MINI MART FINAL MENU - Pr'!H727="", "", 'AYIRA MINI MART FINAL MENU - Pr'!H727)</f>
        <v/>
      </c>
      <c r="I727" s="56" t="str">
        <f>IF('AYIRA MINI MART FINAL MENU - Pr'!I727="", "", 'AYIRA MINI MART FINAL MENU - Pr'!I727)</f>
        <v/>
      </c>
      <c r="J727" s="56" t="str">
        <f>IFERROR(__xludf.DUMMYFUNCTION("IF('AYIRA MINI MART FINAL MENU - Pr'!J727="""", """", GOOGLETRANSLATE('AYIRA MINI MART FINAL MENU - Pr'!J727, ""en"", ""ar""))"),"")</f>
        <v/>
      </c>
      <c r="K727" s="56" t="str">
        <f>IF('AYIRA MINI MART FINAL MENU - Pr'!K727="", "", 'AYIRA MINI MART FINAL MENU - Pr'!K727)</f>
        <v/>
      </c>
      <c r="L727" s="56" t="str">
        <f>IF('AYIRA MINI MART FINAL MENU - Pr'!L727="", "", 'AYIRA MINI MART FINAL MENU - Pr'!L727)</f>
        <v/>
      </c>
      <c r="M727" s="56" t="str">
        <f>IF('AYIRA MINI MART FINAL MENU - Pr'!M727="", "", 'AYIRA MINI MART FINAL MENU - Pr'!M727)</f>
        <v/>
      </c>
      <c r="N727" s="56" t="str">
        <f>IF('AYIRA MINI MART FINAL MENU - Pr'!N727="", "", 'AYIRA MINI MART FINAL MENU - Pr'!N727)</f>
        <v/>
      </c>
      <c r="O727" s="57"/>
      <c r="P727" s="57"/>
      <c r="Q727" s="57"/>
      <c r="R727" s="57"/>
      <c r="S727" s="57"/>
      <c r="T727" s="57"/>
      <c r="U727" s="57"/>
      <c r="V727" s="57"/>
      <c r="W727" s="57"/>
      <c r="X727" s="57"/>
      <c r="Y727" s="57"/>
      <c r="Z727" s="57"/>
    </row>
    <row r="728">
      <c r="A728" s="56" t="str">
        <f>IFERROR(__xludf.DUMMYFUNCTION("IF('AYIRA MINI MART FINAL MENU - Pr'!A728="""", """", IF(LEN(TRIM(REGEXREPLACE(REGEXREPLACE('AYIRA MINI MART FINAL MENU - Pr'!A728, ""^[^\x{0600}-\x{06FF}]+"", """"), ""^[-–\s]+"", """")))&gt;0, TRIM(REGEXREPLACE(REGEXREPLACE('AYIRA MINI MART FINAL MENU - Pr"&amp;"'!A728, ""^[^\x{0600}-\x{06FF}]+"", """"), ""^[-–\s]+"", """")), GOOGLETRANSLATE('AYIRA MINI MART FINAL MENU - Pr'!A728, ""en"", ""ar"")))"),"تشوبا تشوبس Soft and Chewy 10 غرام")</f>
        <v>تشوبا تشوبس Soft and Chewy 10 غرام</v>
      </c>
      <c r="B728" s="56" t="str">
        <f>IFERROR(__xludf.DUMMYFUNCTION("IF('AYIRA MINI MART FINAL MENU - Pr'!B728="""", """", IF(LEN(TRIM(REGEXREPLACE(REGEXREPLACE('AYIRA MINI MART FINAL MENU - Pr'!B728, ""^[^\x{0600}-\x{06FF}]+"", """"), ""^[-–\s]+"", """")))&gt;0, TRIM(REGEXREPLACE(REGEXREPLACE('AYIRA MINI MART FINAL MENU - Pr"&amp;"'!B728, ""^[^\x{0600}-\x{06FF}]+"", """"), ""^[-–\s]+"", """")), GOOGLETRANSLATE('AYIRA MINI MART FINAL MENU - Pr'!B728, ""en"", ""ar"")))"),"الحلوى 🍬")</f>
        <v>الحلوى 🍬</v>
      </c>
      <c r="C728" s="58">
        <f>IF('AYIRA MINI MART FINAL MENU - Pr'!C728="", "", 'AYIRA MINI MART FINAL MENU - Pr'!C728)</f>
        <v>2</v>
      </c>
      <c r="D728" s="58" t="str">
        <f>IF('AYIRA MINI MART FINAL MENU - Pr'!D728="", "", 'AYIRA MINI MART FINAL MENU - Pr'!D728)</f>
        <v>لا تقاوم طعم Chupa Chups Soft and Chewy 10g،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28" s="56" t="str">
        <f>IF('AYIRA MINI MART FINAL MENU - Pr'!E728="", "", 'AYIRA MINI MART FINAL MENU - Pr'!E728)</f>
        <v/>
      </c>
      <c r="F728" s="56" t="str">
        <f>IF('AYIRA MINI MART FINAL MENU - Pr'!F728="", "", 'AYIRA MINI MART FINAL MENU - Pr'!F728)</f>
        <v/>
      </c>
      <c r="G728" s="56" t="str">
        <f>IF('AYIRA MINI MART FINAL MENU - Pr'!G728="", "", 'AYIRA MINI MART FINAL MENU - Pr'!G728)</f>
        <v/>
      </c>
      <c r="H728" s="56" t="str">
        <f>IF('AYIRA MINI MART FINAL MENU - Pr'!H728="", "", 'AYIRA MINI MART FINAL MENU - Pr'!H728)</f>
        <v/>
      </c>
      <c r="I728" s="56" t="str">
        <f>IF('AYIRA MINI MART FINAL MENU - Pr'!I728="", "", 'AYIRA MINI MART FINAL MENU - Pr'!I728)</f>
        <v/>
      </c>
      <c r="J728" s="56" t="str">
        <f>IFERROR(__xludf.DUMMYFUNCTION("IF('AYIRA MINI MART FINAL MENU - Pr'!J728="""", """", GOOGLETRANSLATE('AYIRA MINI MART FINAL MENU - Pr'!J728, ""en"", ""ar""))"),"")</f>
        <v/>
      </c>
      <c r="K728" s="56" t="str">
        <f>IF('AYIRA MINI MART FINAL MENU - Pr'!K728="", "", 'AYIRA MINI MART FINAL MENU - Pr'!K728)</f>
        <v/>
      </c>
      <c r="L728" s="56" t="str">
        <f>IF('AYIRA MINI MART FINAL MENU - Pr'!L728="", "", 'AYIRA MINI MART FINAL MENU - Pr'!L728)</f>
        <v/>
      </c>
      <c r="M728" s="56" t="str">
        <f>IF('AYIRA MINI MART FINAL MENU - Pr'!M728="", "", 'AYIRA MINI MART FINAL MENU - Pr'!M728)</f>
        <v/>
      </c>
      <c r="N728" s="56" t="str">
        <f>IF('AYIRA MINI MART FINAL MENU - Pr'!N728="", "", 'AYIRA MINI MART FINAL MENU - Pr'!N728)</f>
        <v/>
      </c>
      <c r="O728" s="57"/>
      <c r="P728" s="57"/>
      <c r="Q728" s="57"/>
      <c r="R728" s="57"/>
      <c r="S728" s="57"/>
      <c r="T728" s="57"/>
      <c r="U728" s="57"/>
      <c r="V728" s="57"/>
      <c r="W728" s="57"/>
      <c r="X728" s="57"/>
      <c r="Y728" s="57"/>
      <c r="Z728" s="57"/>
    </row>
    <row r="729">
      <c r="A729" s="56" t="str">
        <f>IFERROR(__xludf.DUMMYFUNCTION("IF('AYIRA MINI MART FINAL MENU - Pr'!A729="""", """", IF(LEN(TRIM(REGEXREPLACE(REGEXREPLACE('AYIRA MINI MART FINAL MENU - Pr'!A729, ""^[^\x{0600}-\x{06FF}]+"", """"), ""^[-–\s]+"", """")))&gt;0, TRIM(REGEXREPLACE(REGEXREPLACE('AYIRA MINI MART FINAL MENU - Pr"&amp;"'!A729, ""^[^\x{0600}-\x{06FF}]+"", """"), ""^[-–\s]+"", """")), GOOGLETRANSLATE('AYIRA MINI MART FINAL MENU - Pr'!A729, ""en"", ""ar"")))"),"غرام")</f>
        <v>غرام</v>
      </c>
      <c r="B729" s="56" t="str">
        <f>IFERROR(__xludf.DUMMYFUNCTION("IF('AYIRA MINI MART FINAL MENU - Pr'!B729="""", """", IF(LEN(TRIM(REGEXREPLACE(REGEXREPLACE('AYIRA MINI MART FINAL MENU - Pr'!B729, ""^[^\x{0600}-\x{06FF}]+"", """"), ""^[-–\s]+"", """")))&gt;0, TRIM(REGEXREPLACE(REGEXREPLACE('AYIRA MINI MART FINAL MENU - Pr"&amp;"'!B729, ""^[^\x{0600}-\x{06FF}]+"", """"), ""^[-–\s]+"", """")), GOOGLETRANSLATE('AYIRA MINI MART FINAL MENU - Pr'!B729, ""en"", ""ar"")))"),"الحلوى 🍬")</f>
        <v>الحلوى 🍬</v>
      </c>
      <c r="C729" s="58">
        <f>IF('AYIRA MINI MART FINAL MENU - Pr'!C729="", "", 'AYIRA MINI MART FINAL MENU - Pr'!C729)</f>
        <v>4</v>
      </c>
      <c r="D729" s="58" t="str">
        <f>IF('AYIRA MINI MART FINAL MENU - Pr'!D729="", "", 'AYIRA MINI MART FINAL MENU - Pr'!D729)</f>
        <v>أضف لحظة حلوة إلى يومك مع Sour Whacky Squeeze Candy 70g،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29" s="56" t="str">
        <f>IF('AYIRA MINI MART FINAL MENU - Pr'!E729="", "", 'AYIRA MINI MART FINAL MENU - Pr'!E729)</f>
        <v/>
      </c>
      <c r="F729" s="56" t="str">
        <f>IF('AYIRA MINI MART FINAL MENU - Pr'!F729="", "", 'AYIRA MINI MART FINAL MENU - Pr'!F729)</f>
        <v/>
      </c>
      <c r="G729" s="56" t="str">
        <f>IF('AYIRA MINI MART FINAL MENU - Pr'!G729="", "", 'AYIRA MINI MART FINAL MENU - Pr'!G729)</f>
        <v/>
      </c>
      <c r="H729" s="56" t="str">
        <f>IF('AYIRA MINI MART FINAL MENU - Pr'!H729="", "", 'AYIRA MINI MART FINAL MENU - Pr'!H729)</f>
        <v/>
      </c>
      <c r="I729" s="56" t="str">
        <f>IF('AYIRA MINI MART FINAL MENU - Pr'!I729="", "", 'AYIRA MINI MART FINAL MENU - Pr'!I729)</f>
        <v/>
      </c>
      <c r="J729" s="56" t="str">
        <f>IFERROR(__xludf.DUMMYFUNCTION("IF('AYIRA MINI MART FINAL MENU - Pr'!J729="""", """", GOOGLETRANSLATE('AYIRA MINI MART FINAL MENU - Pr'!J729, ""en"", ""ar""))"),"")</f>
        <v/>
      </c>
      <c r="K729" s="56" t="str">
        <f>IF('AYIRA MINI MART FINAL MENU - Pr'!K729="", "", 'AYIRA MINI MART FINAL MENU - Pr'!K729)</f>
        <v/>
      </c>
      <c r="L729" s="56" t="str">
        <f>IF('AYIRA MINI MART FINAL MENU - Pr'!L729="", "", 'AYIRA MINI MART FINAL MENU - Pr'!L729)</f>
        <v/>
      </c>
      <c r="M729" s="56" t="str">
        <f>IF('AYIRA MINI MART FINAL MENU - Pr'!M729="", "", 'AYIRA MINI MART FINAL MENU - Pr'!M729)</f>
        <v/>
      </c>
      <c r="N729" s="56" t="str">
        <f>IF('AYIRA MINI MART FINAL MENU - Pr'!N729="", "", 'AYIRA MINI MART FINAL MENU - Pr'!N729)</f>
        <v/>
      </c>
      <c r="O729" s="57"/>
      <c r="P729" s="57"/>
      <c r="Q729" s="57"/>
      <c r="R729" s="57"/>
      <c r="S729" s="57"/>
      <c r="T729" s="57"/>
      <c r="U729" s="57"/>
      <c r="V729" s="57"/>
      <c r="W729" s="57"/>
      <c r="X729" s="57"/>
      <c r="Y729" s="57"/>
      <c r="Z729" s="57"/>
    </row>
    <row r="730">
      <c r="A730" s="56" t="str">
        <f>IFERROR(__xludf.DUMMYFUNCTION("IF('AYIRA MINI MART FINAL MENU - Pr'!A730="""", """", IF(LEN(TRIM(REGEXREPLACE(REGEXREPLACE('AYIRA MINI MART FINAL MENU - Pr'!A730, ""^[^\x{0600}-\x{06FF}]+"", """"), ""^[-–\s]+"", """")))&gt;0, TRIM(REGEXREPLACE(REGEXREPLACE('AYIRA MINI MART FINAL MENU - Pr"&amp;"'!A730, ""^[^\x{0600}-\x{06FF}]+"", """"), ""^[-–\s]+"", """")), GOOGLETRANSLATE('AYIRA MINI MART FINAL MENU - Pr'!A730, ""en"", ""ar"")))"),"غرام")</f>
        <v>غرام</v>
      </c>
      <c r="B730" s="56" t="str">
        <f>IFERROR(__xludf.DUMMYFUNCTION("IF('AYIRA MINI MART FINAL MENU - Pr'!B730="""", """", IF(LEN(TRIM(REGEXREPLACE(REGEXREPLACE('AYIRA MINI MART FINAL MENU - Pr'!B730, ""^[^\x{0600}-\x{06FF}]+"", """"), ""^[-–\s]+"", """")))&gt;0, TRIM(REGEXREPLACE(REGEXREPLACE('AYIRA MINI MART FINAL MENU - Pr"&amp;"'!B730, ""^[^\x{0600}-\x{06FF}]+"", """"), ""^[-–\s]+"", """")), GOOGLETRANSLATE('AYIRA MINI MART FINAL MENU - Pr'!B730, ""en"", ""ar"")))"),"الحلوى 🍬")</f>
        <v>الحلوى 🍬</v>
      </c>
      <c r="C730" s="58">
        <f>IF('AYIRA MINI MART FINAL MENU - Pr'!C730="", "", 'AYIRA MINI MART FINAL MENU - Pr'!C730)</f>
        <v>1</v>
      </c>
      <c r="D730" s="58" t="str">
        <f>IF('AYIRA MINI MART FINAL MENU - Pr'!D730="", "", 'AYIRA MINI MART FINAL MENU - Pr'!D730)</f>
        <v>لا تقاوم طعم Tongue Painter 18g،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30" s="56" t="str">
        <f>IF('AYIRA MINI MART FINAL MENU - Pr'!E730="", "", 'AYIRA MINI MART FINAL MENU - Pr'!E730)</f>
        <v/>
      </c>
      <c r="F730" s="56" t="str">
        <f>IF('AYIRA MINI MART FINAL MENU - Pr'!F730="", "", 'AYIRA MINI MART FINAL MENU - Pr'!F730)</f>
        <v/>
      </c>
      <c r="G730" s="56" t="str">
        <f>IF('AYIRA MINI MART FINAL MENU - Pr'!G730="", "", 'AYIRA MINI MART FINAL MENU - Pr'!G730)</f>
        <v/>
      </c>
      <c r="H730" s="56" t="str">
        <f>IF('AYIRA MINI MART FINAL MENU - Pr'!H730="", "", 'AYIRA MINI MART FINAL MENU - Pr'!H730)</f>
        <v/>
      </c>
      <c r="I730" s="56" t="str">
        <f>IF('AYIRA MINI MART FINAL MENU - Pr'!I730="", "", 'AYIRA MINI MART FINAL MENU - Pr'!I730)</f>
        <v/>
      </c>
      <c r="J730" s="56" t="str">
        <f>IFERROR(__xludf.DUMMYFUNCTION("IF('AYIRA MINI MART FINAL MENU - Pr'!J730="""", """", GOOGLETRANSLATE('AYIRA MINI MART FINAL MENU - Pr'!J730, ""en"", ""ar""))"),"")</f>
        <v/>
      </c>
      <c r="K730" s="56" t="str">
        <f>IF('AYIRA MINI MART FINAL MENU - Pr'!K730="", "", 'AYIRA MINI MART FINAL MENU - Pr'!K730)</f>
        <v/>
      </c>
      <c r="L730" s="56" t="str">
        <f>IF('AYIRA MINI MART FINAL MENU - Pr'!L730="", "", 'AYIRA MINI MART FINAL MENU - Pr'!L730)</f>
        <v/>
      </c>
      <c r="M730" s="56" t="str">
        <f>IF('AYIRA MINI MART FINAL MENU - Pr'!M730="", "", 'AYIRA MINI MART FINAL MENU - Pr'!M730)</f>
        <v/>
      </c>
      <c r="N730" s="56" t="str">
        <f>IF('AYIRA MINI MART FINAL MENU - Pr'!N730="", "", 'AYIRA MINI MART FINAL MENU - Pr'!N730)</f>
        <v/>
      </c>
      <c r="O730" s="57"/>
      <c r="P730" s="57"/>
      <c r="Q730" s="57"/>
      <c r="R730" s="57"/>
      <c r="S730" s="57"/>
      <c r="T730" s="57"/>
      <c r="U730" s="57"/>
      <c r="V730" s="57"/>
      <c r="W730" s="57"/>
      <c r="X730" s="57"/>
      <c r="Y730" s="57"/>
      <c r="Z730" s="57"/>
    </row>
    <row r="731">
      <c r="A731" s="56" t="str">
        <f>IFERROR(__xludf.DUMMYFUNCTION("IF('AYIRA MINI MART FINAL MENU - Pr'!A731="""", """", IF(LEN(TRIM(REGEXREPLACE(REGEXREPLACE('AYIRA MINI MART FINAL MENU - Pr'!A731, ""^[^\x{0600}-\x{06FF}]+"", """"), ""^[-–\s]+"", """")))&gt;0, TRIM(REGEXREPLACE(REGEXREPLACE('AYIRA MINI MART FINAL MENU - Pr"&amp;"'!A731, ""^[^\x{0600}-\x{06FF}]+"", """"), ""^[-–\s]+"", """")), GOOGLETRANSLATE('AYIRA MINI MART FINAL MENU - Pr'!A731, ""en"", ""ar"")))"),"قطعة Watermelon 20 غرام")</f>
        <v>قطعة Watermelon 20 غرام</v>
      </c>
      <c r="B731" s="56" t="str">
        <f>IFERROR(__xludf.DUMMYFUNCTION("IF('AYIRA MINI MART FINAL MENU - Pr'!B731="""", """", IF(LEN(TRIM(REGEXREPLACE(REGEXREPLACE('AYIRA MINI MART FINAL MENU - Pr'!B731, ""^[^\x{0600}-\x{06FF}]+"", """"), ""^[-–\s]+"", """")))&gt;0, TRIM(REGEXREPLACE(REGEXREPLACE('AYIRA MINI MART FINAL MENU - Pr"&amp;"'!B731, ""^[^\x{0600}-\x{06FF}]+"", """"), ""^[-–\s]+"", """")), GOOGLETRANSLATE('AYIRA MINI MART FINAL MENU - Pr'!B731, ""en"", ""ar"")))"),"الحلوى 🍬")</f>
        <v>الحلوى 🍬</v>
      </c>
      <c r="C731" s="58">
        <f>IF('AYIRA MINI MART FINAL MENU - Pr'!C731="", "", 'AYIRA MINI MART FINAL MENU - Pr'!C731)</f>
        <v>1</v>
      </c>
      <c r="D731" s="58" t="str">
        <f>IF('AYIRA MINI MART FINAL MENU - Pr'!D731="", "", 'AYIRA MINI MART FINAL MENU - Pr'!D731)</f>
        <v>اشرب Brain Bitz Chew Bar Watermelon 20g،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731" s="56" t="str">
        <f>IF('AYIRA MINI MART FINAL MENU - Pr'!E731="", "", 'AYIRA MINI MART FINAL MENU - Pr'!E731)</f>
        <v/>
      </c>
      <c r="F731" s="56" t="str">
        <f>IF('AYIRA MINI MART FINAL MENU - Pr'!F731="", "", 'AYIRA MINI MART FINAL MENU - Pr'!F731)</f>
        <v/>
      </c>
      <c r="G731" s="56" t="str">
        <f>IF('AYIRA MINI MART FINAL MENU - Pr'!G731="", "", 'AYIRA MINI MART FINAL MENU - Pr'!G731)</f>
        <v/>
      </c>
      <c r="H731" s="56" t="str">
        <f>IF('AYIRA MINI MART FINAL MENU - Pr'!H731="", "", 'AYIRA MINI MART FINAL MENU - Pr'!H731)</f>
        <v/>
      </c>
      <c r="I731" s="56" t="str">
        <f>IF('AYIRA MINI MART FINAL MENU - Pr'!I731="", "", 'AYIRA MINI MART FINAL MENU - Pr'!I731)</f>
        <v/>
      </c>
      <c r="J731" s="56" t="str">
        <f>IFERROR(__xludf.DUMMYFUNCTION("IF('AYIRA MINI MART FINAL MENU - Pr'!J731="""", """", GOOGLETRANSLATE('AYIRA MINI MART FINAL MENU - Pr'!J731, ""en"", ""ar""))"),"")</f>
        <v/>
      </c>
      <c r="K731" s="56" t="str">
        <f>IF('AYIRA MINI MART FINAL MENU - Pr'!K731="", "", 'AYIRA MINI MART FINAL MENU - Pr'!K731)</f>
        <v/>
      </c>
      <c r="L731" s="56" t="str">
        <f>IF('AYIRA MINI MART FINAL MENU - Pr'!L731="", "", 'AYIRA MINI MART FINAL MENU - Pr'!L731)</f>
        <v/>
      </c>
      <c r="M731" s="56" t="str">
        <f>IF('AYIRA MINI MART FINAL MENU - Pr'!M731="", "", 'AYIRA MINI MART FINAL MENU - Pr'!M731)</f>
        <v/>
      </c>
      <c r="N731" s="56" t="str">
        <f>IF('AYIRA MINI MART FINAL MENU - Pr'!N731="", "", 'AYIRA MINI MART FINAL MENU - Pr'!N731)</f>
        <v/>
      </c>
      <c r="O731" s="57"/>
      <c r="P731" s="57"/>
      <c r="Q731" s="57"/>
      <c r="R731" s="57"/>
      <c r="S731" s="57"/>
      <c r="T731" s="57"/>
      <c r="U731" s="57"/>
      <c r="V731" s="57"/>
      <c r="W731" s="57"/>
      <c r="X731" s="57"/>
      <c r="Y731" s="57"/>
      <c r="Z731" s="57"/>
    </row>
    <row r="732">
      <c r="A732" s="56" t="str">
        <f>IFERROR(__xludf.DUMMYFUNCTION("IF('AYIRA MINI MART FINAL MENU - Pr'!A732="""", """", IF(LEN(TRIM(REGEXREPLACE(REGEXREPLACE('AYIRA MINI MART FINAL MENU - Pr'!A732, ""^[^\x{0600}-\x{06FF}]+"", """"), ""^[-–\s]+"", """")))&gt;0, TRIM(REGEXREPLACE(REGEXREPLACE('AYIRA MINI MART FINAL MENU - Pr"&amp;"'!A732, ""^[^\x{0600}-\x{06FF}]+"", """"), ""^[-–\s]+"", """")), GOOGLETRANSLATE('AYIRA MINI MART FINAL MENU - Pr'!A732, ""en"", ""ar"")))"),"غرام")</f>
        <v>غرام</v>
      </c>
      <c r="B732" s="56" t="str">
        <f>IFERROR(__xludf.DUMMYFUNCTION("IF('AYIRA MINI MART FINAL MENU - Pr'!B732="""", """", IF(LEN(TRIM(REGEXREPLACE(REGEXREPLACE('AYIRA MINI MART FINAL MENU - Pr'!B732, ""^[^\x{0600}-\x{06FF}]+"", """"), ""^[-–\s]+"", """")))&gt;0, TRIM(REGEXREPLACE(REGEXREPLACE('AYIRA MINI MART FINAL MENU - Pr"&amp;"'!B732, ""^[^\x{0600}-\x{06FF}]+"", """"), ""^[-–\s]+"", """")), GOOGLETRANSLATE('AYIRA MINI MART FINAL MENU - Pr'!B732, ""en"", ""ar"")))"),"الشوكولاتة")</f>
        <v>الشوكولاتة</v>
      </c>
      <c r="C732" s="58">
        <f>IF('AYIRA MINI MART FINAL MENU - Pr'!C732="", "", 'AYIRA MINI MART FINAL MENU - Pr'!C732)</f>
        <v>2</v>
      </c>
      <c r="D732" s="58" t="str">
        <f>IF('AYIRA MINI MART FINAL MENU - Pr'!D732="", "", 'AYIRA MINI MART FINAL MENU - Pr'!D732)</f>
        <v>أضف لحظة حلوة إلى يومك مع Candy Choco Belight 34g،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32" s="56" t="str">
        <f>IF('AYIRA MINI MART FINAL MENU - Pr'!E732="", "", 'AYIRA MINI MART FINAL MENU - Pr'!E732)</f>
        <v/>
      </c>
      <c r="F732" s="56" t="str">
        <f>IF('AYIRA MINI MART FINAL MENU - Pr'!F732="", "", 'AYIRA MINI MART FINAL MENU - Pr'!F732)</f>
        <v/>
      </c>
      <c r="G732" s="56" t="str">
        <f>IF('AYIRA MINI MART FINAL MENU - Pr'!G732="", "", 'AYIRA MINI MART FINAL MENU - Pr'!G732)</f>
        <v/>
      </c>
      <c r="H732" s="56" t="str">
        <f>IF('AYIRA MINI MART FINAL MENU - Pr'!H732="", "", 'AYIRA MINI MART FINAL MENU - Pr'!H732)</f>
        <v/>
      </c>
      <c r="I732" s="56" t="str">
        <f>IF('AYIRA MINI MART FINAL MENU - Pr'!I732="", "", 'AYIRA MINI MART FINAL MENU - Pr'!I732)</f>
        <v/>
      </c>
      <c r="J732" s="56" t="str">
        <f>IFERROR(__xludf.DUMMYFUNCTION("IF('AYIRA MINI MART FINAL MENU - Pr'!J732="""", """", GOOGLETRANSLATE('AYIRA MINI MART FINAL MENU - Pr'!J732, ""en"", ""ar""))"),"")</f>
        <v/>
      </c>
      <c r="K732" s="56" t="str">
        <f>IF('AYIRA MINI MART FINAL MENU - Pr'!K732="", "", 'AYIRA MINI MART FINAL MENU - Pr'!K732)</f>
        <v/>
      </c>
      <c r="L732" s="56" t="str">
        <f>IF('AYIRA MINI MART FINAL MENU - Pr'!L732="", "", 'AYIRA MINI MART FINAL MENU - Pr'!L732)</f>
        <v/>
      </c>
      <c r="M732" s="56" t="str">
        <f>IF('AYIRA MINI MART FINAL MENU - Pr'!M732="", "", 'AYIRA MINI MART FINAL MENU - Pr'!M732)</f>
        <v/>
      </c>
      <c r="N732" s="56" t="str">
        <f>IF('AYIRA MINI MART FINAL MENU - Pr'!N732="", "", 'AYIRA MINI MART FINAL MENU - Pr'!N732)</f>
        <v/>
      </c>
      <c r="O732" s="57"/>
      <c r="P732" s="57"/>
      <c r="Q732" s="57"/>
      <c r="R732" s="57"/>
      <c r="S732" s="57"/>
      <c r="T732" s="57"/>
      <c r="U732" s="57"/>
      <c r="V732" s="57"/>
      <c r="W732" s="57"/>
      <c r="X732" s="57"/>
      <c r="Y732" s="57"/>
      <c r="Z732" s="57"/>
    </row>
    <row r="733">
      <c r="A733" s="56" t="str">
        <f>IFERROR(__xludf.DUMMYFUNCTION("IF('AYIRA MINI MART FINAL MENU - Pr'!A733="""", """", IF(LEN(TRIM(REGEXREPLACE(REGEXREPLACE('AYIRA MINI MART FINAL MENU - Pr'!A733, ""^[^\x{0600}-\x{06FF}]+"", """"), ""^[-–\s]+"", """")))&gt;0, TRIM(REGEXREPLACE(REGEXREPLACE('AYIRA MINI MART FINAL MENU - Pr"&amp;"'!A733, ""^[^\x{0600}-\x{06FF}]+"", """"), ""^[-–\s]+"", """")), GOOGLETRANSLATE('AYIRA MINI MART FINAL MENU - Pr'!A733, ""en"", ""ar"")))"),"كادبوري ديري ميلك أوريو 95 غرام")</f>
        <v>كادبوري ديري ميلك أوريو 95 غرام</v>
      </c>
      <c r="B733" s="56" t="str">
        <f>IFERROR(__xludf.DUMMYFUNCTION("IF('AYIRA MINI MART FINAL MENU - Pr'!B733="""", """", IF(LEN(TRIM(REGEXREPLACE(REGEXREPLACE('AYIRA MINI MART FINAL MENU - Pr'!B733, ""^[^\x{0600}-\x{06FF}]+"", """"), ""^[-–\s]+"", """")))&gt;0, TRIM(REGEXREPLACE(REGEXREPLACE('AYIRA MINI MART FINAL MENU - Pr"&amp;"'!B733, ""^[^\x{0600}-\x{06FF}]+"", """"), ""^[-–\s]+"", """")), GOOGLETRANSLATE('AYIRA MINI MART FINAL MENU - Pr'!B733, ""en"", ""ar"")))"),"الشوكولاتة")</f>
        <v>الشوكولاتة</v>
      </c>
      <c r="C733" s="58">
        <f>IF('AYIRA MINI MART FINAL MENU - Pr'!C733="", "", 'AYIRA MINI MART FINAL MENU - Pr'!C733)</f>
        <v>8</v>
      </c>
      <c r="D733" s="58" t="str">
        <f>IF('AYIRA MINI MART FINAL MENU - Pr'!D733="", "", 'AYIRA MINI MART FINAL MENU - Pr'!D733)</f>
        <v>دلّل حواسك مع كادبوري،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33" s="56" t="str">
        <f>IF('AYIRA MINI MART FINAL MENU - Pr'!E733="", "", 'AYIRA MINI MART FINAL MENU - Pr'!E733)</f>
        <v/>
      </c>
      <c r="F733" s="56" t="str">
        <f>IF('AYIRA MINI MART FINAL MENU - Pr'!F733="", "", 'AYIRA MINI MART FINAL MENU - Pr'!F733)</f>
        <v/>
      </c>
      <c r="G733" s="56" t="str">
        <f>IF('AYIRA MINI MART FINAL MENU - Pr'!G733="", "", 'AYIRA MINI MART FINAL MENU - Pr'!G733)</f>
        <v/>
      </c>
      <c r="H733" s="56" t="str">
        <f>IF('AYIRA MINI MART FINAL MENU - Pr'!H733="", "", 'AYIRA MINI MART FINAL MENU - Pr'!H733)</f>
        <v/>
      </c>
      <c r="I733" s="56" t="str">
        <f>IF('AYIRA MINI MART FINAL MENU - Pr'!I733="", "", 'AYIRA MINI MART FINAL MENU - Pr'!I733)</f>
        <v/>
      </c>
      <c r="J733" s="56" t="str">
        <f>IFERROR(__xludf.DUMMYFUNCTION("IF('AYIRA MINI MART FINAL MENU - Pr'!J733="""", """", GOOGLETRANSLATE('AYIRA MINI MART FINAL MENU - Pr'!J733, ""en"", ""ar""))"),"")</f>
        <v/>
      </c>
      <c r="K733" s="56" t="str">
        <f>IF('AYIRA MINI MART FINAL MENU - Pr'!K733="", "", 'AYIRA MINI MART FINAL MENU - Pr'!K733)</f>
        <v/>
      </c>
      <c r="L733" s="56" t="str">
        <f>IF('AYIRA MINI MART FINAL MENU - Pr'!L733="", "", 'AYIRA MINI MART FINAL MENU - Pr'!L733)</f>
        <v/>
      </c>
      <c r="M733" s="56" t="str">
        <f>IF('AYIRA MINI MART FINAL MENU - Pr'!M733="", "", 'AYIRA MINI MART FINAL MENU - Pr'!M733)</f>
        <v/>
      </c>
      <c r="N733" s="56" t="str">
        <f>IF('AYIRA MINI MART FINAL MENU - Pr'!N733="", "", 'AYIRA MINI MART FINAL MENU - Pr'!N733)</f>
        <v/>
      </c>
      <c r="O733" s="57"/>
      <c r="P733" s="57"/>
      <c r="Q733" s="57"/>
      <c r="R733" s="57"/>
      <c r="S733" s="57"/>
      <c r="T733" s="57"/>
      <c r="U733" s="57"/>
      <c r="V733" s="57"/>
      <c r="W733" s="57"/>
      <c r="X733" s="57"/>
      <c r="Y733" s="57"/>
      <c r="Z733" s="57"/>
    </row>
    <row r="734">
      <c r="A734" s="56" t="str">
        <f>IFERROR(__xludf.DUMMYFUNCTION("IF('AYIRA MINI MART FINAL MENU - Pr'!A734="""", """", IF(LEN(TRIM(REGEXREPLACE(REGEXREPLACE('AYIRA MINI MART FINAL MENU - Pr'!A734, ""^[^\x{0600}-\x{06FF}]+"", """"), ""^[-–\s]+"", """")))&gt;0, TRIM(REGEXREPLACE(REGEXREPLACE('AYIRA MINI MART FINAL MENU - Pr"&amp;"'!A734, ""^[^\x{0600}-\x{06FF}]+"", """"), ""^[-–\s]+"", """")), GOOGLETRANSLATE('AYIRA MINI MART FINAL MENU - Pr'!A734, ""en"", ""ar"")))"),"توبليرون 35 غرام")</f>
        <v>توبليرون 35 غرام</v>
      </c>
      <c r="B734" s="56" t="str">
        <f>IFERROR(__xludf.DUMMYFUNCTION("IF('AYIRA MINI MART FINAL MENU - Pr'!B734="""", """", IF(LEN(TRIM(REGEXREPLACE(REGEXREPLACE('AYIRA MINI MART FINAL MENU - Pr'!B734, ""^[^\x{0600}-\x{06FF}]+"", """"), ""^[-–\s]+"", """")))&gt;0, TRIM(REGEXREPLACE(REGEXREPLACE('AYIRA MINI MART FINAL MENU - Pr"&amp;"'!B734, ""^[^\x{0600}-\x{06FF}]+"", """"), ""^[-–\s]+"", """")), GOOGLETRANSLATE('AYIRA MINI MART FINAL MENU - Pr'!B734, ""en"", ""ar"")))"),"الشوكولاتة")</f>
        <v>الشوكولاتة</v>
      </c>
      <c r="C734" s="58">
        <f>IF('AYIRA MINI MART FINAL MENU - Pr'!C734="", "", 'AYIRA MINI MART FINAL MENU - Pr'!C734)</f>
        <v>3.5</v>
      </c>
      <c r="D734" s="58" t="str">
        <f>IF('AYIRA MINI MART FINAL MENU - Pr'!D734="", "", 'AYIRA MINI MART FINAL MENU - Pr'!D734)</f>
        <v>دلّل حواسك مع توبليرون،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34" s="56" t="str">
        <f>IF('AYIRA MINI MART FINAL MENU - Pr'!E734="", "", 'AYIRA MINI MART FINAL MENU - Pr'!E734)</f>
        <v/>
      </c>
      <c r="F734" s="56" t="str">
        <f>IF('AYIRA MINI MART FINAL MENU - Pr'!F734="", "", 'AYIRA MINI MART FINAL MENU - Pr'!F734)</f>
        <v/>
      </c>
      <c r="G734" s="56" t="str">
        <f>IF('AYIRA MINI MART FINAL MENU - Pr'!G734="", "", 'AYIRA MINI MART FINAL MENU - Pr'!G734)</f>
        <v/>
      </c>
      <c r="H734" s="56" t="str">
        <f>IF('AYIRA MINI MART FINAL MENU - Pr'!H734="", "", 'AYIRA MINI MART FINAL MENU - Pr'!H734)</f>
        <v/>
      </c>
      <c r="I734" s="56" t="str">
        <f>IF('AYIRA MINI MART FINAL MENU - Pr'!I734="", "", 'AYIRA MINI MART FINAL MENU - Pr'!I734)</f>
        <v/>
      </c>
      <c r="J734" s="56" t="str">
        <f>IFERROR(__xludf.DUMMYFUNCTION("IF('AYIRA MINI MART FINAL MENU - Pr'!J734="""", """", GOOGLETRANSLATE('AYIRA MINI MART FINAL MENU - Pr'!J734, ""en"", ""ar""))"),"")</f>
        <v/>
      </c>
      <c r="K734" s="56" t="str">
        <f>IF('AYIRA MINI MART FINAL MENU - Pr'!K734="", "", 'AYIRA MINI MART FINAL MENU - Pr'!K734)</f>
        <v/>
      </c>
      <c r="L734" s="56" t="str">
        <f>IF('AYIRA MINI MART FINAL MENU - Pr'!L734="", "", 'AYIRA MINI MART FINAL MENU - Pr'!L734)</f>
        <v/>
      </c>
      <c r="M734" s="56" t="str">
        <f>IF('AYIRA MINI MART FINAL MENU - Pr'!M734="", "", 'AYIRA MINI MART FINAL MENU - Pr'!M734)</f>
        <v/>
      </c>
      <c r="N734" s="56" t="str">
        <f>IF('AYIRA MINI MART FINAL MENU - Pr'!N734="", "", 'AYIRA MINI MART FINAL MENU - Pr'!N734)</f>
        <v/>
      </c>
      <c r="O734" s="57"/>
      <c r="P734" s="57"/>
      <c r="Q734" s="57"/>
      <c r="R734" s="57"/>
      <c r="S734" s="57"/>
      <c r="T734" s="57"/>
      <c r="U734" s="57"/>
      <c r="V734" s="57"/>
      <c r="W734" s="57"/>
      <c r="X734" s="57"/>
      <c r="Y734" s="57"/>
      <c r="Z734" s="57"/>
    </row>
    <row r="735">
      <c r="A735" s="56" t="str">
        <f>IFERROR(__xludf.DUMMYFUNCTION("IF('AYIRA MINI MART FINAL MENU - Pr'!A735="""", """", IF(LEN(TRIM(REGEXREPLACE(REGEXREPLACE('AYIRA MINI MART FINAL MENU - Pr'!A735, ""^[^\x{0600}-\x{06FF}]+"", """"), ""^[-–\s]+"", """")))&gt;0, TRIM(REGEXREPLACE(REGEXREPLACE('AYIRA MINI MART FINAL MENU - Pr"&amp;"'!A735, ""^[^\x{0600}-\x{06FF}]+"", """"), ""^[-–\s]+"", """")), GOOGLETRANSLATE('AYIRA MINI MART FINAL MENU - Pr'!A735, ""en"", ""ar"")))"),"أوريو Cake Choco Coated 24 غرام")</f>
        <v>أوريو Cake Choco Coated 24 غرام</v>
      </c>
      <c r="B735" s="56" t="str">
        <f>IFERROR(__xludf.DUMMYFUNCTION("IF('AYIRA MINI MART FINAL MENU - Pr'!B735="""", """", IF(LEN(TRIM(REGEXREPLACE(REGEXREPLACE('AYIRA MINI MART FINAL MENU - Pr'!B735, ""^[^\x{0600}-\x{06FF}]+"", """"), ""^[-–\s]+"", """")))&gt;0, TRIM(REGEXREPLACE(REGEXREPLACE('AYIRA MINI MART FINAL MENU - Pr"&amp;"'!B735, ""^[^\x{0600}-\x{06FF}]+"", """"), ""^[-–\s]+"", """")), GOOGLETRANSLATE('AYIRA MINI MART FINAL MENU - Pr'!B735, ""en"", ""ar"")))"),"الشوكولاتة")</f>
        <v>الشوكولاتة</v>
      </c>
      <c r="C735" s="58">
        <f>IF('AYIRA MINI MART FINAL MENU - Pr'!C735="", "", 'AYIRA MINI MART FINAL MENU - Pr'!C735)</f>
        <v>2</v>
      </c>
      <c r="D735" s="58" t="str">
        <f>IF('AYIRA MINI MART FINAL MENU - Pr'!D735="", "", 'AYIRA MINI MART FINAL MENU - Pr'!D735)</f>
        <v>لا تقاوم طعم أوريو،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35" s="56" t="str">
        <f>IF('AYIRA MINI MART FINAL MENU - Pr'!E735="", "", 'AYIRA MINI MART FINAL MENU - Pr'!E735)</f>
        <v/>
      </c>
      <c r="F735" s="56" t="str">
        <f>IF('AYIRA MINI MART FINAL MENU - Pr'!F735="", "", 'AYIRA MINI MART FINAL MENU - Pr'!F735)</f>
        <v/>
      </c>
      <c r="G735" s="56" t="str">
        <f>IF('AYIRA MINI MART FINAL MENU - Pr'!G735="", "", 'AYIRA MINI MART FINAL MENU - Pr'!G735)</f>
        <v/>
      </c>
      <c r="H735" s="56" t="str">
        <f>IF('AYIRA MINI MART FINAL MENU - Pr'!H735="", "", 'AYIRA MINI MART FINAL MENU - Pr'!H735)</f>
        <v/>
      </c>
      <c r="I735" s="56" t="str">
        <f>IF('AYIRA MINI MART FINAL MENU - Pr'!I735="", "", 'AYIRA MINI MART FINAL MENU - Pr'!I735)</f>
        <v/>
      </c>
      <c r="J735" s="56" t="str">
        <f>IFERROR(__xludf.DUMMYFUNCTION("IF('AYIRA MINI MART FINAL MENU - Pr'!J735="""", """", GOOGLETRANSLATE('AYIRA MINI MART FINAL MENU - Pr'!J735, ""en"", ""ar""))"),"")</f>
        <v/>
      </c>
      <c r="K735" s="56" t="str">
        <f>IF('AYIRA MINI MART FINAL MENU - Pr'!K735="", "", 'AYIRA MINI MART FINAL MENU - Pr'!K735)</f>
        <v/>
      </c>
      <c r="L735" s="56" t="str">
        <f>IF('AYIRA MINI MART FINAL MENU - Pr'!L735="", "", 'AYIRA MINI MART FINAL MENU - Pr'!L735)</f>
        <v/>
      </c>
      <c r="M735" s="56" t="str">
        <f>IF('AYIRA MINI MART FINAL MENU - Pr'!M735="", "", 'AYIRA MINI MART FINAL MENU - Pr'!M735)</f>
        <v/>
      </c>
      <c r="N735" s="56" t="str">
        <f>IF('AYIRA MINI MART FINAL MENU - Pr'!N735="", "", 'AYIRA MINI MART FINAL MENU - Pr'!N735)</f>
        <v/>
      </c>
      <c r="O735" s="57"/>
      <c r="P735" s="57"/>
      <c r="Q735" s="57"/>
      <c r="R735" s="57"/>
      <c r="S735" s="57"/>
      <c r="T735" s="57"/>
      <c r="U735" s="57"/>
      <c r="V735" s="57"/>
      <c r="W735" s="57"/>
      <c r="X735" s="57"/>
      <c r="Y735" s="57"/>
      <c r="Z735" s="57"/>
    </row>
    <row r="736">
      <c r="A736" s="56" t="str">
        <f>IFERROR(__xludf.DUMMYFUNCTION("IF('AYIRA MINI MART FINAL MENU - Pr'!A736="""", """", IF(LEN(TRIM(REGEXREPLACE(REGEXREPLACE('AYIRA MINI MART FINAL MENU - Pr'!A736, ""^[^\x{0600}-\x{06FF}]+"", """"), ""^[-–\s]+"", """")))&gt;0, TRIM(REGEXREPLACE(REGEXREPLACE('AYIRA MINI MART FINAL MENU - Pr"&amp;"'!A736, ""^[^\x{0600}-\x{06FF}]+"", """"), ""^[-–\s]+"", """")), GOOGLETRANSLATE('AYIRA MINI MART FINAL MENU - Pr'!A736, ""en"", ""ar"")))"),"فستق Kunafa شوكولاتة 100 غرام")</f>
        <v>فستق Kunafa شوكولاتة 100 غرام</v>
      </c>
      <c r="B736" s="56" t="str">
        <f>IFERROR(__xludf.DUMMYFUNCTION("IF('AYIRA MINI MART FINAL MENU - Pr'!B736="""", """", IF(LEN(TRIM(REGEXREPLACE(REGEXREPLACE('AYIRA MINI MART FINAL MENU - Pr'!B736, ""^[^\x{0600}-\x{06FF}]+"", """"), ""^[-–\s]+"", """")))&gt;0, TRIM(REGEXREPLACE(REGEXREPLACE('AYIRA MINI MART FINAL MENU - Pr"&amp;"'!B736, ""^[^\x{0600}-\x{06FF}]+"", """"), ""^[-–\s]+"", """")), GOOGLETRANSLATE('AYIRA MINI MART FINAL MENU - Pr'!B736, ""en"", ""ar"")))"),"الشوكولاتة")</f>
        <v>الشوكولاتة</v>
      </c>
      <c r="C736" s="58">
        <f>IF('AYIRA MINI MART FINAL MENU - Pr'!C736="", "", 'AYIRA MINI MART FINAL MENU - Pr'!C736)</f>
        <v>18</v>
      </c>
      <c r="D736" s="58" t="str">
        <f>IF('AYIRA MINI MART FINAL MENU - Pr'!D736="", "", 'AYIRA MINI MART FINAL MENU - Pr'!D736)</f>
        <v>دلّل حواسك مع Pistachio Kunafa Chocolate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36" s="56" t="str">
        <f>IF('AYIRA MINI MART FINAL MENU - Pr'!E736="", "", 'AYIRA MINI MART FINAL MENU - Pr'!E736)</f>
        <v/>
      </c>
      <c r="F736" s="56" t="str">
        <f>IF('AYIRA MINI MART FINAL MENU - Pr'!F736="", "", 'AYIRA MINI MART FINAL MENU - Pr'!F736)</f>
        <v/>
      </c>
      <c r="G736" s="56" t="str">
        <f>IF('AYIRA MINI MART FINAL MENU - Pr'!G736="", "", 'AYIRA MINI MART FINAL MENU - Pr'!G736)</f>
        <v/>
      </c>
      <c r="H736" s="56" t="str">
        <f>IF('AYIRA MINI MART FINAL MENU - Pr'!H736="", "", 'AYIRA MINI MART FINAL MENU - Pr'!H736)</f>
        <v/>
      </c>
      <c r="I736" s="56" t="str">
        <f>IF('AYIRA MINI MART FINAL MENU - Pr'!I736="", "", 'AYIRA MINI MART FINAL MENU - Pr'!I736)</f>
        <v/>
      </c>
      <c r="J736" s="56" t="str">
        <f>IFERROR(__xludf.DUMMYFUNCTION("IF('AYIRA MINI MART FINAL MENU - Pr'!J736="""", """", GOOGLETRANSLATE('AYIRA MINI MART FINAL MENU - Pr'!J736, ""en"", ""ar""))"),"")</f>
        <v/>
      </c>
      <c r="K736" s="56" t="str">
        <f>IF('AYIRA MINI MART FINAL MENU - Pr'!K736="", "", 'AYIRA MINI MART FINAL MENU - Pr'!K736)</f>
        <v/>
      </c>
      <c r="L736" s="56" t="str">
        <f>IF('AYIRA MINI MART FINAL MENU - Pr'!L736="", "", 'AYIRA MINI MART FINAL MENU - Pr'!L736)</f>
        <v/>
      </c>
      <c r="M736" s="56" t="str">
        <f>IF('AYIRA MINI MART FINAL MENU - Pr'!M736="", "", 'AYIRA MINI MART FINAL MENU - Pr'!M736)</f>
        <v/>
      </c>
      <c r="N736" s="56" t="str">
        <f>IF('AYIRA MINI MART FINAL MENU - Pr'!N736="", "", 'AYIRA MINI MART FINAL MENU - Pr'!N736)</f>
        <v/>
      </c>
      <c r="O736" s="57"/>
      <c r="P736" s="57"/>
      <c r="Q736" s="57"/>
      <c r="R736" s="57"/>
      <c r="S736" s="57"/>
      <c r="T736" s="57"/>
      <c r="U736" s="57"/>
      <c r="V736" s="57"/>
      <c r="W736" s="57"/>
      <c r="X736" s="57"/>
      <c r="Y736" s="57"/>
      <c r="Z736" s="57"/>
    </row>
    <row r="737">
      <c r="A737" s="56" t="str">
        <f>IFERROR(__xludf.DUMMYFUNCTION("IF('AYIRA MINI MART FINAL MENU - Pr'!A737="""", """", IF(LEN(TRIM(REGEXREPLACE(REGEXREPLACE('AYIRA MINI MART FINAL MENU - Pr'!A737, ""^[^\x{0600}-\x{06FF}]+"", """"), ""^[-–\s]+"", """")))&gt;0, TRIM(REGEXREPLACE(REGEXREPLACE('AYIRA MINI MART FINAL MENU - Pr"&amp;"'!A737, ""^[^\x{0600}-\x{06FF}]+"", """"), ""^[-–\s]+"", """")), GOOGLETRANSLATE('AYIRA MINI MART FINAL MENU - Pr'!A737, ""en"", ""ar"")))"),"سنيكرز Miniatures 150 غرام")</f>
        <v>سنيكرز Miniatures 150 غرام</v>
      </c>
      <c r="B737" s="56" t="str">
        <f>IFERROR(__xludf.DUMMYFUNCTION("IF('AYIRA MINI MART FINAL MENU - Pr'!B737="""", """", IF(LEN(TRIM(REGEXREPLACE(REGEXREPLACE('AYIRA MINI MART FINAL MENU - Pr'!B737, ""^[^\x{0600}-\x{06FF}]+"", """"), ""^[-–\s]+"", """")))&gt;0, TRIM(REGEXREPLACE(REGEXREPLACE('AYIRA MINI MART FINAL MENU - Pr"&amp;"'!B737, ""^[^\x{0600}-\x{06FF}]+"", """"), ""^[-–\s]+"", """")), GOOGLETRANSLATE('AYIRA MINI MART FINAL MENU - Pr'!B737, ""en"", ""ar"")))"),"الشوكولاتة")</f>
        <v>الشوكولاتة</v>
      </c>
      <c r="C737" s="58">
        <f>IF('AYIRA MINI MART FINAL MENU - Pr'!C737="", "", 'AYIRA MINI MART FINAL MENU - Pr'!C737)</f>
        <v>13.5</v>
      </c>
      <c r="D737" s="58" t="str">
        <f>IF('AYIRA MINI MART FINAL MENU - Pr'!D737="", "", 'AYIRA MINI MART FINAL MENU - Pr'!D737)</f>
        <v>دلّل حواسك مع سنيكرز،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37" s="56" t="str">
        <f>IF('AYIRA MINI MART FINAL MENU - Pr'!E737="", "", 'AYIRA MINI MART FINAL MENU - Pr'!E737)</f>
        <v/>
      </c>
      <c r="F737" s="56" t="str">
        <f>IF('AYIRA MINI MART FINAL MENU - Pr'!F737="", "", 'AYIRA MINI MART FINAL MENU - Pr'!F737)</f>
        <v/>
      </c>
      <c r="G737" s="56" t="str">
        <f>IF('AYIRA MINI MART FINAL MENU - Pr'!G737="", "", 'AYIRA MINI MART FINAL MENU - Pr'!G737)</f>
        <v/>
      </c>
      <c r="H737" s="56" t="str">
        <f>IF('AYIRA MINI MART FINAL MENU - Pr'!H737="", "", 'AYIRA MINI MART FINAL MENU - Pr'!H737)</f>
        <v/>
      </c>
      <c r="I737" s="56" t="str">
        <f>IF('AYIRA MINI MART FINAL MENU - Pr'!I737="", "", 'AYIRA MINI MART FINAL MENU - Pr'!I737)</f>
        <v/>
      </c>
      <c r="J737" s="56" t="str">
        <f>IFERROR(__xludf.DUMMYFUNCTION("IF('AYIRA MINI MART FINAL MENU - Pr'!J737="""", """", GOOGLETRANSLATE('AYIRA MINI MART FINAL MENU - Pr'!J737, ""en"", ""ar""))"),"")</f>
        <v/>
      </c>
      <c r="K737" s="56" t="str">
        <f>IF('AYIRA MINI MART FINAL MENU - Pr'!K737="", "", 'AYIRA MINI MART FINAL MENU - Pr'!K737)</f>
        <v/>
      </c>
      <c r="L737" s="56" t="str">
        <f>IF('AYIRA MINI MART FINAL MENU - Pr'!L737="", "", 'AYIRA MINI MART FINAL MENU - Pr'!L737)</f>
        <v/>
      </c>
      <c r="M737" s="56" t="str">
        <f>IF('AYIRA MINI MART FINAL MENU - Pr'!M737="", "", 'AYIRA MINI MART FINAL MENU - Pr'!M737)</f>
        <v/>
      </c>
      <c r="N737" s="56" t="str">
        <f>IF('AYIRA MINI MART FINAL MENU - Pr'!N737="", "", 'AYIRA MINI MART FINAL MENU - Pr'!N737)</f>
        <v/>
      </c>
      <c r="O737" s="57"/>
      <c r="P737" s="57"/>
      <c r="Q737" s="57"/>
      <c r="R737" s="57"/>
      <c r="S737" s="57"/>
      <c r="T737" s="57"/>
      <c r="U737" s="57"/>
      <c r="V737" s="57"/>
      <c r="W737" s="57"/>
      <c r="X737" s="57"/>
      <c r="Y737" s="57"/>
      <c r="Z737" s="57"/>
    </row>
    <row r="738">
      <c r="A738" s="56" t="str">
        <f>IFERROR(__xludf.DUMMYFUNCTION("IF('AYIRA MINI MART FINAL MENU - Pr'!A738="""", """", IF(LEN(TRIM(REGEXREPLACE(REGEXREPLACE('AYIRA MINI MART FINAL MENU - Pr'!A738, ""^[^\x{0600}-\x{06FF}]+"", """"), ""^[-–\s]+"", """")))&gt;0, TRIM(REGEXREPLACE(REGEXREPLACE('AYIRA MINI MART FINAL MENU - Pr"&amp;"'!A738, ""^[^\x{0600}-\x{06FF}]+"", """"), ""^[-–\s]+"", """")), GOOGLETRANSLATE('AYIRA MINI MART FINAL MENU - Pr'!A738, ""en"", ""ar"")))"),"تويكس Miniatures 150 غرام")</f>
        <v>تويكس Miniatures 150 غرام</v>
      </c>
      <c r="B738" s="56" t="str">
        <f>IFERROR(__xludf.DUMMYFUNCTION("IF('AYIRA MINI MART FINAL MENU - Pr'!B738="""", """", IF(LEN(TRIM(REGEXREPLACE(REGEXREPLACE('AYIRA MINI MART FINAL MENU - Pr'!B738, ""^[^\x{0600}-\x{06FF}]+"", """"), ""^[-–\s]+"", """")))&gt;0, TRIM(REGEXREPLACE(REGEXREPLACE('AYIRA MINI MART FINAL MENU - Pr"&amp;"'!B738, ""^[^\x{0600}-\x{06FF}]+"", """"), ""^[-–\s]+"", """")), GOOGLETRANSLATE('AYIRA MINI MART FINAL MENU - Pr'!B738, ""en"", ""ar"")))"),"الشوكولاتة")</f>
        <v>الشوكولاتة</v>
      </c>
      <c r="C738" s="58">
        <f>IF('AYIRA MINI MART FINAL MENU - Pr'!C738="", "", 'AYIRA MINI MART FINAL MENU - Pr'!C738)</f>
        <v>13.5</v>
      </c>
      <c r="D738" s="58" t="str">
        <f>IF('AYIRA MINI MART FINAL MENU - Pr'!D738="", "", 'AYIRA MINI MART FINAL MENU - Pr'!D738)</f>
        <v>دلّل حواسك مع تويكس،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38" s="56" t="str">
        <f>IF('AYIRA MINI MART FINAL MENU - Pr'!E738="", "", 'AYIRA MINI MART FINAL MENU - Pr'!E738)</f>
        <v/>
      </c>
      <c r="F738" s="56" t="str">
        <f>IF('AYIRA MINI MART FINAL MENU - Pr'!F738="", "", 'AYIRA MINI MART FINAL MENU - Pr'!F738)</f>
        <v/>
      </c>
      <c r="G738" s="56" t="str">
        <f>IF('AYIRA MINI MART FINAL MENU - Pr'!G738="", "", 'AYIRA MINI MART FINAL MENU - Pr'!G738)</f>
        <v/>
      </c>
      <c r="H738" s="56" t="str">
        <f>IF('AYIRA MINI MART FINAL MENU - Pr'!H738="", "", 'AYIRA MINI MART FINAL MENU - Pr'!H738)</f>
        <v/>
      </c>
      <c r="I738" s="56" t="str">
        <f>IF('AYIRA MINI MART FINAL MENU - Pr'!I738="", "", 'AYIRA MINI MART FINAL MENU - Pr'!I738)</f>
        <v/>
      </c>
      <c r="J738" s="56" t="str">
        <f>IFERROR(__xludf.DUMMYFUNCTION("IF('AYIRA MINI MART FINAL MENU - Pr'!J738="""", """", GOOGLETRANSLATE('AYIRA MINI MART FINAL MENU - Pr'!J738, ""en"", ""ar""))"),"")</f>
        <v/>
      </c>
      <c r="K738" s="56" t="str">
        <f>IF('AYIRA MINI MART FINAL MENU - Pr'!K738="", "", 'AYIRA MINI MART FINAL MENU - Pr'!K738)</f>
        <v/>
      </c>
      <c r="L738" s="56" t="str">
        <f>IF('AYIRA MINI MART FINAL MENU - Pr'!L738="", "", 'AYIRA MINI MART FINAL MENU - Pr'!L738)</f>
        <v/>
      </c>
      <c r="M738" s="56" t="str">
        <f>IF('AYIRA MINI MART FINAL MENU - Pr'!M738="", "", 'AYIRA MINI MART FINAL MENU - Pr'!M738)</f>
        <v/>
      </c>
      <c r="N738" s="56" t="str">
        <f>IF('AYIRA MINI MART FINAL MENU - Pr'!N738="", "", 'AYIRA MINI MART FINAL MENU - Pr'!N738)</f>
        <v/>
      </c>
      <c r="O738" s="57"/>
      <c r="P738" s="57"/>
      <c r="Q738" s="57"/>
      <c r="R738" s="57"/>
      <c r="S738" s="57"/>
      <c r="T738" s="57"/>
      <c r="U738" s="57"/>
      <c r="V738" s="57"/>
      <c r="W738" s="57"/>
      <c r="X738" s="57"/>
      <c r="Y738" s="57"/>
      <c r="Z738" s="57"/>
    </row>
    <row r="739">
      <c r="A739" s="56" t="str">
        <f>IFERROR(__xludf.DUMMYFUNCTION("IF('AYIRA MINI MART FINAL MENU - Pr'!A739="""", """", IF(LEN(TRIM(REGEXREPLACE(REGEXREPLACE('AYIRA MINI MART FINAL MENU - Pr'!A739, ""^[^\x{0600}-\x{06FF}]+"", """"), ""^[-–\s]+"", """")))&gt;0, TRIM(REGEXREPLACE(REGEXREPLACE('AYIRA MINI MART FINAL MENU - Pr"&amp;"'!A739, ""^[^\x{0600}-\x{06FF}]+"", """"), ""^[-–\s]+"", """")), GOOGLETRANSLATE('AYIRA MINI MART FINAL MENU - Pr'!A739, ""en"", ""ar"")))"),"باونتي Miniatures 150 غرام")</f>
        <v>باونتي Miniatures 150 غرام</v>
      </c>
      <c r="B739" s="56" t="str">
        <f>IFERROR(__xludf.DUMMYFUNCTION("IF('AYIRA MINI MART FINAL MENU - Pr'!B739="""", """", IF(LEN(TRIM(REGEXREPLACE(REGEXREPLACE('AYIRA MINI MART FINAL MENU - Pr'!B739, ""^[^\x{0600}-\x{06FF}]+"", """"), ""^[-–\s]+"", """")))&gt;0, TRIM(REGEXREPLACE(REGEXREPLACE('AYIRA MINI MART FINAL MENU - Pr"&amp;"'!B739, ""^[^\x{0600}-\x{06FF}]+"", """"), ""^[-–\s]+"", """")), GOOGLETRANSLATE('AYIRA MINI MART FINAL MENU - Pr'!B739, ""en"", ""ar"")))"),"الشوكولاتة")</f>
        <v>الشوكولاتة</v>
      </c>
      <c r="C739" s="58">
        <f>IF('AYIRA MINI MART FINAL MENU - Pr'!C739="", "", 'AYIRA MINI MART FINAL MENU - Pr'!C739)</f>
        <v>13.5</v>
      </c>
      <c r="D739" s="58" t="str">
        <f>IF('AYIRA MINI MART FINAL MENU - Pr'!D739="", "", 'AYIRA MINI MART FINAL MENU - Pr'!D739)</f>
        <v>دلّل حواسك مع باونتي،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39" s="56" t="str">
        <f>IF('AYIRA MINI MART FINAL MENU - Pr'!E739="", "", 'AYIRA MINI MART FINAL MENU - Pr'!E739)</f>
        <v/>
      </c>
      <c r="F739" s="56" t="str">
        <f>IF('AYIRA MINI MART FINAL MENU - Pr'!F739="", "", 'AYIRA MINI MART FINAL MENU - Pr'!F739)</f>
        <v/>
      </c>
      <c r="G739" s="56" t="str">
        <f>IF('AYIRA MINI MART FINAL MENU - Pr'!G739="", "", 'AYIRA MINI MART FINAL MENU - Pr'!G739)</f>
        <v/>
      </c>
      <c r="H739" s="56" t="str">
        <f>IF('AYIRA MINI MART FINAL MENU - Pr'!H739="", "", 'AYIRA MINI MART FINAL MENU - Pr'!H739)</f>
        <v/>
      </c>
      <c r="I739" s="56" t="str">
        <f>IF('AYIRA MINI MART FINAL MENU - Pr'!I739="", "", 'AYIRA MINI MART FINAL MENU - Pr'!I739)</f>
        <v/>
      </c>
      <c r="J739" s="56" t="str">
        <f>IFERROR(__xludf.DUMMYFUNCTION("IF('AYIRA MINI MART FINAL MENU - Pr'!J739="""", """", GOOGLETRANSLATE('AYIRA MINI MART FINAL MENU - Pr'!J739, ""en"", ""ar""))"),"")</f>
        <v/>
      </c>
      <c r="K739" s="56" t="str">
        <f>IF('AYIRA MINI MART FINAL MENU - Pr'!K739="", "", 'AYIRA MINI MART FINAL MENU - Pr'!K739)</f>
        <v/>
      </c>
      <c r="L739" s="56" t="str">
        <f>IF('AYIRA MINI MART FINAL MENU - Pr'!L739="", "", 'AYIRA MINI MART FINAL MENU - Pr'!L739)</f>
        <v/>
      </c>
      <c r="M739" s="56" t="str">
        <f>IF('AYIRA MINI MART FINAL MENU - Pr'!M739="", "", 'AYIRA MINI MART FINAL MENU - Pr'!M739)</f>
        <v/>
      </c>
      <c r="N739" s="56" t="str">
        <f>IF('AYIRA MINI MART FINAL MENU - Pr'!N739="", "", 'AYIRA MINI MART FINAL MENU - Pr'!N739)</f>
        <v/>
      </c>
      <c r="O739" s="57"/>
      <c r="P739" s="57"/>
      <c r="Q739" s="57"/>
      <c r="R739" s="57"/>
      <c r="S739" s="57"/>
      <c r="T739" s="57"/>
      <c r="U739" s="57"/>
      <c r="V739" s="57"/>
      <c r="W739" s="57"/>
      <c r="X739" s="57"/>
      <c r="Y739" s="57"/>
      <c r="Z739" s="57"/>
    </row>
    <row r="740">
      <c r="A740" s="56" t="str">
        <f>IFERROR(__xludf.DUMMYFUNCTION("IF('AYIRA MINI MART FINAL MENU - Pr'!A740="""", """", IF(LEN(TRIM(REGEXREPLACE(REGEXREPLACE('AYIRA MINI MART FINAL MENU - Pr'!A740, ""^[^\x{0600}-\x{06FF}]+"", """"), ""^[-–\s]+"", """")))&gt;0, TRIM(REGEXREPLACE(REGEXREPLACE('AYIRA MINI MART FINAL MENU - Pr"&amp;"'!A740, ""^[^\x{0600}-\x{06FF}]+"", """"), ""^[-–\s]+"", """")), GOOGLETRANSLATE('AYIRA MINI MART FINAL MENU - Pr'!A740, ""en"", ""ar"")))"),"آيس كريم 100 غرام")</f>
        <v>آيس كريم 100 غرام</v>
      </c>
      <c r="B740" s="56" t="str">
        <f>IFERROR(__xludf.DUMMYFUNCTION("IF('AYIRA MINI MART FINAL MENU - Pr'!B740="""", """", IF(LEN(TRIM(REGEXREPLACE(REGEXREPLACE('AYIRA MINI MART FINAL MENU - Pr'!B740, ""^[^\x{0600}-\x{06FF}]+"", """"), ""^[-–\s]+"", """")))&gt;0, TRIM(REGEXREPLACE(REGEXREPLACE('AYIRA MINI MART FINAL MENU - Pr"&amp;"'!B740, ""^[^\x{0600}-\x{06FF}]+"", """"), ""^[-–\s]+"", """")), GOOGLETRANSLATE('AYIRA MINI MART FINAL MENU - Pr'!B740, ""en"", ""ar"")))"),"الحلوى 🍬")</f>
        <v>الحلوى 🍬</v>
      </c>
      <c r="C740" s="58">
        <f>IF('AYIRA MINI MART FINAL MENU - Pr'!C740="", "", 'AYIRA MINI MART FINAL MENU - Pr'!C740)</f>
        <v>14</v>
      </c>
      <c r="D740" s="58" t="str">
        <f>IF('AYIRA MINI MART FINAL MENU - Pr'!D740="", "", 'AYIRA MINI MART FINAL MENU - Pr'!D740)</f>
        <v>برّد أيامك الحارة مع Erko Mallow Plus Fat-Free Ice Cream 100g،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740" s="56" t="str">
        <f>IF('AYIRA MINI MART FINAL MENU - Pr'!E740="", "", 'AYIRA MINI MART FINAL MENU - Pr'!E740)</f>
        <v/>
      </c>
      <c r="F740" s="56" t="str">
        <f>IF('AYIRA MINI MART FINAL MENU - Pr'!F740="", "", 'AYIRA MINI MART FINAL MENU - Pr'!F740)</f>
        <v/>
      </c>
      <c r="G740" s="56" t="str">
        <f>IF('AYIRA MINI MART FINAL MENU - Pr'!G740="", "", 'AYIRA MINI MART FINAL MENU - Pr'!G740)</f>
        <v/>
      </c>
      <c r="H740" s="56" t="str">
        <f>IF('AYIRA MINI MART FINAL MENU - Pr'!H740="", "", 'AYIRA MINI MART FINAL MENU - Pr'!H740)</f>
        <v/>
      </c>
      <c r="I740" s="56" t="str">
        <f>IF('AYIRA MINI MART FINAL MENU - Pr'!I740="", "", 'AYIRA MINI MART FINAL MENU - Pr'!I740)</f>
        <v/>
      </c>
      <c r="J740" s="56" t="str">
        <f>IFERROR(__xludf.DUMMYFUNCTION("IF('AYIRA MINI MART FINAL MENU - Pr'!J740="""", """", GOOGLETRANSLATE('AYIRA MINI MART FINAL MENU - Pr'!J740, ""en"", ""ar""))"),"")</f>
        <v/>
      </c>
      <c r="K740" s="56" t="str">
        <f>IF('AYIRA MINI MART FINAL MENU - Pr'!K740="", "", 'AYIRA MINI MART FINAL MENU - Pr'!K740)</f>
        <v/>
      </c>
      <c r="L740" s="56" t="str">
        <f>IF('AYIRA MINI MART FINAL MENU - Pr'!L740="", "", 'AYIRA MINI MART FINAL MENU - Pr'!L740)</f>
        <v/>
      </c>
      <c r="M740" s="56" t="str">
        <f>IF('AYIRA MINI MART FINAL MENU - Pr'!M740="", "", 'AYIRA MINI MART FINAL MENU - Pr'!M740)</f>
        <v/>
      </c>
      <c r="N740" s="56" t="str">
        <f>IF('AYIRA MINI MART FINAL MENU - Pr'!N740="", "", 'AYIRA MINI MART FINAL MENU - Pr'!N740)</f>
        <v/>
      </c>
      <c r="O740" s="57"/>
      <c r="P740" s="57"/>
      <c r="Q740" s="57"/>
      <c r="R740" s="57"/>
      <c r="S740" s="57"/>
      <c r="T740" s="57"/>
      <c r="U740" s="57"/>
      <c r="V740" s="57"/>
      <c r="W740" s="57"/>
      <c r="X740" s="57"/>
      <c r="Y740" s="57"/>
      <c r="Z740" s="57"/>
    </row>
    <row r="741">
      <c r="A741" s="56" t="str">
        <f>IFERROR(__xludf.DUMMYFUNCTION("IF('AYIRA MINI MART FINAL MENU - Pr'!A741="""", """", IF(LEN(TRIM(REGEXREPLACE(REGEXREPLACE('AYIRA MINI MART FINAL MENU - Pr'!A741, ""^[^\x{0600}-\x{06FF}]+"", """"), ""^[-–\s]+"", """")))&gt;0, TRIM(REGEXREPLACE(REGEXREPLACE('AYIRA MINI MART FINAL MENU - Pr"&amp;"'!A741, ""^[^\x{0600}-\x{06FF}]+"", """"), ""^[-–\s]+"", """")), GOOGLETRANSLATE('AYIRA MINI MART FINAL MENU - Pr'!A741, ""en"", ""ar"")))"),"آيس كريم Jam-Filled Mallow 100 غرام")</f>
        <v>آيس كريم Jam-Filled Mallow 100 غرام</v>
      </c>
      <c r="B741" s="56" t="str">
        <f>IFERROR(__xludf.DUMMYFUNCTION("IF('AYIRA MINI MART FINAL MENU - Pr'!B741="""", """", IF(LEN(TRIM(REGEXREPLACE(REGEXREPLACE('AYIRA MINI MART FINAL MENU - Pr'!B741, ""^[^\x{0600}-\x{06FF}]+"", """"), ""^[-–\s]+"", """")))&gt;0, TRIM(REGEXREPLACE(REGEXREPLACE('AYIRA MINI MART FINAL MENU - Pr"&amp;"'!B741, ""^[^\x{0600}-\x{06FF}]+"", """"), ""^[-–\s]+"", """")), GOOGLETRANSLATE('AYIRA MINI MART FINAL MENU - Pr'!B741, ""en"", ""ar"")))"),"الحلوى 🍬")</f>
        <v>الحلوى 🍬</v>
      </c>
      <c r="C741" s="58">
        <f>IF('AYIRA MINI MART FINAL MENU - Pr'!C741="", "", 'AYIRA MINI MART FINAL MENU - Pr'!C741)</f>
        <v>6</v>
      </c>
      <c r="D741" s="58" t="str">
        <f>IF('AYIRA MINI MART FINAL MENU - Pr'!D741="", "", 'AYIRA MINI MART FINAL MENU - Pr'!D741)</f>
        <v>برّد أيامك الحارة مع Ice Cream Jam-Filled Mallow 100g،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741" s="56" t="str">
        <f>IF('AYIRA MINI MART FINAL MENU - Pr'!E741="", "", 'AYIRA MINI MART FINAL MENU - Pr'!E741)</f>
        <v/>
      </c>
      <c r="F741" s="56" t="str">
        <f>IF('AYIRA MINI MART FINAL MENU - Pr'!F741="", "", 'AYIRA MINI MART FINAL MENU - Pr'!F741)</f>
        <v/>
      </c>
      <c r="G741" s="56" t="str">
        <f>IF('AYIRA MINI MART FINAL MENU - Pr'!G741="", "", 'AYIRA MINI MART FINAL MENU - Pr'!G741)</f>
        <v/>
      </c>
      <c r="H741" s="56" t="str">
        <f>IF('AYIRA MINI MART FINAL MENU - Pr'!H741="", "", 'AYIRA MINI MART FINAL MENU - Pr'!H741)</f>
        <v/>
      </c>
      <c r="I741" s="56" t="str">
        <f>IF('AYIRA MINI MART FINAL MENU - Pr'!I741="", "", 'AYIRA MINI MART FINAL MENU - Pr'!I741)</f>
        <v/>
      </c>
      <c r="J741" s="56" t="str">
        <f>IFERROR(__xludf.DUMMYFUNCTION("IF('AYIRA MINI MART FINAL MENU - Pr'!J741="""", """", GOOGLETRANSLATE('AYIRA MINI MART FINAL MENU - Pr'!J741, ""en"", ""ar""))"),"")</f>
        <v/>
      </c>
      <c r="K741" s="56" t="str">
        <f>IF('AYIRA MINI MART FINAL MENU - Pr'!K741="", "", 'AYIRA MINI MART FINAL MENU - Pr'!K741)</f>
        <v/>
      </c>
      <c r="L741" s="56" t="str">
        <f>IF('AYIRA MINI MART FINAL MENU - Pr'!L741="", "", 'AYIRA MINI MART FINAL MENU - Pr'!L741)</f>
        <v/>
      </c>
      <c r="M741" s="56" t="str">
        <f>IF('AYIRA MINI MART FINAL MENU - Pr'!M741="", "", 'AYIRA MINI MART FINAL MENU - Pr'!M741)</f>
        <v/>
      </c>
      <c r="N741" s="56" t="str">
        <f>IF('AYIRA MINI MART FINAL MENU - Pr'!N741="", "", 'AYIRA MINI MART FINAL MENU - Pr'!N741)</f>
        <v/>
      </c>
      <c r="O741" s="57"/>
      <c r="P741" s="57"/>
      <c r="Q741" s="57"/>
      <c r="R741" s="57"/>
      <c r="S741" s="57"/>
      <c r="T741" s="57"/>
      <c r="U741" s="57"/>
      <c r="V741" s="57"/>
      <c r="W741" s="57"/>
      <c r="X741" s="57"/>
      <c r="Y741" s="57"/>
      <c r="Z741" s="57"/>
    </row>
    <row r="742">
      <c r="A742" s="56" t="str">
        <f>IFERROR(__xludf.DUMMYFUNCTION("IF('AYIRA MINI MART FINAL MENU - Pr'!A742="""", """", IF(LEN(TRIM(REGEXREPLACE(REGEXREPLACE('AYIRA MINI MART FINAL MENU - Pr'!A742, ""^[^\x{0600}-\x{06FF}]+"", """"), ""^[-–\s]+"", """")))&gt;0, TRIM(REGEXREPLACE(REGEXREPLACE('AYIRA MINI MART FINAL MENU - Pr"&amp;"'!A742, ""^[^\x{0600}-\x{06FF}]+"", """"), ""^[-–\s]+"", """")), GOOGLETRANSLATE('AYIRA MINI MART FINAL MENU - Pr'!A742, ""en"", ""ar"")))"),"أبيض Mallow 150 غرام")</f>
        <v>أبيض Mallow 150 غرام</v>
      </c>
      <c r="B742" s="56" t="str">
        <f>IFERROR(__xludf.DUMMYFUNCTION("IF('AYIRA MINI MART FINAL MENU - Pr'!B742="""", """", IF(LEN(TRIM(REGEXREPLACE(REGEXREPLACE('AYIRA MINI MART FINAL MENU - Pr'!B742, ""^[^\x{0600}-\x{06FF}]+"", """"), ""^[-–\s]+"", """")))&gt;0, TRIM(REGEXREPLACE(REGEXREPLACE('AYIRA MINI MART FINAL MENU - Pr"&amp;"'!B742, ""^[^\x{0600}-\x{06FF}]+"", """"), ""^[-–\s]+"", """")), GOOGLETRANSLATE('AYIRA MINI MART FINAL MENU - Pr'!B742, ""en"", ""ar"")))"),"الحلوى 🍬")</f>
        <v>الحلوى 🍬</v>
      </c>
      <c r="C742" s="58">
        <f>IF('AYIRA MINI MART FINAL MENU - Pr'!C742="", "", 'AYIRA MINI MART FINAL MENU - Pr'!C742)</f>
        <v>5</v>
      </c>
      <c r="D742" s="58" t="str">
        <f>IF('AYIRA MINI MART FINAL MENU - Pr'!D742="", "", 'AYIRA MINI MART FINAL MENU - Pr'!D742)</f>
        <v>لا تقاوم طعم Erko Mallow World Pink &amp; White Mallow 150g،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42" s="56" t="str">
        <f>IF('AYIRA MINI MART FINAL MENU - Pr'!E742="", "", 'AYIRA MINI MART FINAL MENU - Pr'!E742)</f>
        <v/>
      </c>
      <c r="F742" s="56" t="str">
        <f>IF('AYIRA MINI MART FINAL MENU - Pr'!F742="", "", 'AYIRA MINI MART FINAL MENU - Pr'!F742)</f>
        <v/>
      </c>
      <c r="G742" s="56" t="str">
        <f>IF('AYIRA MINI MART FINAL MENU - Pr'!G742="", "", 'AYIRA MINI MART FINAL MENU - Pr'!G742)</f>
        <v/>
      </c>
      <c r="H742" s="56" t="str">
        <f>IF('AYIRA MINI MART FINAL MENU - Pr'!H742="", "", 'AYIRA MINI MART FINAL MENU - Pr'!H742)</f>
        <v/>
      </c>
      <c r="I742" s="56" t="str">
        <f>IF('AYIRA MINI MART FINAL MENU - Pr'!I742="", "", 'AYIRA MINI MART FINAL MENU - Pr'!I742)</f>
        <v/>
      </c>
      <c r="J742" s="56" t="str">
        <f>IFERROR(__xludf.DUMMYFUNCTION("IF('AYIRA MINI MART FINAL MENU - Pr'!J742="""", """", GOOGLETRANSLATE('AYIRA MINI MART FINAL MENU - Pr'!J742, ""en"", ""ar""))"),"")</f>
        <v/>
      </c>
      <c r="K742" s="56" t="str">
        <f>IF('AYIRA MINI MART FINAL MENU - Pr'!K742="", "", 'AYIRA MINI MART FINAL MENU - Pr'!K742)</f>
        <v/>
      </c>
      <c r="L742" s="56" t="str">
        <f>IF('AYIRA MINI MART FINAL MENU - Pr'!L742="", "", 'AYIRA MINI MART FINAL MENU - Pr'!L742)</f>
        <v/>
      </c>
      <c r="M742" s="56" t="str">
        <f>IF('AYIRA MINI MART FINAL MENU - Pr'!M742="", "", 'AYIRA MINI MART FINAL MENU - Pr'!M742)</f>
        <v/>
      </c>
      <c r="N742" s="56" t="str">
        <f>IF('AYIRA MINI MART FINAL MENU - Pr'!N742="", "", 'AYIRA MINI MART FINAL MENU - Pr'!N742)</f>
        <v/>
      </c>
      <c r="O742" s="57"/>
      <c r="P742" s="57"/>
      <c r="Q742" s="57"/>
      <c r="R742" s="57"/>
      <c r="S742" s="57"/>
      <c r="T742" s="57"/>
      <c r="U742" s="57"/>
      <c r="V742" s="57"/>
      <c r="W742" s="57"/>
      <c r="X742" s="57"/>
      <c r="Y742" s="57"/>
      <c r="Z742" s="57"/>
    </row>
    <row r="743">
      <c r="A743" s="56" t="str">
        <f>IFERROR(__xludf.DUMMYFUNCTION("IF('AYIRA MINI MART FINAL MENU - Pr'!A743="""", """", IF(LEN(TRIM(REGEXREPLACE(REGEXREPLACE('AYIRA MINI MART FINAL MENU - Pr'!A743, ""^[^\x{0600}-\x{06FF}]+"", """"), ""^[-–\s]+"", """")))&gt;0, TRIM(REGEXREPLACE(REGEXREPLACE('AYIRA MINI MART FINAL MENU - Pr"&amp;"'!A743, ""^[^\x{0600}-\x{06FF}]+"", """"), ""^[-–\s]+"", """")), GOOGLETRANSLATE('AYIRA MINI MART FINAL MENU - Pr'!A743, ""en"", ""ar"")))"),"غرام")</f>
        <v>غرام</v>
      </c>
      <c r="B743" s="56" t="str">
        <f>IFERROR(__xludf.DUMMYFUNCTION("IF('AYIRA MINI MART FINAL MENU - Pr'!B743="""", """", IF(LEN(TRIM(REGEXREPLACE(REGEXREPLACE('AYIRA MINI MART FINAL MENU - Pr'!B743, ""^[^\x{0600}-\x{06FF}]+"", """"), ""^[-–\s]+"", """")))&gt;0, TRIM(REGEXREPLACE(REGEXREPLACE('AYIRA MINI MART FINAL MENU - Pr"&amp;"'!B743, ""^[^\x{0600}-\x{06FF}]+"", """"), ""^[-–\s]+"", """")), GOOGLETRANSLATE('AYIRA MINI MART FINAL MENU - Pr'!B743, ""en"", ""ar"")))"),"الحلوى 🍬")</f>
        <v>الحلوى 🍬</v>
      </c>
      <c r="C743" s="58">
        <f>IF('AYIRA MINI MART FINAL MENU - Pr'!C743="", "", 'AYIRA MINI MART FINAL MENU - Pr'!C743)</f>
        <v>6</v>
      </c>
      <c r="D743" s="58" t="str">
        <f>IF('AYIRA MINI MART FINAL MENU - Pr'!D743="", "", 'AYIRA MINI MART FINAL MENU - Pr'!D743)</f>
        <v>لا تقاوم طعم Erko Mallow World 120g،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43" s="56" t="str">
        <f>IF('AYIRA MINI MART FINAL MENU - Pr'!E743="", "", 'AYIRA MINI MART FINAL MENU - Pr'!E743)</f>
        <v/>
      </c>
      <c r="F743" s="56" t="str">
        <f>IF('AYIRA MINI MART FINAL MENU - Pr'!F743="", "", 'AYIRA MINI MART FINAL MENU - Pr'!F743)</f>
        <v/>
      </c>
      <c r="G743" s="56" t="str">
        <f>IF('AYIRA MINI MART FINAL MENU - Pr'!G743="", "", 'AYIRA MINI MART FINAL MENU - Pr'!G743)</f>
        <v/>
      </c>
      <c r="H743" s="56" t="str">
        <f>IF('AYIRA MINI MART FINAL MENU - Pr'!H743="", "", 'AYIRA MINI MART FINAL MENU - Pr'!H743)</f>
        <v/>
      </c>
      <c r="I743" s="56" t="str">
        <f>IF('AYIRA MINI MART FINAL MENU - Pr'!I743="", "", 'AYIRA MINI MART FINAL MENU - Pr'!I743)</f>
        <v/>
      </c>
      <c r="J743" s="56" t="str">
        <f>IFERROR(__xludf.DUMMYFUNCTION("IF('AYIRA MINI MART FINAL MENU - Pr'!J743="""", """", GOOGLETRANSLATE('AYIRA MINI MART FINAL MENU - Pr'!J743, ""en"", ""ar""))"),"")</f>
        <v/>
      </c>
      <c r="K743" s="56" t="str">
        <f>IF('AYIRA MINI MART FINAL MENU - Pr'!K743="", "", 'AYIRA MINI MART FINAL MENU - Pr'!K743)</f>
        <v/>
      </c>
      <c r="L743" s="56" t="str">
        <f>IF('AYIRA MINI MART FINAL MENU - Pr'!L743="", "", 'AYIRA MINI MART FINAL MENU - Pr'!L743)</f>
        <v/>
      </c>
      <c r="M743" s="56" t="str">
        <f>IF('AYIRA MINI MART FINAL MENU - Pr'!M743="", "", 'AYIRA MINI MART FINAL MENU - Pr'!M743)</f>
        <v/>
      </c>
      <c r="N743" s="56" t="str">
        <f>IF('AYIRA MINI MART FINAL MENU - Pr'!N743="", "", 'AYIRA MINI MART FINAL MENU - Pr'!N743)</f>
        <v/>
      </c>
      <c r="O743" s="57"/>
      <c r="P743" s="57"/>
      <c r="Q743" s="57"/>
      <c r="R743" s="57"/>
      <c r="S743" s="57"/>
      <c r="T743" s="57"/>
      <c r="U743" s="57"/>
      <c r="V743" s="57"/>
      <c r="W743" s="57"/>
      <c r="X743" s="57"/>
      <c r="Y743" s="57"/>
      <c r="Z743" s="57"/>
    </row>
    <row r="744">
      <c r="A744" s="56" t="str">
        <f>IFERROR(__xludf.DUMMYFUNCTION("IF('AYIRA MINI MART FINAL MENU - Pr'!A744="""", """", IF(LEN(TRIM(REGEXREPLACE(REGEXREPLACE('AYIRA MINI MART FINAL MENU - Pr'!A744, ""^[^\x{0600}-\x{06FF}]+"", """"), ""^[-–\s]+"", """")))&gt;0, TRIM(REGEXREPLACE(REGEXREPLACE('AYIRA MINI MART FINAL MENU - Pr"&amp;"'!A744, ""^[^\x{0600}-\x{06FF}]+"", """"), ""^[-–\s]+"", """")), GOOGLETRANSLATE('AYIRA MINI MART FINAL MENU - Pr'!A744, ""en"", ""ar"")))"),"حليب شوكولاتة 100 غرام")</f>
        <v>حليب شوكولاتة 100 غرام</v>
      </c>
      <c r="B744" s="56" t="str">
        <f>IFERROR(__xludf.DUMMYFUNCTION("IF('AYIRA MINI MART FINAL MENU - Pr'!B744="""", """", IF(LEN(TRIM(REGEXREPLACE(REGEXREPLACE('AYIRA MINI MART FINAL MENU - Pr'!B744, ""^[^\x{0600}-\x{06FF}]+"", """"), ""^[-–\s]+"", """")))&gt;0, TRIM(REGEXREPLACE(REGEXREPLACE('AYIRA MINI MART FINAL MENU - Pr"&amp;"'!B744, ""^[^\x{0600}-\x{06FF}]+"", """"), ""^[-–\s]+"", """")), GOOGLETRANSLATE('AYIRA MINI MART FINAL MENU - Pr'!B744, ""en"", ""ar"")))"),"الشوكولاتة")</f>
        <v>الشوكولاتة</v>
      </c>
      <c r="C744" s="58">
        <f>IF('AYIRA MINI MART FINAL MENU - Pr'!C744="", "", 'AYIRA MINI MART FINAL MENU - Pr'!C744)</f>
        <v>10</v>
      </c>
      <c r="D744" s="58" t="str">
        <f>IF('AYIRA MINI MART FINAL MENU - Pr'!D744="", "", 'AYIRA MINI MART FINAL MENU - Pr'!D744)</f>
        <v>دلّل حواسك مع Schogetten Alpine Milk Chocolate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44" s="56" t="str">
        <f>IF('AYIRA MINI MART FINAL MENU - Pr'!E744="", "", 'AYIRA MINI MART FINAL MENU - Pr'!E744)</f>
        <v/>
      </c>
      <c r="F744" s="56" t="str">
        <f>IF('AYIRA MINI MART FINAL MENU - Pr'!F744="", "", 'AYIRA MINI MART FINAL MENU - Pr'!F744)</f>
        <v/>
      </c>
      <c r="G744" s="56" t="str">
        <f>IF('AYIRA MINI MART FINAL MENU - Pr'!G744="", "", 'AYIRA MINI MART FINAL MENU - Pr'!G744)</f>
        <v/>
      </c>
      <c r="H744" s="56" t="str">
        <f>IF('AYIRA MINI MART FINAL MENU - Pr'!H744="", "", 'AYIRA MINI MART FINAL MENU - Pr'!H744)</f>
        <v/>
      </c>
      <c r="I744" s="56" t="str">
        <f>IF('AYIRA MINI MART FINAL MENU - Pr'!I744="", "", 'AYIRA MINI MART FINAL MENU - Pr'!I744)</f>
        <v/>
      </c>
      <c r="J744" s="56" t="str">
        <f>IFERROR(__xludf.DUMMYFUNCTION("IF('AYIRA MINI MART FINAL MENU - Pr'!J744="""", """", GOOGLETRANSLATE('AYIRA MINI MART FINAL MENU - Pr'!J744, ""en"", ""ar""))"),"")</f>
        <v/>
      </c>
      <c r="K744" s="56" t="str">
        <f>IF('AYIRA MINI MART FINAL MENU - Pr'!K744="", "", 'AYIRA MINI MART FINAL MENU - Pr'!K744)</f>
        <v/>
      </c>
      <c r="L744" s="56" t="str">
        <f>IF('AYIRA MINI MART FINAL MENU - Pr'!L744="", "", 'AYIRA MINI MART FINAL MENU - Pr'!L744)</f>
        <v/>
      </c>
      <c r="M744" s="56" t="str">
        <f>IF('AYIRA MINI MART FINAL MENU - Pr'!M744="", "", 'AYIRA MINI MART FINAL MENU - Pr'!M744)</f>
        <v/>
      </c>
      <c r="N744" s="56" t="str">
        <f>IF('AYIRA MINI MART FINAL MENU - Pr'!N744="", "", 'AYIRA MINI MART FINAL MENU - Pr'!N744)</f>
        <v/>
      </c>
      <c r="O744" s="57"/>
      <c r="P744" s="57"/>
      <c r="Q744" s="57"/>
      <c r="R744" s="57"/>
      <c r="S744" s="57"/>
      <c r="T744" s="57"/>
      <c r="U744" s="57"/>
      <c r="V744" s="57"/>
      <c r="W744" s="57"/>
      <c r="X744" s="57"/>
      <c r="Y744" s="57"/>
      <c r="Z744" s="57"/>
    </row>
    <row r="745">
      <c r="A745" s="56" t="str">
        <f>IFERROR(__xludf.DUMMYFUNCTION("IF('AYIRA MINI MART FINAL MENU - Pr'!A745="""", """", IF(LEN(TRIM(REGEXREPLACE(REGEXREPLACE('AYIRA MINI MART FINAL MENU - Pr'!A745, ""^[^\x{0600}-\x{06FF}]+"", """"), ""^[-–\s]+"", """")))&gt;0, TRIM(REGEXREPLACE(REGEXREPLACE('AYIRA MINI MART FINAL MENU - Pr"&amp;"'!A745, ""^[^\x{0600}-\x{06FF}]+"", """"), ""^[-–\s]+"", """")), GOOGLETRANSLATE('AYIRA MINI MART FINAL MENU - Pr'!A745, ""en"", ""ar"")))"),"داكن شوكولاتة 100 غرام")</f>
        <v>داكن شوكولاتة 100 غرام</v>
      </c>
      <c r="B745" s="56" t="str">
        <f>IFERROR(__xludf.DUMMYFUNCTION("IF('AYIRA MINI MART FINAL MENU - Pr'!B745="""", """", IF(LEN(TRIM(REGEXREPLACE(REGEXREPLACE('AYIRA MINI MART FINAL MENU - Pr'!B745, ""^[^\x{0600}-\x{06FF}]+"", """"), ""^[-–\s]+"", """")))&gt;0, TRIM(REGEXREPLACE(REGEXREPLACE('AYIRA MINI MART FINAL MENU - Pr"&amp;"'!B745, ""^[^\x{0600}-\x{06FF}]+"", """"), ""^[-–\s]+"", """")), GOOGLETRANSLATE('AYIRA MINI MART FINAL MENU - Pr'!B745, ""en"", ""ar"")))"),"الشوكولاتة")</f>
        <v>الشوكولاتة</v>
      </c>
      <c r="C745" s="58">
        <f>IF('AYIRA MINI MART FINAL MENU - Pr'!C745="", "", 'AYIRA MINI MART FINAL MENU - Pr'!C745)</f>
        <v>10</v>
      </c>
      <c r="D745" s="58" t="str">
        <f>IF('AYIRA MINI MART FINAL MENU - Pr'!D745="", "", 'AYIRA MINI MART FINAL MENU - Pr'!D745)</f>
        <v>دلّل حواسك مع Schogetten Dark Chocolate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45" s="56" t="str">
        <f>IF('AYIRA MINI MART FINAL MENU - Pr'!E745="", "", 'AYIRA MINI MART FINAL MENU - Pr'!E745)</f>
        <v/>
      </c>
      <c r="F745" s="56" t="str">
        <f>IF('AYIRA MINI MART FINAL MENU - Pr'!F745="", "", 'AYIRA MINI MART FINAL MENU - Pr'!F745)</f>
        <v/>
      </c>
      <c r="G745" s="56" t="str">
        <f>IF('AYIRA MINI MART FINAL MENU - Pr'!G745="", "", 'AYIRA MINI MART FINAL MENU - Pr'!G745)</f>
        <v/>
      </c>
      <c r="H745" s="56" t="str">
        <f>IF('AYIRA MINI MART FINAL MENU - Pr'!H745="", "", 'AYIRA MINI MART FINAL MENU - Pr'!H745)</f>
        <v/>
      </c>
      <c r="I745" s="56" t="str">
        <f>IF('AYIRA MINI MART FINAL MENU - Pr'!I745="", "", 'AYIRA MINI MART FINAL MENU - Pr'!I745)</f>
        <v/>
      </c>
      <c r="J745" s="56" t="str">
        <f>IFERROR(__xludf.DUMMYFUNCTION("IF('AYIRA MINI MART FINAL MENU - Pr'!J745="""", """", GOOGLETRANSLATE('AYIRA MINI MART FINAL MENU - Pr'!J745, ""en"", ""ar""))"),"")</f>
        <v/>
      </c>
      <c r="K745" s="56" t="str">
        <f>IF('AYIRA MINI MART FINAL MENU - Pr'!K745="", "", 'AYIRA MINI MART FINAL MENU - Pr'!K745)</f>
        <v/>
      </c>
      <c r="L745" s="56" t="str">
        <f>IF('AYIRA MINI MART FINAL MENU - Pr'!L745="", "", 'AYIRA MINI MART FINAL MENU - Pr'!L745)</f>
        <v/>
      </c>
      <c r="M745" s="56" t="str">
        <f>IF('AYIRA MINI MART FINAL MENU - Pr'!M745="", "", 'AYIRA MINI MART FINAL MENU - Pr'!M745)</f>
        <v/>
      </c>
      <c r="N745" s="56" t="str">
        <f>IF('AYIRA MINI MART FINAL MENU - Pr'!N745="", "", 'AYIRA MINI MART FINAL MENU - Pr'!N745)</f>
        <v/>
      </c>
      <c r="O745" s="57"/>
      <c r="P745" s="57"/>
      <c r="Q745" s="57"/>
      <c r="R745" s="57"/>
      <c r="S745" s="57"/>
      <c r="T745" s="57"/>
      <c r="U745" s="57"/>
      <c r="V745" s="57"/>
      <c r="W745" s="57"/>
      <c r="X745" s="57"/>
      <c r="Y745" s="57"/>
      <c r="Z745" s="57"/>
    </row>
    <row r="746">
      <c r="A746" s="56" t="str">
        <f>IFERROR(__xludf.DUMMYFUNCTION("IF('AYIRA MINI MART FINAL MENU - Pr'!A746="""", """", IF(LEN(TRIM(REGEXREPLACE(REGEXREPLACE('AYIRA MINI MART FINAL MENU - Pr'!A746, ""^[^\x{0600}-\x{06FF}]+"", """"), ""^[-–\s]+"", """")))&gt;0, TRIM(REGEXREPLACE(REGEXREPLACE('AYIRA MINI MART FINAL MENU - Pr"&amp;"'!A746, ""^[^\x{0600}-\x{06FF}]+"", """"), ""^[-–\s]+"", """")), GOOGLETRANSLATE('AYIRA MINI MART FINAL MENU - Pr'!A746, ""en"", ""ar"")))"),"حليب شوكولاتة with Hazelnuts 100 غرام")</f>
        <v>حليب شوكولاتة with Hazelnuts 100 غرام</v>
      </c>
      <c r="B746" s="56" t="str">
        <f>IFERROR(__xludf.DUMMYFUNCTION("IF('AYIRA MINI MART FINAL MENU - Pr'!B746="""", """", IF(LEN(TRIM(REGEXREPLACE(REGEXREPLACE('AYIRA MINI MART FINAL MENU - Pr'!B746, ""^[^\x{0600}-\x{06FF}]+"", """"), ""^[-–\s]+"", """")))&gt;0, TRIM(REGEXREPLACE(REGEXREPLACE('AYIRA MINI MART FINAL MENU - Pr"&amp;"'!B746, ""^[^\x{0600}-\x{06FF}]+"", """"), ""^[-–\s]+"", """")), GOOGLETRANSLATE('AYIRA MINI MART FINAL MENU - Pr'!B746, ""en"", ""ar"")))"),"الشوكولاتة")</f>
        <v>الشوكولاتة</v>
      </c>
      <c r="C746" s="58">
        <f>IF('AYIRA MINI MART FINAL MENU - Pr'!C746="", "", 'AYIRA MINI MART FINAL MENU - Pr'!C746)</f>
        <v>10</v>
      </c>
      <c r="D746" s="58" t="str">
        <f>IF('AYIRA MINI MART FINAL MENU - Pr'!D746="", "", 'AYIRA MINI MART FINAL MENU - Pr'!D746)</f>
        <v>دلّل حواسك مع Schogetten Alpine Milk Chocolate with Hazelnuts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46" s="56" t="str">
        <f>IF('AYIRA MINI MART FINAL MENU - Pr'!E746="", "", 'AYIRA MINI MART FINAL MENU - Pr'!E746)</f>
        <v/>
      </c>
      <c r="F746" s="56" t="str">
        <f>IF('AYIRA MINI MART FINAL MENU - Pr'!F746="", "", 'AYIRA MINI MART FINAL MENU - Pr'!F746)</f>
        <v/>
      </c>
      <c r="G746" s="56" t="str">
        <f>IF('AYIRA MINI MART FINAL MENU - Pr'!G746="", "", 'AYIRA MINI MART FINAL MENU - Pr'!G746)</f>
        <v/>
      </c>
      <c r="H746" s="56" t="str">
        <f>IF('AYIRA MINI MART FINAL MENU - Pr'!H746="", "", 'AYIRA MINI MART FINAL MENU - Pr'!H746)</f>
        <v/>
      </c>
      <c r="I746" s="56" t="str">
        <f>IF('AYIRA MINI MART FINAL MENU - Pr'!I746="", "", 'AYIRA MINI MART FINAL MENU - Pr'!I746)</f>
        <v/>
      </c>
      <c r="J746" s="56" t="str">
        <f>IFERROR(__xludf.DUMMYFUNCTION("IF('AYIRA MINI MART FINAL MENU - Pr'!J746="""", """", GOOGLETRANSLATE('AYIRA MINI MART FINAL MENU - Pr'!J746, ""en"", ""ar""))"),"")</f>
        <v/>
      </c>
      <c r="K746" s="56" t="str">
        <f>IF('AYIRA MINI MART FINAL MENU - Pr'!K746="", "", 'AYIRA MINI MART FINAL MENU - Pr'!K746)</f>
        <v/>
      </c>
      <c r="L746" s="56" t="str">
        <f>IF('AYIRA MINI MART FINAL MENU - Pr'!L746="", "", 'AYIRA MINI MART FINAL MENU - Pr'!L746)</f>
        <v/>
      </c>
      <c r="M746" s="56" t="str">
        <f>IF('AYIRA MINI MART FINAL MENU - Pr'!M746="", "", 'AYIRA MINI MART FINAL MENU - Pr'!M746)</f>
        <v/>
      </c>
      <c r="N746" s="56" t="str">
        <f>IF('AYIRA MINI MART FINAL MENU - Pr'!N746="", "", 'AYIRA MINI MART FINAL MENU - Pr'!N746)</f>
        <v/>
      </c>
      <c r="O746" s="57"/>
      <c r="P746" s="57"/>
      <c r="Q746" s="57"/>
      <c r="R746" s="57"/>
      <c r="S746" s="57"/>
      <c r="T746" s="57"/>
      <c r="U746" s="57"/>
      <c r="V746" s="57"/>
      <c r="W746" s="57"/>
      <c r="X746" s="57"/>
      <c r="Y746" s="57"/>
      <c r="Z746" s="57"/>
    </row>
    <row r="747">
      <c r="A747" s="56" t="str">
        <f>IFERROR(__xludf.DUMMYFUNCTION("IF('AYIRA MINI MART FINAL MENU - Pr'!A747="""", """", IF(LEN(TRIM(REGEXREPLACE(REGEXREPLACE('AYIRA MINI MART FINAL MENU - Pr'!A747, ""^[^\x{0600}-\x{06FF}]+"", """"), ""^[-–\s]+"", """")))&gt;0, TRIM(REGEXREPLACE(REGEXREPLACE('AYIRA MINI MART FINAL MENU - Pr"&amp;"'!A747, ""^[^\x{0600}-\x{06FF}]+"", """"), ""^[-–\s]+"", """")), GOOGLETRANSLATE('AYIRA MINI MART FINAL MENU - Pr'!A747, ""en"", ""ar"")))"),"غرام")</f>
        <v>غرام</v>
      </c>
      <c r="B747" s="56" t="str">
        <f>IFERROR(__xludf.DUMMYFUNCTION("IF('AYIRA MINI MART FINAL MENU - Pr'!B747="""", """", IF(LEN(TRIM(REGEXREPLACE(REGEXREPLACE('AYIRA MINI MART FINAL MENU - Pr'!B747, ""^[^\x{0600}-\x{06FF}]+"", """"), ""^[-–\s]+"", """")))&gt;0, TRIM(REGEXREPLACE(REGEXREPLACE('AYIRA MINI MART FINAL MENU - Pr"&amp;"'!B747, ""^[^\x{0600}-\x{06FF}]+"", """"), ""^[-–\s]+"", """")), GOOGLETRANSLATE('AYIRA MINI MART FINAL MENU - Pr'!B747, ""en"", ""ar"")))"),"الشوكولاتة")</f>
        <v>الشوكولاتة</v>
      </c>
      <c r="C747" s="58">
        <f>IF('AYIRA MINI MART FINAL MENU - Pr'!C747="", "", 'AYIRA MINI MART FINAL MENU - Pr'!C747)</f>
        <v>10</v>
      </c>
      <c r="D747" s="58" t="str">
        <f>IF('AYIRA MINI MART FINAL MENU - Pr'!D747="", "", 'AYIRA MINI MART FINAL MENU - Pr'!D747)</f>
        <v>لا تقاوم طعم Schogetten Praline Noisettes 100g،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47" s="56" t="str">
        <f>IF('AYIRA MINI MART FINAL MENU - Pr'!E747="", "", 'AYIRA MINI MART FINAL MENU - Pr'!E747)</f>
        <v/>
      </c>
      <c r="F747" s="56" t="str">
        <f>IF('AYIRA MINI MART FINAL MENU - Pr'!F747="", "", 'AYIRA MINI MART FINAL MENU - Pr'!F747)</f>
        <v/>
      </c>
      <c r="G747" s="56" t="str">
        <f>IF('AYIRA MINI MART FINAL MENU - Pr'!G747="", "", 'AYIRA MINI MART FINAL MENU - Pr'!G747)</f>
        <v/>
      </c>
      <c r="H747" s="56" t="str">
        <f>IF('AYIRA MINI MART FINAL MENU - Pr'!H747="", "", 'AYIRA MINI MART FINAL MENU - Pr'!H747)</f>
        <v/>
      </c>
      <c r="I747" s="56" t="str">
        <f>IF('AYIRA MINI MART FINAL MENU - Pr'!I747="", "", 'AYIRA MINI MART FINAL MENU - Pr'!I747)</f>
        <v/>
      </c>
      <c r="J747" s="56" t="str">
        <f>IFERROR(__xludf.DUMMYFUNCTION("IF('AYIRA MINI MART FINAL MENU - Pr'!J747="""", """", GOOGLETRANSLATE('AYIRA MINI MART FINAL MENU - Pr'!J747, ""en"", ""ar""))"),"")</f>
        <v/>
      </c>
      <c r="K747" s="56" t="str">
        <f>IF('AYIRA MINI MART FINAL MENU - Pr'!K747="", "", 'AYIRA MINI MART FINAL MENU - Pr'!K747)</f>
        <v/>
      </c>
      <c r="L747" s="56" t="str">
        <f>IF('AYIRA MINI MART FINAL MENU - Pr'!L747="", "", 'AYIRA MINI MART FINAL MENU - Pr'!L747)</f>
        <v/>
      </c>
      <c r="M747" s="56" t="str">
        <f>IF('AYIRA MINI MART FINAL MENU - Pr'!M747="", "", 'AYIRA MINI MART FINAL MENU - Pr'!M747)</f>
        <v/>
      </c>
      <c r="N747" s="56" t="str">
        <f>IF('AYIRA MINI MART FINAL MENU - Pr'!N747="", "", 'AYIRA MINI MART FINAL MENU - Pr'!N747)</f>
        <v/>
      </c>
      <c r="O747" s="57"/>
      <c r="P747" s="57"/>
      <c r="Q747" s="57"/>
      <c r="R747" s="57"/>
      <c r="S747" s="57"/>
      <c r="T747" s="57"/>
      <c r="U747" s="57"/>
      <c r="V747" s="57"/>
      <c r="W747" s="57"/>
      <c r="X747" s="57"/>
      <c r="Y747" s="57"/>
      <c r="Z747" s="57"/>
    </row>
    <row r="748">
      <c r="A748" s="56" t="str">
        <f>IFERROR(__xludf.DUMMYFUNCTION("IF('AYIRA MINI MART FINAL MENU - Pr'!A748="""", """", IF(LEN(TRIM(REGEXREPLACE(REGEXREPLACE('AYIRA MINI MART FINAL MENU - Pr'!A748, ""^[^\x{0600}-\x{06FF}]+"", """"), ""^[-–\s]+"", """")))&gt;0, TRIM(REGEXREPLACE(REGEXREPLACE('AYIRA MINI MART FINAL MENU - Pr"&amp;"'!A748, ""^[^\x{0600}-\x{06FF}]+"", """"), ""^[-–\s]+"", """")), GOOGLETRANSLATE('AYIRA MINI MART FINAL MENU - Pr'!A748, ""en"", ""ar"")))"),"أبيض شوكولاتة 100 غرام")</f>
        <v>أبيض شوكولاتة 100 غرام</v>
      </c>
      <c r="B748" s="56" t="str">
        <f>IFERROR(__xludf.DUMMYFUNCTION("IF('AYIRA MINI MART FINAL MENU - Pr'!B748="""", """", IF(LEN(TRIM(REGEXREPLACE(REGEXREPLACE('AYIRA MINI MART FINAL MENU - Pr'!B748, ""^[^\x{0600}-\x{06FF}]+"", """"), ""^[-–\s]+"", """")))&gt;0, TRIM(REGEXREPLACE(REGEXREPLACE('AYIRA MINI MART FINAL MENU - Pr"&amp;"'!B748, ""^[^\x{0600}-\x{06FF}]+"", """"), ""^[-–\s]+"", """")), GOOGLETRANSLATE('AYIRA MINI MART FINAL MENU - Pr'!B748, ""en"", ""ar"")))"),"الشوكولاتة")</f>
        <v>الشوكولاتة</v>
      </c>
      <c r="C748" s="58">
        <f>IF('AYIRA MINI MART FINAL MENU - Pr'!C748="", "", 'AYIRA MINI MART FINAL MENU - Pr'!C748)</f>
        <v>10</v>
      </c>
      <c r="D748" s="58" t="str">
        <f>IF('AYIRA MINI MART FINAL MENU - Pr'!D748="", "", 'AYIRA MINI MART FINAL MENU - Pr'!D748)</f>
        <v>دلّل حواسك مع Schogetten White Chocolate 100g،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48" s="56" t="str">
        <f>IF('AYIRA MINI MART FINAL MENU - Pr'!E748="", "", 'AYIRA MINI MART FINAL MENU - Pr'!E748)</f>
        <v/>
      </c>
      <c r="F748" s="56" t="str">
        <f>IF('AYIRA MINI MART FINAL MENU - Pr'!F748="", "", 'AYIRA MINI MART FINAL MENU - Pr'!F748)</f>
        <v/>
      </c>
      <c r="G748" s="56" t="str">
        <f>IF('AYIRA MINI MART FINAL MENU - Pr'!G748="", "", 'AYIRA MINI MART FINAL MENU - Pr'!G748)</f>
        <v/>
      </c>
      <c r="H748" s="56" t="str">
        <f>IF('AYIRA MINI MART FINAL MENU - Pr'!H748="", "", 'AYIRA MINI MART FINAL MENU - Pr'!H748)</f>
        <v/>
      </c>
      <c r="I748" s="56" t="str">
        <f>IF('AYIRA MINI MART FINAL MENU - Pr'!I748="", "", 'AYIRA MINI MART FINAL MENU - Pr'!I748)</f>
        <v/>
      </c>
      <c r="J748" s="56" t="str">
        <f>IFERROR(__xludf.DUMMYFUNCTION("IF('AYIRA MINI MART FINAL MENU - Pr'!J748="""", """", GOOGLETRANSLATE('AYIRA MINI MART FINAL MENU - Pr'!J748, ""en"", ""ar""))"),"")</f>
        <v/>
      </c>
      <c r="K748" s="56" t="str">
        <f>IF('AYIRA MINI MART FINAL MENU - Pr'!K748="", "", 'AYIRA MINI MART FINAL MENU - Pr'!K748)</f>
        <v/>
      </c>
      <c r="L748" s="56" t="str">
        <f>IF('AYIRA MINI MART FINAL MENU - Pr'!L748="", "", 'AYIRA MINI MART FINAL MENU - Pr'!L748)</f>
        <v/>
      </c>
      <c r="M748" s="56" t="str">
        <f>IF('AYIRA MINI MART FINAL MENU - Pr'!M748="", "", 'AYIRA MINI MART FINAL MENU - Pr'!M748)</f>
        <v/>
      </c>
      <c r="N748" s="56" t="str">
        <f>IF('AYIRA MINI MART FINAL MENU - Pr'!N748="", "", 'AYIRA MINI MART FINAL MENU - Pr'!N748)</f>
        <v/>
      </c>
      <c r="O748" s="57"/>
      <c r="P748" s="57"/>
      <c r="Q748" s="57"/>
      <c r="R748" s="57"/>
      <c r="S748" s="57"/>
      <c r="T748" s="57"/>
      <c r="U748" s="57"/>
      <c r="V748" s="57"/>
      <c r="W748" s="57"/>
      <c r="X748" s="57"/>
      <c r="Y748" s="57"/>
      <c r="Z748" s="57"/>
    </row>
    <row r="749">
      <c r="A749" s="56" t="str">
        <f>IFERROR(__xludf.DUMMYFUNCTION("IF('AYIRA MINI MART FINAL MENU - Pr'!A749="""", """", IF(LEN(TRIM(REGEXREPLACE(REGEXREPLACE('AYIRA MINI MART FINAL MENU - Pr'!A749, ""^[^\x{0600}-\x{06FF}]+"", """"), ""^[-–\s]+"", """")))&gt;0, TRIM(REGEXREPLACE(REGEXREPLACE('AYIRA MINI MART FINAL MENU - Pr"&amp;"'!A749, ""^[^\x{0600}-\x{06FF}]+"", """"), ""^[-–\s]+"", """")), GOOGLETRANSLATE('AYIRA MINI MART FINAL MENU - Pr'!A749, ""en"", ""ar"")))"),"سكيتلز استوائي 38 غرام")</f>
        <v>سكيتلز استوائي 38 غرام</v>
      </c>
      <c r="B749" s="56" t="str">
        <f>IFERROR(__xludf.DUMMYFUNCTION("IF('AYIRA MINI MART FINAL MENU - Pr'!B749="""", """", IF(LEN(TRIM(REGEXREPLACE(REGEXREPLACE('AYIRA MINI MART FINAL MENU - Pr'!B749, ""^[^\x{0600}-\x{06FF}]+"", """"), ""^[-–\s]+"", """")))&gt;0, TRIM(REGEXREPLACE(REGEXREPLACE('AYIRA MINI MART FINAL MENU - Pr"&amp;"'!B749, ""^[^\x{0600}-\x{06FF}]+"", """"), ""^[-–\s]+"", """")), GOOGLETRANSLATE('AYIRA MINI MART FINAL MENU - Pr'!B749, ""en"", ""ar"")))"),"الشوكولاتة")</f>
        <v>الشوكولاتة</v>
      </c>
      <c r="C749" s="58">
        <f>IF('AYIRA MINI MART FINAL MENU - Pr'!C749="", "", 'AYIRA MINI MART FINAL MENU - Pr'!C749)</f>
        <v>2.5</v>
      </c>
      <c r="D749" s="58" t="str">
        <f>IF('AYIRA MINI MART FINAL MENU - Pr'!D749="", "", 'AYIRA MINI MART FINAL MENU - Pr'!D749)</f>
        <v>أضف لحظة حلوة إلى يومك مع سكيتلز،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49" s="56" t="str">
        <f>IF('AYIRA MINI MART FINAL MENU - Pr'!E749="", "", 'AYIRA MINI MART FINAL MENU - Pr'!E749)</f>
        <v/>
      </c>
      <c r="F749" s="56" t="str">
        <f>IF('AYIRA MINI MART FINAL MENU - Pr'!F749="", "", 'AYIRA MINI MART FINAL MENU - Pr'!F749)</f>
        <v/>
      </c>
      <c r="G749" s="56" t="str">
        <f>IF('AYIRA MINI MART FINAL MENU - Pr'!G749="", "", 'AYIRA MINI MART FINAL MENU - Pr'!G749)</f>
        <v/>
      </c>
      <c r="H749" s="56" t="str">
        <f>IF('AYIRA MINI MART FINAL MENU - Pr'!H749="", "", 'AYIRA MINI MART FINAL MENU - Pr'!H749)</f>
        <v/>
      </c>
      <c r="I749" s="56" t="str">
        <f>IF('AYIRA MINI MART FINAL MENU - Pr'!I749="", "", 'AYIRA MINI MART FINAL MENU - Pr'!I749)</f>
        <v/>
      </c>
      <c r="J749" s="56" t="str">
        <f>IFERROR(__xludf.DUMMYFUNCTION("IF('AYIRA MINI MART FINAL MENU - Pr'!J749="""", """", GOOGLETRANSLATE('AYIRA MINI MART FINAL MENU - Pr'!J749, ""en"", ""ar""))"),"")</f>
        <v/>
      </c>
      <c r="K749" s="58" t="str">
        <f>IF('AYIRA MINI MART FINAL MENU - Pr'!K749="", "", 'AYIRA MINI MART FINAL MENU - Pr'!K749)</f>
        <v/>
      </c>
      <c r="L749" s="56" t="str">
        <f>IF('AYIRA MINI MART FINAL MENU - Pr'!L749="", "", 'AYIRA MINI MART FINAL MENU - Pr'!L749)</f>
        <v/>
      </c>
      <c r="M749" s="56" t="str">
        <f>IF('AYIRA MINI MART FINAL MENU - Pr'!M749="", "", 'AYIRA MINI MART FINAL MENU - Pr'!M749)</f>
        <v/>
      </c>
      <c r="N749" s="56" t="str">
        <f>IF('AYIRA MINI MART FINAL MENU - Pr'!N749="", "", 'AYIRA MINI MART FINAL MENU - Pr'!N749)</f>
        <v/>
      </c>
      <c r="O749" s="57"/>
      <c r="P749" s="57"/>
      <c r="Q749" s="57"/>
      <c r="R749" s="57"/>
      <c r="S749" s="57"/>
      <c r="T749" s="57"/>
      <c r="U749" s="57"/>
      <c r="V749" s="57"/>
      <c r="W749" s="57"/>
      <c r="X749" s="57"/>
      <c r="Y749" s="57"/>
      <c r="Z749" s="57"/>
    </row>
    <row r="750">
      <c r="A750" s="56" t="str">
        <f>IFERROR(__xludf.DUMMYFUNCTION("IF('AYIRA MINI MART FINAL MENU - Pr'!A750="""", """", IF(LEN(TRIM(REGEXREPLACE(REGEXREPLACE('AYIRA MINI MART FINAL MENU - Pr'!A750, ""^[^\x{0600}-\x{06FF}]+"", """"), ""^[-–\s]+"", """")))&gt;0, TRIM(REGEXREPLACE(REGEXREPLACE('AYIRA MINI MART FINAL MENU - Pr"&amp;"'!A750, ""^[^\x{0600}-\x{06FF}]+"", """"), ""^[-–\s]+"", """")), GOOGLETRANSLATE('AYIRA MINI MART FINAL MENU - Pr'!A750, ""en"", ""ar"")))"),"سكيتلز Crazy Sours 38 غرام")</f>
        <v>سكيتلز Crazy Sours 38 غرام</v>
      </c>
      <c r="B750" s="56" t="str">
        <f>IFERROR(__xludf.DUMMYFUNCTION("IF('AYIRA MINI MART FINAL MENU - Pr'!B750="""", """", IF(LEN(TRIM(REGEXREPLACE(REGEXREPLACE('AYIRA MINI MART FINAL MENU - Pr'!B750, ""^[^\x{0600}-\x{06FF}]+"", """"), ""^[-–\s]+"", """")))&gt;0, TRIM(REGEXREPLACE(REGEXREPLACE('AYIRA MINI MART FINAL MENU - Pr"&amp;"'!B750, ""^[^\x{0600}-\x{06FF}]+"", """"), ""^[-–\s]+"", """")), GOOGLETRANSLATE('AYIRA MINI MART FINAL MENU - Pr'!B750, ""en"", ""ar"")))"),"الشوكولاتة")</f>
        <v>الشوكولاتة</v>
      </c>
      <c r="C750" s="58">
        <f>IF('AYIRA MINI MART FINAL MENU - Pr'!C750="", "", 'AYIRA MINI MART FINAL MENU - Pr'!C750)</f>
        <v>2.5</v>
      </c>
      <c r="D750" s="58" t="str">
        <f>IF('AYIRA MINI MART FINAL MENU - Pr'!D750="", "", 'AYIRA MINI MART FINAL MENU - Pr'!D750)</f>
        <v>أضف لحظة حلوة إلى يومك مع سكيتلز،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50" s="56" t="str">
        <f>IF('AYIRA MINI MART FINAL MENU - Pr'!E750="", "", 'AYIRA MINI MART FINAL MENU - Pr'!E750)</f>
        <v/>
      </c>
      <c r="F750" s="56" t="str">
        <f>IF('AYIRA MINI MART FINAL MENU - Pr'!F750="", "", 'AYIRA MINI MART FINAL MENU - Pr'!F750)</f>
        <v/>
      </c>
      <c r="G750" s="56" t="str">
        <f>IF('AYIRA MINI MART FINAL MENU - Pr'!G750="", "", 'AYIRA MINI MART FINAL MENU - Pr'!G750)</f>
        <v/>
      </c>
      <c r="H750" s="56" t="str">
        <f>IF('AYIRA MINI MART FINAL MENU - Pr'!H750="", "", 'AYIRA MINI MART FINAL MENU - Pr'!H750)</f>
        <v/>
      </c>
      <c r="I750" s="56" t="str">
        <f>IF('AYIRA MINI MART FINAL MENU - Pr'!I750="", "", 'AYIRA MINI MART FINAL MENU - Pr'!I750)</f>
        <v/>
      </c>
      <c r="J750" s="56" t="str">
        <f>IFERROR(__xludf.DUMMYFUNCTION("IF('AYIRA MINI MART FINAL MENU - Pr'!J750="""", """", GOOGLETRANSLATE('AYIRA MINI MART FINAL MENU - Pr'!J750, ""en"", ""ar""))"),"")</f>
        <v/>
      </c>
      <c r="K750" s="58" t="str">
        <f>IF('AYIRA MINI MART FINAL MENU - Pr'!K750="", "", 'AYIRA MINI MART FINAL MENU - Pr'!K750)</f>
        <v/>
      </c>
      <c r="L750" s="56" t="str">
        <f>IF('AYIRA MINI MART FINAL MENU - Pr'!L750="", "", 'AYIRA MINI MART FINAL MENU - Pr'!L750)</f>
        <v/>
      </c>
      <c r="M750" s="56" t="str">
        <f>IF('AYIRA MINI MART FINAL MENU - Pr'!M750="", "", 'AYIRA MINI MART FINAL MENU - Pr'!M750)</f>
        <v/>
      </c>
      <c r="N750" s="56" t="str">
        <f>IF('AYIRA MINI MART FINAL MENU - Pr'!N750="", "", 'AYIRA MINI MART FINAL MENU - Pr'!N750)</f>
        <v/>
      </c>
      <c r="O750" s="57"/>
      <c r="P750" s="57"/>
      <c r="Q750" s="57"/>
      <c r="R750" s="57"/>
      <c r="S750" s="57"/>
      <c r="T750" s="57"/>
      <c r="U750" s="57"/>
      <c r="V750" s="57"/>
      <c r="W750" s="57"/>
      <c r="X750" s="57"/>
      <c r="Y750" s="57"/>
      <c r="Z750" s="57"/>
    </row>
    <row r="751">
      <c r="A751" s="56" t="str">
        <f>IFERROR(__xludf.DUMMYFUNCTION("IF('AYIRA MINI MART FINAL MENU - Pr'!A751="""", """", IF(LEN(TRIM(REGEXREPLACE(REGEXREPLACE('AYIRA MINI MART FINAL MENU - Pr'!A751, ""^[^\x{0600}-\x{06FF}]+"", """"), ""^[-–\s]+"", """")))&gt;0, TRIM(REGEXREPLACE(REGEXREPLACE('AYIRA MINI MART FINAL MENU - Pr"&amp;"'!A751, ""^[^\x{0600}-\x{06FF}]+"", """"), ""^[-–\s]+"", """")), GOOGLETRANSLATE('AYIRA MINI MART FINAL MENU - Pr'!A751, ""en"", ""ar"")))"),"سكيتلز Smoothies 38 غرام")</f>
        <v>سكيتلز Smoothies 38 غرام</v>
      </c>
      <c r="B751" s="56" t="str">
        <f>IFERROR(__xludf.DUMMYFUNCTION("IF('AYIRA MINI MART FINAL MENU - Pr'!B751="""", """", IF(LEN(TRIM(REGEXREPLACE(REGEXREPLACE('AYIRA MINI MART FINAL MENU - Pr'!B751, ""^[^\x{0600}-\x{06FF}]+"", """"), ""^[-–\s]+"", """")))&gt;0, TRIM(REGEXREPLACE(REGEXREPLACE('AYIRA MINI MART FINAL MENU - Pr"&amp;"'!B751, ""^[^\x{0600}-\x{06FF}]+"", """"), ""^[-–\s]+"", """")), GOOGLETRANSLATE('AYIRA MINI MART FINAL MENU - Pr'!B751, ""en"", ""ar"")))"),"الشوكولاتة")</f>
        <v>الشوكولاتة</v>
      </c>
      <c r="C751" s="58">
        <f>IF('AYIRA MINI MART FINAL MENU - Pr'!C751="", "", 'AYIRA MINI MART FINAL MENU - Pr'!C751)</f>
        <v>2.5</v>
      </c>
      <c r="D751" s="58" t="str">
        <f>IF('AYIRA MINI MART FINAL MENU - Pr'!D751="", "", 'AYIRA MINI MART FINAL MENU - Pr'!D751)</f>
        <v>احرص على صحتك مع سكيتلز،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751" s="56" t="str">
        <f>IF('AYIRA MINI MART FINAL MENU - Pr'!E751="", "", 'AYIRA MINI MART FINAL MENU - Pr'!E751)</f>
        <v/>
      </c>
      <c r="F751" s="56" t="str">
        <f>IF('AYIRA MINI MART FINAL MENU - Pr'!F751="", "", 'AYIRA MINI MART FINAL MENU - Pr'!F751)</f>
        <v/>
      </c>
      <c r="G751" s="56" t="str">
        <f>IF('AYIRA MINI MART FINAL MENU - Pr'!G751="", "", 'AYIRA MINI MART FINAL MENU - Pr'!G751)</f>
        <v/>
      </c>
      <c r="H751" s="56" t="str">
        <f>IF('AYIRA MINI MART FINAL MENU - Pr'!H751="", "", 'AYIRA MINI MART FINAL MENU - Pr'!H751)</f>
        <v/>
      </c>
      <c r="I751" s="56" t="str">
        <f>IF('AYIRA MINI MART FINAL MENU - Pr'!I751="", "", 'AYIRA MINI MART FINAL MENU - Pr'!I751)</f>
        <v/>
      </c>
      <c r="J751" s="56" t="str">
        <f>IFERROR(__xludf.DUMMYFUNCTION("IF('AYIRA MINI MART FINAL MENU - Pr'!J751="""", """", GOOGLETRANSLATE('AYIRA MINI MART FINAL MENU - Pr'!J751, ""en"", ""ar""))"),"")</f>
        <v/>
      </c>
      <c r="K751" s="58" t="str">
        <f>IF('AYIRA MINI MART FINAL MENU - Pr'!K751="", "", 'AYIRA MINI MART FINAL MENU - Pr'!K751)</f>
        <v/>
      </c>
      <c r="L751" s="56" t="str">
        <f>IF('AYIRA MINI MART FINAL MENU - Pr'!L751="", "", 'AYIRA MINI MART FINAL MENU - Pr'!L751)</f>
        <v/>
      </c>
      <c r="M751" s="56" t="str">
        <f>IF('AYIRA MINI MART FINAL MENU - Pr'!M751="", "", 'AYIRA MINI MART FINAL MENU - Pr'!M751)</f>
        <v/>
      </c>
      <c r="N751" s="56" t="str">
        <f>IF('AYIRA MINI MART FINAL MENU - Pr'!N751="", "", 'AYIRA MINI MART FINAL MENU - Pr'!N751)</f>
        <v/>
      </c>
      <c r="O751" s="57"/>
      <c r="P751" s="57"/>
      <c r="Q751" s="57"/>
      <c r="R751" s="57"/>
      <c r="S751" s="57"/>
      <c r="T751" s="57"/>
      <c r="U751" s="57"/>
      <c r="V751" s="57"/>
      <c r="W751" s="57"/>
      <c r="X751" s="57"/>
      <c r="Y751" s="57"/>
      <c r="Z751" s="57"/>
    </row>
    <row r="752">
      <c r="A752" s="56" t="str">
        <f>IFERROR(__xludf.DUMMYFUNCTION("IF('AYIRA MINI MART FINAL MENU - Pr'!A752="""", """", IF(LEN(TRIM(REGEXREPLACE(REGEXREPLACE('AYIRA MINI MART FINAL MENU - Pr'!A752, ""^[^\x{0600}-\x{06FF}]+"", """"), ""^[-–\s]+"", """")))&gt;0, TRIM(REGEXREPLACE(REGEXREPLACE('AYIRA MINI MART FINAL MENU - Pr"&amp;"'!A752, ""^[^\x{0600}-\x{06FF}]+"", """"), ""^[-–\s]+"", """")), GOOGLETRANSLATE('AYIRA MINI MART FINAL MENU - Pr'!A752, ""en"", ""ar"")))"),"سكيتلز Fruits 38 غرام")</f>
        <v>سكيتلز Fruits 38 غرام</v>
      </c>
      <c r="B752" s="56" t="str">
        <f>IFERROR(__xludf.DUMMYFUNCTION("IF('AYIRA MINI MART FINAL MENU - Pr'!B752="""", """", IF(LEN(TRIM(REGEXREPLACE(REGEXREPLACE('AYIRA MINI MART FINAL MENU - Pr'!B752, ""^[^\x{0600}-\x{06FF}]+"", """"), ""^[-–\s]+"", """")))&gt;0, TRIM(REGEXREPLACE(REGEXREPLACE('AYIRA MINI MART FINAL MENU - Pr"&amp;"'!B752, ""^[^\x{0600}-\x{06FF}]+"", """"), ""^[-–\s]+"", """")), GOOGLETRANSLATE('AYIRA MINI MART FINAL MENU - Pr'!B752, ""en"", ""ar"")))"),"الشوكولاتة")</f>
        <v>الشوكولاتة</v>
      </c>
      <c r="C752" s="58">
        <f>IF('AYIRA MINI MART FINAL MENU - Pr'!C752="", "", 'AYIRA MINI MART FINAL MENU - Pr'!C752)</f>
        <v>2.5</v>
      </c>
      <c r="D752" s="58" t="str">
        <f>IF('AYIRA MINI MART FINAL MENU - Pr'!D752="", "", 'AYIRA MINI MART FINAL MENU - Pr'!D752)</f>
        <v>أضف لحظة حلوة إلى يومك مع سكيتلز،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52" s="56" t="str">
        <f>IF('AYIRA MINI MART FINAL MENU - Pr'!E752="", "", 'AYIRA MINI MART FINAL MENU - Pr'!E752)</f>
        <v/>
      </c>
      <c r="F752" s="56" t="str">
        <f>IF('AYIRA MINI MART FINAL MENU - Pr'!F752="", "", 'AYIRA MINI MART FINAL MENU - Pr'!F752)</f>
        <v/>
      </c>
      <c r="G752" s="56" t="str">
        <f>IF('AYIRA MINI MART FINAL MENU - Pr'!G752="", "", 'AYIRA MINI MART FINAL MENU - Pr'!G752)</f>
        <v/>
      </c>
      <c r="H752" s="56" t="str">
        <f>IF('AYIRA MINI MART FINAL MENU - Pr'!H752="", "", 'AYIRA MINI MART FINAL MENU - Pr'!H752)</f>
        <v/>
      </c>
      <c r="I752" s="56" t="str">
        <f>IF('AYIRA MINI MART FINAL MENU - Pr'!I752="", "", 'AYIRA MINI MART FINAL MENU - Pr'!I752)</f>
        <v/>
      </c>
      <c r="J752" s="56" t="str">
        <f>IFERROR(__xludf.DUMMYFUNCTION("IF('AYIRA MINI MART FINAL MENU - Pr'!J752="""", """", GOOGLETRANSLATE('AYIRA MINI MART FINAL MENU - Pr'!J752, ""en"", ""ar""))"),"")</f>
        <v/>
      </c>
      <c r="K752" s="58" t="str">
        <f>IF('AYIRA MINI MART FINAL MENU - Pr'!K752="", "", 'AYIRA MINI MART FINAL MENU - Pr'!K752)</f>
        <v/>
      </c>
      <c r="L752" s="56" t="str">
        <f>IF('AYIRA MINI MART FINAL MENU - Pr'!L752="", "", 'AYIRA MINI MART FINAL MENU - Pr'!L752)</f>
        <v/>
      </c>
      <c r="M752" s="56" t="str">
        <f>IF('AYIRA MINI MART FINAL MENU - Pr'!M752="", "", 'AYIRA MINI MART FINAL MENU - Pr'!M752)</f>
        <v/>
      </c>
      <c r="N752" s="56" t="str">
        <f>IF('AYIRA MINI MART FINAL MENU - Pr'!N752="", "", 'AYIRA MINI MART FINAL MENU - Pr'!N752)</f>
        <v/>
      </c>
      <c r="O752" s="57"/>
      <c r="P752" s="57"/>
      <c r="Q752" s="57"/>
      <c r="R752" s="57"/>
      <c r="S752" s="57"/>
      <c r="T752" s="57"/>
      <c r="U752" s="57"/>
      <c r="V752" s="57"/>
      <c r="W752" s="57"/>
      <c r="X752" s="57"/>
      <c r="Y752" s="57"/>
      <c r="Z752" s="57"/>
    </row>
    <row r="753">
      <c r="A753" s="56" t="str">
        <f>IFERROR(__xludf.DUMMYFUNCTION("IF('AYIRA MINI MART FINAL MENU - Pr'!A753="""", """", IF(LEN(TRIM(REGEXREPLACE(REGEXREPLACE('AYIRA MINI MART FINAL MENU - Pr'!A753, ""^[^\x{0600}-\x{06FF}]+"", """"), ""^[-–\s]+"", """")))&gt;0, TRIM(REGEXREPLACE(REGEXREPLACE('AYIRA MINI MART FINAL MENU - Pr"&amp;"'!A753, ""^[^\x{0600}-\x{06FF}]+"", """"), ""^[-–\s]+"", """")), GOOGLETRANSLATE('AYIRA MINI MART FINAL MENU - Pr'!A753, ""en"", ""ar"")))"),"غرام")</f>
        <v>غرام</v>
      </c>
      <c r="B753" s="56" t="str">
        <f>IFERROR(__xludf.DUMMYFUNCTION("IF('AYIRA MINI MART FINAL MENU - Pr'!B753="""", """", IF(LEN(TRIM(REGEXREPLACE(REGEXREPLACE('AYIRA MINI MART FINAL MENU - Pr'!B753, ""^[^\x{0600}-\x{06FF}]+"", """"), ""^[-–\s]+"", """")))&gt;0, TRIM(REGEXREPLACE(REGEXREPLACE('AYIRA MINI MART FINAL MENU - Pr"&amp;"'!B753, ""^[^\x{0600}-\x{06FF}]+"", """"), ""^[-–\s]+"", """")), GOOGLETRANSLATE('AYIRA MINI MART FINAL MENU - Pr'!B753, ""en"", ""ar"")))"),"الشوكولاتة")</f>
        <v>الشوكولاتة</v>
      </c>
      <c r="C753" s="58">
        <f>IF('AYIRA MINI MART FINAL MENU - Pr'!C753="", "", 'AYIRA MINI MART FINAL MENU - Pr'!C753)</f>
        <v>5</v>
      </c>
      <c r="D753" s="58" t="str">
        <f>IF('AYIRA MINI MART FINAL MENU - Pr'!D753="", "", 'AYIRA MINI MART FINAL MENU - Pr'!D753)</f>
        <v>لا تقاوم طعم إم آند إم،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53" s="56" t="str">
        <f>IF('AYIRA MINI MART FINAL MENU - Pr'!E753="", "", 'AYIRA MINI MART FINAL MENU - Pr'!E753)</f>
        <v/>
      </c>
      <c r="F753" s="56" t="str">
        <f>IF('AYIRA MINI MART FINAL MENU - Pr'!F753="", "", 'AYIRA MINI MART FINAL MENU - Pr'!F753)</f>
        <v/>
      </c>
      <c r="G753" s="56" t="str">
        <f>IF('AYIRA MINI MART FINAL MENU - Pr'!G753="", "", 'AYIRA MINI MART FINAL MENU - Pr'!G753)</f>
        <v/>
      </c>
      <c r="H753" s="56" t="str">
        <f>IF('AYIRA MINI MART FINAL MENU - Pr'!H753="", "", 'AYIRA MINI MART FINAL MENU - Pr'!H753)</f>
        <v/>
      </c>
      <c r="I753" s="56" t="str">
        <f>IF('AYIRA MINI MART FINAL MENU - Pr'!I753="", "", 'AYIRA MINI MART FINAL MENU - Pr'!I753)</f>
        <v/>
      </c>
      <c r="J753" s="56" t="str">
        <f>IFERROR(__xludf.DUMMYFUNCTION("IF('AYIRA MINI MART FINAL MENU - Pr'!J753="""", """", GOOGLETRANSLATE('AYIRA MINI MART FINAL MENU - Pr'!J753, ""en"", ""ar""))"),"")</f>
        <v/>
      </c>
      <c r="K753" s="58" t="str">
        <f>IF('AYIRA MINI MART FINAL MENU - Pr'!K753="", "", 'AYIRA MINI MART FINAL MENU - Pr'!K753)</f>
        <v/>
      </c>
      <c r="L753" s="56" t="str">
        <f>IF('AYIRA MINI MART FINAL MENU - Pr'!L753="", "", 'AYIRA MINI MART FINAL MENU - Pr'!L753)</f>
        <v/>
      </c>
      <c r="M753" s="56" t="str">
        <f>IF('AYIRA MINI MART FINAL MENU - Pr'!M753="", "", 'AYIRA MINI MART FINAL MENU - Pr'!M753)</f>
        <v/>
      </c>
      <c r="N753" s="56" t="str">
        <f>IF('AYIRA MINI MART FINAL MENU - Pr'!N753="", "", 'AYIRA MINI MART FINAL MENU - Pr'!N753)</f>
        <v/>
      </c>
      <c r="O753" s="57"/>
      <c r="P753" s="57"/>
      <c r="Q753" s="57"/>
      <c r="R753" s="57"/>
      <c r="S753" s="57"/>
      <c r="T753" s="57"/>
      <c r="U753" s="57"/>
      <c r="V753" s="57"/>
      <c r="W753" s="57"/>
      <c r="X753" s="57"/>
      <c r="Y753" s="57"/>
      <c r="Z753" s="57"/>
    </row>
    <row r="754">
      <c r="A754" s="56" t="str">
        <f>IFERROR(__xludf.DUMMYFUNCTION("IF('AYIRA MINI MART FINAL MENU - Pr'!A754="""", """", IF(LEN(TRIM(REGEXREPLACE(REGEXREPLACE('AYIRA MINI MART FINAL MENU - Pr'!A754, ""^[^\x{0600}-\x{06FF}]+"", """"), ""^[-–\s]+"", """")))&gt;0, TRIM(REGEXREPLACE(REGEXREPLACE('AYIRA MINI MART FINAL MENU - Pr"&amp;"'!A754, ""^[^\x{0600}-\x{06FF}]+"", """"), ""^[-–\s]+"", """")), GOOGLETRANSLATE('AYIRA MINI MART FINAL MENU - Pr'!A754, ""en"", ""ar"")))"),"سكيتلز Gummies Fruits 60 غرام")</f>
        <v>سكيتلز Gummies Fruits 60 غرام</v>
      </c>
      <c r="B754" s="56" t="str">
        <f>IFERROR(__xludf.DUMMYFUNCTION("IF('AYIRA MINI MART FINAL MENU - Pr'!B754="""", """", IF(LEN(TRIM(REGEXREPLACE(REGEXREPLACE('AYIRA MINI MART FINAL MENU - Pr'!B754, ""^[^\x{0600}-\x{06FF}]+"", """"), ""^[-–\s]+"", """")))&gt;0, TRIM(REGEXREPLACE(REGEXREPLACE('AYIRA MINI MART FINAL MENU - Pr"&amp;"'!B754, ""^[^\x{0600}-\x{06FF}]+"", """"), ""^[-–\s]+"", """")), GOOGLETRANSLATE('AYIRA MINI MART FINAL MENU - Pr'!B754, ""en"", ""ar"")))"),"الشوكولاتة")</f>
        <v>الشوكولاتة</v>
      </c>
      <c r="C754" s="58">
        <f>IF('AYIRA MINI MART FINAL MENU - Pr'!C754="", "", 'AYIRA MINI MART FINAL MENU - Pr'!C754)</f>
        <v>6.5</v>
      </c>
      <c r="D754" s="58" t="str">
        <f>IF('AYIRA MINI MART FINAL MENU - Pr'!D754="", "", 'AYIRA MINI MART FINAL MENU - Pr'!D754)</f>
        <v>استمتع بـ سكيتلز،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754" s="56" t="str">
        <f>IF('AYIRA MINI MART FINAL MENU - Pr'!E754="", "", 'AYIRA MINI MART FINAL MENU - Pr'!E754)</f>
        <v/>
      </c>
      <c r="F754" s="56" t="str">
        <f>IF('AYIRA MINI MART FINAL MENU - Pr'!F754="", "", 'AYIRA MINI MART FINAL MENU - Pr'!F754)</f>
        <v/>
      </c>
      <c r="G754" s="56" t="str">
        <f>IF('AYIRA MINI MART FINAL MENU - Pr'!G754="", "", 'AYIRA MINI MART FINAL MENU - Pr'!G754)</f>
        <v/>
      </c>
      <c r="H754" s="56" t="str">
        <f>IF('AYIRA MINI MART FINAL MENU - Pr'!H754="", "", 'AYIRA MINI MART FINAL MENU - Pr'!H754)</f>
        <v/>
      </c>
      <c r="I754" s="56" t="str">
        <f>IF('AYIRA MINI MART FINAL MENU - Pr'!I754="", "", 'AYIRA MINI MART FINAL MENU - Pr'!I754)</f>
        <v/>
      </c>
      <c r="J754" s="56" t="str">
        <f>IFERROR(__xludf.DUMMYFUNCTION("IF('AYIRA MINI MART FINAL MENU - Pr'!J754="""", """", GOOGLETRANSLATE('AYIRA MINI MART FINAL MENU - Pr'!J754, ""en"", ""ar""))"),"")</f>
        <v/>
      </c>
      <c r="K754" s="58" t="str">
        <f>IF('AYIRA MINI MART FINAL MENU - Pr'!K754="", "", 'AYIRA MINI MART FINAL MENU - Pr'!K754)</f>
        <v/>
      </c>
      <c r="L754" s="56" t="str">
        <f>IF('AYIRA MINI MART FINAL MENU - Pr'!L754="", "", 'AYIRA MINI MART FINAL MENU - Pr'!L754)</f>
        <v/>
      </c>
      <c r="M754" s="56" t="str">
        <f>IF('AYIRA MINI MART FINAL MENU - Pr'!M754="", "", 'AYIRA MINI MART FINAL MENU - Pr'!M754)</f>
        <v/>
      </c>
      <c r="N754" s="56" t="str">
        <f>IF('AYIRA MINI MART FINAL MENU - Pr'!N754="", "", 'AYIRA MINI MART FINAL MENU - Pr'!N754)</f>
        <v/>
      </c>
      <c r="O754" s="57"/>
      <c r="P754" s="57"/>
      <c r="Q754" s="57"/>
      <c r="R754" s="57"/>
      <c r="S754" s="57"/>
      <c r="T754" s="57"/>
      <c r="U754" s="57"/>
      <c r="V754" s="57"/>
      <c r="W754" s="57"/>
      <c r="X754" s="57"/>
      <c r="Y754" s="57"/>
      <c r="Z754" s="57"/>
    </row>
    <row r="755">
      <c r="A755" s="56" t="str">
        <f>IFERROR(__xludf.DUMMYFUNCTION("IF('AYIRA MINI MART FINAL MENU - Pr'!A755="""", """", IF(LEN(TRIM(REGEXREPLACE(REGEXREPLACE('AYIRA MINI MART FINAL MENU - Pr'!A755, ""^[^\x{0600}-\x{06FF}]+"", """"), ""^[-–\s]+"", """")))&gt;0, TRIM(REGEXREPLACE(REGEXREPLACE('AYIRA MINI MART FINAL MENU - Pr"&amp;"'!A755, ""^[^\x{0600}-\x{06FF}]+"", """"), ""^[-–\s]+"", """")), GOOGLETRANSLATE('AYIRA MINI MART FINAL MENU - Pr'!A755, ""en"", ""ar"")))"),"فستق 40 غرام")</f>
        <v>فستق 40 غرام</v>
      </c>
      <c r="B755" s="56" t="str">
        <f>IFERROR(__xludf.DUMMYFUNCTION("IF('AYIRA MINI MART FINAL MENU - Pr'!B755="""", """", IF(LEN(TRIM(REGEXREPLACE(REGEXREPLACE('AYIRA MINI MART FINAL MENU - Pr'!B755, ""^[^\x{0600}-\x{06FF}]+"", """"), ""^[-–\s]+"", """")))&gt;0, TRIM(REGEXREPLACE(REGEXREPLACE('AYIRA MINI MART FINAL MENU - Pr"&amp;"'!B755, ""^[^\x{0600}-\x{06FF}]+"", """"), ""^[-–\s]+"", """")), GOOGLETRANSLATE('AYIRA MINI MART FINAL MENU - Pr'!B755, ""en"", ""ar"")))"),"الشوكولاتة")</f>
        <v>الشوكولاتة</v>
      </c>
      <c r="C755" s="58">
        <f>IF('AYIRA MINI MART FINAL MENU - Pr'!C755="", "", 'AYIRA MINI MART FINAL MENU - Pr'!C755)</f>
        <v>2.5</v>
      </c>
      <c r="D755" s="58" t="str">
        <f>IF('AYIRA MINI MART FINAL MENU - Pr'!D755="", "", 'AYIRA MINI MART FINAL MENU - Pr'!D755)</f>
        <v>اختر Nani Pistachio 40g،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755" s="56" t="str">
        <f>IF('AYIRA MINI MART FINAL MENU - Pr'!E755="", "", 'AYIRA MINI MART FINAL MENU - Pr'!E755)</f>
        <v/>
      </c>
      <c r="F755" s="56" t="str">
        <f>IF('AYIRA MINI MART FINAL MENU - Pr'!F755="", "", 'AYIRA MINI MART FINAL MENU - Pr'!F755)</f>
        <v/>
      </c>
      <c r="G755" s="56" t="str">
        <f>IF('AYIRA MINI MART FINAL MENU - Pr'!G755="", "", 'AYIRA MINI MART FINAL MENU - Pr'!G755)</f>
        <v/>
      </c>
      <c r="H755" s="56" t="str">
        <f>IF('AYIRA MINI MART FINAL MENU - Pr'!H755="", "", 'AYIRA MINI MART FINAL MENU - Pr'!H755)</f>
        <v/>
      </c>
      <c r="I755" s="56" t="str">
        <f>IF('AYIRA MINI MART FINAL MENU - Pr'!I755="", "", 'AYIRA MINI MART FINAL MENU - Pr'!I755)</f>
        <v/>
      </c>
      <c r="J755" s="56" t="str">
        <f>IFERROR(__xludf.DUMMYFUNCTION("IF('AYIRA MINI MART FINAL MENU - Pr'!J755="""", """", GOOGLETRANSLATE('AYIRA MINI MART FINAL MENU - Pr'!J755, ""en"", ""ar""))"),"")</f>
        <v/>
      </c>
      <c r="K755" s="58" t="str">
        <f>IF('AYIRA MINI MART FINAL MENU - Pr'!K755="", "", 'AYIRA MINI MART FINAL MENU - Pr'!K755)</f>
        <v/>
      </c>
      <c r="L755" s="56" t="str">
        <f>IF('AYIRA MINI MART FINAL MENU - Pr'!L755="", "", 'AYIRA MINI MART FINAL MENU - Pr'!L755)</f>
        <v/>
      </c>
      <c r="M755" s="56" t="str">
        <f>IF('AYIRA MINI MART FINAL MENU - Pr'!M755="", "", 'AYIRA MINI MART FINAL MENU - Pr'!M755)</f>
        <v/>
      </c>
      <c r="N755" s="56" t="str">
        <f>IF('AYIRA MINI MART FINAL MENU - Pr'!N755="", "", 'AYIRA MINI MART FINAL MENU - Pr'!N755)</f>
        <v/>
      </c>
      <c r="O755" s="57"/>
      <c r="P755" s="57"/>
      <c r="Q755" s="57"/>
      <c r="R755" s="57"/>
      <c r="S755" s="57"/>
      <c r="T755" s="57"/>
      <c r="U755" s="57"/>
      <c r="V755" s="57"/>
      <c r="W755" s="57"/>
      <c r="X755" s="57"/>
      <c r="Y755" s="57"/>
      <c r="Z755" s="57"/>
    </row>
    <row r="756">
      <c r="A756" s="56" t="str">
        <f>IFERROR(__xludf.DUMMYFUNCTION("IF('AYIRA MINI MART FINAL MENU - Pr'!A756="""", """", IF(LEN(TRIM(REGEXREPLACE(REGEXREPLACE('AYIRA MINI MART FINAL MENU - Pr'!A756, ""^[^\x{0600}-\x{06FF}]+"", """"), ""^[-–\s]+"", """")))&gt;0, TRIM(REGEXREPLACE(REGEXREPLACE('AYIRA MINI MART FINAL MENU - Pr"&amp;"'!A756, ""^[^\x{0600}-\x{06FF}]+"", """"), ""^[-–\s]+"", """")), GOOGLETRANSLATE('AYIRA MINI MART FINAL MENU - Pr'!A756, ""en"", ""ar"")))"),"شوكولاتة with Nougat, كراميل &amp; بندق 40 غرام")</f>
        <v>شوكولاتة with Nougat, كراميل &amp; بندق 40 غرام</v>
      </c>
      <c r="B756" s="56" t="str">
        <f>IFERROR(__xludf.DUMMYFUNCTION("IF('AYIRA MINI MART FINAL MENU - Pr'!B756="""", """", IF(LEN(TRIM(REGEXREPLACE(REGEXREPLACE('AYIRA MINI MART FINAL MENU - Pr'!B756, ""^[^\x{0600}-\x{06FF}]+"", """"), ""^[-–\s]+"", """")))&gt;0, TRIM(REGEXREPLACE(REGEXREPLACE('AYIRA MINI MART FINAL MENU - Pr"&amp;"'!B756, ""^[^\x{0600}-\x{06FF}]+"", """"), ""^[-–\s]+"", """")), GOOGLETRANSLATE('AYIRA MINI MART FINAL MENU - Pr'!B756, ""en"", ""ar"")))"),"الشوكولاتة")</f>
        <v>الشوكولاتة</v>
      </c>
      <c r="C756" s="58">
        <f>IF('AYIRA MINI MART FINAL MENU - Pr'!C756="", "", 'AYIRA MINI MART FINAL MENU - Pr'!C756)</f>
        <v>2.5</v>
      </c>
      <c r="D756" s="58" t="str">
        <f>IF('AYIRA MINI MART FINAL MENU - Pr'!D756="", "", 'AYIRA MINI MART FINAL MENU - Pr'!D756)</f>
        <v>دلّل حواسك مع Nani Chocolate with Nougat, Caramel &amp; Hazelnut 40g،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756" s="56" t="str">
        <f>IF('AYIRA MINI MART FINAL MENU - Pr'!E756="", "", 'AYIRA MINI MART FINAL MENU - Pr'!E756)</f>
        <v/>
      </c>
      <c r="F756" s="56" t="str">
        <f>IF('AYIRA MINI MART FINAL MENU - Pr'!F756="", "", 'AYIRA MINI MART FINAL MENU - Pr'!F756)</f>
        <v/>
      </c>
      <c r="G756" s="56" t="str">
        <f>IF('AYIRA MINI MART FINAL MENU - Pr'!G756="", "", 'AYIRA MINI MART FINAL MENU - Pr'!G756)</f>
        <v/>
      </c>
      <c r="H756" s="56" t="str">
        <f>IF('AYIRA MINI MART FINAL MENU - Pr'!H756="", "", 'AYIRA MINI MART FINAL MENU - Pr'!H756)</f>
        <v/>
      </c>
      <c r="I756" s="56" t="str">
        <f>IF('AYIRA MINI MART FINAL MENU - Pr'!I756="", "", 'AYIRA MINI MART FINAL MENU - Pr'!I756)</f>
        <v/>
      </c>
      <c r="J756" s="56" t="str">
        <f>IFERROR(__xludf.DUMMYFUNCTION("IF('AYIRA MINI MART FINAL MENU - Pr'!J756="""", """", GOOGLETRANSLATE('AYIRA MINI MART FINAL MENU - Pr'!J756, ""en"", ""ar""))"),"")</f>
        <v/>
      </c>
      <c r="K756" s="58" t="str">
        <f>IF('AYIRA MINI MART FINAL MENU - Pr'!K756="", "", 'AYIRA MINI MART FINAL MENU - Pr'!K756)</f>
        <v/>
      </c>
      <c r="L756" s="56" t="str">
        <f>IF('AYIRA MINI MART FINAL MENU - Pr'!L756="", "", 'AYIRA MINI MART FINAL MENU - Pr'!L756)</f>
        <v/>
      </c>
      <c r="M756" s="56" t="str">
        <f>IF('AYIRA MINI MART FINAL MENU - Pr'!M756="", "", 'AYIRA MINI MART FINAL MENU - Pr'!M756)</f>
        <v/>
      </c>
      <c r="N756" s="56" t="str">
        <f>IF('AYIRA MINI MART FINAL MENU - Pr'!N756="", "", 'AYIRA MINI MART FINAL MENU - Pr'!N756)</f>
        <v/>
      </c>
      <c r="O756" s="57"/>
      <c r="P756" s="57"/>
      <c r="Q756" s="57"/>
      <c r="R756" s="57"/>
      <c r="S756" s="57"/>
      <c r="T756" s="57"/>
      <c r="U756" s="57"/>
      <c r="V756" s="57"/>
      <c r="W756" s="57"/>
      <c r="X756" s="57"/>
      <c r="Y756" s="57"/>
      <c r="Z756" s="57"/>
    </row>
    <row r="757">
      <c r="A757" s="56" t="str">
        <f>IFERROR(__xludf.DUMMYFUNCTION("IF('AYIRA MINI MART FINAL MENU - Pr'!A757="""", """", IF(LEN(TRIM(REGEXREPLACE(REGEXREPLACE('AYIRA MINI MART FINAL MENU - Pr'!A757, ""^[^\x{0600}-\x{06FF}]+"", """"), ""^[-–\s]+"", """")))&gt;0, TRIM(REGEXREPLACE(REGEXREPLACE('AYIRA MINI MART FINAL MENU - Pr"&amp;"'!A757, ""^[^\x{0600}-\x{06FF}]+"", """"), ""^[-–\s]+"", """")), GOOGLETRANSLATE('AYIRA MINI MART FINAL MENU - Pr'!A757, ""en"", ""ar"")))"),"عصا Crackers (Salted) – 30 غرام")</f>
        <v>عصا Crackers (Salted) – 30 غرام</v>
      </c>
      <c r="B757" s="56" t="str">
        <f>IFERROR(__xludf.DUMMYFUNCTION("IF('AYIRA MINI MART FINAL MENU - Pr'!B757="""", """", IF(LEN(TRIM(REGEXREPLACE(REGEXREPLACE('AYIRA MINI MART FINAL MENU - Pr'!B757, ""^[^\x{0600}-\x{06FF}]+"", """"), ""^[-–\s]+"", """")))&gt;0, TRIM(REGEXREPLACE(REGEXREPLACE('AYIRA MINI MART FINAL MENU - Pr"&amp;"'!B757, ""^[^\x{0600}-\x{06FF}]+"", """"), ""^[-–\s]+"", """")), GOOGLETRANSLATE('AYIRA MINI MART FINAL MENU - Pr'!B757, ""en"", ""ar"")))"),"الشيبس والمقرمشات")</f>
        <v>الشيبس والمقرمشات</v>
      </c>
      <c r="C757" s="58">
        <f>IF('AYIRA MINI MART FINAL MENU - Pr'!C757="", "", 'AYIRA MINI MART FINAL MENU - Pr'!C757)</f>
        <v>1</v>
      </c>
      <c r="D757" s="58" t="str">
        <f>IF('AYIRA MINI MART FINAL MENU - Pr'!D757="", "", 'AYIRA MINI MART FINAL MENU - Pr'!D757)</f>
        <v>لا تقاوم طعم Ulker Stick Crackers (Salted) – 30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57" s="56" t="str">
        <f>IF('AYIRA MINI MART FINAL MENU - Pr'!E757="", "", 'AYIRA MINI MART FINAL MENU - Pr'!E757)</f>
        <v/>
      </c>
      <c r="F757" s="56" t="str">
        <f>IF('AYIRA MINI MART FINAL MENU - Pr'!F757="", "", 'AYIRA MINI MART FINAL MENU - Pr'!F757)</f>
        <v/>
      </c>
      <c r="G757" s="56" t="str">
        <f>IF('AYIRA MINI MART FINAL MENU - Pr'!G757="", "", 'AYIRA MINI MART FINAL MENU - Pr'!G757)</f>
        <v/>
      </c>
      <c r="H757" s="56" t="str">
        <f>IF('AYIRA MINI MART FINAL MENU - Pr'!H757="", "", 'AYIRA MINI MART FINAL MENU - Pr'!H757)</f>
        <v/>
      </c>
      <c r="I757" s="56" t="str">
        <f>IF('AYIRA MINI MART FINAL MENU - Pr'!I757="", "", 'AYIRA MINI MART FINAL MENU - Pr'!I757)</f>
        <v/>
      </c>
      <c r="J757" s="56" t="str">
        <f>IFERROR(__xludf.DUMMYFUNCTION("IF('AYIRA MINI MART FINAL MENU - Pr'!J757="""", """", GOOGLETRANSLATE('AYIRA MINI MART FINAL MENU - Pr'!J757, ""en"", ""ar""))"),"")</f>
        <v/>
      </c>
      <c r="K757" s="56" t="str">
        <f>IF('AYIRA MINI MART FINAL MENU - Pr'!K757="", "", 'AYIRA MINI MART FINAL MENU - Pr'!K757)</f>
        <v/>
      </c>
      <c r="L757" s="56" t="str">
        <f>IF('AYIRA MINI MART FINAL MENU - Pr'!L757="", "", 'AYIRA MINI MART FINAL MENU - Pr'!L757)</f>
        <v/>
      </c>
      <c r="M757" s="56" t="str">
        <f>IF('AYIRA MINI MART FINAL MENU - Pr'!M757="", "", 'AYIRA MINI MART FINAL MENU - Pr'!M757)</f>
        <v/>
      </c>
      <c r="N757" s="56" t="str">
        <f>IF('AYIRA MINI MART FINAL MENU - Pr'!N757="", "", 'AYIRA MINI MART FINAL MENU - Pr'!N757)</f>
        <v/>
      </c>
      <c r="O757" s="57"/>
      <c r="P757" s="57"/>
      <c r="Q757" s="57"/>
      <c r="R757" s="57"/>
      <c r="S757" s="57"/>
      <c r="T757" s="57"/>
      <c r="U757" s="57"/>
      <c r="V757" s="57"/>
      <c r="W757" s="57"/>
      <c r="X757" s="57"/>
      <c r="Y757" s="57"/>
      <c r="Z757" s="57"/>
    </row>
    <row r="758">
      <c r="A758" s="56" t="str">
        <f>IFERROR(__xludf.DUMMYFUNCTION("IF('AYIRA MINI MART FINAL MENU - Pr'!A758="""", """", IF(LEN(TRIM(REGEXREPLACE(REGEXREPLACE('AYIRA MINI MART FINAL MENU - Pr'!A758, ""^[^\x{0600}-\x{06FF}]+"", """"), ""^[-–\s]+"", """")))&gt;0, TRIM(REGEXREPLACE(REGEXREPLACE('AYIRA MINI MART FINAL MENU - Pr"&amp;"'!A758, ""^[^\x{0600}-\x{06FF}]+"", """"), ""^[-–\s]+"", """")), GOOGLETRANSLATE('AYIRA MINI MART FINAL MENU - Pr'!A758, ""en"", ""ar"")))"),"برينغلز أصلي")</f>
        <v>برينغلز أصلي</v>
      </c>
      <c r="B758" s="56" t="str">
        <f>IFERROR(__xludf.DUMMYFUNCTION("IF('AYIRA MINI MART FINAL MENU - Pr'!B758="""", """", IF(LEN(TRIM(REGEXREPLACE(REGEXREPLACE('AYIRA MINI MART FINAL MENU - Pr'!B758, ""^[^\x{0600}-\x{06FF}]+"", """"), ""^[-–\s]+"", """")))&gt;0, TRIM(REGEXREPLACE(REGEXREPLACE('AYIRA MINI MART FINAL MENU - Pr"&amp;"'!B758, ""^[^\x{0600}-\x{06FF}]+"", """"), ""^[-–\s]+"", """")), GOOGLETRANSLATE('AYIRA MINI MART FINAL MENU - Pr'!B758, ""en"", ""ar"")))"),"الشيبس والمقرمشات")</f>
        <v>الشيبس والمقرمشات</v>
      </c>
      <c r="C758" s="58">
        <f>IF('AYIRA MINI MART FINAL MENU - Pr'!C758="", "", 'AYIRA MINI MART FINAL MENU - Pr'!C758)</f>
        <v>4</v>
      </c>
      <c r="D758" s="58" t="str">
        <f>IF('AYIRA MINI MART FINAL MENU - Pr'!D758="", "", 'AYIRA MINI MART FINAL MENU - Pr'!D758)</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58" s="56" t="str">
        <f>IF('AYIRA MINI MART FINAL MENU - Pr'!E758="", "", 'AYIRA MINI MART FINAL MENU - Pr'!E758)</f>
        <v/>
      </c>
      <c r="F758" s="56" t="str">
        <f>IF('AYIRA MINI MART FINAL MENU - Pr'!F758="", "", 'AYIRA MINI MART FINAL MENU - Pr'!F758)</f>
        <v/>
      </c>
      <c r="G758" s="56" t="str">
        <f>IF('AYIRA MINI MART FINAL MENU - Pr'!G758="", "", 'AYIRA MINI MART FINAL MENU - Pr'!G758)</f>
        <v/>
      </c>
      <c r="H758" s="56" t="str">
        <f>IF('AYIRA MINI MART FINAL MENU - Pr'!H758="", "", 'AYIRA MINI MART FINAL MENU - Pr'!H758)</f>
        <v/>
      </c>
      <c r="I758" s="56" t="str">
        <f>IF('AYIRA MINI MART FINAL MENU - Pr'!I758="", "", 'AYIRA MINI MART FINAL MENU - Pr'!I758)</f>
        <v/>
      </c>
      <c r="J758" s="56" t="str">
        <f>IFERROR(__xludf.DUMMYFUNCTION("IF('AYIRA MINI MART FINAL MENU - Pr'!J758="""", """", GOOGLETRANSLATE('AYIRA MINI MART FINAL MENU - Pr'!J758, ""en"", ""ar""))"),"")</f>
        <v/>
      </c>
      <c r="K758" s="56" t="str">
        <f>IF('AYIRA MINI MART FINAL MENU - Pr'!K758="", "", 'AYIRA MINI MART FINAL MENU - Pr'!K758)</f>
        <v/>
      </c>
      <c r="L758" s="56" t="str">
        <f>IF('AYIRA MINI MART FINAL MENU - Pr'!L758="", "", 'AYIRA MINI MART FINAL MENU - Pr'!L758)</f>
        <v/>
      </c>
      <c r="M758" s="56" t="str">
        <f>IF('AYIRA MINI MART FINAL MENU - Pr'!M758="", "", 'AYIRA MINI MART FINAL MENU - Pr'!M758)</f>
        <v/>
      </c>
      <c r="N758" s="56" t="str">
        <f>IF('AYIRA MINI MART FINAL MENU - Pr'!N758="", "", 'AYIRA MINI MART FINAL MENU - Pr'!N758)</f>
        <v/>
      </c>
      <c r="O758" s="57"/>
      <c r="P758" s="57"/>
      <c r="Q758" s="57"/>
      <c r="R758" s="57"/>
      <c r="S758" s="57"/>
      <c r="T758" s="57"/>
      <c r="U758" s="57"/>
      <c r="V758" s="57"/>
      <c r="W758" s="57"/>
      <c r="X758" s="57"/>
      <c r="Y758" s="57"/>
      <c r="Z758" s="57"/>
    </row>
    <row r="759">
      <c r="A759" s="56" t="str">
        <f>IFERROR(__xludf.DUMMYFUNCTION("IF('AYIRA MINI MART FINAL MENU - Pr'!A759="""", """", IF(LEN(TRIM(REGEXREPLACE(REGEXREPLACE('AYIRA MINI MART FINAL MENU - Pr'!A759, ""^[^\x{0600}-\x{06FF}]+"", """"), ""^[-–\s]+"", """")))&gt;0, TRIM(REGEXREPLACE(REGEXREPLACE('AYIRA MINI MART FINAL MENU - Pr"&amp;"'!A759, ""^[^\x{0600}-\x{06FF}]+"", """"), ""^[-–\s]+"", """")), GOOGLETRANSLATE('AYIRA MINI MART FINAL MENU - Pr'!A759, ""en"", ""ar"")))"),"برينغلز Barbeque – 40 غرام")</f>
        <v>برينغلز Barbeque – 40 غرام</v>
      </c>
      <c r="B759" s="56" t="str">
        <f>IFERROR(__xludf.DUMMYFUNCTION("IF('AYIRA MINI MART FINAL MENU - Pr'!B759="""", """", IF(LEN(TRIM(REGEXREPLACE(REGEXREPLACE('AYIRA MINI MART FINAL MENU - Pr'!B759, ""^[^\x{0600}-\x{06FF}]+"", """"), ""^[-–\s]+"", """")))&gt;0, TRIM(REGEXREPLACE(REGEXREPLACE('AYIRA MINI MART FINAL MENU - Pr"&amp;"'!B759, ""^[^\x{0600}-\x{06FF}]+"", """"), ""^[-–\s]+"", """")), GOOGLETRANSLATE('AYIRA MINI MART FINAL MENU - Pr'!B759, ""en"", ""ar"")))"),"الشيبس والمقرمشات")</f>
        <v>الشيبس والمقرمشات</v>
      </c>
      <c r="C759" s="58">
        <f>IF('AYIRA MINI MART FINAL MENU - Pr'!C759="", "", 'AYIRA MINI MART FINAL MENU - Pr'!C759)</f>
        <v>4</v>
      </c>
      <c r="D759" s="58" t="str">
        <f>IF('AYIRA MINI MART FINAL MENU - Pr'!D759="", "", 'AYIRA MINI MART FINAL MENU - Pr'!D759)</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59" s="56" t="str">
        <f>IF('AYIRA MINI MART FINAL MENU - Pr'!E759="", "", 'AYIRA MINI MART FINAL MENU - Pr'!E759)</f>
        <v/>
      </c>
      <c r="F759" s="56" t="str">
        <f>IF('AYIRA MINI MART FINAL MENU - Pr'!F759="", "", 'AYIRA MINI MART FINAL MENU - Pr'!F759)</f>
        <v/>
      </c>
      <c r="G759" s="56" t="str">
        <f>IF('AYIRA MINI MART FINAL MENU - Pr'!G759="", "", 'AYIRA MINI MART FINAL MENU - Pr'!G759)</f>
        <v/>
      </c>
      <c r="H759" s="56" t="str">
        <f>IF('AYIRA MINI MART FINAL MENU - Pr'!H759="", "", 'AYIRA MINI MART FINAL MENU - Pr'!H759)</f>
        <v/>
      </c>
      <c r="I759" s="56" t="str">
        <f>IF('AYIRA MINI MART FINAL MENU - Pr'!I759="", "", 'AYIRA MINI MART FINAL MENU - Pr'!I759)</f>
        <v/>
      </c>
      <c r="J759" s="56" t="str">
        <f>IFERROR(__xludf.DUMMYFUNCTION("IF('AYIRA MINI MART FINAL MENU - Pr'!J759="""", """", GOOGLETRANSLATE('AYIRA MINI MART FINAL MENU - Pr'!J759, ""en"", ""ar""))"),"")</f>
        <v/>
      </c>
      <c r="K759" s="56" t="str">
        <f>IF('AYIRA MINI MART FINAL MENU - Pr'!K759="", "", 'AYIRA MINI MART FINAL MENU - Pr'!K759)</f>
        <v/>
      </c>
      <c r="L759" s="56" t="str">
        <f>IF('AYIRA MINI MART FINAL MENU - Pr'!L759="", "", 'AYIRA MINI MART FINAL MENU - Pr'!L759)</f>
        <v/>
      </c>
      <c r="M759" s="56" t="str">
        <f>IF('AYIRA MINI MART FINAL MENU - Pr'!M759="", "", 'AYIRA MINI MART FINAL MENU - Pr'!M759)</f>
        <v/>
      </c>
      <c r="N759" s="56" t="str">
        <f>IF('AYIRA MINI MART FINAL MENU - Pr'!N759="", "", 'AYIRA MINI MART FINAL MENU - Pr'!N759)</f>
        <v/>
      </c>
      <c r="O759" s="57"/>
      <c r="P759" s="57"/>
      <c r="Q759" s="57"/>
      <c r="R759" s="57"/>
      <c r="S759" s="57"/>
      <c r="T759" s="57"/>
      <c r="U759" s="57"/>
      <c r="V759" s="57"/>
      <c r="W759" s="57"/>
      <c r="X759" s="57"/>
      <c r="Y759" s="57"/>
      <c r="Z759" s="57"/>
    </row>
    <row r="760">
      <c r="A760" s="56" t="str">
        <f>IFERROR(__xludf.DUMMYFUNCTION("IF('AYIRA MINI MART FINAL MENU - Pr'!A760="""", """", IF(LEN(TRIM(REGEXREPLACE(REGEXREPLACE('AYIRA MINI MART FINAL MENU - Pr'!A760, ""^[^\x{0600}-\x{06FF}]+"", """"), ""^[-–\s]+"", """")))&gt;0, TRIM(REGEXREPLACE(REGEXREPLACE('AYIRA MINI MART FINAL MENU - Pr"&amp;"'!A760, ""^[^\x{0600}-\x{06FF}]+"", """"), ""^[-–\s]+"", """")), GOOGLETRANSLATE('AYIRA MINI MART FINAL MENU - Pr'!A760, ""en"", ""ar"")))"),"برينغلز حار &amp; حار – 40 غرام")</f>
        <v>برينغلز حار &amp; حار – 40 غرام</v>
      </c>
      <c r="B760" s="56" t="str">
        <f>IFERROR(__xludf.DUMMYFUNCTION("IF('AYIRA MINI MART FINAL MENU - Pr'!B760="""", """", IF(LEN(TRIM(REGEXREPLACE(REGEXREPLACE('AYIRA MINI MART FINAL MENU - Pr'!B760, ""^[^\x{0600}-\x{06FF}]+"", """"), ""^[-–\s]+"", """")))&gt;0, TRIM(REGEXREPLACE(REGEXREPLACE('AYIRA MINI MART FINAL MENU - Pr"&amp;"'!B760, ""^[^\x{0600}-\x{06FF}]+"", """"), ""^[-–\s]+"", """")), GOOGLETRANSLATE('AYIRA MINI MART FINAL MENU - Pr'!B760, ""en"", ""ar"")))"),"الشيبس والمقرمشات")</f>
        <v>الشيبس والمقرمشات</v>
      </c>
      <c r="C760" s="58">
        <f>IF('AYIRA MINI MART FINAL MENU - Pr'!C760="", "", 'AYIRA MINI MART FINAL MENU - Pr'!C760)</f>
        <v>4</v>
      </c>
      <c r="D760" s="58" t="str">
        <f>IF('AYIRA MINI MART FINAL MENU - Pr'!D760="", "", 'AYIRA MINI MART FINAL MENU - Pr'!D760)</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0" s="56" t="str">
        <f>IF('AYIRA MINI MART FINAL MENU - Pr'!E760="", "", 'AYIRA MINI MART FINAL MENU - Pr'!E760)</f>
        <v/>
      </c>
      <c r="F760" s="56" t="str">
        <f>IF('AYIRA MINI MART FINAL MENU - Pr'!F760="", "", 'AYIRA MINI MART FINAL MENU - Pr'!F760)</f>
        <v/>
      </c>
      <c r="G760" s="56" t="str">
        <f>IF('AYIRA MINI MART FINAL MENU - Pr'!G760="", "", 'AYIRA MINI MART FINAL MENU - Pr'!G760)</f>
        <v/>
      </c>
      <c r="H760" s="56" t="str">
        <f>IF('AYIRA MINI MART FINAL MENU - Pr'!H760="", "", 'AYIRA MINI MART FINAL MENU - Pr'!H760)</f>
        <v/>
      </c>
      <c r="I760" s="56" t="str">
        <f>IF('AYIRA MINI MART FINAL MENU - Pr'!I760="", "", 'AYIRA MINI MART FINAL MENU - Pr'!I760)</f>
        <v/>
      </c>
      <c r="J760" s="56" t="str">
        <f>IFERROR(__xludf.DUMMYFUNCTION("IF('AYIRA MINI MART FINAL MENU - Pr'!J760="""", """", GOOGLETRANSLATE('AYIRA MINI MART FINAL MENU - Pr'!J760, ""en"", ""ar""))"),"")</f>
        <v/>
      </c>
      <c r="K760" s="56" t="str">
        <f>IF('AYIRA MINI MART FINAL MENU - Pr'!K760="", "", 'AYIRA MINI MART FINAL MENU - Pr'!K760)</f>
        <v/>
      </c>
      <c r="L760" s="56" t="str">
        <f>IF('AYIRA MINI MART FINAL MENU - Pr'!L760="", "", 'AYIRA MINI MART FINAL MENU - Pr'!L760)</f>
        <v/>
      </c>
      <c r="M760" s="56" t="str">
        <f>IF('AYIRA MINI MART FINAL MENU - Pr'!M760="", "", 'AYIRA MINI MART FINAL MENU - Pr'!M760)</f>
        <v/>
      </c>
      <c r="N760" s="56" t="str">
        <f>IF('AYIRA MINI MART FINAL MENU - Pr'!N760="", "", 'AYIRA MINI MART FINAL MENU - Pr'!N760)</f>
        <v/>
      </c>
      <c r="O760" s="57"/>
      <c r="P760" s="57"/>
      <c r="Q760" s="57"/>
      <c r="R760" s="57"/>
      <c r="S760" s="57"/>
      <c r="T760" s="57"/>
      <c r="U760" s="57"/>
      <c r="V760" s="57"/>
      <c r="W760" s="57"/>
      <c r="X760" s="57"/>
      <c r="Y760" s="57"/>
      <c r="Z760" s="57"/>
    </row>
    <row r="761">
      <c r="A761" s="56" t="str">
        <f>IFERROR(__xludf.DUMMYFUNCTION("IF('AYIRA MINI MART FINAL MENU - Pr'!A761="""", """", IF(LEN(TRIM(REGEXREPLACE(REGEXREPLACE('AYIRA MINI MART FINAL MENU - Pr'!A761, ""^[^\x{0600}-\x{06FF}]+"", """"), ""^[-–\s]+"", """")))&gt;0, TRIM(REGEXREPLACE(REGEXREPLACE('AYIRA MINI MART FINAL MENU - Pr"&amp;"'!A761, ""^[^\x{0600}-\x{06FF}]+"", """"), ""^[-–\s]+"", """")), GOOGLETRANSLATE('AYIRA MINI MART FINAL MENU - Pr'!A761, ""en"", ""ar"")))"),"برينغلز كاتشاب – 40 غرام")</f>
        <v>برينغلز كاتشاب – 40 غرام</v>
      </c>
      <c r="B761" s="56" t="str">
        <f>IFERROR(__xludf.DUMMYFUNCTION("IF('AYIRA MINI MART FINAL MENU - Pr'!B761="""", """", IF(LEN(TRIM(REGEXREPLACE(REGEXREPLACE('AYIRA MINI MART FINAL MENU - Pr'!B761, ""^[^\x{0600}-\x{06FF}]+"", """"), ""^[-–\s]+"", """")))&gt;0, TRIM(REGEXREPLACE(REGEXREPLACE('AYIRA MINI MART FINAL MENU - Pr"&amp;"'!B761, ""^[^\x{0600}-\x{06FF}]+"", """"), ""^[-–\s]+"", """")), GOOGLETRANSLATE('AYIRA MINI MART FINAL MENU - Pr'!B761, ""en"", ""ar"")))"),"الشيبس والمقرمشات")</f>
        <v>الشيبس والمقرمشات</v>
      </c>
      <c r="C761" s="58">
        <f>IF('AYIRA MINI MART FINAL MENU - Pr'!C761="", "", 'AYIRA MINI MART FINAL MENU - Pr'!C761)</f>
        <v>4</v>
      </c>
      <c r="D761" s="58" t="str">
        <f>IF('AYIRA MINI MART FINAL MENU - Pr'!D761="", "", 'AYIRA MINI MART FINAL MENU - Pr'!D761)</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1" s="56" t="str">
        <f>IF('AYIRA MINI MART FINAL MENU - Pr'!E761="", "", 'AYIRA MINI MART FINAL MENU - Pr'!E761)</f>
        <v/>
      </c>
      <c r="F761" s="56" t="str">
        <f>IF('AYIRA MINI MART FINAL MENU - Pr'!F761="", "", 'AYIRA MINI MART FINAL MENU - Pr'!F761)</f>
        <v/>
      </c>
      <c r="G761" s="56" t="str">
        <f>IF('AYIRA MINI MART FINAL MENU - Pr'!G761="", "", 'AYIRA MINI MART FINAL MENU - Pr'!G761)</f>
        <v/>
      </c>
      <c r="H761" s="56" t="str">
        <f>IF('AYIRA MINI MART FINAL MENU - Pr'!H761="", "", 'AYIRA MINI MART FINAL MENU - Pr'!H761)</f>
        <v/>
      </c>
      <c r="I761" s="56" t="str">
        <f>IF('AYIRA MINI MART FINAL MENU - Pr'!I761="", "", 'AYIRA MINI MART FINAL MENU - Pr'!I761)</f>
        <v/>
      </c>
      <c r="J761" s="56" t="str">
        <f>IFERROR(__xludf.DUMMYFUNCTION("IF('AYIRA MINI MART FINAL MENU - Pr'!J761="""", """", GOOGLETRANSLATE('AYIRA MINI MART FINAL MENU - Pr'!J761, ""en"", ""ar""))"),"")</f>
        <v/>
      </c>
      <c r="K761" s="56" t="str">
        <f>IF('AYIRA MINI MART FINAL MENU - Pr'!K761="", "", 'AYIRA MINI MART FINAL MENU - Pr'!K761)</f>
        <v/>
      </c>
      <c r="L761" s="56" t="str">
        <f>IF('AYIRA MINI MART FINAL MENU - Pr'!L761="", "", 'AYIRA MINI MART FINAL MENU - Pr'!L761)</f>
        <v/>
      </c>
      <c r="M761" s="56" t="str">
        <f>IF('AYIRA MINI MART FINAL MENU - Pr'!M761="", "", 'AYIRA MINI MART FINAL MENU - Pr'!M761)</f>
        <v/>
      </c>
      <c r="N761" s="56" t="str">
        <f>IF('AYIRA MINI MART FINAL MENU - Pr'!N761="", "", 'AYIRA MINI MART FINAL MENU - Pr'!N761)</f>
        <v/>
      </c>
      <c r="O761" s="57"/>
      <c r="P761" s="57"/>
      <c r="Q761" s="57"/>
      <c r="R761" s="57"/>
      <c r="S761" s="57"/>
      <c r="T761" s="57"/>
      <c r="U761" s="57"/>
      <c r="V761" s="57"/>
      <c r="W761" s="57"/>
      <c r="X761" s="57"/>
      <c r="Y761" s="57"/>
      <c r="Z761" s="57"/>
    </row>
    <row r="762">
      <c r="A762" s="56" t="str">
        <f>IFERROR(__xludf.DUMMYFUNCTION("IF('AYIRA MINI MART FINAL MENU - Pr'!A762="""", """", IF(LEN(TRIM(REGEXREPLACE(REGEXREPLACE('AYIRA MINI MART FINAL MENU - Pr'!A762, ""^[^\x{0600}-\x{06FF}]+"", """"), ""^[-–\s]+"", """")))&gt;0, TRIM(REGEXREPLACE(REGEXREPLACE('AYIRA MINI MART FINAL MENU - Pr"&amp;"'!A762, ""^[^\x{0600}-\x{06FF}]+"", """"), ""^[-–\s]+"", """")), GOOGLETRANSLATE('AYIRA MINI MART FINAL MENU - Pr'!A762, ""en"", ""ar"")))"),"برينغلز Paprika – 40 غرام")</f>
        <v>برينغلز Paprika – 40 غرام</v>
      </c>
      <c r="B762" s="56" t="str">
        <f>IFERROR(__xludf.DUMMYFUNCTION("IF('AYIRA MINI MART FINAL MENU - Pr'!B762="""", """", IF(LEN(TRIM(REGEXREPLACE(REGEXREPLACE('AYIRA MINI MART FINAL MENU - Pr'!B762, ""^[^\x{0600}-\x{06FF}]+"", """"), ""^[-–\s]+"", """")))&gt;0, TRIM(REGEXREPLACE(REGEXREPLACE('AYIRA MINI MART FINAL MENU - Pr"&amp;"'!B762, ""^[^\x{0600}-\x{06FF}]+"", """"), ""^[-–\s]+"", """")), GOOGLETRANSLATE('AYIRA MINI MART FINAL MENU - Pr'!B762, ""en"", ""ar"")))"),"الشيبس والمقرمشات")</f>
        <v>الشيبس والمقرمشات</v>
      </c>
      <c r="C762" s="58">
        <f>IF('AYIRA MINI MART FINAL MENU - Pr'!C762="", "", 'AYIRA MINI MART FINAL MENU - Pr'!C762)</f>
        <v>10.5</v>
      </c>
      <c r="D762" s="58" t="str">
        <f>IF('AYIRA MINI MART FINAL MENU - Pr'!D762="", "", 'AYIRA MINI MART FINAL MENU - Pr'!D762)</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2" s="56" t="str">
        <f>IF('AYIRA MINI MART FINAL MENU - Pr'!E762="", "", 'AYIRA MINI MART FINAL MENU - Pr'!E762)</f>
        <v/>
      </c>
      <c r="F762" s="56" t="str">
        <f>IF('AYIRA MINI MART FINAL MENU - Pr'!F762="", "", 'AYIRA MINI MART FINAL MENU - Pr'!F762)</f>
        <v/>
      </c>
      <c r="G762" s="56" t="str">
        <f>IF('AYIRA MINI MART FINAL MENU - Pr'!G762="", "", 'AYIRA MINI MART FINAL MENU - Pr'!G762)</f>
        <v/>
      </c>
      <c r="H762" s="56" t="str">
        <f>IF('AYIRA MINI MART FINAL MENU - Pr'!H762="", "", 'AYIRA MINI MART FINAL MENU - Pr'!H762)</f>
        <v/>
      </c>
      <c r="I762" s="56" t="str">
        <f>IF('AYIRA MINI MART FINAL MENU - Pr'!I762="", "", 'AYIRA MINI MART FINAL MENU - Pr'!I762)</f>
        <v/>
      </c>
      <c r="J762" s="56" t="str">
        <f>IFERROR(__xludf.DUMMYFUNCTION("IF('AYIRA MINI MART FINAL MENU - Pr'!J762="""", """", GOOGLETRANSLATE('AYIRA MINI MART FINAL MENU - Pr'!J762, ""en"", ""ar""))"),"")</f>
        <v/>
      </c>
      <c r="K762" s="56" t="str">
        <f>IF('AYIRA MINI MART FINAL MENU - Pr'!K762="", "", 'AYIRA MINI MART FINAL MENU - Pr'!K762)</f>
        <v/>
      </c>
      <c r="L762" s="56" t="str">
        <f>IF('AYIRA MINI MART FINAL MENU - Pr'!L762="", "", 'AYIRA MINI MART FINAL MENU - Pr'!L762)</f>
        <v/>
      </c>
      <c r="M762" s="56" t="str">
        <f>IF('AYIRA MINI MART FINAL MENU - Pr'!M762="", "", 'AYIRA MINI MART FINAL MENU - Pr'!M762)</f>
        <v/>
      </c>
      <c r="N762" s="56" t="str">
        <f>IF('AYIRA MINI MART FINAL MENU - Pr'!N762="", "", 'AYIRA MINI MART FINAL MENU - Pr'!N762)</f>
        <v/>
      </c>
      <c r="O762" s="57"/>
      <c r="P762" s="57"/>
      <c r="Q762" s="57"/>
      <c r="R762" s="57"/>
      <c r="S762" s="57"/>
      <c r="T762" s="57"/>
      <c r="U762" s="57"/>
      <c r="V762" s="57"/>
      <c r="W762" s="57"/>
      <c r="X762" s="57"/>
      <c r="Y762" s="57"/>
      <c r="Z762" s="57"/>
    </row>
    <row r="763">
      <c r="A763" s="56" t="str">
        <f>IFERROR(__xludf.DUMMYFUNCTION("IF('AYIRA MINI MART FINAL MENU - Pr'!A763="""", """", IF(LEN(TRIM(REGEXREPLACE(REGEXREPLACE('AYIRA MINI MART FINAL MENU - Pr'!A763, ""^[^\x{0600}-\x{06FF}]+"", """"), ""^[-–\s]+"", """")))&gt;0, TRIM(REGEXREPLACE(REGEXREPLACE('AYIRA MINI MART FINAL MENU - Pr"&amp;"'!A763, ""^[^\x{0600}-\x{06FF}]+"", """"), ""^[-–\s]+"", """")), GOOGLETRANSLATE('AYIRA MINI MART FINAL MENU - Pr'!A763, ""en"", ""ar"")))"),"برينغلز ملح &amp; Vinegar – 40 غرام")</f>
        <v>برينغلز ملح &amp; Vinegar – 40 غرام</v>
      </c>
      <c r="B763" s="56" t="str">
        <f>IFERROR(__xludf.DUMMYFUNCTION("IF('AYIRA MINI MART FINAL MENU - Pr'!B763="""", """", IF(LEN(TRIM(REGEXREPLACE(REGEXREPLACE('AYIRA MINI MART FINAL MENU - Pr'!B763, ""^[^\x{0600}-\x{06FF}]+"", """"), ""^[-–\s]+"", """")))&gt;0, TRIM(REGEXREPLACE(REGEXREPLACE('AYIRA MINI MART FINAL MENU - Pr"&amp;"'!B763, ""^[^\x{0600}-\x{06FF}]+"", """"), ""^[-–\s]+"", """")), GOOGLETRANSLATE('AYIRA MINI MART FINAL MENU - Pr'!B763, ""en"", ""ar"")))"),"الشيبس والمقرمشات")</f>
        <v>الشيبس والمقرمشات</v>
      </c>
      <c r="C763" s="58">
        <f>IF('AYIRA MINI MART FINAL MENU - Pr'!C763="", "", 'AYIRA MINI MART FINAL MENU - Pr'!C763)</f>
        <v>10.5</v>
      </c>
      <c r="D763" s="58" t="str">
        <f>IF('AYIRA MINI MART FINAL MENU - Pr'!D763="", "", 'AYIRA MINI MART FINAL MENU - Pr'!D763)</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3" s="56" t="str">
        <f>IF('AYIRA MINI MART FINAL MENU - Pr'!E763="", "", 'AYIRA MINI MART FINAL MENU - Pr'!E763)</f>
        <v/>
      </c>
      <c r="F763" s="56" t="str">
        <f>IF('AYIRA MINI MART FINAL MENU - Pr'!F763="", "", 'AYIRA MINI MART FINAL MENU - Pr'!F763)</f>
        <v/>
      </c>
      <c r="G763" s="56" t="str">
        <f>IF('AYIRA MINI MART FINAL MENU - Pr'!G763="", "", 'AYIRA MINI MART FINAL MENU - Pr'!G763)</f>
        <v/>
      </c>
      <c r="H763" s="56" t="str">
        <f>IF('AYIRA MINI MART FINAL MENU - Pr'!H763="", "", 'AYIRA MINI MART FINAL MENU - Pr'!H763)</f>
        <v/>
      </c>
      <c r="I763" s="56" t="str">
        <f>IF('AYIRA MINI MART FINAL MENU - Pr'!I763="", "", 'AYIRA MINI MART FINAL MENU - Pr'!I763)</f>
        <v/>
      </c>
      <c r="J763" s="56" t="str">
        <f>IFERROR(__xludf.DUMMYFUNCTION("IF('AYIRA MINI MART FINAL MENU - Pr'!J763="""", """", GOOGLETRANSLATE('AYIRA MINI MART FINAL MENU - Pr'!J763, ""en"", ""ar""))"),"")</f>
        <v/>
      </c>
      <c r="K763" s="56" t="str">
        <f>IF('AYIRA MINI MART FINAL MENU - Pr'!K763="", "", 'AYIRA MINI MART FINAL MENU - Pr'!K763)</f>
        <v/>
      </c>
      <c r="L763" s="56" t="str">
        <f>IF('AYIRA MINI MART FINAL MENU - Pr'!L763="", "", 'AYIRA MINI MART FINAL MENU - Pr'!L763)</f>
        <v/>
      </c>
      <c r="M763" s="56" t="str">
        <f>IF('AYIRA MINI MART FINAL MENU - Pr'!M763="", "", 'AYIRA MINI MART FINAL MENU - Pr'!M763)</f>
        <v/>
      </c>
      <c r="N763" s="56" t="str">
        <f>IF('AYIRA MINI MART FINAL MENU - Pr'!N763="", "", 'AYIRA MINI MART FINAL MENU - Pr'!N763)</f>
        <v/>
      </c>
      <c r="O763" s="57"/>
      <c r="P763" s="57"/>
      <c r="Q763" s="57"/>
      <c r="R763" s="57"/>
      <c r="S763" s="57"/>
      <c r="T763" s="57"/>
      <c r="U763" s="57"/>
      <c r="V763" s="57"/>
      <c r="W763" s="57"/>
      <c r="X763" s="57"/>
      <c r="Y763" s="57"/>
      <c r="Z763" s="57"/>
    </row>
    <row r="764">
      <c r="A764" s="56" t="str">
        <f>IFERROR(__xludf.DUMMYFUNCTION("IF('AYIRA MINI MART FINAL MENU - Pr'!A764="""", """", IF(LEN(TRIM(REGEXREPLACE(REGEXREPLACE('AYIRA MINI MART FINAL MENU - Pr'!A764, ""^[^\x{0600}-\x{06FF}]+"", """"), ""^[-–\s]+"", """")))&gt;0, TRIM(REGEXREPLACE(REGEXREPLACE('AYIRA MINI MART FINAL MENU - Pr"&amp;"'!A764, ""^[^\x{0600}-\x{06FF}]+"", """"), ""^[-–\s]+"", """")), GOOGLETRANSLATE('AYIRA MINI MART FINAL MENU - Pr'!A764, ""en"", ""ar"")))"),"شيبس Oman Potato شيبس Chilli Flavour – 40 غرام")</f>
        <v>شيبس Oman Potato شيبس Chilli Flavour – 40 غرام</v>
      </c>
      <c r="B764" s="56" t="str">
        <f>IFERROR(__xludf.DUMMYFUNCTION("IF('AYIRA MINI MART FINAL MENU - Pr'!B764="""", """", IF(LEN(TRIM(REGEXREPLACE(REGEXREPLACE('AYIRA MINI MART FINAL MENU - Pr'!B764, ""^[^\x{0600}-\x{06FF}]+"", """"), ""^[-–\s]+"", """")))&gt;0, TRIM(REGEXREPLACE(REGEXREPLACE('AYIRA MINI MART FINAL MENU - Pr"&amp;"'!B764, ""^[^\x{0600}-\x{06FF}]+"", """"), ""^[-–\s]+"", """")), GOOGLETRANSLATE('AYIRA MINI MART FINAL MENU - Pr'!B764, ""en"", ""ar"")))"),"الشيبس والمقرمشات")</f>
        <v>الشيبس والمقرمشات</v>
      </c>
      <c r="C764" s="58">
        <f>IF('AYIRA MINI MART FINAL MENU - Pr'!C764="", "", 'AYIRA MINI MART FINAL MENU - Pr'!C764)</f>
        <v>4</v>
      </c>
      <c r="D764" s="58" t="str">
        <f>IF('AYIRA MINI MART FINAL MENU - Pr'!D764="", "", 'AYIRA MINI MART FINAL MENU - Pr'!D764)</f>
        <v>لا تقاوم طعم Chips Oman Potato Chips Chilli Flavour – 40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4" s="56" t="str">
        <f>IF('AYIRA MINI MART FINAL MENU - Pr'!E764="", "", 'AYIRA MINI MART FINAL MENU - Pr'!E764)</f>
        <v/>
      </c>
      <c r="F764" s="56" t="str">
        <f>IF('AYIRA MINI MART FINAL MENU - Pr'!F764="", "", 'AYIRA MINI MART FINAL MENU - Pr'!F764)</f>
        <v/>
      </c>
      <c r="G764" s="56" t="str">
        <f>IF('AYIRA MINI MART FINAL MENU - Pr'!G764="", "", 'AYIRA MINI MART FINAL MENU - Pr'!G764)</f>
        <v/>
      </c>
      <c r="H764" s="56" t="str">
        <f>IF('AYIRA MINI MART FINAL MENU - Pr'!H764="", "", 'AYIRA MINI MART FINAL MENU - Pr'!H764)</f>
        <v/>
      </c>
      <c r="I764" s="56" t="str">
        <f>IF('AYIRA MINI MART FINAL MENU - Pr'!I764="", "", 'AYIRA MINI MART FINAL MENU - Pr'!I764)</f>
        <v/>
      </c>
      <c r="J764" s="56" t="str">
        <f>IFERROR(__xludf.DUMMYFUNCTION("IF('AYIRA MINI MART FINAL MENU - Pr'!J764="""", """", GOOGLETRANSLATE('AYIRA MINI MART FINAL MENU - Pr'!J764, ""en"", ""ar""))"),"")</f>
        <v/>
      </c>
      <c r="K764" s="56" t="str">
        <f>IF('AYIRA MINI MART FINAL MENU - Pr'!K764="", "", 'AYIRA MINI MART FINAL MENU - Pr'!K764)</f>
        <v/>
      </c>
      <c r="L764" s="56" t="str">
        <f>IF('AYIRA MINI MART FINAL MENU - Pr'!L764="", "", 'AYIRA MINI MART FINAL MENU - Pr'!L764)</f>
        <v/>
      </c>
      <c r="M764" s="56" t="str">
        <f>IF('AYIRA MINI MART FINAL MENU - Pr'!M764="", "", 'AYIRA MINI MART FINAL MENU - Pr'!M764)</f>
        <v/>
      </c>
      <c r="N764" s="56" t="str">
        <f>IF('AYIRA MINI MART FINAL MENU - Pr'!N764="", "", 'AYIRA MINI MART FINAL MENU - Pr'!N764)</f>
        <v/>
      </c>
      <c r="O764" s="57"/>
      <c r="P764" s="57"/>
      <c r="Q764" s="57"/>
      <c r="R764" s="57"/>
      <c r="S764" s="57"/>
      <c r="T764" s="57"/>
      <c r="U764" s="57"/>
      <c r="V764" s="57"/>
      <c r="W764" s="57"/>
      <c r="X764" s="57"/>
      <c r="Y764" s="57"/>
      <c r="Z764" s="57"/>
    </row>
    <row r="765">
      <c r="A765" s="56" t="str">
        <f>IFERROR(__xludf.DUMMYFUNCTION("IF('AYIRA MINI MART FINAL MENU - Pr'!A765="""", """", IF(LEN(TRIM(REGEXREPLACE(REGEXREPLACE('AYIRA MINI MART FINAL MENU - Pr'!A765, ""^[^\x{0600}-\x{06FF}]+"", """"), ""^[-–\s]+"", """")))&gt;0, TRIM(REGEXREPLACE(REGEXREPLACE('AYIRA MINI MART FINAL MENU - Pr"&amp;"'!A765, ""^[^\x{0600}-\x{06FF}]+"", """"), ""^[-–\s]+"", """")), GOOGLETRANSLATE('AYIRA MINI MART FINAL MENU - Pr'!A765, ""en"", ""ar"")))"),"برينغلز Cheesy Cheesy – 40 غرام")</f>
        <v>برينغلز Cheesy Cheesy – 40 غرام</v>
      </c>
      <c r="B765" s="56" t="str">
        <f>IFERROR(__xludf.DUMMYFUNCTION("IF('AYIRA MINI MART FINAL MENU - Pr'!B765="""", """", IF(LEN(TRIM(REGEXREPLACE(REGEXREPLACE('AYIRA MINI MART FINAL MENU - Pr'!B765, ""^[^\x{0600}-\x{06FF}]+"", """"), ""^[-–\s]+"", """")))&gt;0, TRIM(REGEXREPLACE(REGEXREPLACE('AYIRA MINI MART FINAL MENU - Pr"&amp;"'!B765, ""^[^\x{0600}-\x{06FF}]+"", """"), ""^[-–\s]+"", """")), GOOGLETRANSLATE('AYIRA MINI MART FINAL MENU - Pr'!B765, ""en"", ""ar"")))"),"الشيبس والمقرمشات")</f>
        <v>الشيبس والمقرمشات</v>
      </c>
      <c r="C765" s="58">
        <f>IF('AYIRA MINI MART FINAL MENU - Pr'!C765="", "", 'AYIRA MINI MART FINAL MENU - Pr'!C765)</f>
        <v>4</v>
      </c>
      <c r="D765" s="58" t="str">
        <f>IF('AYIRA MINI MART FINAL MENU - Pr'!D765="", "", 'AYIRA MINI MART FINAL MENU - Pr'!D765)</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5" s="56" t="str">
        <f>IF('AYIRA MINI MART FINAL MENU - Pr'!E765="", "", 'AYIRA MINI MART FINAL MENU - Pr'!E765)</f>
        <v/>
      </c>
      <c r="F765" s="56" t="str">
        <f>IF('AYIRA MINI MART FINAL MENU - Pr'!F765="", "", 'AYIRA MINI MART FINAL MENU - Pr'!F765)</f>
        <v/>
      </c>
      <c r="G765" s="56" t="str">
        <f>IF('AYIRA MINI MART FINAL MENU - Pr'!G765="", "", 'AYIRA MINI MART FINAL MENU - Pr'!G765)</f>
        <v/>
      </c>
      <c r="H765" s="56" t="str">
        <f>IF('AYIRA MINI MART FINAL MENU - Pr'!H765="", "", 'AYIRA MINI MART FINAL MENU - Pr'!H765)</f>
        <v/>
      </c>
      <c r="I765" s="56" t="str">
        <f>IF('AYIRA MINI MART FINAL MENU - Pr'!I765="", "", 'AYIRA MINI MART FINAL MENU - Pr'!I765)</f>
        <v/>
      </c>
      <c r="J765" s="56" t="str">
        <f>IFERROR(__xludf.DUMMYFUNCTION("IF('AYIRA MINI MART FINAL MENU - Pr'!J765="""", """", GOOGLETRANSLATE('AYIRA MINI MART FINAL MENU - Pr'!J765, ""en"", ""ar""))"),"")</f>
        <v/>
      </c>
      <c r="K765" s="56" t="str">
        <f>IF('AYIRA MINI MART FINAL MENU - Pr'!K765="", "", 'AYIRA MINI MART FINAL MENU - Pr'!K765)</f>
        <v/>
      </c>
      <c r="L765" s="56" t="str">
        <f>IF('AYIRA MINI MART FINAL MENU - Pr'!L765="", "", 'AYIRA MINI MART FINAL MENU - Pr'!L765)</f>
        <v/>
      </c>
      <c r="M765" s="56" t="str">
        <f>IF('AYIRA MINI MART FINAL MENU - Pr'!M765="", "", 'AYIRA MINI MART FINAL MENU - Pr'!M765)</f>
        <v/>
      </c>
      <c r="N765" s="56" t="str">
        <f>IF('AYIRA MINI MART FINAL MENU - Pr'!N765="", "", 'AYIRA MINI MART FINAL MENU - Pr'!N765)</f>
        <v/>
      </c>
      <c r="O765" s="57"/>
      <c r="P765" s="57"/>
      <c r="Q765" s="57"/>
      <c r="R765" s="57"/>
      <c r="S765" s="57"/>
      <c r="T765" s="57"/>
      <c r="U765" s="57"/>
      <c r="V765" s="57"/>
      <c r="W765" s="57"/>
      <c r="X765" s="57"/>
      <c r="Y765" s="57"/>
      <c r="Z765" s="57"/>
    </row>
    <row r="766">
      <c r="A766" s="56" t="str">
        <f>IFERROR(__xludf.DUMMYFUNCTION("IF('AYIRA MINI MART FINAL MENU - Pr'!A766="""", """", IF(LEN(TRIM(REGEXREPLACE(REGEXREPLACE('AYIRA MINI MART FINAL MENU - Pr'!A766, ""^[^\x{0600}-\x{06FF}]+"", """"), ""^[-–\s]+"", """")))&gt;0, TRIM(REGEXREPLACE(REGEXREPLACE('AYIRA MINI MART FINAL MENU - Pr"&amp;"'!A766, ""^[^\x{0600}-\x{06FF}]+"", """"), ""^[-–\s]+"", """")), GOOGLETRANSLATE('AYIRA MINI MART FINAL MENU - Pr'!A766, ""en"", ""ar"")))"),"برينغلز أصلي – 165 غرام")</f>
        <v>برينغلز أصلي – 165 غرام</v>
      </c>
      <c r="B766" s="56" t="str">
        <f>IFERROR(__xludf.DUMMYFUNCTION("IF('AYIRA MINI MART FINAL MENU - Pr'!B766="""", """", IF(LEN(TRIM(REGEXREPLACE(REGEXREPLACE('AYIRA MINI MART FINAL MENU - Pr'!B766, ""^[^\x{0600}-\x{06FF}]+"", """"), ""^[-–\s]+"", """")))&gt;0, TRIM(REGEXREPLACE(REGEXREPLACE('AYIRA MINI MART FINAL MENU - Pr"&amp;"'!B766, ""^[^\x{0600}-\x{06FF}]+"", """"), ""^[-–\s]+"", """")), GOOGLETRANSLATE('AYIRA MINI MART FINAL MENU - Pr'!B766, ""en"", ""ar"")))"),"الشيبس والمقرمشات")</f>
        <v>الشيبس والمقرمشات</v>
      </c>
      <c r="C766" s="58">
        <f>IF('AYIRA MINI MART FINAL MENU - Pr'!C766="", "", 'AYIRA MINI MART FINAL MENU - Pr'!C766)</f>
        <v>10.5</v>
      </c>
      <c r="D766" s="58" t="str">
        <f>IF('AYIRA MINI MART FINAL MENU - Pr'!D766="", "", 'AYIRA MINI MART FINAL MENU - Pr'!D766)</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6" s="56" t="str">
        <f>IF('AYIRA MINI MART FINAL MENU - Pr'!E766="", "", 'AYIRA MINI MART FINAL MENU - Pr'!E766)</f>
        <v/>
      </c>
      <c r="F766" s="56" t="str">
        <f>IF('AYIRA MINI MART FINAL MENU - Pr'!F766="", "", 'AYIRA MINI MART FINAL MENU - Pr'!F766)</f>
        <v/>
      </c>
      <c r="G766" s="56" t="str">
        <f>IF('AYIRA MINI MART FINAL MENU - Pr'!G766="", "", 'AYIRA MINI MART FINAL MENU - Pr'!G766)</f>
        <v/>
      </c>
      <c r="H766" s="56" t="str">
        <f>IF('AYIRA MINI MART FINAL MENU - Pr'!H766="", "", 'AYIRA MINI MART FINAL MENU - Pr'!H766)</f>
        <v/>
      </c>
      <c r="I766" s="56" t="str">
        <f>IF('AYIRA MINI MART FINAL MENU - Pr'!I766="", "", 'AYIRA MINI MART FINAL MENU - Pr'!I766)</f>
        <v/>
      </c>
      <c r="J766" s="56" t="str">
        <f>IFERROR(__xludf.DUMMYFUNCTION("IF('AYIRA MINI MART FINAL MENU - Pr'!J766="""", """", GOOGLETRANSLATE('AYIRA MINI MART FINAL MENU - Pr'!J766, ""en"", ""ar""))"),"")</f>
        <v/>
      </c>
      <c r="K766" s="56" t="str">
        <f>IF('AYIRA MINI MART FINAL MENU - Pr'!K766="", "", 'AYIRA MINI MART FINAL MENU - Pr'!K766)</f>
        <v/>
      </c>
      <c r="L766" s="56" t="str">
        <f>IF('AYIRA MINI MART FINAL MENU - Pr'!L766="", "", 'AYIRA MINI MART FINAL MENU - Pr'!L766)</f>
        <v/>
      </c>
      <c r="M766" s="56" t="str">
        <f>IF('AYIRA MINI MART FINAL MENU - Pr'!M766="", "", 'AYIRA MINI MART FINAL MENU - Pr'!M766)</f>
        <v/>
      </c>
      <c r="N766" s="56" t="str">
        <f>IF('AYIRA MINI MART FINAL MENU - Pr'!N766="", "", 'AYIRA MINI MART FINAL MENU - Pr'!N766)</f>
        <v/>
      </c>
      <c r="O766" s="57"/>
      <c r="P766" s="57"/>
      <c r="Q766" s="57"/>
      <c r="R766" s="57"/>
      <c r="S766" s="57"/>
      <c r="T766" s="57"/>
      <c r="U766" s="57"/>
      <c r="V766" s="57"/>
      <c r="W766" s="57"/>
      <c r="X766" s="57"/>
      <c r="Y766" s="57"/>
      <c r="Z766" s="57"/>
    </row>
    <row r="767">
      <c r="A767" s="56" t="str">
        <f>IFERROR(__xludf.DUMMYFUNCTION("IF('AYIRA MINI MART FINAL MENU - Pr'!A767="""", """", IF(LEN(TRIM(REGEXREPLACE(REGEXREPLACE('AYIRA MINI MART FINAL MENU - Pr'!A767, ""^[^\x{0600}-\x{06FF}]+"", """"), ""^[-–\s]+"", """")))&gt;0, TRIM(REGEXREPLACE(REGEXREPLACE('AYIRA MINI MART FINAL MENU - Pr"&amp;"'!A767, ""^[^\x{0600}-\x{06FF}]+"", """"), ""^[-–\s]+"", """")), GOOGLETRANSLATE('AYIRA MINI MART FINAL MENU - Pr'!A767, ""en"", ""ar"")))"),"برينغلز Sour كريم &amp; بصل – 165 غرام")</f>
        <v>برينغلز Sour كريم &amp; بصل – 165 غرام</v>
      </c>
      <c r="B767" s="56" t="str">
        <f>IFERROR(__xludf.DUMMYFUNCTION("IF('AYIRA MINI MART FINAL MENU - Pr'!B767="""", """", IF(LEN(TRIM(REGEXREPLACE(REGEXREPLACE('AYIRA MINI MART FINAL MENU - Pr'!B767, ""^[^\x{0600}-\x{06FF}]+"", """"), ""^[-–\s]+"", """")))&gt;0, TRIM(REGEXREPLACE(REGEXREPLACE('AYIRA MINI MART FINAL MENU - Pr"&amp;"'!B767, ""^[^\x{0600}-\x{06FF}]+"", """"), ""^[-–\s]+"", """")), GOOGLETRANSLATE('AYIRA MINI MART FINAL MENU - Pr'!B767, ""en"", ""ar"")))"),"الشيبس والمقرمشات")</f>
        <v>الشيبس والمقرمشات</v>
      </c>
      <c r="C767" s="58">
        <f>IF('AYIRA MINI MART FINAL MENU - Pr'!C767="", "", 'AYIRA MINI MART FINAL MENU - Pr'!C767)</f>
        <v>10.5</v>
      </c>
      <c r="D767" s="58" t="str">
        <f>IF('AYIRA MINI MART FINAL MENU - Pr'!D767="", "", 'AYIRA MINI MART FINAL MENU - Pr'!D767)</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7" s="56" t="str">
        <f>IF('AYIRA MINI MART FINAL MENU - Pr'!E767="", "", 'AYIRA MINI MART FINAL MENU - Pr'!E767)</f>
        <v/>
      </c>
      <c r="F767" s="56" t="str">
        <f>IF('AYIRA MINI MART FINAL MENU - Pr'!F767="", "", 'AYIRA MINI MART FINAL MENU - Pr'!F767)</f>
        <v/>
      </c>
      <c r="G767" s="56" t="str">
        <f>IF('AYIRA MINI MART FINAL MENU - Pr'!G767="", "", 'AYIRA MINI MART FINAL MENU - Pr'!G767)</f>
        <v/>
      </c>
      <c r="H767" s="56" t="str">
        <f>IF('AYIRA MINI MART FINAL MENU - Pr'!H767="", "", 'AYIRA MINI MART FINAL MENU - Pr'!H767)</f>
        <v/>
      </c>
      <c r="I767" s="56" t="str">
        <f>IF('AYIRA MINI MART FINAL MENU - Pr'!I767="", "", 'AYIRA MINI MART FINAL MENU - Pr'!I767)</f>
        <v/>
      </c>
      <c r="J767" s="56" t="str">
        <f>IFERROR(__xludf.DUMMYFUNCTION("IF('AYIRA MINI MART FINAL MENU - Pr'!J767="""", """", GOOGLETRANSLATE('AYIRA MINI MART FINAL MENU - Pr'!J767, ""en"", ""ar""))"),"")</f>
        <v/>
      </c>
      <c r="K767" s="56" t="str">
        <f>IF('AYIRA MINI MART FINAL MENU - Pr'!K767="", "", 'AYIRA MINI MART FINAL MENU - Pr'!K767)</f>
        <v/>
      </c>
      <c r="L767" s="56" t="str">
        <f>IF('AYIRA MINI MART FINAL MENU - Pr'!L767="", "", 'AYIRA MINI MART FINAL MENU - Pr'!L767)</f>
        <v/>
      </c>
      <c r="M767" s="56" t="str">
        <f>IF('AYIRA MINI MART FINAL MENU - Pr'!M767="", "", 'AYIRA MINI MART FINAL MENU - Pr'!M767)</f>
        <v/>
      </c>
      <c r="N767" s="56" t="str">
        <f>IF('AYIRA MINI MART FINAL MENU - Pr'!N767="", "", 'AYIRA MINI MART FINAL MENU - Pr'!N767)</f>
        <v/>
      </c>
      <c r="O767" s="57"/>
      <c r="P767" s="57"/>
      <c r="Q767" s="57"/>
      <c r="R767" s="57"/>
      <c r="S767" s="57"/>
      <c r="T767" s="57"/>
      <c r="U767" s="57"/>
      <c r="V767" s="57"/>
      <c r="W767" s="57"/>
      <c r="X767" s="57"/>
      <c r="Y767" s="57"/>
      <c r="Z767" s="57"/>
    </row>
    <row r="768">
      <c r="A768" s="56" t="str">
        <f>IFERROR(__xludf.DUMMYFUNCTION("IF('AYIRA MINI MART FINAL MENU - Pr'!A768="""", """", IF(LEN(TRIM(REGEXREPLACE(REGEXREPLACE('AYIRA MINI MART FINAL MENU - Pr'!A768, ""^[^\x{0600}-\x{06FF}]+"", """"), ""^[-–\s]+"", """")))&gt;0, TRIM(REGEXREPLACE(REGEXREPLACE('AYIRA MINI MART FINAL MENU - Pr"&amp;"'!A768, ""^[^\x{0600}-\x{06FF}]+"", """"), ""^[-–\s]+"", """")), GOOGLETRANSLATE('AYIRA MINI MART FINAL MENU - Pr'!A768, ""en"", ""ar"")))"),"برينغلز Cheesy Cheesy – 165 غرام")</f>
        <v>برينغلز Cheesy Cheesy – 165 غرام</v>
      </c>
      <c r="B768" s="56" t="str">
        <f>IFERROR(__xludf.DUMMYFUNCTION("IF('AYIRA MINI MART FINAL MENU - Pr'!B768="""", """", IF(LEN(TRIM(REGEXREPLACE(REGEXREPLACE('AYIRA MINI MART FINAL MENU - Pr'!B768, ""^[^\x{0600}-\x{06FF}]+"", """"), ""^[-–\s]+"", """")))&gt;0, TRIM(REGEXREPLACE(REGEXREPLACE('AYIRA MINI MART FINAL MENU - Pr"&amp;"'!B768, ""^[^\x{0600}-\x{06FF}]+"", """"), ""^[-–\s]+"", """")), GOOGLETRANSLATE('AYIRA MINI MART FINAL MENU - Pr'!B768, ""en"", ""ar"")))"),"الشيبس والمقرمشات")</f>
        <v>الشيبس والمقرمشات</v>
      </c>
      <c r="C768" s="58">
        <f>IF('AYIRA MINI MART FINAL MENU - Pr'!C768="", "", 'AYIRA MINI MART FINAL MENU - Pr'!C768)</f>
        <v>10.5</v>
      </c>
      <c r="D768" s="58" t="str">
        <f>IF('AYIRA MINI MART FINAL MENU - Pr'!D768="", "", 'AYIRA MINI MART FINAL MENU - Pr'!D768)</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8" s="56" t="str">
        <f>IF('AYIRA MINI MART FINAL MENU - Pr'!E768="", "", 'AYIRA MINI MART FINAL MENU - Pr'!E768)</f>
        <v/>
      </c>
      <c r="F768" s="56" t="str">
        <f>IF('AYIRA MINI MART FINAL MENU - Pr'!F768="", "", 'AYIRA MINI MART FINAL MENU - Pr'!F768)</f>
        <v/>
      </c>
      <c r="G768" s="56" t="str">
        <f>IF('AYIRA MINI MART FINAL MENU - Pr'!G768="", "", 'AYIRA MINI MART FINAL MENU - Pr'!G768)</f>
        <v/>
      </c>
      <c r="H768" s="56" t="str">
        <f>IF('AYIRA MINI MART FINAL MENU - Pr'!H768="", "", 'AYIRA MINI MART FINAL MENU - Pr'!H768)</f>
        <v/>
      </c>
      <c r="I768" s="56" t="str">
        <f>IF('AYIRA MINI MART FINAL MENU - Pr'!I768="", "", 'AYIRA MINI MART FINAL MENU - Pr'!I768)</f>
        <v/>
      </c>
      <c r="J768" s="56" t="str">
        <f>IFERROR(__xludf.DUMMYFUNCTION("IF('AYIRA MINI MART FINAL MENU - Pr'!J768="""", """", GOOGLETRANSLATE('AYIRA MINI MART FINAL MENU - Pr'!J768, ""en"", ""ar""))"),"")</f>
        <v/>
      </c>
      <c r="K768" s="56" t="str">
        <f>IF('AYIRA MINI MART FINAL MENU - Pr'!K768="", "", 'AYIRA MINI MART FINAL MENU - Pr'!K768)</f>
        <v/>
      </c>
      <c r="L768" s="56" t="str">
        <f>IF('AYIRA MINI MART FINAL MENU - Pr'!L768="", "", 'AYIRA MINI MART FINAL MENU - Pr'!L768)</f>
        <v/>
      </c>
      <c r="M768" s="56" t="str">
        <f>IF('AYIRA MINI MART FINAL MENU - Pr'!M768="", "", 'AYIRA MINI MART FINAL MENU - Pr'!M768)</f>
        <v/>
      </c>
      <c r="N768" s="56" t="str">
        <f>IF('AYIRA MINI MART FINAL MENU - Pr'!N768="", "", 'AYIRA MINI MART FINAL MENU - Pr'!N768)</f>
        <v/>
      </c>
      <c r="O768" s="57"/>
      <c r="P768" s="57"/>
      <c r="Q768" s="57"/>
      <c r="R768" s="57"/>
      <c r="S768" s="57"/>
      <c r="T768" s="57"/>
      <c r="U768" s="57"/>
      <c r="V768" s="57"/>
      <c r="W768" s="57"/>
      <c r="X768" s="57"/>
      <c r="Y768" s="57"/>
      <c r="Z768" s="57"/>
    </row>
    <row r="769">
      <c r="A769" s="56" t="str">
        <f>IFERROR(__xludf.DUMMYFUNCTION("IF('AYIRA MINI MART FINAL MENU - Pr'!A769="""", """", IF(LEN(TRIM(REGEXREPLACE(REGEXREPLACE('AYIRA MINI MART FINAL MENU - Pr'!A769, ""^[^\x{0600}-\x{06FF}]+"", """"), ""^[-–\s]+"", """")))&gt;0, TRIM(REGEXREPLACE(REGEXREPLACE('AYIRA MINI MART FINAL MENU - Pr"&amp;"'!A769, ""^[^\x{0600}-\x{06FF}]+"", """"), ""^[-–\s]+"", """")), GOOGLETRANSLATE('AYIRA MINI MART FINAL MENU - Pr'!A769, ""en"", ""ar"")))"),"برينغلز ملح &amp; Vinegar – 165 غرام")</f>
        <v>برينغلز ملح &amp; Vinegar – 165 غرام</v>
      </c>
      <c r="B769" s="56" t="str">
        <f>IFERROR(__xludf.DUMMYFUNCTION("IF('AYIRA MINI MART FINAL MENU - Pr'!B769="""", """", IF(LEN(TRIM(REGEXREPLACE(REGEXREPLACE('AYIRA MINI MART FINAL MENU - Pr'!B769, ""^[^\x{0600}-\x{06FF}]+"", """"), ""^[-–\s]+"", """")))&gt;0, TRIM(REGEXREPLACE(REGEXREPLACE('AYIRA MINI MART FINAL MENU - Pr"&amp;"'!B769, ""^[^\x{0600}-\x{06FF}]+"", """"), ""^[-–\s]+"", """")), GOOGLETRANSLATE('AYIRA MINI MART FINAL MENU - Pr'!B769, ""en"", ""ar"")))"),"الشيبس والمقرمشات")</f>
        <v>الشيبس والمقرمشات</v>
      </c>
      <c r="C769" s="58">
        <f>IF('AYIRA MINI MART FINAL MENU - Pr'!C769="", "", 'AYIRA MINI MART FINAL MENU - Pr'!C769)</f>
        <v>10.5</v>
      </c>
      <c r="D769" s="58" t="str">
        <f>IF('AYIRA MINI MART FINAL MENU - Pr'!D769="", "", 'AYIRA MINI MART FINAL MENU - Pr'!D769)</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69" s="56" t="str">
        <f>IF('AYIRA MINI MART FINAL MENU - Pr'!E769="", "", 'AYIRA MINI MART FINAL MENU - Pr'!E769)</f>
        <v/>
      </c>
      <c r="F769" s="56" t="str">
        <f>IF('AYIRA MINI MART FINAL MENU - Pr'!F769="", "", 'AYIRA MINI MART FINAL MENU - Pr'!F769)</f>
        <v/>
      </c>
      <c r="G769" s="56" t="str">
        <f>IF('AYIRA MINI MART FINAL MENU - Pr'!G769="", "", 'AYIRA MINI MART FINAL MENU - Pr'!G769)</f>
        <v/>
      </c>
      <c r="H769" s="56" t="str">
        <f>IF('AYIRA MINI MART FINAL MENU - Pr'!H769="", "", 'AYIRA MINI MART FINAL MENU - Pr'!H769)</f>
        <v/>
      </c>
      <c r="I769" s="56" t="str">
        <f>IF('AYIRA MINI MART FINAL MENU - Pr'!I769="", "", 'AYIRA MINI MART FINAL MENU - Pr'!I769)</f>
        <v/>
      </c>
      <c r="J769" s="56" t="str">
        <f>IFERROR(__xludf.DUMMYFUNCTION("IF('AYIRA MINI MART FINAL MENU - Pr'!J769="""", """", GOOGLETRANSLATE('AYIRA MINI MART FINAL MENU - Pr'!J769, ""en"", ""ar""))"),"")</f>
        <v/>
      </c>
      <c r="K769" s="56" t="str">
        <f>IF('AYIRA MINI MART FINAL MENU - Pr'!K769="", "", 'AYIRA MINI MART FINAL MENU - Pr'!K769)</f>
        <v/>
      </c>
      <c r="L769" s="56" t="str">
        <f>IF('AYIRA MINI MART FINAL MENU - Pr'!L769="", "", 'AYIRA MINI MART FINAL MENU - Pr'!L769)</f>
        <v/>
      </c>
      <c r="M769" s="56" t="str">
        <f>IF('AYIRA MINI MART FINAL MENU - Pr'!M769="", "", 'AYIRA MINI MART FINAL MENU - Pr'!M769)</f>
        <v/>
      </c>
      <c r="N769" s="56" t="str">
        <f>IF('AYIRA MINI MART FINAL MENU - Pr'!N769="", "", 'AYIRA MINI MART FINAL MENU - Pr'!N769)</f>
        <v/>
      </c>
      <c r="O769" s="57"/>
      <c r="P769" s="57"/>
      <c r="Q769" s="57"/>
      <c r="R769" s="57"/>
      <c r="S769" s="57"/>
      <c r="T769" s="57"/>
      <c r="U769" s="57"/>
      <c r="V769" s="57"/>
      <c r="W769" s="57"/>
      <c r="X769" s="57"/>
      <c r="Y769" s="57"/>
      <c r="Z769" s="57"/>
    </row>
    <row r="770">
      <c r="A770" s="56" t="str">
        <f>IFERROR(__xludf.DUMMYFUNCTION("IF('AYIRA MINI MART FINAL MENU - Pr'!A770="""", """", IF(LEN(TRIM(REGEXREPLACE(REGEXREPLACE('AYIRA MINI MART FINAL MENU - Pr'!A770, ""^[^\x{0600}-\x{06FF}]+"", """"), ""^[-–\s]+"", """")))&gt;0, TRIM(REGEXREPLACE(REGEXREPLACE('AYIRA MINI MART FINAL MENU - Pr"&amp;"'!A770, ""^[^\x{0600}-\x{06FF}]+"", """"), ""^[-–\s]+"", """")), GOOGLETRANSLATE('AYIRA MINI MART FINAL MENU - Pr'!A770, ""en"", ""ar"")))"),"شيبس Oman Chilli Flavour Potato شيبس – 137 غرام")</f>
        <v>شيبس Oman Chilli Flavour Potato شيبس – 137 غرام</v>
      </c>
      <c r="B770" s="56" t="str">
        <f>IFERROR(__xludf.DUMMYFUNCTION("IF('AYIRA MINI MART FINAL MENU - Pr'!B770="""", """", IF(LEN(TRIM(REGEXREPLACE(REGEXREPLACE('AYIRA MINI MART FINAL MENU - Pr'!B770, ""^[^\x{0600}-\x{06FF}]+"", """"), ""^[-–\s]+"", """")))&gt;0, TRIM(REGEXREPLACE(REGEXREPLACE('AYIRA MINI MART FINAL MENU - Pr"&amp;"'!B770, ""^[^\x{0600}-\x{06FF}]+"", """"), ""^[-–\s]+"", """")), GOOGLETRANSLATE('AYIRA MINI MART FINAL MENU - Pr'!B770, ""en"", ""ar"")))"),"الشيبس والمقرمشات")</f>
        <v>الشيبس والمقرمشات</v>
      </c>
      <c r="C770" s="58">
        <f>IF('AYIRA MINI MART FINAL MENU - Pr'!C770="", "", 'AYIRA MINI MART FINAL MENU - Pr'!C770)</f>
        <v>7.5</v>
      </c>
      <c r="D770" s="58" t="str">
        <f>IF('AYIRA MINI MART FINAL MENU - Pr'!D770="", "", 'AYIRA MINI MART FINAL MENU - Pr'!D770)</f>
        <v>لا تقاوم طعم Chips Oman Chilli Flavour Potato Chips – 137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0" s="56" t="str">
        <f>IF('AYIRA MINI MART FINAL MENU - Pr'!E770="", "", 'AYIRA MINI MART FINAL MENU - Pr'!E770)</f>
        <v/>
      </c>
      <c r="F770" s="56" t="str">
        <f>IF('AYIRA MINI MART FINAL MENU - Pr'!F770="", "", 'AYIRA MINI MART FINAL MENU - Pr'!F770)</f>
        <v/>
      </c>
      <c r="G770" s="56" t="str">
        <f>IF('AYIRA MINI MART FINAL MENU - Pr'!G770="", "", 'AYIRA MINI MART FINAL MENU - Pr'!G770)</f>
        <v/>
      </c>
      <c r="H770" s="56" t="str">
        <f>IF('AYIRA MINI MART FINAL MENU - Pr'!H770="", "", 'AYIRA MINI MART FINAL MENU - Pr'!H770)</f>
        <v/>
      </c>
      <c r="I770" s="56" t="str">
        <f>IF('AYIRA MINI MART FINAL MENU - Pr'!I770="", "", 'AYIRA MINI MART FINAL MENU - Pr'!I770)</f>
        <v/>
      </c>
      <c r="J770" s="56" t="str">
        <f>IFERROR(__xludf.DUMMYFUNCTION("IF('AYIRA MINI MART FINAL MENU - Pr'!J770="""", """", GOOGLETRANSLATE('AYIRA MINI MART FINAL MENU - Pr'!J770, ""en"", ""ar""))"),"")</f>
        <v/>
      </c>
      <c r="K770" s="56" t="str">
        <f>IF('AYIRA MINI MART FINAL MENU - Pr'!K770="", "", 'AYIRA MINI MART FINAL MENU - Pr'!K770)</f>
        <v/>
      </c>
      <c r="L770" s="56" t="str">
        <f>IF('AYIRA MINI MART FINAL MENU - Pr'!L770="", "", 'AYIRA MINI MART FINAL MENU - Pr'!L770)</f>
        <v/>
      </c>
      <c r="M770" s="56" t="str">
        <f>IF('AYIRA MINI MART FINAL MENU - Pr'!M770="", "", 'AYIRA MINI MART FINAL MENU - Pr'!M770)</f>
        <v/>
      </c>
      <c r="N770" s="56" t="str">
        <f>IF('AYIRA MINI MART FINAL MENU - Pr'!N770="", "", 'AYIRA MINI MART FINAL MENU - Pr'!N770)</f>
        <v/>
      </c>
      <c r="O770" s="57"/>
      <c r="P770" s="57"/>
      <c r="Q770" s="57"/>
      <c r="R770" s="57"/>
      <c r="S770" s="57"/>
      <c r="T770" s="57"/>
      <c r="U770" s="57"/>
      <c r="V770" s="57"/>
      <c r="W770" s="57"/>
      <c r="X770" s="57"/>
      <c r="Y770" s="57"/>
      <c r="Z770" s="57"/>
    </row>
    <row r="771">
      <c r="A771" s="56" t="str">
        <f>IFERROR(__xludf.DUMMYFUNCTION("IF('AYIRA MINI MART FINAL MENU - Pr'!A771="""", """", IF(LEN(TRIM(REGEXREPLACE(REGEXREPLACE('AYIRA MINI MART FINAL MENU - Pr'!A771, ""^[^\x{0600}-\x{06FF}]+"", """"), ""^[-–\s]+"", """")))&gt;0, TRIM(REGEXREPLACE(REGEXREPLACE('AYIRA MINI MART FINAL MENU - Pr"&amp;"'!A771, ""^[^\x{0600}-\x{06FF}]+"", """"), ""^[-–\s]+"", """")), GOOGLETRANSLATE('AYIRA MINI MART FINAL MENU - Pr'!A771, ""en"", ""ar"")))"),"برينغلز كاتشاب – 165 غرام")</f>
        <v>برينغلز كاتشاب – 165 غرام</v>
      </c>
      <c r="B771" s="56" t="str">
        <f>IFERROR(__xludf.DUMMYFUNCTION("IF('AYIRA MINI MART FINAL MENU - Pr'!B771="""", """", IF(LEN(TRIM(REGEXREPLACE(REGEXREPLACE('AYIRA MINI MART FINAL MENU - Pr'!B771, ""^[^\x{0600}-\x{06FF}]+"", """"), ""^[-–\s]+"", """")))&gt;0, TRIM(REGEXREPLACE(REGEXREPLACE('AYIRA MINI MART FINAL MENU - Pr"&amp;"'!B771, ""^[^\x{0600}-\x{06FF}]+"", """"), ""^[-–\s]+"", """")), GOOGLETRANSLATE('AYIRA MINI MART FINAL MENU - Pr'!B771, ""en"", ""ar"")))"),"الشيبس والمقرمشات")</f>
        <v>الشيبس والمقرمشات</v>
      </c>
      <c r="C771" s="58">
        <f>IF('AYIRA MINI MART FINAL MENU - Pr'!C771="", "", 'AYIRA MINI MART FINAL MENU - Pr'!C771)</f>
        <v>10.5</v>
      </c>
      <c r="D771" s="58" t="str">
        <f>IF('AYIRA MINI MART FINAL MENU - Pr'!D771="", "", 'AYIRA MINI MART FINAL MENU - Pr'!D771)</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1" s="56" t="str">
        <f>IF('AYIRA MINI MART FINAL MENU - Pr'!E771="", "", 'AYIRA MINI MART FINAL MENU - Pr'!E771)</f>
        <v/>
      </c>
      <c r="F771" s="56" t="str">
        <f>IF('AYIRA MINI MART FINAL MENU - Pr'!F771="", "", 'AYIRA MINI MART FINAL MENU - Pr'!F771)</f>
        <v/>
      </c>
      <c r="G771" s="56" t="str">
        <f>IF('AYIRA MINI MART FINAL MENU - Pr'!G771="", "", 'AYIRA MINI MART FINAL MENU - Pr'!G771)</f>
        <v/>
      </c>
      <c r="H771" s="56" t="str">
        <f>IF('AYIRA MINI MART FINAL MENU - Pr'!H771="", "", 'AYIRA MINI MART FINAL MENU - Pr'!H771)</f>
        <v/>
      </c>
      <c r="I771" s="56" t="str">
        <f>IF('AYIRA MINI MART FINAL MENU - Pr'!I771="", "", 'AYIRA MINI MART FINAL MENU - Pr'!I771)</f>
        <v/>
      </c>
      <c r="J771" s="56" t="str">
        <f>IFERROR(__xludf.DUMMYFUNCTION("IF('AYIRA MINI MART FINAL MENU - Pr'!J771="""", """", GOOGLETRANSLATE('AYIRA MINI MART FINAL MENU - Pr'!J771, ""en"", ""ar""))"),"")</f>
        <v/>
      </c>
      <c r="K771" s="56" t="str">
        <f>IF('AYIRA MINI MART FINAL MENU - Pr'!K771="", "", 'AYIRA MINI MART FINAL MENU - Pr'!K771)</f>
        <v/>
      </c>
      <c r="L771" s="56" t="str">
        <f>IF('AYIRA MINI MART FINAL MENU - Pr'!L771="", "", 'AYIRA MINI MART FINAL MENU - Pr'!L771)</f>
        <v/>
      </c>
      <c r="M771" s="56" t="str">
        <f>IF('AYIRA MINI MART FINAL MENU - Pr'!M771="", "", 'AYIRA MINI MART FINAL MENU - Pr'!M771)</f>
        <v/>
      </c>
      <c r="N771" s="56" t="str">
        <f>IF('AYIRA MINI MART FINAL MENU - Pr'!N771="", "", 'AYIRA MINI MART FINAL MENU - Pr'!N771)</f>
        <v/>
      </c>
      <c r="O771" s="57"/>
      <c r="P771" s="57"/>
      <c r="Q771" s="57"/>
      <c r="R771" s="57"/>
      <c r="S771" s="57"/>
      <c r="T771" s="57"/>
      <c r="U771" s="57"/>
      <c r="V771" s="57"/>
      <c r="W771" s="57"/>
      <c r="X771" s="57"/>
      <c r="Y771" s="57"/>
      <c r="Z771" s="57"/>
    </row>
    <row r="772">
      <c r="A772" s="56" t="str">
        <f>IFERROR(__xludf.DUMMYFUNCTION("IF('AYIRA MINI MART FINAL MENU - Pr'!A772="""", """", IF(LEN(TRIM(REGEXREPLACE(REGEXREPLACE('AYIRA MINI MART FINAL MENU - Pr'!A772, ""^[^\x{0600}-\x{06FF}]+"", """"), ""^[-–\s]+"", """")))&gt;0, TRIM(REGEXREPLACE(REGEXREPLACE('AYIRA MINI MART FINAL MENU - Pr"&amp;"'!A772, ""^[^\x{0600}-\x{06FF}]+"", """"), ""^[-–\s]+"", """")), GOOGLETRANSLATE('AYIRA MINI MART FINAL MENU - Pr'!A772, ""en"", ""ar"")))"),"برينغلز Barbeque – 165 غرام")</f>
        <v>برينغلز Barbeque – 165 غرام</v>
      </c>
      <c r="B772" s="56" t="str">
        <f>IFERROR(__xludf.DUMMYFUNCTION("IF('AYIRA MINI MART FINAL MENU - Pr'!B772="""", """", IF(LEN(TRIM(REGEXREPLACE(REGEXREPLACE('AYIRA MINI MART FINAL MENU - Pr'!B772, ""^[^\x{0600}-\x{06FF}]+"", """"), ""^[-–\s]+"", """")))&gt;0, TRIM(REGEXREPLACE(REGEXREPLACE('AYIRA MINI MART FINAL MENU - Pr"&amp;"'!B772, ""^[^\x{0600}-\x{06FF}]+"", """"), ""^[-–\s]+"", """")), GOOGLETRANSLATE('AYIRA MINI MART FINAL MENU - Pr'!B772, ""en"", ""ar"")))"),"الشيبس والمقرمشات")</f>
        <v>الشيبس والمقرمشات</v>
      </c>
      <c r="C772" s="58">
        <f>IF('AYIRA MINI MART FINAL MENU - Pr'!C772="", "", 'AYIRA MINI MART FINAL MENU - Pr'!C772)</f>
        <v>10.5</v>
      </c>
      <c r="D772" s="58" t="str">
        <f>IF('AYIRA MINI MART FINAL MENU - Pr'!D772="", "", 'AYIRA MINI MART FINAL MENU - Pr'!D772)</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2" s="56" t="str">
        <f>IF('AYIRA MINI MART FINAL MENU - Pr'!E772="", "", 'AYIRA MINI MART FINAL MENU - Pr'!E772)</f>
        <v/>
      </c>
      <c r="F772" s="56" t="str">
        <f>IF('AYIRA MINI MART FINAL MENU - Pr'!F772="", "", 'AYIRA MINI MART FINAL MENU - Pr'!F772)</f>
        <v/>
      </c>
      <c r="G772" s="56" t="str">
        <f>IF('AYIRA MINI MART FINAL MENU - Pr'!G772="", "", 'AYIRA MINI MART FINAL MENU - Pr'!G772)</f>
        <v/>
      </c>
      <c r="H772" s="56" t="str">
        <f>IF('AYIRA MINI MART FINAL MENU - Pr'!H772="", "", 'AYIRA MINI MART FINAL MENU - Pr'!H772)</f>
        <v/>
      </c>
      <c r="I772" s="56" t="str">
        <f>IF('AYIRA MINI MART FINAL MENU - Pr'!I772="", "", 'AYIRA MINI MART FINAL MENU - Pr'!I772)</f>
        <v/>
      </c>
      <c r="J772" s="56" t="str">
        <f>IFERROR(__xludf.DUMMYFUNCTION("IF('AYIRA MINI MART FINAL MENU - Pr'!J772="""", """", GOOGLETRANSLATE('AYIRA MINI MART FINAL MENU - Pr'!J772, ""en"", ""ar""))"),"")</f>
        <v/>
      </c>
      <c r="K772" s="56" t="str">
        <f>IF('AYIRA MINI MART FINAL MENU - Pr'!K772="", "", 'AYIRA MINI MART FINAL MENU - Pr'!K772)</f>
        <v/>
      </c>
      <c r="L772" s="56" t="str">
        <f>IF('AYIRA MINI MART FINAL MENU - Pr'!L772="", "", 'AYIRA MINI MART FINAL MENU - Pr'!L772)</f>
        <v/>
      </c>
      <c r="M772" s="56" t="str">
        <f>IF('AYIRA MINI MART FINAL MENU - Pr'!M772="", "", 'AYIRA MINI MART FINAL MENU - Pr'!M772)</f>
        <v/>
      </c>
      <c r="N772" s="56" t="str">
        <f>IF('AYIRA MINI MART FINAL MENU - Pr'!N772="", "", 'AYIRA MINI MART FINAL MENU - Pr'!N772)</f>
        <v/>
      </c>
      <c r="O772" s="57"/>
      <c r="P772" s="57"/>
      <c r="Q772" s="57"/>
      <c r="R772" s="57"/>
      <c r="S772" s="57"/>
      <c r="T772" s="57"/>
      <c r="U772" s="57"/>
      <c r="V772" s="57"/>
      <c r="W772" s="57"/>
      <c r="X772" s="57"/>
      <c r="Y772" s="57"/>
      <c r="Z772" s="57"/>
    </row>
    <row r="773">
      <c r="A773" s="56" t="str">
        <f>IFERROR(__xludf.DUMMYFUNCTION("IF('AYIRA MINI MART FINAL MENU - Pr'!A773="""", """", IF(LEN(TRIM(REGEXREPLACE(REGEXREPLACE('AYIRA MINI MART FINAL MENU - Pr'!A773, ""^[^\x{0600}-\x{06FF}]+"", """"), ""^[-–\s]+"", """")))&gt;0, TRIM(REGEXREPLACE(REGEXREPLACE('AYIRA MINI MART FINAL MENU - Pr"&amp;"'!A773, ""^[^\x{0600}-\x{06FF}]+"", """"), ""^[-–\s]+"", """")), GOOGLETRANSLATE('AYIRA MINI MART FINAL MENU - Pr'!A773, ""en"", ""ar"")))"),"برينغلز حار &amp; حار – 165 غرام")</f>
        <v>برينغلز حار &amp; حار – 165 غرام</v>
      </c>
      <c r="B773" s="56" t="str">
        <f>IFERROR(__xludf.DUMMYFUNCTION("IF('AYIRA MINI MART FINAL MENU - Pr'!B773="""", """", IF(LEN(TRIM(REGEXREPLACE(REGEXREPLACE('AYIRA MINI MART FINAL MENU - Pr'!B773, ""^[^\x{0600}-\x{06FF}]+"", """"), ""^[-–\s]+"", """")))&gt;0, TRIM(REGEXREPLACE(REGEXREPLACE('AYIRA MINI MART FINAL MENU - Pr"&amp;"'!B773, ""^[^\x{0600}-\x{06FF}]+"", """"), ""^[-–\s]+"", """")), GOOGLETRANSLATE('AYIRA MINI MART FINAL MENU - Pr'!B773, ""en"", ""ar"")))"),"الشيبس والمقرمشات")</f>
        <v>الشيبس والمقرمشات</v>
      </c>
      <c r="C773" s="58">
        <f>IF('AYIRA MINI MART FINAL MENU - Pr'!C773="", "", 'AYIRA MINI MART FINAL MENU - Pr'!C773)</f>
        <v>10.5</v>
      </c>
      <c r="D773" s="58" t="str">
        <f>IF('AYIRA MINI MART FINAL MENU - Pr'!D773="", "", 'AYIRA MINI MART FINAL MENU - Pr'!D773)</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3" s="56" t="str">
        <f>IF('AYIRA MINI MART FINAL MENU - Pr'!E773="", "", 'AYIRA MINI MART FINAL MENU - Pr'!E773)</f>
        <v/>
      </c>
      <c r="F773" s="56" t="str">
        <f>IF('AYIRA MINI MART FINAL MENU - Pr'!F773="", "", 'AYIRA MINI MART FINAL MENU - Pr'!F773)</f>
        <v/>
      </c>
      <c r="G773" s="56" t="str">
        <f>IF('AYIRA MINI MART FINAL MENU - Pr'!G773="", "", 'AYIRA MINI MART FINAL MENU - Pr'!G773)</f>
        <v/>
      </c>
      <c r="H773" s="56" t="str">
        <f>IF('AYIRA MINI MART FINAL MENU - Pr'!H773="", "", 'AYIRA MINI MART FINAL MENU - Pr'!H773)</f>
        <v/>
      </c>
      <c r="I773" s="56" t="str">
        <f>IF('AYIRA MINI MART FINAL MENU - Pr'!I773="", "", 'AYIRA MINI MART FINAL MENU - Pr'!I773)</f>
        <v/>
      </c>
      <c r="J773" s="56" t="str">
        <f>IFERROR(__xludf.DUMMYFUNCTION("IF('AYIRA MINI MART FINAL MENU - Pr'!J773="""", """", GOOGLETRANSLATE('AYIRA MINI MART FINAL MENU - Pr'!J773, ""en"", ""ar""))"),"")</f>
        <v/>
      </c>
      <c r="K773" s="56" t="str">
        <f>IF('AYIRA MINI MART FINAL MENU - Pr'!K773="", "", 'AYIRA MINI MART FINAL MENU - Pr'!K773)</f>
        <v/>
      </c>
      <c r="L773" s="56" t="str">
        <f>IF('AYIRA MINI MART FINAL MENU - Pr'!L773="", "", 'AYIRA MINI MART FINAL MENU - Pr'!L773)</f>
        <v/>
      </c>
      <c r="M773" s="56" t="str">
        <f>IF('AYIRA MINI MART FINAL MENU - Pr'!M773="", "", 'AYIRA MINI MART FINAL MENU - Pr'!M773)</f>
        <v/>
      </c>
      <c r="N773" s="56" t="str">
        <f>IF('AYIRA MINI MART FINAL MENU - Pr'!N773="", "", 'AYIRA MINI MART FINAL MENU - Pr'!N773)</f>
        <v/>
      </c>
      <c r="O773" s="57"/>
      <c r="P773" s="57"/>
      <c r="Q773" s="57"/>
      <c r="R773" s="57"/>
      <c r="S773" s="57"/>
      <c r="T773" s="57"/>
      <c r="U773" s="57"/>
      <c r="V773" s="57"/>
      <c r="W773" s="57"/>
      <c r="X773" s="57"/>
      <c r="Y773" s="57"/>
      <c r="Z773" s="57"/>
    </row>
    <row r="774">
      <c r="A774" s="56" t="str">
        <f>IFERROR(__xludf.DUMMYFUNCTION("IF('AYIRA MINI MART FINAL MENU - Pr'!A774="""", """", IF(LEN(TRIM(REGEXREPLACE(REGEXREPLACE('AYIRA MINI MART FINAL MENU - Pr'!A774, ""^[^\x{0600}-\x{06FF}]+"", """"), ""^[-–\s]+"", """")))&gt;0, TRIM(REGEXREPLACE(REGEXREPLACE('AYIRA MINI MART FINAL MENU - Pr"&amp;"'!A774, ""^[^\x{0600}-\x{06FF}]+"", """"), ""^[-–\s]+"", """")), GOOGLETRANSLATE('AYIRA MINI MART FINAL MENU - Pr'!A774, ""en"", ""ar"")))"),"برينغلز Paprika – 165 غرام")</f>
        <v>برينغلز Paprika – 165 غرام</v>
      </c>
      <c r="B774" s="56" t="str">
        <f>IFERROR(__xludf.DUMMYFUNCTION("IF('AYIRA MINI MART FINAL MENU - Pr'!B774="""", """", IF(LEN(TRIM(REGEXREPLACE(REGEXREPLACE('AYIRA MINI MART FINAL MENU - Pr'!B774, ""^[^\x{0600}-\x{06FF}]+"", """"), ""^[-–\s]+"", """")))&gt;0, TRIM(REGEXREPLACE(REGEXREPLACE('AYIRA MINI MART FINAL MENU - Pr"&amp;"'!B774, ""^[^\x{0600}-\x{06FF}]+"", """"), ""^[-–\s]+"", """")), GOOGLETRANSLATE('AYIRA MINI MART FINAL MENU - Pr'!B774, ""en"", ""ar"")))"),"الشيبس والمقرمشات")</f>
        <v>الشيبس والمقرمشات</v>
      </c>
      <c r="C774" s="58">
        <f>IF('AYIRA MINI MART FINAL MENU - Pr'!C774="", "", 'AYIRA MINI MART FINAL MENU - Pr'!C774)</f>
        <v>10.5</v>
      </c>
      <c r="D774" s="58" t="str">
        <f>IF('AYIRA MINI MART FINAL MENU - Pr'!D774="", "", 'AYIRA MINI MART FINAL MENU - Pr'!D774)</f>
        <v>لا تقاوم طعم برينغلز،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4" s="56" t="str">
        <f>IF('AYIRA MINI MART FINAL MENU - Pr'!E774="", "", 'AYIRA MINI MART FINAL MENU - Pr'!E774)</f>
        <v/>
      </c>
      <c r="F774" s="56" t="str">
        <f>IF('AYIRA MINI MART FINAL MENU - Pr'!F774="", "", 'AYIRA MINI MART FINAL MENU - Pr'!F774)</f>
        <v/>
      </c>
      <c r="G774" s="56" t="str">
        <f>IF('AYIRA MINI MART FINAL MENU - Pr'!G774="", "", 'AYIRA MINI MART FINAL MENU - Pr'!G774)</f>
        <v/>
      </c>
      <c r="H774" s="56" t="str">
        <f>IF('AYIRA MINI MART FINAL MENU - Pr'!H774="", "", 'AYIRA MINI MART FINAL MENU - Pr'!H774)</f>
        <v/>
      </c>
      <c r="I774" s="56" t="str">
        <f>IF('AYIRA MINI MART FINAL MENU - Pr'!I774="", "", 'AYIRA MINI MART FINAL MENU - Pr'!I774)</f>
        <v/>
      </c>
      <c r="J774" s="56" t="str">
        <f>IFERROR(__xludf.DUMMYFUNCTION("IF('AYIRA MINI MART FINAL MENU - Pr'!J774="""", """", GOOGLETRANSLATE('AYIRA MINI MART FINAL MENU - Pr'!J774, ""en"", ""ar""))"),"")</f>
        <v/>
      </c>
      <c r="K774" s="56" t="str">
        <f>IF('AYIRA MINI MART FINAL MENU - Pr'!K774="", "", 'AYIRA MINI MART FINAL MENU - Pr'!K774)</f>
        <v/>
      </c>
      <c r="L774" s="56" t="str">
        <f>IF('AYIRA MINI MART FINAL MENU - Pr'!L774="", "", 'AYIRA MINI MART FINAL MENU - Pr'!L774)</f>
        <v/>
      </c>
      <c r="M774" s="56" t="str">
        <f>IF('AYIRA MINI MART FINAL MENU - Pr'!M774="", "", 'AYIRA MINI MART FINAL MENU - Pr'!M774)</f>
        <v/>
      </c>
      <c r="N774" s="56" t="str">
        <f>IF('AYIRA MINI MART FINAL MENU - Pr'!N774="", "", 'AYIRA MINI MART FINAL MENU - Pr'!N774)</f>
        <v/>
      </c>
      <c r="O774" s="57"/>
      <c r="P774" s="57"/>
      <c r="Q774" s="57"/>
      <c r="R774" s="57"/>
      <c r="S774" s="57"/>
      <c r="T774" s="57"/>
      <c r="U774" s="57"/>
      <c r="V774" s="57"/>
      <c r="W774" s="57"/>
      <c r="X774" s="57"/>
      <c r="Y774" s="57"/>
      <c r="Z774" s="57"/>
    </row>
    <row r="775">
      <c r="A775" s="56" t="str">
        <f>IFERROR(__xludf.DUMMYFUNCTION("IF('AYIRA MINI MART FINAL MENU - Pr'!A775="""", """", IF(LEN(TRIM(REGEXREPLACE(REGEXREPLACE('AYIRA MINI MART FINAL MENU - Pr'!A775, ""^[^\x{0600}-\x{06FF}]+"", """"), ""^[-–\s]+"", """")))&gt;0, TRIM(REGEXREPLACE(REGEXREPLACE('AYIRA MINI MART FINAL MENU - Pr"&amp;"'!A775, ""^[^\x{0600}-\x{06FF}]+"", """"), ""^[-–\s]+"", """")), GOOGLETRANSLATE('AYIRA MINI MART FINAL MENU - Pr'!A775, ""en"", ""ar"")))"),"عنب Flavour 12 غرام")</f>
        <v>عنب Flavour 12 غرام</v>
      </c>
      <c r="B775" s="56" t="str">
        <f>IFERROR(__xludf.DUMMYFUNCTION("IF('AYIRA MINI MART FINAL MENU - Pr'!B775="""", """", IF(LEN(TRIM(REGEXREPLACE(REGEXREPLACE('AYIRA MINI MART FINAL MENU - Pr'!B775, ""^[^\x{0600}-\x{06FF}]+"", """"), ""^[-–\s]+"", """")))&gt;0, TRIM(REGEXREPLACE(REGEXREPLACE('AYIRA MINI MART FINAL MENU - Pr"&amp;"'!B775, ""^[^\x{0600}-\x{06FF}]+"", """"), ""^[-–\s]+"", """")), GOOGLETRANSLATE('AYIRA MINI MART FINAL MENU - Pr'!B775, ""en"", ""ar"")))"),"الحلوى 🍬")</f>
        <v>الحلوى 🍬</v>
      </c>
      <c r="C775" s="58">
        <f>IF('AYIRA MINI MART FINAL MENU - Pr'!C775="", "", 'AYIRA MINI MART FINAL MENU - Pr'!C775)</f>
        <v>1</v>
      </c>
      <c r="D775" s="58" t="str">
        <f>IF('AYIRA MINI MART FINAL MENU - Pr'!D775="", "", 'AYIRA MINI MART FINAL MENU - Pr'!D775)</f>
        <v>لا تقاوم طعم fruits Roll Grape Flavour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5" s="56" t="str">
        <f>IF('AYIRA MINI MART FINAL MENU - Pr'!E775="", "", 'AYIRA MINI MART FINAL MENU - Pr'!E775)</f>
        <v/>
      </c>
      <c r="F775" s="56" t="str">
        <f>IF('AYIRA MINI MART FINAL MENU - Pr'!F775="", "", 'AYIRA MINI MART FINAL MENU - Pr'!F775)</f>
        <v/>
      </c>
      <c r="G775" s="56" t="str">
        <f>IF('AYIRA MINI MART FINAL MENU - Pr'!G775="", "", 'AYIRA MINI MART FINAL MENU - Pr'!G775)</f>
        <v/>
      </c>
      <c r="H775" s="56" t="str">
        <f>IF('AYIRA MINI MART FINAL MENU - Pr'!H775="", "", 'AYIRA MINI MART FINAL MENU - Pr'!H775)</f>
        <v/>
      </c>
      <c r="I775" s="56" t="str">
        <f>IF('AYIRA MINI MART FINAL MENU - Pr'!I775="", "", 'AYIRA MINI MART FINAL MENU - Pr'!I775)</f>
        <v/>
      </c>
      <c r="J775" s="56" t="str">
        <f>IFERROR(__xludf.DUMMYFUNCTION("IF('AYIRA MINI MART FINAL MENU - Pr'!J775="""", """", GOOGLETRANSLATE('AYIRA MINI MART FINAL MENU - Pr'!J775, ""en"", ""ar""))"),"")</f>
        <v/>
      </c>
      <c r="K775" s="56" t="str">
        <f>IF('AYIRA MINI MART FINAL MENU - Pr'!K775="", "", 'AYIRA MINI MART FINAL MENU - Pr'!K775)</f>
        <v/>
      </c>
      <c r="L775" s="56" t="str">
        <f>IF('AYIRA MINI MART FINAL MENU - Pr'!L775="", "", 'AYIRA MINI MART FINAL MENU - Pr'!L775)</f>
        <v/>
      </c>
      <c r="M775" s="56" t="str">
        <f>IF('AYIRA MINI MART FINAL MENU - Pr'!M775="", "", 'AYIRA MINI MART FINAL MENU - Pr'!M775)</f>
        <v/>
      </c>
      <c r="N775" s="56" t="str">
        <f>IF('AYIRA MINI MART FINAL MENU - Pr'!N775="", "", 'AYIRA MINI MART FINAL MENU - Pr'!N775)</f>
        <v/>
      </c>
      <c r="O775" s="57"/>
      <c r="P775" s="57"/>
      <c r="Q775" s="57"/>
      <c r="R775" s="57"/>
      <c r="S775" s="57"/>
      <c r="T775" s="57"/>
      <c r="U775" s="57"/>
      <c r="V775" s="57"/>
      <c r="W775" s="57"/>
      <c r="X775" s="57"/>
      <c r="Y775" s="57"/>
      <c r="Z775" s="57"/>
    </row>
    <row r="776">
      <c r="A776" s="56" t="str">
        <f>IFERROR(__xludf.DUMMYFUNCTION("IF('AYIRA MINI MART FINAL MENU - Pr'!A776="""", """", IF(LEN(TRIM(REGEXREPLACE(REGEXREPLACE('AYIRA MINI MART FINAL MENU - Pr'!A776, ""^[^\x{0600}-\x{06FF}]+"", """"), ""^[-–\s]+"", """")))&gt;0, TRIM(REGEXREPLACE(REGEXREPLACE('AYIRA MINI MART FINAL MENU - Pr"&amp;"'!A776, ""^[^\x{0600}-\x{06FF}]+"", """"), ""^[-–\s]+"", """")), GOOGLETRANSLATE('AYIRA MINI MART FINAL MENU - Pr'!A776, ""en"", ""ar"")))"),"غرام")</f>
        <v>غرام</v>
      </c>
      <c r="B776" s="56" t="str">
        <f>IFERROR(__xludf.DUMMYFUNCTION("IF('AYIRA MINI MART FINAL MENU - Pr'!B776="""", """", IF(LEN(TRIM(REGEXREPLACE(REGEXREPLACE('AYIRA MINI MART FINAL MENU - Pr'!B776, ""^[^\x{0600}-\x{06FF}]+"", """"), ""^[-–\s]+"", """")))&gt;0, TRIM(REGEXREPLACE(REGEXREPLACE('AYIRA MINI MART FINAL MENU - Pr"&amp;"'!B776, ""^[^\x{0600}-\x{06FF}]+"", """"), ""^[-–\s]+"", """")), GOOGLETRANSLATE('AYIRA MINI MART FINAL MENU - Pr'!B776, ""en"", ""ar"")))"),"الحلوى 🍬")</f>
        <v>الحلوى 🍬</v>
      </c>
      <c r="C776" s="58">
        <f>IF('AYIRA MINI MART FINAL MENU - Pr'!C776="", "", 'AYIRA MINI MART FINAL MENU - Pr'!C776)</f>
        <v>4</v>
      </c>
      <c r="D776" s="58" t="str">
        <f>IF('AYIRA MINI MART FINAL MENU - Pr'!D776="", "", 'AYIRA MINI MART FINAL MENU - Pr'!D776)</f>
        <v>لا تقاوم طعم Cats Pop 35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6" s="56" t="str">
        <f>IF('AYIRA MINI MART FINAL MENU - Pr'!E776="", "", 'AYIRA MINI MART FINAL MENU - Pr'!E776)</f>
        <v/>
      </c>
      <c r="F776" s="56" t="str">
        <f>IF('AYIRA MINI MART FINAL MENU - Pr'!F776="", "", 'AYIRA MINI MART FINAL MENU - Pr'!F776)</f>
        <v/>
      </c>
      <c r="G776" s="56" t="str">
        <f>IF('AYIRA MINI MART FINAL MENU - Pr'!G776="", "", 'AYIRA MINI MART FINAL MENU - Pr'!G776)</f>
        <v/>
      </c>
      <c r="H776" s="56" t="str">
        <f>IF('AYIRA MINI MART FINAL MENU - Pr'!H776="", "", 'AYIRA MINI MART FINAL MENU - Pr'!H776)</f>
        <v/>
      </c>
      <c r="I776" s="56" t="str">
        <f>IF('AYIRA MINI MART FINAL MENU - Pr'!I776="", "", 'AYIRA MINI MART FINAL MENU - Pr'!I776)</f>
        <v/>
      </c>
      <c r="J776" s="56" t="str">
        <f>IFERROR(__xludf.DUMMYFUNCTION("IF('AYIRA MINI MART FINAL MENU - Pr'!J776="""", """", GOOGLETRANSLATE('AYIRA MINI MART FINAL MENU - Pr'!J776, ""en"", ""ar""))"),"")</f>
        <v/>
      </c>
      <c r="K776" s="56" t="str">
        <f>IF('AYIRA MINI MART FINAL MENU - Pr'!K776="", "", 'AYIRA MINI MART FINAL MENU - Pr'!K776)</f>
        <v/>
      </c>
      <c r="L776" s="56" t="str">
        <f>IF('AYIRA MINI MART FINAL MENU - Pr'!L776="", "", 'AYIRA MINI MART FINAL MENU - Pr'!L776)</f>
        <v/>
      </c>
      <c r="M776" s="56" t="str">
        <f>IF('AYIRA MINI MART FINAL MENU - Pr'!M776="", "", 'AYIRA MINI MART FINAL MENU - Pr'!M776)</f>
        <v/>
      </c>
      <c r="N776" s="56" t="str">
        <f>IF('AYIRA MINI MART FINAL MENU - Pr'!N776="", "", 'AYIRA MINI MART FINAL MENU - Pr'!N776)</f>
        <v/>
      </c>
      <c r="O776" s="57"/>
      <c r="P776" s="57"/>
      <c r="Q776" s="57"/>
      <c r="R776" s="57"/>
      <c r="S776" s="57"/>
      <c r="T776" s="57"/>
      <c r="U776" s="57"/>
      <c r="V776" s="57"/>
      <c r="W776" s="57"/>
      <c r="X776" s="57"/>
      <c r="Y776" s="57"/>
      <c r="Z776" s="57"/>
    </row>
    <row r="777">
      <c r="A777" s="56" t="str">
        <f>IFERROR(__xludf.DUMMYFUNCTION("IF('AYIRA MINI MART FINAL MENU - Pr'!A777="""", """", IF(LEN(TRIM(REGEXREPLACE(REGEXREPLACE('AYIRA MINI MART FINAL MENU - Pr'!A777, ""^[^\x{0600}-\x{06FF}]+"", """"), ""^[-–\s]+"", """")))&gt;0, TRIM(REGEXREPLACE(REGEXREPLACE('AYIRA MINI MART FINAL MENU - Pr"&amp;"'!A777, ""^[^\x{0600}-\x{06FF}]+"", """"), ""^[-–\s]+"", """")), GOOGLETRANSLATE('AYIRA MINI MART FINAL MENU - Pr'!A777, ""en"", ""ar"")))"),"عصا Mallow 12 غرام")</f>
        <v>عصا Mallow 12 غرام</v>
      </c>
      <c r="B777" s="56" t="str">
        <f>IFERROR(__xludf.DUMMYFUNCTION("IF('AYIRA MINI MART FINAL MENU - Pr'!B777="""", """", IF(LEN(TRIM(REGEXREPLACE(REGEXREPLACE('AYIRA MINI MART FINAL MENU - Pr'!B777, ""^[^\x{0600}-\x{06FF}]+"", """"), ""^[-–\s]+"", """")))&gt;0, TRIM(REGEXREPLACE(REGEXREPLACE('AYIRA MINI MART FINAL MENU - Pr"&amp;"'!B777, ""^[^\x{0600}-\x{06FF}]+"", """"), ""^[-–\s]+"", """")), GOOGLETRANSLATE('AYIRA MINI MART FINAL MENU - Pr'!B777, ""en"", ""ar"")))"),"الحلوى 🍬")</f>
        <v>الحلوى 🍬</v>
      </c>
      <c r="C777" s="58">
        <f>IF('AYIRA MINI MART FINAL MENU - Pr'!C777="", "", 'AYIRA MINI MART FINAL MENU - Pr'!C777)</f>
        <v>1.5</v>
      </c>
      <c r="D777" s="58" t="str">
        <f>IF('AYIRA MINI MART FINAL MENU - Pr'!D777="", "", 'AYIRA MINI MART FINAL MENU - Pr'!D777)</f>
        <v>لا تقاوم طعم Twist Stick Mallow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7" s="56" t="str">
        <f>IF('AYIRA MINI MART FINAL MENU - Pr'!E777="", "", 'AYIRA MINI MART FINAL MENU - Pr'!E777)</f>
        <v/>
      </c>
      <c r="F777" s="56" t="str">
        <f>IF('AYIRA MINI MART FINAL MENU - Pr'!F777="", "", 'AYIRA MINI MART FINAL MENU - Pr'!F777)</f>
        <v/>
      </c>
      <c r="G777" s="56" t="str">
        <f>IF('AYIRA MINI MART FINAL MENU - Pr'!G777="", "", 'AYIRA MINI MART FINAL MENU - Pr'!G777)</f>
        <v/>
      </c>
      <c r="H777" s="56" t="str">
        <f>IF('AYIRA MINI MART FINAL MENU - Pr'!H777="", "", 'AYIRA MINI MART FINAL MENU - Pr'!H777)</f>
        <v/>
      </c>
      <c r="I777" s="56" t="str">
        <f>IF('AYIRA MINI MART FINAL MENU - Pr'!I777="", "", 'AYIRA MINI MART FINAL MENU - Pr'!I777)</f>
        <v/>
      </c>
      <c r="J777" s="56" t="str">
        <f>IFERROR(__xludf.DUMMYFUNCTION("IF('AYIRA MINI MART FINAL MENU - Pr'!J777="""", """", GOOGLETRANSLATE('AYIRA MINI MART FINAL MENU - Pr'!J777, ""en"", ""ar""))"),"")</f>
        <v/>
      </c>
      <c r="K777" s="56" t="str">
        <f>IF('AYIRA MINI MART FINAL MENU - Pr'!K777="", "", 'AYIRA MINI MART FINAL MENU - Pr'!K777)</f>
        <v/>
      </c>
      <c r="L777" s="56" t="str">
        <f>IF('AYIRA MINI MART FINAL MENU - Pr'!L777="", "", 'AYIRA MINI MART FINAL MENU - Pr'!L777)</f>
        <v/>
      </c>
      <c r="M777" s="56" t="str">
        <f>IF('AYIRA MINI MART FINAL MENU - Pr'!M777="", "", 'AYIRA MINI MART FINAL MENU - Pr'!M777)</f>
        <v/>
      </c>
      <c r="N777" s="56" t="str">
        <f>IF('AYIRA MINI MART FINAL MENU - Pr'!N777="", "", 'AYIRA MINI MART FINAL MENU - Pr'!N777)</f>
        <v/>
      </c>
      <c r="O777" s="57"/>
      <c r="P777" s="57"/>
      <c r="Q777" s="57"/>
      <c r="R777" s="57"/>
      <c r="S777" s="57"/>
      <c r="T777" s="57"/>
      <c r="U777" s="57"/>
      <c r="V777" s="57"/>
      <c r="W777" s="57"/>
      <c r="X777" s="57"/>
      <c r="Y777" s="57"/>
      <c r="Z777" s="57"/>
    </row>
    <row r="778">
      <c r="A778" s="56" t="str">
        <f>IFERROR(__xludf.DUMMYFUNCTION("IF('AYIRA MINI MART FINAL MENU - Pr'!A778="""", """", IF(LEN(TRIM(REGEXREPLACE(REGEXREPLACE('AYIRA MINI MART FINAL MENU - Pr'!A778, ""^[^\x{0600}-\x{06FF}]+"", """"), ""^[-–\s]+"", """")))&gt;0, TRIM(REGEXREPLACE(REGEXREPLACE('AYIRA MINI MART FINAL MENU - Pr"&amp;"'!A778, ""^[^\x{0600}-\x{06FF}]+"", """"), ""^[-–\s]+"", """")), GOOGLETRANSLATE('AYIRA MINI MART FINAL MENU - Pr'!A778, ""en"", ""ar"")))"),"غرام")</f>
        <v>غرام</v>
      </c>
      <c r="B778" s="56" t="str">
        <f>IFERROR(__xludf.DUMMYFUNCTION("IF('AYIRA MINI MART FINAL MENU - Pr'!B778="""", """", IF(LEN(TRIM(REGEXREPLACE(REGEXREPLACE('AYIRA MINI MART FINAL MENU - Pr'!B778, ""^[^\x{0600}-\x{06FF}]+"", """"), ""^[-–\s]+"", """")))&gt;0, TRIM(REGEXREPLACE(REGEXREPLACE('AYIRA MINI MART FINAL MENU - Pr"&amp;"'!B778, ""^[^\x{0600}-\x{06FF}]+"", """"), ""^[-–\s]+"", """")), GOOGLETRANSLATE('AYIRA MINI MART FINAL MENU - Pr'!B778, ""en"", ""ar"")))"),"الحلوى 🍬")</f>
        <v>الحلوى 🍬</v>
      </c>
      <c r="C778" s="58">
        <f>IF('AYIRA MINI MART FINAL MENU - Pr'!C778="", "", 'AYIRA MINI MART FINAL MENU - Pr'!C778)</f>
        <v>9</v>
      </c>
      <c r="D778" s="58" t="str">
        <f>IF('AYIRA MINI MART FINAL MENU - Pr'!D778="", "", 'AYIRA MINI MART FINAL MENU - Pr'!D778)</f>
        <v>لا تقاوم طعم Juicy Drop Pop Copa 26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8" s="56" t="str">
        <f>IF('AYIRA MINI MART FINAL MENU - Pr'!E778="", "", 'AYIRA MINI MART FINAL MENU - Pr'!E778)</f>
        <v/>
      </c>
      <c r="F778" s="56" t="str">
        <f>IF('AYIRA MINI MART FINAL MENU - Pr'!F778="", "", 'AYIRA MINI MART FINAL MENU - Pr'!F778)</f>
        <v/>
      </c>
      <c r="G778" s="56" t="str">
        <f>IF('AYIRA MINI MART FINAL MENU - Pr'!G778="", "", 'AYIRA MINI MART FINAL MENU - Pr'!G778)</f>
        <v/>
      </c>
      <c r="H778" s="56" t="str">
        <f>IF('AYIRA MINI MART FINAL MENU - Pr'!H778="", "", 'AYIRA MINI MART FINAL MENU - Pr'!H778)</f>
        <v/>
      </c>
      <c r="I778" s="56" t="str">
        <f>IF('AYIRA MINI MART FINAL MENU - Pr'!I778="", "", 'AYIRA MINI MART FINAL MENU - Pr'!I778)</f>
        <v/>
      </c>
      <c r="J778" s="56" t="str">
        <f>IFERROR(__xludf.DUMMYFUNCTION("IF('AYIRA MINI MART FINAL MENU - Pr'!J778="""", """", GOOGLETRANSLATE('AYIRA MINI MART FINAL MENU - Pr'!J778, ""en"", ""ar""))"),"")</f>
        <v/>
      </c>
      <c r="K778" s="56" t="str">
        <f>IF('AYIRA MINI MART FINAL MENU - Pr'!K778="", "", 'AYIRA MINI MART FINAL MENU - Pr'!K778)</f>
        <v/>
      </c>
      <c r="L778" s="56" t="str">
        <f>IF('AYIRA MINI MART FINAL MENU - Pr'!L778="", "", 'AYIRA MINI MART FINAL MENU - Pr'!L778)</f>
        <v/>
      </c>
      <c r="M778" s="56" t="str">
        <f>IF('AYIRA MINI MART FINAL MENU - Pr'!M778="", "", 'AYIRA MINI MART FINAL MENU - Pr'!M778)</f>
        <v/>
      </c>
      <c r="N778" s="56" t="str">
        <f>IF('AYIRA MINI MART FINAL MENU - Pr'!N778="", "", 'AYIRA MINI MART FINAL MENU - Pr'!N778)</f>
        <v/>
      </c>
      <c r="O778" s="57"/>
      <c r="P778" s="57"/>
      <c r="Q778" s="57"/>
      <c r="R778" s="57"/>
      <c r="S778" s="57"/>
      <c r="T778" s="57"/>
      <c r="U778" s="57"/>
      <c r="V778" s="57"/>
      <c r="W778" s="57"/>
      <c r="X778" s="57"/>
      <c r="Y778" s="57"/>
      <c r="Z778" s="57"/>
    </row>
    <row r="779">
      <c r="A779" s="56" t="str">
        <f>IFERROR(__xludf.DUMMYFUNCTION("IF('AYIRA MINI MART FINAL MENU - Pr'!A779="""", """", IF(LEN(TRIM(REGEXREPLACE(REGEXREPLACE('AYIRA MINI MART FINAL MENU - Pr'!A779, ""^[^\x{0600}-\x{06FF}]+"", """"), ""^[-–\s]+"", """")))&gt;0, TRIM(REGEXREPLACE(REGEXREPLACE('AYIRA MINI MART FINAL MENU - Pr"&amp;"'!A779, ""^[^\x{0600}-\x{06FF}]+"", """"), ""^[-–\s]+"", """")), GOOGLETRANSLATE('AYIRA MINI MART FINAL MENU - Pr'!A779, ""en"", ""ar"")))"),"مل")</f>
        <v>مل</v>
      </c>
      <c r="B779" s="56" t="str">
        <f>IFERROR(__xludf.DUMMYFUNCTION("IF('AYIRA MINI MART FINAL MENU - Pr'!B779="""", """", IF(LEN(TRIM(REGEXREPLACE(REGEXREPLACE('AYIRA MINI MART FINAL MENU - Pr'!B779, ""^[^\x{0600}-\x{06FF}]+"", """"), ""^[-–\s]+"", """")))&gt;0, TRIM(REGEXREPLACE(REGEXREPLACE('AYIRA MINI MART FINAL MENU - Pr"&amp;"'!B779, ""^[^\x{0600}-\x{06FF}]+"", """"), ""^[-–\s]+"", """")), GOOGLETRANSLATE('AYIRA MINI MART FINAL MENU - Pr'!B779, ""en"", ""ar"")))"),"الحلوى 🍬")</f>
        <v>الحلوى 🍬</v>
      </c>
      <c r="C779" s="58">
        <f>IF('AYIRA MINI MART FINAL MENU - Pr'!C779="", "", 'AYIRA MINI MART FINAL MENU - Pr'!C779)</f>
        <v>1.5</v>
      </c>
      <c r="D779" s="58" t="str">
        <f>IF('AYIRA MINI MART FINAL MENU - Pr'!D779="", "", 'AYIRA MINI MART FINAL MENU - Pr'!D779)</f>
        <v>لا تقاوم طعم Trinketto 70 ml،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79" s="56" t="str">
        <f>IF('AYIRA MINI MART FINAL MENU - Pr'!E779="", "", 'AYIRA MINI MART FINAL MENU - Pr'!E779)</f>
        <v/>
      </c>
      <c r="F779" s="56" t="str">
        <f>IF('AYIRA MINI MART FINAL MENU - Pr'!F779="", "", 'AYIRA MINI MART FINAL MENU - Pr'!F779)</f>
        <v/>
      </c>
      <c r="G779" s="56" t="str">
        <f>IF('AYIRA MINI MART FINAL MENU - Pr'!G779="", "", 'AYIRA MINI MART FINAL MENU - Pr'!G779)</f>
        <v/>
      </c>
      <c r="H779" s="56" t="str">
        <f>IF('AYIRA MINI MART FINAL MENU - Pr'!H779="", "", 'AYIRA MINI MART FINAL MENU - Pr'!H779)</f>
        <v/>
      </c>
      <c r="I779" s="56" t="str">
        <f>IF('AYIRA MINI MART FINAL MENU - Pr'!I779="", "", 'AYIRA MINI MART FINAL MENU - Pr'!I779)</f>
        <v/>
      </c>
      <c r="J779" s="56" t="str">
        <f>IFERROR(__xludf.DUMMYFUNCTION("IF('AYIRA MINI MART FINAL MENU - Pr'!J779="""", """", GOOGLETRANSLATE('AYIRA MINI MART FINAL MENU - Pr'!J779, ""en"", ""ar""))"),"")</f>
        <v/>
      </c>
      <c r="K779" s="56" t="str">
        <f>IF('AYIRA MINI MART FINAL MENU - Pr'!K779="", "", 'AYIRA MINI MART FINAL MENU - Pr'!K779)</f>
        <v/>
      </c>
      <c r="L779" s="56" t="str">
        <f>IF('AYIRA MINI MART FINAL MENU - Pr'!L779="", "", 'AYIRA MINI MART FINAL MENU - Pr'!L779)</f>
        <v/>
      </c>
      <c r="M779" s="56" t="str">
        <f>IF('AYIRA MINI MART FINAL MENU - Pr'!M779="", "", 'AYIRA MINI MART FINAL MENU - Pr'!M779)</f>
        <v/>
      </c>
      <c r="N779" s="56" t="str">
        <f>IF('AYIRA MINI MART FINAL MENU - Pr'!N779="", "", 'AYIRA MINI MART FINAL MENU - Pr'!N779)</f>
        <v/>
      </c>
      <c r="O779" s="57"/>
      <c r="P779" s="57"/>
      <c r="Q779" s="57"/>
      <c r="R779" s="57"/>
      <c r="S779" s="57"/>
      <c r="T779" s="57"/>
      <c r="U779" s="57"/>
      <c r="V779" s="57"/>
      <c r="W779" s="57"/>
      <c r="X779" s="57"/>
      <c r="Y779" s="57"/>
      <c r="Z779" s="57"/>
    </row>
    <row r="780">
      <c r="A780" s="56" t="str">
        <f>IFERROR(__xludf.DUMMYFUNCTION("IF('AYIRA MINI MART FINAL MENU - Pr'!A780="""", """", IF(LEN(TRIM(REGEXREPLACE(REGEXREPLACE('AYIRA MINI MART FINAL MENU - Pr'!A780, ""^[^\x{0600}-\x{06FF}]+"", """"), ""^[-–\s]+"", """")))&gt;0, TRIM(REGEXREPLACE(REGEXREPLACE('AYIRA MINI MART FINAL MENU - Pr"&amp;"'!A780, ""^[^\x{0600}-\x{06FF}]+"", """"), ""^[-–\s]+"", """")), GOOGLETRANSLATE('AYIRA MINI MART FINAL MENU - Pr'!A780, ""en"", ""ar"")))"),"بندق Paste with Cocoa")</f>
        <v>بندق Paste with Cocoa</v>
      </c>
      <c r="B780" s="56" t="str">
        <f>IFERROR(__xludf.DUMMYFUNCTION("IF('AYIRA MINI MART FINAL MENU - Pr'!B780="""", """", IF(LEN(TRIM(REGEXREPLACE(REGEXREPLACE('AYIRA MINI MART FINAL MENU - Pr'!B780, ""^[^\x{0600}-\x{06FF}]+"", """"), ""^[-–\s]+"", """")))&gt;0, TRIM(REGEXREPLACE(REGEXREPLACE('AYIRA MINI MART FINAL MENU - Pr"&amp;"'!B780, ""^[^\x{0600}-\x{06FF}]+"", """"), ""^[-–\s]+"", """")), GOOGLETRANSLATE('AYIRA MINI MART FINAL MENU - Pr'!B780, ""en"", ""ar"")))"),"الحلوى 🍬")</f>
        <v>الحلوى 🍬</v>
      </c>
      <c r="C780" s="58">
        <f>IF('AYIRA MINI MART FINAL MENU - Pr'!C780="", "", 'AYIRA MINI MART FINAL MENU - Pr'!C780)</f>
        <v>1</v>
      </c>
      <c r="D780" s="58" t="str">
        <f>IF('AYIRA MINI MART FINAL MENU - Pr'!D780="", "", 'AYIRA MINI MART FINAL MENU - Pr'!D780)</f>
        <v>اختر Saray Cikonella – Hazelnut Paste with Cocoa،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780" s="56" t="str">
        <f>IF('AYIRA MINI MART FINAL MENU - Pr'!E780="", "", 'AYIRA MINI MART FINAL MENU - Pr'!E780)</f>
        <v/>
      </c>
      <c r="F780" s="56" t="str">
        <f>IF('AYIRA MINI MART FINAL MENU - Pr'!F780="", "", 'AYIRA MINI MART FINAL MENU - Pr'!F780)</f>
        <v/>
      </c>
      <c r="G780" s="56" t="str">
        <f>IF('AYIRA MINI MART FINAL MENU - Pr'!G780="", "", 'AYIRA MINI MART FINAL MENU - Pr'!G780)</f>
        <v/>
      </c>
      <c r="H780" s="56" t="str">
        <f>IF('AYIRA MINI MART FINAL MENU - Pr'!H780="", "", 'AYIRA MINI MART FINAL MENU - Pr'!H780)</f>
        <v/>
      </c>
      <c r="I780" s="56" t="str">
        <f>IF('AYIRA MINI MART FINAL MENU - Pr'!I780="", "", 'AYIRA MINI MART FINAL MENU - Pr'!I780)</f>
        <v/>
      </c>
      <c r="J780" s="56" t="str">
        <f>IFERROR(__xludf.DUMMYFUNCTION("IF('AYIRA MINI MART FINAL MENU - Pr'!J780="""", """", GOOGLETRANSLATE('AYIRA MINI MART FINAL MENU - Pr'!J780, ""en"", ""ar""))"),"")</f>
        <v/>
      </c>
      <c r="K780" s="56" t="str">
        <f>IF('AYIRA MINI MART FINAL MENU - Pr'!K780="", "", 'AYIRA MINI MART FINAL MENU - Pr'!K780)</f>
        <v/>
      </c>
      <c r="L780" s="56" t="str">
        <f>IF('AYIRA MINI MART FINAL MENU - Pr'!L780="", "", 'AYIRA MINI MART FINAL MENU - Pr'!L780)</f>
        <v/>
      </c>
      <c r="M780" s="56" t="str">
        <f>IF('AYIRA MINI MART FINAL MENU - Pr'!M780="", "", 'AYIRA MINI MART FINAL MENU - Pr'!M780)</f>
        <v/>
      </c>
      <c r="N780" s="56" t="str">
        <f>IF('AYIRA MINI MART FINAL MENU - Pr'!N780="", "", 'AYIRA MINI MART FINAL MENU - Pr'!N780)</f>
        <v/>
      </c>
      <c r="O780" s="57"/>
      <c r="P780" s="57"/>
      <c r="Q780" s="57"/>
      <c r="R780" s="57"/>
      <c r="S780" s="57"/>
      <c r="T780" s="57"/>
      <c r="U780" s="57"/>
      <c r="V780" s="57"/>
      <c r="W780" s="57"/>
      <c r="X780" s="57"/>
      <c r="Y780" s="57"/>
      <c r="Z780" s="57"/>
    </row>
    <row r="781">
      <c r="A781" s="56" t="str">
        <f>IFERROR(__xludf.DUMMYFUNCTION("IF('AYIRA MINI MART FINAL MENU - Pr'!A781="""", """", IF(LEN(TRIM(REGEXREPLACE(REGEXREPLACE('AYIRA MINI MART FINAL MENU - Pr'!A781, ""^[^\x{0600}-\x{06FF}]+"", """"), ""^[-–\s]+"", """")))&gt;0, TRIM(REGEXREPLACE(REGEXREPLACE('AYIRA MINI MART FINAL MENU - Pr"&amp;"'!A781, ""^[^\x{0600}-\x{06FF}]+"", """"), ""^[-–\s]+"", """")), GOOGLETRANSLATE('AYIRA MINI MART FINAL MENU - Pr'!A781, ""en"", ""ar"")))"),"تفاح 12 غرام")</f>
        <v>تفاح 12 غرام</v>
      </c>
      <c r="B781" s="56" t="str">
        <f>IFERROR(__xludf.DUMMYFUNCTION("IF('AYIRA MINI MART FINAL MENU - Pr'!B781="""", """", IF(LEN(TRIM(REGEXREPLACE(REGEXREPLACE('AYIRA MINI MART FINAL MENU - Pr'!B781, ""^[^\x{0600}-\x{06FF}]+"", """"), ""^[-–\s]+"", """")))&gt;0, TRIM(REGEXREPLACE(REGEXREPLACE('AYIRA MINI MART FINAL MENU - Pr"&amp;"'!B781, ""^[^\x{0600}-\x{06FF}]+"", """"), ""^[-–\s]+"", """")), GOOGLETRANSLATE('AYIRA MINI MART FINAL MENU - Pr'!B781, ""en"", ""ar"")))"),"الحلوى 🍬")</f>
        <v>الحلوى 🍬</v>
      </c>
      <c r="C781" s="58">
        <f>IF('AYIRA MINI MART FINAL MENU - Pr'!C781="", "", 'AYIRA MINI MART FINAL MENU - Pr'!C781)</f>
        <v>1</v>
      </c>
      <c r="D781" s="58" t="str">
        <f>IF('AYIRA MINI MART FINAL MENU - Pr'!D781="", "", 'AYIRA MINI MART FINAL MENU - Pr'!D781)</f>
        <v>لا تقاوم طعم Fruties Chew Apple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81" s="56" t="str">
        <f>IF('AYIRA MINI MART FINAL MENU - Pr'!E781="", "", 'AYIRA MINI MART FINAL MENU - Pr'!E781)</f>
        <v/>
      </c>
      <c r="F781" s="56" t="str">
        <f>IF('AYIRA MINI MART FINAL MENU - Pr'!F781="", "", 'AYIRA MINI MART FINAL MENU - Pr'!F781)</f>
        <v/>
      </c>
      <c r="G781" s="56" t="str">
        <f>IF('AYIRA MINI MART FINAL MENU - Pr'!G781="", "", 'AYIRA MINI MART FINAL MENU - Pr'!G781)</f>
        <v/>
      </c>
      <c r="H781" s="56" t="str">
        <f>IF('AYIRA MINI MART FINAL MENU - Pr'!H781="", "", 'AYIRA MINI MART FINAL MENU - Pr'!H781)</f>
        <v/>
      </c>
      <c r="I781" s="56" t="str">
        <f>IF('AYIRA MINI MART FINAL MENU - Pr'!I781="", "", 'AYIRA MINI MART FINAL MENU - Pr'!I781)</f>
        <v/>
      </c>
      <c r="J781" s="56" t="str">
        <f>IFERROR(__xludf.DUMMYFUNCTION("IF('AYIRA MINI MART FINAL MENU - Pr'!J781="""", """", GOOGLETRANSLATE('AYIRA MINI MART FINAL MENU - Pr'!J781, ""en"", ""ar""))"),"")</f>
        <v/>
      </c>
      <c r="K781" s="56" t="str">
        <f>IF('AYIRA MINI MART FINAL MENU - Pr'!K781="", "", 'AYIRA MINI MART FINAL MENU - Pr'!K781)</f>
        <v/>
      </c>
      <c r="L781" s="56" t="str">
        <f>IF('AYIRA MINI MART FINAL MENU - Pr'!L781="", "", 'AYIRA MINI MART FINAL MENU - Pr'!L781)</f>
        <v/>
      </c>
      <c r="M781" s="56" t="str">
        <f>IF('AYIRA MINI MART FINAL MENU - Pr'!M781="", "", 'AYIRA MINI MART FINAL MENU - Pr'!M781)</f>
        <v/>
      </c>
      <c r="N781" s="56" t="str">
        <f>IF('AYIRA MINI MART FINAL MENU - Pr'!N781="", "", 'AYIRA MINI MART FINAL MENU - Pr'!N781)</f>
        <v/>
      </c>
      <c r="O781" s="57"/>
      <c r="P781" s="57"/>
      <c r="Q781" s="57"/>
      <c r="R781" s="57"/>
      <c r="S781" s="57"/>
      <c r="T781" s="57"/>
      <c r="U781" s="57"/>
      <c r="V781" s="57"/>
      <c r="W781" s="57"/>
      <c r="X781" s="57"/>
      <c r="Y781" s="57"/>
      <c r="Z781" s="57"/>
    </row>
    <row r="782">
      <c r="A782" s="56" t="str">
        <f>IFERROR(__xludf.DUMMYFUNCTION("IF('AYIRA MINI MART FINAL MENU - Pr'!A782="""", """", IF(LEN(TRIM(REGEXREPLACE(REGEXREPLACE('AYIRA MINI MART FINAL MENU - Pr'!A782, ""^[^\x{0600}-\x{06FF}]+"", """"), ""^[-–\s]+"", """")))&gt;0, TRIM(REGEXREPLACE(REGEXREPLACE('AYIRA MINI MART FINAL MENU - Pr"&amp;"'!A782, ""^[^\x{0600}-\x{06FF}]+"", """"), ""^[-–\s]+"", """")), GOOGLETRANSLATE('AYIRA MINI MART FINAL MENU - Pr'!A782, ""en"", ""ar"")))"),"فراولة 12 غرام")</f>
        <v>فراولة 12 غرام</v>
      </c>
      <c r="B782" s="56" t="str">
        <f>IFERROR(__xludf.DUMMYFUNCTION("IF('AYIRA MINI MART FINAL MENU - Pr'!B782="""", """", IF(LEN(TRIM(REGEXREPLACE(REGEXREPLACE('AYIRA MINI MART FINAL MENU - Pr'!B782, ""^[^\x{0600}-\x{06FF}]+"", """"), ""^[-–\s]+"", """")))&gt;0, TRIM(REGEXREPLACE(REGEXREPLACE('AYIRA MINI MART FINAL MENU - Pr"&amp;"'!B782, ""^[^\x{0600}-\x{06FF}]+"", """"), ""^[-–\s]+"", """")), GOOGLETRANSLATE('AYIRA MINI MART FINAL MENU - Pr'!B782, ""en"", ""ar"")))"),"الحلوى 🍬")</f>
        <v>الحلوى 🍬</v>
      </c>
      <c r="C782" s="58">
        <f>IF('AYIRA MINI MART FINAL MENU - Pr'!C782="", "", 'AYIRA MINI MART FINAL MENU - Pr'!C782)</f>
        <v>1</v>
      </c>
      <c r="D782" s="58" t="str">
        <f>IF('AYIRA MINI MART FINAL MENU - Pr'!D782="", "", 'AYIRA MINI MART FINAL MENU - Pr'!D782)</f>
        <v>لا تقاوم طعم Fruties Chew Strawberry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82" s="56" t="str">
        <f>IF('AYIRA MINI MART FINAL MENU - Pr'!E782="", "", 'AYIRA MINI MART FINAL MENU - Pr'!E782)</f>
        <v/>
      </c>
      <c r="F782" s="56" t="str">
        <f>IF('AYIRA MINI MART FINAL MENU - Pr'!F782="", "", 'AYIRA MINI MART FINAL MENU - Pr'!F782)</f>
        <v/>
      </c>
      <c r="G782" s="56" t="str">
        <f>IF('AYIRA MINI MART FINAL MENU - Pr'!G782="", "", 'AYIRA MINI MART FINAL MENU - Pr'!G782)</f>
        <v/>
      </c>
      <c r="H782" s="56" t="str">
        <f>IF('AYIRA MINI MART FINAL MENU - Pr'!H782="", "", 'AYIRA MINI MART FINAL MENU - Pr'!H782)</f>
        <v/>
      </c>
      <c r="I782" s="56" t="str">
        <f>IF('AYIRA MINI MART FINAL MENU - Pr'!I782="", "", 'AYIRA MINI MART FINAL MENU - Pr'!I782)</f>
        <v/>
      </c>
      <c r="J782" s="56" t="str">
        <f>IFERROR(__xludf.DUMMYFUNCTION("IF('AYIRA MINI MART FINAL MENU - Pr'!J782="""", """", GOOGLETRANSLATE('AYIRA MINI MART FINAL MENU - Pr'!J782, ""en"", ""ar""))"),"")</f>
        <v/>
      </c>
      <c r="K782" s="56" t="str">
        <f>IF('AYIRA MINI MART FINAL MENU - Pr'!K782="", "", 'AYIRA MINI MART FINAL MENU - Pr'!K782)</f>
        <v/>
      </c>
      <c r="L782" s="56" t="str">
        <f>IF('AYIRA MINI MART FINAL MENU - Pr'!L782="", "", 'AYIRA MINI MART FINAL MENU - Pr'!L782)</f>
        <v/>
      </c>
      <c r="M782" s="56" t="str">
        <f>IF('AYIRA MINI MART FINAL MENU - Pr'!M782="", "", 'AYIRA MINI MART FINAL MENU - Pr'!M782)</f>
        <v/>
      </c>
      <c r="N782" s="56" t="str">
        <f>IF('AYIRA MINI MART FINAL MENU - Pr'!N782="", "", 'AYIRA MINI MART FINAL MENU - Pr'!N782)</f>
        <v/>
      </c>
      <c r="O782" s="57"/>
      <c r="P782" s="57"/>
      <c r="Q782" s="57"/>
      <c r="R782" s="57"/>
      <c r="S782" s="57"/>
      <c r="T782" s="57"/>
      <c r="U782" s="57"/>
      <c r="V782" s="57"/>
      <c r="W782" s="57"/>
      <c r="X782" s="57"/>
      <c r="Y782" s="57"/>
      <c r="Z782" s="57"/>
    </row>
    <row r="783">
      <c r="A783" s="56" t="str">
        <f>IFERROR(__xludf.DUMMYFUNCTION("IF('AYIRA MINI MART FINAL MENU - Pr'!A783="""", """", IF(LEN(TRIM(REGEXREPLACE(REGEXREPLACE('AYIRA MINI MART FINAL MENU - Pr'!A783, ""^[^\x{0600}-\x{06FF}]+"", """"), ""^[-–\s]+"", """")))&gt;0, TRIM(REGEXREPLACE(REGEXREPLACE('AYIRA MINI MART FINAL MENU - Pr"&amp;"'!A783, ""^[^\x{0600}-\x{06FF}]+"", """"), ""^[-–\s]+"", """")), GOOGLETRANSLATE('AYIRA MINI MART FINAL MENU - Pr'!A783, ""en"", ""ar"")))"),"غرام")</f>
        <v>غرام</v>
      </c>
      <c r="B783" s="56" t="str">
        <f>IFERROR(__xludf.DUMMYFUNCTION("IF('AYIRA MINI MART FINAL MENU - Pr'!B783="""", """", IF(LEN(TRIM(REGEXREPLACE(REGEXREPLACE('AYIRA MINI MART FINAL MENU - Pr'!B783, ""^[^\x{0600}-\x{06FF}]+"", """"), ""^[-–\s]+"", """")))&gt;0, TRIM(REGEXREPLACE(REGEXREPLACE('AYIRA MINI MART FINAL MENU - Pr"&amp;"'!B783, ""^[^\x{0600}-\x{06FF}]+"", """"), ""^[-–\s]+"", """")), GOOGLETRANSLATE('AYIRA MINI MART FINAL MENU - Pr'!B783, ""en"", ""ar"")))"),"الحلوى 🍬")</f>
        <v>الحلوى 🍬</v>
      </c>
      <c r="C783" s="58">
        <f>IF('AYIRA MINI MART FINAL MENU - Pr'!C783="", "", 'AYIRA MINI MART FINAL MENU - Pr'!C783)</f>
        <v>1</v>
      </c>
      <c r="D783" s="58" t="str">
        <f>IF('AYIRA MINI MART FINAL MENU - Pr'!D783="", "", 'AYIRA MINI MART FINAL MENU - Pr'!D783)</f>
        <v>اشرب Watermelon 16 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783" s="56" t="str">
        <f>IF('AYIRA MINI MART FINAL MENU - Pr'!E783="", "", 'AYIRA MINI MART FINAL MENU - Pr'!E783)</f>
        <v/>
      </c>
      <c r="F783" s="56" t="str">
        <f>IF('AYIRA MINI MART FINAL MENU - Pr'!F783="", "", 'AYIRA MINI MART FINAL MENU - Pr'!F783)</f>
        <v/>
      </c>
      <c r="G783" s="56" t="str">
        <f>IF('AYIRA MINI MART FINAL MENU - Pr'!G783="", "", 'AYIRA MINI MART FINAL MENU - Pr'!G783)</f>
        <v/>
      </c>
      <c r="H783" s="56" t="str">
        <f>IF('AYIRA MINI MART FINAL MENU - Pr'!H783="", "", 'AYIRA MINI MART FINAL MENU - Pr'!H783)</f>
        <v/>
      </c>
      <c r="I783" s="56" t="str">
        <f>IF('AYIRA MINI MART FINAL MENU - Pr'!I783="", "", 'AYIRA MINI MART FINAL MENU - Pr'!I783)</f>
        <v/>
      </c>
      <c r="J783" s="56" t="str">
        <f>IFERROR(__xludf.DUMMYFUNCTION("IF('AYIRA MINI MART FINAL MENU - Pr'!J783="""", """", GOOGLETRANSLATE('AYIRA MINI MART FINAL MENU - Pr'!J783, ""en"", ""ar""))"),"")</f>
        <v/>
      </c>
      <c r="K783" s="56" t="str">
        <f>IF('AYIRA MINI MART FINAL MENU - Pr'!K783="", "", 'AYIRA MINI MART FINAL MENU - Pr'!K783)</f>
        <v/>
      </c>
      <c r="L783" s="56" t="str">
        <f>IF('AYIRA MINI MART FINAL MENU - Pr'!L783="", "", 'AYIRA MINI MART FINAL MENU - Pr'!L783)</f>
        <v/>
      </c>
      <c r="M783" s="56" t="str">
        <f>IF('AYIRA MINI MART FINAL MENU - Pr'!M783="", "", 'AYIRA MINI MART FINAL MENU - Pr'!M783)</f>
        <v/>
      </c>
      <c r="N783" s="56" t="str">
        <f>IF('AYIRA MINI MART FINAL MENU - Pr'!N783="", "", 'AYIRA MINI MART FINAL MENU - Pr'!N783)</f>
        <v/>
      </c>
      <c r="O783" s="57"/>
      <c r="P783" s="57"/>
      <c r="Q783" s="57"/>
      <c r="R783" s="57"/>
      <c r="S783" s="57"/>
      <c r="T783" s="57"/>
      <c r="U783" s="57"/>
      <c r="V783" s="57"/>
      <c r="W783" s="57"/>
      <c r="X783" s="57"/>
      <c r="Y783" s="57"/>
      <c r="Z783" s="57"/>
    </row>
    <row r="784">
      <c r="A784" s="56" t="str">
        <f>IFERROR(__xludf.DUMMYFUNCTION("IF('AYIRA MINI MART FINAL MENU - Pr'!A784="""", """", IF(LEN(TRIM(REGEXREPLACE(REGEXREPLACE('AYIRA MINI MART FINAL MENU - Pr'!A784, ""^[^\x{0600}-\x{06FF}]+"", """"), ""^[-–\s]+"", """")))&gt;0, TRIM(REGEXREPLACE(REGEXREPLACE('AYIRA MINI MART FINAL MENU - Pr"&amp;"'!A784, ""^[^\x{0600}-\x{06FF}]+"", """"), ""^[-–\s]+"", """")), GOOGLETRANSLATE('AYIRA MINI MART FINAL MENU - Pr'!A784, ""en"", ""ar"")))"),"فراولة Heart 14 غرام")</f>
        <v>فراولة Heart 14 غرام</v>
      </c>
      <c r="B784" s="56" t="str">
        <f>IFERROR(__xludf.DUMMYFUNCTION("IF('AYIRA MINI MART FINAL MENU - Pr'!B784="""", """", IF(LEN(TRIM(REGEXREPLACE(REGEXREPLACE('AYIRA MINI MART FINAL MENU - Pr'!B784, ""^[^\x{0600}-\x{06FF}]+"", """"), ""^[-–\s]+"", """")))&gt;0, TRIM(REGEXREPLACE(REGEXREPLACE('AYIRA MINI MART FINAL MENU - Pr"&amp;"'!B784, ""^[^\x{0600}-\x{06FF}]+"", """"), ""^[-–\s]+"", """")), GOOGLETRANSLATE('AYIRA MINI MART FINAL MENU - Pr'!B784, ""en"", ""ar"")))"),"الحلوى 🍬")</f>
        <v>الحلوى 🍬</v>
      </c>
      <c r="C784" s="58">
        <f>IF('AYIRA MINI MART FINAL MENU - Pr'!C784="", "", 'AYIRA MINI MART FINAL MENU - Pr'!C784)</f>
        <v>1</v>
      </c>
      <c r="D784" s="58" t="str">
        <f>IF('AYIRA MINI MART FINAL MENU - Pr'!D784="", "", 'AYIRA MINI MART FINAL MENU - Pr'!D784)</f>
        <v>لا تقاوم طعم Yupi Strawberry Heart 14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84" s="56" t="str">
        <f>IF('AYIRA MINI MART FINAL MENU - Pr'!E784="", "", 'AYIRA MINI MART FINAL MENU - Pr'!E784)</f>
        <v/>
      </c>
      <c r="F784" s="56" t="str">
        <f>IF('AYIRA MINI MART FINAL MENU - Pr'!F784="", "", 'AYIRA MINI MART FINAL MENU - Pr'!F784)</f>
        <v/>
      </c>
      <c r="G784" s="56" t="str">
        <f>IF('AYIRA MINI MART FINAL MENU - Pr'!G784="", "", 'AYIRA MINI MART FINAL MENU - Pr'!G784)</f>
        <v/>
      </c>
      <c r="H784" s="56" t="str">
        <f>IF('AYIRA MINI MART FINAL MENU - Pr'!H784="", "", 'AYIRA MINI MART FINAL MENU - Pr'!H784)</f>
        <v/>
      </c>
      <c r="I784" s="56" t="str">
        <f>IF('AYIRA MINI MART FINAL MENU - Pr'!I784="", "", 'AYIRA MINI MART FINAL MENU - Pr'!I784)</f>
        <v/>
      </c>
      <c r="J784" s="56" t="str">
        <f>IFERROR(__xludf.DUMMYFUNCTION("IF('AYIRA MINI MART FINAL MENU - Pr'!J784="""", """", GOOGLETRANSLATE('AYIRA MINI MART FINAL MENU - Pr'!J784, ""en"", ""ar""))"),"")</f>
        <v/>
      </c>
      <c r="K784" s="56" t="str">
        <f>IF('AYIRA MINI MART FINAL MENU - Pr'!K784="", "", 'AYIRA MINI MART FINAL MENU - Pr'!K784)</f>
        <v/>
      </c>
      <c r="L784" s="56" t="str">
        <f>IF('AYIRA MINI MART FINAL MENU - Pr'!L784="", "", 'AYIRA MINI MART FINAL MENU - Pr'!L784)</f>
        <v/>
      </c>
      <c r="M784" s="56" t="str">
        <f>IF('AYIRA MINI MART FINAL MENU - Pr'!M784="", "", 'AYIRA MINI MART FINAL MENU - Pr'!M784)</f>
        <v/>
      </c>
      <c r="N784" s="56" t="str">
        <f>IF('AYIRA MINI MART FINAL MENU - Pr'!N784="", "", 'AYIRA MINI MART FINAL MENU - Pr'!N784)</f>
        <v/>
      </c>
      <c r="O784" s="57"/>
      <c r="P784" s="57"/>
      <c r="Q784" s="57"/>
      <c r="R784" s="57"/>
      <c r="S784" s="57"/>
      <c r="T784" s="57"/>
      <c r="U784" s="57"/>
      <c r="V784" s="57"/>
      <c r="W784" s="57"/>
      <c r="X784" s="57"/>
      <c r="Y784" s="57"/>
      <c r="Z784" s="57"/>
    </row>
    <row r="785">
      <c r="A785" s="56" t="str">
        <f>IFERROR(__xludf.DUMMYFUNCTION("IF('AYIRA MINI MART FINAL MENU - Pr'!A785="""", """", IF(LEN(TRIM(REGEXREPLACE(REGEXREPLACE('AYIRA MINI MART FINAL MENU - Pr'!A785, ""^[^\x{0600}-\x{06FF}]+"", """"), ""^[-–\s]+"", """")))&gt;0, TRIM(REGEXREPLACE(REGEXREPLACE('AYIRA MINI MART FINAL MENU - Pr"&amp;"'!A785, ""^[^\x{0600}-\x{06FF}]+"", """"), ""^[-–\s]+"", """")), GOOGLETRANSLATE('AYIRA MINI MART FINAL MENU - Pr'!A785, ""en"", ""ar"")))"),"غرام")</f>
        <v>غرام</v>
      </c>
      <c r="B785" s="56" t="str">
        <f>IFERROR(__xludf.DUMMYFUNCTION("IF('AYIRA MINI MART FINAL MENU - Pr'!B785="""", """", IF(LEN(TRIM(REGEXREPLACE(REGEXREPLACE('AYIRA MINI MART FINAL MENU - Pr'!B785, ""^[^\x{0600}-\x{06FF}]+"", """"), ""^[-–\s]+"", """")))&gt;0, TRIM(REGEXREPLACE(REGEXREPLACE('AYIRA MINI MART FINAL MENU - Pr"&amp;"'!B785, ""^[^\x{0600}-\x{06FF}]+"", """"), ""^[-–\s]+"", """")), GOOGLETRANSLATE('AYIRA MINI MART FINAL MENU - Pr'!B785, ""en"", ""ar"")))"),"الحلوى 🍬")</f>
        <v>الحلوى 🍬</v>
      </c>
      <c r="C785" s="58">
        <f>IF('AYIRA MINI MART FINAL MENU - Pr'!C785="", "", 'AYIRA MINI MART FINAL MENU - Pr'!C785)</f>
        <v>1</v>
      </c>
      <c r="D785" s="58" t="str">
        <f>IF('AYIRA MINI MART FINAL MENU - Pr'!D785="", "", 'AYIRA MINI MART FINAL MENU - Pr'!D785)</f>
        <v>استمتع بـ Yupi Gummi Pizza 14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785" s="56" t="str">
        <f>IF('AYIRA MINI MART FINAL MENU - Pr'!E785="", "", 'AYIRA MINI MART FINAL MENU - Pr'!E785)</f>
        <v/>
      </c>
      <c r="F785" s="56" t="str">
        <f>IF('AYIRA MINI MART FINAL MENU - Pr'!F785="", "", 'AYIRA MINI MART FINAL MENU - Pr'!F785)</f>
        <v/>
      </c>
      <c r="G785" s="56" t="str">
        <f>IF('AYIRA MINI MART FINAL MENU - Pr'!G785="", "", 'AYIRA MINI MART FINAL MENU - Pr'!G785)</f>
        <v/>
      </c>
      <c r="H785" s="56" t="str">
        <f>IF('AYIRA MINI MART FINAL MENU - Pr'!H785="", "", 'AYIRA MINI MART FINAL MENU - Pr'!H785)</f>
        <v/>
      </c>
      <c r="I785" s="56" t="str">
        <f>IF('AYIRA MINI MART FINAL MENU - Pr'!I785="", "", 'AYIRA MINI MART FINAL MENU - Pr'!I785)</f>
        <v/>
      </c>
      <c r="J785" s="56" t="str">
        <f>IFERROR(__xludf.DUMMYFUNCTION("IF('AYIRA MINI MART FINAL MENU - Pr'!J785="""", """", GOOGLETRANSLATE('AYIRA MINI MART FINAL MENU - Pr'!J785, ""en"", ""ar""))"),"")</f>
        <v/>
      </c>
      <c r="K785" s="56" t="str">
        <f>IF('AYIRA MINI MART FINAL MENU - Pr'!K785="", "", 'AYIRA MINI MART FINAL MENU - Pr'!K785)</f>
        <v/>
      </c>
      <c r="L785" s="56" t="str">
        <f>IF('AYIRA MINI MART FINAL MENU - Pr'!L785="", "", 'AYIRA MINI MART FINAL MENU - Pr'!L785)</f>
        <v/>
      </c>
      <c r="M785" s="56" t="str">
        <f>IF('AYIRA MINI MART FINAL MENU - Pr'!M785="", "", 'AYIRA MINI MART FINAL MENU - Pr'!M785)</f>
        <v/>
      </c>
      <c r="N785" s="56" t="str">
        <f>IF('AYIRA MINI MART FINAL MENU - Pr'!N785="", "", 'AYIRA MINI MART FINAL MENU - Pr'!N785)</f>
        <v/>
      </c>
      <c r="O785" s="57"/>
      <c r="P785" s="57"/>
      <c r="Q785" s="57"/>
      <c r="R785" s="57"/>
      <c r="S785" s="57"/>
      <c r="T785" s="57"/>
      <c r="U785" s="57"/>
      <c r="V785" s="57"/>
      <c r="W785" s="57"/>
      <c r="X785" s="57"/>
      <c r="Y785" s="57"/>
      <c r="Z785" s="57"/>
    </row>
    <row r="786">
      <c r="A786" s="56" t="str">
        <f>IFERROR(__xludf.DUMMYFUNCTION("IF('AYIRA MINI MART FINAL MENU - Pr'!A786="""", """", IF(LEN(TRIM(REGEXREPLACE(REGEXREPLACE('AYIRA MINI MART FINAL MENU - Pr'!A786, ""^[^\x{0600}-\x{06FF}]+"", """"), ""^[-–\s]+"", """")))&gt;0, TRIM(REGEXREPLACE(REGEXREPLACE('AYIRA MINI MART FINAL MENU - Pr"&amp;"'!A786, ""^[^\x{0600}-\x{06FF}]+"", """"), ""^[-–\s]+"", """")), GOOGLETRANSLATE('AYIRA MINI MART FINAL MENU - Pr'!A786, ""en"", ""ar"")))"),"غرام")</f>
        <v>غرام</v>
      </c>
      <c r="B786" s="56" t="str">
        <f>IFERROR(__xludf.DUMMYFUNCTION("IF('AYIRA MINI MART FINAL MENU - Pr'!B786="""", """", IF(LEN(TRIM(REGEXREPLACE(REGEXREPLACE('AYIRA MINI MART FINAL MENU - Pr'!B786, ""^[^\x{0600}-\x{06FF}]+"", """"), ""^[-–\s]+"", """")))&gt;0, TRIM(REGEXREPLACE(REGEXREPLACE('AYIRA MINI MART FINAL MENU - Pr"&amp;"'!B786, ""^[^\x{0600}-\x{06FF}]+"", """"), ""^[-–\s]+"", """")), GOOGLETRANSLATE('AYIRA MINI MART FINAL MENU - Pr'!B786, ""en"", ""ar"")))"),"الحلوى 🍬")</f>
        <v>الحلوى 🍬</v>
      </c>
      <c r="C786" s="58">
        <f>IF('AYIRA MINI MART FINAL MENU - Pr'!C786="", "", 'AYIRA MINI MART FINAL MENU - Pr'!C786)</f>
        <v>1</v>
      </c>
      <c r="D786" s="58" t="str">
        <f>IF('AYIRA MINI MART FINAL MENU - Pr'!D786="", "", 'AYIRA MINI MART FINAL MENU - Pr'!D786)</f>
        <v>لا تقاوم طعم Fruties Chew Blueberry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86" s="56" t="str">
        <f>IF('AYIRA MINI MART FINAL MENU - Pr'!E786="", "", 'AYIRA MINI MART FINAL MENU - Pr'!E786)</f>
        <v/>
      </c>
      <c r="F786" s="56" t="str">
        <f>IF('AYIRA MINI MART FINAL MENU - Pr'!F786="", "", 'AYIRA MINI MART FINAL MENU - Pr'!F786)</f>
        <v/>
      </c>
      <c r="G786" s="56" t="str">
        <f>IF('AYIRA MINI MART FINAL MENU - Pr'!G786="", "", 'AYIRA MINI MART FINAL MENU - Pr'!G786)</f>
        <v/>
      </c>
      <c r="H786" s="56" t="str">
        <f>IF('AYIRA MINI MART FINAL MENU - Pr'!H786="", "", 'AYIRA MINI MART FINAL MENU - Pr'!H786)</f>
        <v/>
      </c>
      <c r="I786" s="56" t="str">
        <f>IF('AYIRA MINI MART FINAL MENU - Pr'!I786="", "", 'AYIRA MINI MART FINAL MENU - Pr'!I786)</f>
        <v/>
      </c>
      <c r="J786" s="56" t="str">
        <f>IFERROR(__xludf.DUMMYFUNCTION("IF('AYIRA MINI MART FINAL MENU - Pr'!J786="""", """", GOOGLETRANSLATE('AYIRA MINI MART FINAL MENU - Pr'!J786, ""en"", ""ar""))"),"")</f>
        <v/>
      </c>
      <c r="K786" s="56" t="str">
        <f>IF('AYIRA MINI MART FINAL MENU - Pr'!K786="", "", 'AYIRA MINI MART FINAL MENU - Pr'!K786)</f>
        <v/>
      </c>
      <c r="L786" s="56" t="str">
        <f>IF('AYIRA MINI MART FINAL MENU - Pr'!L786="", "", 'AYIRA MINI MART FINAL MENU - Pr'!L786)</f>
        <v/>
      </c>
      <c r="M786" s="56" t="str">
        <f>IF('AYIRA MINI MART FINAL MENU - Pr'!M786="", "", 'AYIRA MINI MART FINAL MENU - Pr'!M786)</f>
        <v/>
      </c>
      <c r="N786" s="56" t="str">
        <f>IF('AYIRA MINI MART FINAL MENU - Pr'!N786="", "", 'AYIRA MINI MART FINAL MENU - Pr'!N786)</f>
        <v/>
      </c>
      <c r="O786" s="57"/>
      <c r="P786" s="57"/>
      <c r="Q786" s="57"/>
      <c r="R786" s="57"/>
      <c r="S786" s="57"/>
      <c r="T786" s="57"/>
      <c r="U786" s="57"/>
      <c r="V786" s="57"/>
      <c r="W786" s="57"/>
      <c r="X786" s="57"/>
      <c r="Y786" s="57"/>
      <c r="Z786" s="57"/>
    </row>
    <row r="787">
      <c r="A787" s="56" t="str">
        <f>IFERROR(__xludf.DUMMYFUNCTION("IF('AYIRA MINI MART FINAL MENU - Pr'!A787="""", """", IF(LEN(TRIM(REGEXREPLACE(REGEXREPLACE('AYIRA MINI MART FINAL MENU - Pr'!A787, ""^[^\x{0600}-\x{06FF}]+"", """"), ""^[-–\s]+"", """")))&gt;0, TRIM(REGEXREPLACE(REGEXREPLACE('AYIRA MINI MART FINAL MENU - Pr"&amp;"'!A787, ""^[^\x{0600}-\x{06FF}]+"", """"), ""^[-–\s]+"", """")), GOOGLETRANSLATE('AYIRA MINI MART FINAL MENU - Pr'!A787, ""en"", ""ar"")))"),"غرام")</f>
        <v>غرام</v>
      </c>
      <c r="B787" s="56" t="str">
        <f>IFERROR(__xludf.DUMMYFUNCTION("IF('AYIRA MINI MART FINAL MENU - Pr'!B787="""", """", IF(LEN(TRIM(REGEXREPLACE(REGEXREPLACE('AYIRA MINI MART FINAL MENU - Pr'!B787, ""^[^\x{0600}-\x{06FF}]+"", """"), ""^[-–\s]+"", """")))&gt;0, TRIM(REGEXREPLACE(REGEXREPLACE('AYIRA MINI MART FINAL MENU - Pr"&amp;"'!B787, ""^[^\x{0600}-\x{06FF}]+"", """"), ""^[-–\s]+"", """")), GOOGLETRANSLATE('AYIRA MINI MART FINAL MENU - Pr'!B787, ""en"", ""ar"")))"),"الحلوى 🍬")</f>
        <v>الحلوى 🍬</v>
      </c>
      <c r="C787" s="58">
        <f>IF('AYIRA MINI MART FINAL MENU - Pr'!C787="", "", 'AYIRA MINI MART FINAL MENU - Pr'!C787)</f>
        <v>1</v>
      </c>
      <c r="D787" s="58" t="str">
        <f>IF('AYIRA MINI MART FINAL MENU - Pr'!D787="", "", 'AYIRA MINI MART FINAL MENU - Pr'!D787)</f>
        <v>لا تقاوم طعم Tupi Raspberry &amp; Blackberry 16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87" s="56" t="str">
        <f>IF('AYIRA MINI MART FINAL MENU - Pr'!E787="", "", 'AYIRA MINI MART FINAL MENU - Pr'!E787)</f>
        <v/>
      </c>
      <c r="F787" s="56" t="str">
        <f>IF('AYIRA MINI MART FINAL MENU - Pr'!F787="", "", 'AYIRA MINI MART FINAL MENU - Pr'!F787)</f>
        <v/>
      </c>
      <c r="G787" s="56" t="str">
        <f>IF('AYIRA MINI MART FINAL MENU - Pr'!G787="", "", 'AYIRA MINI MART FINAL MENU - Pr'!G787)</f>
        <v/>
      </c>
      <c r="H787" s="56" t="str">
        <f>IF('AYIRA MINI MART FINAL MENU - Pr'!H787="", "", 'AYIRA MINI MART FINAL MENU - Pr'!H787)</f>
        <v/>
      </c>
      <c r="I787" s="56" t="str">
        <f>IF('AYIRA MINI MART FINAL MENU - Pr'!I787="", "", 'AYIRA MINI MART FINAL MENU - Pr'!I787)</f>
        <v/>
      </c>
      <c r="J787" s="56" t="str">
        <f>IFERROR(__xludf.DUMMYFUNCTION("IF('AYIRA MINI MART FINAL MENU - Pr'!J787="""", """", GOOGLETRANSLATE('AYIRA MINI MART FINAL MENU - Pr'!J787, ""en"", ""ar""))"),"")</f>
        <v/>
      </c>
      <c r="K787" s="56" t="str">
        <f>IF('AYIRA MINI MART FINAL MENU - Pr'!K787="", "", 'AYIRA MINI MART FINAL MENU - Pr'!K787)</f>
        <v/>
      </c>
      <c r="L787" s="56" t="str">
        <f>IF('AYIRA MINI MART FINAL MENU - Pr'!L787="", "", 'AYIRA MINI MART FINAL MENU - Pr'!L787)</f>
        <v/>
      </c>
      <c r="M787" s="56" t="str">
        <f>IF('AYIRA MINI MART FINAL MENU - Pr'!M787="", "", 'AYIRA MINI MART FINAL MENU - Pr'!M787)</f>
        <v/>
      </c>
      <c r="N787" s="56" t="str">
        <f>IF('AYIRA MINI MART FINAL MENU - Pr'!N787="", "", 'AYIRA MINI MART FINAL MENU - Pr'!N787)</f>
        <v/>
      </c>
      <c r="O787" s="57"/>
      <c r="P787" s="57"/>
      <c r="Q787" s="57"/>
      <c r="R787" s="57"/>
      <c r="S787" s="57"/>
      <c r="T787" s="57"/>
      <c r="U787" s="57"/>
      <c r="V787" s="57"/>
      <c r="W787" s="57"/>
      <c r="X787" s="57"/>
      <c r="Y787" s="57"/>
      <c r="Z787" s="57"/>
    </row>
    <row r="788">
      <c r="A788" s="56" t="str">
        <f>IFERROR(__xludf.DUMMYFUNCTION("IF('AYIRA MINI MART FINAL MENU - Pr'!A788="""", """", IF(LEN(TRIM(REGEXREPLACE(REGEXREPLACE('AYIRA MINI MART FINAL MENU - Pr'!A788, ""^[^\x{0600}-\x{06FF}]+"", """"), ""^[-–\s]+"", """")))&gt;0, TRIM(REGEXREPLACE(REGEXREPLACE('AYIRA MINI MART FINAL MENU - Pr"&amp;"'!A788, ""^[^\x{0600}-\x{06FF}]+"", """"), ""^[-–\s]+"", """")), GOOGLETRANSLATE('AYIRA MINI MART FINAL MENU - Pr'!A788, ""en"", ""ar"")))"),"غرام")</f>
        <v>غرام</v>
      </c>
      <c r="B788" s="56" t="str">
        <f>IFERROR(__xludf.DUMMYFUNCTION("IF('AYIRA MINI MART FINAL MENU - Pr'!B788="""", """", IF(LEN(TRIM(REGEXREPLACE(REGEXREPLACE('AYIRA MINI MART FINAL MENU - Pr'!B788, ""^[^\x{0600}-\x{06FF}]+"", """"), ""^[-–\s]+"", """")))&gt;0, TRIM(REGEXREPLACE(REGEXREPLACE('AYIRA MINI MART FINAL MENU - Pr"&amp;"'!B788, ""^[^\x{0600}-\x{06FF}]+"", """"), ""^[-–\s]+"", """")), GOOGLETRANSLATE('AYIRA MINI MART FINAL MENU - Pr'!B788, ""en"", ""ar"")))"),"الحلوى 🍬")</f>
        <v>الحلوى 🍬</v>
      </c>
      <c r="C788" s="58">
        <f>IF('AYIRA MINI MART FINAL MENU - Pr'!C788="", "", 'AYIRA MINI MART FINAL MENU - Pr'!C788)</f>
        <v>1</v>
      </c>
      <c r="D788" s="58" t="str">
        <f>IF('AYIRA MINI MART FINAL MENU - Pr'!D788="", "", 'AYIRA MINI MART FINAL MENU - Pr'!D788)</f>
        <v>استمتع بـ Yupi Iced Cola 17.5 g،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788" s="56" t="str">
        <f>IF('AYIRA MINI MART FINAL MENU - Pr'!E788="", "", 'AYIRA MINI MART FINAL MENU - Pr'!E788)</f>
        <v/>
      </c>
      <c r="F788" s="56" t="str">
        <f>IF('AYIRA MINI MART FINAL MENU - Pr'!F788="", "", 'AYIRA MINI MART FINAL MENU - Pr'!F788)</f>
        <v/>
      </c>
      <c r="G788" s="56" t="str">
        <f>IF('AYIRA MINI MART FINAL MENU - Pr'!G788="", "", 'AYIRA MINI MART FINAL MENU - Pr'!G788)</f>
        <v/>
      </c>
      <c r="H788" s="56" t="str">
        <f>IF('AYIRA MINI MART FINAL MENU - Pr'!H788="", "", 'AYIRA MINI MART FINAL MENU - Pr'!H788)</f>
        <v/>
      </c>
      <c r="I788" s="56" t="str">
        <f>IF('AYIRA MINI MART FINAL MENU - Pr'!I788="", "", 'AYIRA MINI MART FINAL MENU - Pr'!I788)</f>
        <v/>
      </c>
      <c r="J788" s="56" t="str">
        <f>IFERROR(__xludf.DUMMYFUNCTION("IF('AYIRA MINI MART FINAL MENU - Pr'!J788="""", """", GOOGLETRANSLATE('AYIRA MINI MART FINAL MENU - Pr'!J788, ""en"", ""ar""))"),"")</f>
        <v/>
      </c>
      <c r="K788" s="56" t="str">
        <f>IF('AYIRA MINI MART FINAL MENU - Pr'!K788="", "", 'AYIRA MINI MART FINAL MENU - Pr'!K788)</f>
        <v/>
      </c>
      <c r="L788" s="56" t="str">
        <f>IF('AYIRA MINI MART FINAL MENU - Pr'!L788="", "", 'AYIRA MINI MART FINAL MENU - Pr'!L788)</f>
        <v/>
      </c>
      <c r="M788" s="56" t="str">
        <f>IF('AYIRA MINI MART FINAL MENU - Pr'!M788="", "", 'AYIRA MINI MART FINAL MENU - Pr'!M788)</f>
        <v/>
      </c>
      <c r="N788" s="56" t="str">
        <f>IF('AYIRA MINI MART FINAL MENU - Pr'!N788="", "", 'AYIRA MINI MART FINAL MENU - Pr'!N788)</f>
        <v/>
      </c>
      <c r="O788" s="57"/>
      <c r="P788" s="57"/>
      <c r="Q788" s="57"/>
      <c r="R788" s="57"/>
      <c r="S788" s="57"/>
      <c r="T788" s="57"/>
      <c r="U788" s="57"/>
      <c r="V788" s="57"/>
      <c r="W788" s="57"/>
      <c r="X788" s="57"/>
      <c r="Y788" s="57"/>
      <c r="Z788" s="57"/>
    </row>
    <row r="789">
      <c r="A789" s="56" t="str">
        <f>IFERROR(__xludf.DUMMYFUNCTION("IF('AYIRA MINI MART FINAL MENU - Pr'!A789="""", """", IF(LEN(TRIM(REGEXREPLACE(REGEXREPLACE('AYIRA MINI MART FINAL MENU - Pr'!A789, ""^[^\x{0600}-\x{06FF}]+"", """"), ""^[-–\s]+"", """")))&gt;0, TRIM(REGEXREPLACE(REGEXREPLACE('AYIRA MINI MART FINAL MENU - Pr"&amp;"'!A789, ""^[^\x{0600}-\x{06FF}]+"", """"), ""^[-–\s]+"", """")), GOOGLETRANSLATE('AYIRA MINI MART FINAL MENU - Pr'!A789, ""en"", ""ar"")))"),"غرام")</f>
        <v>غرام</v>
      </c>
      <c r="B789" s="56" t="str">
        <f>IFERROR(__xludf.DUMMYFUNCTION("IF('AYIRA MINI MART FINAL MENU - Pr'!B789="""", """", IF(LEN(TRIM(REGEXREPLACE(REGEXREPLACE('AYIRA MINI MART FINAL MENU - Pr'!B789, ""^[^\x{0600}-\x{06FF}]+"", """"), ""^[-–\s]+"", """")))&gt;0, TRIM(REGEXREPLACE(REGEXREPLACE('AYIRA MINI MART FINAL MENU - Pr"&amp;"'!B789, ""^[^\x{0600}-\x{06FF}]+"", """"), ""^[-–\s]+"", """")), GOOGLETRANSLATE('AYIRA MINI MART FINAL MENU - Pr'!B789, ""en"", ""ar"")))"),"الحلوى 🍬")</f>
        <v>الحلوى 🍬</v>
      </c>
      <c r="C789" s="58">
        <f>IF('AYIRA MINI MART FINAL MENU - Pr'!C789="", "", 'AYIRA MINI MART FINAL MENU - Pr'!C789)</f>
        <v>1</v>
      </c>
      <c r="D789" s="58" t="str">
        <f>IF('AYIRA MINI MART FINAL MENU - Pr'!D789="", "", 'AYIRA MINI MART FINAL MENU - Pr'!D789)</f>
        <v>لا تقاوم طعم Yupi Aquarium 14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89" s="56" t="str">
        <f>IF('AYIRA MINI MART FINAL MENU - Pr'!E789="", "", 'AYIRA MINI MART FINAL MENU - Pr'!E789)</f>
        <v/>
      </c>
      <c r="F789" s="56" t="str">
        <f>IF('AYIRA MINI MART FINAL MENU - Pr'!F789="", "", 'AYIRA MINI MART FINAL MENU - Pr'!F789)</f>
        <v/>
      </c>
      <c r="G789" s="56" t="str">
        <f>IF('AYIRA MINI MART FINAL MENU - Pr'!G789="", "", 'AYIRA MINI MART FINAL MENU - Pr'!G789)</f>
        <v/>
      </c>
      <c r="H789" s="56" t="str">
        <f>IF('AYIRA MINI MART FINAL MENU - Pr'!H789="", "", 'AYIRA MINI MART FINAL MENU - Pr'!H789)</f>
        <v/>
      </c>
      <c r="I789" s="56" t="str">
        <f>IF('AYIRA MINI MART FINAL MENU - Pr'!I789="", "", 'AYIRA MINI MART FINAL MENU - Pr'!I789)</f>
        <v/>
      </c>
      <c r="J789" s="56" t="str">
        <f>IFERROR(__xludf.DUMMYFUNCTION("IF('AYIRA MINI MART FINAL MENU - Pr'!J789="""", """", GOOGLETRANSLATE('AYIRA MINI MART FINAL MENU - Pr'!J789, ""en"", ""ar""))"),"")</f>
        <v/>
      </c>
      <c r="K789" s="56" t="str">
        <f>IF('AYIRA MINI MART FINAL MENU - Pr'!K789="", "", 'AYIRA MINI MART FINAL MENU - Pr'!K789)</f>
        <v/>
      </c>
      <c r="L789" s="56" t="str">
        <f>IF('AYIRA MINI MART FINAL MENU - Pr'!L789="", "", 'AYIRA MINI MART FINAL MENU - Pr'!L789)</f>
        <v/>
      </c>
      <c r="M789" s="56" t="str">
        <f>IF('AYIRA MINI MART FINAL MENU - Pr'!M789="", "", 'AYIRA MINI MART FINAL MENU - Pr'!M789)</f>
        <v/>
      </c>
      <c r="N789" s="56" t="str">
        <f>IF('AYIRA MINI MART FINAL MENU - Pr'!N789="", "", 'AYIRA MINI MART FINAL MENU - Pr'!N789)</f>
        <v/>
      </c>
      <c r="O789" s="57"/>
      <c r="P789" s="57"/>
      <c r="Q789" s="57"/>
      <c r="R789" s="57"/>
      <c r="S789" s="57"/>
      <c r="T789" s="57"/>
      <c r="U789" s="57"/>
      <c r="V789" s="57"/>
      <c r="W789" s="57"/>
      <c r="X789" s="57"/>
      <c r="Y789" s="57"/>
      <c r="Z789" s="57"/>
    </row>
    <row r="790">
      <c r="A790" s="56" t="str">
        <f>IFERROR(__xludf.DUMMYFUNCTION("IF('AYIRA MINI MART FINAL MENU - Pr'!A790="""", """", IF(LEN(TRIM(REGEXREPLACE(REGEXREPLACE('AYIRA MINI MART FINAL MENU - Pr'!A790, ""^[^\x{0600}-\x{06FF}]+"", """"), ""^[-–\s]+"", """")))&gt;0, TRIM(REGEXREPLACE(REGEXREPLACE('AYIRA MINI MART FINAL MENU - Pr"&amp;"'!A790, ""^[^\x{0600}-\x{06FF}]+"", """"), ""^[-–\s]+"", """")), GOOGLETRANSLATE('AYIRA MINI MART FINAL MENU - Pr'!A790, ""en"", ""ar"")))"),"فانتي حلوى")</f>
        <v>فانتي حلوى</v>
      </c>
      <c r="B790" s="56" t="str">
        <f>IFERROR(__xludf.DUMMYFUNCTION("IF('AYIRA MINI MART FINAL MENU - Pr'!B790="""", """", IF(LEN(TRIM(REGEXREPLACE(REGEXREPLACE('AYIRA MINI MART FINAL MENU - Pr'!B790, ""^[^\x{0600}-\x{06FF}]+"", """"), ""^[-–\s]+"", """")))&gt;0, TRIM(REGEXREPLACE(REGEXREPLACE('AYIRA MINI MART FINAL MENU - Pr"&amp;"'!B790, ""^[^\x{0600}-\x{06FF}]+"", """"), ""^[-–\s]+"", """")), GOOGLETRANSLATE('AYIRA MINI MART FINAL MENU - Pr'!B790, ""en"", ""ar"")))"),"الحلوى 🍬")</f>
        <v>الحلوى 🍬</v>
      </c>
      <c r="C790" s="58">
        <f>IF('AYIRA MINI MART FINAL MENU - Pr'!C790="", "", 'AYIRA MINI MART FINAL MENU - Pr'!C790)</f>
        <v>1</v>
      </c>
      <c r="D790" s="58" t="str">
        <f>IF('AYIRA MINI MART FINAL MENU - Pr'!D790="", "", 'AYIRA MINI MART FINAL MENU - Pr'!D790)</f>
        <v>لا تقاوم طعم Funti،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90" s="56" t="str">
        <f>IF('AYIRA MINI MART FINAL MENU - Pr'!E790="", "", 'AYIRA MINI MART FINAL MENU - Pr'!E790)</f>
        <v/>
      </c>
      <c r="F790" s="56" t="str">
        <f>IF('AYIRA MINI MART FINAL MENU - Pr'!F790="", "", 'AYIRA MINI MART FINAL MENU - Pr'!F790)</f>
        <v/>
      </c>
      <c r="G790" s="56" t="str">
        <f>IF('AYIRA MINI MART FINAL MENU - Pr'!G790="", "", 'AYIRA MINI MART FINAL MENU - Pr'!G790)</f>
        <v/>
      </c>
      <c r="H790" s="56" t="str">
        <f>IF('AYIRA MINI MART FINAL MENU - Pr'!H790="", "", 'AYIRA MINI MART FINAL MENU - Pr'!H790)</f>
        <v/>
      </c>
      <c r="I790" s="56" t="str">
        <f>IF('AYIRA MINI MART FINAL MENU - Pr'!I790="", "", 'AYIRA MINI MART FINAL MENU - Pr'!I790)</f>
        <v/>
      </c>
      <c r="J790" s="56" t="str">
        <f>IFERROR(__xludf.DUMMYFUNCTION("IF('AYIRA MINI MART FINAL MENU - Pr'!J790="""", """", GOOGLETRANSLATE('AYIRA MINI MART FINAL MENU - Pr'!J790, ""en"", ""ar""))"),"")</f>
        <v/>
      </c>
      <c r="K790" s="56" t="str">
        <f>IF('AYIRA MINI MART FINAL MENU - Pr'!K790="", "", 'AYIRA MINI MART FINAL MENU - Pr'!K790)</f>
        <v/>
      </c>
      <c r="L790" s="56" t="str">
        <f>IF('AYIRA MINI MART FINAL MENU - Pr'!L790="", "", 'AYIRA MINI MART FINAL MENU - Pr'!L790)</f>
        <v/>
      </c>
      <c r="M790" s="56" t="str">
        <f>IF('AYIRA MINI MART FINAL MENU - Pr'!M790="", "", 'AYIRA MINI MART FINAL MENU - Pr'!M790)</f>
        <v/>
      </c>
      <c r="N790" s="56" t="str">
        <f>IF('AYIRA MINI MART FINAL MENU - Pr'!N790="", "", 'AYIRA MINI MART FINAL MENU - Pr'!N790)</f>
        <v/>
      </c>
      <c r="O790" s="57"/>
      <c r="P790" s="57"/>
      <c r="Q790" s="57"/>
      <c r="R790" s="57"/>
      <c r="S790" s="57"/>
      <c r="T790" s="57"/>
      <c r="U790" s="57"/>
      <c r="V790" s="57"/>
      <c r="W790" s="57"/>
      <c r="X790" s="57"/>
      <c r="Y790" s="57"/>
      <c r="Z790" s="57"/>
    </row>
    <row r="791">
      <c r="A791" s="56" t="str">
        <f>IFERROR(__xludf.DUMMYFUNCTION("IF('AYIRA MINI MART FINAL MENU - Pr'!A791="""", """", IF(LEN(TRIM(REGEXREPLACE(REGEXREPLACE('AYIRA MINI MART FINAL MENU - Pr'!A791, ""^[^\x{0600}-\x{06FF}]+"", """"), ""^[-–\s]+"", """")))&gt;0, TRIM(REGEXREPLACE(REGEXREPLACE('AYIRA MINI MART FINAL MENU - Pr"&amp;"'!A791, ""^[^\x{0600}-\x{06FF}]+"", """"), ""^[-–\s]+"", """")), GOOGLETRANSLATE('AYIRA MINI MART FINAL MENU - Pr'!A791, ""en"", ""ar"")))"),"فراولة 12 غرام")</f>
        <v>فراولة 12 غرام</v>
      </c>
      <c r="B791" s="56" t="str">
        <f>IFERROR(__xludf.DUMMYFUNCTION("IF('AYIRA MINI MART FINAL MENU - Pr'!B791="""", """", IF(LEN(TRIM(REGEXREPLACE(REGEXREPLACE('AYIRA MINI MART FINAL MENU - Pr'!B791, ""^[^\x{0600}-\x{06FF}]+"", """"), ""^[-–\s]+"", """")))&gt;0, TRIM(REGEXREPLACE(REGEXREPLACE('AYIRA MINI MART FINAL MENU - Pr"&amp;"'!B791, ""^[^\x{0600}-\x{06FF}]+"", """"), ""^[-–\s]+"", """")), GOOGLETRANSLATE('AYIRA MINI MART FINAL MENU - Pr'!B791, ""en"", ""ar"")))"),"الحلوى 🍬")</f>
        <v>الحلوى 🍬</v>
      </c>
      <c r="C791" s="58">
        <f>IF('AYIRA MINI MART FINAL MENU - Pr'!C791="", "", 'AYIRA MINI MART FINAL MENU - Pr'!C791)</f>
        <v>1</v>
      </c>
      <c r="D791" s="58" t="str">
        <f>IF('AYIRA MINI MART FINAL MENU - Pr'!D791="", "", 'AYIRA MINI MART FINAL MENU - Pr'!D791)</f>
        <v>لا تقاوم طعم Fruties Chew Tape Strawberry 12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91" s="56" t="str">
        <f>IF('AYIRA MINI MART FINAL MENU - Pr'!E791="", "", 'AYIRA MINI MART FINAL MENU - Pr'!E791)</f>
        <v/>
      </c>
      <c r="F791" s="56" t="str">
        <f>IF('AYIRA MINI MART FINAL MENU - Pr'!F791="", "", 'AYIRA MINI MART FINAL MENU - Pr'!F791)</f>
        <v/>
      </c>
      <c r="G791" s="56" t="str">
        <f>IF('AYIRA MINI MART FINAL MENU - Pr'!G791="", "", 'AYIRA MINI MART FINAL MENU - Pr'!G791)</f>
        <v/>
      </c>
      <c r="H791" s="56" t="str">
        <f>IF('AYIRA MINI MART FINAL MENU - Pr'!H791="", "", 'AYIRA MINI MART FINAL MENU - Pr'!H791)</f>
        <v/>
      </c>
      <c r="I791" s="56" t="str">
        <f>IF('AYIRA MINI MART FINAL MENU - Pr'!I791="", "", 'AYIRA MINI MART FINAL MENU - Pr'!I791)</f>
        <v/>
      </c>
      <c r="J791" s="56" t="str">
        <f>IFERROR(__xludf.DUMMYFUNCTION("IF('AYIRA MINI MART FINAL MENU - Pr'!J791="""", """", GOOGLETRANSLATE('AYIRA MINI MART FINAL MENU - Pr'!J791, ""en"", ""ar""))"),"")</f>
        <v/>
      </c>
      <c r="K791" s="56" t="str">
        <f>IF('AYIRA MINI MART FINAL MENU - Pr'!K791="", "", 'AYIRA MINI MART FINAL MENU - Pr'!K791)</f>
        <v/>
      </c>
      <c r="L791" s="56" t="str">
        <f>IF('AYIRA MINI MART FINAL MENU - Pr'!L791="", "", 'AYIRA MINI MART FINAL MENU - Pr'!L791)</f>
        <v/>
      </c>
      <c r="M791" s="56" t="str">
        <f>IF('AYIRA MINI MART FINAL MENU - Pr'!M791="", "", 'AYIRA MINI MART FINAL MENU - Pr'!M791)</f>
        <v/>
      </c>
      <c r="N791" s="56" t="str">
        <f>IF('AYIRA MINI MART FINAL MENU - Pr'!N791="", "", 'AYIRA MINI MART FINAL MENU - Pr'!N791)</f>
        <v/>
      </c>
      <c r="O791" s="57"/>
      <c r="P791" s="57"/>
      <c r="Q791" s="57"/>
      <c r="R791" s="57"/>
      <c r="S791" s="57"/>
      <c r="T791" s="57"/>
      <c r="U791" s="57"/>
      <c r="V791" s="57"/>
      <c r="W791" s="57"/>
      <c r="X791" s="57"/>
      <c r="Y791" s="57"/>
      <c r="Z791" s="57"/>
    </row>
    <row r="792">
      <c r="A792" s="56" t="str">
        <f>IFERROR(__xludf.DUMMYFUNCTION("IF('AYIRA MINI MART FINAL MENU - Pr'!A792="""", """", IF(LEN(TRIM(REGEXREPLACE(REGEXREPLACE('AYIRA MINI MART FINAL MENU - Pr'!A792, ""^[^\x{0600}-\x{06FF}]+"", """"), ""^[-–\s]+"", """")))&gt;0, TRIM(REGEXREPLACE(REGEXREPLACE('AYIRA MINI MART FINAL MENU - Pr"&amp;"'!A792, ""^[^\x{0600}-\x{06FF}]+"", """"), ""^[-–\s]+"", """")), GOOGLETRANSLATE('AYIRA MINI MART FINAL MENU - Pr'!A792, ""en"", ""ar"")))"),"فراولة 15 غرام")</f>
        <v>فراولة 15 غرام</v>
      </c>
      <c r="B792" s="56" t="str">
        <f>IFERROR(__xludf.DUMMYFUNCTION("IF('AYIRA MINI MART FINAL MENU - Pr'!B792="""", """", IF(LEN(TRIM(REGEXREPLACE(REGEXREPLACE('AYIRA MINI MART FINAL MENU - Pr'!B792, ""^[^\x{0600}-\x{06FF}]+"", """"), ""^[-–\s]+"", """")))&gt;0, TRIM(REGEXREPLACE(REGEXREPLACE('AYIRA MINI MART FINAL MENU - Pr"&amp;"'!B792, ""^[^\x{0600}-\x{06FF}]+"", """"), ""^[-–\s]+"", """")), GOOGLETRANSLATE('AYIRA MINI MART FINAL MENU - Pr'!B792, ""en"", ""ar"")))"),"الحلوى 🍬")</f>
        <v>الحلوى 🍬</v>
      </c>
      <c r="C792" s="58">
        <f>IF('AYIRA MINI MART FINAL MENU - Pr'!C792="", "", 'AYIRA MINI MART FINAL MENU - Pr'!C792)</f>
        <v>1</v>
      </c>
      <c r="D792" s="58" t="str">
        <f>IF('AYIRA MINI MART FINAL MENU - Pr'!D792="", "", 'AYIRA MINI MART FINAL MENU - Pr'!D792)</f>
        <v>أضف لحظة حلوة إلى يومك مع Weirds Tangy Candy Blue Raspberry &amp; Strawberry 15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92" s="56" t="str">
        <f>IF('AYIRA MINI MART FINAL MENU - Pr'!E792="", "", 'AYIRA MINI MART FINAL MENU - Pr'!E792)</f>
        <v/>
      </c>
      <c r="F792" s="56" t="str">
        <f>IF('AYIRA MINI MART FINAL MENU - Pr'!F792="", "", 'AYIRA MINI MART FINAL MENU - Pr'!F792)</f>
        <v/>
      </c>
      <c r="G792" s="56" t="str">
        <f>IF('AYIRA MINI MART FINAL MENU - Pr'!G792="", "", 'AYIRA MINI MART FINAL MENU - Pr'!G792)</f>
        <v/>
      </c>
      <c r="H792" s="56" t="str">
        <f>IF('AYIRA MINI MART FINAL MENU - Pr'!H792="", "", 'AYIRA MINI MART FINAL MENU - Pr'!H792)</f>
        <v/>
      </c>
      <c r="I792" s="56" t="str">
        <f>IF('AYIRA MINI MART FINAL MENU - Pr'!I792="", "", 'AYIRA MINI MART FINAL MENU - Pr'!I792)</f>
        <v/>
      </c>
      <c r="J792" s="56" t="str">
        <f>IFERROR(__xludf.DUMMYFUNCTION("IF('AYIRA MINI MART FINAL MENU - Pr'!J792="""", """", GOOGLETRANSLATE('AYIRA MINI MART FINAL MENU - Pr'!J792, ""en"", ""ar""))"),"")</f>
        <v/>
      </c>
      <c r="K792" s="56" t="str">
        <f>IF('AYIRA MINI MART FINAL MENU - Pr'!K792="", "", 'AYIRA MINI MART FINAL MENU - Pr'!K792)</f>
        <v/>
      </c>
      <c r="L792" s="56" t="str">
        <f>IF('AYIRA MINI MART FINAL MENU - Pr'!L792="", "", 'AYIRA MINI MART FINAL MENU - Pr'!L792)</f>
        <v/>
      </c>
      <c r="M792" s="56" t="str">
        <f>IF('AYIRA MINI MART FINAL MENU - Pr'!M792="", "", 'AYIRA MINI MART FINAL MENU - Pr'!M792)</f>
        <v/>
      </c>
      <c r="N792" s="56" t="str">
        <f>IF('AYIRA MINI MART FINAL MENU - Pr'!N792="", "", 'AYIRA MINI MART FINAL MENU - Pr'!N792)</f>
        <v/>
      </c>
      <c r="O792" s="57"/>
      <c r="P792" s="57"/>
      <c r="Q792" s="57"/>
      <c r="R792" s="57"/>
      <c r="S792" s="57"/>
      <c r="T792" s="57"/>
      <c r="U792" s="57"/>
      <c r="V792" s="57"/>
      <c r="W792" s="57"/>
      <c r="X792" s="57"/>
      <c r="Y792" s="57"/>
      <c r="Z792" s="57"/>
    </row>
    <row r="793">
      <c r="A793" s="56" t="str">
        <f>IFERROR(__xludf.DUMMYFUNCTION("IF('AYIRA MINI MART FINAL MENU - Pr'!A793="""", """", IF(LEN(TRIM(REGEXREPLACE(REGEXREPLACE('AYIRA MINI MART FINAL MENU - Pr'!A793, ""^[^\x{0600}-\x{06FF}]+"", """"), ""^[-–\s]+"", """")))&gt;0, TRIM(REGEXREPLACE(REGEXREPLACE('AYIRA MINI MART FINAL MENU - Pr"&amp;"'!A793, ""^[^\x{0600}-\x{06FF}]+"", """"), ""^[-–\s]+"", """")), GOOGLETRANSLATE('AYIRA MINI MART FINAL MENU - Pr'!A793, ""en"", ""ar"")))"),"غرام")</f>
        <v>غرام</v>
      </c>
      <c r="B793" s="56" t="str">
        <f>IFERROR(__xludf.DUMMYFUNCTION("IF('AYIRA MINI MART FINAL MENU - Pr'!B793="""", """", IF(LEN(TRIM(REGEXREPLACE(REGEXREPLACE('AYIRA MINI MART FINAL MENU - Pr'!B793, ""^[^\x{0600}-\x{06FF}]+"", """"), ""^[-–\s]+"", """")))&gt;0, TRIM(REGEXREPLACE(REGEXREPLACE('AYIRA MINI MART FINAL MENU - Pr"&amp;"'!B793, ""^[^\x{0600}-\x{06FF}]+"", """"), ""^[-–\s]+"", """")), GOOGLETRANSLATE('AYIRA MINI MART FINAL MENU - Pr'!B793, ""en"", ""ar"")))"),"الحلوى 🍬")</f>
        <v>الحلوى 🍬</v>
      </c>
      <c r="C793" s="58">
        <f>IF('AYIRA MINI MART FINAL MENU - Pr'!C793="", "", 'AYIRA MINI MART FINAL MENU - Pr'!C793)</f>
        <v>1.5</v>
      </c>
      <c r="D793" s="58" t="str">
        <f>IF('AYIRA MINI MART FINAL MENU - Pr'!D793="", "", 'AYIRA MINI MART FINAL MENU - Pr'!D793)</f>
        <v>استمتع بـ Screamers Mega Sour Gum 17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793" s="56" t="str">
        <f>IF('AYIRA MINI MART FINAL MENU - Pr'!E793="", "", 'AYIRA MINI MART FINAL MENU - Pr'!E793)</f>
        <v/>
      </c>
      <c r="F793" s="56" t="str">
        <f>IF('AYIRA MINI MART FINAL MENU - Pr'!F793="", "", 'AYIRA MINI MART FINAL MENU - Pr'!F793)</f>
        <v/>
      </c>
      <c r="G793" s="56" t="str">
        <f>IF('AYIRA MINI MART FINAL MENU - Pr'!G793="", "", 'AYIRA MINI MART FINAL MENU - Pr'!G793)</f>
        <v/>
      </c>
      <c r="H793" s="56" t="str">
        <f>IF('AYIRA MINI MART FINAL MENU - Pr'!H793="", "", 'AYIRA MINI MART FINAL MENU - Pr'!H793)</f>
        <v/>
      </c>
      <c r="I793" s="56" t="str">
        <f>IF('AYIRA MINI MART FINAL MENU - Pr'!I793="", "", 'AYIRA MINI MART FINAL MENU - Pr'!I793)</f>
        <v/>
      </c>
      <c r="J793" s="56" t="str">
        <f>IFERROR(__xludf.DUMMYFUNCTION("IF('AYIRA MINI MART FINAL MENU - Pr'!J793="""", """", GOOGLETRANSLATE('AYIRA MINI MART FINAL MENU - Pr'!J793, ""en"", ""ar""))"),"")</f>
        <v/>
      </c>
      <c r="K793" s="56" t="str">
        <f>IF('AYIRA MINI MART FINAL MENU - Pr'!K793="", "", 'AYIRA MINI MART FINAL MENU - Pr'!K793)</f>
        <v/>
      </c>
      <c r="L793" s="56" t="str">
        <f>IF('AYIRA MINI MART FINAL MENU - Pr'!L793="", "", 'AYIRA MINI MART FINAL MENU - Pr'!L793)</f>
        <v/>
      </c>
      <c r="M793" s="56" t="str">
        <f>IF('AYIRA MINI MART FINAL MENU - Pr'!M793="", "", 'AYIRA MINI MART FINAL MENU - Pr'!M793)</f>
        <v/>
      </c>
      <c r="N793" s="56" t="str">
        <f>IF('AYIRA MINI MART FINAL MENU - Pr'!N793="", "", 'AYIRA MINI MART FINAL MENU - Pr'!N793)</f>
        <v/>
      </c>
      <c r="O793" s="57"/>
      <c r="P793" s="57"/>
      <c r="Q793" s="57"/>
      <c r="R793" s="57"/>
      <c r="S793" s="57"/>
      <c r="T793" s="57"/>
      <c r="U793" s="57"/>
      <c r="V793" s="57"/>
      <c r="W793" s="57"/>
      <c r="X793" s="57"/>
      <c r="Y793" s="57"/>
      <c r="Z793" s="57"/>
    </row>
    <row r="794">
      <c r="A794" s="56" t="str">
        <f>IFERROR(__xludf.DUMMYFUNCTION("IF('AYIRA MINI MART FINAL MENU - Pr'!A794="""", """", IF(LEN(TRIM(REGEXREPLACE(REGEXREPLACE('AYIRA MINI MART FINAL MENU - Pr'!A794, ""^[^\x{0600}-\x{06FF}]+"", """"), ""^[-–\s]+"", """")))&gt;0, TRIM(REGEXREPLACE(REGEXREPLACE('AYIRA MINI MART FINAL MENU - Pr"&amp;"'!A794, ""^[^\x{0600}-\x{06FF}]+"", """"), ""^[-–\s]+"", """")), GOOGLETRANSLATE('AYIRA MINI MART FINAL MENU - Pr'!A794, ""en"", ""ar"")))"),"غرام")</f>
        <v>غرام</v>
      </c>
      <c r="B794" s="56" t="str">
        <f>IFERROR(__xludf.DUMMYFUNCTION("IF('AYIRA MINI MART FINAL MENU - Pr'!B794="""", """", IF(LEN(TRIM(REGEXREPLACE(REGEXREPLACE('AYIRA MINI MART FINAL MENU - Pr'!B794, ""^[^\x{0600}-\x{06FF}]+"", """"), ""^[-–\s]+"", """")))&gt;0, TRIM(REGEXREPLACE(REGEXREPLACE('AYIRA MINI MART FINAL MENU - Pr"&amp;"'!B794, ""^[^\x{0600}-\x{06FF}]+"", """"), ""^[-–\s]+"", """")), GOOGLETRANSLATE('AYIRA MINI MART FINAL MENU - Pr'!B794, ""en"", ""ar"")))"),"الحلوى 🍬")</f>
        <v>الحلوى 🍬</v>
      </c>
      <c r="C794" s="58">
        <f>IF('AYIRA MINI MART FINAL MENU - Pr'!C794="", "", 'AYIRA MINI MART FINAL MENU - Pr'!C794)</f>
        <v>4</v>
      </c>
      <c r="D794" s="58" t="str">
        <f>IF('AYIRA MINI MART FINAL MENU - Pr'!D794="", "", 'AYIRA MINI MART FINAL MENU - Pr'!D794)</f>
        <v>اشرب Watermelon Gumball 35 g،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794" s="56" t="str">
        <f>IF('AYIRA MINI MART FINAL MENU - Pr'!E794="", "", 'AYIRA MINI MART FINAL MENU - Pr'!E794)</f>
        <v/>
      </c>
      <c r="F794" s="56" t="str">
        <f>IF('AYIRA MINI MART FINAL MENU - Pr'!F794="", "", 'AYIRA MINI MART FINAL MENU - Pr'!F794)</f>
        <v/>
      </c>
      <c r="G794" s="56" t="str">
        <f>IF('AYIRA MINI MART FINAL MENU - Pr'!G794="", "", 'AYIRA MINI MART FINAL MENU - Pr'!G794)</f>
        <v/>
      </c>
      <c r="H794" s="56" t="str">
        <f>IF('AYIRA MINI MART FINAL MENU - Pr'!H794="", "", 'AYIRA MINI MART FINAL MENU - Pr'!H794)</f>
        <v/>
      </c>
      <c r="I794" s="56" t="str">
        <f>IF('AYIRA MINI MART FINAL MENU - Pr'!I794="", "", 'AYIRA MINI MART FINAL MENU - Pr'!I794)</f>
        <v/>
      </c>
      <c r="J794" s="56" t="str">
        <f>IFERROR(__xludf.DUMMYFUNCTION("IF('AYIRA MINI MART FINAL MENU - Pr'!J794="""", """", GOOGLETRANSLATE('AYIRA MINI MART FINAL MENU - Pr'!J794, ""en"", ""ar""))"),"")</f>
        <v/>
      </c>
      <c r="K794" s="56" t="str">
        <f>IF('AYIRA MINI MART FINAL MENU - Pr'!K794="", "", 'AYIRA MINI MART FINAL MENU - Pr'!K794)</f>
        <v/>
      </c>
      <c r="L794" s="56" t="str">
        <f>IF('AYIRA MINI MART FINAL MENU - Pr'!L794="", "", 'AYIRA MINI MART FINAL MENU - Pr'!L794)</f>
        <v/>
      </c>
      <c r="M794" s="56" t="str">
        <f>IF('AYIRA MINI MART FINAL MENU - Pr'!M794="", "", 'AYIRA MINI MART FINAL MENU - Pr'!M794)</f>
        <v/>
      </c>
      <c r="N794" s="56" t="str">
        <f>IF('AYIRA MINI MART FINAL MENU - Pr'!N794="", "", 'AYIRA MINI MART FINAL MENU - Pr'!N794)</f>
        <v/>
      </c>
      <c r="O794" s="57"/>
      <c r="P794" s="57"/>
      <c r="Q794" s="57"/>
      <c r="R794" s="57"/>
      <c r="S794" s="57"/>
      <c r="T794" s="57"/>
      <c r="U794" s="57"/>
      <c r="V794" s="57"/>
      <c r="W794" s="57"/>
      <c r="X794" s="57"/>
      <c r="Y794" s="57"/>
      <c r="Z794" s="57"/>
    </row>
    <row r="795">
      <c r="A795" s="56" t="str">
        <f>IFERROR(__xludf.DUMMYFUNCTION("IF('AYIRA MINI MART FINAL MENU - Pr'!A795="""", """", IF(LEN(TRIM(REGEXREPLACE(REGEXREPLACE('AYIRA MINI MART FINAL MENU - Pr'!A795, ""^[^\x{0600}-\x{06FF}]+"", """"), ""^[-–\s]+"", """")))&gt;0, TRIM(REGEXREPLACE(REGEXREPLACE('AYIRA MINI MART FINAL MENU - Pr"&amp;"'!A795, ""^[^\x{0600}-\x{06FF}]+"", """"), ""^[-–\s]+"", """")), GOOGLETRANSLATE('AYIRA MINI MART FINAL MENU - Pr'!A795, ""en"", ""ar"")))"),"فراولة 18 غرام")</f>
        <v>فراولة 18 غرام</v>
      </c>
      <c r="B795" s="56" t="str">
        <f>IFERROR(__xludf.DUMMYFUNCTION("IF('AYIRA MINI MART FINAL MENU - Pr'!B795="""", """", IF(LEN(TRIM(REGEXREPLACE(REGEXREPLACE('AYIRA MINI MART FINAL MENU - Pr'!B795, ""^[^\x{0600}-\x{06FF}]+"", """"), ""^[-–\s]+"", """")))&gt;0, TRIM(REGEXREPLACE(REGEXREPLACE('AYIRA MINI MART FINAL MENU - Pr"&amp;"'!B795, ""^[^\x{0600}-\x{06FF}]+"", """"), ""^[-–\s]+"", """")), GOOGLETRANSLATE('AYIRA MINI MART FINAL MENU - Pr'!B795, ""en"", ""ar"")))"),"الحلوى 🍬")</f>
        <v>الحلوى 🍬</v>
      </c>
      <c r="C795" s="58">
        <f>IF('AYIRA MINI MART FINAL MENU - Pr'!C795="", "", 'AYIRA MINI MART FINAL MENU - Pr'!C795)</f>
        <v>1</v>
      </c>
      <c r="D795" s="58" t="str">
        <f>IF('AYIRA MINI MART FINAL MENU - Pr'!D795="", "", 'AYIRA MINI MART FINAL MENU - Pr'!D795)</f>
        <v>استمتع بـ Bubble Gum Strawberry 18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795" s="56" t="str">
        <f>IF('AYIRA MINI MART FINAL MENU - Pr'!E795="", "", 'AYIRA MINI MART FINAL MENU - Pr'!E795)</f>
        <v/>
      </c>
      <c r="F795" s="56" t="str">
        <f>IF('AYIRA MINI MART FINAL MENU - Pr'!F795="", "", 'AYIRA MINI MART FINAL MENU - Pr'!F795)</f>
        <v/>
      </c>
      <c r="G795" s="56" t="str">
        <f>IF('AYIRA MINI MART FINAL MENU - Pr'!G795="", "", 'AYIRA MINI MART FINAL MENU - Pr'!G795)</f>
        <v/>
      </c>
      <c r="H795" s="56" t="str">
        <f>IF('AYIRA MINI MART FINAL MENU - Pr'!H795="", "", 'AYIRA MINI MART FINAL MENU - Pr'!H795)</f>
        <v/>
      </c>
      <c r="I795" s="56" t="str">
        <f>IF('AYIRA MINI MART FINAL MENU - Pr'!I795="", "", 'AYIRA MINI MART FINAL MENU - Pr'!I795)</f>
        <v/>
      </c>
      <c r="J795" s="56" t="str">
        <f>IFERROR(__xludf.DUMMYFUNCTION("IF('AYIRA MINI MART FINAL MENU - Pr'!J795="""", """", GOOGLETRANSLATE('AYIRA MINI MART FINAL MENU - Pr'!J795, ""en"", ""ar""))"),"")</f>
        <v/>
      </c>
      <c r="K795" s="56" t="str">
        <f>IF('AYIRA MINI MART FINAL MENU - Pr'!K795="", "", 'AYIRA MINI MART FINAL MENU - Pr'!K795)</f>
        <v/>
      </c>
      <c r="L795" s="56" t="str">
        <f>IF('AYIRA MINI MART FINAL MENU - Pr'!L795="", "", 'AYIRA MINI MART FINAL MENU - Pr'!L795)</f>
        <v/>
      </c>
      <c r="M795" s="56" t="str">
        <f>IF('AYIRA MINI MART FINAL MENU - Pr'!M795="", "", 'AYIRA MINI MART FINAL MENU - Pr'!M795)</f>
        <v/>
      </c>
      <c r="N795" s="56" t="str">
        <f>IF('AYIRA MINI MART FINAL MENU - Pr'!N795="", "", 'AYIRA MINI MART FINAL MENU - Pr'!N795)</f>
        <v/>
      </c>
      <c r="O795" s="57"/>
      <c r="P795" s="57"/>
      <c r="Q795" s="57"/>
      <c r="R795" s="57"/>
      <c r="S795" s="57"/>
      <c r="T795" s="57"/>
      <c r="U795" s="57"/>
      <c r="V795" s="57"/>
      <c r="W795" s="57"/>
      <c r="X795" s="57"/>
      <c r="Y795" s="57"/>
      <c r="Z795" s="57"/>
    </row>
    <row r="796">
      <c r="A796" s="56" t="str">
        <f>IFERROR(__xludf.DUMMYFUNCTION("IF('AYIRA MINI MART FINAL MENU - Pr'!A796="""", """", IF(LEN(TRIM(REGEXREPLACE(REGEXREPLACE('AYIRA MINI MART FINAL MENU - Pr'!A796, ""^[^\x{0600}-\x{06FF}]+"", """"), ""^[-–\s]+"", """")))&gt;0, TRIM(REGEXREPLACE(REGEXREPLACE('AYIRA MINI MART FINAL MENU - Pr"&amp;"'!A796, ""^[^\x{0600}-\x{06FF}]+"", """"), ""^[-–\s]+"", """")), GOOGLETRANSLATE('AYIRA MINI MART FINAL MENU - Pr'!A796, ""en"", ""ar"")))"),"غرام")</f>
        <v>غرام</v>
      </c>
      <c r="B796" s="56" t="str">
        <f>IFERROR(__xludf.DUMMYFUNCTION("IF('AYIRA MINI MART FINAL MENU - Pr'!B796="""", """", IF(LEN(TRIM(REGEXREPLACE(REGEXREPLACE('AYIRA MINI MART FINAL MENU - Pr'!B796, ""^[^\x{0600}-\x{06FF}]+"", """"), ""^[-–\s]+"", """")))&gt;0, TRIM(REGEXREPLACE(REGEXREPLACE('AYIRA MINI MART FINAL MENU - Pr"&amp;"'!B796, ""^[^\x{0600}-\x{06FF}]+"", """"), ""^[-–\s]+"", """")), GOOGLETRANSLATE('AYIRA MINI MART FINAL MENU - Pr'!B796, ""en"", ""ar"")))"),"الحلوى 🍬")</f>
        <v>الحلوى 🍬</v>
      </c>
      <c r="C796" s="58">
        <f>IF('AYIRA MINI MART FINAL MENU - Pr'!C796="", "", 'AYIRA MINI MART FINAL MENU - Pr'!C796)</f>
        <v>1</v>
      </c>
      <c r="D796" s="58" t="str">
        <f>IF('AYIRA MINI MART FINAL MENU - Pr'!D796="", "", 'AYIRA MINI MART FINAL MENU - Pr'!D796)</f>
        <v>لا تقاوم طعم Diploko Roll 18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796" s="56" t="str">
        <f>IF('AYIRA MINI MART FINAL MENU - Pr'!E796="", "", 'AYIRA MINI MART FINAL MENU - Pr'!E796)</f>
        <v/>
      </c>
      <c r="F796" s="56" t="str">
        <f>IF('AYIRA MINI MART FINAL MENU - Pr'!F796="", "", 'AYIRA MINI MART FINAL MENU - Pr'!F796)</f>
        <v/>
      </c>
      <c r="G796" s="56" t="str">
        <f>IF('AYIRA MINI MART FINAL MENU - Pr'!G796="", "", 'AYIRA MINI MART FINAL MENU - Pr'!G796)</f>
        <v/>
      </c>
      <c r="H796" s="56" t="str">
        <f>IF('AYIRA MINI MART FINAL MENU - Pr'!H796="", "", 'AYIRA MINI MART FINAL MENU - Pr'!H796)</f>
        <v/>
      </c>
      <c r="I796" s="56" t="str">
        <f>IF('AYIRA MINI MART FINAL MENU - Pr'!I796="", "", 'AYIRA MINI MART FINAL MENU - Pr'!I796)</f>
        <v/>
      </c>
      <c r="J796" s="56" t="str">
        <f>IFERROR(__xludf.DUMMYFUNCTION("IF('AYIRA MINI MART FINAL MENU - Pr'!J796="""", """", GOOGLETRANSLATE('AYIRA MINI MART FINAL MENU - Pr'!J796, ""en"", ""ar""))"),"")</f>
        <v/>
      </c>
      <c r="K796" s="56" t="str">
        <f>IF('AYIRA MINI MART FINAL MENU - Pr'!K796="", "", 'AYIRA MINI MART FINAL MENU - Pr'!K796)</f>
        <v/>
      </c>
      <c r="L796" s="56" t="str">
        <f>IF('AYIRA MINI MART FINAL MENU - Pr'!L796="", "", 'AYIRA MINI MART FINAL MENU - Pr'!L796)</f>
        <v/>
      </c>
      <c r="M796" s="56" t="str">
        <f>IF('AYIRA MINI MART FINAL MENU - Pr'!M796="", "", 'AYIRA MINI MART FINAL MENU - Pr'!M796)</f>
        <v/>
      </c>
      <c r="N796" s="56" t="str">
        <f>IF('AYIRA MINI MART FINAL MENU - Pr'!N796="", "", 'AYIRA MINI MART FINAL MENU - Pr'!N796)</f>
        <v/>
      </c>
      <c r="O796" s="57"/>
      <c r="P796" s="57"/>
      <c r="Q796" s="57"/>
      <c r="R796" s="57"/>
      <c r="S796" s="57"/>
      <c r="T796" s="57"/>
      <c r="U796" s="57"/>
      <c r="V796" s="57"/>
      <c r="W796" s="57"/>
      <c r="X796" s="57"/>
      <c r="Y796" s="57"/>
      <c r="Z796" s="57"/>
    </row>
    <row r="797">
      <c r="A797" s="56" t="str">
        <f>IFERROR(__xludf.DUMMYFUNCTION("IF('AYIRA MINI MART FINAL MENU - Pr'!A797="""", """", IF(LEN(TRIM(REGEXREPLACE(REGEXREPLACE('AYIRA MINI MART FINAL MENU - Pr'!A797, ""^[^\x{0600}-\x{06FF}]+"", """"), ""^[-–\s]+"", """")))&gt;0, TRIM(REGEXREPLACE(REGEXREPLACE('AYIRA MINI MART FINAL MENU - Pr"&amp;"'!A797, ""^[^\x{0600}-\x{06FF}]+"", """"), ""^[-–\s]+"", """")), GOOGLETRANSLATE('AYIRA MINI MART FINAL MENU - Pr'!A797, ""en"", ""ar"")))"),"هاريبو Goldbears with Fruit عصير – 80 غرام")</f>
        <v>هاريبو Goldbears with Fruit عصير – 80 غرام</v>
      </c>
      <c r="B797" s="56" t="str">
        <f>IFERROR(__xludf.DUMMYFUNCTION("IF('AYIRA MINI MART FINAL MENU - Pr'!B797="""", """", IF(LEN(TRIM(REGEXREPLACE(REGEXREPLACE('AYIRA MINI MART FINAL MENU - Pr'!B797, ""^[^\x{0600}-\x{06FF}]+"", """"), ""^[-–\s]+"", """")))&gt;0, TRIM(REGEXREPLACE(REGEXREPLACE('AYIRA MINI MART FINAL MENU - Pr"&amp;"'!B797, ""^[^\x{0600}-\x{06FF}]+"", """"), ""^[-–\s]+"", """")), GOOGLETRANSLATE('AYIRA MINI MART FINAL MENU - Pr'!B797, ""en"", ""ar"")))"),"الحلوى 🍬")</f>
        <v>الحلوى 🍬</v>
      </c>
      <c r="C797" s="58">
        <f>IF('AYIRA MINI MART FINAL MENU - Pr'!C797="", "", 'AYIRA MINI MART FINAL MENU - Pr'!C797)</f>
        <v>6</v>
      </c>
      <c r="D797" s="58" t="str">
        <f>IF('AYIRA MINI MART FINAL MENU - Pr'!D797="", "", 'AYIRA MINI MART FINAL MENU - Pr'!D797)</f>
        <v>احرص على صحتك مع هاريبو،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797" s="56" t="str">
        <f>IF('AYIRA MINI MART FINAL MENU - Pr'!E797="", "", 'AYIRA MINI MART FINAL MENU - Pr'!E797)</f>
        <v/>
      </c>
      <c r="F797" s="56" t="str">
        <f>IF('AYIRA MINI MART FINAL MENU - Pr'!F797="", "", 'AYIRA MINI MART FINAL MENU - Pr'!F797)</f>
        <v/>
      </c>
      <c r="G797" s="56" t="str">
        <f>IF('AYIRA MINI MART FINAL MENU - Pr'!G797="", "", 'AYIRA MINI MART FINAL MENU - Pr'!G797)</f>
        <v/>
      </c>
      <c r="H797" s="56" t="str">
        <f>IF('AYIRA MINI MART FINAL MENU - Pr'!H797="", "", 'AYIRA MINI MART FINAL MENU - Pr'!H797)</f>
        <v/>
      </c>
      <c r="I797" s="56" t="str">
        <f>IF('AYIRA MINI MART FINAL MENU - Pr'!I797="", "", 'AYIRA MINI MART FINAL MENU - Pr'!I797)</f>
        <v/>
      </c>
      <c r="J797" s="56" t="str">
        <f>IFERROR(__xludf.DUMMYFUNCTION("IF('AYIRA MINI MART FINAL MENU - Pr'!J797="""", """", GOOGLETRANSLATE('AYIRA MINI MART FINAL MENU - Pr'!J797, ""en"", ""ar""))"),"")</f>
        <v/>
      </c>
      <c r="K797" s="56" t="str">
        <f>IF('AYIRA MINI MART FINAL MENU - Pr'!K797="", "", 'AYIRA MINI MART FINAL MENU - Pr'!K797)</f>
        <v/>
      </c>
      <c r="L797" s="56" t="str">
        <f>IF('AYIRA MINI MART FINAL MENU - Pr'!L797="", "", 'AYIRA MINI MART FINAL MENU - Pr'!L797)</f>
        <v/>
      </c>
      <c r="M797" s="56" t="str">
        <f>IF('AYIRA MINI MART FINAL MENU - Pr'!M797="", "", 'AYIRA MINI MART FINAL MENU - Pr'!M797)</f>
        <v/>
      </c>
      <c r="N797" s="56" t="str">
        <f>IF('AYIRA MINI MART FINAL MENU - Pr'!N797="", "", 'AYIRA MINI MART FINAL MENU - Pr'!N797)</f>
        <v/>
      </c>
      <c r="O797" s="57"/>
      <c r="P797" s="57"/>
      <c r="Q797" s="57"/>
      <c r="R797" s="57"/>
      <c r="S797" s="57"/>
      <c r="T797" s="57"/>
      <c r="U797" s="57"/>
      <c r="V797" s="57"/>
      <c r="W797" s="57"/>
      <c r="X797" s="57"/>
      <c r="Y797" s="57"/>
      <c r="Z797" s="57"/>
    </row>
    <row r="798">
      <c r="A798" s="56" t="str">
        <f>IFERROR(__xludf.DUMMYFUNCTION("IF('AYIRA MINI MART FINAL MENU - Pr'!A798="""", """", IF(LEN(TRIM(REGEXREPLACE(REGEXREPLACE('AYIRA MINI MART FINAL MENU - Pr'!A798, ""^[^\x{0600}-\x{06FF}]+"", """"), ""^[-–\s]+"", """")))&gt;0, TRIM(REGEXREPLACE(REGEXREPLACE('AYIRA MINI MART FINAL MENU - Pr"&amp;"'!A798, ""^[^\x{0600}-\x{06FF}]+"", """"), ""^[-–\s]+"", """")), GOOGLETRANSLATE('AYIRA MINI MART FINAL MENU - Pr'!A798, ""en"", ""ar"")))"),"هاريبو Worms – 80 غرام")</f>
        <v>هاريبو Worms – 80 غرام</v>
      </c>
      <c r="B798" s="56" t="str">
        <f>IFERROR(__xludf.DUMMYFUNCTION("IF('AYIRA MINI MART FINAL MENU - Pr'!B798="""", """", IF(LEN(TRIM(REGEXREPLACE(REGEXREPLACE('AYIRA MINI MART FINAL MENU - Pr'!B798, ""^[^\x{0600}-\x{06FF}]+"", """"), ""^[-–\s]+"", """")))&gt;0, TRIM(REGEXREPLACE(REGEXREPLACE('AYIRA MINI MART FINAL MENU - Pr"&amp;"'!B798, ""^[^\x{0600}-\x{06FF}]+"", """"), ""^[-–\s]+"", """")), GOOGLETRANSLATE('AYIRA MINI MART FINAL MENU - Pr'!B798, ""en"", ""ar"")))"),"الحلوى 🍬")</f>
        <v>الحلوى 🍬</v>
      </c>
      <c r="C798" s="58">
        <f>IF('AYIRA MINI MART FINAL MENU - Pr'!C798="", "", 'AYIRA MINI MART FINAL MENU - Pr'!C798)</f>
        <v>6</v>
      </c>
      <c r="D798" s="58" t="str">
        <f>IF('AYIRA MINI MART FINAL MENU - Pr'!D798="", "", 'AYIRA MINI MART FINAL MENU - Pr'!D798)</f>
        <v>أضف لحظة حلوة إلى يومك مع هاريبو،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98" s="56" t="str">
        <f>IF('AYIRA MINI MART FINAL MENU - Pr'!E798="", "", 'AYIRA MINI MART FINAL MENU - Pr'!E798)</f>
        <v/>
      </c>
      <c r="F798" s="56" t="str">
        <f>IF('AYIRA MINI MART FINAL MENU - Pr'!F798="", "", 'AYIRA MINI MART FINAL MENU - Pr'!F798)</f>
        <v/>
      </c>
      <c r="G798" s="56" t="str">
        <f>IF('AYIRA MINI MART FINAL MENU - Pr'!G798="", "", 'AYIRA MINI MART FINAL MENU - Pr'!G798)</f>
        <v/>
      </c>
      <c r="H798" s="56" t="str">
        <f>IF('AYIRA MINI MART FINAL MENU - Pr'!H798="", "", 'AYIRA MINI MART FINAL MENU - Pr'!H798)</f>
        <v/>
      </c>
      <c r="I798" s="56" t="str">
        <f>IF('AYIRA MINI MART FINAL MENU - Pr'!I798="", "", 'AYIRA MINI MART FINAL MENU - Pr'!I798)</f>
        <v/>
      </c>
      <c r="J798" s="56" t="str">
        <f>IFERROR(__xludf.DUMMYFUNCTION("IF('AYIRA MINI MART FINAL MENU - Pr'!J798="""", """", GOOGLETRANSLATE('AYIRA MINI MART FINAL MENU - Pr'!J798, ""en"", ""ar""))"),"")</f>
        <v/>
      </c>
      <c r="K798" s="56" t="str">
        <f>IF('AYIRA MINI MART FINAL MENU - Pr'!K798="", "", 'AYIRA MINI MART FINAL MENU - Pr'!K798)</f>
        <v/>
      </c>
      <c r="L798" s="56" t="str">
        <f>IF('AYIRA MINI MART FINAL MENU - Pr'!L798="", "", 'AYIRA MINI MART FINAL MENU - Pr'!L798)</f>
        <v/>
      </c>
      <c r="M798" s="56" t="str">
        <f>IF('AYIRA MINI MART FINAL MENU - Pr'!M798="", "", 'AYIRA MINI MART FINAL MENU - Pr'!M798)</f>
        <v/>
      </c>
      <c r="N798" s="56" t="str">
        <f>IF('AYIRA MINI MART FINAL MENU - Pr'!N798="", "", 'AYIRA MINI MART FINAL MENU - Pr'!N798)</f>
        <v/>
      </c>
      <c r="O798" s="57"/>
      <c r="P798" s="57"/>
      <c r="Q798" s="57"/>
      <c r="R798" s="57"/>
      <c r="S798" s="57"/>
      <c r="T798" s="57"/>
      <c r="U798" s="57"/>
      <c r="V798" s="57"/>
      <c r="W798" s="57"/>
      <c r="X798" s="57"/>
      <c r="Y798" s="57"/>
      <c r="Z798" s="57"/>
    </row>
    <row r="799">
      <c r="A799" s="56" t="str">
        <f>IFERROR(__xludf.DUMMYFUNCTION("IF('AYIRA MINI MART FINAL MENU - Pr'!A799="""", """", IF(LEN(TRIM(REGEXREPLACE(REGEXREPLACE('AYIRA MINI MART FINAL MENU - Pr'!A799, ""^[^\x{0600}-\x{06FF}]+"", """"), ""^[-–\s]+"", """")))&gt;0, TRIM(REGEXREPLACE(REGEXREPLACE('AYIRA MINI MART FINAL MENU - Pr"&amp;"'!A799, ""^[^\x{0600}-\x{06FF}]+"", """"), ""^[-–\s]+"", """")), GOOGLETRANSLATE('AYIRA MINI MART FINAL MENU - Pr'!A799, ""en"", ""ar"")))"),"هاريبو Starmix – 80 غرام")</f>
        <v>هاريبو Starmix – 80 غرام</v>
      </c>
      <c r="B799" s="56" t="str">
        <f>IFERROR(__xludf.DUMMYFUNCTION("IF('AYIRA MINI MART FINAL MENU - Pr'!B799="""", """", IF(LEN(TRIM(REGEXREPLACE(REGEXREPLACE('AYIRA MINI MART FINAL MENU - Pr'!B799, ""^[^\x{0600}-\x{06FF}]+"", """"), ""^[-–\s]+"", """")))&gt;0, TRIM(REGEXREPLACE(REGEXREPLACE('AYIRA MINI MART FINAL MENU - Pr"&amp;"'!B799, ""^[^\x{0600}-\x{06FF}]+"", """"), ""^[-–\s]+"", """")), GOOGLETRANSLATE('AYIRA MINI MART FINAL MENU - Pr'!B799, ""en"", ""ar"")))"),"الحلوى 🍬")</f>
        <v>الحلوى 🍬</v>
      </c>
      <c r="C799" s="58">
        <f>IF('AYIRA MINI MART FINAL MENU - Pr'!C799="", "", 'AYIRA MINI MART FINAL MENU - Pr'!C799)</f>
        <v>6</v>
      </c>
      <c r="D799" s="58" t="str">
        <f>IF('AYIRA MINI MART FINAL MENU - Pr'!D799="", "", 'AYIRA MINI MART FINAL MENU - Pr'!D799)</f>
        <v>أضف لحظة حلوة إلى يومك مع هاريبو،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799" s="56" t="str">
        <f>IF('AYIRA MINI MART FINAL MENU - Pr'!E799="", "", 'AYIRA MINI MART FINAL MENU - Pr'!E799)</f>
        <v/>
      </c>
      <c r="F799" s="56" t="str">
        <f>IF('AYIRA MINI MART FINAL MENU - Pr'!F799="", "", 'AYIRA MINI MART FINAL MENU - Pr'!F799)</f>
        <v/>
      </c>
      <c r="G799" s="56" t="str">
        <f>IF('AYIRA MINI MART FINAL MENU - Pr'!G799="", "", 'AYIRA MINI MART FINAL MENU - Pr'!G799)</f>
        <v/>
      </c>
      <c r="H799" s="56" t="str">
        <f>IF('AYIRA MINI MART FINAL MENU - Pr'!H799="", "", 'AYIRA MINI MART FINAL MENU - Pr'!H799)</f>
        <v/>
      </c>
      <c r="I799" s="56" t="str">
        <f>IF('AYIRA MINI MART FINAL MENU - Pr'!I799="", "", 'AYIRA MINI MART FINAL MENU - Pr'!I799)</f>
        <v/>
      </c>
      <c r="J799" s="56" t="str">
        <f>IFERROR(__xludf.DUMMYFUNCTION("IF('AYIRA MINI MART FINAL MENU - Pr'!J799="""", """", GOOGLETRANSLATE('AYIRA MINI MART FINAL MENU - Pr'!J799, ""en"", ""ar""))"),"")</f>
        <v/>
      </c>
      <c r="K799" s="56" t="str">
        <f>IF('AYIRA MINI MART FINAL MENU - Pr'!K799="", "", 'AYIRA MINI MART FINAL MENU - Pr'!K799)</f>
        <v/>
      </c>
      <c r="L799" s="56" t="str">
        <f>IF('AYIRA MINI MART FINAL MENU - Pr'!L799="", "", 'AYIRA MINI MART FINAL MENU - Pr'!L799)</f>
        <v/>
      </c>
      <c r="M799" s="56" t="str">
        <f>IF('AYIRA MINI MART FINAL MENU - Pr'!M799="", "", 'AYIRA MINI MART FINAL MENU - Pr'!M799)</f>
        <v/>
      </c>
      <c r="N799" s="56" t="str">
        <f>IF('AYIRA MINI MART FINAL MENU - Pr'!N799="", "", 'AYIRA MINI MART FINAL MENU - Pr'!N799)</f>
        <v/>
      </c>
      <c r="O799" s="57"/>
      <c r="P799" s="57"/>
      <c r="Q799" s="57"/>
      <c r="R799" s="57"/>
      <c r="S799" s="57"/>
      <c r="T799" s="57"/>
      <c r="U799" s="57"/>
      <c r="V799" s="57"/>
      <c r="W799" s="57"/>
      <c r="X799" s="57"/>
      <c r="Y799" s="57"/>
      <c r="Z799" s="57"/>
    </row>
    <row r="800">
      <c r="A800" s="56" t="str">
        <f>IFERROR(__xludf.DUMMYFUNCTION("IF('AYIRA MINI MART FINAL MENU - Pr'!A800="""", """", IF(LEN(TRIM(REGEXREPLACE(REGEXREPLACE('AYIRA MINI MART FINAL MENU - Pr'!A800, ""^[^\x{0600}-\x{06FF}]+"", """"), ""^[-–\s]+"", """")))&gt;0, TRIM(REGEXREPLACE(REGEXREPLACE('AYIRA MINI MART FINAL MENU - Pr"&amp;"'!A800, ""^[^\x{0600}-\x{06FF}]+"", """"), ""^[-–\s]+"", """")), GOOGLETRANSLATE('AYIRA MINI MART FINAL MENU - Pr'!A800, ""en"", ""ar"")))"),"هاريبو Veggy Mix – 80 غرام")</f>
        <v>هاريبو Veggy Mix – 80 غرام</v>
      </c>
      <c r="B800" s="56" t="str">
        <f>IFERROR(__xludf.DUMMYFUNCTION("IF('AYIRA MINI MART FINAL MENU - Pr'!B800="""", """", IF(LEN(TRIM(REGEXREPLACE(REGEXREPLACE('AYIRA MINI MART FINAL MENU - Pr'!B800, ""^[^\x{0600}-\x{06FF}]+"", """"), ""^[-–\s]+"", """")))&gt;0, TRIM(REGEXREPLACE(REGEXREPLACE('AYIRA MINI MART FINAL MENU - Pr"&amp;"'!B800, ""^[^\x{0600}-\x{06FF}]+"", """"), ""^[-–\s]+"", """")), GOOGLETRANSLATE('AYIRA MINI MART FINAL MENU - Pr'!B800, ""en"", ""ar"")))"),"الحلوى 🍬")</f>
        <v>الحلوى 🍬</v>
      </c>
      <c r="C800" s="58">
        <f>IF('AYIRA MINI MART FINAL MENU - Pr'!C800="", "", 'AYIRA MINI MART FINAL MENU - Pr'!C800)</f>
        <v>6</v>
      </c>
      <c r="D800" s="58" t="str">
        <f>IF('AYIRA MINI MART FINAL MENU - Pr'!D800="", "", 'AYIRA MINI MART FINAL MENU - Pr'!D800)</f>
        <v>أضف لحظة حلوة إلى يومك مع هاريبو،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00" s="56" t="str">
        <f>IF('AYIRA MINI MART FINAL MENU - Pr'!E800="", "", 'AYIRA MINI MART FINAL MENU - Pr'!E800)</f>
        <v/>
      </c>
      <c r="F800" s="56" t="str">
        <f>IF('AYIRA MINI MART FINAL MENU - Pr'!F800="", "", 'AYIRA MINI MART FINAL MENU - Pr'!F800)</f>
        <v/>
      </c>
      <c r="G800" s="56" t="str">
        <f>IF('AYIRA MINI MART FINAL MENU - Pr'!G800="", "", 'AYIRA MINI MART FINAL MENU - Pr'!G800)</f>
        <v/>
      </c>
      <c r="H800" s="56" t="str">
        <f>IF('AYIRA MINI MART FINAL MENU - Pr'!H800="", "", 'AYIRA MINI MART FINAL MENU - Pr'!H800)</f>
        <v/>
      </c>
      <c r="I800" s="56" t="str">
        <f>IF('AYIRA MINI MART FINAL MENU - Pr'!I800="", "", 'AYIRA MINI MART FINAL MENU - Pr'!I800)</f>
        <v/>
      </c>
      <c r="J800" s="56" t="str">
        <f>IFERROR(__xludf.DUMMYFUNCTION("IF('AYIRA MINI MART FINAL MENU - Pr'!J800="""", """", GOOGLETRANSLATE('AYIRA MINI MART FINAL MENU - Pr'!J800, ""en"", ""ar""))"),"")</f>
        <v/>
      </c>
      <c r="K800" s="56" t="str">
        <f>IF('AYIRA MINI MART FINAL MENU - Pr'!K800="", "", 'AYIRA MINI MART FINAL MENU - Pr'!K800)</f>
        <v/>
      </c>
      <c r="L800" s="56" t="str">
        <f>IF('AYIRA MINI MART FINAL MENU - Pr'!L800="", "", 'AYIRA MINI MART FINAL MENU - Pr'!L800)</f>
        <v/>
      </c>
      <c r="M800" s="56" t="str">
        <f>IF('AYIRA MINI MART FINAL MENU - Pr'!M800="", "", 'AYIRA MINI MART FINAL MENU - Pr'!M800)</f>
        <v/>
      </c>
      <c r="N800" s="56" t="str">
        <f>IF('AYIRA MINI MART FINAL MENU - Pr'!N800="", "", 'AYIRA MINI MART FINAL MENU - Pr'!N800)</f>
        <v/>
      </c>
      <c r="O800" s="57"/>
      <c r="P800" s="57"/>
      <c r="Q800" s="57"/>
      <c r="R800" s="57"/>
      <c r="S800" s="57"/>
      <c r="T800" s="57"/>
      <c r="U800" s="57"/>
      <c r="V800" s="57"/>
      <c r="W800" s="57"/>
      <c r="X800" s="57"/>
      <c r="Y800" s="57"/>
      <c r="Z800" s="57"/>
    </row>
    <row r="801">
      <c r="A801" s="56" t="str">
        <f>IFERROR(__xludf.DUMMYFUNCTION("IF('AYIRA MINI MART FINAL MENU - Pr'!A801="""", """", IF(LEN(TRIM(REGEXREPLACE(REGEXREPLACE('AYIRA MINI MART FINAL MENU - Pr'!A801, ""^[^\x{0600}-\x{06FF}]+"", """"), ""^[-–\s]+"", """")))&gt;0, TRIM(REGEXREPLACE(REGEXREPLACE('AYIRA MINI MART FINAL MENU - Pr"&amp;"'!A801, ""^[^\x{0600}-\x{06FF}]+"", """"), ""^[-–\s]+"", """")), GOOGLETRANSLATE('AYIRA MINI MART FINAL MENU - Pr'!A801, ""en"", ""ar"")))"),"هاريبو Teeth – 80 غرام")</f>
        <v>هاريبو Teeth – 80 غرام</v>
      </c>
      <c r="B801" s="56" t="str">
        <f>IFERROR(__xludf.DUMMYFUNCTION("IF('AYIRA MINI MART FINAL MENU - Pr'!B801="""", """", IF(LEN(TRIM(REGEXREPLACE(REGEXREPLACE('AYIRA MINI MART FINAL MENU - Pr'!B801, ""^[^\x{0600}-\x{06FF}]+"", """"), ""^[-–\s]+"", """")))&gt;0, TRIM(REGEXREPLACE(REGEXREPLACE('AYIRA MINI MART FINAL MENU - Pr"&amp;"'!B801, ""^[^\x{0600}-\x{06FF}]+"", """"), ""^[-–\s]+"", """")), GOOGLETRANSLATE('AYIRA MINI MART FINAL MENU - Pr'!B801, ""en"", ""ar"")))"),"الحلوى 🍬")</f>
        <v>الحلوى 🍬</v>
      </c>
      <c r="C801" s="58">
        <f>IF('AYIRA MINI MART FINAL MENU - Pr'!C801="", "", 'AYIRA MINI MART FINAL MENU - Pr'!C801)</f>
        <v>6</v>
      </c>
      <c r="D801" s="58" t="str">
        <f>IF('AYIRA MINI MART FINAL MENU - Pr'!D801="", "", 'AYIRA MINI MART FINAL MENU - Pr'!D801)</f>
        <v>أضف لحظة حلوة إلى يومك مع هاريبو،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01" s="56" t="str">
        <f>IF('AYIRA MINI MART FINAL MENU - Pr'!E801="", "", 'AYIRA MINI MART FINAL MENU - Pr'!E801)</f>
        <v/>
      </c>
      <c r="F801" s="56" t="str">
        <f>IF('AYIRA MINI MART FINAL MENU - Pr'!F801="", "", 'AYIRA MINI MART FINAL MENU - Pr'!F801)</f>
        <v/>
      </c>
      <c r="G801" s="56" t="str">
        <f>IF('AYIRA MINI MART FINAL MENU - Pr'!G801="", "", 'AYIRA MINI MART FINAL MENU - Pr'!G801)</f>
        <v/>
      </c>
      <c r="H801" s="56" t="str">
        <f>IF('AYIRA MINI MART FINAL MENU - Pr'!H801="", "", 'AYIRA MINI MART FINAL MENU - Pr'!H801)</f>
        <v/>
      </c>
      <c r="I801" s="56" t="str">
        <f>IF('AYIRA MINI MART FINAL MENU - Pr'!I801="", "", 'AYIRA MINI MART FINAL MENU - Pr'!I801)</f>
        <v/>
      </c>
      <c r="J801" s="56" t="str">
        <f>IFERROR(__xludf.DUMMYFUNCTION("IF('AYIRA MINI MART FINAL MENU - Pr'!J801="""", """", GOOGLETRANSLATE('AYIRA MINI MART FINAL MENU - Pr'!J801, ""en"", ""ar""))"),"")</f>
        <v/>
      </c>
      <c r="K801" s="56" t="str">
        <f>IF('AYIRA MINI MART FINAL MENU - Pr'!K801="", "", 'AYIRA MINI MART FINAL MENU - Pr'!K801)</f>
        <v/>
      </c>
      <c r="L801" s="56" t="str">
        <f>IF('AYIRA MINI MART FINAL MENU - Pr'!L801="", "", 'AYIRA MINI MART FINAL MENU - Pr'!L801)</f>
        <v/>
      </c>
      <c r="M801" s="56" t="str">
        <f>IF('AYIRA MINI MART FINAL MENU - Pr'!M801="", "", 'AYIRA MINI MART FINAL MENU - Pr'!M801)</f>
        <v/>
      </c>
      <c r="N801" s="56" t="str">
        <f>IF('AYIRA MINI MART FINAL MENU - Pr'!N801="", "", 'AYIRA MINI MART FINAL MENU - Pr'!N801)</f>
        <v/>
      </c>
      <c r="O801" s="57"/>
      <c r="P801" s="57"/>
      <c r="Q801" s="57"/>
      <c r="R801" s="57"/>
      <c r="S801" s="57"/>
      <c r="T801" s="57"/>
      <c r="U801" s="57"/>
      <c r="V801" s="57"/>
      <c r="W801" s="57"/>
      <c r="X801" s="57"/>
      <c r="Y801" s="57"/>
      <c r="Z801" s="57"/>
    </row>
    <row r="802">
      <c r="A802" s="56" t="str">
        <f>IFERROR(__xludf.DUMMYFUNCTION("IF('AYIRA MINI MART FINAL MENU - Pr'!A802="""", """", IF(LEN(TRIM(REGEXREPLACE(REGEXREPLACE('AYIRA MINI MART FINAL MENU - Pr'!A802, ""^[^\x{0600}-\x{06FF}]+"", """"), ""^[-–\s]+"", """")))&gt;0, TRIM(REGEXREPLACE(REGEXREPLACE('AYIRA MINI MART FINAL MENU - Pr"&amp;"'!A802, ""^[^\x{0600}-\x{06FF}]+"", """"), ""^[-–\s]+"", """")), GOOGLETRANSLATE('AYIRA MINI MART FINAL MENU - Pr'!A802, ""en"", ""ar"")))"),"هاريبو Berries – 80 غرام")</f>
        <v>هاريبو Berries – 80 غرام</v>
      </c>
      <c r="B802" s="56" t="str">
        <f>IFERROR(__xludf.DUMMYFUNCTION("IF('AYIRA MINI MART FINAL MENU - Pr'!B802="""", """", IF(LEN(TRIM(REGEXREPLACE(REGEXREPLACE('AYIRA MINI MART FINAL MENU - Pr'!B802, ""^[^\x{0600}-\x{06FF}]+"", """"), ""^[-–\s]+"", """")))&gt;0, TRIM(REGEXREPLACE(REGEXREPLACE('AYIRA MINI MART FINAL MENU - Pr"&amp;"'!B802, ""^[^\x{0600}-\x{06FF}]+"", """"), ""^[-–\s]+"", """")), GOOGLETRANSLATE('AYIRA MINI MART FINAL MENU - Pr'!B802, ""en"", ""ar"")))"),"الحلوى 🍬")</f>
        <v>الحلوى 🍬</v>
      </c>
      <c r="C802" s="58">
        <f>IF('AYIRA MINI MART FINAL MENU - Pr'!C802="", "", 'AYIRA MINI MART FINAL MENU - Pr'!C802)</f>
        <v>6</v>
      </c>
      <c r="D802" s="58" t="str">
        <f>IF('AYIRA MINI MART FINAL MENU - Pr'!D802="", "", 'AYIRA MINI MART FINAL MENU - Pr'!D802)</f>
        <v>أضف لحظة حلوة إلى يومك مع هاريبو،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02" s="56" t="str">
        <f>IF('AYIRA MINI MART FINAL MENU - Pr'!E802="", "", 'AYIRA MINI MART FINAL MENU - Pr'!E802)</f>
        <v/>
      </c>
      <c r="F802" s="56" t="str">
        <f>IF('AYIRA MINI MART FINAL MENU - Pr'!F802="", "", 'AYIRA MINI MART FINAL MENU - Pr'!F802)</f>
        <v/>
      </c>
      <c r="G802" s="56" t="str">
        <f>IF('AYIRA MINI MART FINAL MENU - Pr'!G802="", "", 'AYIRA MINI MART FINAL MENU - Pr'!G802)</f>
        <v/>
      </c>
      <c r="H802" s="56" t="str">
        <f>IF('AYIRA MINI MART FINAL MENU - Pr'!H802="", "", 'AYIRA MINI MART FINAL MENU - Pr'!H802)</f>
        <v/>
      </c>
      <c r="I802" s="56" t="str">
        <f>IF('AYIRA MINI MART FINAL MENU - Pr'!I802="", "", 'AYIRA MINI MART FINAL MENU - Pr'!I802)</f>
        <v/>
      </c>
      <c r="J802" s="56" t="str">
        <f>IFERROR(__xludf.DUMMYFUNCTION("IF('AYIRA MINI MART FINAL MENU - Pr'!J802="""", """", GOOGLETRANSLATE('AYIRA MINI MART FINAL MENU - Pr'!J802, ""en"", ""ar""))"),"")</f>
        <v/>
      </c>
      <c r="K802" s="56" t="str">
        <f>IF('AYIRA MINI MART FINAL MENU - Pr'!K802="", "", 'AYIRA MINI MART FINAL MENU - Pr'!K802)</f>
        <v/>
      </c>
      <c r="L802" s="56" t="str">
        <f>IF('AYIRA MINI MART FINAL MENU - Pr'!L802="", "", 'AYIRA MINI MART FINAL MENU - Pr'!L802)</f>
        <v/>
      </c>
      <c r="M802" s="56" t="str">
        <f>IF('AYIRA MINI MART FINAL MENU - Pr'!M802="", "", 'AYIRA MINI MART FINAL MENU - Pr'!M802)</f>
        <v/>
      </c>
      <c r="N802" s="56" t="str">
        <f>IF('AYIRA MINI MART FINAL MENU - Pr'!N802="", "", 'AYIRA MINI MART FINAL MENU - Pr'!N802)</f>
        <v/>
      </c>
      <c r="O802" s="57"/>
      <c r="P802" s="57"/>
      <c r="Q802" s="57"/>
      <c r="R802" s="57"/>
      <c r="S802" s="57"/>
      <c r="T802" s="57"/>
      <c r="U802" s="57"/>
      <c r="V802" s="57"/>
      <c r="W802" s="57"/>
      <c r="X802" s="57"/>
      <c r="Y802" s="57"/>
      <c r="Z802" s="57"/>
    </row>
    <row r="803">
      <c r="A803" s="56" t="str">
        <f>IFERROR(__xludf.DUMMYFUNCTION("IF('AYIRA MINI MART FINAL MENU - Pr'!A803="""", """", IF(LEN(TRIM(REGEXREPLACE(REGEXREPLACE('AYIRA MINI MART FINAL MENU - Pr'!A803, ""^[^\x{0600}-\x{06FF}]+"", """"), ""^[-–\s]+"", """")))&gt;0, TRIM(REGEXREPLACE(REGEXREPLACE('AYIRA MINI MART FINAL MENU - Pr"&amp;"'!A803, ""^[^\x{0600}-\x{06FF}]+"", """"), ""^[-–\s]+"", """")), GOOGLETRANSLATE('AYIRA MINI MART FINAL MENU - Pr'!A803, ""en"", ""ar"")))"),"هاريبو Happy Cola Fizz – 70 غرام")</f>
        <v>هاريبو Happy Cola Fizz – 70 غرام</v>
      </c>
      <c r="B803" s="56" t="str">
        <f>IFERROR(__xludf.DUMMYFUNCTION("IF('AYIRA MINI MART FINAL MENU - Pr'!B803="""", """", IF(LEN(TRIM(REGEXREPLACE(REGEXREPLACE('AYIRA MINI MART FINAL MENU - Pr'!B803, ""^[^\x{0600}-\x{06FF}]+"", """"), ""^[-–\s]+"", """")))&gt;0, TRIM(REGEXREPLACE(REGEXREPLACE('AYIRA MINI MART FINAL MENU - Pr"&amp;"'!B803, ""^[^\x{0600}-\x{06FF}]+"", """"), ""^[-–\s]+"", """")), GOOGLETRANSLATE('AYIRA MINI MART FINAL MENU - Pr'!B803, ""en"", ""ar"")))"),"الحلوى 🍬")</f>
        <v>الحلوى 🍬</v>
      </c>
      <c r="C803" s="58">
        <f>IF('AYIRA MINI MART FINAL MENU - Pr'!C803="", "", 'AYIRA MINI MART FINAL MENU - Pr'!C803)</f>
        <v>6</v>
      </c>
      <c r="D803" s="58" t="str">
        <f>IF('AYIRA MINI MART FINAL MENU - Pr'!D803="", "", 'AYIRA MINI MART FINAL MENU - Pr'!D803)</f>
        <v>أضف لحظة حلوة إلى يومك مع هاريبو،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03" s="56" t="str">
        <f>IF('AYIRA MINI MART FINAL MENU - Pr'!E803="", "", 'AYIRA MINI MART FINAL MENU - Pr'!E803)</f>
        <v/>
      </c>
      <c r="F803" s="56" t="str">
        <f>IF('AYIRA MINI MART FINAL MENU - Pr'!F803="", "", 'AYIRA MINI MART FINAL MENU - Pr'!F803)</f>
        <v/>
      </c>
      <c r="G803" s="56" t="str">
        <f>IF('AYIRA MINI MART FINAL MENU - Pr'!G803="", "", 'AYIRA MINI MART FINAL MENU - Pr'!G803)</f>
        <v/>
      </c>
      <c r="H803" s="56" t="str">
        <f>IF('AYIRA MINI MART FINAL MENU - Pr'!H803="", "", 'AYIRA MINI MART FINAL MENU - Pr'!H803)</f>
        <v/>
      </c>
      <c r="I803" s="56" t="str">
        <f>IF('AYIRA MINI MART FINAL MENU - Pr'!I803="", "", 'AYIRA MINI MART FINAL MENU - Pr'!I803)</f>
        <v/>
      </c>
      <c r="J803" s="56" t="str">
        <f>IFERROR(__xludf.DUMMYFUNCTION("IF('AYIRA MINI MART FINAL MENU - Pr'!J803="""", """", GOOGLETRANSLATE('AYIRA MINI MART FINAL MENU - Pr'!J803, ""en"", ""ar""))"),"")</f>
        <v/>
      </c>
      <c r="K803" s="56" t="str">
        <f>IF('AYIRA MINI MART FINAL MENU - Pr'!K803="", "", 'AYIRA MINI MART FINAL MENU - Pr'!K803)</f>
        <v/>
      </c>
      <c r="L803" s="56" t="str">
        <f>IF('AYIRA MINI MART FINAL MENU - Pr'!L803="", "", 'AYIRA MINI MART FINAL MENU - Pr'!L803)</f>
        <v/>
      </c>
      <c r="M803" s="56" t="str">
        <f>IF('AYIRA MINI MART FINAL MENU - Pr'!M803="", "", 'AYIRA MINI MART FINAL MENU - Pr'!M803)</f>
        <v/>
      </c>
      <c r="N803" s="56" t="str">
        <f>IF('AYIRA MINI MART FINAL MENU - Pr'!N803="", "", 'AYIRA MINI MART FINAL MENU - Pr'!N803)</f>
        <v/>
      </c>
      <c r="O803" s="57"/>
      <c r="P803" s="57"/>
      <c r="Q803" s="57"/>
      <c r="R803" s="57"/>
      <c r="S803" s="57"/>
      <c r="T803" s="57"/>
      <c r="U803" s="57"/>
      <c r="V803" s="57"/>
      <c r="W803" s="57"/>
      <c r="X803" s="57"/>
      <c r="Y803" s="57"/>
      <c r="Z803" s="57"/>
    </row>
    <row r="804">
      <c r="A804" s="56" t="str">
        <f>IFERROR(__xludf.DUMMYFUNCTION("IF('AYIRA MINI MART FINAL MENU - Pr'!A804="""", """", IF(LEN(TRIM(REGEXREPLACE(REGEXREPLACE('AYIRA MINI MART FINAL MENU - Pr'!A804, ""^[^\x{0600}-\x{06FF}]+"", """"), ""^[-–\s]+"", """")))&gt;0, TRIM(REGEXREPLACE(REGEXREPLACE('AYIRA MINI MART FINAL MENU - Pr"&amp;"'!A804, ""^[^\x{0600}-\x{06FF}]+"", """"), ""^[-–\s]+"", """")), GOOGLETRANSLATE('AYIRA MINI MART FINAL MENU - Pr'!A804, ""en"", ""ar"")))"),"منتوس فراولة")</f>
        <v>منتوس فراولة</v>
      </c>
      <c r="B804" s="56" t="str">
        <f>IFERROR(__xludf.DUMMYFUNCTION("IF('AYIRA MINI MART FINAL MENU - Pr'!B804="""", """", IF(LEN(TRIM(REGEXREPLACE(REGEXREPLACE('AYIRA MINI MART FINAL MENU - Pr'!B804, ""^[^\x{0600}-\x{06FF}]+"", """"), ""^[-–\s]+"", """")))&gt;0, TRIM(REGEXREPLACE(REGEXREPLACE('AYIRA MINI MART FINAL MENU - Pr"&amp;"'!B804, ""^[^\x{0600}-\x{06FF}]+"", """"), ""^[-–\s]+"", """")), GOOGLETRANSLATE('AYIRA MINI MART FINAL MENU - Pr'!B804, ""en"", ""ar"")))"),"العلكة")</f>
        <v>العلكة</v>
      </c>
      <c r="C804" s="58">
        <f>IF('AYIRA MINI MART FINAL MENU - Pr'!C804="", "", 'AYIRA MINI MART FINAL MENU - Pr'!C804)</f>
        <v>3</v>
      </c>
      <c r="D804" s="58" t="str">
        <f>IF('AYIRA MINI MART FINAL MENU - Pr'!D804="", "", 'AYIRA MINI MART FINAL MENU - Pr'!D804)</f>
        <v>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04" s="56" t="str">
        <f>IF('AYIRA MINI MART FINAL MENU - Pr'!E804="", "", 'AYIRA MINI MART FINAL MENU - Pr'!E804)</f>
        <v/>
      </c>
      <c r="F804" s="56" t="str">
        <f>IF('AYIRA MINI MART FINAL MENU - Pr'!F804="", "", 'AYIRA MINI MART FINAL MENU - Pr'!F804)</f>
        <v/>
      </c>
      <c r="G804" s="56" t="str">
        <f>IF('AYIRA MINI MART FINAL MENU - Pr'!G804="", "", 'AYIRA MINI MART FINAL MENU - Pr'!G804)</f>
        <v/>
      </c>
      <c r="H804" s="56" t="str">
        <f>IF('AYIRA MINI MART FINAL MENU - Pr'!H804="", "", 'AYIRA MINI MART FINAL MENU - Pr'!H804)</f>
        <v/>
      </c>
      <c r="I804" s="56" t="str">
        <f>IF('AYIRA MINI MART FINAL MENU - Pr'!I804="", "", 'AYIRA MINI MART FINAL MENU - Pr'!I804)</f>
        <v/>
      </c>
      <c r="J804" s="56" t="str">
        <f>IFERROR(__xludf.DUMMYFUNCTION("IF('AYIRA MINI MART FINAL MENU - Pr'!J804="""", """", GOOGLETRANSLATE('AYIRA MINI MART FINAL MENU - Pr'!J804, ""en"", ""ar""))"),"")</f>
        <v/>
      </c>
      <c r="K804" s="56" t="str">
        <f>IF('AYIRA MINI MART FINAL MENU - Pr'!K804="", "", 'AYIRA MINI MART FINAL MENU - Pr'!K804)</f>
        <v/>
      </c>
      <c r="L804" s="56" t="str">
        <f>IF('AYIRA MINI MART FINAL MENU - Pr'!L804="", "", 'AYIRA MINI MART FINAL MENU - Pr'!L804)</f>
        <v/>
      </c>
      <c r="M804" s="56" t="str">
        <f>IF('AYIRA MINI MART FINAL MENU - Pr'!M804="", "", 'AYIRA MINI MART FINAL MENU - Pr'!M804)</f>
        <v/>
      </c>
      <c r="N804" s="56" t="str">
        <f>IF('AYIRA MINI MART FINAL MENU - Pr'!N804="", "", 'AYIRA MINI MART FINAL MENU - Pr'!N804)</f>
        <v/>
      </c>
      <c r="O804" s="57"/>
      <c r="P804" s="57"/>
      <c r="Q804" s="57"/>
      <c r="R804" s="57"/>
      <c r="S804" s="57"/>
      <c r="T804" s="57"/>
      <c r="U804" s="57"/>
      <c r="V804" s="57"/>
      <c r="W804" s="57"/>
      <c r="X804" s="57"/>
      <c r="Y804" s="57"/>
      <c r="Z804" s="57"/>
    </row>
    <row r="805">
      <c r="A805" s="56" t="str">
        <f>IFERROR(__xludf.DUMMYFUNCTION("IF('AYIRA MINI MART FINAL MENU - Pr'!A805="""", """", IF(LEN(TRIM(REGEXREPLACE(REGEXREPLACE('AYIRA MINI MART FINAL MENU - Pr'!A805, ""^[^\x{0600}-\x{06FF}]+"", """"), ""^[-–\s]+"", """")))&gt;0, TRIM(REGEXREPLACE(REGEXREPLACE('AYIRA MINI MART FINAL MENU - Pr"&amp;"'!A805, ""^[^\x{0600}-\x{06FF}]+"", """"), ""^[-–\s]+"", """")), GOOGLETRANSLATE('AYIRA MINI MART FINAL MENU - Pr'!A805, ""en"", ""ar"")))"),"غرام")</f>
        <v>غرام</v>
      </c>
      <c r="B805" s="56" t="str">
        <f>IFERROR(__xludf.DUMMYFUNCTION("IF('AYIRA MINI MART FINAL MENU - Pr'!B805="""", """", IF(LEN(TRIM(REGEXREPLACE(REGEXREPLACE('AYIRA MINI MART FINAL MENU - Pr'!B805, ""^[^\x{0600}-\x{06FF}]+"", """"), ""^[-–\s]+"", """")))&gt;0, TRIM(REGEXREPLACE(REGEXREPLACE('AYIRA MINI MART FINAL MENU - Pr"&amp;"'!B805, ""^[^\x{0600}-\x{06FF}]+"", """"), ""^[-–\s]+"", """")), GOOGLETRANSLATE('AYIRA MINI MART FINAL MENU - Pr'!B805, ""en"", ""ar"")))"),"العلكة")</f>
        <v>العلكة</v>
      </c>
      <c r="C805" s="58">
        <f>IF('AYIRA MINI MART FINAL MENU - Pr'!C805="", "", 'AYIRA MINI MART FINAL MENU - Pr'!C805)</f>
        <v>5</v>
      </c>
      <c r="D805" s="58" t="str">
        <f>IF('AYIRA MINI MART FINAL MENU - Pr'!D805="", "", 'AYIRA MINI MART FINAL MENU - Pr'!D805)</f>
        <v>أضف لحظة حلوة إلى يومك مع إكسترا،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05" s="56" t="str">
        <f>IF('AYIRA MINI MART FINAL MENU - Pr'!E805="", "", 'AYIRA MINI MART FINAL MENU - Pr'!E805)</f>
        <v/>
      </c>
      <c r="F805" s="56" t="str">
        <f>IF('AYIRA MINI MART FINAL MENU - Pr'!F805="", "", 'AYIRA MINI MART FINAL MENU - Pr'!F805)</f>
        <v/>
      </c>
      <c r="G805" s="56" t="str">
        <f>IF('AYIRA MINI MART FINAL MENU - Pr'!G805="", "", 'AYIRA MINI MART FINAL MENU - Pr'!G805)</f>
        <v/>
      </c>
      <c r="H805" s="56" t="str">
        <f>IF('AYIRA MINI MART FINAL MENU - Pr'!H805="", "", 'AYIRA MINI MART FINAL MENU - Pr'!H805)</f>
        <v/>
      </c>
      <c r="I805" s="56" t="str">
        <f>IF('AYIRA MINI MART FINAL MENU - Pr'!I805="", "", 'AYIRA MINI MART FINAL MENU - Pr'!I805)</f>
        <v/>
      </c>
      <c r="J805" s="56" t="str">
        <f>IFERROR(__xludf.DUMMYFUNCTION("IF('AYIRA MINI MART FINAL MENU - Pr'!J805="""", """", GOOGLETRANSLATE('AYIRA MINI MART FINAL MENU - Pr'!J805, ""en"", ""ar""))"),"")</f>
        <v/>
      </c>
      <c r="K805" s="56" t="str">
        <f>IF('AYIRA MINI MART FINAL MENU - Pr'!K805="", "", 'AYIRA MINI MART FINAL MENU - Pr'!K805)</f>
        <v/>
      </c>
      <c r="L805" s="56" t="str">
        <f>IF('AYIRA MINI MART FINAL MENU - Pr'!L805="", "", 'AYIRA MINI MART FINAL MENU - Pr'!L805)</f>
        <v/>
      </c>
      <c r="M805" s="56" t="str">
        <f>IF('AYIRA MINI MART FINAL MENU - Pr'!M805="", "", 'AYIRA MINI MART FINAL MENU - Pr'!M805)</f>
        <v/>
      </c>
      <c r="N805" s="56" t="str">
        <f>IF('AYIRA MINI MART FINAL MENU - Pr'!N805="", "", 'AYIRA MINI MART FINAL MENU - Pr'!N805)</f>
        <v/>
      </c>
      <c r="O805" s="57"/>
      <c r="P805" s="57"/>
      <c r="Q805" s="57"/>
      <c r="R805" s="57"/>
      <c r="S805" s="57"/>
      <c r="T805" s="57"/>
      <c r="U805" s="57"/>
      <c r="V805" s="57"/>
      <c r="W805" s="57"/>
      <c r="X805" s="57"/>
      <c r="Y805" s="57"/>
      <c r="Z805" s="57"/>
    </row>
    <row r="806">
      <c r="A806" s="56" t="str">
        <f>IFERROR(__xludf.DUMMYFUNCTION("IF('AYIRA MINI MART FINAL MENU - Pr'!A806="""", """", IF(LEN(TRIM(REGEXREPLACE(REGEXREPLACE('AYIRA MINI MART FINAL MENU - Pr'!A806, ""^[^\x{0600}-\x{06FF}]+"", """"), ""^[-–\s]+"", """")))&gt;0, TRIM(REGEXREPLACE(REGEXREPLACE('AYIRA MINI MART FINAL MENU - Pr"&amp;"'!A806, ""^[^\x{0600}-\x{06FF}]+"", """"), ""^[-–\s]+"", """")), GOOGLETRANSLATE('AYIRA MINI MART FINAL MENU - Pr'!A806, ""en"", ""ar"")))"),"نعناع Chews – 32 غرام")</f>
        <v>نعناع Chews – 32 غرام</v>
      </c>
      <c r="B806" s="56" t="str">
        <f>IFERROR(__xludf.DUMMYFUNCTION("IF('AYIRA MINI MART FINAL MENU - Pr'!B806="""", """", IF(LEN(TRIM(REGEXREPLACE(REGEXREPLACE('AYIRA MINI MART FINAL MENU - Pr'!B806, ""^[^\x{0600}-\x{06FF}]+"", """"), ""^[-–\s]+"", """")))&gt;0, TRIM(REGEXREPLACE(REGEXREPLACE('AYIRA MINI MART FINAL MENU - Pr"&amp;"'!B806, ""^[^\x{0600}-\x{06FF}]+"", """"), ""^[-–\s]+"", """")), GOOGLETRANSLATE('AYIRA MINI MART FINAL MENU - Pr'!B806, ""en"", ""ar"")))"),"العلكة")</f>
        <v>العلكة</v>
      </c>
      <c r="C806" s="58">
        <f>IF('AYIRA MINI MART FINAL MENU - Pr'!C806="", "", 'AYIRA MINI MART FINAL MENU - Pr'!C806)</f>
        <v>1.5</v>
      </c>
      <c r="D806" s="58" t="str">
        <f>IF('AYIRA MINI MART FINAL MENU - Pr'!D806="", "", 'AYIRA MINI MART FINAL MENU - Pr'!D806)</f>
        <v>أضف لحظة حلوة إلى يومك مع Airlist Mint Chews – 32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06" s="56" t="str">
        <f>IF('AYIRA MINI MART FINAL MENU - Pr'!E806="", "", 'AYIRA MINI MART FINAL MENU - Pr'!E806)</f>
        <v/>
      </c>
      <c r="F806" s="56" t="str">
        <f>IF('AYIRA MINI MART FINAL MENU - Pr'!F806="", "", 'AYIRA MINI MART FINAL MENU - Pr'!F806)</f>
        <v/>
      </c>
      <c r="G806" s="56" t="str">
        <f>IF('AYIRA MINI MART FINAL MENU - Pr'!G806="", "", 'AYIRA MINI MART FINAL MENU - Pr'!G806)</f>
        <v/>
      </c>
      <c r="H806" s="56" t="str">
        <f>IF('AYIRA MINI MART FINAL MENU - Pr'!H806="", "", 'AYIRA MINI MART FINAL MENU - Pr'!H806)</f>
        <v/>
      </c>
      <c r="I806" s="56" t="str">
        <f>IF('AYIRA MINI MART FINAL MENU - Pr'!I806="", "", 'AYIRA MINI MART FINAL MENU - Pr'!I806)</f>
        <v/>
      </c>
      <c r="J806" s="56" t="str">
        <f>IFERROR(__xludf.DUMMYFUNCTION("IF('AYIRA MINI MART FINAL MENU - Pr'!J806="""", """", GOOGLETRANSLATE('AYIRA MINI MART FINAL MENU - Pr'!J806, ""en"", ""ar""))"),"")</f>
        <v/>
      </c>
      <c r="K806" s="56" t="str">
        <f>IF('AYIRA MINI MART FINAL MENU - Pr'!K806="", "", 'AYIRA MINI MART FINAL MENU - Pr'!K806)</f>
        <v/>
      </c>
      <c r="L806" s="56" t="str">
        <f>IF('AYIRA MINI MART FINAL MENU - Pr'!L806="", "", 'AYIRA MINI MART FINAL MENU - Pr'!L806)</f>
        <v/>
      </c>
      <c r="M806" s="56" t="str">
        <f>IF('AYIRA MINI MART FINAL MENU - Pr'!M806="", "", 'AYIRA MINI MART FINAL MENU - Pr'!M806)</f>
        <v/>
      </c>
      <c r="N806" s="56" t="str">
        <f>IF('AYIRA MINI MART FINAL MENU - Pr'!N806="", "", 'AYIRA MINI MART FINAL MENU - Pr'!N806)</f>
        <v/>
      </c>
      <c r="O806" s="57"/>
      <c r="P806" s="57"/>
      <c r="Q806" s="57"/>
      <c r="R806" s="57"/>
      <c r="S806" s="57"/>
      <c r="T806" s="57"/>
      <c r="U806" s="57"/>
      <c r="V806" s="57"/>
      <c r="W806" s="57"/>
      <c r="X806" s="57"/>
      <c r="Y806" s="57"/>
      <c r="Z806" s="57"/>
    </row>
    <row r="807">
      <c r="A807" s="56" t="str">
        <f>IFERROR(__xludf.DUMMYFUNCTION("IF('AYIRA MINI MART FINAL MENU - Pr'!A807="""", """", IF(LEN(TRIM(REGEXREPLACE(REGEXREPLACE('AYIRA MINI MART FINAL MENU - Pr'!A807, ""^[^\x{0600}-\x{06FF}]+"", """"), ""^[-–\s]+"", """")))&gt;0, TRIM(REGEXREPLACE(REGEXREPLACE('AYIRA MINI MART FINAL MENU - Pr"&amp;"'!A807, ""^[^\x{0600}-\x{06FF}]+"", """"), ""^[-–\s]+"", """")), GOOGLETRANSLATE('AYIRA MINI MART FINAL MENU - Pr'!A807, ""en"", ""ar"")))"),"غرام")</f>
        <v>غرام</v>
      </c>
      <c r="B807" s="56" t="str">
        <f>IFERROR(__xludf.DUMMYFUNCTION("IF('AYIRA MINI MART FINAL MENU - Pr'!B807="""", """", IF(LEN(TRIM(REGEXREPLACE(REGEXREPLACE('AYIRA MINI MART FINAL MENU - Pr'!B807, ""^[^\x{0600}-\x{06FF}]+"", """"), ""^[-–\s]+"", """")))&gt;0, TRIM(REGEXREPLACE(REGEXREPLACE('AYIRA MINI MART FINAL MENU - Pr"&amp;"'!B807, ""^[^\x{0600}-\x{06FF}]+"", """"), ""^[-–\s]+"", """")), GOOGLETRANSLATE('AYIRA MINI MART FINAL MENU - Pr'!B807, ""en"", ""ar"")))"),"العلكة")</f>
        <v>العلكة</v>
      </c>
      <c r="C807" s="58">
        <f>IF('AYIRA MINI MART FINAL MENU - Pr'!C807="", "", 'AYIRA MINI MART FINAL MENU - Pr'!C807)</f>
        <v>1.5</v>
      </c>
      <c r="D807" s="58" t="str">
        <f>IF('AYIRA MINI MART FINAL MENU - Pr'!D807="", "", 'AYIRA MINI MART FINAL MENU - Pr'!D807)</f>
        <v>لا تقاوم طعم Airlist Fruit Chews – 32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07" s="56" t="str">
        <f>IF('AYIRA MINI MART FINAL MENU - Pr'!E807="", "", 'AYIRA MINI MART FINAL MENU - Pr'!E807)</f>
        <v/>
      </c>
      <c r="F807" s="56" t="str">
        <f>IF('AYIRA MINI MART FINAL MENU - Pr'!F807="", "", 'AYIRA MINI MART FINAL MENU - Pr'!F807)</f>
        <v/>
      </c>
      <c r="G807" s="56" t="str">
        <f>IF('AYIRA MINI MART FINAL MENU - Pr'!G807="", "", 'AYIRA MINI MART FINAL MENU - Pr'!G807)</f>
        <v/>
      </c>
      <c r="H807" s="56" t="str">
        <f>IF('AYIRA MINI MART FINAL MENU - Pr'!H807="", "", 'AYIRA MINI MART FINAL MENU - Pr'!H807)</f>
        <v/>
      </c>
      <c r="I807" s="56" t="str">
        <f>IF('AYIRA MINI MART FINAL MENU - Pr'!I807="", "", 'AYIRA MINI MART FINAL MENU - Pr'!I807)</f>
        <v/>
      </c>
      <c r="J807" s="56" t="str">
        <f>IFERROR(__xludf.DUMMYFUNCTION("IF('AYIRA MINI MART FINAL MENU - Pr'!J807="""", """", GOOGLETRANSLATE('AYIRA MINI MART FINAL MENU - Pr'!J807, ""en"", ""ar""))"),"")</f>
        <v/>
      </c>
      <c r="K807" s="56" t="str">
        <f>IF('AYIRA MINI MART FINAL MENU - Pr'!K807="", "", 'AYIRA MINI MART FINAL MENU - Pr'!K807)</f>
        <v/>
      </c>
      <c r="L807" s="56" t="str">
        <f>IF('AYIRA MINI MART FINAL MENU - Pr'!L807="", "", 'AYIRA MINI MART FINAL MENU - Pr'!L807)</f>
        <v/>
      </c>
      <c r="M807" s="56" t="str">
        <f>IF('AYIRA MINI MART FINAL MENU - Pr'!M807="", "", 'AYIRA MINI MART FINAL MENU - Pr'!M807)</f>
        <v/>
      </c>
      <c r="N807" s="56" t="str">
        <f>IF('AYIRA MINI MART FINAL MENU - Pr'!N807="", "", 'AYIRA MINI MART FINAL MENU - Pr'!N807)</f>
        <v/>
      </c>
      <c r="O807" s="57"/>
      <c r="P807" s="57"/>
      <c r="Q807" s="57"/>
      <c r="R807" s="57"/>
      <c r="S807" s="57"/>
      <c r="T807" s="57"/>
      <c r="U807" s="57"/>
      <c r="V807" s="57"/>
      <c r="W807" s="57"/>
      <c r="X807" s="57"/>
      <c r="Y807" s="57"/>
      <c r="Z807" s="57"/>
    </row>
    <row r="808">
      <c r="A808" s="56" t="str">
        <f>IFERROR(__xludf.DUMMYFUNCTION("IF('AYIRA MINI MART FINAL MENU - Pr'!A808="""", """", IF(LEN(TRIM(REGEXREPLACE(REGEXREPLACE('AYIRA MINI MART FINAL MENU - Pr'!A808, ""^[^\x{0600}-\x{06FF}]+"", """"), ""^[-–\s]+"", """")))&gt;0, TRIM(REGEXREPLACE(REGEXREPLACE('AYIRA MINI MART FINAL MENU - Pr"&amp;"'!A808, ""^[^\x{0600}-\x{06FF}]+"", """"), ""^[-–\s]+"", """")), GOOGLETRANSLATE('AYIRA MINI MART FINAL MENU - Pr'!A808, ""en"", ""ar"")))"),"فراولة – 28 غرام")</f>
        <v>فراولة – 28 غرام</v>
      </c>
      <c r="B808" s="56" t="str">
        <f>IFERROR(__xludf.DUMMYFUNCTION("IF('AYIRA MINI MART FINAL MENU - Pr'!B808="""", """", IF(LEN(TRIM(REGEXREPLACE(REGEXREPLACE('AYIRA MINI MART FINAL MENU - Pr'!B808, ""^[^\x{0600}-\x{06FF}]+"", """"), ""^[-–\s]+"", """")))&gt;0, TRIM(REGEXREPLACE(REGEXREPLACE('AYIRA MINI MART FINAL MENU - Pr"&amp;"'!B808, ""^[^\x{0600}-\x{06FF}]+"", """"), ""^[-–\s]+"", """")), GOOGLETRANSLATE('AYIRA MINI MART FINAL MENU - Pr'!B808, ""en"", ""ar"")))"),"الحلوى 🍬")</f>
        <v>الحلوى 🍬</v>
      </c>
      <c r="C808" s="58">
        <f>IF('AYIRA MINI MART FINAL MENU - Pr'!C808="", "", 'AYIRA MINI MART FINAL MENU - Pr'!C808)</f>
        <v>5</v>
      </c>
      <c r="D808" s="58" t="str">
        <f>IF('AYIRA MINI MART FINAL MENU - Pr'!D808="", "", 'AYIRA MINI MART FINAL MENU - Pr'!D808)</f>
        <v>لا تقاوم طعم Brain Blasterz Strawberry – 28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08" s="56" t="str">
        <f>IF('AYIRA MINI MART FINAL MENU - Pr'!E808="", "", 'AYIRA MINI MART FINAL MENU - Pr'!E808)</f>
        <v/>
      </c>
      <c r="F808" s="56" t="str">
        <f>IF('AYIRA MINI MART FINAL MENU - Pr'!F808="", "", 'AYIRA MINI MART FINAL MENU - Pr'!F808)</f>
        <v/>
      </c>
      <c r="G808" s="56" t="str">
        <f>IF('AYIRA MINI MART FINAL MENU - Pr'!G808="", "", 'AYIRA MINI MART FINAL MENU - Pr'!G808)</f>
        <v/>
      </c>
      <c r="H808" s="56" t="str">
        <f>IF('AYIRA MINI MART FINAL MENU - Pr'!H808="", "", 'AYIRA MINI MART FINAL MENU - Pr'!H808)</f>
        <v/>
      </c>
      <c r="I808" s="56" t="str">
        <f>IF('AYIRA MINI MART FINAL MENU - Pr'!I808="", "", 'AYIRA MINI MART FINAL MENU - Pr'!I808)</f>
        <v/>
      </c>
      <c r="J808" s="56" t="str">
        <f>IFERROR(__xludf.DUMMYFUNCTION("IF('AYIRA MINI MART FINAL MENU - Pr'!J808="""", """", GOOGLETRANSLATE('AYIRA MINI MART FINAL MENU - Pr'!J808, ""en"", ""ar""))"),"")</f>
        <v/>
      </c>
      <c r="K808" s="56" t="str">
        <f>IF('AYIRA MINI MART FINAL MENU - Pr'!K808="", "", 'AYIRA MINI MART FINAL MENU - Pr'!K808)</f>
        <v/>
      </c>
      <c r="L808" s="56" t="str">
        <f>IF('AYIRA MINI MART FINAL MENU - Pr'!L808="", "", 'AYIRA MINI MART FINAL MENU - Pr'!L808)</f>
        <v/>
      </c>
      <c r="M808" s="56" t="str">
        <f>IF('AYIRA MINI MART FINAL MENU - Pr'!M808="", "", 'AYIRA MINI MART FINAL MENU - Pr'!M808)</f>
        <v/>
      </c>
      <c r="N808" s="56" t="str">
        <f>IF('AYIRA MINI MART FINAL MENU - Pr'!N808="", "", 'AYIRA MINI MART FINAL MENU - Pr'!N808)</f>
        <v/>
      </c>
      <c r="O808" s="57"/>
      <c r="P808" s="57"/>
      <c r="Q808" s="57"/>
      <c r="R808" s="57"/>
      <c r="S808" s="57"/>
      <c r="T808" s="57"/>
      <c r="U808" s="57"/>
      <c r="V808" s="57"/>
      <c r="W808" s="57"/>
      <c r="X808" s="57"/>
      <c r="Y808" s="57"/>
      <c r="Z808" s="57"/>
    </row>
    <row r="809">
      <c r="A809" s="56" t="str">
        <f>IFERROR(__xludf.DUMMYFUNCTION("IF('AYIRA MINI MART FINAL MENU - Pr'!A809="""", """", IF(LEN(TRIM(REGEXREPLACE(REGEXREPLACE('AYIRA MINI MART FINAL MENU - Pr'!A809, ""^[^\x{0600}-\x{06FF}]+"", """"), ""^[-–\s]+"", """")))&gt;0, TRIM(REGEXREPLACE(REGEXREPLACE('AYIRA MINI MART FINAL MENU - Pr"&amp;"'!A809, ""^[^\x{0600}-\x{06FF}]+"", """"), ""^[-–\s]+"", """")), GOOGLETRANSLATE('AYIRA MINI MART FINAL MENU - Pr'!A809, ""en"", ""ar"")))"),"غرام")</f>
        <v>غرام</v>
      </c>
      <c r="B809" s="56" t="str">
        <f>IFERROR(__xludf.DUMMYFUNCTION("IF('AYIRA MINI MART FINAL MENU - Pr'!B809="""", """", IF(LEN(TRIM(REGEXREPLACE(REGEXREPLACE('AYIRA MINI MART FINAL MENU - Pr'!B809, ""^[^\x{0600}-\x{06FF}]+"", """"), ""^[-–\s]+"", """")))&gt;0, TRIM(REGEXREPLACE(REGEXREPLACE('AYIRA MINI MART FINAL MENU - Pr"&amp;"'!B809, ""^[^\x{0600}-\x{06FF}]+"", """"), ""^[-–\s]+"", """")), GOOGLETRANSLATE('AYIRA MINI MART FINAL MENU - Pr'!B809, ""en"", ""ar"")))"),"الحلوى 🍬")</f>
        <v>الحلوى 🍬</v>
      </c>
      <c r="C809" s="58">
        <f>IF('AYIRA MINI MART FINAL MENU - Pr'!C809="", "", 'AYIRA MINI MART FINAL MENU - Pr'!C809)</f>
        <v>3.5</v>
      </c>
      <c r="D809" s="58" t="str">
        <f>IF('AYIRA MINI MART FINAL MENU - Pr'!D809="", "", 'AYIRA MINI MART FINAL MENU - Pr'!D809)</f>
        <v>لا تقاوم طعم Brain Blasterz Sour Scales – 45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09" s="56" t="str">
        <f>IF('AYIRA MINI MART FINAL MENU - Pr'!E809="", "", 'AYIRA MINI MART FINAL MENU - Pr'!E809)</f>
        <v/>
      </c>
      <c r="F809" s="56" t="str">
        <f>IF('AYIRA MINI MART FINAL MENU - Pr'!F809="", "", 'AYIRA MINI MART FINAL MENU - Pr'!F809)</f>
        <v/>
      </c>
      <c r="G809" s="56" t="str">
        <f>IF('AYIRA MINI MART FINAL MENU - Pr'!G809="", "", 'AYIRA MINI MART FINAL MENU - Pr'!G809)</f>
        <v/>
      </c>
      <c r="H809" s="56" t="str">
        <f>IF('AYIRA MINI MART FINAL MENU - Pr'!H809="", "", 'AYIRA MINI MART FINAL MENU - Pr'!H809)</f>
        <v/>
      </c>
      <c r="I809" s="56" t="str">
        <f>IF('AYIRA MINI MART FINAL MENU - Pr'!I809="", "", 'AYIRA MINI MART FINAL MENU - Pr'!I809)</f>
        <v/>
      </c>
      <c r="J809" s="56" t="str">
        <f>IFERROR(__xludf.DUMMYFUNCTION("IF('AYIRA MINI MART FINAL MENU - Pr'!J809="""", """", GOOGLETRANSLATE('AYIRA MINI MART FINAL MENU - Pr'!J809, ""en"", ""ar""))"),"")</f>
        <v/>
      </c>
      <c r="K809" s="56" t="str">
        <f>IF('AYIRA MINI MART FINAL MENU - Pr'!K809="", "", 'AYIRA MINI MART FINAL MENU - Pr'!K809)</f>
        <v/>
      </c>
      <c r="L809" s="56" t="str">
        <f>IF('AYIRA MINI MART FINAL MENU - Pr'!L809="", "", 'AYIRA MINI MART FINAL MENU - Pr'!L809)</f>
        <v/>
      </c>
      <c r="M809" s="56" t="str">
        <f>IF('AYIRA MINI MART FINAL MENU - Pr'!M809="", "", 'AYIRA MINI MART FINAL MENU - Pr'!M809)</f>
        <v/>
      </c>
      <c r="N809" s="56" t="str">
        <f>IF('AYIRA MINI MART FINAL MENU - Pr'!N809="", "", 'AYIRA MINI MART FINAL MENU - Pr'!N809)</f>
        <v/>
      </c>
      <c r="O809" s="57"/>
      <c r="P809" s="57"/>
      <c r="Q809" s="57"/>
      <c r="R809" s="57"/>
      <c r="S809" s="57"/>
      <c r="T809" s="57"/>
      <c r="U809" s="57"/>
      <c r="V809" s="57"/>
      <c r="W809" s="57"/>
      <c r="X809" s="57"/>
      <c r="Y809" s="57"/>
      <c r="Z809" s="57"/>
    </row>
    <row r="810">
      <c r="A810" s="56" t="str">
        <f>IFERROR(__xludf.DUMMYFUNCTION("IF('AYIRA MINI MART FINAL MENU - Pr'!A810="""", """", IF(LEN(TRIM(REGEXREPLACE(REGEXREPLACE('AYIRA MINI MART FINAL MENU - Pr'!A810, ""^[^\x{0600}-\x{06FF}]+"", """"), ""^[-–\s]+"", """")))&gt;0, TRIM(REGEXREPLACE(REGEXREPLACE('AYIRA MINI MART FINAL MENU - Pr"&amp;"'!A810, ""^[^\x{0600}-\x{06FF}]+"", """"), ""^[-–\s]+"", """")), GOOGLETRANSLATE('AYIRA MINI MART FINAL MENU - Pr'!A810, ""en"", ""ar"")))"),"مل")</f>
        <v>مل</v>
      </c>
      <c r="B810" s="56" t="str">
        <f>IFERROR(__xludf.DUMMYFUNCTION("IF('AYIRA MINI MART FINAL MENU - Pr'!B810="""", """", IF(LEN(TRIM(REGEXREPLACE(REGEXREPLACE('AYIRA MINI MART FINAL MENU - Pr'!B810, ""^[^\x{0600}-\x{06FF}]+"", """"), ""^[-–\s]+"", """")))&gt;0, TRIM(REGEXREPLACE(REGEXREPLACE('AYIRA MINI MART FINAL MENU - Pr"&amp;"'!B810, ""^[^\x{0600}-\x{06FF}]+"", """"), ""^[-–\s]+"", """")), GOOGLETRANSLATE('AYIRA MINI MART FINAL MENU - Pr'!B810, ""en"", ""ar"")))"),"الحلوى 🍬")</f>
        <v>الحلوى 🍬</v>
      </c>
      <c r="C810" s="58">
        <f>IF('AYIRA MINI MART FINAL MENU - Pr'!C810="", "", 'AYIRA MINI MART FINAL MENU - Pr'!C810)</f>
        <v>6</v>
      </c>
      <c r="D810" s="58" t="str">
        <f>IF('AYIRA MINI MART FINAL MENU - Pr'!D810="", "", 'AYIRA MINI MART FINAL MENU - Pr'!D810)</f>
        <v>لا تقاوم طعم Roller Blaster Blue Raspberry – 60 ml،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10" s="56" t="str">
        <f>IF('AYIRA MINI MART FINAL MENU - Pr'!E810="", "", 'AYIRA MINI MART FINAL MENU - Pr'!E810)</f>
        <v/>
      </c>
      <c r="F810" s="56" t="str">
        <f>IF('AYIRA MINI MART FINAL MENU - Pr'!F810="", "", 'AYIRA MINI MART FINAL MENU - Pr'!F810)</f>
        <v/>
      </c>
      <c r="G810" s="56" t="str">
        <f>IF('AYIRA MINI MART FINAL MENU - Pr'!G810="", "", 'AYIRA MINI MART FINAL MENU - Pr'!G810)</f>
        <v/>
      </c>
      <c r="H810" s="56" t="str">
        <f>IF('AYIRA MINI MART FINAL MENU - Pr'!H810="", "", 'AYIRA MINI MART FINAL MENU - Pr'!H810)</f>
        <v/>
      </c>
      <c r="I810" s="56" t="str">
        <f>IF('AYIRA MINI MART FINAL MENU - Pr'!I810="", "", 'AYIRA MINI MART FINAL MENU - Pr'!I810)</f>
        <v/>
      </c>
      <c r="J810" s="56" t="str">
        <f>IFERROR(__xludf.DUMMYFUNCTION("IF('AYIRA MINI MART FINAL MENU - Pr'!J810="""", """", GOOGLETRANSLATE('AYIRA MINI MART FINAL MENU - Pr'!J810, ""en"", ""ar""))"),"")</f>
        <v/>
      </c>
      <c r="K810" s="56" t="str">
        <f>IF('AYIRA MINI MART FINAL MENU - Pr'!K810="", "", 'AYIRA MINI MART FINAL MENU - Pr'!K810)</f>
        <v/>
      </c>
      <c r="L810" s="56" t="str">
        <f>IF('AYIRA MINI MART FINAL MENU - Pr'!L810="", "", 'AYIRA MINI MART FINAL MENU - Pr'!L810)</f>
        <v/>
      </c>
      <c r="M810" s="56" t="str">
        <f>IF('AYIRA MINI MART FINAL MENU - Pr'!M810="", "", 'AYIRA MINI MART FINAL MENU - Pr'!M810)</f>
        <v/>
      </c>
      <c r="N810" s="56" t="str">
        <f>IF('AYIRA MINI MART FINAL MENU - Pr'!N810="", "", 'AYIRA MINI MART FINAL MENU - Pr'!N810)</f>
        <v/>
      </c>
      <c r="O810" s="57"/>
      <c r="P810" s="57"/>
      <c r="Q810" s="57"/>
      <c r="R810" s="57"/>
      <c r="S810" s="57"/>
      <c r="T810" s="57"/>
      <c r="U810" s="57"/>
      <c r="V810" s="57"/>
      <c r="W810" s="57"/>
      <c r="X810" s="57"/>
      <c r="Y810" s="57"/>
      <c r="Z810" s="57"/>
    </row>
    <row r="811">
      <c r="A811" s="56" t="str">
        <f>IFERROR(__xludf.DUMMYFUNCTION("IF('AYIRA MINI MART FINAL MENU - Pr'!A811="""", """", IF(LEN(TRIM(REGEXREPLACE(REGEXREPLACE('AYIRA MINI MART FINAL MENU - Pr'!A811, ""^[^\x{0600}-\x{06FF}]+"", """"), ""^[-–\s]+"", """")))&gt;0, TRIM(REGEXREPLACE(REGEXREPLACE('AYIRA MINI MART FINAL MENU - Pr"&amp;"'!A811, ""^[^\x{0600}-\x{06FF}]+"", """"), ""^[-–\s]+"", """")), GOOGLETRANSLATE('AYIRA MINI MART FINAL MENU - Pr'!A811, ""en"", ""ar"")))"),"ويندميل مصاصة")</f>
        <v>ويندميل مصاصة</v>
      </c>
      <c r="B811" s="56" t="str">
        <f>IFERROR(__xludf.DUMMYFUNCTION("IF('AYIRA MINI MART FINAL MENU - Pr'!B811="""", """", IF(LEN(TRIM(REGEXREPLACE(REGEXREPLACE('AYIRA MINI MART FINAL MENU - Pr'!B811, ""^[^\x{0600}-\x{06FF}]+"", """"), ""^[-–\s]+"", """")))&gt;0, TRIM(REGEXREPLACE(REGEXREPLACE('AYIRA MINI MART FINAL MENU - Pr"&amp;"'!B811, ""^[^\x{0600}-\x{06FF}]+"", """"), ""^[-–\s]+"", """")), GOOGLETRANSLATE('AYIRA MINI MART FINAL MENU - Pr'!B811, ""en"", ""ar"")))"),"الحلوى 🍬")</f>
        <v>الحلوى 🍬</v>
      </c>
      <c r="C811" s="58">
        <f>IF('AYIRA MINI MART FINAL MENU - Pr'!C811="", "", 'AYIRA MINI MART FINAL MENU - Pr'!C811)</f>
        <v>7.5</v>
      </c>
      <c r="D811" s="58" t="str">
        <f>IF('AYIRA MINI MART FINAL MENU - Pr'!D811="", "", 'AYIRA MINI MART FINAL MENU - Pr'!D811)</f>
        <v>أضف لحظة حلوة إلى يومك مع Windmill Lollipop،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11" s="56" t="str">
        <f>IF('AYIRA MINI MART FINAL MENU - Pr'!E811="", "", 'AYIRA MINI MART FINAL MENU - Pr'!E811)</f>
        <v/>
      </c>
      <c r="F811" s="56" t="str">
        <f>IF('AYIRA MINI MART FINAL MENU - Pr'!F811="", "", 'AYIRA MINI MART FINAL MENU - Pr'!F811)</f>
        <v/>
      </c>
      <c r="G811" s="56" t="str">
        <f>IF('AYIRA MINI MART FINAL MENU - Pr'!G811="", "", 'AYIRA MINI MART FINAL MENU - Pr'!G811)</f>
        <v/>
      </c>
      <c r="H811" s="56" t="str">
        <f>IF('AYIRA MINI MART FINAL MENU - Pr'!H811="", "", 'AYIRA MINI MART FINAL MENU - Pr'!H811)</f>
        <v/>
      </c>
      <c r="I811" s="56" t="str">
        <f>IF('AYIRA MINI MART FINAL MENU - Pr'!I811="", "", 'AYIRA MINI MART FINAL MENU - Pr'!I811)</f>
        <v/>
      </c>
      <c r="J811" s="56" t="str">
        <f>IFERROR(__xludf.DUMMYFUNCTION("IF('AYIRA MINI MART FINAL MENU - Pr'!J811="""", """", GOOGLETRANSLATE('AYIRA MINI MART FINAL MENU - Pr'!J811, ""en"", ""ar""))"),"")</f>
        <v/>
      </c>
      <c r="K811" s="56" t="str">
        <f>IF('AYIRA MINI MART FINAL MENU - Pr'!K811="", "", 'AYIRA MINI MART FINAL MENU - Pr'!K811)</f>
        <v/>
      </c>
      <c r="L811" s="56" t="str">
        <f>IF('AYIRA MINI MART FINAL MENU - Pr'!L811="", "", 'AYIRA MINI MART FINAL MENU - Pr'!L811)</f>
        <v/>
      </c>
      <c r="M811" s="56" t="str">
        <f>IF('AYIRA MINI MART FINAL MENU - Pr'!M811="", "", 'AYIRA MINI MART FINAL MENU - Pr'!M811)</f>
        <v/>
      </c>
      <c r="N811" s="56" t="str">
        <f>IF('AYIRA MINI MART FINAL MENU - Pr'!N811="", "", 'AYIRA MINI MART FINAL MENU - Pr'!N811)</f>
        <v/>
      </c>
      <c r="O811" s="57"/>
      <c r="P811" s="57"/>
      <c r="Q811" s="57"/>
      <c r="R811" s="57"/>
      <c r="S811" s="57"/>
      <c r="T811" s="57"/>
      <c r="U811" s="57"/>
      <c r="V811" s="57"/>
      <c r="W811" s="57"/>
      <c r="X811" s="57"/>
      <c r="Y811" s="57"/>
      <c r="Z811" s="57"/>
    </row>
    <row r="812">
      <c r="A812" s="56" t="str">
        <f>IFERROR(__xludf.DUMMYFUNCTION("IF('AYIRA MINI MART FINAL MENU - Pr'!A812="""", """", IF(LEN(TRIM(REGEXREPLACE(REGEXREPLACE('AYIRA MINI MART FINAL MENU - Pr'!A812, ""^[^\x{0600}-\x{06FF}]+"", """"), ""^[-–\s]+"", """")))&gt;0, TRIM(REGEXREPLACE(REGEXREPLACE('AYIRA MINI MART FINAL MENU - Pr"&amp;"'!A812, ""^[^\x{0600}-\x{06FF}]+"", """"), ""^[-–\s]+"", """")), GOOGLETRANSLATE('AYIRA MINI MART FINAL MENU - Pr'!A812, ""en"", ""ar"")))"),"أصلي أوريو – 36.8 غرام")</f>
        <v>أصلي أوريو – 36.8 غرام</v>
      </c>
      <c r="B812" s="56" t="str">
        <f>IFERROR(__xludf.DUMMYFUNCTION("IF('AYIRA MINI MART FINAL MENU - Pr'!B812="""", """", IF(LEN(TRIM(REGEXREPLACE(REGEXREPLACE('AYIRA MINI MART FINAL MENU - Pr'!B812, ""^[^\x{0600}-\x{06FF}]+"", """"), ""^[-–\s]+"", """")))&gt;0, TRIM(REGEXREPLACE(REGEXREPLACE('AYIRA MINI MART FINAL MENU - Pr"&amp;"'!B812, ""^[^\x{0600}-\x{06FF}]+"", """"), ""^[-–\s]+"", """")), GOOGLETRANSLATE('AYIRA MINI MART FINAL MENU - Pr'!B812, ""en"", ""ar"")))"),"الشوكولاتة")</f>
        <v>الشوكولاتة</v>
      </c>
      <c r="C812" s="58">
        <f>IF('AYIRA MINI MART FINAL MENU - Pr'!C812="", "", 'AYIRA MINI MART FINAL MENU - Pr'!C812)</f>
        <v>2</v>
      </c>
      <c r="D812" s="58" t="str">
        <f>IF('AYIRA MINI MART FINAL MENU - Pr'!D812="", "", 'AYIRA MINI MART FINAL MENU - Pr'!D812)</f>
        <v>لا تقاوم طعم أوريو،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12" s="56" t="str">
        <f>IF('AYIRA MINI MART FINAL MENU - Pr'!E812="", "", 'AYIRA MINI MART FINAL MENU - Pr'!E812)</f>
        <v/>
      </c>
      <c r="F812" s="56" t="str">
        <f>IF('AYIRA MINI MART FINAL MENU - Pr'!F812="", "", 'AYIRA MINI MART FINAL MENU - Pr'!F812)</f>
        <v/>
      </c>
      <c r="G812" s="56" t="str">
        <f>IF('AYIRA MINI MART FINAL MENU - Pr'!G812="", "", 'AYIRA MINI MART FINAL MENU - Pr'!G812)</f>
        <v/>
      </c>
      <c r="H812" s="56" t="str">
        <f>IF('AYIRA MINI MART FINAL MENU - Pr'!H812="", "", 'AYIRA MINI MART FINAL MENU - Pr'!H812)</f>
        <v/>
      </c>
      <c r="I812" s="56" t="str">
        <f>IF('AYIRA MINI MART FINAL MENU - Pr'!I812="", "", 'AYIRA MINI MART FINAL MENU - Pr'!I812)</f>
        <v/>
      </c>
      <c r="J812" s="56" t="str">
        <f>IFERROR(__xludf.DUMMYFUNCTION("IF('AYIRA MINI MART FINAL MENU - Pr'!J812="""", """", GOOGLETRANSLATE('AYIRA MINI MART FINAL MENU - Pr'!J812, ""en"", ""ar""))"),"")</f>
        <v/>
      </c>
      <c r="K812" s="56" t="str">
        <f>IF('AYIRA MINI MART FINAL MENU - Pr'!K812="", "", 'AYIRA MINI MART FINAL MENU - Pr'!K812)</f>
        <v/>
      </c>
      <c r="L812" s="56" t="str">
        <f>IF('AYIRA MINI MART FINAL MENU - Pr'!L812="", "", 'AYIRA MINI MART FINAL MENU - Pr'!L812)</f>
        <v/>
      </c>
      <c r="M812" s="56" t="str">
        <f>IF('AYIRA MINI MART FINAL MENU - Pr'!M812="", "", 'AYIRA MINI MART FINAL MENU - Pr'!M812)</f>
        <v/>
      </c>
      <c r="N812" s="56" t="str">
        <f>IF('AYIRA MINI MART FINAL MENU - Pr'!N812="", "", 'AYIRA MINI MART FINAL MENU - Pr'!N812)</f>
        <v/>
      </c>
      <c r="O812" s="57"/>
      <c r="P812" s="57"/>
      <c r="Q812" s="57"/>
      <c r="R812" s="57"/>
      <c r="S812" s="57"/>
      <c r="T812" s="57"/>
      <c r="U812" s="57"/>
      <c r="V812" s="57"/>
      <c r="W812" s="57"/>
      <c r="X812" s="57"/>
      <c r="Y812" s="57"/>
      <c r="Z812" s="57"/>
    </row>
    <row r="813">
      <c r="A813" s="56" t="str">
        <f>IFERROR(__xludf.DUMMYFUNCTION("IF('AYIRA MINI MART FINAL MENU - Pr'!A813="""", """", IF(LEN(TRIM(REGEXREPLACE(REGEXREPLACE('AYIRA MINI MART FINAL MENU - Pr'!A813, ""^[^\x{0600}-\x{06FF}]+"", """"), ""^[-–\s]+"", """")))&gt;0, TRIM(REGEXREPLACE(REGEXREPLACE('AYIRA MINI MART FINAL MENU - Pr"&amp;"'!A813, ""^[^\x{0600}-\x{06FF}]+"", """"), ""^[-–\s]+"", """")), GOOGLETRANSLATE('AYIRA MINI MART FINAL MENU - Pr'!A813, ""en"", ""ar"")))"),"شوكولاتة كريم أوريو – 36.8 غرام")</f>
        <v>شوكولاتة كريم أوريو – 36.8 غرام</v>
      </c>
      <c r="B813" s="56" t="str">
        <f>IFERROR(__xludf.DUMMYFUNCTION("IF('AYIRA MINI MART FINAL MENU - Pr'!B813="""", """", IF(LEN(TRIM(REGEXREPLACE(REGEXREPLACE('AYIRA MINI MART FINAL MENU - Pr'!B813, ""^[^\x{0600}-\x{06FF}]+"", """"), ""^[-–\s]+"", """")))&gt;0, TRIM(REGEXREPLACE(REGEXREPLACE('AYIRA MINI MART FINAL MENU - Pr"&amp;"'!B813, ""^[^\x{0600}-\x{06FF}]+"", """"), ""^[-–\s]+"", """")), GOOGLETRANSLATE('AYIRA MINI MART FINAL MENU - Pr'!B813, ""en"", ""ar"")))"),"الشوكولاتة")</f>
        <v>الشوكولاتة</v>
      </c>
      <c r="C813" s="58">
        <f>IF('AYIRA MINI MART FINAL MENU - Pr'!C813="", "", 'AYIRA MINI MART FINAL MENU - Pr'!C813)</f>
        <v>2</v>
      </c>
      <c r="D813" s="58" t="str">
        <f>IF('AYIRA MINI MART FINAL MENU - Pr'!D813="", "", 'AYIRA MINI MART FINAL MENU - Pr'!D813)</f>
        <v>دلّل حواسك مع أوريو،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813" s="56" t="str">
        <f>IF('AYIRA MINI MART FINAL MENU - Pr'!E813="", "", 'AYIRA MINI MART FINAL MENU - Pr'!E813)</f>
        <v/>
      </c>
      <c r="F813" s="56" t="str">
        <f>IF('AYIRA MINI MART FINAL MENU - Pr'!F813="", "", 'AYIRA MINI MART FINAL MENU - Pr'!F813)</f>
        <v/>
      </c>
      <c r="G813" s="56" t="str">
        <f>IF('AYIRA MINI MART FINAL MENU - Pr'!G813="", "", 'AYIRA MINI MART FINAL MENU - Pr'!G813)</f>
        <v/>
      </c>
      <c r="H813" s="56" t="str">
        <f>IF('AYIRA MINI MART FINAL MENU - Pr'!H813="", "", 'AYIRA MINI MART FINAL MENU - Pr'!H813)</f>
        <v/>
      </c>
      <c r="I813" s="56" t="str">
        <f>IF('AYIRA MINI MART FINAL MENU - Pr'!I813="", "", 'AYIRA MINI MART FINAL MENU - Pr'!I813)</f>
        <v/>
      </c>
      <c r="J813" s="56" t="str">
        <f>IFERROR(__xludf.DUMMYFUNCTION("IF('AYIRA MINI MART FINAL MENU - Pr'!J813="""", """", GOOGLETRANSLATE('AYIRA MINI MART FINAL MENU - Pr'!J813, ""en"", ""ar""))"),"")</f>
        <v/>
      </c>
      <c r="K813" s="56" t="str">
        <f>IF('AYIRA MINI MART FINAL MENU - Pr'!K813="", "", 'AYIRA MINI MART FINAL MENU - Pr'!K813)</f>
        <v/>
      </c>
      <c r="L813" s="56" t="str">
        <f>IF('AYIRA MINI MART FINAL MENU - Pr'!L813="", "", 'AYIRA MINI MART FINAL MENU - Pr'!L813)</f>
        <v/>
      </c>
      <c r="M813" s="56" t="str">
        <f>IF('AYIRA MINI MART FINAL MENU - Pr'!M813="", "", 'AYIRA MINI MART FINAL MENU - Pr'!M813)</f>
        <v/>
      </c>
      <c r="N813" s="56" t="str">
        <f>IF('AYIRA MINI MART FINAL MENU - Pr'!N813="", "", 'AYIRA MINI MART FINAL MENU - Pr'!N813)</f>
        <v/>
      </c>
      <c r="O813" s="57"/>
      <c r="P813" s="57"/>
      <c r="Q813" s="57"/>
      <c r="R813" s="57"/>
      <c r="S813" s="57"/>
      <c r="T813" s="57"/>
      <c r="U813" s="57"/>
      <c r="V813" s="57"/>
      <c r="W813" s="57"/>
      <c r="X813" s="57"/>
      <c r="Y813" s="57"/>
      <c r="Z813" s="57"/>
    </row>
    <row r="814">
      <c r="A814" s="56" t="str">
        <f>IFERROR(__xludf.DUMMYFUNCTION("IF('AYIRA MINI MART FINAL MENU - Pr'!A814="""", """", IF(LEN(TRIM(REGEXREPLACE(REGEXREPLACE('AYIRA MINI MART FINAL MENU - Pr'!A814, ""^[^\x{0600}-\x{06FF}]+"", """"), ""^[-–\s]+"", """")))&gt;0, TRIM(REGEXREPLACE(REGEXREPLACE('AYIRA MINI MART FINAL MENU - Pr"&amp;"'!A814, ""^[^\x{0600}-\x{06FF}]+"", """"), ""^[-–\s]+"", """")), GOOGLETRANSLATE('AYIRA MINI MART FINAL MENU - Pr'!A814, ""en"", ""ar"")))"),"مملح Peanuts – 15 غرام")</f>
        <v>مملح Peanuts – 15 غرام</v>
      </c>
      <c r="B814" s="56" t="str">
        <f>IFERROR(__xludf.DUMMYFUNCTION("IF('AYIRA MINI MART FINAL MENU - Pr'!B814="""", """", IF(LEN(TRIM(REGEXREPLACE(REGEXREPLACE('AYIRA MINI MART FINAL MENU - Pr'!B814, ""^[^\x{0600}-\x{06FF}]+"", """"), ""^[-–\s]+"", """")))&gt;0, TRIM(REGEXREPLACE(REGEXREPLACE('AYIRA MINI MART FINAL MENU - Pr"&amp;"'!B814, ""^[^\x{0600}-\x{06FF}]+"", """"), ""^[-–\s]+"", """")), GOOGLETRANSLATE('AYIRA MINI MART FINAL MENU - Pr'!B814, ""en"", ""ar"")))"),"المكسرات والبذور")</f>
        <v>المكسرات والبذور</v>
      </c>
      <c r="C814" s="58">
        <f>IF('AYIRA MINI MART FINAL MENU - Pr'!C814="", "", 'AYIRA MINI MART FINAL MENU - Pr'!C814)</f>
        <v>0.5</v>
      </c>
      <c r="D814" s="58" t="str">
        <f>IF('AYIRA MINI MART FINAL MENU - Pr'!D814="", "", 'AYIRA MINI MART FINAL MENU - Pr'!D814)</f>
        <v>اختر Topsy Salted Peanuts – 15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814" s="56" t="str">
        <f>IF('AYIRA MINI MART FINAL MENU - Pr'!E814="", "", 'AYIRA MINI MART FINAL MENU - Pr'!E814)</f>
        <v/>
      </c>
      <c r="F814" s="56" t="str">
        <f>IF('AYIRA MINI MART FINAL MENU - Pr'!F814="", "", 'AYIRA MINI MART FINAL MENU - Pr'!F814)</f>
        <v/>
      </c>
      <c r="G814" s="56" t="str">
        <f>IF('AYIRA MINI MART FINAL MENU - Pr'!G814="", "", 'AYIRA MINI MART FINAL MENU - Pr'!G814)</f>
        <v/>
      </c>
      <c r="H814" s="56" t="str">
        <f>IF('AYIRA MINI MART FINAL MENU - Pr'!H814="", "", 'AYIRA MINI MART FINAL MENU - Pr'!H814)</f>
        <v/>
      </c>
      <c r="I814" s="56" t="str">
        <f>IF('AYIRA MINI MART FINAL MENU - Pr'!I814="", "", 'AYIRA MINI MART FINAL MENU - Pr'!I814)</f>
        <v/>
      </c>
      <c r="J814" s="56" t="str">
        <f>IFERROR(__xludf.DUMMYFUNCTION("IF('AYIRA MINI MART FINAL MENU - Pr'!J814="""", """", GOOGLETRANSLATE('AYIRA MINI MART FINAL MENU - Pr'!J814, ""en"", ""ar""))"),"")</f>
        <v/>
      </c>
      <c r="K814" s="56" t="str">
        <f>IF('AYIRA MINI MART FINAL MENU - Pr'!K814="", "", 'AYIRA MINI MART FINAL MENU - Pr'!K814)</f>
        <v/>
      </c>
      <c r="L814" s="56" t="str">
        <f>IF('AYIRA MINI MART FINAL MENU - Pr'!L814="", "", 'AYIRA MINI MART FINAL MENU - Pr'!L814)</f>
        <v/>
      </c>
      <c r="M814" s="56" t="str">
        <f>IF('AYIRA MINI MART FINAL MENU - Pr'!M814="", "", 'AYIRA MINI MART FINAL MENU - Pr'!M814)</f>
        <v/>
      </c>
      <c r="N814" s="56" t="str">
        <f>IF('AYIRA MINI MART FINAL MENU - Pr'!N814="", "", 'AYIRA MINI MART FINAL MENU - Pr'!N814)</f>
        <v/>
      </c>
      <c r="O814" s="57"/>
      <c r="P814" s="57"/>
      <c r="Q814" s="57"/>
      <c r="R814" s="57"/>
      <c r="S814" s="57"/>
      <c r="T814" s="57"/>
      <c r="U814" s="57"/>
      <c r="V814" s="57"/>
      <c r="W814" s="57"/>
      <c r="X814" s="57"/>
      <c r="Y814" s="57"/>
      <c r="Z814" s="57"/>
    </row>
    <row r="815">
      <c r="A815" s="56" t="str">
        <f>IFERROR(__xludf.DUMMYFUNCTION("IF('AYIRA MINI MART FINAL MENU - Pr'!A815="""", """", IF(LEN(TRIM(REGEXREPLACE(REGEXREPLACE('AYIRA MINI MART FINAL MENU - Pr'!A815, ""^[^\x{0600}-\x{06FF}]+"", """"), ""^[-–\s]+"", """")))&gt;0, TRIM(REGEXREPLACE(REGEXREPLACE('AYIRA MINI MART FINAL MENU - Pr"&amp;"'!A815, ""^[^\x{0600}-\x{06FF}]+"", """"), ""^[-–\s]+"", """")), GOOGLETRANSLATE('AYIRA MINI MART FINAL MENU - Pr'!A815, ""en"", ""ar"")))"),"غرام")</f>
        <v>غرام</v>
      </c>
      <c r="B815" s="56" t="str">
        <f>IFERROR(__xludf.DUMMYFUNCTION("IF('AYIRA MINI MART FINAL MENU - Pr'!B815="""", """", IF(LEN(TRIM(REGEXREPLACE(REGEXREPLACE('AYIRA MINI MART FINAL MENU - Pr'!B815, ""^[^\x{0600}-\x{06FF}]+"", """"), ""^[-–\s]+"", """")))&gt;0, TRIM(REGEXREPLACE(REGEXREPLACE('AYIRA MINI MART FINAL MENU - Pr"&amp;"'!B815, ""^[^\x{0600}-\x{06FF}]+"", """"), ""^[-–\s]+"", """")), GOOGLETRANSLATE('AYIRA MINI MART FINAL MENU - Pr'!B815, ""en"", ""ar"")))"),"المكسرات والبذور")</f>
        <v>المكسرات والبذور</v>
      </c>
      <c r="C815" s="58">
        <f>IF('AYIRA MINI MART FINAL MENU - Pr'!C815="", "", 'AYIRA MINI MART FINAL MENU - Pr'!C815)</f>
        <v>1</v>
      </c>
      <c r="D815" s="58" t="str">
        <f>IF('AYIRA MINI MART FINAL MENU - Pr'!D815="", "", 'AYIRA MINI MART FINAL MENU - Pr'!D815)</f>
        <v>اختر Topsy Sunflower Seeds – 25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815" s="56" t="str">
        <f>IF('AYIRA MINI MART FINAL MENU - Pr'!E815="", "", 'AYIRA MINI MART FINAL MENU - Pr'!E815)</f>
        <v/>
      </c>
      <c r="F815" s="56" t="str">
        <f>IF('AYIRA MINI MART FINAL MENU - Pr'!F815="", "", 'AYIRA MINI MART FINAL MENU - Pr'!F815)</f>
        <v/>
      </c>
      <c r="G815" s="56" t="str">
        <f>IF('AYIRA MINI MART FINAL MENU - Pr'!G815="", "", 'AYIRA MINI MART FINAL MENU - Pr'!G815)</f>
        <v/>
      </c>
      <c r="H815" s="56" t="str">
        <f>IF('AYIRA MINI MART FINAL MENU - Pr'!H815="", "", 'AYIRA MINI MART FINAL MENU - Pr'!H815)</f>
        <v/>
      </c>
      <c r="I815" s="56" t="str">
        <f>IF('AYIRA MINI MART FINAL MENU - Pr'!I815="", "", 'AYIRA MINI MART FINAL MENU - Pr'!I815)</f>
        <v/>
      </c>
      <c r="J815" s="56" t="str">
        <f>IFERROR(__xludf.DUMMYFUNCTION("IF('AYIRA MINI MART FINAL MENU - Pr'!J815="""", """", GOOGLETRANSLATE('AYIRA MINI MART FINAL MENU - Pr'!J815, ""en"", ""ar""))"),"")</f>
        <v/>
      </c>
      <c r="K815" s="56" t="str">
        <f>IF('AYIRA MINI MART FINAL MENU - Pr'!K815="", "", 'AYIRA MINI MART FINAL MENU - Pr'!K815)</f>
        <v/>
      </c>
      <c r="L815" s="56" t="str">
        <f>IF('AYIRA MINI MART FINAL MENU - Pr'!L815="", "", 'AYIRA MINI MART FINAL MENU - Pr'!L815)</f>
        <v/>
      </c>
      <c r="M815" s="56" t="str">
        <f>IF('AYIRA MINI MART FINAL MENU - Pr'!M815="", "", 'AYIRA MINI MART FINAL MENU - Pr'!M815)</f>
        <v/>
      </c>
      <c r="N815" s="56" t="str">
        <f>IF('AYIRA MINI MART FINAL MENU - Pr'!N815="", "", 'AYIRA MINI MART FINAL MENU - Pr'!N815)</f>
        <v/>
      </c>
      <c r="O815" s="57"/>
      <c r="P815" s="57"/>
      <c r="Q815" s="57"/>
      <c r="R815" s="57"/>
      <c r="S815" s="57"/>
      <c r="T815" s="57"/>
      <c r="U815" s="57"/>
      <c r="V815" s="57"/>
      <c r="W815" s="57"/>
      <c r="X815" s="57"/>
      <c r="Y815" s="57"/>
      <c r="Z815" s="57"/>
    </row>
    <row r="816">
      <c r="A816" s="56" t="str">
        <f>IFERROR(__xludf.DUMMYFUNCTION("IF('AYIRA MINI MART FINAL MENU - Pr'!A816="""", """", IF(LEN(TRIM(REGEXREPLACE(REGEXREPLACE('AYIRA MINI MART FINAL MENU - Pr'!A816, ""^[^\x{0600}-\x{06FF}]+"", """"), ""^[-–\s]+"", """")))&gt;0, TRIM(REGEXREPLACE(REGEXREPLACE('AYIRA MINI MART FINAL MENU - Pr"&amp;"'!A816, ""^[^\x{0600}-\x{06FF}]+"", """"), ""^[-–\s]+"", """")), GOOGLETRANSLATE('AYIRA MINI MART FINAL MENU - Pr'!A816, ""en"", ""ar"")))"),"مشكل – 710 gm")</f>
        <v>مشكل – 710 gm</v>
      </c>
      <c r="B816" s="56" t="str">
        <f>IFERROR(__xludf.DUMMYFUNCTION("IF('AYIRA MINI MART FINAL MENU - Pr'!B816="""", """", IF(LEN(TRIM(REGEXREPLACE(REGEXREPLACE('AYIRA MINI MART FINAL MENU - Pr'!B816, ""^[^\x{0600}-\x{06FF}]+"", """"), ""^[-–\s]+"", """")))&gt;0, TRIM(REGEXREPLACE(REGEXREPLACE('AYIRA MINI MART FINAL MENU - Pr"&amp;"'!B816, ""^[^\x{0600}-\x{06FF}]+"", """"), ""^[-–\s]+"", """")), GOOGLETRANSLATE('AYIRA MINI MART FINAL MENU - Pr'!B816, ""en"", ""ar"")))"),"الشوكولاتة")</f>
        <v>الشوكولاتة</v>
      </c>
      <c r="C816" s="58">
        <f>IF('AYIRA MINI MART FINAL MENU - Pr'!C816="", "", 'AYIRA MINI MART FINAL MENU - Pr'!C816)</f>
        <v>50</v>
      </c>
      <c r="D816" s="58" t="str">
        <f>IF('AYIRA MINI MART FINAL MENU - Pr'!D816="", "", 'AYIRA MINI MART FINAL MENU - Pr'!D816)</f>
        <v>لا تقاوم طعم Minis 35 Mixed – 710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16" s="56" t="str">
        <f>IF('AYIRA MINI MART FINAL MENU - Pr'!E816="", "", 'AYIRA MINI MART FINAL MENU - Pr'!E816)</f>
        <v/>
      </c>
      <c r="F816" s="56" t="str">
        <f>IF('AYIRA MINI MART FINAL MENU - Pr'!F816="", "", 'AYIRA MINI MART FINAL MENU - Pr'!F816)</f>
        <v/>
      </c>
      <c r="G816" s="56" t="str">
        <f>IF('AYIRA MINI MART FINAL MENU - Pr'!G816="", "", 'AYIRA MINI MART FINAL MENU - Pr'!G816)</f>
        <v/>
      </c>
      <c r="H816" s="56" t="str">
        <f>IF('AYIRA MINI MART FINAL MENU - Pr'!H816="", "", 'AYIRA MINI MART FINAL MENU - Pr'!H816)</f>
        <v/>
      </c>
      <c r="I816" s="56" t="str">
        <f>IF('AYIRA MINI MART FINAL MENU - Pr'!I816="", "", 'AYIRA MINI MART FINAL MENU - Pr'!I816)</f>
        <v/>
      </c>
      <c r="J816" s="56" t="str">
        <f>IFERROR(__xludf.DUMMYFUNCTION("IF('AYIRA MINI MART FINAL MENU - Pr'!J816="""", """", GOOGLETRANSLATE('AYIRA MINI MART FINAL MENU - Pr'!J816, ""en"", ""ar""))"),"")</f>
        <v/>
      </c>
      <c r="K816" s="56" t="str">
        <f>IF('AYIRA MINI MART FINAL MENU - Pr'!K816="", "", 'AYIRA MINI MART FINAL MENU - Pr'!K816)</f>
        <v/>
      </c>
      <c r="L816" s="56" t="str">
        <f>IF('AYIRA MINI MART FINAL MENU - Pr'!L816="", "", 'AYIRA MINI MART FINAL MENU - Pr'!L816)</f>
        <v/>
      </c>
      <c r="M816" s="56" t="str">
        <f>IF('AYIRA MINI MART FINAL MENU - Pr'!M816="", "", 'AYIRA MINI MART FINAL MENU - Pr'!M816)</f>
        <v/>
      </c>
      <c r="N816" s="56" t="str">
        <f>IF('AYIRA MINI MART FINAL MENU - Pr'!N816="", "", 'AYIRA MINI MART FINAL MENU - Pr'!N816)</f>
        <v/>
      </c>
      <c r="O816" s="57"/>
      <c r="P816" s="57"/>
      <c r="Q816" s="57"/>
      <c r="R816" s="57"/>
      <c r="S816" s="57"/>
      <c r="T816" s="57"/>
      <c r="U816" s="57"/>
      <c r="V816" s="57"/>
      <c r="W816" s="57"/>
      <c r="X816" s="57"/>
      <c r="Y816" s="57"/>
      <c r="Z816" s="57"/>
    </row>
    <row r="817">
      <c r="A817" s="56" t="str">
        <f>IFERROR(__xludf.DUMMYFUNCTION("IF('AYIRA MINI MART FINAL MENU - Pr'!A817="""", """", IF(LEN(TRIM(REGEXREPLACE(REGEXREPLACE('AYIRA MINI MART FINAL MENU - Pr'!A817, ""^[^\x{0600}-\x{06FF}]+"", """"), ""^[-–\s]+"", """")))&gt;0, TRIM(REGEXREPLACE(REGEXREPLACE('AYIRA MINI MART FINAL MENU - Pr"&amp;"'!A817, ""^[^\x{0600}-\x{06FF}]+"", """"), ""^[-–\s]+"", """")), GOOGLETRANSLATE('AYIRA MINI MART FINAL MENU - Pr'!A817, ""en"", ""ar"")))"),"مشكل – 400 gm")</f>
        <v>مشكل – 400 gm</v>
      </c>
      <c r="B817" s="56" t="str">
        <f>IFERROR(__xludf.DUMMYFUNCTION("IF('AYIRA MINI MART FINAL MENU - Pr'!B817="""", """", IF(LEN(TRIM(REGEXREPLACE(REGEXREPLACE('AYIRA MINI MART FINAL MENU - Pr'!B817, ""^[^\x{0600}-\x{06FF}]+"", """"), ""^[-–\s]+"", """")))&gt;0, TRIM(REGEXREPLACE(REGEXREPLACE('AYIRA MINI MART FINAL MENU - Pr"&amp;"'!B817, ""^[^\x{0600}-\x{06FF}]+"", """"), ""^[-–\s]+"", """")), GOOGLETRANSLATE('AYIRA MINI MART FINAL MENU - Pr'!B817, ""en"", ""ar"")))"),"الشوكولاتة")</f>
        <v>الشوكولاتة</v>
      </c>
      <c r="C817" s="58">
        <f>IF('AYIRA MINI MART FINAL MENU - Pr'!C817="", "", 'AYIRA MINI MART FINAL MENU - Pr'!C817)</f>
        <v>32</v>
      </c>
      <c r="D817" s="58" t="str">
        <f>IF('AYIRA MINI MART FINAL MENU - Pr'!D817="", "", 'AYIRA MINI MART FINAL MENU - Pr'!D817)</f>
        <v>لا تقاوم طعم Minis 20 Mixed – 400 gm،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17" s="56" t="str">
        <f>IF('AYIRA MINI MART FINAL MENU - Pr'!E817="", "", 'AYIRA MINI MART FINAL MENU - Pr'!E817)</f>
        <v/>
      </c>
      <c r="F817" s="56" t="str">
        <f>IF('AYIRA MINI MART FINAL MENU - Pr'!F817="", "", 'AYIRA MINI MART FINAL MENU - Pr'!F817)</f>
        <v/>
      </c>
      <c r="G817" s="56" t="str">
        <f>IF('AYIRA MINI MART FINAL MENU - Pr'!G817="", "", 'AYIRA MINI MART FINAL MENU - Pr'!G817)</f>
        <v/>
      </c>
      <c r="H817" s="56" t="str">
        <f>IF('AYIRA MINI MART FINAL MENU - Pr'!H817="", "", 'AYIRA MINI MART FINAL MENU - Pr'!H817)</f>
        <v/>
      </c>
      <c r="I817" s="56" t="str">
        <f>IF('AYIRA MINI MART FINAL MENU - Pr'!I817="", "", 'AYIRA MINI MART FINAL MENU - Pr'!I817)</f>
        <v/>
      </c>
      <c r="J817" s="56" t="str">
        <f>IFERROR(__xludf.DUMMYFUNCTION("IF('AYIRA MINI MART FINAL MENU - Pr'!J817="""", """", GOOGLETRANSLATE('AYIRA MINI MART FINAL MENU - Pr'!J817, ""en"", ""ar""))"),"")</f>
        <v/>
      </c>
      <c r="K817" s="56" t="str">
        <f>IF('AYIRA MINI MART FINAL MENU - Pr'!K817="", "", 'AYIRA MINI MART FINAL MENU - Pr'!K817)</f>
        <v/>
      </c>
      <c r="L817" s="56" t="str">
        <f>IF('AYIRA MINI MART FINAL MENU - Pr'!L817="", "", 'AYIRA MINI MART FINAL MENU - Pr'!L817)</f>
        <v/>
      </c>
      <c r="M817" s="56" t="str">
        <f>IF('AYIRA MINI MART FINAL MENU - Pr'!M817="", "", 'AYIRA MINI MART FINAL MENU - Pr'!M817)</f>
        <v/>
      </c>
      <c r="N817" s="56" t="str">
        <f>IF('AYIRA MINI MART FINAL MENU - Pr'!N817="", "", 'AYIRA MINI MART FINAL MENU - Pr'!N817)</f>
        <v/>
      </c>
      <c r="O817" s="57"/>
      <c r="P817" s="57"/>
      <c r="Q817" s="57"/>
      <c r="R817" s="57"/>
      <c r="S817" s="57"/>
      <c r="T817" s="57"/>
      <c r="U817" s="57"/>
      <c r="V817" s="57"/>
      <c r="W817" s="57"/>
      <c r="X817" s="57"/>
      <c r="Y817" s="57"/>
      <c r="Z817" s="57"/>
    </row>
    <row r="818">
      <c r="A818" s="56" t="str">
        <f>IFERROR(__xludf.DUMMYFUNCTION("IF('AYIRA MINI MART FINAL MENU - Pr'!A818="""", """", IF(LEN(TRIM(REGEXREPLACE(REGEXREPLACE('AYIRA MINI MART FINAL MENU - Pr'!A818, ""^[^\x{0600}-\x{06FF}]+"", """"), ""^[-–\s]+"", """")))&gt;0, TRIM(REGEXREPLACE(REGEXREPLACE('AYIRA MINI MART FINAL MENU - Pr"&amp;"'!A818, ""^[^\x{0600}-\x{06FF}]+"", """"), ""^[-–\s]+"", """")), GOOGLETRANSLATE('AYIRA MINI MART FINAL MENU - Pr'!A818, ""en"", ""ar"")))"),"طبيعي Baked Almonds (36 غرام)")</f>
        <v>طبيعي Baked Almonds (36 غرام)</v>
      </c>
      <c r="B818" s="56" t="str">
        <f>IFERROR(__xludf.DUMMYFUNCTION("IF('AYIRA MINI MART FINAL MENU - Pr'!B818="""", """", IF(LEN(TRIM(REGEXREPLACE(REGEXREPLACE('AYIRA MINI MART FINAL MENU - Pr'!B818, ""^[^\x{0600}-\x{06FF}]+"", """"), ""^[-–\s]+"", """")))&gt;0, TRIM(REGEXREPLACE(REGEXREPLACE('AYIRA MINI MART FINAL MENU - Pr"&amp;"'!B818, ""^[^\x{0600}-\x{06FF}]+"", """"), ""^[-–\s]+"", """")), GOOGLETRANSLATE('AYIRA MINI MART FINAL MENU - Pr'!B818, ""en"", ""ar"")))"),"المكسرات والبذور")</f>
        <v>المكسرات والبذور</v>
      </c>
      <c r="C818" s="58">
        <f>IF('AYIRA MINI MART FINAL MENU - Pr'!C818="", "", 'AYIRA MINI MART FINAL MENU - Pr'!C818)</f>
        <v>5</v>
      </c>
      <c r="D818" s="58" t="str">
        <f>IF('AYIRA MINI MART FINAL MENU - Pr'!D818="", "", 'AYIRA MINI MART FINAL MENU - Pr'!D818)</f>
        <v>اختر Camel Natural Baked Almonds (36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818" s="56" t="str">
        <f>IF('AYIRA MINI MART FINAL MENU - Pr'!E818="", "", 'AYIRA MINI MART FINAL MENU - Pr'!E818)</f>
        <v/>
      </c>
      <c r="F818" s="56" t="str">
        <f>IF('AYIRA MINI MART FINAL MENU - Pr'!F818="", "", 'AYIRA MINI MART FINAL MENU - Pr'!F818)</f>
        <v/>
      </c>
      <c r="G818" s="56" t="str">
        <f>IF('AYIRA MINI MART FINAL MENU - Pr'!G818="", "", 'AYIRA MINI MART FINAL MENU - Pr'!G818)</f>
        <v/>
      </c>
      <c r="H818" s="56" t="str">
        <f>IF('AYIRA MINI MART FINAL MENU - Pr'!H818="", "", 'AYIRA MINI MART FINAL MENU - Pr'!H818)</f>
        <v/>
      </c>
      <c r="I818" s="56" t="str">
        <f>IF('AYIRA MINI MART FINAL MENU - Pr'!I818="", "", 'AYIRA MINI MART FINAL MENU - Pr'!I818)</f>
        <v/>
      </c>
      <c r="J818" s="56" t="str">
        <f>IFERROR(__xludf.DUMMYFUNCTION("IF('AYIRA MINI MART FINAL MENU - Pr'!J818="""", """", GOOGLETRANSLATE('AYIRA MINI MART FINAL MENU - Pr'!J818, ""en"", ""ar""))"),"")</f>
        <v/>
      </c>
      <c r="K818" s="56" t="str">
        <f>IF('AYIRA MINI MART FINAL MENU - Pr'!K818="", "", 'AYIRA MINI MART FINAL MENU - Pr'!K818)</f>
        <v/>
      </c>
      <c r="L818" s="56" t="str">
        <f>IF('AYIRA MINI MART FINAL MENU - Pr'!L818="", "", 'AYIRA MINI MART FINAL MENU - Pr'!L818)</f>
        <v/>
      </c>
      <c r="M818" s="56" t="str">
        <f>IF('AYIRA MINI MART FINAL MENU - Pr'!M818="", "", 'AYIRA MINI MART FINAL MENU - Pr'!M818)</f>
        <v/>
      </c>
      <c r="N818" s="56" t="str">
        <f>IF('AYIRA MINI MART FINAL MENU - Pr'!N818="", "", 'AYIRA MINI MART FINAL MENU - Pr'!N818)</f>
        <v/>
      </c>
      <c r="O818" s="57"/>
      <c r="P818" s="57"/>
      <c r="Q818" s="57"/>
      <c r="R818" s="57"/>
      <c r="S818" s="57"/>
      <c r="T818" s="57"/>
      <c r="U818" s="57"/>
      <c r="V818" s="57"/>
      <c r="W818" s="57"/>
      <c r="X818" s="57"/>
      <c r="Y818" s="57"/>
      <c r="Z818" s="57"/>
    </row>
    <row r="819">
      <c r="A819" s="56" t="str">
        <f>IFERROR(__xludf.DUMMYFUNCTION("IF('AYIRA MINI MART FINAL MENU - Pr'!A819="""", """", IF(LEN(TRIM(REGEXREPLACE(REGEXREPLACE('AYIRA MINI MART FINAL MENU - Pr'!A819, ""^[^\x{0600}-\x{06FF}]+"", """"), ""^[-–\s]+"", """")))&gt;0, TRIM(REGEXREPLACE(REGEXREPLACE('AYIRA MINI MART FINAL MENU - Pr"&amp;"'!A819, ""^[^\x{0600}-\x{06FF}]+"", """"), ""^[-–\s]+"", """")), GOOGLETRANSLATE('AYIRA MINI MART FINAL MENU - Pr'!A819, ""en"", ""ar"")))"),"طبيعي Smoked Almonds (36 غرام)")</f>
        <v>طبيعي Smoked Almonds (36 غرام)</v>
      </c>
      <c r="B819" s="56" t="str">
        <f>IFERROR(__xludf.DUMMYFUNCTION("IF('AYIRA MINI MART FINAL MENU - Pr'!B819="""", """", IF(LEN(TRIM(REGEXREPLACE(REGEXREPLACE('AYIRA MINI MART FINAL MENU - Pr'!B819, ""^[^\x{0600}-\x{06FF}]+"", """"), ""^[-–\s]+"", """")))&gt;0, TRIM(REGEXREPLACE(REGEXREPLACE('AYIRA MINI MART FINAL MENU - Pr"&amp;"'!B819, ""^[^\x{0600}-\x{06FF}]+"", """"), ""^[-–\s]+"", """")), GOOGLETRANSLATE('AYIRA MINI MART FINAL MENU - Pr'!B819, ""en"", ""ar"")))"),"المكسرات والبذور")</f>
        <v>المكسرات والبذور</v>
      </c>
      <c r="C819" s="58">
        <f>IF('AYIRA MINI MART FINAL MENU - Pr'!C819="", "", 'AYIRA MINI MART FINAL MENU - Pr'!C819)</f>
        <v>5.5</v>
      </c>
      <c r="D819" s="58" t="str">
        <f>IF('AYIRA MINI MART FINAL MENU - Pr'!D819="", "", 'AYIRA MINI MART FINAL MENU - Pr'!D819)</f>
        <v>اختر Camel Natural Smoked Almonds (36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819" s="56" t="str">
        <f>IF('AYIRA MINI MART FINAL MENU - Pr'!E819="", "", 'AYIRA MINI MART FINAL MENU - Pr'!E819)</f>
        <v/>
      </c>
      <c r="F819" s="56" t="str">
        <f>IF('AYIRA MINI MART FINAL MENU - Pr'!F819="", "", 'AYIRA MINI MART FINAL MENU - Pr'!F819)</f>
        <v/>
      </c>
      <c r="G819" s="56" t="str">
        <f>IF('AYIRA MINI MART FINAL MENU - Pr'!G819="", "", 'AYIRA MINI MART FINAL MENU - Pr'!G819)</f>
        <v/>
      </c>
      <c r="H819" s="56" t="str">
        <f>IF('AYIRA MINI MART FINAL MENU - Pr'!H819="", "", 'AYIRA MINI MART FINAL MENU - Pr'!H819)</f>
        <v/>
      </c>
      <c r="I819" s="56" t="str">
        <f>IF('AYIRA MINI MART FINAL MENU - Pr'!I819="", "", 'AYIRA MINI MART FINAL MENU - Pr'!I819)</f>
        <v/>
      </c>
      <c r="J819" s="56" t="str">
        <f>IFERROR(__xludf.DUMMYFUNCTION("IF('AYIRA MINI MART FINAL MENU - Pr'!J819="""", """", GOOGLETRANSLATE('AYIRA MINI MART FINAL MENU - Pr'!J819, ""en"", ""ar""))"),"")</f>
        <v/>
      </c>
      <c r="K819" s="56" t="str">
        <f>IF('AYIRA MINI MART FINAL MENU - Pr'!K819="", "", 'AYIRA MINI MART FINAL MENU - Pr'!K819)</f>
        <v/>
      </c>
      <c r="L819" s="56" t="str">
        <f>IF('AYIRA MINI MART FINAL MENU - Pr'!L819="", "", 'AYIRA MINI MART FINAL MENU - Pr'!L819)</f>
        <v/>
      </c>
      <c r="M819" s="56" t="str">
        <f>IF('AYIRA MINI MART FINAL MENU - Pr'!M819="", "", 'AYIRA MINI MART FINAL MENU - Pr'!M819)</f>
        <v/>
      </c>
      <c r="N819" s="56" t="str">
        <f>IF('AYIRA MINI MART FINAL MENU - Pr'!N819="", "", 'AYIRA MINI MART FINAL MENU - Pr'!N819)</f>
        <v/>
      </c>
      <c r="O819" s="57"/>
      <c r="P819" s="57"/>
      <c r="Q819" s="57"/>
      <c r="R819" s="57"/>
      <c r="S819" s="57"/>
      <c r="T819" s="57"/>
      <c r="U819" s="57"/>
      <c r="V819" s="57"/>
      <c r="W819" s="57"/>
      <c r="X819" s="57"/>
      <c r="Y819" s="57"/>
      <c r="Z819" s="57"/>
    </row>
    <row r="820">
      <c r="A820" s="56" t="str">
        <f>IFERROR(__xludf.DUMMYFUNCTION("IF('AYIRA MINI MART FINAL MENU - Pr'!A820="""", """", IF(LEN(TRIM(REGEXREPLACE(REGEXREPLACE('AYIRA MINI MART FINAL MENU - Pr'!A820, ""^[^\x{0600}-\x{06FF}]+"", """"), ""^[-–\s]+"", """")))&gt;0, TRIM(REGEXREPLACE(REGEXREPLACE('AYIRA MINI MART FINAL MENU - Pr"&amp;"'!A820, ""^[^\x{0600}-\x{06FF}]+"", """"), ""^[-–\s]+"", """")), GOOGLETRANSLATE('AYIRA MINI MART FINAL MENU - Pr'!A820, ""en"", ""ar"")))"),"محمص Peanuts (36 غرام)")</f>
        <v>محمص Peanuts (36 غرام)</v>
      </c>
      <c r="B820" s="56" t="str">
        <f>IFERROR(__xludf.DUMMYFUNCTION("IF('AYIRA MINI MART FINAL MENU - Pr'!B820="""", """", IF(LEN(TRIM(REGEXREPLACE(REGEXREPLACE('AYIRA MINI MART FINAL MENU - Pr'!B820, ""^[^\x{0600}-\x{06FF}]+"", """"), ""^[-–\s]+"", """")))&gt;0, TRIM(REGEXREPLACE(REGEXREPLACE('AYIRA MINI MART FINAL MENU - Pr"&amp;"'!B820, ""^[^\x{0600}-\x{06FF}]+"", """"), ""^[-–\s]+"", """")), GOOGLETRANSLATE('AYIRA MINI MART FINAL MENU - Pr'!B820, ""en"", ""ar"")))"),"المكسرات والبذور")</f>
        <v>المكسرات والبذور</v>
      </c>
      <c r="C820" s="58">
        <f>IF('AYIRA MINI MART FINAL MENU - Pr'!C820="", "", 'AYIRA MINI MART FINAL MENU - Pr'!C820)</f>
        <v>3</v>
      </c>
      <c r="D820" s="58" t="str">
        <f>IF('AYIRA MINI MART FINAL MENU - Pr'!D820="", "", 'AYIRA MINI MART FINAL MENU - Pr'!D820)</f>
        <v>اختر Camel Roasted Peanuts (36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820" s="56" t="str">
        <f>IF('AYIRA MINI MART FINAL MENU - Pr'!E820="", "", 'AYIRA MINI MART FINAL MENU - Pr'!E820)</f>
        <v/>
      </c>
      <c r="F820" s="56" t="str">
        <f>IF('AYIRA MINI MART FINAL MENU - Pr'!F820="", "", 'AYIRA MINI MART FINAL MENU - Pr'!F820)</f>
        <v/>
      </c>
      <c r="G820" s="56" t="str">
        <f>IF('AYIRA MINI MART FINAL MENU - Pr'!G820="", "", 'AYIRA MINI MART FINAL MENU - Pr'!G820)</f>
        <v/>
      </c>
      <c r="H820" s="56" t="str">
        <f>IF('AYIRA MINI MART FINAL MENU - Pr'!H820="", "", 'AYIRA MINI MART FINAL MENU - Pr'!H820)</f>
        <v/>
      </c>
      <c r="I820" s="56" t="str">
        <f>IF('AYIRA MINI MART FINAL MENU - Pr'!I820="", "", 'AYIRA MINI MART FINAL MENU - Pr'!I820)</f>
        <v/>
      </c>
      <c r="J820" s="56" t="str">
        <f>IFERROR(__xludf.DUMMYFUNCTION("IF('AYIRA MINI MART FINAL MENU - Pr'!J820="""", """", GOOGLETRANSLATE('AYIRA MINI MART FINAL MENU - Pr'!J820, ""en"", ""ar""))"),"")</f>
        <v/>
      </c>
      <c r="K820" s="56" t="str">
        <f>IF('AYIRA MINI MART FINAL MENU - Pr'!K820="", "", 'AYIRA MINI MART FINAL MENU - Pr'!K820)</f>
        <v/>
      </c>
      <c r="L820" s="56" t="str">
        <f>IF('AYIRA MINI MART FINAL MENU - Pr'!L820="", "", 'AYIRA MINI MART FINAL MENU - Pr'!L820)</f>
        <v/>
      </c>
      <c r="M820" s="56" t="str">
        <f>IF('AYIRA MINI MART FINAL MENU - Pr'!M820="", "", 'AYIRA MINI MART FINAL MENU - Pr'!M820)</f>
        <v/>
      </c>
      <c r="N820" s="56" t="str">
        <f>IF('AYIRA MINI MART FINAL MENU - Pr'!N820="", "", 'AYIRA MINI MART FINAL MENU - Pr'!N820)</f>
        <v/>
      </c>
      <c r="O820" s="57"/>
      <c r="P820" s="57"/>
      <c r="Q820" s="57"/>
      <c r="R820" s="57"/>
      <c r="S820" s="57"/>
      <c r="T820" s="57"/>
      <c r="U820" s="57"/>
      <c r="V820" s="57"/>
      <c r="W820" s="57"/>
      <c r="X820" s="57"/>
      <c r="Y820" s="57"/>
      <c r="Z820" s="57"/>
    </row>
    <row r="821">
      <c r="A821" s="56" t="str">
        <f>IFERROR(__xludf.DUMMYFUNCTION("IF('AYIRA MINI MART FINAL MENU - Pr'!A821="""", """", IF(LEN(TRIM(REGEXREPLACE(REGEXREPLACE('AYIRA MINI MART FINAL MENU - Pr'!A821, ""^[^\x{0600}-\x{06FF}]+"", """"), ""^[-–\s]+"", """")))&gt;0, TRIM(REGEXREPLACE(REGEXREPLACE('AYIRA MINI MART FINAL MENU - Pr"&amp;"'!A821, ""^[^\x{0600}-\x{06FF}]+"", """"), ""^[-–\s]+"", """")), GOOGLETRANSLATE('AYIRA MINI MART FINAL MENU - Pr'!A821, ""en"", ""ar"")))"),"بازيلاء (36 غرام)")</f>
        <v>بازيلاء (36 غرام)</v>
      </c>
      <c r="B821" s="56" t="str">
        <f>IFERROR(__xludf.DUMMYFUNCTION("IF('AYIRA MINI MART FINAL MENU - Pr'!B821="""", """", IF(LEN(TRIM(REGEXREPLACE(REGEXREPLACE('AYIRA MINI MART FINAL MENU - Pr'!B821, ""^[^\x{0600}-\x{06FF}]+"", """"), ""^[-–\s]+"", """")))&gt;0, TRIM(REGEXREPLACE(REGEXREPLACE('AYIRA MINI MART FINAL MENU - Pr"&amp;"'!B821, ""^[^\x{0600}-\x{06FF}]+"", """"), ""^[-–\s]+"", """")), GOOGLETRANSLATE('AYIRA MINI MART FINAL MENU - Pr'!B821, ""en"", ""ar"")))"),"المكسرات والبذور")</f>
        <v>المكسرات والبذور</v>
      </c>
      <c r="C821" s="58">
        <f>IF('AYIRA MINI MART FINAL MENU - Pr'!C821="", "", 'AYIRA MINI MART FINAL MENU - Pr'!C821)</f>
        <v>3.5</v>
      </c>
      <c r="D821" s="58" t="str">
        <f>IF('AYIRA MINI MART FINAL MENU - Pr'!D821="", "", 'AYIRA MINI MART FINAL MENU - Pr'!D821)</f>
        <v>لا تقاوم طعم Camel Green Peas (36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21" s="56" t="str">
        <f>IF('AYIRA MINI MART FINAL MENU - Pr'!E821="", "", 'AYIRA MINI MART FINAL MENU - Pr'!E821)</f>
        <v/>
      </c>
      <c r="F821" s="56" t="str">
        <f>IF('AYIRA MINI MART FINAL MENU - Pr'!F821="", "", 'AYIRA MINI MART FINAL MENU - Pr'!F821)</f>
        <v/>
      </c>
      <c r="G821" s="56" t="str">
        <f>IF('AYIRA MINI MART FINAL MENU - Pr'!G821="", "", 'AYIRA MINI MART FINAL MENU - Pr'!G821)</f>
        <v/>
      </c>
      <c r="H821" s="56" t="str">
        <f>IF('AYIRA MINI MART FINAL MENU - Pr'!H821="", "", 'AYIRA MINI MART FINAL MENU - Pr'!H821)</f>
        <v/>
      </c>
      <c r="I821" s="56" t="str">
        <f>IF('AYIRA MINI MART FINAL MENU - Pr'!I821="", "", 'AYIRA MINI MART FINAL MENU - Pr'!I821)</f>
        <v/>
      </c>
      <c r="J821" s="56" t="str">
        <f>IFERROR(__xludf.DUMMYFUNCTION("IF('AYIRA MINI MART FINAL MENU - Pr'!J821="""", """", GOOGLETRANSLATE('AYIRA MINI MART FINAL MENU - Pr'!J821, ""en"", ""ar""))"),"")</f>
        <v/>
      </c>
      <c r="K821" s="56" t="str">
        <f>IF('AYIRA MINI MART FINAL MENU - Pr'!K821="", "", 'AYIRA MINI MART FINAL MENU - Pr'!K821)</f>
        <v/>
      </c>
      <c r="L821" s="56" t="str">
        <f>IF('AYIRA MINI MART FINAL MENU - Pr'!L821="", "", 'AYIRA MINI MART FINAL MENU - Pr'!L821)</f>
        <v/>
      </c>
      <c r="M821" s="56" t="str">
        <f>IF('AYIRA MINI MART FINAL MENU - Pr'!M821="", "", 'AYIRA MINI MART FINAL MENU - Pr'!M821)</f>
        <v/>
      </c>
      <c r="N821" s="56" t="str">
        <f>IF('AYIRA MINI MART FINAL MENU - Pr'!N821="", "", 'AYIRA MINI MART FINAL MENU - Pr'!N821)</f>
        <v/>
      </c>
      <c r="O821" s="57"/>
      <c r="P821" s="57"/>
      <c r="Q821" s="57"/>
      <c r="R821" s="57"/>
      <c r="S821" s="57"/>
      <c r="T821" s="57"/>
      <c r="U821" s="57"/>
      <c r="V821" s="57"/>
      <c r="W821" s="57"/>
      <c r="X821" s="57"/>
      <c r="Y821" s="57"/>
      <c r="Z821" s="57"/>
    </row>
    <row r="822">
      <c r="A822" s="56" t="str">
        <f>IFERROR(__xludf.DUMMYFUNCTION("IF('AYIRA MINI MART FINAL MENU - Pr'!A822="""", """", IF(LEN(TRIM(REGEXREPLACE(REGEXREPLACE('AYIRA MINI MART FINAL MENU - Pr'!A822, ""^[^\x{0600}-\x{06FF}]+"", """"), ""^[-–\s]+"", """")))&gt;0, TRIM(REGEXREPLACE(REGEXREPLACE('AYIRA MINI MART FINAL MENU - Pr"&amp;"'!A822, ""^[^\x{0600}-\x{06FF}]+"", """"), ""^[-–\s]+"", """")), GOOGLETRANSLATE('AYIRA MINI MART FINAL MENU - Pr'!A822, ""en"", ""ar"")))"),"مشكل Snacks (36 غرام)")</f>
        <v>مشكل Snacks (36 غرام)</v>
      </c>
      <c r="B822" s="56" t="str">
        <f>IFERROR(__xludf.DUMMYFUNCTION("IF('AYIRA MINI MART FINAL MENU - Pr'!B822="""", """", IF(LEN(TRIM(REGEXREPLACE(REGEXREPLACE('AYIRA MINI MART FINAL MENU - Pr'!B822, ""^[^\x{0600}-\x{06FF}]+"", """"), ""^[-–\s]+"", """")))&gt;0, TRIM(REGEXREPLACE(REGEXREPLACE('AYIRA MINI MART FINAL MENU - Pr"&amp;"'!B822, ""^[^\x{0600}-\x{06FF}]+"", """"), ""^[-–\s]+"", """")), GOOGLETRANSLATE('AYIRA MINI MART FINAL MENU - Pr'!B822, ""en"", ""ar"")))"),"المكسرات والبذور")</f>
        <v>المكسرات والبذور</v>
      </c>
      <c r="C822" s="58">
        <f>IF('AYIRA MINI MART FINAL MENU - Pr'!C822="", "", 'AYIRA MINI MART FINAL MENU - Pr'!C822)</f>
        <v>3</v>
      </c>
      <c r="D822" s="58" t="str">
        <f>IF('AYIRA MINI MART FINAL MENU - Pr'!D822="", "", 'AYIRA MINI MART FINAL MENU - Pr'!D822)</f>
        <v>لا تقاوم طعم Camel Mixed Snacks (36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22" s="56" t="str">
        <f>IF('AYIRA MINI MART FINAL MENU - Pr'!E822="", "", 'AYIRA MINI MART FINAL MENU - Pr'!E822)</f>
        <v/>
      </c>
      <c r="F822" s="56" t="str">
        <f>IF('AYIRA MINI MART FINAL MENU - Pr'!F822="", "", 'AYIRA MINI MART FINAL MENU - Pr'!F822)</f>
        <v/>
      </c>
      <c r="G822" s="56" t="str">
        <f>IF('AYIRA MINI MART FINAL MENU - Pr'!G822="", "", 'AYIRA MINI MART FINAL MENU - Pr'!G822)</f>
        <v/>
      </c>
      <c r="H822" s="56" t="str">
        <f>IF('AYIRA MINI MART FINAL MENU - Pr'!H822="", "", 'AYIRA MINI MART FINAL MENU - Pr'!H822)</f>
        <v/>
      </c>
      <c r="I822" s="56" t="str">
        <f>IF('AYIRA MINI MART FINAL MENU - Pr'!I822="", "", 'AYIRA MINI MART FINAL MENU - Pr'!I822)</f>
        <v/>
      </c>
      <c r="J822" s="56" t="str">
        <f>IFERROR(__xludf.DUMMYFUNCTION("IF('AYIRA MINI MART FINAL MENU - Pr'!J822="""", """", GOOGLETRANSLATE('AYIRA MINI MART FINAL MENU - Pr'!J822, ""en"", ""ar""))"),"")</f>
        <v/>
      </c>
      <c r="K822" s="56" t="str">
        <f>IF('AYIRA MINI MART FINAL MENU - Pr'!K822="", "", 'AYIRA MINI MART FINAL MENU - Pr'!K822)</f>
        <v/>
      </c>
      <c r="L822" s="56" t="str">
        <f>IF('AYIRA MINI MART FINAL MENU - Pr'!L822="", "", 'AYIRA MINI MART FINAL MENU - Pr'!L822)</f>
        <v/>
      </c>
      <c r="M822" s="56" t="str">
        <f>IF('AYIRA MINI MART FINAL MENU - Pr'!M822="", "", 'AYIRA MINI MART FINAL MENU - Pr'!M822)</f>
        <v/>
      </c>
      <c r="N822" s="56" t="str">
        <f>IF('AYIRA MINI MART FINAL MENU - Pr'!N822="", "", 'AYIRA MINI MART FINAL MENU - Pr'!N822)</f>
        <v/>
      </c>
      <c r="O822" s="57"/>
      <c r="P822" s="57"/>
      <c r="Q822" s="57"/>
      <c r="R822" s="57"/>
      <c r="S822" s="57"/>
      <c r="T822" s="57"/>
      <c r="U822" s="57"/>
      <c r="V822" s="57"/>
      <c r="W822" s="57"/>
      <c r="X822" s="57"/>
      <c r="Y822" s="57"/>
      <c r="Z822" s="57"/>
    </row>
    <row r="823">
      <c r="A823" s="56" t="str">
        <f>IFERROR(__xludf.DUMMYFUNCTION("IF('AYIRA MINI MART FINAL MENU - Pr'!A823="""", """", IF(LEN(TRIM(REGEXREPLACE(REGEXREPLACE('AYIRA MINI MART FINAL MENU - Pr'!A823, ""^[^\x{0600}-\x{06FF}]+"", """"), ""^[-–\s]+"", """")))&gt;0, TRIM(REGEXREPLACE(REGEXREPLACE('AYIRA MINI MART FINAL MENU - Pr"&amp;"'!A823, ""^[^\x{0600}-\x{06FF}]+"", """"), ""^[-–\s]+"", """")), GOOGLETRANSLATE('AYIRA MINI MART FINAL MENU - Pr'!A823, ""en"", ""ar"")))"),"بران رينج موروكو – أسلوب كيرالا")</f>
        <v>بران رينج موروكو – أسلوب كيرالا</v>
      </c>
      <c r="B823" s="56" t="str">
        <f>IFERROR(__xludf.DUMMYFUNCTION("IF('AYIRA MINI MART FINAL MENU - Pr'!B823="""", """", IF(LEN(TRIM(REGEXREPLACE(REGEXREPLACE('AYIRA MINI MART FINAL MENU - Pr'!B823, ""^[^\x{0600}-\x{06FF}]+"", """"), ""^[-–\s]+"", """")))&gt;0, TRIM(REGEXREPLACE(REGEXREPLACE('AYIRA MINI MART FINAL MENU - Pr"&amp;"'!B823, ""^[^\x{0600}-\x{06FF}]+"", """"), ""^[-–\s]+"", """")), GOOGLETRANSLATE('AYIRA MINI MART FINAL MENU - Pr'!B823, ""en"", ""ar"")))"),"وجبات خفيفة 🍿")</f>
        <v>وجبات خفيفة 🍿</v>
      </c>
      <c r="C823" s="58">
        <f>IF('AYIRA MINI MART FINAL MENU - Pr'!C823="", "", 'AYIRA MINI MART FINAL MENU - Pr'!C823)</f>
        <v>4</v>
      </c>
      <c r="D823" s="58" t="str">
        <f>IF('AYIRA MINI MART FINAL MENU - Pr'!D823="", "", 'AYIRA MINI MART FINAL MENU - Pr'!D823)</f>
        <v>لا تقاوم طعم Pran Ring Murukku – Kerala Style،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23" s="56" t="str">
        <f>IF('AYIRA MINI MART FINAL MENU - Pr'!E823="", "", 'AYIRA MINI MART FINAL MENU - Pr'!E823)</f>
        <v/>
      </c>
      <c r="F823" s="56" t="str">
        <f>IF('AYIRA MINI MART FINAL MENU - Pr'!F823="", "", 'AYIRA MINI MART FINAL MENU - Pr'!F823)</f>
        <v/>
      </c>
      <c r="G823" s="56" t="str">
        <f>IF('AYIRA MINI MART FINAL MENU - Pr'!G823="", "", 'AYIRA MINI MART FINAL MENU - Pr'!G823)</f>
        <v/>
      </c>
      <c r="H823" s="56" t="str">
        <f>IF('AYIRA MINI MART FINAL MENU - Pr'!H823="", "", 'AYIRA MINI MART FINAL MENU - Pr'!H823)</f>
        <v/>
      </c>
      <c r="I823" s="56" t="str">
        <f>IF('AYIRA MINI MART FINAL MENU - Pr'!I823="", "", 'AYIRA MINI MART FINAL MENU - Pr'!I823)</f>
        <v/>
      </c>
      <c r="J823" s="56" t="str">
        <f>IFERROR(__xludf.DUMMYFUNCTION("IF('AYIRA MINI MART FINAL MENU - Pr'!J823="""", """", GOOGLETRANSLATE('AYIRA MINI MART FINAL MENU - Pr'!J823, ""en"", ""ar""))"),"يخفي")</f>
        <v>يخفي</v>
      </c>
      <c r="K823" s="56" t="str">
        <f>IF('AYIRA MINI MART FINAL MENU - Pr'!K823="", "", 'AYIRA MINI MART FINAL MENU - Pr'!K823)</f>
        <v/>
      </c>
      <c r="L823" s="56" t="str">
        <f>IF('AYIRA MINI MART FINAL MENU - Pr'!L823="", "", 'AYIRA MINI MART FINAL MENU - Pr'!L823)</f>
        <v/>
      </c>
      <c r="M823" s="56" t="str">
        <f>IF('AYIRA MINI MART FINAL MENU - Pr'!M823="", "", 'AYIRA MINI MART FINAL MENU - Pr'!M823)</f>
        <v/>
      </c>
      <c r="N823" s="56" t="str">
        <f>IF('AYIRA MINI MART FINAL MENU - Pr'!N823="", "", 'AYIRA MINI MART FINAL MENU - Pr'!N823)</f>
        <v/>
      </c>
      <c r="O823" s="57"/>
      <c r="P823" s="57"/>
      <c r="Q823" s="57"/>
      <c r="R823" s="57"/>
      <c r="S823" s="57"/>
      <c r="T823" s="57"/>
      <c r="U823" s="57"/>
      <c r="V823" s="57"/>
      <c r="W823" s="57"/>
      <c r="X823" s="57"/>
      <c r="Y823" s="57"/>
      <c r="Z823" s="57"/>
    </row>
    <row r="824">
      <c r="A824" s="56" t="str">
        <f>IFERROR(__xludf.DUMMYFUNCTION("IF('AYIRA MINI MART FINAL MENU - Pr'!A824="""", """", IF(LEN(TRIM(REGEXREPLACE(REGEXREPLACE('AYIRA MINI MART FINAL MENU - Pr'!A824, ""^[^\x{0600}-\x{06FF}]+"", """"), ""^[-–\s]+"", """")))&gt;0, TRIM(REGEXREPLACE(REGEXREPLACE('AYIRA MINI MART FINAL MENU - Pr"&amp;"'!A824, ""^[^\x{0600}-\x{06FF}]+"", """"), ""^[-–\s]+"", """")), GOOGLETRANSLATE('AYIRA MINI MART FINAL MENU - Pr'!A824, ""en"", ""ar"")))"),"شيبس – 125 غرام")</f>
        <v>شيبس – 125 غرام</v>
      </c>
      <c r="B824" s="56" t="str">
        <f>IFERROR(__xludf.DUMMYFUNCTION("IF('AYIRA MINI MART FINAL MENU - Pr'!B824="""", """", IF(LEN(TRIM(REGEXREPLACE(REGEXREPLACE('AYIRA MINI MART FINAL MENU - Pr'!B824, ""^[^\x{0600}-\x{06FF}]+"", """"), ""^[-–\s]+"", """")))&gt;0, TRIM(REGEXREPLACE(REGEXREPLACE('AYIRA MINI MART FINAL MENU - Pr"&amp;"'!B824, ""^[^\x{0600}-\x{06FF}]+"", """"), ""^[-–\s]+"", """")), GOOGLETRANSLATE('AYIRA MINI MART FINAL MENU - Pr'!B824, ""en"", ""ar"")))"),"وجبات خفيفة 🍿")</f>
        <v>وجبات خفيفة 🍿</v>
      </c>
      <c r="C824" s="58">
        <f>IF('AYIRA MINI MART FINAL MENU - Pr'!C824="", "", 'AYIRA MINI MART FINAL MENU - Pr'!C824)</f>
        <v>4.5</v>
      </c>
      <c r="D824" s="58" t="str">
        <f>IF('AYIRA MINI MART FINAL MENU - Pr'!D824="", "", 'AYIRA MINI MART FINAL MENU - Pr'!D824)</f>
        <v>لا تقاوم طعم Star Fries Tapioca Chips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24" s="56" t="str">
        <f>IF('AYIRA MINI MART FINAL MENU - Pr'!E824="", "", 'AYIRA MINI MART FINAL MENU - Pr'!E824)</f>
        <v/>
      </c>
      <c r="F824" s="56" t="str">
        <f>IF('AYIRA MINI MART FINAL MENU - Pr'!F824="", "", 'AYIRA MINI MART FINAL MENU - Pr'!F824)</f>
        <v/>
      </c>
      <c r="G824" s="56" t="str">
        <f>IF('AYIRA MINI MART FINAL MENU - Pr'!G824="", "", 'AYIRA MINI MART FINAL MENU - Pr'!G824)</f>
        <v/>
      </c>
      <c r="H824" s="56" t="str">
        <f>IF('AYIRA MINI MART FINAL MENU - Pr'!H824="", "", 'AYIRA MINI MART FINAL MENU - Pr'!H824)</f>
        <v/>
      </c>
      <c r="I824" s="56" t="str">
        <f>IF('AYIRA MINI MART FINAL MENU - Pr'!I824="", "", 'AYIRA MINI MART FINAL MENU - Pr'!I824)</f>
        <v/>
      </c>
      <c r="J824" s="56" t="str">
        <f>IFERROR(__xludf.DUMMYFUNCTION("IF('AYIRA MINI MART FINAL MENU - Pr'!J824="""", """", GOOGLETRANSLATE('AYIRA MINI MART FINAL MENU - Pr'!J824, ""en"", ""ar""))"),"يخفي")</f>
        <v>يخفي</v>
      </c>
      <c r="K824" s="56" t="str">
        <f>IF('AYIRA MINI MART FINAL MENU - Pr'!K824="", "", 'AYIRA MINI MART FINAL MENU - Pr'!K824)</f>
        <v/>
      </c>
      <c r="L824" s="56" t="str">
        <f>IF('AYIRA MINI MART FINAL MENU - Pr'!L824="", "", 'AYIRA MINI MART FINAL MENU - Pr'!L824)</f>
        <v/>
      </c>
      <c r="M824" s="56" t="str">
        <f>IF('AYIRA MINI MART FINAL MENU - Pr'!M824="", "", 'AYIRA MINI MART FINAL MENU - Pr'!M824)</f>
        <v/>
      </c>
      <c r="N824" s="56" t="str">
        <f>IF('AYIRA MINI MART FINAL MENU - Pr'!N824="", "", 'AYIRA MINI MART FINAL MENU - Pr'!N824)</f>
        <v/>
      </c>
      <c r="O824" s="57"/>
      <c r="P824" s="57"/>
      <c r="Q824" s="57"/>
      <c r="R824" s="57"/>
      <c r="S824" s="57"/>
      <c r="T824" s="57"/>
      <c r="U824" s="57"/>
      <c r="V824" s="57"/>
      <c r="W824" s="57"/>
      <c r="X824" s="57"/>
      <c r="Y824" s="57"/>
      <c r="Z824" s="57"/>
    </row>
    <row r="825">
      <c r="A825" s="56" t="str">
        <f>IFERROR(__xludf.DUMMYFUNCTION("IF('AYIRA MINI MART FINAL MENU - Pr'!A825="""", """", IF(LEN(TRIM(REGEXREPLACE(REGEXREPLACE('AYIRA MINI MART FINAL MENU - Pr'!A825, ""^[^\x{0600}-\x{06FF}]+"", """"), ""^[-–\s]+"", """")))&gt;0, TRIM(REGEXREPLACE(REGEXREPLACE('AYIRA MINI MART FINAL MENU - Pr"&amp;"'!A825, ""^[^\x{0600}-\x{06FF}]+"", """"), ""^[-–\s]+"", """")), GOOGLETRANSLATE('AYIRA MINI MART FINAL MENU - Pr'!A825, ""en"", ""ar"")))"),"شيبس – 125 غرام")</f>
        <v>شيبس – 125 غرام</v>
      </c>
      <c r="B825" s="56" t="str">
        <f>IFERROR(__xludf.DUMMYFUNCTION("IF('AYIRA MINI MART FINAL MENU - Pr'!B825="""", """", IF(LEN(TRIM(REGEXREPLACE(REGEXREPLACE('AYIRA MINI MART FINAL MENU - Pr'!B825, ""^[^\x{0600}-\x{06FF}]+"", """"), ""^[-–\s]+"", """")))&gt;0, TRIM(REGEXREPLACE(REGEXREPLACE('AYIRA MINI MART FINAL MENU - Pr"&amp;"'!B825, ""^[^\x{0600}-\x{06FF}]+"", """"), ""^[-–\s]+"", """")), GOOGLETRANSLATE('AYIRA MINI MART FINAL MENU - Pr'!B825, ""en"", ""ar"")))"),"وجبات خفيفة 🍿")</f>
        <v>وجبات خفيفة 🍿</v>
      </c>
      <c r="C825" s="58">
        <f>IF('AYIRA MINI MART FINAL MENU - Pr'!C825="", "", 'AYIRA MINI MART FINAL MENU - Pr'!C825)</f>
        <v>5</v>
      </c>
      <c r="D825" s="58" t="str">
        <f>IF('AYIRA MINI MART FINAL MENU - Pr'!D825="", "", 'AYIRA MINI MART FINAL MENU - Pr'!D825)</f>
        <v>لا تقاوم طعم Star Fries Fruit Banana Chips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25" s="56" t="str">
        <f>IF('AYIRA MINI MART FINAL MENU - Pr'!E825="", "", 'AYIRA MINI MART FINAL MENU - Pr'!E825)</f>
        <v/>
      </c>
      <c r="F825" s="56" t="str">
        <f>IF('AYIRA MINI MART FINAL MENU - Pr'!F825="", "", 'AYIRA MINI MART FINAL MENU - Pr'!F825)</f>
        <v/>
      </c>
      <c r="G825" s="56" t="str">
        <f>IF('AYIRA MINI MART FINAL MENU - Pr'!G825="", "", 'AYIRA MINI MART FINAL MENU - Pr'!G825)</f>
        <v/>
      </c>
      <c r="H825" s="56" t="str">
        <f>IF('AYIRA MINI MART FINAL MENU - Pr'!H825="", "", 'AYIRA MINI MART FINAL MENU - Pr'!H825)</f>
        <v/>
      </c>
      <c r="I825" s="56" t="str">
        <f>IF('AYIRA MINI MART FINAL MENU - Pr'!I825="", "", 'AYIRA MINI MART FINAL MENU - Pr'!I825)</f>
        <v/>
      </c>
      <c r="J825" s="56" t="str">
        <f>IFERROR(__xludf.DUMMYFUNCTION("IF('AYIRA MINI MART FINAL MENU - Pr'!J825="""", """", GOOGLETRANSLATE('AYIRA MINI MART FINAL MENU - Pr'!J825, ""en"", ""ar""))"),"يخفي")</f>
        <v>يخفي</v>
      </c>
      <c r="K825" s="56" t="str">
        <f>IF('AYIRA MINI MART FINAL MENU - Pr'!K825="", "", 'AYIRA MINI MART FINAL MENU - Pr'!K825)</f>
        <v/>
      </c>
      <c r="L825" s="56" t="str">
        <f>IF('AYIRA MINI MART FINAL MENU - Pr'!L825="", "", 'AYIRA MINI MART FINAL MENU - Pr'!L825)</f>
        <v/>
      </c>
      <c r="M825" s="56" t="str">
        <f>IF('AYIRA MINI MART FINAL MENU - Pr'!M825="", "", 'AYIRA MINI MART FINAL MENU - Pr'!M825)</f>
        <v/>
      </c>
      <c r="N825" s="56" t="str">
        <f>IF('AYIRA MINI MART FINAL MENU - Pr'!N825="", "", 'AYIRA MINI MART FINAL MENU - Pr'!N825)</f>
        <v/>
      </c>
      <c r="O825" s="57"/>
      <c r="P825" s="57"/>
      <c r="Q825" s="57"/>
      <c r="R825" s="57"/>
      <c r="S825" s="57"/>
      <c r="T825" s="57"/>
      <c r="U825" s="57"/>
      <c r="V825" s="57"/>
      <c r="W825" s="57"/>
      <c r="X825" s="57"/>
      <c r="Y825" s="57"/>
      <c r="Z825" s="57"/>
    </row>
    <row r="826">
      <c r="A826" s="56" t="str">
        <f>IFERROR(__xludf.DUMMYFUNCTION("IF('AYIRA MINI MART FINAL MENU - Pr'!A826="""", """", IF(LEN(TRIM(REGEXREPLACE(REGEXREPLACE('AYIRA MINI MART FINAL MENU - Pr'!A826, ""^[^\x{0600}-\x{06FF}]+"", """"), ""^[-–\s]+"", """")))&gt;0, TRIM(REGEXREPLACE(REGEXREPLACE('AYIRA MINI MART FINAL MENU - Pr"&amp;"'!A826, ""^[^\x{0600}-\x{06FF}]+"", """"), ""^[-–\s]+"", """")), GOOGLETRANSLATE('AYIRA MINI MART FINAL MENU - Pr'!A826, ""en"", ""ar"")))"),"شيبس – 125 غرام")</f>
        <v>شيبس – 125 غرام</v>
      </c>
      <c r="B826" s="56" t="str">
        <f>IFERROR(__xludf.DUMMYFUNCTION("IF('AYIRA MINI MART FINAL MENU - Pr'!B826="""", """", IF(LEN(TRIM(REGEXREPLACE(REGEXREPLACE('AYIRA MINI MART FINAL MENU - Pr'!B826, ""^[^\x{0600}-\x{06FF}]+"", """"), ""^[-–\s]+"", """")))&gt;0, TRIM(REGEXREPLACE(REGEXREPLACE('AYIRA MINI MART FINAL MENU - Pr"&amp;"'!B826, ""^[^\x{0600}-\x{06FF}]+"", """"), ""^[-–\s]+"", """")), GOOGLETRANSLATE('AYIRA MINI MART FINAL MENU - Pr'!B826, ""en"", ""ar"")))"),"وجبات خفيفة 🍿")</f>
        <v>وجبات خفيفة 🍿</v>
      </c>
      <c r="C826" s="58">
        <f>IF('AYIRA MINI MART FINAL MENU - Pr'!C826="", "", 'AYIRA MINI MART FINAL MENU - Pr'!C826)</f>
        <v>5</v>
      </c>
      <c r="D826" s="58" t="str">
        <f>IF('AYIRA MINI MART FINAL MENU - Pr'!D826="", "", 'AYIRA MINI MART FINAL MENU - Pr'!D826)</f>
        <v>لا تقاوم طعم Star Fries Jackfruit Chips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26" s="56" t="str">
        <f>IF('AYIRA MINI MART FINAL MENU - Pr'!E826="", "", 'AYIRA MINI MART FINAL MENU - Pr'!E826)</f>
        <v/>
      </c>
      <c r="F826" s="56" t="str">
        <f>IF('AYIRA MINI MART FINAL MENU - Pr'!F826="", "", 'AYIRA MINI MART FINAL MENU - Pr'!F826)</f>
        <v/>
      </c>
      <c r="G826" s="56" t="str">
        <f>IF('AYIRA MINI MART FINAL MENU - Pr'!G826="", "", 'AYIRA MINI MART FINAL MENU - Pr'!G826)</f>
        <v/>
      </c>
      <c r="H826" s="56" t="str">
        <f>IF('AYIRA MINI MART FINAL MENU - Pr'!H826="", "", 'AYIRA MINI MART FINAL MENU - Pr'!H826)</f>
        <v/>
      </c>
      <c r="I826" s="56" t="str">
        <f>IF('AYIRA MINI MART FINAL MENU - Pr'!I826="", "", 'AYIRA MINI MART FINAL MENU - Pr'!I826)</f>
        <v/>
      </c>
      <c r="J826" s="56" t="str">
        <f>IFERROR(__xludf.DUMMYFUNCTION("IF('AYIRA MINI MART FINAL MENU - Pr'!J826="""", """", GOOGLETRANSLATE('AYIRA MINI MART FINAL MENU - Pr'!J826, ""en"", ""ar""))"),"يخفي")</f>
        <v>يخفي</v>
      </c>
      <c r="K826" s="56" t="str">
        <f>IF('AYIRA MINI MART FINAL MENU - Pr'!K826="", "", 'AYIRA MINI MART FINAL MENU - Pr'!K826)</f>
        <v/>
      </c>
      <c r="L826" s="56" t="str">
        <f>IF('AYIRA MINI MART FINAL MENU - Pr'!L826="", "", 'AYIRA MINI MART FINAL MENU - Pr'!L826)</f>
        <v/>
      </c>
      <c r="M826" s="56" t="str">
        <f>IF('AYIRA MINI MART FINAL MENU - Pr'!M826="", "", 'AYIRA MINI MART FINAL MENU - Pr'!M826)</f>
        <v/>
      </c>
      <c r="N826" s="56" t="str">
        <f>IF('AYIRA MINI MART FINAL MENU - Pr'!N826="", "", 'AYIRA MINI MART FINAL MENU - Pr'!N826)</f>
        <v/>
      </c>
      <c r="O826" s="57"/>
      <c r="P826" s="57"/>
      <c r="Q826" s="57"/>
      <c r="R826" s="57"/>
      <c r="S826" s="57"/>
      <c r="T826" s="57"/>
      <c r="U826" s="57"/>
      <c r="V826" s="57"/>
      <c r="W826" s="57"/>
      <c r="X826" s="57"/>
      <c r="Y826" s="57"/>
      <c r="Z826" s="57"/>
    </row>
    <row r="827">
      <c r="A827" s="56" t="str">
        <f>IFERROR(__xludf.DUMMYFUNCTION("IF('AYIRA MINI MART FINAL MENU - Pr'!A827="""", """", IF(LEN(TRIM(REGEXREPLACE(REGEXREPLACE('AYIRA MINI MART FINAL MENU - Pr'!A827, ""^[^\x{0600}-\x{06FF}]+"", """"), ""^[-–\s]+"", """")))&gt;0, TRIM(REGEXREPLACE(REGEXREPLACE('AYIRA MINI MART FINAL MENU - Pr"&amp;"'!A827, ""^[^\x{0600}-\x{06FF}]+"", """"), ""^[-–\s]+"", """")), GOOGLETRANSLATE('AYIRA MINI MART FINAL MENU - Pr'!A827, ""en"", ""ar"")))"),"غرام")</f>
        <v>غرام</v>
      </c>
      <c r="B827" s="56" t="str">
        <f>IFERROR(__xludf.DUMMYFUNCTION("IF('AYIRA MINI MART FINAL MENU - Pr'!B827="""", """", IF(LEN(TRIM(REGEXREPLACE(REGEXREPLACE('AYIRA MINI MART FINAL MENU - Pr'!B827, ""^[^\x{0600}-\x{06FF}]+"", """"), ""^[-–\s]+"", """")))&gt;0, TRIM(REGEXREPLACE(REGEXREPLACE('AYIRA MINI MART FINAL MENU - Pr"&amp;"'!B827, ""^[^\x{0600}-\x{06FF}]+"", """"), ""^[-–\s]+"", """")), GOOGLETRANSLATE('AYIRA MINI MART FINAL MENU - Pr'!B827, ""en"", ""ar"")))"),"وجبات خفيفة 🍿")</f>
        <v>وجبات خفيفة 🍿</v>
      </c>
      <c r="C827" s="58">
        <f>IF('AYIRA MINI MART FINAL MENU - Pr'!C827="", "", 'AYIRA MINI MART FINAL MENU - Pr'!C827)</f>
        <v>4.5</v>
      </c>
      <c r="D827" s="58" t="str">
        <f>IF('AYIRA MINI MART FINAL MENU - Pr'!D827="", "", 'AYIRA MINI MART FINAL MENU - Pr'!D827)</f>
        <v>لا تقاوم طعم Star Fries Indian Mixture – 200g،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27" s="56" t="str">
        <f>IF('AYIRA MINI MART FINAL MENU - Pr'!E827="", "", 'AYIRA MINI MART FINAL MENU - Pr'!E827)</f>
        <v/>
      </c>
      <c r="F827" s="56" t="str">
        <f>IF('AYIRA MINI MART FINAL MENU - Pr'!F827="", "", 'AYIRA MINI MART FINAL MENU - Pr'!F827)</f>
        <v/>
      </c>
      <c r="G827" s="56" t="str">
        <f>IF('AYIRA MINI MART FINAL MENU - Pr'!G827="", "", 'AYIRA MINI MART FINAL MENU - Pr'!G827)</f>
        <v/>
      </c>
      <c r="H827" s="56" t="str">
        <f>IF('AYIRA MINI MART FINAL MENU - Pr'!H827="", "", 'AYIRA MINI MART FINAL MENU - Pr'!H827)</f>
        <v/>
      </c>
      <c r="I827" s="56" t="str">
        <f>IF('AYIRA MINI MART FINAL MENU - Pr'!I827="", "", 'AYIRA MINI MART FINAL MENU - Pr'!I827)</f>
        <v/>
      </c>
      <c r="J827" s="56" t="str">
        <f>IFERROR(__xludf.DUMMYFUNCTION("IF('AYIRA MINI MART FINAL MENU - Pr'!J827="""", """", GOOGLETRANSLATE('AYIRA MINI MART FINAL MENU - Pr'!J827, ""en"", ""ar""))"),"يخفي")</f>
        <v>يخفي</v>
      </c>
      <c r="K827" s="56" t="str">
        <f>IF('AYIRA MINI MART FINAL MENU - Pr'!K827="", "", 'AYIRA MINI MART FINAL MENU - Pr'!K827)</f>
        <v/>
      </c>
      <c r="L827" s="56" t="str">
        <f>IF('AYIRA MINI MART FINAL MENU - Pr'!L827="", "", 'AYIRA MINI MART FINAL MENU - Pr'!L827)</f>
        <v/>
      </c>
      <c r="M827" s="56" t="str">
        <f>IF('AYIRA MINI MART FINAL MENU - Pr'!M827="", "", 'AYIRA MINI MART FINAL MENU - Pr'!M827)</f>
        <v/>
      </c>
      <c r="N827" s="56" t="str">
        <f>IF('AYIRA MINI MART FINAL MENU - Pr'!N827="", "", 'AYIRA MINI MART FINAL MENU - Pr'!N827)</f>
        <v/>
      </c>
      <c r="O827" s="57"/>
      <c r="P827" s="57"/>
      <c r="Q827" s="57"/>
      <c r="R827" s="57"/>
      <c r="S827" s="57"/>
      <c r="T827" s="57"/>
      <c r="U827" s="57"/>
      <c r="V827" s="57"/>
      <c r="W827" s="57"/>
      <c r="X827" s="57"/>
      <c r="Y827" s="57"/>
      <c r="Z827" s="57"/>
    </row>
    <row r="828">
      <c r="A828" s="56" t="str">
        <f>IFERROR(__xludf.DUMMYFUNCTION("IF('AYIRA MINI MART FINAL MENU - Pr'!A828="""", """", IF(LEN(TRIM(REGEXREPLACE(REGEXREPLACE('AYIRA MINI MART FINAL MENU - Pr'!A828, ""^[^\x{0600}-\x{06FF}]+"", """"), ""^[-–\s]+"", """")))&gt;0, TRIM(REGEXREPLACE(REGEXREPLACE('AYIRA MINI MART FINAL MENU - Pr"&amp;"'!A828, ""^[^\x{0600}-\x{06FF}]+"", """"), ""^[-–\s]+"", """")), GOOGLETRANSLATE('AYIRA MINI MART FINAL MENU - Pr'!A828, ""en"", ""ar"")))"),"عصا – 125 غرام")</f>
        <v>عصا – 125 غرام</v>
      </c>
      <c r="B828" s="56" t="str">
        <f>IFERROR(__xludf.DUMMYFUNCTION("IF('AYIRA MINI MART FINAL MENU - Pr'!B828="""", """", IF(LEN(TRIM(REGEXREPLACE(REGEXREPLACE('AYIRA MINI MART FINAL MENU - Pr'!B828, ""^[^\x{0600}-\x{06FF}]+"", """"), ""^[-–\s]+"", """")))&gt;0, TRIM(REGEXREPLACE(REGEXREPLACE('AYIRA MINI MART FINAL MENU - Pr"&amp;"'!B828, ""^[^\x{0600}-\x{06FF}]+"", """"), ""^[-–\s]+"", """")), GOOGLETRANSLATE('AYIRA MINI MART FINAL MENU - Pr'!B828, ""en"", ""ar"")))"),"وجبات خفيفة 🍿")</f>
        <v>وجبات خفيفة 🍿</v>
      </c>
      <c r="C828" s="58">
        <f>IF('AYIRA MINI MART FINAL MENU - Pr'!C828="", "", 'AYIRA MINI MART FINAL MENU - Pr'!C828)</f>
        <v>4.5</v>
      </c>
      <c r="D828" s="58" t="str">
        <f>IF('AYIRA MINI MART FINAL MENU - Pr'!D828="", "", 'AYIRA MINI MART FINAL MENU - Pr'!D828)</f>
        <v>لا تقاوم طعم Star Fries Tapioca Stick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28" s="56" t="str">
        <f>IF('AYIRA MINI MART FINAL MENU - Pr'!E828="", "", 'AYIRA MINI MART FINAL MENU - Pr'!E828)</f>
        <v/>
      </c>
      <c r="F828" s="56" t="str">
        <f>IF('AYIRA MINI MART FINAL MENU - Pr'!F828="", "", 'AYIRA MINI MART FINAL MENU - Pr'!F828)</f>
        <v/>
      </c>
      <c r="G828" s="56" t="str">
        <f>IF('AYIRA MINI MART FINAL MENU - Pr'!G828="", "", 'AYIRA MINI MART FINAL MENU - Pr'!G828)</f>
        <v/>
      </c>
      <c r="H828" s="56" t="str">
        <f>IF('AYIRA MINI MART FINAL MENU - Pr'!H828="", "", 'AYIRA MINI MART FINAL MENU - Pr'!H828)</f>
        <v/>
      </c>
      <c r="I828" s="56" t="str">
        <f>IF('AYIRA MINI MART FINAL MENU - Pr'!I828="", "", 'AYIRA MINI MART FINAL MENU - Pr'!I828)</f>
        <v/>
      </c>
      <c r="J828" s="56" t="str">
        <f>IFERROR(__xludf.DUMMYFUNCTION("IF('AYIRA MINI MART FINAL MENU - Pr'!J828="""", """", GOOGLETRANSLATE('AYIRA MINI MART FINAL MENU - Pr'!J828, ""en"", ""ar""))"),"يخفي")</f>
        <v>يخفي</v>
      </c>
      <c r="K828" s="56" t="str">
        <f>IF('AYIRA MINI MART FINAL MENU - Pr'!K828="", "", 'AYIRA MINI MART FINAL MENU - Pr'!K828)</f>
        <v/>
      </c>
      <c r="L828" s="56" t="str">
        <f>IF('AYIRA MINI MART FINAL MENU - Pr'!L828="", "", 'AYIRA MINI MART FINAL MENU - Pr'!L828)</f>
        <v/>
      </c>
      <c r="M828" s="56" t="str">
        <f>IF('AYIRA MINI MART FINAL MENU - Pr'!M828="", "", 'AYIRA MINI MART FINAL MENU - Pr'!M828)</f>
        <v/>
      </c>
      <c r="N828" s="56" t="str">
        <f>IF('AYIRA MINI MART FINAL MENU - Pr'!N828="", "", 'AYIRA MINI MART FINAL MENU - Pr'!N828)</f>
        <v/>
      </c>
      <c r="O828" s="57"/>
      <c r="P828" s="57"/>
      <c r="Q828" s="57"/>
      <c r="R828" s="57"/>
      <c r="S828" s="57"/>
      <c r="T828" s="57"/>
      <c r="U828" s="57"/>
      <c r="V828" s="57"/>
      <c r="W828" s="57"/>
      <c r="X828" s="57"/>
      <c r="Y828" s="57"/>
      <c r="Z828" s="57"/>
    </row>
    <row r="829">
      <c r="A829" s="56" t="str">
        <f>IFERROR(__xludf.DUMMYFUNCTION("IF('AYIRA MINI MART FINAL MENU - Pr'!A829="""", """", IF(LEN(TRIM(REGEXREPLACE(REGEXREPLACE('AYIRA MINI MART FINAL MENU - Pr'!A829, ""^[^\x{0600}-\x{06FF}]+"", """"), ""^[-–\s]+"", """")))&gt;0, TRIM(REGEXREPLACE(REGEXREPLACE('AYIRA MINI MART FINAL MENU - Pr"&amp;"'!A829, ""^[^\x{0600}-\x{06FF}]+"", """"), ""^[-–\s]+"", """")), GOOGLETRANSLATE('AYIRA MINI MART FINAL MENU - Pr'!A829, ""en"", ""ar"")))"),"غرام")</f>
        <v>غرام</v>
      </c>
      <c r="B829" s="56" t="str">
        <f>IFERROR(__xludf.DUMMYFUNCTION("IF('AYIRA MINI MART FINAL MENU - Pr'!B829="""", """", IF(LEN(TRIM(REGEXREPLACE(REGEXREPLACE('AYIRA MINI MART FINAL MENU - Pr'!B829, ""^[^\x{0600}-\x{06FF}]+"", """"), ""^[-–\s]+"", """")))&gt;0, TRIM(REGEXREPLACE(REGEXREPLACE('AYIRA MINI MART FINAL MENU - Pr"&amp;"'!B829, ""^[^\x{0600}-\x{06FF}]+"", """"), ""^[-–\s]+"", """")), GOOGLETRANSLATE('AYIRA MINI MART FINAL MENU - Pr'!B829, ""en"", ""ar"")))"),"وجبات خفيفة 🍿")</f>
        <v>وجبات خفيفة 🍿</v>
      </c>
      <c r="C829" s="58">
        <f>IF('AYIRA MINI MART FINAL MENU - Pr'!C829="", "", 'AYIRA MINI MART FINAL MENU - Pr'!C829)</f>
        <v>4.5</v>
      </c>
      <c r="D829" s="58" t="str">
        <f>IF('AYIRA MINI MART FINAL MENU - Pr'!D829="", "", 'AYIRA MINI MART FINAL MENU - Pr'!D829)</f>
        <v>لا تقاوم طعم Star Fries Garlic Murukku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29" s="56" t="str">
        <f>IF('AYIRA MINI MART FINAL MENU - Pr'!E829="", "", 'AYIRA MINI MART FINAL MENU - Pr'!E829)</f>
        <v/>
      </c>
      <c r="F829" s="56" t="str">
        <f>IF('AYIRA MINI MART FINAL MENU - Pr'!F829="", "", 'AYIRA MINI MART FINAL MENU - Pr'!F829)</f>
        <v/>
      </c>
      <c r="G829" s="56" t="str">
        <f>IF('AYIRA MINI MART FINAL MENU - Pr'!G829="", "", 'AYIRA MINI MART FINAL MENU - Pr'!G829)</f>
        <v/>
      </c>
      <c r="H829" s="56" t="str">
        <f>IF('AYIRA MINI MART FINAL MENU - Pr'!H829="", "", 'AYIRA MINI MART FINAL MENU - Pr'!H829)</f>
        <v/>
      </c>
      <c r="I829" s="56" t="str">
        <f>IF('AYIRA MINI MART FINAL MENU - Pr'!I829="", "", 'AYIRA MINI MART FINAL MENU - Pr'!I829)</f>
        <v/>
      </c>
      <c r="J829" s="56" t="str">
        <f>IFERROR(__xludf.DUMMYFUNCTION("IF('AYIRA MINI MART FINAL MENU - Pr'!J829="""", """", GOOGLETRANSLATE('AYIRA MINI MART FINAL MENU - Pr'!J829, ""en"", ""ar""))"),"يخفي")</f>
        <v>يخفي</v>
      </c>
      <c r="K829" s="56" t="str">
        <f>IF('AYIRA MINI MART FINAL MENU - Pr'!K829="", "", 'AYIRA MINI MART FINAL MENU - Pr'!K829)</f>
        <v/>
      </c>
      <c r="L829" s="56" t="str">
        <f>IF('AYIRA MINI MART FINAL MENU - Pr'!L829="", "", 'AYIRA MINI MART FINAL MENU - Pr'!L829)</f>
        <v/>
      </c>
      <c r="M829" s="56" t="str">
        <f>IF('AYIRA MINI MART FINAL MENU - Pr'!M829="", "", 'AYIRA MINI MART FINAL MENU - Pr'!M829)</f>
        <v/>
      </c>
      <c r="N829" s="56" t="str">
        <f>IF('AYIRA MINI MART FINAL MENU - Pr'!N829="", "", 'AYIRA MINI MART FINAL MENU - Pr'!N829)</f>
        <v/>
      </c>
      <c r="O829" s="57"/>
      <c r="P829" s="57"/>
      <c r="Q829" s="57"/>
      <c r="R829" s="57"/>
      <c r="S829" s="57"/>
      <c r="T829" s="57"/>
      <c r="U829" s="57"/>
      <c r="V829" s="57"/>
      <c r="W829" s="57"/>
      <c r="X829" s="57"/>
      <c r="Y829" s="57"/>
      <c r="Z829" s="57"/>
    </row>
    <row r="830">
      <c r="A830" s="56" t="str">
        <f>IFERROR(__xludf.DUMMYFUNCTION("IF('AYIRA MINI MART FINAL MENU - Pr'!A830="""", """", IF(LEN(TRIM(REGEXREPLACE(REGEXREPLACE('AYIRA MINI MART FINAL MENU - Pr'!A830, ""^[^\x{0600}-\x{06FF}]+"", """"), ""^[-–\s]+"", """")))&gt;0, TRIM(REGEXREPLACE(REGEXREPLACE('AYIRA MINI MART FINAL MENU - Pr"&amp;"'!A830, ""^[^\x{0600}-\x{06FF}]+"", """"), ""^[-–\s]+"", """")), GOOGLETRANSLATE('AYIRA MINI MART FINAL MENU - Pr'!A830, ""en"", ""ar"")))"),"شيبس – 125 غرام")</f>
        <v>شيبس – 125 غرام</v>
      </c>
      <c r="B830" s="56" t="str">
        <f>IFERROR(__xludf.DUMMYFUNCTION("IF('AYIRA MINI MART FINAL MENU - Pr'!B830="""", """", IF(LEN(TRIM(REGEXREPLACE(REGEXREPLACE('AYIRA MINI MART FINAL MENU - Pr'!B830, ""^[^\x{0600}-\x{06FF}]+"", """"), ""^[-–\s]+"", """")))&gt;0, TRIM(REGEXREPLACE(REGEXREPLACE('AYIRA MINI MART FINAL MENU - Pr"&amp;"'!B830, ""^[^\x{0600}-\x{06FF}]+"", """"), ""^[-–\s]+"", """")), GOOGLETRANSLATE('AYIRA MINI MART FINAL MENU - Pr'!B830, ""en"", ""ar"")))"),"وجبات خفيفة 🍿")</f>
        <v>وجبات خفيفة 🍿</v>
      </c>
      <c r="C830" s="58">
        <f>IF('AYIRA MINI MART FINAL MENU - Pr'!C830="", "", 'AYIRA MINI MART FINAL MENU - Pr'!C830)</f>
        <v>5</v>
      </c>
      <c r="D830" s="58" t="str">
        <f>IF('AYIRA MINI MART FINAL MENU - Pr'!D830="", "", 'AYIRA MINI MART FINAL MENU - Pr'!D830)</f>
        <v>لا تقاوم طعم Star Fries Banana Chips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30" s="56" t="str">
        <f>IF('AYIRA MINI MART FINAL MENU - Pr'!E830="", "", 'AYIRA MINI MART FINAL MENU - Pr'!E830)</f>
        <v/>
      </c>
      <c r="F830" s="56" t="str">
        <f>IF('AYIRA MINI MART FINAL MENU - Pr'!F830="", "", 'AYIRA MINI MART FINAL MENU - Pr'!F830)</f>
        <v/>
      </c>
      <c r="G830" s="56" t="str">
        <f>IF('AYIRA MINI MART FINAL MENU - Pr'!G830="", "", 'AYIRA MINI MART FINAL MENU - Pr'!G830)</f>
        <v/>
      </c>
      <c r="H830" s="56" t="str">
        <f>IF('AYIRA MINI MART FINAL MENU - Pr'!H830="", "", 'AYIRA MINI MART FINAL MENU - Pr'!H830)</f>
        <v/>
      </c>
      <c r="I830" s="56" t="str">
        <f>IF('AYIRA MINI MART FINAL MENU - Pr'!I830="", "", 'AYIRA MINI MART FINAL MENU - Pr'!I830)</f>
        <v/>
      </c>
      <c r="J830" s="56" t="str">
        <f>IFERROR(__xludf.DUMMYFUNCTION("IF('AYIRA MINI MART FINAL MENU - Pr'!J830="""", """", GOOGLETRANSLATE('AYIRA MINI MART FINAL MENU - Pr'!J830, ""en"", ""ar""))"),"يخفي")</f>
        <v>يخفي</v>
      </c>
      <c r="K830" s="56" t="str">
        <f>IF('AYIRA MINI MART FINAL MENU - Pr'!K830="", "", 'AYIRA MINI MART FINAL MENU - Pr'!K830)</f>
        <v/>
      </c>
      <c r="L830" s="56" t="str">
        <f>IF('AYIRA MINI MART FINAL MENU - Pr'!L830="", "", 'AYIRA MINI MART FINAL MENU - Pr'!L830)</f>
        <v/>
      </c>
      <c r="M830" s="56" t="str">
        <f>IF('AYIRA MINI MART FINAL MENU - Pr'!M830="", "", 'AYIRA MINI MART FINAL MENU - Pr'!M830)</f>
        <v/>
      </c>
      <c r="N830" s="56" t="str">
        <f>IF('AYIRA MINI MART FINAL MENU - Pr'!N830="", "", 'AYIRA MINI MART FINAL MENU - Pr'!N830)</f>
        <v/>
      </c>
      <c r="O830" s="57"/>
      <c r="P830" s="57"/>
      <c r="Q830" s="57"/>
      <c r="R830" s="57"/>
      <c r="S830" s="57"/>
      <c r="T830" s="57"/>
      <c r="U830" s="57"/>
      <c r="V830" s="57"/>
      <c r="W830" s="57"/>
      <c r="X830" s="57"/>
      <c r="Y830" s="57"/>
      <c r="Z830" s="57"/>
    </row>
    <row r="831">
      <c r="A831" s="56" t="str">
        <f>IFERROR(__xludf.DUMMYFUNCTION("IF('AYIRA MINI MART FINAL MENU - Pr'!A831="""", """", IF(LEN(TRIM(REGEXREPLACE(REGEXREPLACE('AYIRA MINI MART FINAL MENU - Pr'!A831, ""^[^\x{0600}-\x{06FF}]+"", """"), ""^[-–\s]+"", """")))&gt;0, TRIM(REGEXREPLACE(REGEXREPLACE('AYIRA MINI MART FINAL MENU - Pr"&amp;"'!A831, ""^[^\x{0600}-\x{06FF}]+"", """"), ""^[-–\s]+"", """")), GOOGLETRANSLATE('AYIRA MINI MART FINAL MENU - Pr'!A831, ""en"", ""ar"")))"),"غرام")</f>
        <v>غرام</v>
      </c>
      <c r="B831" s="56" t="str">
        <f>IFERROR(__xludf.DUMMYFUNCTION("IF('AYIRA MINI MART FINAL MENU - Pr'!B831="""", """", IF(LEN(TRIM(REGEXREPLACE(REGEXREPLACE('AYIRA MINI MART FINAL MENU - Pr'!B831, ""^[^\x{0600}-\x{06FF}]+"", """"), ""^[-–\s]+"", """")))&gt;0, TRIM(REGEXREPLACE(REGEXREPLACE('AYIRA MINI MART FINAL MENU - Pr"&amp;"'!B831, ""^[^\x{0600}-\x{06FF}]+"", """"), ""^[-–\s]+"", """")), GOOGLETRANSLATE('AYIRA MINI MART FINAL MENU - Pr'!B831, ""en"", ""ar"")))"),"وجبات خفيفة 🍿")</f>
        <v>وجبات خفيفة 🍿</v>
      </c>
      <c r="C831" s="58">
        <f>IF('AYIRA MINI MART FINAL MENU - Pr'!C831="", "", 'AYIRA MINI MART FINAL MENU - Pr'!C831)</f>
        <v>2</v>
      </c>
      <c r="D831" s="58" t="str">
        <f>IF('AYIRA MINI MART FINAL MENU - Pr'!D831="", "", 'AYIRA MINI MART FINAL MENU - Pr'!D831)</f>
        <v>لا تقاوم طعم Topsy Ola Pakkavada – 100g،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31" s="56" t="str">
        <f>IF('AYIRA MINI MART FINAL MENU - Pr'!E831="", "", 'AYIRA MINI MART FINAL MENU - Pr'!E831)</f>
        <v/>
      </c>
      <c r="F831" s="56" t="str">
        <f>IF('AYIRA MINI MART FINAL MENU - Pr'!F831="", "", 'AYIRA MINI MART FINAL MENU - Pr'!F831)</f>
        <v/>
      </c>
      <c r="G831" s="56" t="str">
        <f>IF('AYIRA MINI MART FINAL MENU - Pr'!G831="", "", 'AYIRA MINI MART FINAL MENU - Pr'!G831)</f>
        <v/>
      </c>
      <c r="H831" s="56" t="str">
        <f>IF('AYIRA MINI MART FINAL MENU - Pr'!H831="", "", 'AYIRA MINI MART FINAL MENU - Pr'!H831)</f>
        <v/>
      </c>
      <c r="I831" s="56" t="str">
        <f>IF('AYIRA MINI MART FINAL MENU - Pr'!I831="", "", 'AYIRA MINI MART FINAL MENU - Pr'!I831)</f>
        <v/>
      </c>
      <c r="J831" s="56" t="str">
        <f>IFERROR(__xludf.DUMMYFUNCTION("IF('AYIRA MINI MART FINAL MENU - Pr'!J831="""", """", GOOGLETRANSLATE('AYIRA MINI MART FINAL MENU - Pr'!J831, ""en"", ""ar""))"),"يخفي")</f>
        <v>يخفي</v>
      </c>
      <c r="K831" s="56" t="str">
        <f>IF('AYIRA MINI MART FINAL MENU - Pr'!K831="", "", 'AYIRA MINI MART FINAL MENU - Pr'!K831)</f>
        <v/>
      </c>
      <c r="L831" s="56" t="str">
        <f>IF('AYIRA MINI MART FINAL MENU - Pr'!L831="", "", 'AYIRA MINI MART FINAL MENU - Pr'!L831)</f>
        <v/>
      </c>
      <c r="M831" s="56" t="str">
        <f>IF('AYIRA MINI MART FINAL MENU - Pr'!M831="", "", 'AYIRA MINI MART FINAL MENU - Pr'!M831)</f>
        <v/>
      </c>
      <c r="N831" s="56" t="str">
        <f>IF('AYIRA MINI MART FINAL MENU - Pr'!N831="", "", 'AYIRA MINI MART FINAL MENU - Pr'!N831)</f>
        <v/>
      </c>
      <c r="O831" s="57"/>
      <c r="P831" s="57"/>
      <c r="Q831" s="57"/>
      <c r="R831" s="57"/>
      <c r="S831" s="57"/>
      <c r="T831" s="57"/>
      <c r="U831" s="57"/>
      <c r="V831" s="57"/>
      <c r="W831" s="57"/>
      <c r="X831" s="57"/>
      <c r="Y831" s="57"/>
      <c r="Z831" s="57"/>
    </row>
    <row r="832">
      <c r="A832" s="56" t="str">
        <f>IFERROR(__xludf.DUMMYFUNCTION("IF('AYIRA MINI MART FINAL MENU - Pr'!A832="""", """", IF(LEN(TRIM(REGEXREPLACE(REGEXREPLACE('AYIRA MINI MART FINAL MENU - Pr'!A832, ""^[^\x{0600}-\x{06FF}]+"", """"), ""^[-–\s]+"", """")))&gt;0, TRIM(REGEXREPLACE(REGEXREPLACE('AYIRA MINI MART FINAL MENU - Pr"&amp;"'!A832, ""^[^\x{0600}-\x{06FF}]+"", """"), ""^[-–\s]+"", """")), GOOGLETRANSLATE('AYIRA MINI MART FINAL MENU - Pr'!A832, ""en"", ""ar"")))"),"غرام")</f>
        <v>غرام</v>
      </c>
      <c r="B832" s="56" t="str">
        <f>IFERROR(__xludf.DUMMYFUNCTION("IF('AYIRA MINI MART FINAL MENU - Pr'!B832="""", """", IF(LEN(TRIM(REGEXREPLACE(REGEXREPLACE('AYIRA MINI MART FINAL MENU - Pr'!B832, ""^[^\x{0600}-\x{06FF}]+"", """"), ""^[-–\s]+"", """")))&gt;0, TRIM(REGEXREPLACE(REGEXREPLACE('AYIRA MINI MART FINAL MENU - Pr"&amp;"'!B832, ""^[^\x{0600}-\x{06FF}]+"", """"), ""^[-–\s]+"", """")), GOOGLETRANSLATE('AYIRA MINI MART FINAL MENU - Pr'!B832, ""en"", ""ar"")))"),"وجبات خفيفة 🍿")</f>
        <v>وجبات خفيفة 🍿</v>
      </c>
      <c r="C832" s="58">
        <f>IF('AYIRA MINI MART FINAL MENU - Pr'!C832="", "", 'AYIRA MINI MART FINAL MENU - Pr'!C832)</f>
        <v>4</v>
      </c>
      <c r="D832" s="58" t="str">
        <f>IF('AYIRA MINI MART FINAL MENU - Pr'!D832="", "", 'AYIRA MINI MART FINAL MENU - Pr'!D832)</f>
        <v>لا تقاوم طعم Star Fries Malabar Murukku – 125g،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32" s="56" t="str">
        <f>IF('AYIRA MINI MART FINAL MENU - Pr'!E832="", "", 'AYIRA MINI MART FINAL MENU - Pr'!E832)</f>
        <v/>
      </c>
      <c r="F832" s="56" t="str">
        <f>IF('AYIRA MINI MART FINAL MENU - Pr'!F832="", "", 'AYIRA MINI MART FINAL MENU - Pr'!F832)</f>
        <v/>
      </c>
      <c r="G832" s="56" t="str">
        <f>IF('AYIRA MINI MART FINAL MENU - Pr'!G832="", "", 'AYIRA MINI MART FINAL MENU - Pr'!G832)</f>
        <v/>
      </c>
      <c r="H832" s="56" t="str">
        <f>IF('AYIRA MINI MART FINAL MENU - Pr'!H832="", "", 'AYIRA MINI MART FINAL MENU - Pr'!H832)</f>
        <v/>
      </c>
      <c r="I832" s="56" t="str">
        <f>IF('AYIRA MINI MART FINAL MENU - Pr'!I832="", "", 'AYIRA MINI MART FINAL MENU - Pr'!I832)</f>
        <v/>
      </c>
      <c r="J832" s="56" t="str">
        <f>IFERROR(__xludf.DUMMYFUNCTION("IF('AYIRA MINI MART FINAL MENU - Pr'!J832="""", """", GOOGLETRANSLATE('AYIRA MINI MART FINAL MENU - Pr'!J832, ""en"", ""ar""))"),"يخفي")</f>
        <v>يخفي</v>
      </c>
      <c r="K832" s="56" t="str">
        <f>IF('AYIRA MINI MART FINAL MENU - Pr'!K832="", "", 'AYIRA MINI MART FINAL MENU - Pr'!K832)</f>
        <v/>
      </c>
      <c r="L832" s="56" t="str">
        <f>IF('AYIRA MINI MART FINAL MENU - Pr'!L832="", "", 'AYIRA MINI MART FINAL MENU - Pr'!L832)</f>
        <v/>
      </c>
      <c r="M832" s="56" t="str">
        <f>IF('AYIRA MINI MART FINAL MENU - Pr'!M832="", "", 'AYIRA MINI MART FINAL MENU - Pr'!M832)</f>
        <v/>
      </c>
      <c r="N832" s="56" t="str">
        <f>IF('AYIRA MINI MART FINAL MENU - Pr'!N832="", "", 'AYIRA MINI MART FINAL MENU - Pr'!N832)</f>
        <v/>
      </c>
      <c r="O832" s="57"/>
      <c r="P832" s="57"/>
      <c r="Q832" s="57"/>
      <c r="R832" s="57"/>
      <c r="S832" s="57"/>
      <c r="T832" s="57"/>
      <c r="U832" s="57"/>
      <c r="V832" s="57"/>
      <c r="W832" s="57"/>
      <c r="X832" s="57"/>
      <c r="Y832" s="57"/>
      <c r="Z832" s="57"/>
    </row>
    <row r="833">
      <c r="A833" s="56" t="str">
        <f>IFERROR(__xludf.DUMMYFUNCTION("IF('AYIRA MINI MART FINAL MENU - Pr'!A833="""", """", IF(LEN(TRIM(REGEXREPLACE(REGEXREPLACE('AYIRA MINI MART FINAL MENU - Pr'!A833, ""^[^\x{0600}-\x{06FF}]+"", """"), ""^[-–\s]+"", """")))&gt;0, TRIM(REGEXREPLACE(REGEXREPLACE('AYIRA MINI MART FINAL MENU - Pr"&amp;"'!A833, ""^[^\x{0600}-\x{06FF}]+"", """"), ""^[-–\s]+"", """")), GOOGLETRANSLATE('AYIRA MINI MART FINAL MENU - Pr'!A833, ""en"", ""ar"")))"),"مشكل مكسرات 100 غرام")</f>
        <v>مشكل مكسرات 100 غرام</v>
      </c>
      <c r="B833" s="56" t="str">
        <f>IFERROR(__xludf.DUMMYFUNCTION("IF('AYIRA MINI MART FINAL MENU - Pr'!B833="""", """", IF(LEN(TRIM(REGEXREPLACE(REGEXREPLACE('AYIRA MINI MART FINAL MENU - Pr'!B833, ""^[^\x{0600}-\x{06FF}]+"", """"), ""^[-–\s]+"", """")))&gt;0, TRIM(REGEXREPLACE(REGEXREPLACE('AYIRA MINI MART FINAL MENU - Pr"&amp;"'!B833, ""^[^\x{0600}-\x{06FF}]+"", """"), ""^[-–\s]+"", """")), GOOGLETRANSLATE('AYIRA MINI MART FINAL MENU - Pr'!B833, ""en"", ""ar"")))"),"وجبات خفيفة 🍿")</f>
        <v>وجبات خفيفة 🍿</v>
      </c>
      <c r="C833" s="58">
        <f>IF('AYIRA MINI MART FINAL MENU - Pr'!C833="", "", 'AYIRA MINI MART FINAL MENU - Pr'!C833)</f>
        <v>2</v>
      </c>
      <c r="D833" s="58" t="str">
        <f>IF('AYIRA MINI MART FINAL MENU - Pr'!D833="", "", 'AYIRA MINI MART FINAL MENU - Pr'!D833)</f>
        <v>اختر Topsy Mixed Nuts 100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833" s="56" t="str">
        <f>IF('AYIRA MINI MART FINAL MENU - Pr'!E833="", "", 'AYIRA MINI MART FINAL MENU - Pr'!E833)</f>
        <v/>
      </c>
      <c r="F833" s="56" t="str">
        <f>IF('AYIRA MINI MART FINAL MENU - Pr'!F833="", "", 'AYIRA MINI MART FINAL MENU - Pr'!F833)</f>
        <v/>
      </c>
      <c r="G833" s="56" t="str">
        <f>IF('AYIRA MINI MART FINAL MENU - Pr'!G833="", "", 'AYIRA MINI MART FINAL MENU - Pr'!G833)</f>
        <v/>
      </c>
      <c r="H833" s="56" t="str">
        <f>IF('AYIRA MINI MART FINAL MENU - Pr'!H833="", "", 'AYIRA MINI MART FINAL MENU - Pr'!H833)</f>
        <v/>
      </c>
      <c r="I833" s="56" t="str">
        <f>IF('AYIRA MINI MART FINAL MENU - Pr'!I833="", "", 'AYIRA MINI MART FINAL MENU - Pr'!I833)</f>
        <v/>
      </c>
      <c r="J833" s="56" t="str">
        <f>IFERROR(__xludf.DUMMYFUNCTION("IF('AYIRA MINI MART FINAL MENU - Pr'!J833="""", """", GOOGLETRANSLATE('AYIRA MINI MART FINAL MENU - Pr'!J833, ""en"", ""ar""))"),"يخفي")</f>
        <v>يخفي</v>
      </c>
      <c r="K833" s="56" t="str">
        <f>IF('AYIRA MINI MART FINAL MENU - Pr'!K833="", "", 'AYIRA MINI MART FINAL MENU - Pr'!K833)</f>
        <v/>
      </c>
      <c r="L833" s="56" t="str">
        <f>IF('AYIRA MINI MART FINAL MENU - Pr'!L833="", "", 'AYIRA MINI MART FINAL MENU - Pr'!L833)</f>
        <v/>
      </c>
      <c r="M833" s="56" t="str">
        <f>IF('AYIRA MINI MART FINAL MENU - Pr'!M833="", "", 'AYIRA MINI MART FINAL MENU - Pr'!M833)</f>
        <v/>
      </c>
      <c r="N833" s="56" t="str">
        <f>IF('AYIRA MINI MART FINAL MENU - Pr'!N833="", "", 'AYIRA MINI MART FINAL MENU - Pr'!N833)</f>
        <v/>
      </c>
      <c r="O833" s="57"/>
      <c r="P833" s="57"/>
      <c r="Q833" s="57"/>
      <c r="R833" s="57"/>
      <c r="S833" s="57"/>
      <c r="T833" s="57"/>
      <c r="U833" s="57"/>
      <c r="V833" s="57"/>
      <c r="W833" s="57"/>
      <c r="X833" s="57"/>
      <c r="Y833" s="57"/>
      <c r="Z833" s="57"/>
    </row>
    <row r="834">
      <c r="A834" s="56" t="str">
        <f>IFERROR(__xludf.DUMMYFUNCTION("IF('AYIRA MINI MART FINAL MENU - Pr'!A834="""", """", IF(LEN(TRIM(REGEXREPLACE(REGEXREPLACE('AYIRA MINI MART FINAL MENU - Pr'!A834, ""^[^\x{0600}-\x{06FF}]+"", """"), ""^[-–\s]+"", """")))&gt;0, TRIM(REGEXREPLACE(REGEXREPLACE('AYIRA MINI MART FINAL MENU - Pr"&amp;"'!A834, ""^[^\x{0600}-\x{06FF}]+"", """"), ""^[-–\s]+"", """")), GOOGLETRANSLATE('AYIRA MINI MART FINAL MENU - Pr'!A834, ""en"", ""ar"")))"),"غرام")</f>
        <v>غرام</v>
      </c>
      <c r="B834" s="56" t="str">
        <f>IFERROR(__xludf.DUMMYFUNCTION("IF('AYIRA MINI MART FINAL MENU - Pr'!B834="""", """", IF(LEN(TRIM(REGEXREPLACE(REGEXREPLACE('AYIRA MINI MART FINAL MENU - Pr'!B834, ""^[^\x{0600}-\x{06FF}]+"", """"), ""^[-–\s]+"", """")))&gt;0, TRIM(REGEXREPLACE(REGEXREPLACE('AYIRA MINI MART FINAL MENU - Pr"&amp;"'!B834, ""^[^\x{0600}-\x{06FF}]+"", """"), ""^[-–\s]+"", """")), GOOGLETRANSLATE('AYIRA MINI MART FINAL MENU - Pr'!B834, ""en"", ""ar"")))"),"وجبات خفيفة 🍿")</f>
        <v>وجبات خفيفة 🍿</v>
      </c>
      <c r="C834" s="58">
        <f>IF('AYIRA MINI MART FINAL MENU - Pr'!C834="", "", 'AYIRA MINI MART FINAL MENU - Pr'!C834)</f>
        <v>2</v>
      </c>
      <c r="D834" s="58" t="str">
        <f>IF('AYIRA MINI MART FINAL MENU - Pr'!D834="", "", 'AYIRA MINI MART FINAL MENU - Pr'!D834)</f>
        <v>لا تقاوم طعم Topsy Makai Mixture 70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34" s="56" t="str">
        <f>IF('AYIRA MINI MART FINAL MENU - Pr'!E834="", "", 'AYIRA MINI MART FINAL MENU - Pr'!E834)</f>
        <v/>
      </c>
      <c r="F834" s="56" t="str">
        <f>IF('AYIRA MINI MART FINAL MENU - Pr'!F834="", "", 'AYIRA MINI MART FINAL MENU - Pr'!F834)</f>
        <v/>
      </c>
      <c r="G834" s="56" t="str">
        <f>IF('AYIRA MINI MART FINAL MENU - Pr'!G834="", "", 'AYIRA MINI MART FINAL MENU - Pr'!G834)</f>
        <v/>
      </c>
      <c r="H834" s="56" t="str">
        <f>IF('AYIRA MINI MART FINAL MENU - Pr'!H834="", "", 'AYIRA MINI MART FINAL MENU - Pr'!H834)</f>
        <v/>
      </c>
      <c r="I834" s="56" t="str">
        <f>IF('AYIRA MINI MART FINAL MENU - Pr'!I834="", "", 'AYIRA MINI MART FINAL MENU - Pr'!I834)</f>
        <v/>
      </c>
      <c r="J834" s="56" t="str">
        <f>IFERROR(__xludf.DUMMYFUNCTION("IF('AYIRA MINI MART FINAL MENU - Pr'!J834="""", """", GOOGLETRANSLATE('AYIRA MINI MART FINAL MENU - Pr'!J834, ""en"", ""ar""))"),"يخفي")</f>
        <v>يخفي</v>
      </c>
      <c r="K834" s="56" t="str">
        <f>IF('AYIRA MINI MART FINAL MENU - Pr'!K834="", "", 'AYIRA MINI MART FINAL MENU - Pr'!K834)</f>
        <v/>
      </c>
      <c r="L834" s="56" t="str">
        <f>IF('AYIRA MINI MART FINAL MENU - Pr'!L834="", "", 'AYIRA MINI MART FINAL MENU - Pr'!L834)</f>
        <v/>
      </c>
      <c r="M834" s="56" t="str">
        <f>IF('AYIRA MINI MART FINAL MENU - Pr'!M834="", "", 'AYIRA MINI MART FINAL MENU - Pr'!M834)</f>
        <v/>
      </c>
      <c r="N834" s="56" t="str">
        <f>IF('AYIRA MINI MART FINAL MENU - Pr'!N834="", "", 'AYIRA MINI MART FINAL MENU - Pr'!N834)</f>
        <v/>
      </c>
      <c r="O834" s="57"/>
      <c r="P834" s="57"/>
      <c r="Q834" s="57"/>
      <c r="R834" s="57"/>
      <c r="S834" s="57"/>
      <c r="T834" s="57"/>
      <c r="U834" s="57"/>
      <c r="V834" s="57"/>
      <c r="W834" s="57"/>
      <c r="X834" s="57"/>
      <c r="Y834" s="57"/>
      <c r="Z834" s="57"/>
    </row>
    <row r="835">
      <c r="A835" s="56" t="str">
        <f>IFERROR(__xludf.DUMMYFUNCTION("IF('AYIRA MINI MART FINAL MENU - Pr'!A835="""", """", IF(LEN(TRIM(REGEXREPLACE(REGEXREPLACE('AYIRA MINI MART FINAL MENU - Pr'!A835, ""^[^\x{0600}-\x{06FF}]+"", """"), ""^[-–\s]+"", """")))&gt;0, TRIM(REGEXREPLACE(REGEXREPLACE('AYIRA MINI MART FINAL MENU - Pr"&amp;"'!A835, ""^[^\x{0600}-\x{06FF}]+"", """"), ""^[-–\s]+"", """")), GOOGLETRANSLATE('AYIRA MINI MART FINAL MENU - Pr'!A835, ""en"", ""ar"")))"),"غرام")</f>
        <v>غرام</v>
      </c>
      <c r="B835" s="56" t="str">
        <f>IFERROR(__xludf.DUMMYFUNCTION("IF('AYIRA MINI MART FINAL MENU - Pr'!B835="""", """", IF(LEN(TRIM(REGEXREPLACE(REGEXREPLACE('AYIRA MINI MART FINAL MENU - Pr'!B835, ""^[^\x{0600}-\x{06FF}]+"", """"), ""^[-–\s]+"", """")))&gt;0, TRIM(REGEXREPLACE(REGEXREPLACE('AYIRA MINI MART FINAL MENU - Pr"&amp;"'!B835, ""^[^\x{0600}-\x{06FF}]+"", """"), ""^[-–\s]+"", """")), GOOGLETRANSLATE('AYIRA MINI MART FINAL MENU - Pr'!B835, ""en"", ""ar"")))"),"وجبات خفيفة 🍿")</f>
        <v>وجبات خفيفة 🍿</v>
      </c>
      <c r="C835" s="58">
        <f>IF('AYIRA MINI MART FINAL MENU - Pr'!C835="", "", 'AYIRA MINI MART FINAL MENU - Pr'!C835)</f>
        <v>2</v>
      </c>
      <c r="D835" s="58" t="str">
        <f>IF('AYIRA MINI MART FINAL MENU - Pr'!D835="", "", 'AYIRA MINI MART FINAL MENU - Pr'!D835)</f>
        <v>لا تقاوم طعم Topsy Payyoli Mixture 100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35" s="56" t="str">
        <f>IF('AYIRA MINI MART FINAL MENU - Pr'!E835="", "", 'AYIRA MINI MART FINAL MENU - Pr'!E835)</f>
        <v/>
      </c>
      <c r="F835" s="56" t="str">
        <f>IF('AYIRA MINI MART FINAL MENU - Pr'!F835="", "", 'AYIRA MINI MART FINAL MENU - Pr'!F835)</f>
        <v/>
      </c>
      <c r="G835" s="56" t="str">
        <f>IF('AYIRA MINI MART FINAL MENU - Pr'!G835="", "", 'AYIRA MINI MART FINAL MENU - Pr'!G835)</f>
        <v/>
      </c>
      <c r="H835" s="56" t="str">
        <f>IF('AYIRA MINI MART FINAL MENU - Pr'!H835="", "", 'AYIRA MINI MART FINAL MENU - Pr'!H835)</f>
        <v/>
      </c>
      <c r="I835" s="56" t="str">
        <f>IF('AYIRA MINI MART FINAL MENU - Pr'!I835="", "", 'AYIRA MINI MART FINAL MENU - Pr'!I835)</f>
        <v/>
      </c>
      <c r="J835" s="56" t="str">
        <f>IFERROR(__xludf.DUMMYFUNCTION("IF('AYIRA MINI MART FINAL MENU - Pr'!J835="""", """", GOOGLETRANSLATE('AYIRA MINI MART FINAL MENU - Pr'!J835, ""en"", ""ar""))"),"يخفي")</f>
        <v>يخفي</v>
      </c>
      <c r="K835" s="56" t="str">
        <f>IF('AYIRA MINI MART FINAL MENU - Pr'!K835="", "", 'AYIRA MINI MART FINAL MENU - Pr'!K835)</f>
        <v/>
      </c>
      <c r="L835" s="56" t="str">
        <f>IF('AYIRA MINI MART FINAL MENU - Pr'!L835="", "", 'AYIRA MINI MART FINAL MENU - Pr'!L835)</f>
        <v/>
      </c>
      <c r="M835" s="56" t="str">
        <f>IF('AYIRA MINI MART FINAL MENU - Pr'!M835="", "", 'AYIRA MINI MART FINAL MENU - Pr'!M835)</f>
        <v/>
      </c>
      <c r="N835" s="56" t="str">
        <f>IF('AYIRA MINI MART FINAL MENU - Pr'!N835="", "", 'AYIRA MINI MART FINAL MENU - Pr'!N835)</f>
        <v/>
      </c>
      <c r="O835" s="57"/>
      <c r="P835" s="57"/>
      <c r="Q835" s="57"/>
      <c r="R835" s="57"/>
      <c r="S835" s="57"/>
      <c r="T835" s="57"/>
      <c r="U835" s="57"/>
      <c r="V835" s="57"/>
      <c r="W835" s="57"/>
      <c r="X835" s="57"/>
      <c r="Y835" s="57"/>
      <c r="Z835" s="57"/>
    </row>
    <row r="836">
      <c r="A836" s="56" t="str">
        <f>IFERROR(__xludf.DUMMYFUNCTION("IF('AYIRA MINI MART FINAL MENU - Pr'!A836="""", """", IF(LEN(TRIM(REGEXREPLACE(REGEXREPLACE('AYIRA MINI MART FINAL MENU - Pr'!A836, ""^[^\x{0600}-\x{06FF}]+"", """"), ""^[-–\s]+"", """")))&gt;0, TRIM(REGEXREPLACE(REGEXREPLACE('AYIRA MINI MART FINAL MENU - Pr"&amp;"'!A836, ""^[^\x{0600}-\x{06FF}]+"", """"), ""^[-–\s]+"", """")), GOOGLETRANSLATE('AYIRA MINI MART FINAL MENU - Pr'!A836, ""en"", ""ar"")))"),"غرام")</f>
        <v>غرام</v>
      </c>
      <c r="B836" s="56" t="str">
        <f>IFERROR(__xludf.DUMMYFUNCTION("IF('AYIRA MINI MART FINAL MENU - Pr'!B836="""", """", IF(LEN(TRIM(REGEXREPLACE(REGEXREPLACE('AYIRA MINI MART FINAL MENU - Pr'!B836, ""^[^\x{0600}-\x{06FF}]+"", """"), ""^[-–\s]+"", """")))&gt;0, TRIM(REGEXREPLACE(REGEXREPLACE('AYIRA MINI MART FINAL MENU - Pr"&amp;"'!B836, ""^[^\x{0600}-\x{06FF}]+"", """"), ""^[-–\s]+"", """")), GOOGLETRANSLATE('AYIRA MINI MART FINAL MENU - Pr'!B836, ""en"", ""ar"")))"),"وجبات خفيفة 🍿")</f>
        <v>وجبات خفيفة 🍿</v>
      </c>
      <c r="C836" s="58">
        <f>IF('AYIRA MINI MART FINAL MENU - Pr'!C836="", "", 'AYIRA MINI MART FINAL MENU - Pr'!C836)</f>
        <v>2</v>
      </c>
      <c r="D836" s="58" t="str">
        <f>IF('AYIRA MINI MART FINAL MENU - Pr'!D836="", "", 'AYIRA MINI MART FINAL MENU - Pr'!D836)</f>
        <v>لا تقاوم طعم Topsy Chilly Murukku 100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36" s="56" t="str">
        <f>IF('AYIRA MINI MART FINAL MENU - Pr'!E836="", "", 'AYIRA MINI MART FINAL MENU - Pr'!E836)</f>
        <v/>
      </c>
      <c r="F836" s="56" t="str">
        <f>IF('AYIRA MINI MART FINAL MENU - Pr'!F836="", "", 'AYIRA MINI MART FINAL MENU - Pr'!F836)</f>
        <v/>
      </c>
      <c r="G836" s="56" t="str">
        <f>IF('AYIRA MINI MART FINAL MENU - Pr'!G836="", "", 'AYIRA MINI MART FINAL MENU - Pr'!G836)</f>
        <v/>
      </c>
      <c r="H836" s="56" t="str">
        <f>IF('AYIRA MINI MART FINAL MENU - Pr'!H836="", "", 'AYIRA MINI MART FINAL MENU - Pr'!H836)</f>
        <v/>
      </c>
      <c r="I836" s="56" t="str">
        <f>IF('AYIRA MINI MART FINAL MENU - Pr'!I836="", "", 'AYIRA MINI MART FINAL MENU - Pr'!I836)</f>
        <v/>
      </c>
      <c r="J836" s="56" t="str">
        <f>IFERROR(__xludf.DUMMYFUNCTION("IF('AYIRA MINI MART FINAL MENU - Pr'!J836="""", """", GOOGLETRANSLATE('AYIRA MINI MART FINAL MENU - Pr'!J836, ""en"", ""ar""))"),"يخفي")</f>
        <v>يخفي</v>
      </c>
      <c r="K836" s="56" t="str">
        <f>IF('AYIRA MINI MART FINAL MENU - Pr'!K836="", "", 'AYIRA MINI MART FINAL MENU - Pr'!K836)</f>
        <v/>
      </c>
      <c r="L836" s="56" t="str">
        <f>IF('AYIRA MINI MART FINAL MENU - Pr'!L836="", "", 'AYIRA MINI MART FINAL MENU - Pr'!L836)</f>
        <v/>
      </c>
      <c r="M836" s="56" t="str">
        <f>IF('AYIRA MINI MART FINAL MENU - Pr'!M836="", "", 'AYIRA MINI MART FINAL MENU - Pr'!M836)</f>
        <v/>
      </c>
      <c r="N836" s="56" t="str">
        <f>IF('AYIRA MINI MART FINAL MENU - Pr'!N836="", "", 'AYIRA MINI MART FINAL MENU - Pr'!N836)</f>
        <v/>
      </c>
      <c r="O836" s="57"/>
      <c r="P836" s="57"/>
      <c r="Q836" s="57"/>
      <c r="R836" s="57"/>
      <c r="S836" s="57"/>
      <c r="T836" s="57"/>
      <c r="U836" s="57"/>
      <c r="V836" s="57"/>
      <c r="W836" s="57"/>
      <c r="X836" s="57"/>
      <c r="Y836" s="57"/>
      <c r="Z836" s="57"/>
    </row>
    <row r="837">
      <c r="A837" s="56" t="str">
        <f>IFERROR(__xludf.DUMMYFUNCTION("IF('AYIRA MINI MART FINAL MENU - Pr'!A837="""", """", IF(LEN(TRIM(REGEXREPLACE(REGEXREPLACE('AYIRA MINI MART FINAL MENU - Pr'!A837, ""^[^\x{0600}-\x{06FF}]+"", """"), ""^[-–\s]+"", """")))&gt;0, TRIM(REGEXREPLACE(REGEXREPLACE('AYIRA MINI MART FINAL MENU - Pr"&amp;"'!A837, ""^[^\x{0600}-\x{06FF}]+"", """"), ""^[-–\s]+"", """")), GOOGLETRANSLATE('AYIRA MINI MART FINAL MENU - Pr'!A837, ""en"", ""ar"")))"),"زبدة Murukku 80 غرام")</f>
        <v>زبدة Murukku 80 غرام</v>
      </c>
      <c r="B837" s="56" t="str">
        <f>IFERROR(__xludf.DUMMYFUNCTION("IF('AYIRA MINI MART FINAL MENU - Pr'!B837="""", """", IF(LEN(TRIM(REGEXREPLACE(REGEXREPLACE('AYIRA MINI MART FINAL MENU - Pr'!B837, ""^[^\x{0600}-\x{06FF}]+"", """"), ""^[-–\s]+"", """")))&gt;0, TRIM(REGEXREPLACE(REGEXREPLACE('AYIRA MINI MART FINAL MENU - Pr"&amp;"'!B837, ""^[^\x{0600}-\x{06FF}]+"", """"), ""^[-–\s]+"", """")), GOOGLETRANSLATE('AYIRA MINI MART FINAL MENU - Pr'!B837, ""en"", ""ar"")))"),"وجبات خفيفة 🍿")</f>
        <v>وجبات خفيفة 🍿</v>
      </c>
      <c r="C837" s="58">
        <f>IF('AYIRA MINI MART FINAL MENU - Pr'!C837="", "", 'AYIRA MINI MART FINAL MENU - Pr'!C837)</f>
        <v>2</v>
      </c>
      <c r="D837" s="58" t="str">
        <f>IF('AYIRA MINI MART FINAL MENU - Pr'!D837="", "", 'AYIRA MINI MART FINAL MENU - Pr'!D837)</f>
        <v>لا تقاوم طعم Topsy Butter Murukku 80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37" s="56" t="str">
        <f>IF('AYIRA MINI MART FINAL MENU - Pr'!E837="", "", 'AYIRA MINI MART FINAL MENU - Pr'!E837)</f>
        <v/>
      </c>
      <c r="F837" s="56" t="str">
        <f>IF('AYIRA MINI MART FINAL MENU - Pr'!F837="", "", 'AYIRA MINI MART FINAL MENU - Pr'!F837)</f>
        <v/>
      </c>
      <c r="G837" s="56" t="str">
        <f>IF('AYIRA MINI MART FINAL MENU - Pr'!G837="", "", 'AYIRA MINI MART FINAL MENU - Pr'!G837)</f>
        <v/>
      </c>
      <c r="H837" s="56" t="str">
        <f>IF('AYIRA MINI MART FINAL MENU - Pr'!H837="", "", 'AYIRA MINI MART FINAL MENU - Pr'!H837)</f>
        <v/>
      </c>
      <c r="I837" s="56" t="str">
        <f>IF('AYIRA MINI MART FINAL MENU - Pr'!I837="", "", 'AYIRA MINI MART FINAL MENU - Pr'!I837)</f>
        <v/>
      </c>
      <c r="J837" s="56" t="str">
        <f>IFERROR(__xludf.DUMMYFUNCTION("IF('AYIRA MINI MART FINAL MENU - Pr'!J837="""", """", GOOGLETRANSLATE('AYIRA MINI MART FINAL MENU - Pr'!J837, ""en"", ""ar""))"),"يخفي")</f>
        <v>يخفي</v>
      </c>
      <c r="K837" s="56" t="str">
        <f>IF('AYIRA MINI MART FINAL MENU - Pr'!K837="", "", 'AYIRA MINI MART FINAL MENU - Pr'!K837)</f>
        <v/>
      </c>
      <c r="L837" s="56" t="str">
        <f>IF('AYIRA MINI MART FINAL MENU - Pr'!L837="", "", 'AYIRA MINI MART FINAL MENU - Pr'!L837)</f>
        <v/>
      </c>
      <c r="M837" s="56" t="str">
        <f>IF('AYIRA MINI MART FINAL MENU - Pr'!M837="", "", 'AYIRA MINI MART FINAL MENU - Pr'!M837)</f>
        <v/>
      </c>
      <c r="N837" s="56" t="str">
        <f>IF('AYIRA MINI MART FINAL MENU - Pr'!N837="", "", 'AYIRA MINI MART FINAL MENU - Pr'!N837)</f>
        <v/>
      </c>
      <c r="O837" s="57"/>
      <c r="P837" s="57"/>
      <c r="Q837" s="57"/>
      <c r="R837" s="57"/>
      <c r="S837" s="57"/>
      <c r="T837" s="57"/>
      <c r="U837" s="57"/>
      <c r="V837" s="57"/>
      <c r="W837" s="57"/>
      <c r="X837" s="57"/>
      <c r="Y837" s="57"/>
      <c r="Z837" s="57"/>
    </row>
    <row r="838">
      <c r="A838" s="56" t="str">
        <f>IFERROR(__xludf.DUMMYFUNCTION("IF('AYIRA MINI MART FINAL MENU - Pr'!A838="""", """", IF(LEN(TRIM(REGEXREPLACE(REGEXREPLACE('AYIRA MINI MART FINAL MENU - Pr'!A838, ""^[^\x{0600}-\x{06FF}]+"", """"), ""^[-–\s]+"", """")))&gt;0, TRIM(REGEXREPLACE(REGEXREPLACE('AYIRA MINI MART FINAL MENU - Pr"&amp;"'!A838, ""^[^\x{0600}-\x{06FF}]+"", """"), ""^[-–\s]+"", """")), GOOGLETRANSLATE('AYIRA MINI MART FINAL MENU - Pr'!A838, ""en"", ""ar"")))"),"غرام")</f>
        <v>غرام</v>
      </c>
      <c r="B838" s="56" t="str">
        <f>IFERROR(__xludf.DUMMYFUNCTION("IF('AYIRA MINI MART FINAL MENU - Pr'!B838="""", """", IF(LEN(TRIM(REGEXREPLACE(REGEXREPLACE('AYIRA MINI MART FINAL MENU - Pr'!B838, ""^[^\x{0600}-\x{06FF}]+"", """"), ""^[-–\s]+"", """")))&gt;0, TRIM(REGEXREPLACE(REGEXREPLACE('AYIRA MINI MART FINAL MENU - Pr"&amp;"'!B838, ""^[^\x{0600}-\x{06FF}]+"", """"), ""^[-–\s]+"", """")), GOOGLETRANSLATE('AYIRA MINI MART FINAL MENU - Pr'!B838, ""en"", ""ar"")))"),"وجبات خفيفة 🍿")</f>
        <v>وجبات خفيفة 🍿</v>
      </c>
      <c r="C838" s="58">
        <f>IF('AYIRA MINI MART FINAL MENU - Pr'!C838="", "", 'AYIRA MINI MART FINAL MENU - Pr'!C838)</f>
        <v>2</v>
      </c>
      <c r="D838" s="58" t="str">
        <f>IF('AYIRA MINI MART FINAL MENU - Pr'!D838="", "", 'AYIRA MINI MART FINAL MENU - Pr'!D838)</f>
        <v>لا تقاوم طعم Topsy Chilly Sev 90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38" s="56" t="str">
        <f>IF('AYIRA MINI MART FINAL MENU - Pr'!E838="", "", 'AYIRA MINI MART FINAL MENU - Pr'!E838)</f>
        <v/>
      </c>
      <c r="F838" s="56" t="str">
        <f>IF('AYIRA MINI MART FINAL MENU - Pr'!F838="", "", 'AYIRA MINI MART FINAL MENU - Pr'!F838)</f>
        <v/>
      </c>
      <c r="G838" s="56" t="str">
        <f>IF('AYIRA MINI MART FINAL MENU - Pr'!G838="", "", 'AYIRA MINI MART FINAL MENU - Pr'!G838)</f>
        <v/>
      </c>
      <c r="H838" s="56" t="str">
        <f>IF('AYIRA MINI MART FINAL MENU - Pr'!H838="", "", 'AYIRA MINI MART FINAL MENU - Pr'!H838)</f>
        <v/>
      </c>
      <c r="I838" s="56" t="str">
        <f>IF('AYIRA MINI MART FINAL MENU - Pr'!I838="", "", 'AYIRA MINI MART FINAL MENU - Pr'!I838)</f>
        <v/>
      </c>
      <c r="J838" s="56" t="str">
        <f>IFERROR(__xludf.DUMMYFUNCTION("IF('AYIRA MINI MART FINAL MENU - Pr'!J838="""", """", GOOGLETRANSLATE('AYIRA MINI MART FINAL MENU - Pr'!J838, ""en"", ""ar""))"),"يخفي")</f>
        <v>يخفي</v>
      </c>
      <c r="K838" s="56" t="str">
        <f>IF('AYIRA MINI MART FINAL MENU - Pr'!K838="", "", 'AYIRA MINI MART FINAL MENU - Pr'!K838)</f>
        <v/>
      </c>
      <c r="L838" s="56" t="str">
        <f>IF('AYIRA MINI MART FINAL MENU - Pr'!L838="", "", 'AYIRA MINI MART FINAL MENU - Pr'!L838)</f>
        <v/>
      </c>
      <c r="M838" s="56" t="str">
        <f>IF('AYIRA MINI MART FINAL MENU - Pr'!M838="", "", 'AYIRA MINI MART FINAL MENU - Pr'!M838)</f>
        <v/>
      </c>
      <c r="N838" s="56" t="str">
        <f>IF('AYIRA MINI MART FINAL MENU - Pr'!N838="", "", 'AYIRA MINI MART FINAL MENU - Pr'!N838)</f>
        <v/>
      </c>
      <c r="O838" s="57"/>
      <c r="P838" s="57"/>
      <c r="Q838" s="57"/>
      <c r="R838" s="57"/>
      <c r="S838" s="57"/>
      <c r="T838" s="57"/>
      <c r="U838" s="57"/>
      <c r="V838" s="57"/>
      <c r="W838" s="57"/>
      <c r="X838" s="57"/>
      <c r="Y838" s="57"/>
      <c r="Z838" s="57"/>
    </row>
    <row r="839">
      <c r="A839" s="56" t="str">
        <f>IFERROR(__xludf.DUMMYFUNCTION("IF('AYIRA MINI MART FINAL MENU - Pr'!A839="""", """", IF(LEN(TRIM(REGEXREPLACE(REGEXREPLACE('AYIRA MINI MART FINAL MENU - Pr'!A839, ""^[^\x{0600}-\x{06FF}]+"", """"), ""^[-–\s]+"", """")))&gt;0, TRIM(REGEXREPLACE(REGEXREPLACE('AYIRA MINI MART FINAL MENU - Pr"&amp;"'!A839, ""^[^\x{0600}-\x{06FF}]+"", """"), ""^[-–\s]+"", """")), GOOGLETRANSLATE('AYIRA MINI MART FINAL MENU - Pr'!A839, ""en"", ""ar"")))"),"غرام")</f>
        <v>غرام</v>
      </c>
      <c r="B839" s="56" t="str">
        <f>IFERROR(__xludf.DUMMYFUNCTION("IF('AYIRA MINI MART FINAL MENU - Pr'!B839="""", """", IF(LEN(TRIM(REGEXREPLACE(REGEXREPLACE('AYIRA MINI MART FINAL MENU - Pr'!B839, ""^[^\x{0600}-\x{06FF}]+"", """"), ""^[-–\s]+"", """")))&gt;0, TRIM(REGEXREPLACE(REGEXREPLACE('AYIRA MINI MART FINAL MENU - Pr"&amp;"'!B839, ""^[^\x{0600}-\x{06FF}]+"", """"), ""^[-–\s]+"", """")), GOOGLETRANSLATE('AYIRA MINI MART FINAL MENU - Pr'!B839, ""en"", ""ar"")))"),"وجبات خفيفة 🍿")</f>
        <v>وجبات خفيفة 🍿</v>
      </c>
      <c r="C839" s="58">
        <f>IF('AYIRA MINI MART FINAL MENU - Pr'!C839="", "", 'AYIRA MINI MART FINAL MENU - Pr'!C839)</f>
        <v>1</v>
      </c>
      <c r="D839" s="58" t="str">
        <f>IF('AYIRA MINI MART FINAL MENU - Pr'!D839="", "", 'AYIRA MINI MART FINAL MENU - Pr'!D839)</f>
        <v>لا تقاوم طعم PRAN Chanachur Bombay Mix 50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39" s="56" t="str">
        <f>IF('AYIRA MINI MART FINAL MENU - Pr'!E839="", "", 'AYIRA MINI MART FINAL MENU - Pr'!E839)</f>
        <v/>
      </c>
      <c r="F839" s="56" t="str">
        <f>IF('AYIRA MINI MART FINAL MENU - Pr'!F839="", "", 'AYIRA MINI MART FINAL MENU - Pr'!F839)</f>
        <v/>
      </c>
      <c r="G839" s="56" t="str">
        <f>IF('AYIRA MINI MART FINAL MENU - Pr'!G839="", "", 'AYIRA MINI MART FINAL MENU - Pr'!G839)</f>
        <v/>
      </c>
      <c r="H839" s="56" t="str">
        <f>IF('AYIRA MINI MART FINAL MENU - Pr'!H839="", "", 'AYIRA MINI MART FINAL MENU - Pr'!H839)</f>
        <v/>
      </c>
      <c r="I839" s="56" t="str">
        <f>IF('AYIRA MINI MART FINAL MENU - Pr'!I839="", "", 'AYIRA MINI MART FINAL MENU - Pr'!I839)</f>
        <v/>
      </c>
      <c r="J839" s="56" t="str">
        <f>IFERROR(__xludf.DUMMYFUNCTION("IF('AYIRA MINI MART FINAL MENU - Pr'!J839="""", """", GOOGLETRANSLATE('AYIRA MINI MART FINAL MENU - Pr'!J839, ""en"", ""ar""))"),"يخفي")</f>
        <v>يخفي</v>
      </c>
      <c r="K839" s="56" t="str">
        <f>IF('AYIRA MINI MART FINAL MENU - Pr'!K839="", "", 'AYIRA MINI MART FINAL MENU - Pr'!K839)</f>
        <v/>
      </c>
      <c r="L839" s="56" t="str">
        <f>IF('AYIRA MINI MART FINAL MENU - Pr'!L839="", "", 'AYIRA MINI MART FINAL MENU - Pr'!L839)</f>
        <v/>
      </c>
      <c r="M839" s="56" t="str">
        <f>IF('AYIRA MINI MART FINAL MENU - Pr'!M839="", "", 'AYIRA MINI MART FINAL MENU - Pr'!M839)</f>
        <v/>
      </c>
      <c r="N839" s="56" t="str">
        <f>IF('AYIRA MINI MART FINAL MENU - Pr'!N839="", "", 'AYIRA MINI MART FINAL MENU - Pr'!N839)</f>
        <v/>
      </c>
      <c r="O839" s="57"/>
      <c r="P839" s="57"/>
      <c r="Q839" s="57"/>
      <c r="R839" s="57"/>
      <c r="S839" s="57"/>
      <c r="T839" s="57"/>
      <c r="U839" s="57"/>
      <c r="V839" s="57"/>
      <c r="W839" s="57"/>
      <c r="X839" s="57"/>
      <c r="Y839" s="57"/>
      <c r="Z839" s="57"/>
    </row>
    <row r="840">
      <c r="A840" s="56" t="str">
        <f>IFERROR(__xludf.DUMMYFUNCTION("IF('AYIRA MINI MART FINAL MENU - Pr'!A840="""", """", IF(LEN(TRIM(REGEXREPLACE(REGEXREPLACE('AYIRA MINI MART FINAL MENU - Pr'!A840, ""^[^\x{0600}-\x{06FF}]+"", """"), ""^[-–\s]+"", """")))&gt;0, TRIM(REGEXREPLACE(REGEXREPLACE('AYIRA MINI MART FINAL MENU - Pr"&amp;"'!A840, ""^[^\x{0600}-\x{06FF}]+"", """"), ""^[-–\s]+"", """")), GOOGLETRANSLATE('AYIRA MINI MART FINAL MENU - Pr'!A840, ""en"", ""ar"")))"),"غرام")</f>
        <v>غرام</v>
      </c>
      <c r="B840" s="56" t="str">
        <f>IFERROR(__xludf.DUMMYFUNCTION("IF('AYIRA MINI MART FINAL MENU - Pr'!B840="""", """", IF(LEN(TRIM(REGEXREPLACE(REGEXREPLACE('AYIRA MINI MART FINAL MENU - Pr'!B840, ""^[^\x{0600}-\x{06FF}]+"", """"), ""^[-–\s]+"", """")))&gt;0, TRIM(REGEXREPLACE(REGEXREPLACE('AYIRA MINI MART FINAL MENU - Pr"&amp;"'!B840, ""^[^\x{0600}-\x{06FF}]+"", """"), ""^[-–\s]+"", """")), GOOGLETRANSLATE('AYIRA MINI MART FINAL MENU - Pr'!B840, ""en"", ""ar"")))"),"وجبات خفيفة 🍿")</f>
        <v>وجبات خفيفة 🍿</v>
      </c>
      <c r="C840" s="58">
        <f>IF('AYIRA MINI MART FINAL MENU - Pr'!C840="", "", 'AYIRA MINI MART FINAL MENU - Pr'!C840)</f>
        <v>2</v>
      </c>
      <c r="D840" s="58" t="str">
        <f>IF('AYIRA MINI MART FINAL MENU - Pr'!D840="", "", 'AYIRA MINI MART FINAL MENU - Pr'!D840)</f>
        <v>لا تقاوم طعم Topsy Garlic Mixture – 100g،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40" s="56" t="str">
        <f>IF('AYIRA MINI MART FINAL MENU - Pr'!E840="", "", 'AYIRA MINI MART FINAL MENU - Pr'!E840)</f>
        <v/>
      </c>
      <c r="F840" s="56" t="str">
        <f>IF('AYIRA MINI MART FINAL MENU - Pr'!F840="", "", 'AYIRA MINI MART FINAL MENU - Pr'!F840)</f>
        <v/>
      </c>
      <c r="G840" s="56" t="str">
        <f>IF('AYIRA MINI MART FINAL MENU - Pr'!G840="", "", 'AYIRA MINI MART FINAL MENU - Pr'!G840)</f>
        <v/>
      </c>
      <c r="H840" s="56" t="str">
        <f>IF('AYIRA MINI MART FINAL MENU - Pr'!H840="", "", 'AYIRA MINI MART FINAL MENU - Pr'!H840)</f>
        <v/>
      </c>
      <c r="I840" s="56" t="str">
        <f>IF('AYIRA MINI MART FINAL MENU - Pr'!I840="", "", 'AYIRA MINI MART FINAL MENU - Pr'!I840)</f>
        <v/>
      </c>
      <c r="J840" s="56" t="str">
        <f>IFERROR(__xludf.DUMMYFUNCTION("IF('AYIRA MINI MART FINAL MENU - Pr'!J840="""", """", GOOGLETRANSLATE('AYIRA MINI MART FINAL MENU - Pr'!J840, ""en"", ""ar""))"),"يخفي")</f>
        <v>يخفي</v>
      </c>
      <c r="K840" s="56" t="str">
        <f>IF('AYIRA MINI MART FINAL MENU - Pr'!K840="", "", 'AYIRA MINI MART FINAL MENU - Pr'!K840)</f>
        <v/>
      </c>
      <c r="L840" s="56" t="str">
        <f>IF('AYIRA MINI MART FINAL MENU - Pr'!L840="", "", 'AYIRA MINI MART FINAL MENU - Pr'!L840)</f>
        <v/>
      </c>
      <c r="M840" s="56" t="str">
        <f>IF('AYIRA MINI MART FINAL MENU - Pr'!M840="", "", 'AYIRA MINI MART FINAL MENU - Pr'!M840)</f>
        <v/>
      </c>
      <c r="N840" s="56" t="str">
        <f>IF('AYIRA MINI MART FINAL MENU - Pr'!N840="", "", 'AYIRA MINI MART FINAL MENU - Pr'!N840)</f>
        <v/>
      </c>
      <c r="O840" s="57"/>
      <c r="P840" s="57"/>
      <c r="Q840" s="57"/>
      <c r="R840" s="57"/>
      <c r="S840" s="57"/>
      <c r="T840" s="57"/>
      <c r="U840" s="57"/>
      <c r="V840" s="57"/>
      <c r="W840" s="57"/>
      <c r="X840" s="57"/>
      <c r="Y840" s="57"/>
      <c r="Z840" s="57"/>
    </row>
    <row r="841">
      <c r="A841" s="56" t="str">
        <f>IFERROR(__xludf.DUMMYFUNCTION("IF('AYIRA MINI MART FINAL MENU - Pr'!A841="""", """", IF(LEN(TRIM(REGEXREPLACE(REGEXREPLACE('AYIRA MINI MART FINAL MENU - Pr'!A841, ""^[^\x{0600}-\x{06FF}]+"", """"), ""^[-–\s]+"", """")))&gt;0, TRIM(REGEXREPLACE(REGEXREPLACE('AYIRA MINI MART FINAL MENU - Pr"&amp;"'!A841, ""^[^\x{0600}-\x{06FF}]+"", """"), ""^[-–\s]+"", """")), GOOGLETRANSLATE('AYIRA MINI MART FINAL MENU - Pr'!A841, ""en"", ""ar"")))"),"غرام")</f>
        <v>غرام</v>
      </c>
      <c r="B841" s="56" t="str">
        <f>IFERROR(__xludf.DUMMYFUNCTION("IF('AYIRA MINI MART FINAL MENU - Pr'!B841="""", """", IF(LEN(TRIM(REGEXREPLACE(REGEXREPLACE('AYIRA MINI MART FINAL MENU - Pr'!B841, ""^[^\x{0600}-\x{06FF}]+"", """"), ""^[-–\s]+"", """")))&gt;0, TRIM(REGEXREPLACE(REGEXREPLACE('AYIRA MINI MART FINAL MENU - Pr"&amp;"'!B841, ""^[^\x{0600}-\x{06FF}]+"", """"), ""^[-–\s]+"", """")), GOOGLETRANSLATE('AYIRA MINI MART FINAL MENU - Pr'!B841, ""en"", ""ar"")))"),"وجبات خفيفة 🍿")</f>
        <v>وجبات خفيفة 🍿</v>
      </c>
      <c r="C841" s="58">
        <f>IF('AYIRA MINI MART FINAL MENU - Pr'!C841="", "", 'AYIRA MINI MART FINAL MENU - Pr'!C841)</f>
        <v>2</v>
      </c>
      <c r="D841" s="58" t="str">
        <f>IF('AYIRA MINI MART FINAL MENU - Pr'!D841="", "", 'AYIRA MINI MART FINAL MENU - Pr'!D841)</f>
        <v>لا تقاوم طعم Topsy Payyoli Mixture – 300g،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41" s="56" t="str">
        <f>IF('AYIRA MINI MART FINAL MENU - Pr'!E841="", "", 'AYIRA MINI MART FINAL MENU - Pr'!E841)</f>
        <v/>
      </c>
      <c r="F841" s="56" t="str">
        <f>IF('AYIRA MINI MART FINAL MENU - Pr'!F841="", "", 'AYIRA MINI MART FINAL MENU - Pr'!F841)</f>
        <v/>
      </c>
      <c r="G841" s="56" t="str">
        <f>IF('AYIRA MINI MART FINAL MENU - Pr'!G841="", "", 'AYIRA MINI MART FINAL MENU - Pr'!G841)</f>
        <v/>
      </c>
      <c r="H841" s="56" t="str">
        <f>IF('AYIRA MINI MART FINAL MENU - Pr'!H841="", "", 'AYIRA MINI MART FINAL MENU - Pr'!H841)</f>
        <v/>
      </c>
      <c r="I841" s="56" t="str">
        <f>IF('AYIRA MINI MART FINAL MENU - Pr'!I841="", "", 'AYIRA MINI MART FINAL MENU - Pr'!I841)</f>
        <v/>
      </c>
      <c r="J841" s="56" t="str">
        <f>IFERROR(__xludf.DUMMYFUNCTION("IF('AYIRA MINI MART FINAL MENU - Pr'!J841="""", """", GOOGLETRANSLATE('AYIRA MINI MART FINAL MENU - Pr'!J841, ""en"", ""ar""))"),"يخفي")</f>
        <v>يخفي</v>
      </c>
      <c r="K841" s="56" t="str">
        <f>IF('AYIRA MINI MART FINAL MENU - Pr'!K841="", "", 'AYIRA MINI MART FINAL MENU - Pr'!K841)</f>
        <v/>
      </c>
      <c r="L841" s="56" t="str">
        <f>IF('AYIRA MINI MART FINAL MENU - Pr'!L841="", "", 'AYIRA MINI MART FINAL MENU - Pr'!L841)</f>
        <v/>
      </c>
      <c r="M841" s="56" t="str">
        <f>IF('AYIRA MINI MART FINAL MENU - Pr'!M841="", "", 'AYIRA MINI MART FINAL MENU - Pr'!M841)</f>
        <v/>
      </c>
      <c r="N841" s="56" t="str">
        <f>IF('AYIRA MINI MART FINAL MENU - Pr'!N841="", "", 'AYIRA MINI MART FINAL MENU - Pr'!N841)</f>
        <v/>
      </c>
      <c r="O841" s="57"/>
      <c r="P841" s="57"/>
      <c r="Q841" s="57"/>
      <c r="R841" s="57"/>
      <c r="S841" s="57"/>
      <c r="T841" s="57"/>
      <c r="U841" s="57"/>
      <c r="V841" s="57"/>
      <c r="W841" s="57"/>
      <c r="X841" s="57"/>
      <c r="Y841" s="57"/>
      <c r="Z841" s="57"/>
    </row>
    <row r="842">
      <c r="A842" s="56" t="str">
        <f>IFERROR(__xludf.DUMMYFUNCTION("IF('AYIRA MINI MART FINAL MENU - Pr'!A842="""", """", IF(LEN(TRIM(REGEXREPLACE(REGEXREPLACE('AYIRA MINI MART FINAL MENU - Pr'!A842, ""^[^\x{0600}-\x{06FF}]+"", """"), ""^[-–\s]+"", """")))&gt;0, TRIM(REGEXREPLACE(REGEXREPLACE('AYIRA MINI MART FINAL MENU - Pr"&amp;"'!A842, ""^[^\x{0600}-\x{06FF}]+"", """"), ""^[-–\s]+"", """")), GOOGLETRANSLATE('AYIRA MINI MART FINAL MENU - Pr'!A842, ""en"", ""ar"")))"),"فول سوداني – 300 غرام")</f>
        <v>فول سوداني – 300 غرام</v>
      </c>
      <c r="B842" s="56" t="str">
        <f>IFERROR(__xludf.DUMMYFUNCTION("IF('AYIRA MINI MART FINAL MENU - Pr'!B842="""", """", IF(LEN(TRIM(REGEXREPLACE(REGEXREPLACE('AYIRA MINI MART FINAL MENU - Pr'!B842, ""^[^\x{0600}-\x{06FF}]+"", """"), ""^[-–\s]+"", """")))&gt;0, TRIM(REGEXREPLACE(REGEXREPLACE('AYIRA MINI MART FINAL MENU - Pr"&amp;"'!B842, ""^[^\x{0600}-\x{06FF}]+"", """"), ""^[-–\s]+"", """")), GOOGLETRANSLATE('AYIRA MINI MART FINAL MENU - Pr'!B842, ""en"", ""ar"")))"),"وجبات خفيفة 🍿")</f>
        <v>وجبات خفيفة 🍿</v>
      </c>
      <c r="C842" s="58">
        <f>IF('AYIRA MINI MART FINAL MENU - Pr'!C842="", "", 'AYIRA MINI MART FINAL MENU - Pr'!C842)</f>
        <v>5</v>
      </c>
      <c r="D842" s="58" t="str">
        <f>IF('AYIRA MINI MART FINAL MENU - Pr'!D842="", "", 'AYIRA MINI MART FINAL MENU - Pr'!D842)</f>
        <v>اختر Topsy Masala Peanut – 300g،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842" s="56" t="str">
        <f>IF('AYIRA MINI MART FINAL MENU - Pr'!E842="", "", 'AYIRA MINI MART FINAL MENU - Pr'!E842)</f>
        <v/>
      </c>
      <c r="F842" s="56" t="str">
        <f>IF('AYIRA MINI MART FINAL MENU - Pr'!F842="", "", 'AYIRA MINI MART FINAL MENU - Pr'!F842)</f>
        <v/>
      </c>
      <c r="G842" s="56" t="str">
        <f>IF('AYIRA MINI MART FINAL MENU - Pr'!G842="", "", 'AYIRA MINI MART FINAL MENU - Pr'!G842)</f>
        <v/>
      </c>
      <c r="H842" s="56" t="str">
        <f>IF('AYIRA MINI MART FINAL MENU - Pr'!H842="", "", 'AYIRA MINI MART FINAL MENU - Pr'!H842)</f>
        <v/>
      </c>
      <c r="I842" s="56" t="str">
        <f>IF('AYIRA MINI MART FINAL MENU - Pr'!I842="", "", 'AYIRA MINI MART FINAL MENU - Pr'!I842)</f>
        <v/>
      </c>
      <c r="J842" s="56" t="str">
        <f>IFERROR(__xludf.DUMMYFUNCTION("IF('AYIRA MINI MART FINAL MENU - Pr'!J842="""", """", GOOGLETRANSLATE('AYIRA MINI MART FINAL MENU - Pr'!J842, ""en"", ""ar""))"),"يخفي")</f>
        <v>يخفي</v>
      </c>
      <c r="K842" s="56" t="str">
        <f>IF('AYIRA MINI MART FINAL MENU - Pr'!K842="", "", 'AYIRA MINI MART FINAL MENU - Pr'!K842)</f>
        <v/>
      </c>
      <c r="L842" s="56" t="str">
        <f>IF('AYIRA MINI MART FINAL MENU - Pr'!L842="", "", 'AYIRA MINI MART FINAL MENU - Pr'!L842)</f>
        <v/>
      </c>
      <c r="M842" s="56" t="str">
        <f>IF('AYIRA MINI MART FINAL MENU - Pr'!M842="", "", 'AYIRA MINI MART FINAL MENU - Pr'!M842)</f>
        <v/>
      </c>
      <c r="N842" s="56" t="str">
        <f>IF('AYIRA MINI MART FINAL MENU - Pr'!N842="", "", 'AYIRA MINI MART FINAL MENU - Pr'!N842)</f>
        <v/>
      </c>
      <c r="O842" s="57"/>
      <c r="P842" s="57"/>
      <c r="Q842" s="57"/>
      <c r="R842" s="57"/>
      <c r="S842" s="57"/>
      <c r="T842" s="57"/>
      <c r="U842" s="57"/>
      <c r="V842" s="57"/>
      <c r="W842" s="57"/>
      <c r="X842" s="57"/>
      <c r="Y842" s="57"/>
      <c r="Z842" s="57"/>
    </row>
    <row r="843">
      <c r="A843" s="56" t="str">
        <f>IFERROR(__xludf.DUMMYFUNCTION("IF('AYIRA MINI MART FINAL MENU - Pr'!A843="""", """", IF(LEN(TRIM(REGEXREPLACE(REGEXREPLACE('AYIRA MINI MART FINAL MENU - Pr'!A843, ""^[^\x{0600}-\x{06FF}]+"", """"), ""^[-–\s]+"", """")))&gt;0, TRIM(REGEXREPLACE(REGEXREPLACE('AYIRA MINI MART FINAL MENU - Pr"&amp;"'!A843, ""^[^\x{0600}-\x{06FF}]+"", """"), ""^[-–\s]+"", """")), GOOGLETRANSLATE('AYIRA MINI MART FINAL MENU - Pr'!A843, ""en"", ""ar"")))"),"غرام")</f>
        <v>غرام</v>
      </c>
      <c r="B843" s="56" t="str">
        <f>IFERROR(__xludf.DUMMYFUNCTION("IF('AYIRA MINI MART FINAL MENU - Pr'!B843="""", """", IF(LEN(TRIM(REGEXREPLACE(REGEXREPLACE('AYIRA MINI MART FINAL MENU - Pr'!B843, ""^[^\x{0600}-\x{06FF}]+"", """"), ""^[-–\s]+"", """")))&gt;0, TRIM(REGEXREPLACE(REGEXREPLACE('AYIRA MINI MART FINAL MENU - Pr"&amp;"'!B843, ""^[^\x{0600}-\x{06FF}]+"", """"), ""^[-–\s]+"", """")), GOOGLETRANSLATE('AYIRA MINI MART FINAL MENU - Pr'!B843, ""en"", ""ar"")))"),"وجبات خفيفة 🍿")</f>
        <v>وجبات خفيفة 🍿</v>
      </c>
      <c r="C843" s="58">
        <f>IF('AYIRA MINI MART FINAL MENU - Pr'!C843="", "", 'AYIRA MINI MART FINAL MENU - Pr'!C843)</f>
        <v>5</v>
      </c>
      <c r="D843" s="58" t="str">
        <f>IF('AYIRA MINI MART FINAL MENU - Pr'!D843="", "", 'AYIRA MINI MART FINAL MENU - Pr'!D843)</f>
        <v>لا تقاوم طعم Topsy Makai Mixture – 190g،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43" s="56" t="str">
        <f>IF('AYIRA MINI MART FINAL MENU - Pr'!E843="", "", 'AYIRA MINI MART FINAL MENU - Pr'!E843)</f>
        <v/>
      </c>
      <c r="F843" s="56" t="str">
        <f>IF('AYIRA MINI MART FINAL MENU - Pr'!F843="", "", 'AYIRA MINI MART FINAL MENU - Pr'!F843)</f>
        <v/>
      </c>
      <c r="G843" s="56" t="str">
        <f>IF('AYIRA MINI MART FINAL MENU - Pr'!G843="", "", 'AYIRA MINI MART FINAL MENU - Pr'!G843)</f>
        <v/>
      </c>
      <c r="H843" s="56" t="str">
        <f>IF('AYIRA MINI MART FINAL MENU - Pr'!H843="", "", 'AYIRA MINI MART FINAL MENU - Pr'!H843)</f>
        <v/>
      </c>
      <c r="I843" s="56" t="str">
        <f>IF('AYIRA MINI MART FINAL MENU - Pr'!I843="", "", 'AYIRA MINI MART FINAL MENU - Pr'!I843)</f>
        <v/>
      </c>
      <c r="J843" s="56" t="str">
        <f>IFERROR(__xludf.DUMMYFUNCTION("IF('AYIRA MINI MART FINAL MENU - Pr'!J843="""", """", GOOGLETRANSLATE('AYIRA MINI MART FINAL MENU - Pr'!J843, ""en"", ""ar""))"),"يخفي")</f>
        <v>يخفي</v>
      </c>
      <c r="K843" s="56" t="str">
        <f>IF('AYIRA MINI MART FINAL MENU - Pr'!K843="", "", 'AYIRA MINI MART FINAL MENU - Pr'!K843)</f>
        <v/>
      </c>
      <c r="L843" s="56" t="str">
        <f>IF('AYIRA MINI MART FINAL MENU - Pr'!L843="", "", 'AYIRA MINI MART FINAL MENU - Pr'!L843)</f>
        <v/>
      </c>
      <c r="M843" s="56" t="str">
        <f>IF('AYIRA MINI MART FINAL MENU - Pr'!M843="", "", 'AYIRA MINI MART FINAL MENU - Pr'!M843)</f>
        <v/>
      </c>
      <c r="N843" s="56" t="str">
        <f>IF('AYIRA MINI MART FINAL MENU - Pr'!N843="", "", 'AYIRA MINI MART FINAL MENU - Pr'!N843)</f>
        <v/>
      </c>
      <c r="O843" s="57"/>
      <c r="P843" s="57"/>
      <c r="Q843" s="57"/>
      <c r="R843" s="57"/>
      <c r="S843" s="57"/>
      <c r="T843" s="57"/>
      <c r="U843" s="57"/>
      <c r="V843" s="57"/>
      <c r="W843" s="57"/>
      <c r="X843" s="57"/>
      <c r="Y843" s="57"/>
      <c r="Z843" s="57"/>
    </row>
    <row r="844">
      <c r="A844" s="56" t="str">
        <f>IFERROR(__xludf.DUMMYFUNCTION("IF('AYIRA MINI MART FINAL MENU - Pr'!A844="""", """", IF(LEN(TRIM(REGEXREPLACE(REGEXREPLACE('AYIRA MINI MART FINAL MENU - Pr'!A844, ""^[^\x{0600}-\x{06FF}]+"", """"), ""^[-–\s]+"", """")))&gt;0, TRIM(REGEXREPLACE(REGEXREPLACE('AYIRA MINI MART FINAL MENU - Pr"&amp;"'!A844, ""^[^\x{0600}-\x{06FF}]+"", """"), ""^[-–\s]+"", """")), GOOGLETRANSLATE('AYIRA MINI MART FINAL MENU - Pr'!A844, ""en"", ""ar"")))"),"غرام")</f>
        <v>غرام</v>
      </c>
      <c r="B844" s="56" t="str">
        <f>IFERROR(__xludf.DUMMYFUNCTION("IF('AYIRA MINI MART FINAL MENU - Pr'!B844="""", """", IF(LEN(TRIM(REGEXREPLACE(REGEXREPLACE('AYIRA MINI MART FINAL MENU - Pr'!B844, ""^[^\x{0600}-\x{06FF}]+"", """"), ""^[-–\s]+"", """")))&gt;0, TRIM(REGEXREPLACE(REGEXREPLACE('AYIRA MINI MART FINAL MENU - Pr"&amp;"'!B844, ""^[^\x{0600}-\x{06FF}]+"", """"), ""^[-–\s]+"", """")), GOOGLETRANSLATE('AYIRA MINI MART FINAL MENU - Pr'!B844, ""en"", ""ar"")))"),"وجبات خفيفة 🍿")</f>
        <v>وجبات خفيفة 🍿</v>
      </c>
      <c r="C844" s="58">
        <f>IF('AYIRA MINI MART FINAL MENU - Pr'!C844="", "", 'AYIRA MINI MART FINAL MENU - Pr'!C844)</f>
        <v>5</v>
      </c>
      <c r="D844" s="58" t="str">
        <f>IF('AYIRA MINI MART FINAL MENU - Pr'!D844="", "", 'AYIRA MINI MART FINAL MENU - Pr'!D844)</f>
        <v>لا تقاوم طعم Topsy Garlic Mixture – 300g،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44" s="56" t="str">
        <f>IF('AYIRA MINI MART FINAL MENU - Pr'!E844="", "", 'AYIRA MINI MART FINAL MENU - Pr'!E844)</f>
        <v/>
      </c>
      <c r="F844" s="56" t="str">
        <f>IF('AYIRA MINI MART FINAL MENU - Pr'!F844="", "", 'AYIRA MINI MART FINAL MENU - Pr'!F844)</f>
        <v/>
      </c>
      <c r="G844" s="56" t="str">
        <f>IF('AYIRA MINI MART FINAL MENU - Pr'!G844="", "", 'AYIRA MINI MART FINAL MENU - Pr'!G844)</f>
        <v/>
      </c>
      <c r="H844" s="56" t="str">
        <f>IF('AYIRA MINI MART FINAL MENU - Pr'!H844="", "", 'AYIRA MINI MART FINAL MENU - Pr'!H844)</f>
        <v/>
      </c>
      <c r="I844" s="56" t="str">
        <f>IF('AYIRA MINI MART FINAL MENU - Pr'!I844="", "", 'AYIRA MINI MART FINAL MENU - Pr'!I844)</f>
        <v/>
      </c>
      <c r="J844" s="56" t="str">
        <f>IFERROR(__xludf.DUMMYFUNCTION("IF('AYIRA MINI MART FINAL MENU - Pr'!J844="""", """", GOOGLETRANSLATE('AYIRA MINI MART FINAL MENU - Pr'!J844, ""en"", ""ar""))"),"يخفي")</f>
        <v>يخفي</v>
      </c>
      <c r="K844" s="56" t="str">
        <f>IF('AYIRA MINI MART FINAL MENU - Pr'!K844="", "", 'AYIRA MINI MART FINAL MENU - Pr'!K844)</f>
        <v/>
      </c>
      <c r="L844" s="56" t="str">
        <f>IF('AYIRA MINI MART FINAL MENU - Pr'!L844="", "", 'AYIRA MINI MART FINAL MENU - Pr'!L844)</f>
        <v/>
      </c>
      <c r="M844" s="56" t="str">
        <f>IF('AYIRA MINI MART FINAL MENU - Pr'!M844="", "", 'AYIRA MINI MART FINAL MENU - Pr'!M844)</f>
        <v/>
      </c>
      <c r="N844" s="56" t="str">
        <f>IF('AYIRA MINI MART FINAL MENU - Pr'!N844="", "", 'AYIRA MINI MART FINAL MENU - Pr'!N844)</f>
        <v/>
      </c>
      <c r="O844" s="57"/>
      <c r="P844" s="57"/>
      <c r="Q844" s="57"/>
      <c r="R844" s="57"/>
      <c r="S844" s="57"/>
      <c r="T844" s="57"/>
      <c r="U844" s="57"/>
      <c r="V844" s="57"/>
      <c r="W844" s="57"/>
      <c r="X844" s="57"/>
      <c r="Y844" s="57"/>
      <c r="Z844" s="57"/>
    </row>
    <row r="845">
      <c r="A845" s="56" t="str">
        <f>IFERROR(__xludf.DUMMYFUNCTION("IF('AYIRA MINI MART FINAL MENU - Pr'!A845="""", """", IF(LEN(TRIM(REGEXREPLACE(REGEXREPLACE('AYIRA MINI MART FINAL MENU - Pr'!A845, ""^[^\x{0600}-\x{06FF}]+"", """"), ""^[-–\s]+"", """")))&gt;0, TRIM(REGEXREPLACE(REGEXREPLACE('AYIRA MINI MART FINAL MENU - Pr"&amp;"'!A845, ""^[^\x{0600}-\x{06FF}]+"", """"), ""^[-–\s]+"", """")), GOOGLETRANSLATE('AYIRA MINI MART FINAL MENU - Pr'!A845, ""en"", ""ar"")))"),"غرام")</f>
        <v>غرام</v>
      </c>
      <c r="B845" s="56" t="str">
        <f>IFERROR(__xludf.DUMMYFUNCTION("IF('AYIRA MINI MART FINAL MENU - Pr'!B845="""", """", IF(LEN(TRIM(REGEXREPLACE(REGEXREPLACE('AYIRA MINI MART FINAL MENU - Pr'!B845, ""^[^\x{0600}-\x{06FF}]+"", """"), ""^[-–\s]+"", """")))&gt;0, TRIM(REGEXREPLACE(REGEXREPLACE('AYIRA MINI MART FINAL MENU - Pr"&amp;"'!B845, ""^[^\x{0600}-\x{06FF}]+"", """"), ""^[-–\s]+"", """")), GOOGLETRANSLATE('AYIRA MINI MART FINAL MENU - Pr'!B845, ""en"", ""ar"")))"),"وجبات خفيفة 🍿")</f>
        <v>وجبات خفيفة 🍿</v>
      </c>
      <c r="C845" s="58">
        <f>IF('AYIRA MINI MART FINAL MENU - Pr'!C845="", "", 'AYIRA MINI MART FINAL MENU - Pr'!C845)</f>
        <v>5</v>
      </c>
      <c r="D845" s="58" t="str">
        <f>IF('AYIRA MINI MART FINAL MENU - Pr'!D845="", "", 'AYIRA MINI MART FINAL MENU - Pr'!D845)</f>
        <v>لا تقاوم طعم Garlic Mixture – 100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45" s="56" t="str">
        <f>IF('AYIRA MINI MART FINAL MENU - Pr'!E845="", "", 'AYIRA MINI MART FINAL MENU - Pr'!E845)</f>
        <v/>
      </c>
      <c r="F845" s="56" t="str">
        <f>IF('AYIRA MINI MART FINAL MENU - Pr'!F845="", "", 'AYIRA MINI MART FINAL MENU - Pr'!F845)</f>
        <v/>
      </c>
      <c r="G845" s="56" t="str">
        <f>IF('AYIRA MINI MART FINAL MENU - Pr'!G845="", "", 'AYIRA MINI MART FINAL MENU - Pr'!G845)</f>
        <v/>
      </c>
      <c r="H845" s="56" t="str">
        <f>IF('AYIRA MINI MART FINAL MENU - Pr'!H845="", "", 'AYIRA MINI MART FINAL MENU - Pr'!H845)</f>
        <v/>
      </c>
      <c r="I845" s="56" t="str">
        <f>IF('AYIRA MINI MART FINAL MENU - Pr'!I845="", "", 'AYIRA MINI MART FINAL MENU - Pr'!I845)</f>
        <v/>
      </c>
      <c r="J845" s="56" t="str">
        <f>IFERROR(__xludf.DUMMYFUNCTION("IF('AYIRA MINI MART FINAL MENU - Pr'!J845="""", """", GOOGLETRANSLATE('AYIRA MINI MART FINAL MENU - Pr'!J845, ""en"", ""ar""))"),"يخفي")</f>
        <v>يخفي</v>
      </c>
      <c r="K845" s="56" t="str">
        <f>IF('AYIRA MINI MART FINAL MENU - Pr'!K845="", "", 'AYIRA MINI MART FINAL MENU - Pr'!K845)</f>
        <v/>
      </c>
      <c r="L845" s="56" t="str">
        <f>IF('AYIRA MINI MART FINAL MENU - Pr'!L845="", "", 'AYIRA MINI MART FINAL MENU - Pr'!L845)</f>
        <v/>
      </c>
      <c r="M845" s="56" t="str">
        <f>IF('AYIRA MINI MART FINAL MENU - Pr'!M845="", "", 'AYIRA MINI MART FINAL MENU - Pr'!M845)</f>
        <v/>
      </c>
      <c r="N845" s="56" t="str">
        <f>IF('AYIRA MINI MART FINAL MENU - Pr'!N845="", "", 'AYIRA MINI MART FINAL MENU - Pr'!N845)</f>
        <v/>
      </c>
      <c r="O845" s="57"/>
      <c r="P845" s="57"/>
      <c r="Q845" s="57"/>
      <c r="R845" s="57"/>
      <c r="S845" s="57"/>
      <c r="T845" s="57"/>
      <c r="U845" s="57"/>
      <c r="V845" s="57"/>
      <c r="W845" s="57"/>
      <c r="X845" s="57"/>
      <c r="Y845" s="57"/>
      <c r="Z845" s="57"/>
    </row>
    <row r="846">
      <c r="A846" s="56" t="str">
        <f>IFERROR(__xludf.DUMMYFUNCTION("IF('AYIRA MINI MART FINAL MENU - Pr'!A846="""", """", IF(LEN(TRIM(REGEXREPLACE(REGEXREPLACE('AYIRA MINI MART FINAL MENU - Pr'!A846, ""^[^\x{0600}-\x{06FF}]+"", """"), ""^[-–\s]+"", """")))&gt;0, TRIM(REGEXREPLACE(REGEXREPLACE('AYIRA MINI MART FINAL MENU - Pr"&amp;"'!A846, ""^[^\x{0600}-\x{06FF}]+"", """"), ""^[-–\s]+"", """")), GOOGLETRANSLATE('AYIRA MINI MART FINAL MENU - Pr'!A846, ""en"", ""ar"")))"),"غرام")</f>
        <v>غرام</v>
      </c>
      <c r="B846" s="56" t="str">
        <f>IFERROR(__xludf.DUMMYFUNCTION("IF('AYIRA MINI MART FINAL MENU - Pr'!B846="""", """", IF(LEN(TRIM(REGEXREPLACE(REGEXREPLACE('AYIRA MINI MART FINAL MENU - Pr'!B846, ""^[^\x{0600}-\x{06FF}]+"", """"), ""^[-–\s]+"", """")))&gt;0, TRIM(REGEXREPLACE(REGEXREPLACE('AYIRA MINI MART FINAL MENU - Pr"&amp;"'!B846, ""^[^\x{0600}-\x{06FF}]+"", """"), ""^[-–\s]+"", """")), GOOGLETRANSLATE('AYIRA MINI MART FINAL MENU - Pr'!B846, ""en"", ""ar"")))"),"المخبوزات والمعجنات")</f>
        <v>المخبوزات والمعجنات</v>
      </c>
      <c r="C846" s="58">
        <f>IF('AYIRA MINI MART FINAL MENU - Pr'!C846="", "", 'AYIRA MINI MART FINAL MENU - Pr'!C846)</f>
        <v>7.5</v>
      </c>
      <c r="D846" s="58" t="str">
        <f>IF('AYIRA MINI MART FINAL MENU - Pr'!D846="", "", 'AYIRA MINI MART FINAL MENU - Pr'!D846)</f>
        <v>لا تقاوم طعم Kifco Plain Rusks 385g،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46" s="56" t="str">
        <f>IF('AYIRA MINI MART FINAL MENU - Pr'!E846="", "", 'AYIRA MINI MART FINAL MENU - Pr'!E846)</f>
        <v/>
      </c>
      <c r="F846" s="56" t="str">
        <f>IF('AYIRA MINI MART FINAL MENU - Pr'!F846="", "", 'AYIRA MINI MART FINAL MENU - Pr'!F846)</f>
        <v/>
      </c>
      <c r="G846" s="56" t="str">
        <f>IF('AYIRA MINI MART FINAL MENU - Pr'!G846="", "", 'AYIRA MINI MART FINAL MENU - Pr'!G846)</f>
        <v/>
      </c>
      <c r="H846" s="56" t="str">
        <f>IF('AYIRA MINI MART FINAL MENU - Pr'!H846="", "", 'AYIRA MINI MART FINAL MENU - Pr'!H846)</f>
        <v/>
      </c>
      <c r="I846" s="56" t="str">
        <f>IF('AYIRA MINI MART FINAL MENU - Pr'!I846="", "", 'AYIRA MINI MART FINAL MENU - Pr'!I846)</f>
        <v/>
      </c>
      <c r="J846" s="56" t="str">
        <f>IFERROR(__xludf.DUMMYFUNCTION("IF('AYIRA MINI MART FINAL MENU - Pr'!J846="""", """", GOOGLETRANSLATE('AYIRA MINI MART FINAL MENU - Pr'!J846, ""en"", ""ar""))"),"يخفي")</f>
        <v>يخفي</v>
      </c>
      <c r="K846" s="56" t="str">
        <f>IF('AYIRA MINI MART FINAL MENU - Pr'!K846="", "", 'AYIRA MINI MART FINAL MENU - Pr'!K846)</f>
        <v/>
      </c>
      <c r="L846" s="56" t="str">
        <f>IF('AYIRA MINI MART FINAL MENU - Pr'!L846="", "", 'AYIRA MINI MART FINAL MENU - Pr'!L846)</f>
        <v/>
      </c>
      <c r="M846" s="56" t="str">
        <f>IF('AYIRA MINI MART FINAL MENU - Pr'!M846="", "", 'AYIRA MINI MART FINAL MENU - Pr'!M846)</f>
        <v/>
      </c>
      <c r="N846" s="56" t="str">
        <f>IF('AYIRA MINI MART FINAL MENU - Pr'!N846="", "", 'AYIRA MINI MART FINAL MENU - Pr'!N846)</f>
        <v/>
      </c>
      <c r="O846" s="57"/>
      <c r="P846" s="57"/>
      <c r="Q846" s="57"/>
      <c r="R846" s="57"/>
      <c r="S846" s="57"/>
      <c r="T846" s="57"/>
      <c r="U846" s="57"/>
      <c r="V846" s="57"/>
      <c r="W846" s="57"/>
      <c r="X846" s="57"/>
      <c r="Y846" s="57"/>
      <c r="Z846" s="57"/>
    </row>
    <row r="847">
      <c r="A847" s="56" t="str">
        <f>IFERROR(__xludf.DUMMYFUNCTION("IF('AYIRA MINI MART FINAL MENU - Pr'!A847="""", """", IF(LEN(TRIM(REGEXREPLACE(REGEXREPLACE('AYIRA MINI MART FINAL MENU - Pr'!A847, ""^[^\x{0600}-\x{06FF}]+"", """"), ""^[-–\s]+"", """")))&gt;0, TRIM(REGEXREPLACE(REGEXREPLACE('AYIRA MINI MART FINAL MENU - Pr"&amp;"'!A847, ""^[^\x{0600}-\x{06FF}]+"", """"), ""^[-–\s]+"", """")), GOOGLETRANSLATE('AYIRA MINI MART FINAL MENU - Pr'!A847, ""en"", ""ar"")))"),"غرام")</f>
        <v>غرام</v>
      </c>
      <c r="B847" s="56" t="str">
        <f>IFERROR(__xludf.DUMMYFUNCTION("IF('AYIRA MINI MART FINAL MENU - Pr'!B847="""", """", IF(LEN(TRIM(REGEXREPLACE(REGEXREPLACE('AYIRA MINI MART FINAL MENU - Pr'!B847, ""^[^\x{0600}-\x{06FF}]+"", """"), ""^[-–\s]+"", """")))&gt;0, TRIM(REGEXREPLACE(REGEXREPLACE('AYIRA MINI MART FINAL MENU - Pr"&amp;"'!B847, ""^[^\x{0600}-\x{06FF}]+"", """"), ""^[-–\s]+"", """")), GOOGLETRANSLATE('AYIRA MINI MART FINAL MENU - Pr'!B847, ""en"", ""ar"")))"),"المخبوزات والمعجنات")</f>
        <v>المخبوزات والمعجنات</v>
      </c>
      <c r="C847" s="56" t="str">
        <f>IF('AYIRA MINI MART FINAL MENU - Pr'!C847="", "", 'AYIRA MINI MART FINAL MENU - Pr'!C847)</f>
        <v/>
      </c>
      <c r="D847" s="58" t="str">
        <f>IF('AYIRA MINI MART FINAL MENU - Pr'!D847="", "", 'AYIRA MINI MART FINAL MENU - Pr'!D847)</f>
        <v>لا تقاوم طعم PRAN Special Toast (Rusk) – 385g،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47" s="56" t="str">
        <f>IF('AYIRA MINI MART FINAL MENU - Pr'!E847="", "", 'AYIRA MINI MART FINAL MENU - Pr'!E847)</f>
        <v/>
      </c>
      <c r="F847" s="56" t="str">
        <f>IF('AYIRA MINI MART FINAL MENU - Pr'!F847="", "", 'AYIRA MINI MART FINAL MENU - Pr'!F847)</f>
        <v/>
      </c>
      <c r="G847" s="56" t="str">
        <f>IF('AYIRA MINI MART FINAL MENU - Pr'!G847="", "", 'AYIRA MINI MART FINAL MENU - Pr'!G847)</f>
        <v/>
      </c>
      <c r="H847" s="56" t="str">
        <f>IF('AYIRA MINI MART FINAL MENU - Pr'!H847="", "", 'AYIRA MINI MART FINAL MENU - Pr'!H847)</f>
        <v/>
      </c>
      <c r="I847" s="56" t="str">
        <f>IF('AYIRA MINI MART FINAL MENU - Pr'!I847="", "", 'AYIRA MINI MART FINAL MENU - Pr'!I847)</f>
        <v/>
      </c>
      <c r="J847" s="56" t="str">
        <f>IFERROR(__xludf.DUMMYFUNCTION("IF('AYIRA MINI MART FINAL MENU - Pr'!J847="""", """", GOOGLETRANSLATE('AYIRA MINI MART FINAL MENU - Pr'!J847, ""en"", ""ar""))"),"يخفي")</f>
        <v>يخفي</v>
      </c>
      <c r="K847" s="56" t="str">
        <f>IF('AYIRA MINI MART FINAL MENU - Pr'!K847="", "", 'AYIRA MINI MART FINAL MENU - Pr'!K847)</f>
        <v/>
      </c>
      <c r="L847" s="56" t="str">
        <f>IF('AYIRA MINI MART FINAL MENU - Pr'!L847="", "", 'AYIRA MINI MART FINAL MENU - Pr'!L847)</f>
        <v/>
      </c>
      <c r="M847" s="56" t="str">
        <f>IF('AYIRA MINI MART FINAL MENU - Pr'!M847="", "", 'AYIRA MINI MART FINAL MENU - Pr'!M847)</f>
        <v/>
      </c>
      <c r="N847" s="56" t="str">
        <f>IF('AYIRA MINI MART FINAL MENU - Pr'!N847="", "", 'AYIRA MINI MART FINAL MENU - Pr'!N847)</f>
        <v/>
      </c>
      <c r="O847" s="57"/>
      <c r="P847" s="57"/>
      <c r="Q847" s="57"/>
      <c r="R847" s="57"/>
      <c r="S847" s="57"/>
      <c r="T847" s="57"/>
      <c r="U847" s="57"/>
      <c r="V847" s="57"/>
      <c r="W847" s="57"/>
      <c r="X847" s="57"/>
      <c r="Y847" s="57"/>
      <c r="Z847" s="57"/>
    </row>
    <row r="848">
      <c r="A848" s="56" t="str">
        <f>IFERROR(__xludf.DUMMYFUNCTION("IF('AYIRA MINI MART FINAL MENU - Pr'!A848="""", """", IF(LEN(TRIM(REGEXREPLACE(REGEXREPLACE('AYIRA MINI MART FINAL MENU - Pr'!A848, ""^[^\x{0600}-\x{06FF}]+"", """"), ""^[-–\s]+"", """")))&gt;0, TRIM(REGEXREPLACE(REGEXREPLACE('AYIRA MINI MART FINAL MENU - Pr"&amp;"'!A848, ""^[^\x{0600}-\x{06FF}]+"", """"), ""^[-–\s]+"", """")), GOOGLETRANSLATE('AYIRA MINI MART FINAL MENU - Pr'!A848, ""en"", ""ar"")))"),"محمص &amp; مملح 25 غرام")</f>
        <v>محمص &amp; مملح 25 غرام</v>
      </c>
      <c r="B848" s="56" t="str">
        <f>IFERROR(__xludf.DUMMYFUNCTION("IF('AYIRA MINI MART FINAL MENU - Pr'!B848="""", """", IF(LEN(TRIM(REGEXREPLACE(REGEXREPLACE('AYIRA MINI MART FINAL MENU - Pr'!B848, ""^[^\x{0600}-\x{06FF}]+"", """"), ""^[-–\s]+"", """")))&gt;0, TRIM(REGEXREPLACE(REGEXREPLACE('AYIRA MINI MART FINAL MENU - Pr"&amp;"'!B848, ""^[^\x{0600}-\x{06FF}]+"", """"), ""^[-–\s]+"", """")), GOOGLETRANSLATE('AYIRA MINI MART FINAL MENU - Pr'!B848, ""en"", ""ar"")))"),"المكسرات والبذور")</f>
        <v>المكسرات والبذور</v>
      </c>
      <c r="C848" s="58">
        <f>IF('AYIRA MINI MART FINAL MENU - Pr'!C848="", "", 'AYIRA MINI MART FINAL MENU - Pr'!C848)</f>
        <v>1</v>
      </c>
      <c r="D848" s="58" t="str">
        <f>IF('AYIRA MINI MART FINAL MENU - Pr'!D848="", "", 'AYIRA MINI MART FINAL MENU - Pr'!D848)</f>
        <v>اختر Topsy Sunflower Seeds Roasted &amp; Salted 25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848" s="56" t="str">
        <f>IF('AYIRA MINI MART FINAL MENU - Pr'!E848="", "", 'AYIRA MINI MART FINAL MENU - Pr'!E848)</f>
        <v/>
      </c>
      <c r="F848" s="56" t="str">
        <f>IF('AYIRA MINI MART FINAL MENU - Pr'!F848="", "", 'AYIRA MINI MART FINAL MENU - Pr'!F848)</f>
        <v/>
      </c>
      <c r="G848" s="56" t="str">
        <f>IF('AYIRA MINI MART FINAL MENU - Pr'!G848="", "", 'AYIRA MINI MART FINAL MENU - Pr'!G848)</f>
        <v/>
      </c>
      <c r="H848" s="56" t="str">
        <f>IF('AYIRA MINI MART FINAL MENU - Pr'!H848="", "", 'AYIRA MINI MART FINAL MENU - Pr'!H848)</f>
        <v/>
      </c>
      <c r="I848" s="56" t="str">
        <f>IF('AYIRA MINI MART FINAL MENU - Pr'!I848="", "", 'AYIRA MINI MART FINAL MENU - Pr'!I848)</f>
        <v/>
      </c>
      <c r="J848" s="56" t="str">
        <f>IFERROR(__xludf.DUMMYFUNCTION("IF('AYIRA MINI MART FINAL MENU - Pr'!J848="""", """", GOOGLETRANSLATE('AYIRA MINI MART FINAL MENU - Pr'!J848, ""en"", ""ar""))"),"")</f>
        <v/>
      </c>
      <c r="K848" s="56" t="str">
        <f>IF('AYIRA MINI MART FINAL MENU - Pr'!K848="", "", 'AYIRA MINI MART FINAL MENU - Pr'!K848)</f>
        <v/>
      </c>
      <c r="L848" s="56" t="str">
        <f>IF('AYIRA MINI MART FINAL MENU - Pr'!L848="", "", 'AYIRA MINI MART FINAL MENU - Pr'!L848)</f>
        <v/>
      </c>
      <c r="M848" s="56" t="str">
        <f>IF('AYIRA MINI MART FINAL MENU - Pr'!M848="", "", 'AYIRA MINI MART FINAL MENU - Pr'!M848)</f>
        <v/>
      </c>
      <c r="N848" s="56" t="str">
        <f>IF('AYIRA MINI MART FINAL MENU - Pr'!N848="", "", 'AYIRA MINI MART FINAL MENU - Pr'!N848)</f>
        <v/>
      </c>
      <c r="O848" s="57"/>
      <c r="P848" s="57"/>
      <c r="Q848" s="57"/>
      <c r="R848" s="57"/>
      <c r="S848" s="57"/>
      <c r="T848" s="57"/>
      <c r="U848" s="57"/>
      <c r="V848" s="57"/>
      <c r="W848" s="57"/>
      <c r="X848" s="57"/>
      <c r="Y848" s="57"/>
      <c r="Z848" s="57"/>
    </row>
    <row r="849">
      <c r="A849" s="56" t="str">
        <f>IFERROR(__xludf.DUMMYFUNCTION("IF('AYIRA MINI MART FINAL MENU - Pr'!A849="""", """", IF(LEN(TRIM(REGEXREPLACE(REGEXREPLACE('AYIRA MINI MART FINAL MENU - Pr'!A849, ""^[^\x{0600}-\x{06FF}]+"", """"), ""^[-–\s]+"", """")))&gt;0, TRIM(REGEXREPLACE(REGEXREPLACE('AYIRA MINI MART FINAL MENU - Pr"&amp;"'!A849, ""^[^\x{0600}-\x{06FF}]+"", """"), ""^[-–\s]+"", """")), GOOGLETRANSLATE('AYIRA MINI MART FINAL MENU - Pr'!A849, ""en"", ""ar"")))"),"غرام")</f>
        <v>غرام</v>
      </c>
      <c r="B849" s="56" t="str">
        <f>IFERROR(__xludf.DUMMYFUNCTION("IF('AYIRA MINI MART FINAL MENU - Pr'!B849="""", """", IF(LEN(TRIM(REGEXREPLACE(REGEXREPLACE('AYIRA MINI MART FINAL MENU - Pr'!B849, ""^[^\x{0600}-\x{06FF}]+"", """"), ""^[-–\s]+"", """")))&gt;0, TRIM(REGEXREPLACE(REGEXREPLACE('AYIRA MINI MART FINAL MENU - Pr"&amp;"'!B849, ""^[^\x{0600}-\x{06FF}]+"", """"), ""^[-–\s]+"", """")), GOOGLETRANSLATE('AYIRA MINI MART FINAL MENU - Pr'!B849, ""en"", ""ar"")))"),"وجبات خفيفة 🍿")</f>
        <v>وجبات خفيفة 🍿</v>
      </c>
      <c r="C849" s="58">
        <f>IF('AYIRA MINI MART FINAL MENU - Pr'!C849="", "", 'AYIRA MINI MART FINAL MENU - Pr'!C849)</f>
        <v>1</v>
      </c>
      <c r="D849" s="58" t="str">
        <f>IF('AYIRA MINI MART FINAL MENU - Pr'!D849="", "", 'AYIRA MINI MART FINAL MENU - Pr'!D849)</f>
        <v>لا تقاوم طعم PRAN Jhal Muri 50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49" s="56" t="str">
        <f>IF('AYIRA MINI MART FINAL MENU - Pr'!E849="", "", 'AYIRA MINI MART FINAL MENU - Pr'!E849)</f>
        <v/>
      </c>
      <c r="F849" s="56" t="str">
        <f>IF('AYIRA MINI MART FINAL MENU - Pr'!F849="", "", 'AYIRA MINI MART FINAL MENU - Pr'!F849)</f>
        <v/>
      </c>
      <c r="G849" s="56" t="str">
        <f>IF('AYIRA MINI MART FINAL MENU - Pr'!G849="", "", 'AYIRA MINI MART FINAL MENU - Pr'!G849)</f>
        <v/>
      </c>
      <c r="H849" s="56" t="str">
        <f>IF('AYIRA MINI MART FINAL MENU - Pr'!H849="", "", 'AYIRA MINI MART FINAL MENU - Pr'!H849)</f>
        <v/>
      </c>
      <c r="I849" s="56" t="str">
        <f>IF('AYIRA MINI MART FINAL MENU - Pr'!I849="", "", 'AYIRA MINI MART FINAL MENU - Pr'!I849)</f>
        <v/>
      </c>
      <c r="J849" s="56" t="str">
        <f>IFERROR(__xludf.DUMMYFUNCTION("IF('AYIRA MINI MART FINAL MENU - Pr'!J849="""", """", GOOGLETRANSLATE('AYIRA MINI MART FINAL MENU - Pr'!J849, ""en"", ""ar""))"),"يخفي")</f>
        <v>يخفي</v>
      </c>
      <c r="K849" s="56" t="str">
        <f>IF('AYIRA MINI MART FINAL MENU - Pr'!K849="", "", 'AYIRA MINI MART FINAL MENU - Pr'!K849)</f>
        <v/>
      </c>
      <c r="L849" s="56" t="str">
        <f>IF('AYIRA MINI MART FINAL MENU - Pr'!L849="", "", 'AYIRA MINI MART FINAL MENU - Pr'!L849)</f>
        <v/>
      </c>
      <c r="M849" s="56" t="str">
        <f>IF('AYIRA MINI MART FINAL MENU - Pr'!M849="", "", 'AYIRA MINI MART FINAL MENU - Pr'!M849)</f>
        <v/>
      </c>
      <c r="N849" s="56" t="str">
        <f>IF('AYIRA MINI MART FINAL MENU - Pr'!N849="", "", 'AYIRA MINI MART FINAL MENU - Pr'!N849)</f>
        <v/>
      </c>
      <c r="O849" s="57"/>
      <c r="P849" s="57"/>
      <c r="Q849" s="57"/>
      <c r="R849" s="57"/>
      <c r="S849" s="57"/>
      <c r="T849" s="57"/>
      <c r="U849" s="57"/>
      <c r="V849" s="57"/>
      <c r="W849" s="57"/>
      <c r="X849" s="57"/>
      <c r="Y849" s="57"/>
      <c r="Z849" s="57"/>
    </row>
    <row r="850">
      <c r="A850" s="56" t="str">
        <f>IFERROR(__xludf.DUMMYFUNCTION("IF('AYIRA MINI MART FINAL MENU - Pr'!A850="""", """", IF(LEN(TRIM(REGEXREPLACE(REGEXREPLACE('AYIRA MINI MART FINAL MENU - Pr'!A850, ""^[^\x{0600}-\x{06FF}]+"", """"), ""^[-–\s]+"", """")))&gt;0, TRIM(REGEXREPLACE(REGEXREPLACE('AYIRA MINI MART FINAL MENU - Pr"&amp;"'!A850, ""^[^\x{0600}-\x{06FF}]+"", """"), ""^[-–\s]+"", """")), GOOGLETRANSLATE('AYIRA MINI MART FINAL MENU - Pr'!A850, ""en"", ""ar"")))"),"فشار 35 غرام")</f>
        <v>فشار 35 غرام</v>
      </c>
      <c r="B850" s="56" t="str">
        <f>IFERROR(__xludf.DUMMYFUNCTION("IF('AYIRA MINI MART FINAL MENU - Pr'!B850="""", """", IF(LEN(TRIM(REGEXREPLACE(REGEXREPLACE('AYIRA MINI MART FINAL MENU - Pr'!B850, ""^[^\x{0600}-\x{06FF}]+"", """"), ""^[-–\s]+"", """")))&gt;0, TRIM(REGEXREPLACE(REGEXREPLACE('AYIRA MINI MART FINAL MENU - Pr"&amp;"'!B850, ""^[^\x{0600}-\x{06FF}]+"", """"), ""^[-–\s]+"", """")), GOOGLETRANSLATE('AYIRA MINI MART FINAL MENU - Pr'!B850, ""en"", ""ar"")))"),"وجبات خفيفة 🍿")</f>
        <v>وجبات خفيفة 🍿</v>
      </c>
      <c r="C850" s="58">
        <f>IF('AYIRA MINI MART FINAL MENU - Pr'!C850="", "", 'AYIRA MINI MART FINAL MENU - Pr'!C850)</f>
        <v>1</v>
      </c>
      <c r="D850" s="58" t="str">
        <f>IF('AYIRA MINI MART FINAL MENU - Pr'!D850="", "", 'AYIRA MINI MART FINAL MENU - Pr'!D850)</f>
        <v>لا تقاوم طعم Topsy Popcorn 35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50" s="56" t="str">
        <f>IF('AYIRA MINI MART FINAL MENU - Pr'!E850="", "", 'AYIRA MINI MART FINAL MENU - Pr'!E850)</f>
        <v/>
      </c>
      <c r="F850" s="56" t="str">
        <f>IF('AYIRA MINI MART FINAL MENU - Pr'!F850="", "", 'AYIRA MINI MART FINAL MENU - Pr'!F850)</f>
        <v/>
      </c>
      <c r="G850" s="56" t="str">
        <f>IF('AYIRA MINI MART FINAL MENU - Pr'!G850="", "", 'AYIRA MINI MART FINAL MENU - Pr'!G850)</f>
        <v/>
      </c>
      <c r="H850" s="56" t="str">
        <f>IF('AYIRA MINI MART FINAL MENU - Pr'!H850="", "", 'AYIRA MINI MART FINAL MENU - Pr'!H850)</f>
        <v/>
      </c>
      <c r="I850" s="56" t="str">
        <f>IF('AYIRA MINI MART FINAL MENU - Pr'!I850="", "", 'AYIRA MINI MART FINAL MENU - Pr'!I850)</f>
        <v/>
      </c>
      <c r="J850" s="56" t="str">
        <f>IFERROR(__xludf.DUMMYFUNCTION("IF('AYIRA MINI MART FINAL MENU - Pr'!J850="""", """", GOOGLETRANSLATE('AYIRA MINI MART FINAL MENU - Pr'!J850, ""en"", ""ar""))"),"")</f>
        <v/>
      </c>
      <c r="K850" s="56" t="str">
        <f>IF('AYIRA MINI MART FINAL MENU - Pr'!K850="", "", 'AYIRA MINI MART FINAL MENU - Pr'!K850)</f>
        <v/>
      </c>
      <c r="L850" s="56" t="str">
        <f>IF('AYIRA MINI MART FINAL MENU - Pr'!L850="", "", 'AYIRA MINI MART FINAL MENU - Pr'!L850)</f>
        <v/>
      </c>
      <c r="M850" s="56" t="str">
        <f>IF('AYIRA MINI MART FINAL MENU - Pr'!M850="", "", 'AYIRA MINI MART FINAL MENU - Pr'!M850)</f>
        <v/>
      </c>
      <c r="N850" s="56" t="str">
        <f>IF('AYIRA MINI MART FINAL MENU - Pr'!N850="", "", 'AYIRA MINI MART FINAL MENU - Pr'!N850)</f>
        <v/>
      </c>
      <c r="O850" s="57"/>
      <c r="P850" s="57"/>
      <c r="Q850" s="57"/>
      <c r="R850" s="57"/>
      <c r="S850" s="57"/>
      <c r="T850" s="57"/>
      <c r="U850" s="57"/>
      <c r="V850" s="57"/>
      <c r="W850" s="57"/>
      <c r="X850" s="57"/>
      <c r="Y850" s="57"/>
      <c r="Z850" s="57"/>
    </row>
    <row r="851">
      <c r="A851" s="56" t="str">
        <f>IFERROR(__xludf.DUMMYFUNCTION("IF('AYIRA MINI MART FINAL MENU - Pr'!A851="""", """", IF(LEN(TRIM(REGEXREPLACE(REGEXREPLACE('AYIRA MINI MART FINAL MENU - Pr'!A851, ""^[^\x{0600}-\x{06FF}]+"", """"), ""^[-–\s]+"", """")))&gt;0, TRIM(REGEXREPLACE(REGEXREPLACE('AYIRA MINI MART FINAL MENU - Pr"&amp;"'!A851, ""^[^\x{0600}-\x{06FF}]+"", """"), ""^[-–\s]+"", """")), GOOGLETRANSLATE('AYIRA MINI MART FINAL MENU - Pr'!A851, ""en"", ""ar"")))"),"جبنة فشار 18 غرام")</f>
        <v>جبنة فشار 18 غرام</v>
      </c>
      <c r="B851" s="56" t="str">
        <f>IFERROR(__xludf.DUMMYFUNCTION("IF('AYIRA MINI MART FINAL MENU - Pr'!B851="""", """", IF(LEN(TRIM(REGEXREPLACE(REGEXREPLACE('AYIRA MINI MART FINAL MENU - Pr'!B851, ""^[^\x{0600}-\x{06FF}]+"", """"), ""^[-–\s]+"", """")))&gt;0, TRIM(REGEXREPLACE(REGEXREPLACE('AYIRA MINI MART FINAL MENU - Pr"&amp;"'!B851, ""^[^\x{0600}-\x{06FF}]+"", """"), ""^[-–\s]+"", """")), GOOGLETRANSLATE('AYIRA MINI MART FINAL MENU - Pr'!B851, ""en"", ""ar"")))"),"وجبات خفيفة 🍿")</f>
        <v>وجبات خفيفة 🍿</v>
      </c>
      <c r="C851" s="58">
        <f>IF('AYIRA MINI MART FINAL MENU - Pr'!C851="", "", 'AYIRA MINI MART FINAL MENU - Pr'!C851)</f>
        <v>1</v>
      </c>
      <c r="D851" s="58" t="str">
        <f>IF('AYIRA MINI MART FINAL MENU - Pr'!D851="", "", 'AYIRA MINI MART FINAL MENU - Pr'!D851)</f>
        <v>لا تقاوم طعم Topsy Cheese Popcorn 18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51" s="56" t="str">
        <f>IF('AYIRA MINI MART FINAL MENU - Pr'!E851="", "", 'AYIRA MINI MART FINAL MENU - Pr'!E851)</f>
        <v/>
      </c>
      <c r="F851" s="56" t="str">
        <f>IF('AYIRA MINI MART FINAL MENU - Pr'!F851="", "", 'AYIRA MINI MART FINAL MENU - Pr'!F851)</f>
        <v/>
      </c>
      <c r="G851" s="56" t="str">
        <f>IF('AYIRA MINI MART FINAL MENU - Pr'!G851="", "", 'AYIRA MINI MART FINAL MENU - Pr'!G851)</f>
        <v/>
      </c>
      <c r="H851" s="56" t="str">
        <f>IF('AYIRA MINI MART FINAL MENU - Pr'!H851="", "", 'AYIRA MINI MART FINAL MENU - Pr'!H851)</f>
        <v/>
      </c>
      <c r="I851" s="56" t="str">
        <f>IF('AYIRA MINI MART FINAL MENU - Pr'!I851="", "", 'AYIRA MINI MART FINAL MENU - Pr'!I851)</f>
        <v/>
      </c>
      <c r="J851" s="56" t="str">
        <f>IFERROR(__xludf.DUMMYFUNCTION("IF('AYIRA MINI MART FINAL MENU - Pr'!J851="""", """", GOOGLETRANSLATE('AYIRA MINI MART FINAL MENU - Pr'!J851, ""en"", ""ar""))"),"")</f>
        <v/>
      </c>
      <c r="K851" s="56" t="str">
        <f>IF('AYIRA MINI MART FINAL MENU - Pr'!K851="", "", 'AYIRA MINI MART FINAL MENU - Pr'!K851)</f>
        <v/>
      </c>
      <c r="L851" s="56" t="str">
        <f>IF('AYIRA MINI MART FINAL MENU - Pr'!L851="", "", 'AYIRA MINI MART FINAL MENU - Pr'!L851)</f>
        <v/>
      </c>
      <c r="M851" s="56" t="str">
        <f>IF('AYIRA MINI MART FINAL MENU - Pr'!M851="", "", 'AYIRA MINI MART FINAL MENU - Pr'!M851)</f>
        <v/>
      </c>
      <c r="N851" s="56" t="str">
        <f>IF('AYIRA MINI MART FINAL MENU - Pr'!N851="", "", 'AYIRA MINI MART FINAL MENU - Pr'!N851)</f>
        <v/>
      </c>
      <c r="O851" s="57"/>
      <c r="P851" s="57"/>
      <c r="Q851" s="57"/>
      <c r="R851" s="57"/>
      <c r="S851" s="57"/>
      <c r="T851" s="57"/>
      <c r="U851" s="57"/>
      <c r="V851" s="57"/>
      <c r="W851" s="57"/>
      <c r="X851" s="57"/>
      <c r="Y851" s="57"/>
      <c r="Z851" s="57"/>
    </row>
    <row r="852">
      <c r="A852" s="56" t="str">
        <f>IFERROR(__xludf.DUMMYFUNCTION("IF('AYIRA MINI MART FINAL MENU - Pr'!A852="""", """", IF(LEN(TRIM(REGEXREPLACE(REGEXREPLACE('AYIRA MINI MART FINAL MENU - Pr'!A852, ""^[^\x{0600}-\x{06FF}]+"", """"), ""^[-–\s]+"", """")))&gt;0, TRIM(REGEXREPLACE(REGEXREPLACE('AYIRA MINI MART FINAL MENU - Pr"&amp;"'!A852, ""^[^\x{0600}-\x{06FF}]+"", """"), ""^[-–\s]+"", """")), GOOGLETRANSLATE('AYIRA MINI MART FINAL MENU - Pr'!A852, ""en"", ""ar"")))"),"أصلي Butterscotch Candy 150 غرام")</f>
        <v>أصلي Butterscotch Candy 150 غرام</v>
      </c>
      <c r="B852" s="56" t="str">
        <f>IFERROR(__xludf.DUMMYFUNCTION("IF('AYIRA MINI MART FINAL MENU - Pr'!B852="""", """", IF(LEN(TRIM(REGEXREPLACE(REGEXREPLACE('AYIRA MINI MART FINAL MENU - Pr'!B852, ""^[^\x{0600}-\x{06FF}]+"", """"), ""^[-–\s]+"", """")))&gt;0, TRIM(REGEXREPLACE(REGEXREPLACE('AYIRA MINI MART FINAL MENU - Pr"&amp;"'!B852, ""^[^\x{0600}-\x{06FF}]+"", """"), ""^[-–\s]+"", """")), GOOGLETRANSLATE('AYIRA MINI MART FINAL MENU - Pr'!B852, ""en"", ""ar"")))"),"الشوكولاتة")</f>
        <v>الشوكولاتة</v>
      </c>
      <c r="C852" s="56" t="str">
        <f>IF('AYIRA MINI MART FINAL MENU - Pr'!C852="", "", 'AYIRA MINI MART FINAL MENU - Pr'!C852)</f>
        <v/>
      </c>
      <c r="D852" s="58" t="str">
        <f>IF('AYIRA MINI MART FINAL MENU - Pr'!D852="", "", 'AYIRA MINI MART FINAL MENU - Pr'!D852)</f>
        <v>أضف لحظة حلوة إلى يومك مع Napoleon Original Butterscotch Candy 150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52" s="56" t="str">
        <f>IF('AYIRA MINI MART FINAL MENU - Pr'!E852="", "", 'AYIRA MINI MART FINAL MENU - Pr'!E852)</f>
        <v/>
      </c>
      <c r="F852" s="56" t="str">
        <f>IF('AYIRA MINI MART FINAL MENU - Pr'!F852="", "", 'AYIRA MINI MART FINAL MENU - Pr'!F852)</f>
        <v/>
      </c>
      <c r="G852" s="56" t="str">
        <f>IF('AYIRA MINI MART FINAL MENU - Pr'!G852="", "", 'AYIRA MINI MART FINAL MENU - Pr'!G852)</f>
        <v/>
      </c>
      <c r="H852" s="56" t="str">
        <f>IF('AYIRA MINI MART FINAL MENU - Pr'!H852="", "", 'AYIRA MINI MART FINAL MENU - Pr'!H852)</f>
        <v/>
      </c>
      <c r="I852" s="56" t="str">
        <f>IF('AYIRA MINI MART FINAL MENU - Pr'!I852="", "", 'AYIRA MINI MART FINAL MENU - Pr'!I852)</f>
        <v/>
      </c>
      <c r="J852" s="56" t="str">
        <f>IFERROR(__xludf.DUMMYFUNCTION("IF('AYIRA MINI MART FINAL MENU - Pr'!J852="""", """", GOOGLETRANSLATE('AYIRA MINI MART FINAL MENU - Pr'!J852, ""en"", ""ar""))"),"إنتهى من المخزن")</f>
        <v>إنتهى من المخزن</v>
      </c>
      <c r="K852" s="56" t="str">
        <f>IF('AYIRA MINI MART FINAL MENU - Pr'!K852="", "", 'AYIRA MINI MART FINAL MENU - Pr'!K852)</f>
        <v/>
      </c>
      <c r="L852" s="56" t="str">
        <f>IF('AYIRA MINI MART FINAL MENU - Pr'!L852="", "", 'AYIRA MINI MART FINAL MENU - Pr'!L852)</f>
        <v/>
      </c>
      <c r="M852" s="56" t="str">
        <f>IF('AYIRA MINI MART FINAL MENU - Pr'!M852="", "", 'AYIRA MINI MART FINAL MENU - Pr'!M852)</f>
        <v/>
      </c>
      <c r="N852" s="56" t="str">
        <f>IF('AYIRA MINI MART FINAL MENU - Pr'!N852="", "", 'AYIRA MINI MART FINAL MENU - Pr'!N852)</f>
        <v/>
      </c>
      <c r="O852" s="57"/>
      <c r="P852" s="57"/>
      <c r="Q852" s="57"/>
      <c r="R852" s="57"/>
      <c r="S852" s="57"/>
      <c r="T852" s="57"/>
      <c r="U852" s="57"/>
      <c r="V852" s="57"/>
      <c r="W852" s="57"/>
      <c r="X852" s="57"/>
      <c r="Y852" s="57"/>
      <c r="Z852" s="57"/>
    </row>
    <row r="853">
      <c r="A853" s="56" t="str">
        <f>IFERROR(__xludf.DUMMYFUNCTION("IF('AYIRA MINI MART FINAL MENU - Pr'!A853="""", """", IF(LEN(TRIM(REGEXREPLACE(REGEXREPLACE('AYIRA MINI MART FINAL MENU - Pr'!A853, ""^[^\x{0600}-\x{06FF}]+"", """"), ""^[-–\s]+"", """")))&gt;0, TRIM(REGEXREPLACE(REGEXREPLACE('AYIRA MINI MART FINAL MENU - Pr"&amp;"'!A853, ""^[^\x{0600}-\x{06FF}]+"", """"), ""^[-–\s]+"", """")), GOOGLETRANSLATE('AYIRA MINI MART FINAL MENU - Pr'!A853, ""en"", ""ar"")))"),"فانيليا Flavour Butterscotch Candy 150 غرام")</f>
        <v>فانيليا Flavour Butterscotch Candy 150 غرام</v>
      </c>
      <c r="B853" s="56" t="str">
        <f>IFERROR(__xludf.DUMMYFUNCTION("IF('AYIRA MINI MART FINAL MENU - Pr'!B853="""", """", IF(LEN(TRIM(REGEXREPLACE(REGEXREPLACE('AYIRA MINI MART FINAL MENU - Pr'!B853, ""^[^\x{0600}-\x{06FF}]+"", """"), ""^[-–\s]+"", """")))&gt;0, TRIM(REGEXREPLACE(REGEXREPLACE('AYIRA MINI MART FINAL MENU - Pr"&amp;"'!B853, ""^[^\x{0600}-\x{06FF}]+"", """"), ""^[-–\s]+"", """")), GOOGLETRANSLATE('AYIRA MINI MART FINAL MENU - Pr'!B853, ""en"", ""ar"")))"),"الشوكولاتة")</f>
        <v>الشوكولاتة</v>
      </c>
      <c r="C853" s="56" t="str">
        <f>IF('AYIRA MINI MART FINAL MENU - Pr'!C853="", "", 'AYIRA MINI MART FINAL MENU - Pr'!C853)</f>
        <v/>
      </c>
      <c r="D853" s="58" t="str">
        <f>IF('AYIRA MINI MART FINAL MENU - Pr'!D853="", "", 'AYIRA MINI MART FINAL MENU - Pr'!D853)</f>
        <v>أضف لحظة حلوة إلى يومك مع Napoleon Vanilla Flavour Butterscotch Candy 150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53" s="56" t="str">
        <f>IF('AYIRA MINI MART FINAL MENU - Pr'!E853="", "", 'AYIRA MINI MART FINAL MENU - Pr'!E853)</f>
        <v/>
      </c>
      <c r="F853" s="56" t="str">
        <f>IF('AYIRA MINI MART FINAL MENU - Pr'!F853="", "", 'AYIRA MINI MART FINAL MENU - Pr'!F853)</f>
        <v/>
      </c>
      <c r="G853" s="56" t="str">
        <f>IF('AYIRA MINI MART FINAL MENU - Pr'!G853="", "", 'AYIRA MINI MART FINAL MENU - Pr'!G853)</f>
        <v/>
      </c>
      <c r="H853" s="56" t="str">
        <f>IF('AYIRA MINI MART FINAL MENU - Pr'!H853="", "", 'AYIRA MINI MART FINAL MENU - Pr'!H853)</f>
        <v/>
      </c>
      <c r="I853" s="56" t="str">
        <f>IF('AYIRA MINI MART FINAL MENU - Pr'!I853="", "", 'AYIRA MINI MART FINAL MENU - Pr'!I853)</f>
        <v/>
      </c>
      <c r="J853" s="56" t="str">
        <f>IFERROR(__xludf.DUMMYFUNCTION("IF('AYIRA MINI MART FINAL MENU - Pr'!J853="""", """", GOOGLETRANSLATE('AYIRA MINI MART FINAL MENU - Pr'!J853, ""en"", ""ar""))"),"إنتهى من المخزن")</f>
        <v>إنتهى من المخزن</v>
      </c>
      <c r="K853" s="56" t="str">
        <f>IF('AYIRA MINI MART FINAL MENU - Pr'!K853="", "", 'AYIRA MINI MART FINAL MENU - Pr'!K853)</f>
        <v/>
      </c>
      <c r="L853" s="56" t="str">
        <f>IF('AYIRA MINI MART FINAL MENU - Pr'!L853="", "", 'AYIRA MINI MART FINAL MENU - Pr'!L853)</f>
        <v/>
      </c>
      <c r="M853" s="56" t="str">
        <f>IF('AYIRA MINI MART FINAL MENU - Pr'!M853="", "", 'AYIRA MINI MART FINAL MENU - Pr'!M853)</f>
        <v/>
      </c>
      <c r="N853" s="56" t="str">
        <f>IF('AYIRA MINI MART FINAL MENU - Pr'!N853="", "", 'AYIRA MINI MART FINAL MENU - Pr'!N853)</f>
        <v/>
      </c>
      <c r="O853" s="57"/>
      <c r="P853" s="57"/>
      <c r="Q853" s="57"/>
      <c r="R853" s="57"/>
      <c r="S853" s="57"/>
      <c r="T853" s="57"/>
      <c r="U853" s="57"/>
      <c r="V853" s="57"/>
      <c r="W853" s="57"/>
      <c r="X853" s="57"/>
      <c r="Y853" s="57"/>
      <c r="Z853" s="57"/>
    </row>
    <row r="854">
      <c r="A854" s="56" t="str">
        <f>IFERROR(__xludf.DUMMYFUNCTION("IF('AYIRA MINI MART FINAL MENU - Pr'!A854="""", """", IF(LEN(TRIM(REGEXREPLACE(REGEXREPLACE('AYIRA MINI MART FINAL MENU - Pr'!A854, ""^[^\x{0600}-\x{06FF}]+"", """"), ""^[-–\s]+"", """")))&gt;0, TRIM(REGEXREPLACE(REGEXREPLACE('AYIRA MINI MART FINAL MENU - Pr"&amp;"'!A854, ""^[^\x{0600}-\x{06FF}]+"", """"), ""^[-–\s]+"", """")), GOOGLETRANSLATE('AYIRA MINI MART FINAL MENU - Pr'!A854, ""en"", ""ar"")))"),"حليب شوكولاتة 30 غرام")</f>
        <v>حليب شوكولاتة 30 غرام</v>
      </c>
      <c r="B854" s="56" t="str">
        <f>IFERROR(__xludf.DUMMYFUNCTION("IF('AYIRA MINI MART FINAL MENU - Pr'!B854="""", """", IF(LEN(TRIM(REGEXREPLACE(REGEXREPLACE('AYIRA MINI MART FINAL MENU - Pr'!B854, ""^[^\x{0600}-\x{06FF}]+"", """"), ""^[-–\s]+"", """")))&gt;0, TRIM(REGEXREPLACE(REGEXREPLACE('AYIRA MINI MART FINAL MENU - Pr"&amp;"'!B854, ""^[^\x{0600}-\x{06FF}]+"", """"), ""^[-–\s]+"", """")), GOOGLETRANSLATE('AYIRA MINI MART FINAL MENU - Pr'!B854, ""en"", ""ar"")))"),"الشوكولاتة")</f>
        <v>الشوكولاتة</v>
      </c>
      <c r="C854" s="58">
        <f>IF('AYIRA MINI MART FINAL MENU - Pr'!C854="", "", 'AYIRA MINI MART FINAL MENU - Pr'!C854)</f>
        <v>2</v>
      </c>
      <c r="D854" s="58" t="str">
        <f>IF('AYIRA MINI MART FINAL MENU - Pr'!D854="", "", 'AYIRA MINI MART FINAL MENU - Pr'!D854)</f>
        <v>دلّل حواسك مع Ülker Napoliten Milk Chocolate 30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854" s="56" t="str">
        <f>IF('AYIRA MINI MART FINAL MENU - Pr'!E854="", "", 'AYIRA MINI MART FINAL MENU - Pr'!E854)</f>
        <v/>
      </c>
      <c r="F854" s="56" t="str">
        <f>IF('AYIRA MINI MART FINAL MENU - Pr'!F854="", "", 'AYIRA MINI MART FINAL MENU - Pr'!F854)</f>
        <v/>
      </c>
      <c r="G854" s="56" t="str">
        <f>IF('AYIRA MINI MART FINAL MENU - Pr'!G854="", "", 'AYIRA MINI MART FINAL MENU - Pr'!G854)</f>
        <v/>
      </c>
      <c r="H854" s="56" t="str">
        <f>IF('AYIRA MINI MART FINAL MENU - Pr'!H854="", "", 'AYIRA MINI MART FINAL MENU - Pr'!H854)</f>
        <v/>
      </c>
      <c r="I854" s="56" t="str">
        <f>IF('AYIRA MINI MART FINAL MENU - Pr'!I854="", "", 'AYIRA MINI MART FINAL MENU - Pr'!I854)</f>
        <v/>
      </c>
      <c r="J854" s="56" t="str">
        <f>IFERROR(__xludf.DUMMYFUNCTION("IF('AYIRA MINI MART FINAL MENU - Pr'!J854="""", """", GOOGLETRANSLATE('AYIRA MINI MART FINAL MENU - Pr'!J854, ""en"", ""ar""))"),"")</f>
        <v/>
      </c>
      <c r="K854" s="56" t="str">
        <f>IF('AYIRA MINI MART FINAL MENU - Pr'!K854="", "", 'AYIRA MINI MART FINAL MENU - Pr'!K854)</f>
        <v/>
      </c>
      <c r="L854" s="56" t="str">
        <f>IF('AYIRA MINI MART FINAL MENU - Pr'!L854="", "", 'AYIRA MINI MART FINAL MENU - Pr'!L854)</f>
        <v/>
      </c>
      <c r="M854" s="56" t="str">
        <f>IF('AYIRA MINI MART FINAL MENU - Pr'!M854="", "", 'AYIRA MINI MART FINAL MENU - Pr'!M854)</f>
        <v/>
      </c>
      <c r="N854" s="56" t="str">
        <f>IF('AYIRA MINI MART FINAL MENU - Pr'!N854="", "", 'AYIRA MINI MART FINAL MENU - Pr'!N854)</f>
        <v/>
      </c>
      <c r="O854" s="57"/>
      <c r="P854" s="57"/>
      <c r="Q854" s="57"/>
      <c r="R854" s="57"/>
      <c r="S854" s="57"/>
      <c r="T854" s="57"/>
      <c r="U854" s="57"/>
      <c r="V854" s="57"/>
      <c r="W854" s="57"/>
      <c r="X854" s="57"/>
      <c r="Y854" s="57"/>
      <c r="Z854" s="57"/>
    </row>
    <row r="855">
      <c r="A855" s="56" t="str">
        <f>IFERROR(__xludf.DUMMYFUNCTION("IF('AYIRA MINI MART FINAL MENU - Pr'!A855="""", """", IF(LEN(TRIM(REGEXREPLACE(REGEXREPLACE('AYIRA MINI MART FINAL MENU - Pr'!A855, ""^[^\x{0600}-\x{06FF}]+"", """"), ""^[-–\s]+"", """")))&gt;0, TRIM(REGEXREPLACE(REGEXREPLACE('AYIRA MINI MART FINAL MENU - Pr"&amp;"'!A855, ""^[^\x{0600}-\x{06FF}]+"", """"), ""^[-–\s]+"", """")), GOOGLETRANSLATE('AYIRA MINI MART FINAL MENU - Pr'!A855, ""en"", ""ar"")))"),"كراميل Nougat قطعة 16 غرام")</f>
        <v>كراميل Nougat قطعة 16 غرام</v>
      </c>
      <c r="B855" s="56" t="str">
        <f>IFERROR(__xludf.DUMMYFUNCTION("IF('AYIRA MINI MART FINAL MENU - Pr'!B855="""", """", IF(LEN(TRIM(REGEXREPLACE(REGEXREPLACE('AYIRA MINI MART FINAL MENU - Pr'!B855, ""^[^\x{0600}-\x{06FF}]+"", """"), ""^[-–\s]+"", """")))&gt;0, TRIM(REGEXREPLACE(REGEXREPLACE('AYIRA MINI MART FINAL MENU - Pr"&amp;"'!B855, ""^[^\x{0600}-\x{06FF}]+"", """"), ""^[-–\s]+"", """")), GOOGLETRANSLATE('AYIRA MINI MART FINAL MENU - Pr'!B855, ""en"", ""ar"")))"),"الشوكولاتة")</f>
        <v>الشوكولاتة</v>
      </c>
      <c r="C855" s="58">
        <f>IF('AYIRA MINI MART FINAL MENU - Pr'!C855="", "", 'AYIRA MINI MART FINAL MENU - Pr'!C855)</f>
        <v>1</v>
      </c>
      <c r="D855" s="58" t="str">
        <f>IF('AYIRA MINI MART FINAL MENU - Pr'!D855="", "", 'AYIRA MINI MART FINAL MENU - Pr'!D855)</f>
        <v>لا تقاوم طعم Hobby Caramel Nougat Bar 16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55" s="56" t="str">
        <f>IF('AYIRA MINI MART FINAL MENU - Pr'!E855="", "", 'AYIRA MINI MART FINAL MENU - Pr'!E855)</f>
        <v/>
      </c>
      <c r="F855" s="56" t="str">
        <f>IF('AYIRA MINI MART FINAL MENU - Pr'!F855="", "", 'AYIRA MINI MART FINAL MENU - Pr'!F855)</f>
        <v/>
      </c>
      <c r="G855" s="56" t="str">
        <f>IF('AYIRA MINI MART FINAL MENU - Pr'!G855="", "", 'AYIRA MINI MART FINAL MENU - Pr'!G855)</f>
        <v/>
      </c>
      <c r="H855" s="56" t="str">
        <f>IF('AYIRA MINI MART FINAL MENU - Pr'!H855="", "", 'AYIRA MINI MART FINAL MENU - Pr'!H855)</f>
        <v/>
      </c>
      <c r="I855" s="56" t="str">
        <f>IF('AYIRA MINI MART FINAL MENU - Pr'!I855="", "", 'AYIRA MINI MART FINAL MENU - Pr'!I855)</f>
        <v/>
      </c>
      <c r="J855" s="56" t="str">
        <f>IFERROR(__xludf.DUMMYFUNCTION("IF('AYIRA MINI MART FINAL MENU - Pr'!J855="""", """", GOOGLETRANSLATE('AYIRA MINI MART FINAL MENU - Pr'!J855, ""en"", ""ar""))"),"")</f>
        <v/>
      </c>
      <c r="K855" s="56" t="str">
        <f>IF('AYIRA MINI MART FINAL MENU - Pr'!K855="", "", 'AYIRA MINI MART FINAL MENU - Pr'!K855)</f>
        <v/>
      </c>
      <c r="L855" s="56" t="str">
        <f>IF('AYIRA MINI MART FINAL MENU - Pr'!L855="", "", 'AYIRA MINI MART FINAL MENU - Pr'!L855)</f>
        <v/>
      </c>
      <c r="M855" s="56" t="str">
        <f>IF('AYIRA MINI MART FINAL MENU - Pr'!M855="", "", 'AYIRA MINI MART FINAL MENU - Pr'!M855)</f>
        <v/>
      </c>
      <c r="N855" s="56" t="str">
        <f>IF('AYIRA MINI MART FINAL MENU - Pr'!N855="", "", 'AYIRA MINI MART FINAL MENU - Pr'!N855)</f>
        <v/>
      </c>
      <c r="O855" s="57"/>
      <c r="P855" s="57"/>
      <c r="Q855" s="57"/>
      <c r="R855" s="57"/>
      <c r="S855" s="57"/>
      <c r="T855" s="57"/>
      <c r="U855" s="57"/>
      <c r="V855" s="57"/>
      <c r="W855" s="57"/>
      <c r="X855" s="57"/>
      <c r="Y855" s="57"/>
      <c r="Z855" s="57"/>
    </row>
    <row r="856">
      <c r="A856" s="56" t="str">
        <f>IFERROR(__xludf.DUMMYFUNCTION("IF('AYIRA MINI MART FINAL MENU - Pr'!A856="""", """", IF(LEN(TRIM(REGEXREPLACE(REGEXREPLACE('AYIRA MINI MART FINAL MENU - Pr'!A856, ""^[^\x{0600}-\x{06FF}]+"", """"), ""^[-–\s]+"", """")))&gt;0, TRIM(REGEXREPLACE(REGEXREPLACE('AYIRA MINI MART FINAL MENU - Pr"&amp;"'!A856, ""^[^\x{0600}-\x{06FF}]+"", """"), ""^[-–\s]+"", """")), GOOGLETRANSLATE('AYIRA MINI MART FINAL MENU - Pr'!A856, ""en"", ""ar"")))"),"شوكولاتة Coated ويفر قطعة 20 غرام")</f>
        <v>شوكولاتة Coated ويفر قطعة 20 غرام</v>
      </c>
      <c r="B856" s="56" t="str">
        <f>IFERROR(__xludf.DUMMYFUNCTION("IF('AYIRA MINI MART FINAL MENU - Pr'!B856="""", """", IF(LEN(TRIM(REGEXREPLACE(REGEXREPLACE('AYIRA MINI MART FINAL MENU - Pr'!B856, ""^[^\x{0600}-\x{06FF}]+"", """"), ""^[-–\s]+"", """")))&gt;0, TRIM(REGEXREPLACE(REGEXREPLACE('AYIRA MINI MART FINAL MENU - Pr"&amp;"'!B856, ""^[^\x{0600}-\x{06FF}]+"", """"), ""^[-–\s]+"", """")), GOOGLETRANSLATE('AYIRA MINI MART FINAL MENU - Pr'!B856, ""en"", ""ar"")))"),"الشوكولاتة")</f>
        <v>الشوكولاتة</v>
      </c>
      <c r="C856" s="58">
        <f>IF('AYIRA MINI MART FINAL MENU - Pr'!C856="", "", 'AYIRA MINI MART FINAL MENU - Pr'!C856)</f>
        <v>1</v>
      </c>
      <c r="D856" s="58" t="str">
        <f>IF('AYIRA MINI MART FINAL MENU - Pr'!D856="", "", 'AYIRA MINI MART FINAL MENU - Pr'!D856)</f>
        <v>دلّل حواسك مع Hobby Chocolate Coated Wafer Bar 20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856" s="56" t="str">
        <f>IF('AYIRA MINI MART FINAL MENU - Pr'!E856="", "", 'AYIRA MINI MART FINAL MENU - Pr'!E856)</f>
        <v/>
      </c>
      <c r="F856" s="56" t="str">
        <f>IF('AYIRA MINI MART FINAL MENU - Pr'!F856="", "", 'AYIRA MINI MART FINAL MENU - Pr'!F856)</f>
        <v/>
      </c>
      <c r="G856" s="56" t="str">
        <f>IF('AYIRA MINI MART FINAL MENU - Pr'!G856="", "", 'AYIRA MINI MART FINAL MENU - Pr'!G856)</f>
        <v/>
      </c>
      <c r="H856" s="56" t="str">
        <f>IF('AYIRA MINI MART FINAL MENU - Pr'!H856="", "", 'AYIRA MINI MART FINAL MENU - Pr'!H856)</f>
        <v/>
      </c>
      <c r="I856" s="56" t="str">
        <f>IF('AYIRA MINI MART FINAL MENU - Pr'!I856="", "", 'AYIRA MINI MART FINAL MENU - Pr'!I856)</f>
        <v/>
      </c>
      <c r="J856" s="56" t="str">
        <f>IFERROR(__xludf.DUMMYFUNCTION("IF('AYIRA MINI MART FINAL MENU - Pr'!J856="""", """", GOOGLETRANSLATE('AYIRA MINI MART FINAL MENU - Pr'!J856, ""en"", ""ar""))"),"")</f>
        <v/>
      </c>
      <c r="K856" s="56" t="str">
        <f>IF('AYIRA MINI MART FINAL MENU - Pr'!K856="", "", 'AYIRA MINI MART FINAL MENU - Pr'!K856)</f>
        <v/>
      </c>
      <c r="L856" s="56" t="str">
        <f>IF('AYIRA MINI MART FINAL MENU - Pr'!L856="", "", 'AYIRA MINI MART FINAL MENU - Pr'!L856)</f>
        <v/>
      </c>
      <c r="M856" s="56" t="str">
        <f>IF('AYIRA MINI MART FINAL MENU - Pr'!M856="", "", 'AYIRA MINI MART FINAL MENU - Pr'!M856)</f>
        <v/>
      </c>
      <c r="N856" s="56" t="str">
        <f>IF('AYIRA MINI MART FINAL MENU - Pr'!N856="", "", 'AYIRA MINI MART FINAL MENU - Pr'!N856)</f>
        <v/>
      </c>
      <c r="O856" s="57"/>
      <c r="P856" s="57"/>
      <c r="Q856" s="57"/>
      <c r="R856" s="57"/>
      <c r="S856" s="57"/>
      <c r="T856" s="57"/>
      <c r="U856" s="57"/>
      <c r="V856" s="57"/>
      <c r="W856" s="57"/>
      <c r="X856" s="57"/>
      <c r="Y856" s="57"/>
      <c r="Z856" s="57"/>
    </row>
    <row r="857">
      <c r="A857" s="56" t="str">
        <f>IFERROR(__xludf.DUMMYFUNCTION("IF('AYIRA MINI MART FINAL MENU - Pr'!A857="""", """", IF(LEN(TRIM(REGEXREPLACE(REGEXREPLACE('AYIRA MINI MART FINAL MENU - Pr'!A857, ""^[^\x{0600}-\x{06FF}]+"", """"), ""^[-–\s]+"", """")))&gt;0, TRIM(REGEXREPLACE(REGEXREPLACE('AYIRA MINI MART FINAL MENU - Pr"&amp;"'!A857, ""^[^\x{0600}-\x{06FF}]+"", """"), ""^[-–\s]+"", """")), GOOGLETRANSLATE('AYIRA MINI MART FINAL MENU - Pr'!A857, ""en"", ""ar"")))"),"أوريو أصلي ساندويتش Biscuits 36.8 غرام")</f>
        <v>أوريو أصلي ساندويتش Biscuits 36.8 غرام</v>
      </c>
      <c r="B857" s="56" t="str">
        <f>IFERROR(__xludf.DUMMYFUNCTION("IF('AYIRA MINI MART FINAL MENU - Pr'!B857="""", """", IF(LEN(TRIM(REGEXREPLACE(REGEXREPLACE('AYIRA MINI MART FINAL MENU - Pr'!B857, ""^[^\x{0600}-\x{06FF}]+"", """"), ""^[-–\s]+"", """")))&gt;0, TRIM(REGEXREPLACE(REGEXREPLACE('AYIRA MINI MART FINAL MENU - Pr"&amp;"'!B857, ""^[^\x{0600}-\x{06FF}]+"", """"), ""^[-–\s]+"", """")), GOOGLETRANSLATE('AYIRA MINI MART FINAL MENU - Pr'!B857, ""en"", ""ar"")))"),"الشوكولاتة")</f>
        <v>الشوكولاتة</v>
      </c>
      <c r="C857" s="58">
        <f>IF('AYIRA MINI MART FINAL MENU - Pr'!C857="", "", 'AYIRA MINI MART FINAL MENU - Pr'!C857)</f>
        <v>2</v>
      </c>
      <c r="D857" s="58" t="str">
        <f>IF('AYIRA MINI MART FINAL MENU - Pr'!D857="", "", 'AYIRA MINI MART FINAL MENU - Pr'!D857)</f>
        <v>لا تقاوم طعم أوريو،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57" s="56" t="str">
        <f>IF('AYIRA MINI MART FINAL MENU - Pr'!E857="", "", 'AYIRA MINI MART FINAL MENU - Pr'!E857)</f>
        <v/>
      </c>
      <c r="F857" s="56" t="str">
        <f>IF('AYIRA MINI MART FINAL MENU - Pr'!F857="", "", 'AYIRA MINI MART FINAL MENU - Pr'!F857)</f>
        <v/>
      </c>
      <c r="G857" s="56" t="str">
        <f>IF('AYIRA MINI MART FINAL MENU - Pr'!G857="", "", 'AYIRA MINI MART FINAL MENU - Pr'!G857)</f>
        <v/>
      </c>
      <c r="H857" s="56" t="str">
        <f>IF('AYIRA MINI MART FINAL MENU - Pr'!H857="", "", 'AYIRA MINI MART FINAL MENU - Pr'!H857)</f>
        <v/>
      </c>
      <c r="I857" s="56" t="str">
        <f>IF('AYIRA MINI MART FINAL MENU - Pr'!I857="", "", 'AYIRA MINI MART FINAL MENU - Pr'!I857)</f>
        <v/>
      </c>
      <c r="J857" s="56" t="str">
        <f>IFERROR(__xludf.DUMMYFUNCTION("IF('AYIRA MINI MART FINAL MENU - Pr'!J857="""", """", GOOGLETRANSLATE('AYIRA MINI MART FINAL MENU - Pr'!J857, ""en"", ""ar""))"),"")</f>
        <v/>
      </c>
      <c r="K857" s="56" t="str">
        <f>IF('AYIRA MINI MART FINAL MENU - Pr'!K857="", "", 'AYIRA MINI MART FINAL MENU - Pr'!K857)</f>
        <v/>
      </c>
      <c r="L857" s="56" t="str">
        <f>IF('AYIRA MINI MART FINAL MENU - Pr'!L857="", "", 'AYIRA MINI MART FINAL MENU - Pr'!L857)</f>
        <v/>
      </c>
      <c r="M857" s="56" t="str">
        <f>IF('AYIRA MINI MART FINAL MENU - Pr'!M857="", "", 'AYIRA MINI MART FINAL MENU - Pr'!M857)</f>
        <v/>
      </c>
      <c r="N857" s="56" t="str">
        <f>IF('AYIRA MINI MART FINAL MENU - Pr'!N857="", "", 'AYIRA MINI MART FINAL MENU - Pr'!N857)</f>
        <v/>
      </c>
      <c r="O857" s="57"/>
      <c r="P857" s="57"/>
      <c r="Q857" s="57"/>
      <c r="R857" s="57"/>
      <c r="S857" s="57"/>
      <c r="T857" s="57"/>
      <c r="U857" s="57"/>
      <c r="V857" s="57"/>
      <c r="W857" s="57"/>
      <c r="X857" s="57"/>
      <c r="Y857" s="57"/>
      <c r="Z857" s="57"/>
    </row>
    <row r="858">
      <c r="A858" s="56" t="str">
        <f>IFERROR(__xludf.DUMMYFUNCTION("IF('AYIRA MINI MART FINAL MENU - Pr'!A858="""", """", IF(LEN(TRIM(REGEXREPLACE(REGEXREPLACE('AYIRA MINI MART FINAL MENU - Pr'!A858, ""^[^\x{0600}-\x{06FF}]+"", """"), ""^[-–\s]+"", """")))&gt;0, TRIM(REGEXREPLACE(REGEXREPLACE('AYIRA MINI MART FINAL MENU - Pr"&amp;"'!A858, ""^[^\x{0600}-\x{06FF}]+"", """"), ""^[-–\s]+"", """")), GOOGLETRANSLATE('AYIRA MINI MART FINAL MENU - Pr'!A858, ""en"", ""ar"")))"),"ويفر")</f>
        <v>ويفر</v>
      </c>
      <c r="B858" s="56" t="str">
        <f>IFERROR(__xludf.DUMMYFUNCTION("IF('AYIRA MINI MART FINAL MENU - Pr'!B858="""", """", IF(LEN(TRIM(REGEXREPLACE(REGEXREPLACE('AYIRA MINI MART FINAL MENU - Pr'!B858, ""^[^\x{0600}-\x{06FF}]+"", """"), ""^[-–\s]+"", """")))&gt;0, TRIM(REGEXREPLACE(REGEXREPLACE('AYIRA MINI MART FINAL MENU - Pr"&amp;"'!B858, ""^[^\x{0600}-\x{06FF}]+"", """"), ""^[-–\s]+"", """")), GOOGLETRANSLATE('AYIRA MINI MART FINAL MENU - Pr'!B858, ""en"", ""ar"")))"),"الشوكولاتة")</f>
        <v>الشوكولاتة</v>
      </c>
      <c r="C858" s="58">
        <f>IF('AYIRA MINI MART FINAL MENU - Pr'!C858="", "", 'AYIRA MINI MART FINAL MENU - Pr'!C858)</f>
        <v>1</v>
      </c>
      <c r="D858" s="58" t="str">
        <f>IF('AYIRA MINI MART FINAL MENU - Pr'!D858="", "", 'AYIRA MINI MART FINAL MENU - Pr'!D858)</f>
        <v>لا تقاوم طعم Alvita Banana Wafer،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58" s="56" t="str">
        <f>IF('AYIRA MINI MART FINAL MENU - Pr'!E858="", "", 'AYIRA MINI MART FINAL MENU - Pr'!E858)</f>
        <v/>
      </c>
      <c r="F858" s="56" t="str">
        <f>IF('AYIRA MINI MART FINAL MENU - Pr'!F858="", "", 'AYIRA MINI MART FINAL MENU - Pr'!F858)</f>
        <v/>
      </c>
      <c r="G858" s="56" t="str">
        <f>IF('AYIRA MINI MART FINAL MENU - Pr'!G858="", "", 'AYIRA MINI MART FINAL MENU - Pr'!G858)</f>
        <v/>
      </c>
      <c r="H858" s="56" t="str">
        <f>IF('AYIRA MINI MART FINAL MENU - Pr'!H858="", "", 'AYIRA MINI MART FINAL MENU - Pr'!H858)</f>
        <v/>
      </c>
      <c r="I858" s="56" t="str">
        <f>IF('AYIRA MINI MART FINAL MENU - Pr'!I858="", "", 'AYIRA MINI MART FINAL MENU - Pr'!I858)</f>
        <v/>
      </c>
      <c r="J858" s="56" t="str">
        <f>IFERROR(__xludf.DUMMYFUNCTION("IF('AYIRA MINI MART FINAL MENU - Pr'!J858="""", """", GOOGLETRANSLATE('AYIRA MINI MART FINAL MENU - Pr'!J858, ""en"", ""ar""))"),"")</f>
        <v/>
      </c>
      <c r="K858" s="56" t="str">
        <f>IF('AYIRA MINI MART FINAL MENU - Pr'!K858="", "", 'AYIRA MINI MART FINAL MENU - Pr'!K858)</f>
        <v/>
      </c>
      <c r="L858" s="56" t="str">
        <f>IF('AYIRA MINI MART FINAL MENU - Pr'!L858="", "", 'AYIRA MINI MART FINAL MENU - Pr'!L858)</f>
        <v/>
      </c>
      <c r="M858" s="56" t="str">
        <f>IF('AYIRA MINI MART FINAL MENU - Pr'!M858="", "", 'AYIRA MINI MART FINAL MENU - Pr'!M858)</f>
        <v/>
      </c>
      <c r="N858" s="56" t="str">
        <f>IF('AYIRA MINI MART FINAL MENU - Pr'!N858="", "", 'AYIRA MINI MART FINAL MENU - Pr'!N858)</f>
        <v/>
      </c>
      <c r="O858" s="57"/>
      <c r="P858" s="57"/>
      <c r="Q858" s="57"/>
      <c r="R858" s="57"/>
      <c r="S858" s="57"/>
      <c r="T858" s="57"/>
      <c r="U858" s="57"/>
      <c r="V858" s="57"/>
      <c r="W858" s="57"/>
      <c r="X858" s="57"/>
      <c r="Y858" s="57"/>
      <c r="Z858" s="57"/>
    </row>
    <row r="859">
      <c r="A859" s="56" t="str">
        <f>IFERROR(__xludf.DUMMYFUNCTION("IF('AYIRA MINI MART FINAL MENU - Pr'!A859="""", """", IF(LEN(TRIM(REGEXREPLACE(REGEXREPLACE('AYIRA MINI MART FINAL MENU - Pr'!A859, ""^[^\x{0600}-\x{06FF}]+"", """"), ""^[-–\s]+"", """")))&gt;0, TRIM(REGEXREPLACE(REGEXREPLACE('AYIRA MINI MART FINAL MENU - Pr"&amp;"'!A859, ""^[^\x{0600}-\x{06FF}]+"", """"), ""^[-–\s]+"", """")), GOOGLETRANSLATE('AYIRA MINI MART FINAL MENU - Pr'!A859, ""en"", ""ar"")))"),"برتقال ويفر")</f>
        <v>برتقال ويفر</v>
      </c>
      <c r="B859" s="56" t="str">
        <f>IFERROR(__xludf.DUMMYFUNCTION("IF('AYIRA MINI MART FINAL MENU - Pr'!B859="""", """", IF(LEN(TRIM(REGEXREPLACE(REGEXREPLACE('AYIRA MINI MART FINAL MENU - Pr'!B859, ""^[^\x{0600}-\x{06FF}]+"", """"), ""^[-–\s]+"", """")))&gt;0, TRIM(REGEXREPLACE(REGEXREPLACE('AYIRA MINI MART FINAL MENU - Pr"&amp;"'!B859, ""^[^\x{0600}-\x{06FF}]+"", """"), ""^[-–\s]+"", """")), GOOGLETRANSLATE('AYIRA MINI MART FINAL MENU - Pr'!B859, ""en"", ""ar"")))"),"الشوكولاتة")</f>
        <v>الشوكولاتة</v>
      </c>
      <c r="C859" s="58">
        <f>IF('AYIRA MINI MART FINAL MENU - Pr'!C859="", "", 'AYIRA MINI MART FINAL MENU - Pr'!C859)</f>
        <v>1</v>
      </c>
      <c r="D859" s="58" t="str">
        <f>IF('AYIRA MINI MART FINAL MENU - Pr'!D859="", "", 'AYIRA MINI MART FINAL MENU - Pr'!D859)</f>
        <v>لا تقاوم طعم Alvita Orange Wafer،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59" s="56" t="str">
        <f>IF('AYIRA MINI MART FINAL MENU - Pr'!E859="", "", 'AYIRA MINI MART FINAL MENU - Pr'!E859)</f>
        <v/>
      </c>
      <c r="F859" s="56" t="str">
        <f>IF('AYIRA MINI MART FINAL MENU - Pr'!F859="", "", 'AYIRA MINI MART FINAL MENU - Pr'!F859)</f>
        <v/>
      </c>
      <c r="G859" s="56" t="str">
        <f>IF('AYIRA MINI MART FINAL MENU - Pr'!G859="", "", 'AYIRA MINI MART FINAL MENU - Pr'!G859)</f>
        <v/>
      </c>
      <c r="H859" s="56" t="str">
        <f>IF('AYIRA MINI MART FINAL MENU - Pr'!H859="", "", 'AYIRA MINI MART FINAL MENU - Pr'!H859)</f>
        <v/>
      </c>
      <c r="I859" s="56" t="str">
        <f>IF('AYIRA MINI MART FINAL MENU - Pr'!I859="", "", 'AYIRA MINI MART FINAL MENU - Pr'!I859)</f>
        <v/>
      </c>
      <c r="J859" s="56" t="str">
        <f>IFERROR(__xludf.DUMMYFUNCTION("IF('AYIRA MINI MART FINAL MENU - Pr'!J859="""", """", GOOGLETRANSLATE('AYIRA MINI MART FINAL MENU - Pr'!J859, ""en"", ""ar""))"),"")</f>
        <v/>
      </c>
      <c r="K859" s="56" t="str">
        <f>IF('AYIRA MINI MART FINAL MENU - Pr'!K859="", "", 'AYIRA MINI MART FINAL MENU - Pr'!K859)</f>
        <v/>
      </c>
      <c r="L859" s="56" t="str">
        <f>IF('AYIRA MINI MART FINAL MENU - Pr'!L859="", "", 'AYIRA MINI MART FINAL MENU - Pr'!L859)</f>
        <v/>
      </c>
      <c r="M859" s="56" t="str">
        <f>IF('AYIRA MINI MART FINAL MENU - Pr'!M859="", "", 'AYIRA MINI MART FINAL MENU - Pr'!M859)</f>
        <v/>
      </c>
      <c r="N859" s="56" t="str">
        <f>IF('AYIRA MINI MART FINAL MENU - Pr'!N859="", "", 'AYIRA MINI MART FINAL MENU - Pr'!N859)</f>
        <v/>
      </c>
      <c r="O859" s="57"/>
      <c r="P859" s="57"/>
      <c r="Q859" s="57"/>
      <c r="R859" s="57"/>
      <c r="S859" s="57"/>
      <c r="T859" s="57"/>
      <c r="U859" s="57"/>
      <c r="V859" s="57"/>
      <c r="W859" s="57"/>
      <c r="X859" s="57"/>
      <c r="Y859" s="57"/>
      <c r="Z859" s="57"/>
    </row>
    <row r="860">
      <c r="A860" s="56" t="str">
        <f>IFERROR(__xludf.DUMMYFUNCTION("IF('AYIRA MINI MART FINAL MENU - Pr'!A860="""", """", IF(LEN(TRIM(REGEXREPLACE(REGEXREPLACE('AYIRA MINI MART FINAL MENU - Pr'!A860, ""^[^\x{0600}-\x{06FF}]+"", """"), ""^[-–\s]+"", """")))&gt;0, TRIM(REGEXREPLACE(REGEXREPLACE('AYIRA MINI MART FINAL MENU - Pr"&amp;"'!A860, ""^[^\x{0600}-\x{06FF}]+"", """"), ""^[-–\s]+"", """")), GOOGLETRANSLATE('AYIRA MINI MART FINAL MENU - Pr'!A860, ""en"", ""ar"")))"),"فراولة ويفر 32 غرام")</f>
        <v>فراولة ويفر 32 غرام</v>
      </c>
      <c r="B860" s="56" t="str">
        <f>IFERROR(__xludf.DUMMYFUNCTION("IF('AYIRA MINI MART FINAL MENU - Pr'!B860="""", """", IF(LEN(TRIM(REGEXREPLACE(REGEXREPLACE('AYIRA MINI MART FINAL MENU - Pr'!B860, ""^[^\x{0600}-\x{06FF}]+"", """"), ""^[-–\s]+"", """")))&gt;0, TRIM(REGEXREPLACE(REGEXREPLACE('AYIRA MINI MART FINAL MENU - Pr"&amp;"'!B860, ""^[^\x{0600}-\x{06FF}]+"", """"), ""^[-–\s]+"", """")), GOOGLETRANSLATE('AYIRA MINI MART FINAL MENU - Pr'!B860, ""en"", ""ar"")))"),"الشوكولاتة")</f>
        <v>الشوكولاتة</v>
      </c>
      <c r="C860" s="58">
        <f>IF('AYIRA MINI MART FINAL MENU - Pr'!C860="", "", 'AYIRA MINI MART FINAL MENU - Pr'!C860)</f>
        <v>1</v>
      </c>
      <c r="D860" s="58" t="str">
        <f>IF('AYIRA MINI MART FINAL MENU - Pr'!D860="", "", 'AYIRA MINI MART FINAL MENU - Pr'!D860)</f>
        <v>لا تقاوم طعم Exira Strawberry Wafer 32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60" s="56" t="str">
        <f>IF('AYIRA MINI MART FINAL MENU - Pr'!E860="", "", 'AYIRA MINI MART FINAL MENU - Pr'!E860)</f>
        <v/>
      </c>
      <c r="F860" s="56" t="str">
        <f>IF('AYIRA MINI MART FINAL MENU - Pr'!F860="", "", 'AYIRA MINI MART FINAL MENU - Pr'!F860)</f>
        <v/>
      </c>
      <c r="G860" s="56" t="str">
        <f>IF('AYIRA MINI MART FINAL MENU - Pr'!G860="", "", 'AYIRA MINI MART FINAL MENU - Pr'!G860)</f>
        <v/>
      </c>
      <c r="H860" s="56" t="str">
        <f>IF('AYIRA MINI MART FINAL MENU - Pr'!H860="", "", 'AYIRA MINI MART FINAL MENU - Pr'!H860)</f>
        <v/>
      </c>
      <c r="I860" s="56" t="str">
        <f>IF('AYIRA MINI MART FINAL MENU - Pr'!I860="", "", 'AYIRA MINI MART FINAL MENU - Pr'!I860)</f>
        <v/>
      </c>
      <c r="J860" s="56" t="str">
        <f>IFERROR(__xludf.DUMMYFUNCTION("IF('AYIRA MINI MART FINAL MENU - Pr'!J860="""", """", GOOGLETRANSLATE('AYIRA MINI MART FINAL MENU - Pr'!J860, ""en"", ""ar""))"),"")</f>
        <v/>
      </c>
      <c r="K860" s="56" t="str">
        <f>IF('AYIRA MINI MART FINAL MENU - Pr'!K860="", "", 'AYIRA MINI MART FINAL MENU - Pr'!K860)</f>
        <v/>
      </c>
      <c r="L860" s="56" t="str">
        <f>IF('AYIRA MINI MART FINAL MENU - Pr'!L860="", "", 'AYIRA MINI MART FINAL MENU - Pr'!L860)</f>
        <v/>
      </c>
      <c r="M860" s="56" t="str">
        <f>IF('AYIRA MINI MART FINAL MENU - Pr'!M860="", "", 'AYIRA MINI MART FINAL MENU - Pr'!M860)</f>
        <v/>
      </c>
      <c r="N860" s="56" t="str">
        <f>IF('AYIRA MINI MART FINAL MENU - Pr'!N860="", "", 'AYIRA MINI MART FINAL MENU - Pr'!N860)</f>
        <v/>
      </c>
      <c r="O860" s="57"/>
      <c r="P860" s="57"/>
      <c r="Q860" s="57"/>
      <c r="R860" s="57"/>
      <c r="S860" s="57"/>
      <c r="T860" s="57"/>
      <c r="U860" s="57"/>
      <c r="V860" s="57"/>
      <c r="W860" s="57"/>
      <c r="X860" s="57"/>
      <c r="Y860" s="57"/>
      <c r="Z860" s="57"/>
    </row>
    <row r="861">
      <c r="A861" s="56" t="str">
        <f>IFERROR(__xludf.DUMMYFUNCTION("IF('AYIRA MINI MART FINAL MENU - Pr'!A861="""", """", IF(LEN(TRIM(REGEXREPLACE(REGEXREPLACE('AYIRA MINI MART FINAL MENU - Pr'!A861, ""^[^\x{0600}-\x{06FF}]+"", """"), ""^[-–\s]+"", """")))&gt;0, TRIM(REGEXREPLACE(REGEXREPLACE('AYIRA MINI MART FINAL MENU - Pr"&amp;"'!A861, ""^[^\x{0600}-\x{06FF}]+"", """"), ""^[-–\s]+"", """")), GOOGLETRANSLATE('AYIRA MINI MART FINAL MENU - Pr'!A861, ""en"", ""ar"")))"),"فراولة Wafe 23 غرام")</f>
        <v>فراولة Wafe 23 غرام</v>
      </c>
      <c r="B861" s="56" t="str">
        <f>IFERROR(__xludf.DUMMYFUNCTION("IF('AYIRA MINI MART FINAL MENU - Pr'!B861="""", """", IF(LEN(TRIM(REGEXREPLACE(REGEXREPLACE('AYIRA MINI MART FINAL MENU - Pr'!B861, ""^[^\x{0600}-\x{06FF}]+"", """"), ""^[-–\s]+"", """")))&gt;0, TRIM(REGEXREPLACE(REGEXREPLACE('AYIRA MINI MART FINAL MENU - Pr"&amp;"'!B861, ""^[^\x{0600}-\x{06FF}]+"", """"), ""^[-–\s]+"", """")), GOOGLETRANSLATE('AYIRA MINI MART FINAL MENU - Pr'!B861, ""en"", ""ar"")))"),"الشوكولاتة")</f>
        <v>الشوكولاتة</v>
      </c>
      <c r="C861" s="58">
        <f>IF('AYIRA MINI MART FINAL MENU - Pr'!C861="", "", 'AYIRA MINI MART FINAL MENU - Pr'!C861)</f>
        <v>1</v>
      </c>
      <c r="D861" s="58" t="str">
        <f>IF('AYIRA MINI MART FINAL MENU - Pr'!D861="", "", 'AYIRA MINI MART FINAL MENU - Pr'!D861)</f>
        <v>لا تقاوم طعم Avita Strawberry Wafe 23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61" s="56" t="str">
        <f>IF('AYIRA MINI MART FINAL MENU - Pr'!E861="", "", 'AYIRA MINI MART FINAL MENU - Pr'!E861)</f>
        <v/>
      </c>
      <c r="F861" s="56" t="str">
        <f>IF('AYIRA MINI MART FINAL MENU - Pr'!F861="", "", 'AYIRA MINI MART FINAL MENU - Pr'!F861)</f>
        <v/>
      </c>
      <c r="G861" s="56" t="str">
        <f>IF('AYIRA MINI MART FINAL MENU - Pr'!G861="", "", 'AYIRA MINI MART FINAL MENU - Pr'!G861)</f>
        <v/>
      </c>
      <c r="H861" s="56" t="str">
        <f>IF('AYIRA MINI MART FINAL MENU - Pr'!H861="", "", 'AYIRA MINI MART FINAL MENU - Pr'!H861)</f>
        <v/>
      </c>
      <c r="I861" s="56" t="str">
        <f>IF('AYIRA MINI MART FINAL MENU - Pr'!I861="", "", 'AYIRA MINI MART FINAL MENU - Pr'!I861)</f>
        <v/>
      </c>
      <c r="J861" s="56" t="str">
        <f>IFERROR(__xludf.DUMMYFUNCTION("IF('AYIRA MINI MART FINAL MENU - Pr'!J861="""", """", GOOGLETRANSLATE('AYIRA MINI MART FINAL MENU - Pr'!J861, ""en"", ""ar""))"),"")</f>
        <v/>
      </c>
      <c r="K861" s="56" t="str">
        <f>IF('AYIRA MINI MART FINAL MENU - Pr'!K861="", "", 'AYIRA MINI MART FINAL MENU - Pr'!K861)</f>
        <v/>
      </c>
      <c r="L861" s="56" t="str">
        <f>IF('AYIRA MINI MART FINAL MENU - Pr'!L861="", "", 'AYIRA MINI MART FINAL MENU - Pr'!L861)</f>
        <v/>
      </c>
      <c r="M861" s="56" t="str">
        <f>IF('AYIRA MINI MART FINAL MENU - Pr'!M861="", "", 'AYIRA MINI MART FINAL MENU - Pr'!M861)</f>
        <v/>
      </c>
      <c r="N861" s="56" t="str">
        <f>IF('AYIRA MINI MART FINAL MENU - Pr'!N861="", "", 'AYIRA MINI MART FINAL MENU - Pr'!N861)</f>
        <v/>
      </c>
      <c r="O861" s="57"/>
      <c r="P861" s="57"/>
      <c r="Q861" s="57"/>
      <c r="R861" s="57"/>
      <c r="S861" s="57"/>
      <c r="T861" s="57"/>
      <c r="U861" s="57"/>
      <c r="V861" s="57"/>
      <c r="W861" s="57"/>
      <c r="X861" s="57"/>
      <c r="Y861" s="57"/>
      <c r="Z861" s="57"/>
    </row>
    <row r="862">
      <c r="A862" s="56" t="str">
        <f>IFERROR(__xludf.DUMMYFUNCTION("IF('AYIRA MINI MART FINAL MENU - Pr'!A862="""", """", IF(LEN(TRIM(REGEXREPLACE(REGEXREPLACE('AYIRA MINI MART FINAL MENU - Pr'!A862, ""^[^\x{0600}-\x{06FF}]+"", """"), ""^[-–\s]+"", """")))&gt;0, TRIM(REGEXREPLACE(REGEXREPLACE('AYIRA MINI MART FINAL MENU - Pr"&amp;"'!A862, ""^[^\x{0600}-\x{06FF}]+"", """"), ""^[-–\s]+"", """")), GOOGLETRANSLATE('AYIRA MINI MART FINAL MENU - Pr'!A862, ""en"", ""ar"")))"),"كوب")</f>
        <v>كوب</v>
      </c>
      <c r="B862" s="56" t="str">
        <f>IFERROR(__xludf.DUMMYFUNCTION("IF('AYIRA MINI MART FINAL MENU - Pr'!B862="""", """", IF(LEN(TRIM(REGEXREPLACE(REGEXREPLACE('AYIRA MINI MART FINAL MENU - Pr'!B862, ""^[^\x{0600}-\x{06FF}]+"", """"), ""^[-–\s]+"", """")))&gt;0, TRIM(REGEXREPLACE(REGEXREPLACE('AYIRA MINI MART FINAL MENU - Pr"&amp;"'!B862, ""^[^\x{0600}-\x{06FF}]+"", """"), ""^[-–\s]+"", """")), GOOGLETRANSLATE('AYIRA MINI MART FINAL MENU - Pr'!B862, ""en"", ""ar"")))"),"الحلوى 🍬")</f>
        <v>الحلوى 🍬</v>
      </c>
      <c r="C862" s="58">
        <f>IF('AYIRA MINI MART FINAL MENU - Pr'!C862="", "", 'AYIRA MINI MART FINAL MENU - Pr'!C862)</f>
        <v>9</v>
      </c>
      <c r="D862" s="58" t="str">
        <f>IF('AYIRA MINI MART FINAL MENU - Pr'!D862="", "", 'AYIRA MINI MART FINAL MENU - Pr'!D862)</f>
        <v>أضف لحظة حلوة إلى يومك مع Double Dares Jelly Bean Game Cup،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62" s="56" t="str">
        <f>IF('AYIRA MINI MART FINAL MENU - Pr'!E862="", "", 'AYIRA MINI MART FINAL MENU - Pr'!E862)</f>
        <v/>
      </c>
      <c r="F862" s="56" t="str">
        <f>IF('AYIRA MINI MART FINAL MENU - Pr'!F862="", "", 'AYIRA MINI MART FINAL MENU - Pr'!F862)</f>
        <v/>
      </c>
      <c r="G862" s="56" t="str">
        <f>IF('AYIRA MINI MART FINAL MENU - Pr'!G862="", "", 'AYIRA MINI MART FINAL MENU - Pr'!G862)</f>
        <v/>
      </c>
      <c r="H862" s="56" t="str">
        <f>IF('AYIRA MINI MART FINAL MENU - Pr'!H862="", "", 'AYIRA MINI MART FINAL MENU - Pr'!H862)</f>
        <v/>
      </c>
      <c r="I862" s="56" t="str">
        <f>IF('AYIRA MINI MART FINAL MENU - Pr'!I862="", "", 'AYIRA MINI MART FINAL MENU - Pr'!I862)</f>
        <v/>
      </c>
      <c r="J862" s="56" t="str">
        <f>IFERROR(__xludf.DUMMYFUNCTION("IF('AYIRA MINI MART FINAL MENU - Pr'!J862="""", """", GOOGLETRANSLATE('AYIRA MINI MART FINAL MENU - Pr'!J862, ""en"", ""ar""))"),"")</f>
        <v/>
      </c>
      <c r="K862" s="56" t="str">
        <f>IF('AYIRA MINI MART FINAL MENU - Pr'!K862="", "", 'AYIRA MINI MART FINAL MENU - Pr'!K862)</f>
        <v/>
      </c>
      <c r="L862" s="56" t="str">
        <f>IF('AYIRA MINI MART FINAL MENU - Pr'!L862="", "", 'AYIRA MINI MART FINAL MENU - Pr'!L862)</f>
        <v/>
      </c>
      <c r="M862" s="56" t="str">
        <f>IF('AYIRA MINI MART FINAL MENU - Pr'!M862="", "", 'AYIRA MINI MART FINAL MENU - Pr'!M862)</f>
        <v/>
      </c>
      <c r="N862" s="56" t="str">
        <f>IF('AYIRA MINI MART FINAL MENU - Pr'!N862="", "", 'AYIRA MINI MART FINAL MENU - Pr'!N862)</f>
        <v/>
      </c>
      <c r="O862" s="57"/>
      <c r="P862" s="57"/>
      <c r="Q862" s="57"/>
      <c r="R862" s="57"/>
      <c r="S862" s="57"/>
      <c r="T862" s="57"/>
      <c r="U862" s="57"/>
      <c r="V862" s="57"/>
      <c r="W862" s="57"/>
      <c r="X862" s="57"/>
      <c r="Y862" s="57"/>
      <c r="Z862" s="57"/>
    </row>
    <row r="863">
      <c r="A863" s="56" t="str">
        <f>IFERROR(__xludf.DUMMYFUNCTION("IF('AYIRA MINI MART FINAL MENU - Pr'!A863="""", """", IF(LEN(TRIM(REGEXREPLACE(REGEXREPLACE('AYIRA MINI MART FINAL MENU - Pr'!A863, ""^[^\x{0600}-\x{06FF}]+"", """"), ""^[-–\s]+"", """")))&gt;0, TRIM(REGEXREPLACE(REGEXREPLACE('AYIRA MINI MART FINAL MENU - Pr"&amp;"'!A863, ""^[^\x{0600}-\x{06FF}]+"", """"), ""^[-–\s]+"", """")), GOOGLETRANSLATE('AYIRA MINI MART FINAL MENU - Pr'!A863, ""en"", ""ar"")))"),"براين بلاسترز حلوى توت حامضة 48 قطعة")</f>
        <v>براين بلاسترز حلوى توت حامضة 48 قطعة</v>
      </c>
      <c r="B863" s="56" t="str">
        <f>IFERROR(__xludf.DUMMYFUNCTION("IF('AYIRA MINI MART FINAL MENU - Pr'!B863="""", """", IF(LEN(TRIM(REGEXREPLACE(REGEXREPLACE('AYIRA MINI MART FINAL MENU - Pr'!B863, ""^[^\x{0600}-\x{06FF}]+"", """"), ""^[-–\s]+"", """")))&gt;0, TRIM(REGEXREPLACE(REGEXREPLACE('AYIRA MINI MART FINAL MENU - Pr"&amp;"'!B863, ""^[^\x{0600}-\x{06FF}]+"", """"), ""^[-–\s]+"", """")), GOOGLETRANSLATE('AYIRA MINI MART FINAL MENU - Pr'!B863, ""en"", ""ar"")))"),"الحلوى 🍬")</f>
        <v>الحلوى 🍬</v>
      </c>
      <c r="C863" s="58">
        <f>IF('AYIRA MINI MART FINAL MENU - Pr'!C863="", "", 'AYIRA MINI MART FINAL MENU - Pr'!C863)</f>
        <v>7.5</v>
      </c>
      <c r="D863" s="58" t="str">
        <f>IF('AYIRA MINI MART FINAL MENU - Pr'!D863="", "", 'AYIRA MINI MART FINAL MENU - Pr'!D863)</f>
        <v>أضف لحظة حلوة إلى يومك مع Brain Blasterz Super Sour Berry Candy 48،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63" s="56" t="str">
        <f>IF('AYIRA MINI MART FINAL MENU - Pr'!E863="", "", 'AYIRA MINI MART FINAL MENU - Pr'!E863)</f>
        <v/>
      </c>
      <c r="F863" s="56" t="str">
        <f>IF('AYIRA MINI MART FINAL MENU - Pr'!F863="", "", 'AYIRA MINI MART FINAL MENU - Pr'!F863)</f>
        <v/>
      </c>
      <c r="G863" s="56" t="str">
        <f>IF('AYIRA MINI MART FINAL MENU - Pr'!G863="", "", 'AYIRA MINI MART FINAL MENU - Pr'!G863)</f>
        <v/>
      </c>
      <c r="H863" s="56" t="str">
        <f>IF('AYIRA MINI MART FINAL MENU - Pr'!H863="", "", 'AYIRA MINI MART FINAL MENU - Pr'!H863)</f>
        <v/>
      </c>
      <c r="I863" s="56" t="str">
        <f>IF('AYIRA MINI MART FINAL MENU - Pr'!I863="", "", 'AYIRA MINI MART FINAL MENU - Pr'!I863)</f>
        <v/>
      </c>
      <c r="J863" s="56" t="str">
        <f>IFERROR(__xludf.DUMMYFUNCTION("IF('AYIRA MINI MART FINAL MENU - Pr'!J863="""", """", GOOGLETRANSLATE('AYIRA MINI MART FINAL MENU - Pr'!J863, ""en"", ""ar""))"),"")</f>
        <v/>
      </c>
      <c r="K863" s="56" t="str">
        <f>IF('AYIRA MINI MART FINAL MENU - Pr'!K863="", "", 'AYIRA MINI MART FINAL MENU - Pr'!K863)</f>
        <v/>
      </c>
      <c r="L863" s="56" t="str">
        <f>IF('AYIRA MINI MART FINAL MENU - Pr'!L863="", "", 'AYIRA MINI MART FINAL MENU - Pr'!L863)</f>
        <v/>
      </c>
      <c r="M863" s="56" t="str">
        <f>IF('AYIRA MINI MART FINAL MENU - Pr'!M863="", "", 'AYIRA MINI MART FINAL MENU - Pr'!M863)</f>
        <v/>
      </c>
      <c r="N863" s="56" t="str">
        <f>IF('AYIRA MINI MART FINAL MENU - Pr'!N863="", "", 'AYIRA MINI MART FINAL MENU - Pr'!N863)</f>
        <v/>
      </c>
      <c r="O863" s="57"/>
      <c r="P863" s="57"/>
      <c r="Q863" s="57"/>
      <c r="R863" s="57"/>
      <c r="S863" s="57"/>
      <c r="T863" s="57"/>
      <c r="U863" s="57"/>
      <c r="V863" s="57"/>
      <c r="W863" s="57"/>
      <c r="X863" s="57"/>
      <c r="Y863" s="57"/>
      <c r="Z863" s="57"/>
    </row>
    <row r="864">
      <c r="A864" s="56" t="str">
        <f>IFERROR(__xludf.DUMMYFUNCTION("IF('AYIRA MINI MART FINAL MENU - Pr'!A864="""", """", IF(LEN(TRIM(REGEXREPLACE(REGEXREPLACE('AYIRA MINI MART FINAL MENU - Pr'!A864, ""^[^\x{0600}-\x{06FF}]+"", """"), ""^[-–\s]+"", """")))&gt;0, TRIM(REGEXREPLACE(REGEXREPLACE('AYIRA MINI MART FINAL MENU - Pr"&amp;"'!A864, ""^[^\x{0600}-\x{06FF}]+"", """"), ""^[-–\s]+"", """")), GOOGLETRANSLATE('AYIRA MINI MART FINAL MENU - Pr'!A864, ""en"", ""ar"")))"),"براين بلاسترز حلوى حامضة 48 قطعة")</f>
        <v>براين بلاسترز حلوى حامضة 48 قطعة</v>
      </c>
      <c r="B864" s="56" t="str">
        <f>IFERROR(__xludf.DUMMYFUNCTION("IF('AYIRA MINI MART FINAL MENU - Pr'!B864="""", """", IF(LEN(TRIM(REGEXREPLACE(REGEXREPLACE('AYIRA MINI MART FINAL MENU - Pr'!B864, ""^[^\x{0600}-\x{06FF}]+"", """"), ""^[-–\s]+"", """")))&gt;0, TRIM(REGEXREPLACE(REGEXREPLACE('AYIRA MINI MART FINAL MENU - Pr"&amp;"'!B864, ""^[^\x{0600}-\x{06FF}]+"", """"), ""^[-–\s]+"", """")), GOOGLETRANSLATE('AYIRA MINI MART FINAL MENU - Pr'!B864, ""en"", ""ar"")))"),"الحلوى 🍬")</f>
        <v>الحلوى 🍬</v>
      </c>
      <c r="C864" s="58">
        <f>IF('AYIRA MINI MART FINAL MENU - Pr'!C864="", "", 'AYIRA MINI MART FINAL MENU - Pr'!C864)</f>
        <v>7.5</v>
      </c>
      <c r="D864" s="58" t="str">
        <f>IF('AYIRA MINI MART FINAL MENU - Pr'!D864="", "", 'AYIRA MINI MART FINAL MENU - Pr'!D864)</f>
        <v>أضف لحظة حلوة إلى يومك مع Brain Blasterz Super Sour Candy 48،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64" s="56" t="str">
        <f>IF('AYIRA MINI MART FINAL MENU - Pr'!E864="", "", 'AYIRA MINI MART FINAL MENU - Pr'!E864)</f>
        <v/>
      </c>
      <c r="F864" s="56" t="str">
        <f>IF('AYIRA MINI MART FINAL MENU - Pr'!F864="", "", 'AYIRA MINI MART FINAL MENU - Pr'!F864)</f>
        <v/>
      </c>
      <c r="G864" s="56" t="str">
        <f>IF('AYIRA MINI MART FINAL MENU - Pr'!G864="", "", 'AYIRA MINI MART FINAL MENU - Pr'!G864)</f>
        <v/>
      </c>
      <c r="H864" s="56" t="str">
        <f>IF('AYIRA MINI MART FINAL MENU - Pr'!H864="", "", 'AYIRA MINI MART FINAL MENU - Pr'!H864)</f>
        <v/>
      </c>
      <c r="I864" s="56" t="str">
        <f>IF('AYIRA MINI MART FINAL MENU - Pr'!I864="", "", 'AYIRA MINI MART FINAL MENU - Pr'!I864)</f>
        <v/>
      </c>
      <c r="J864" s="56" t="str">
        <f>IFERROR(__xludf.DUMMYFUNCTION("IF('AYIRA MINI MART FINAL MENU - Pr'!J864="""", """", GOOGLETRANSLATE('AYIRA MINI MART FINAL MENU - Pr'!J864, ""en"", ""ar""))"),"")</f>
        <v/>
      </c>
      <c r="K864" s="56" t="str">
        <f>IF('AYIRA MINI MART FINAL MENU - Pr'!K864="", "", 'AYIRA MINI MART FINAL MENU - Pr'!K864)</f>
        <v/>
      </c>
      <c r="L864" s="56" t="str">
        <f>IF('AYIRA MINI MART FINAL MENU - Pr'!L864="", "", 'AYIRA MINI MART FINAL MENU - Pr'!L864)</f>
        <v/>
      </c>
      <c r="M864" s="56" t="str">
        <f>IF('AYIRA MINI MART FINAL MENU - Pr'!M864="", "", 'AYIRA MINI MART FINAL MENU - Pr'!M864)</f>
        <v/>
      </c>
      <c r="N864" s="56" t="str">
        <f>IF('AYIRA MINI MART FINAL MENU - Pr'!N864="", "", 'AYIRA MINI MART FINAL MENU - Pr'!N864)</f>
        <v/>
      </c>
      <c r="O864" s="57"/>
      <c r="P864" s="57"/>
      <c r="Q864" s="57"/>
      <c r="R864" s="57"/>
      <c r="S864" s="57"/>
      <c r="T864" s="57"/>
      <c r="U864" s="57"/>
      <c r="V864" s="57"/>
      <c r="W864" s="57"/>
      <c r="X864" s="57"/>
      <c r="Y864" s="57"/>
      <c r="Z864" s="57"/>
    </row>
    <row r="865">
      <c r="A865" s="56" t="str">
        <f>IFERROR(__xludf.DUMMYFUNCTION("IF('AYIRA MINI MART FINAL MENU - Pr'!A865="""", """", IF(LEN(TRIM(REGEXREPLACE(REGEXREPLACE('AYIRA MINI MART FINAL MENU - Pr'!A865, ""^[^\x{0600}-\x{06FF}]+"", """"), ""^[-–\s]+"", """")))&gt;0, TRIM(REGEXREPLACE(REGEXREPLACE('AYIRA MINI MART FINAL MENU - Pr"&amp;"'!A865, ""^[^\x{0600}-\x{06FF}]+"", """"), ""^[-–\s]+"", """")), GOOGLETRANSLATE('AYIRA MINI MART FINAL MENU - Pr'!A865, ""en"", ""ar"")))"),"غرام")</f>
        <v>غرام</v>
      </c>
      <c r="B865" s="56" t="str">
        <f>IFERROR(__xludf.DUMMYFUNCTION("IF('AYIRA MINI MART FINAL MENU - Pr'!B865="""", """", IF(LEN(TRIM(REGEXREPLACE(REGEXREPLACE('AYIRA MINI MART FINAL MENU - Pr'!B865, ""^[^\x{0600}-\x{06FF}]+"", """"), ""^[-–\s]+"", """")))&gt;0, TRIM(REGEXREPLACE(REGEXREPLACE('AYIRA MINI MART FINAL MENU - Pr"&amp;"'!B865, ""^[^\x{0600}-\x{06FF}]+"", """"), ""^[-–\s]+"", """")), GOOGLETRANSLATE('AYIRA MINI MART FINAL MENU - Pr'!B865, ""en"", ""ar"")))"),"الحلوى 🍬")</f>
        <v>الحلوى 🍬</v>
      </c>
      <c r="C865" s="58">
        <f>IF('AYIRA MINI MART FINAL MENU - Pr'!C865="", "", 'AYIRA MINI MART FINAL MENU - Pr'!C865)</f>
        <v>7</v>
      </c>
      <c r="D865" s="58" t="str">
        <f>IF('AYIRA MINI MART FINAL MENU - Pr'!D865="", "", 'AYIRA MINI MART FINAL MENU - Pr'!D865)</f>
        <v>أضف لحظة حلوة إلى يومك مع Ice Blasterz Super Sour Cool Candy 48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65" s="56" t="str">
        <f>IF('AYIRA MINI MART FINAL MENU - Pr'!E865="", "", 'AYIRA MINI MART FINAL MENU - Pr'!E865)</f>
        <v/>
      </c>
      <c r="F865" s="56" t="str">
        <f>IF('AYIRA MINI MART FINAL MENU - Pr'!F865="", "", 'AYIRA MINI MART FINAL MENU - Pr'!F865)</f>
        <v/>
      </c>
      <c r="G865" s="56" t="str">
        <f>IF('AYIRA MINI MART FINAL MENU - Pr'!G865="", "", 'AYIRA MINI MART FINAL MENU - Pr'!G865)</f>
        <v/>
      </c>
      <c r="H865" s="56" t="str">
        <f>IF('AYIRA MINI MART FINAL MENU - Pr'!H865="", "", 'AYIRA MINI MART FINAL MENU - Pr'!H865)</f>
        <v/>
      </c>
      <c r="I865" s="56" t="str">
        <f>IF('AYIRA MINI MART FINAL MENU - Pr'!I865="", "", 'AYIRA MINI MART FINAL MENU - Pr'!I865)</f>
        <v/>
      </c>
      <c r="J865" s="56" t="str">
        <f>IFERROR(__xludf.DUMMYFUNCTION("IF('AYIRA MINI MART FINAL MENU - Pr'!J865="""", """", GOOGLETRANSLATE('AYIRA MINI MART FINAL MENU - Pr'!J865, ""en"", ""ar""))"),"")</f>
        <v/>
      </c>
      <c r="K865" s="56" t="str">
        <f>IF('AYIRA MINI MART FINAL MENU - Pr'!K865="", "", 'AYIRA MINI MART FINAL MENU - Pr'!K865)</f>
        <v/>
      </c>
      <c r="L865" s="56" t="str">
        <f>IF('AYIRA MINI MART FINAL MENU - Pr'!L865="", "", 'AYIRA MINI MART FINAL MENU - Pr'!L865)</f>
        <v/>
      </c>
      <c r="M865" s="56" t="str">
        <f>IF('AYIRA MINI MART FINAL MENU - Pr'!M865="", "", 'AYIRA MINI MART FINAL MENU - Pr'!M865)</f>
        <v/>
      </c>
      <c r="N865" s="56" t="str">
        <f>IF('AYIRA MINI MART FINAL MENU - Pr'!N865="", "", 'AYIRA MINI MART FINAL MENU - Pr'!N865)</f>
        <v/>
      </c>
      <c r="O865" s="57"/>
      <c r="P865" s="57"/>
      <c r="Q865" s="57"/>
      <c r="R865" s="57"/>
      <c r="S865" s="57"/>
      <c r="T865" s="57"/>
      <c r="U865" s="57"/>
      <c r="V865" s="57"/>
      <c r="W865" s="57"/>
      <c r="X865" s="57"/>
      <c r="Y865" s="57"/>
      <c r="Z865" s="57"/>
    </row>
    <row r="866">
      <c r="A866" s="56" t="str">
        <f>IFERROR(__xludf.DUMMYFUNCTION("IF('AYIRA MINI MART FINAL MENU - Pr'!A866="""", """", IF(LEN(TRIM(REGEXREPLACE(REGEXREPLACE('AYIRA MINI MART FINAL MENU - Pr'!A866, ""^[^\x{0600}-\x{06FF}]+"", """"), ""^[-–\s]+"", """")))&gt;0, TRIM(REGEXREPLACE(REGEXREPLACE('AYIRA MINI MART FINAL MENU - Pr"&amp;"'!A866, ""^[^\x{0600}-\x{06FF}]+"", """"), ""^[-–\s]+"", """")), GOOGLETRANSLATE('AYIRA MINI MART FINAL MENU - Pr'!A866, ""en"", ""ar"")))"),"حلوى لعبة كرة السلة")</f>
        <v>حلوى لعبة كرة السلة</v>
      </c>
      <c r="B866" s="56" t="str">
        <f>IFERROR(__xludf.DUMMYFUNCTION("IF('AYIRA MINI MART FINAL MENU - Pr'!B866="""", """", IF(LEN(TRIM(REGEXREPLACE(REGEXREPLACE('AYIRA MINI MART FINAL MENU - Pr'!B866, ""^[^\x{0600}-\x{06FF}]+"", """"), ""^[-–\s]+"", """")))&gt;0, TRIM(REGEXREPLACE(REGEXREPLACE('AYIRA MINI MART FINAL MENU - Pr"&amp;"'!B866, ""^[^\x{0600}-\x{06FF}]+"", """"), ""^[-–\s]+"", """")), GOOGLETRANSLATE('AYIRA MINI MART FINAL MENU - Pr'!B866, ""en"", ""ar"")))"),"الحلوى 🍬")</f>
        <v>الحلوى 🍬</v>
      </c>
      <c r="C866" s="58">
        <f>IF('AYIRA MINI MART FINAL MENU - Pr'!C866="", "", 'AYIRA MINI MART FINAL MENU - Pr'!C866)</f>
        <v>8</v>
      </c>
      <c r="D866" s="58" t="str">
        <f>IF('AYIRA MINI MART FINAL MENU - Pr'!D866="", "", 'AYIRA MINI MART FINAL MENU - Pr'!D866)</f>
        <v>أضف لحظة حلوة إلى يومك مع Fun Basketball Candy Toy،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66" s="56" t="str">
        <f>IF('AYIRA MINI MART FINAL MENU - Pr'!E866="", "", 'AYIRA MINI MART FINAL MENU - Pr'!E866)</f>
        <v/>
      </c>
      <c r="F866" s="56" t="str">
        <f>IF('AYIRA MINI MART FINAL MENU - Pr'!F866="", "", 'AYIRA MINI MART FINAL MENU - Pr'!F866)</f>
        <v/>
      </c>
      <c r="G866" s="56" t="str">
        <f>IF('AYIRA MINI MART FINAL MENU - Pr'!G866="", "", 'AYIRA MINI MART FINAL MENU - Pr'!G866)</f>
        <v/>
      </c>
      <c r="H866" s="56" t="str">
        <f>IF('AYIRA MINI MART FINAL MENU - Pr'!H866="", "", 'AYIRA MINI MART FINAL MENU - Pr'!H866)</f>
        <v/>
      </c>
      <c r="I866" s="56" t="str">
        <f>IF('AYIRA MINI MART FINAL MENU - Pr'!I866="", "", 'AYIRA MINI MART FINAL MENU - Pr'!I866)</f>
        <v/>
      </c>
      <c r="J866" s="56" t="str">
        <f>IFERROR(__xludf.DUMMYFUNCTION("IF('AYIRA MINI MART FINAL MENU - Pr'!J866="""", """", GOOGLETRANSLATE('AYIRA MINI MART FINAL MENU - Pr'!J866, ""en"", ""ar""))"),"")</f>
        <v/>
      </c>
      <c r="K866" s="56" t="str">
        <f>IF('AYIRA MINI MART FINAL MENU - Pr'!K866="", "", 'AYIRA MINI MART FINAL MENU - Pr'!K866)</f>
        <v/>
      </c>
      <c r="L866" s="56" t="str">
        <f>IF('AYIRA MINI MART FINAL MENU - Pr'!L866="", "", 'AYIRA MINI MART FINAL MENU - Pr'!L866)</f>
        <v/>
      </c>
      <c r="M866" s="56" t="str">
        <f>IF('AYIRA MINI MART FINAL MENU - Pr'!M866="", "", 'AYIRA MINI MART FINAL MENU - Pr'!M866)</f>
        <v/>
      </c>
      <c r="N866" s="56" t="str">
        <f>IF('AYIRA MINI MART FINAL MENU - Pr'!N866="", "", 'AYIRA MINI MART FINAL MENU - Pr'!N866)</f>
        <v/>
      </c>
      <c r="O866" s="57"/>
      <c r="P866" s="57"/>
      <c r="Q866" s="57"/>
      <c r="R866" s="57"/>
      <c r="S866" s="57"/>
      <c r="T866" s="57"/>
      <c r="U866" s="57"/>
      <c r="V866" s="57"/>
      <c r="W866" s="57"/>
      <c r="X866" s="57"/>
      <c r="Y866" s="57"/>
      <c r="Z866" s="57"/>
    </row>
    <row r="867">
      <c r="A867" s="56" t="str">
        <f>IFERROR(__xludf.DUMMYFUNCTION("IF('AYIRA MINI MART FINAL MENU - Pr'!A867="""", """", IF(LEN(TRIM(REGEXREPLACE(REGEXREPLACE('AYIRA MINI MART FINAL MENU - Pr'!A867, ""^[^\x{0600}-\x{06FF}]+"", """"), ""^[-–\s]+"", """")))&gt;0, TRIM(REGEXREPLACE(REGEXREPLACE('AYIRA MINI MART FINAL MENU - Pr"&amp;"'!A867, ""^[^\x{0600}-\x{06FF}]+"", """"), ""^[-–\s]+"", """")), GOOGLETRANSLATE('AYIRA MINI MART FINAL MENU - Pr'!A867, ""en"", ""ar"")))"),"تفاح Flavour Brain Gunk 28 مل")</f>
        <v>تفاح Flavour Brain Gunk 28 مل</v>
      </c>
      <c r="B867" s="56" t="str">
        <f>IFERROR(__xludf.DUMMYFUNCTION("IF('AYIRA MINI MART FINAL MENU - Pr'!B867="""", """", IF(LEN(TRIM(REGEXREPLACE(REGEXREPLACE('AYIRA MINI MART FINAL MENU - Pr'!B867, ""^[^\x{0600}-\x{06FF}]+"", """"), ""^[-–\s]+"", """")))&gt;0, TRIM(REGEXREPLACE(REGEXREPLACE('AYIRA MINI MART FINAL MENU - Pr"&amp;"'!B867, ""^[^\x{0600}-\x{06FF}]+"", """"), ""^[-–\s]+"", """")), GOOGLETRANSLATE('AYIRA MINI MART FINAL MENU - Pr'!B867, ""en"", ""ar"")))"),"الحلوى 🍬")</f>
        <v>الحلوى 🍬</v>
      </c>
      <c r="C867" s="58">
        <f>IF('AYIRA MINI MART FINAL MENU - Pr'!C867="", "", 'AYIRA MINI MART FINAL MENU - Pr'!C867)</f>
        <v>4.5</v>
      </c>
      <c r="D867" s="58" t="str">
        <f>IF('AYIRA MINI MART FINAL MENU - Pr'!D867="", "", 'AYIRA MINI MART FINAL MENU - Pr'!D867)</f>
        <v>لا تقاوم طعم Brain Blasterz Apple Flavour Brain Gunk 28 ML،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67" s="56" t="str">
        <f>IF('AYIRA MINI MART FINAL MENU - Pr'!E867="", "", 'AYIRA MINI MART FINAL MENU - Pr'!E867)</f>
        <v/>
      </c>
      <c r="F867" s="56" t="str">
        <f>IF('AYIRA MINI MART FINAL MENU - Pr'!F867="", "", 'AYIRA MINI MART FINAL MENU - Pr'!F867)</f>
        <v/>
      </c>
      <c r="G867" s="56" t="str">
        <f>IF('AYIRA MINI MART FINAL MENU - Pr'!G867="", "", 'AYIRA MINI MART FINAL MENU - Pr'!G867)</f>
        <v/>
      </c>
      <c r="H867" s="56" t="str">
        <f>IF('AYIRA MINI MART FINAL MENU - Pr'!H867="", "", 'AYIRA MINI MART FINAL MENU - Pr'!H867)</f>
        <v/>
      </c>
      <c r="I867" s="56" t="str">
        <f>IF('AYIRA MINI MART FINAL MENU - Pr'!I867="", "", 'AYIRA MINI MART FINAL MENU - Pr'!I867)</f>
        <v/>
      </c>
      <c r="J867" s="56" t="str">
        <f>IFERROR(__xludf.DUMMYFUNCTION("IF('AYIRA MINI MART FINAL MENU - Pr'!J867="""", """", GOOGLETRANSLATE('AYIRA MINI MART FINAL MENU - Pr'!J867, ""en"", ""ar""))"),"")</f>
        <v/>
      </c>
      <c r="K867" s="56" t="str">
        <f>IF('AYIRA MINI MART FINAL MENU - Pr'!K867="", "", 'AYIRA MINI MART FINAL MENU - Pr'!K867)</f>
        <v/>
      </c>
      <c r="L867" s="56" t="str">
        <f>IF('AYIRA MINI MART FINAL MENU - Pr'!L867="", "", 'AYIRA MINI MART FINAL MENU - Pr'!L867)</f>
        <v/>
      </c>
      <c r="M867" s="56" t="str">
        <f>IF('AYIRA MINI MART FINAL MENU - Pr'!M867="", "", 'AYIRA MINI MART FINAL MENU - Pr'!M867)</f>
        <v/>
      </c>
      <c r="N867" s="56" t="str">
        <f>IF('AYIRA MINI MART FINAL MENU - Pr'!N867="", "", 'AYIRA MINI MART FINAL MENU - Pr'!N867)</f>
        <v/>
      </c>
      <c r="O867" s="57"/>
      <c r="P867" s="57"/>
      <c r="Q867" s="57"/>
      <c r="R867" s="57"/>
      <c r="S867" s="57"/>
      <c r="T867" s="57"/>
      <c r="U867" s="57"/>
      <c r="V867" s="57"/>
      <c r="W867" s="57"/>
      <c r="X867" s="57"/>
      <c r="Y867" s="57"/>
      <c r="Z867" s="57"/>
    </row>
    <row r="868">
      <c r="A868" s="56" t="str">
        <f>IFERROR(__xludf.DUMMYFUNCTION("IF('AYIRA MINI MART FINAL MENU - Pr'!A868="""", """", IF(LEN(TRIM(REGEXREPLACE(REGEXREPLACE('AYIRA MINI MART FINAL MENU - Pr'!A868, ""^[^\x{0600}-\x{06FF}]+"", """"), ""^[-–\s]+"", """")))&gt;0, TRIM(REGEXREPLACE(REGEXREPLACE('AYIRA MINI MART FINAL MENU - Pr"&amp;"'!A868, ""^[^\x{0600}-\x{06FF}]+"", """"), ""^[-–\s]+"", """")), GOOGLETRANSLATE('AYIRA MINI MART FINAL MENU - Pr'!A868, ""en"", ""ar"")))"),"غرام")</f>
        <v>غرام</v>
      </c>
      <c r="B868" s="56" t="str">
        <f>IFERROR(__xludf.DUMMYFUNCTION("IF('AYIRA MINI MART FINAL MENU - Pr'!B868="""", """", IF(LEN(TRIM(REGEXREPLACE(REGEXREPLACE('AYIRA MINI MART FINAL MENU - Pr'!B868, ""^[^\x{0600}-\x{06FF}]+"", """"), ""^[-–\s]+"", """")))&gt;0, TRIM(REGEXREPLACE(REGEXREPLACE('AYIRA MINI MART FINAL MENU - Pr"&amp;"'!B868, ""^[^\x{0600}-\x{06FF}]+"", """"), ""^[-–\s]+"", """")), GOOGLETRANSLATE('AYIRA MINI MART FINAL MENU - Pr'!B868, ""en"", ""ar"")))"),"الحلوى 🍬")</f>
        <v>الحلوى 🍬</v>
      </c>
      <c r="C868" s="58">
        <f>IF('AYIRA MINI MART FINAL MENU - Pr'!C868="", "", 'AYIRA MINI MART FINAL MENU - Pr'!C868)</f>
        <v>3.5</v>
      </c>
      <c r="D868" s="58" t="str">
        <f>IF('AYIRA MINI MART FINAL MENU - Pr'!D868="", "", 'AYIRA MINI MART FINAL MENU - Pr'!D868)</f>
        <v>أضف لحظة حلوة إلى يومك مع Brain Blasterz Sour Candy Brain Breakerz45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68" s="56" t="str">
        <f>IF('AYIRA MINI MART FINAL MENU - Pr'!E868="", "", 'AYIRA MINI MART FINAL MENU - Pr'!E868)</f>
        <v/>
      </c>
      <c r="F868" s="56" t="str">
        <f>IF('AYIRA MINI MART FINAL MENU - Pr'!F868="", "", 'AYIRA MINI MART FINAL MENU - Pr'!F868)</f>
        <v/>
      </c>
      <c r="G868" s="56" t="str">
        <f>IF('AYIRA MINI MART FINAL MENU - Pr'!G868="", "", 'AYIRA MINI MART FINAL MENU - Pr'!G868)</f>
        <v/>
      </c>
      <c r="H868" s="56" t="str">
        <f>IF('AYIRA MINI MART FINAL MENU - Pr'!H868="", "", 'AYIRA MINI MART FINAL MENU - Pr'!H868)</f>
        <v/>
      </c>
      <c r="I868" s="56" t="str">
        <f>IF('AYIRA MINI MART FINAL MENU - Pr'!I868="", "", 'AYIRA MINI MART FINAL MENU - Pr'!I868)</f>
        <v/>
      </c>
      <c r="J868" s="56" t="str">
        <f>IFERROR(__xludf.DUMMYFUNCTION("IF('AYIRA MINI MART FINAL MENU - Pr'!J868="""", """", GOOGLETRANSLATE('AYIRA MINI MART FINAL MENU - Pr'!J868, ""en"", ""ar""))"),"")</f>
        <v/>
      </c>
      <c r="K868" s="56" t="str">
        <f>IF('AYIRA MINI MART FINAL MENU - Pr'!K868="", "", 'AYIRA MINI MART FINAL MENU - Pr'!K868)</f>
        <v/>
      </c>
      <c r="L868" s="56" t="str">
        <f>IF('AYIRA MINI MART FINAL MENU - Pr'!L868="", "", 'AYIRA MINI MART FINAL MENU - Pr'!L868)</f>
        <v/>
      </c>
      <c r="M868" s="56" t="str">
        <f>IF('AYIRA MINI MART FINAL MENU - Pr'!M868="", "", 'AYIRA MINI MART FINAL MENU - Pr'!M868)</f>
        <v/>
      </c>
      <c r="N868" s="56" t="str">
        <f>IF('AYIRA MINI MART FINAL MENU - Pr'!N868="", "", 'AYIRA MINI MART FINAL MENU - Pr'!N868)</f>
        <v/>
      </c>
      <c r="O868" s="57"/>
      <c r="P868" s="57"/>
      <c r="Q868" s="57"/>
      <c r="R868" s="57"/>
      <c r="S868" s="57"/>
      <c r="T868" s="57"/>
      <c r="U868" s="57"/>
      <c r="V868" s="57"/>
      <c r="W868" s="57"/>
      <c r="X868" s="57"/>
      <c r="Y868" s="57"/>
      <c r="Z868" s="57"/>
    </row>
    <row r="869">
      <c r="A869" s="56" t="str">
        <f>IFERROR(__xludf.DUMMYFUNCTION("IF('AYIRA MINI MART FINAL MENU - Pr'!A869="""", """", IF(LEN(TRIM(REGEXREPLACE(REGEXREPLACE('AYIRA MINI MART FINAL MENU - Pr'!A869, ""^[^\x{0600}-\x{06FF}]+"", """"), ""^[-–\s]+"", """")))&gt;0, TRIM(REGEXREPLACE(REGEXREPLACE('AYIRA MINI MART FINAL MENU - Pr"&amp;"'!A869, ""^[^\x{0600}-\x{06FF}]+"", """"), ""^[-–\s]+"", """")), GOOGLETRANSLATE('AYIRA MINI MART FINAL MENU - Pr'!A869, ""en"", ""ar"")))"),"غرام")</f>
        <v>غرام</v>
      </c>
      <c r="B869" s="56" t="str">
        <f>IFERROR(__xludf.DUMMYFUNCTION("IF('AYIRA MINI MART FINAL MENU - Pr'!B869="""", """", IF(LEN(TRIM(REGEXREPLACE(REGEXREPLACE('AYIRA MINI MART FINAL MENU - Pr'!B869, ""^[^\x{0600}-\x{06FF}]+"", """"), ""^[-–\s]+"", """")))&gt;0, TRIM(REGEXREPLACE(REGEXREPLACE('AYIRA MINI MART FINAL MENU - Pr"&amp;"'!B869, ""^[^\x{0600}-\x{06FF}]+"", """"), ""^[-–\s]+"", """")), GOOGLETRANSLATE('AYIRA MINI MART FINAL MENU - Pr'!B869, ""en"", ""ar"")))"),"الحلوى 🍬")</f>
        <v>الحلوى 🍬</v>
      </c>
      <c r="C869" s="58">
        <f>IF('AYIRA MINI MART FINAL MENU - Pr'!C869="", "", 'AYIRA MINI MART FINAL MENU - Pr'!C869)</f>
        <v>6</v>
      </c>
      <c r="D869" s="58" t="str">
        <f>IF('AYIRA MINI MART FINAL MENU - Pr'!D869="", "", 'AYIRA MINI MART FINAL MENU - Pr'!D869)</f>
        <v>أضف لحظة حلوة إلى يومك مع Big Baby Pop Candy 32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69" s="56" t="str">
        <f>IF('AYIRA MINI MART FINAL MENU - Pr'!E869="", "", 'AYIRA MINI MART FINAL MENU - Pr'!E869)</f>
        <v/>
      </c>
      <c r="F869" s="56" t="str">
        <f>IF('AYIRA MINI MART FINAL MENU - Pr'!F869="", "", 'AYIRA MINI MART FINAL MENU - Pr'!F869)</f>
        <v/>
      </c>
      <c r="G869" s="56" t="str">
        <f>IF('AYIRA MINI MART FINAL MENU - Pr'!G869="", "", 'AYIRA MINI MART FINAL MENU - Pr'!G869)</f>
        <v/>
      </c>
      <c r="H869" s="56" t="str">
        <f>IF('AYIRA MINI MART FINAL MENU - Pr'!H869="", "", 'AYIRA MINI MART FINAL MENU - Pr'!H869)</f>
        <v/>
      </c>
      <c r="I869" s="56" t="str">
        <f>IF('AYIRA MINI MART FINAL MENU - Pr'!I869="", "", 'AYIRA MINI MART FINAL MENU - Pr'!I869)</f>
        <v/>
      </c>
      <c r="J869" s="56" t="str">
        <f>IFERROR(__xludf.DUMMYFUNCTION("IF('AYIRA MINI MART FINAL MENU - Pr'!J869="""", """", GOOGLETRANSLATE('AYIRA MINI MART FINAL MENU - Pr'!J869, ""en"", ""ar""))"),"")</f>
        <v/>
      </c>
      <c r="K869" s="56" t="str">
        <f>IF('AYIRA MINI MART FINAL MENU - Pr'!K869="", "", 'AYIRA MINI MART FINAL MENU - Pr'!K869)</f>
        <v/>
      </c>
      <c r="L869" s="56" t="str">
        <f>IF('AYIRA MINI MART FINAL MENU - Pr'!L869="", "", 'AYIRA MINI MART FINAL MENU - Pr'!L869)</f>
        <v/>
      </c>
      <c r="M869" s="56" t="str">
        <f>IF('AYIRA MINI MART FINAL MENU - Pr'!M869="", "", 'AYIRA MINI MART FINAL MENU - Pr'!M869)</f>
        <v/>
      </c>
      <c r="N869" s="56" t="str">
        <f>IF('AYIRA MINI MART FINAL MENU - Pr'!N869="", "", 'AYIRA MINI MART FINAL MENU - Pr'!N869)</f>
        <v/>
      </c>
      <c r="O869" s="57"/>
      <c r="P869" s="57"/>
      <c r="Q869" s="57"/>
      <c r="R869" s="57"/>
      <c r="S869" s="57"/>
      <c r="T869" s="57"/>
      <c r="U869" s="57"/>
      <c r="V869" s="57"/>
      <c r="W869" s="57"/>
      <c r="X869" s="57"/>
      <c r="Y869" s="57"/>
      <c r="Z869" s="57"/>
    </row>
    <row r="870">
      <c r="A870" s="56" t="str">
        <f>IFERROR(__xludf.DUMMYFUNCTION("IF('AYIRA MINI MART FINAL MENU - Pr'!A870="""", """", IF(LEN(TRIM(REGEXREPLACE(REGEXREPLACE('AYIRA MINI MART FINAL MENU - Pr'!A870, ""^[^\x{0600}-\x{06FF}]+"", """"), ""^[-–\s]+"", """")))&gt;0, TRIM(REGEXREPLACE(REGEXREPLACE('AYIRA MINI MART FINAL MENU - Pr"&amp;"'!A870, ""^[^\x{0600}-\x{06FF}]+"", """"), ""^[-–\s]+"", """")), GOOGLETRANSLATE('AYIRA MINI MART FINAL MENU - Pr'!A870, ""en"", ""ar"")))"),"حلوى لعبة بوب بلاير")</f>
        <v>حلوى لعبة بوب بلاير</v>
      </c>
      <c r="B870" s="56" t="str">
        <f>IFERROR(__xludf.DUMMYFUNCTION("IF('AYIRA MINI MART FINAL MENU - Pr'!B870="""", """", IF(LEN(TRIM(REGEXREPLACE(REGEXREPLACE('AYIRA MINI MART FINAL MENU - Pr'!B870, ""^[^\x{0600}-\x{06FF}]+"", """"), ""^[-–\s]+"", """")))&gt;0, TRIM(REGEXREPLACE(REGEXREPLACE('AYIRA MINI MART FINAL MENU - Pr"&amp;"'!B870, ""^[^\x{0600}-\x{06FF}]+"", """"), ""^[-–\s]+"", """")), GOOGLETRANSLATE('AYIRA MINI MART FINAL MENU - Pr'!B870, ""en"", ""ar"")))"),"الحلوى 🍬")</f>
        <v>الحلوى 🍬</v>
      </c>
      <c r="C870" s="58">
        <f>IF('AYIRA MINI MART FINAL MENU - Pr'!C870="", "", 'AYIRA MINI MART FINAL MENU - Pr'!C870)</f>
        <v>6</v>
      </c>
      <c r="D870" s="58" t="str">
        <f>IF('AYIRA MINI MART FINAL MENU - Pr'!D870="", "", 'AYIRA MINI MART FINAL MENU - Pr'!D870)</f>
        <v>أضف لحظة حلوة إلى يومك مع Pop Plier Candy Toy،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70" s="56" t="str">
        <f>IF('AYIRA MINI MART FINAL MENU - Pr'!E870="", "", 'AYIRA MINI MART FINAL MENU - Pr'!E870)</f>
        <v/>
      </c>
      <c r="F870" s="56" t="str">
        <f>IF('AYIRA MINI MART FINAL MENU - Pr'!F870="", "", 'AYIRA MINI MART FINAL MENU - Pr'!F870)</f>
        <v/>
      </c>
      <c r="G870" s="56" t="str">
        <f>IF('AYIRA MINI MART FINAL MENU - Pr'!G870="", "", 'AYIRA MINI MART FINAL MENU - Pr'!G870)</f>
        <v/>
      </c>
      <c r="H870" s="56" t="str">
        <f>IF('AYIRA MINI MART FINAL MENU - Pr'!H870="", "", 'AYIRA MINI MART FINAL MENU - Pr'!H870)</f>
        <v/>
      </c>
      <c r="I870" s="56" t="str">
        <f>IF('AYIRA MINI MART FINAL MENU - Pr'!I870="", "", 'AYIRA MINI MART FINAL MENU - Pr'!I870)</f>
        <v/>
      </c>
      <c r="J870" s="56" t="str">
        <f>IFERROR(__xludf.DUMMYFUNCTION("IF('AYIRA MINI MART FINAL MENU - Pr'!J870="""", """", GOOGLETRANSLATE('AYIRA MINI MART FINAL MENU - Pr'!J870, ""en"", ""ar""))"),"")</f>
        <v/>
      </c>
      <c r="K870" s="56" t="str">
        <f>IF('AYIRA MINI MART FINAL MENU - Pr'!K870="", "", 'AYIRA MINI MART FINAL MENU - Pr'!K870)</f>
        <v/>
      </c>
      <c r="L870" s="56" t="str">
        <f>IF('AYIRA MINI MART FINAL MENU - Pr'!L870="", "", 'AYIRA MINI MART FINAL MENU - Pr'!L870)</f>
        <v/>
      </c>
      <c r="M870" s="56" t="str">
        <f>IF('AYIRA MINI MART FINAL MENU - Pr'!M870="", "", 'AYIRA MINI MART FINAL MENU - Pr'!M870)</f>
        <v/>
      </c>
      <c r="N870" s="56" t="str">
        <f>IF('AYIRA MINI MART FINAL MENU - Pr'!N870="", "", 'AYIRA MINI MART FINAL MENU - Pr'!N870)</f>
        <v/>
      </c>
      <c r="O870" s="57"/>
      <c r="P870" s="57"/>
      <c r="Q870" s="57"/>
      <c r="R870" s="57"/>
      <c r="S870" s="57"/>
      <c r="T870" s="57"/>
      <c r="U870" s="57"/>
      <c r="V870" s="57"/>
      <c r="W870" s="57"/>
      <c r="X870" s="57"/>
      <c r="Y870" s="57"/>
      <c r="Z870" s="57"/>
    </row>
    <row r="871">
      <c r="A871" s="56" t="str">
        <f>IFERROR(__xludf.DUMMYFUNCTION("IF('AYIRA MINI MART FINAL MENU - Pr'!A871="""", """", IF(LEN(TRIM(REGEXREPLACE(REGEXREPLACE('AYIRA MINI MART FINAL MENU - Pr'!A871, ""^[^\x{0600}-\x{06FF}]+"", """"), ""^[-–\s]+"", """")))&gt;0, TRIM(REGEXREPLACE(REGEXREPLACE('AYIRA MINI MART FINAL MENU - Pr"&amp;"'!A871, ""^[^\x{0600}-\x{06FF}]+"", """"), ""^[-–\s]+"", """")), GOOGLETRANSLATE('AYIRA MINI MART FINAL MENU - Pr'!A871, ""en"", ""ar"")))"),"زجاجة Pop تفاح Candy 25 غرام")</f>
        <v>زجاجة Pop تفاح Candy 25 غرام</v>
      </c>
      <c r="B871" s="56" t="str">
        <f>IFERROR(__xludf.DUMMYFUNCTION("IF('AYIRA MINI MART FINAL MENU - Pr'!B871="""", """", IF(LEN(TRIM(REGEXREPLACE(REGEXREPLACE('AYIRA MINI MART FINAL MENU - Pr'!B871, ""^[^\x{0600}-\x{06FF}]+"", """"), ""^[-–\s]+"", """")))&gt;0, TRIM(REGEXREPLACE(REGEXREPLACE('AYIRA MINI MART FINAL MENU - Pr"&amp;"'!B871, ""^[^\x{0600}-\x{06FF}]+"", """"), ""^[-–\s]+"", """")), GOOGLETRANSLATE('AYIRA MINI MART FINAL MENU - Pr'!B871, ""en"", ""ar"")))"),"الحلوى 🍬")</f>
        <v>الحلوى 🍬</v>
      </c>
      <c r="C871" s="58">
        <f>IF('AYIRA MINI MART FINAL MENU - Pr'!C871="", "", 'AYIRA MINI MART FINAL MENU - Pr'!C871)</f>
        <v>2.5</v>
      </c>
      <c r="D871" s="58" t="str">
        <f>IF('AYIRA MINI MART FINAL MENU - Pr'!D871="", "", 'AYIRA MINI MART FINAL MENU - Pr'!D871)</f>
        <v>أضف لحظة حلوة إلى يومك مع Crazy Bottle Pop Apple Candy 25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71" s="56" t="str">
        <f>IF('AYIRA MINI MART FINAL MENU - Pr'!E871="", "", 'AYIRA MINI MART FINAL MENU - Pr'!E871)</f>
        <v/>
      </c>
      <c r="F871" s="56" t="str">
        <f>IF('AYIRA MINI MART FINAL MENU - Pr'!F871="", "", 'AYIRA MINI MART FINAL MENU - Pr'!F871)</f>
        <v/>
      </c>
      <c r="G871" s="56" t="str">
        <f>IF('AYIRA MINI MART FINAL MENU - Pr'!G871="", "", 'AYIRA MINI MART FINAL MENU - Pr'!G871)</f>
        <v/>
      </c>
      <c r="H871" s="56" t="str">
        <f>IF('AYIRA MINI MART FINAL MENU - Pr'!H871="", "", 'AYIRA MINI MART FINAL MENU - Pr'!H871)</f>
        <v/>
      </c>
      <c r="I871" s="56" t="str">
        <f>IF('AYIRA MINI MART FINAL MENU - Pr'!I871="", "", 'AYIRA MINI MART FINAL MENU - Pr'!I871)</f>
        <v/>
      </c>
      <c r="J871" s="56" t="str">
        <f>IFERROR(__xludf.DUMMYFUNCTION("IF('AYIRA MINI MART FINAL MENU - Pr'!J871="""", """", GOOGLETRANSLATE('AYIRA MINI MART FINAL MENU - Pr'!J871, ""en"", ""ar""))"),"")</f>
        <v/>
      </c>
      <c r="K871" s="56" t="str">
        <f>IF('AYIRA MINI MART FINAL MENU - Pr'!K871="", "", 'AYIRA MINI MART FINAL MENU - Pr'!K871)</f>
        <v/>
      </c>
      <c r="L871" s="56" t="str">
        <f>IF('AYIRA MINI MART FINAL MENU - Pr'!L871="", "", 'AYIRA MINI MART FINAL MENU - Pr'!L871)</f>
        <v/>
      </c>
      <c r="M871" s="56" t="str">
        <f>IF('AYIRA MINI MART FINAL MENU - Pr'!M871="", "", 'AYIRA MINI MART FINAL MENU - Pr'!M871)</f>
        <v/>
      </c>
      <c r="N871" s="56" t="str">
        <f>IF('AYIRA MINI MART FINAL MENU - Pr'!N871="", "", 'AYIRA MINI MART FINAL MENU - Pr'!N871)</f>
        <v/>
      </c>
      <c r="O871" s="57"/>
      <c r="P871" s="57"/>
      <c r="Q871" s="57"/>
      <c r="R871" s="57"/>
      <c r="S871" s="57"/>
      <c r="T871" s="57"/>
      <c r="U871" s="57"/>
      <c r="V871" s="57"/>
      <c r="W871" s="57"/>
      <c r="X871" s="57"/>
      <c r="Y871" s="57"/>
      <c r="Z871" s="57"/>
    </row>
    <row r="872">
      <c r="A872" s="56" t="str">
        <f>IFERROR(__xludf.DUMMYFUNCTION("IF('AYIRA MINI MART FINAL MENU - Pr'!A872="""", """", IF(LEN(TRIM(REGEXREPLACE(REGEXREPLACE('AYIRA MINI MART FINAL MENU - Pr'!A872, ""^[^\x{0600}-\x{06FF}]+"", """"), ""^[-–\s]+"", """")))&gt;0, TRIM(REGEXREPLACE(REGEXREPLACE('AYIRA MINI MART FINAL MENU - Pr"&amp;"'!A872, ""^[^\x{0600}-\x{06FF}]+"", """"), ""^[-–\s]+"", """")), GOOGLETRANSLATE('AYIRA MINI MART FINAL MENU - Pr'!A872, ""en"", ""ar"")))"),"حلوى لعبة كاتس بوب")</f>
        <v>حلوى لعبة كاتس بوب</v>
      </c>
      <c r="B872" s="56" t="str">
        <f>IFERROR(__xludf.DUMMYFUNCTION("IF('AYIRA MINI MART FINAL MENU - Pr'!B872="""", """", IF(LEN(TRIM(REGEXREPLACE(REGEXREPLACE('AYIRA MINI MART FINAL MENU - Pr'!B872, ""^[^\x{0600}-\x{06FF}]+"", """"), ""^[-–\s]+"", """")))&gt;0, TRIM(REGEXREPLACE(REGEXREPLACE('AYIRA MINI MART FINAL MENU - Pr"&amp;"'!B872, ""^[^\x{0600}-\x{06FF}]+"", """"), ""^[-–\s]+"", """")), GOOGLETRANSLATE('AYIRA MINI MART FINAL MENU - Pr'!B872, ""en"", ""ar"")))"),"الحلوى 🍬")</f>
        <v>الحلوى 🍬</v>
      </c>
      <c r="C872" s="58">
        <f>IF('AYIRA MINI MART FINAL MENU - Pr'!C872="", "", 'AYIRA MINI MART FINAL MENU - Pr'!C872)</f>
        <v>4</v>
      </c>
      <c r="D872" s="58" t="str">
        <f>IF('AYIRA MINI MART FINAL MENU - Pr'!D872="", "", 'AYIRA MINI MART FINAL MENU - Pr'!D872)</f>
        <v>أضف لحظة حلوة إلى يومك مع Cats Pop Candy Toy،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72" s="56" t="str">
        <f>IF('AYIRA MINI MART FINAL MENU - Pr'!E872="", "", 'AYIRA MINI MART FINAL MENU - Pr'!E872)</f>
        <v/>
      </c>
      <c r="F872" s="56" t="str">
        <f>IF('AYIRA MINI MART FINAL MENU - Pr'!F872="", "", 'AYIRA MINI MART FINAL MENU - Pr'!F872)</f>
        <v/>
      </c>
      <c r="G872" s="56" t="str">
        <f>IF('AYIRA MINI MART FINAL MENU - Pr'!G872="", "", 'AYIRA MINI MART FINAL MENU - Pr'!G872)</f>
        <v/>
      </c>
      <c r="H872" s="56" t="str">
        <f>IF('AYIRA MINI MART FINAL MENU - Pr'!H872="", "", 'AYIRA MINI MART FINAL MENU - Pr'!H872)</f>
        <v/>
      </c>
      <c r="I872" s="56" t="str">
        <f>IF('AYIRA MINI MART FINAL MENU - Pr'!I872="", "", 'AYIRA MINI MART FINAL MENU - Pr'!I872)</f>
        <v/>
      </c>
      <c r="J872" s="56" t="str">
        <f>IFERROR(__xludf.DUMMYFUNCTION("IF('AYIRA MINI MART FINAL MENU - Pr'!J872="""", """", GOOGLETRANSLATE('AYIRA MINI MART FINAL MENU - Pr'!J872, ""en"", ""ar""))"),"")</f>
        <v/>
      </c>
      <c r="K872" s="56" t="str">
        <f>IF('AYIRA MINI MART FINAL MENU - Pr'!K872="", "", 'AYIRA MINI MART FINAL MENU - Pr'!K872)</f>
        <v/>
      </c>
      <c r="L872" s="56" t="str">
        <f>IF('AYIRA MINI MART FINAL MENU - Pr'!L872="", "", 'AYIRA MINI MART FINAL MENU - Pr'!L872)</f>
        <v/>
      </c>
      <c r="M872" s="56" t="str">
        <f>IF('AYIRA MINI MART FINAL MENU - Pr'!M872="", "", 'AYIRA MINI MART FINAL MENU - Pr'!M872)</f>
        <v/>
      </c>
      <c r="N872" s="56" t="str">
        <f>IF('AYIRA MINI MART FINAL MENU - Pr'!N872="", "", 'AYIRA MINI MART FINAL MENU - Pr'!N872)</f>
        <v/>
      </c>
      <c r="O872" s="57"/>
      <c r="P872" s="57"/>
      <c r="Q872" s="57"/>
      <c r="R872" s="57"/>
      <c r="S872" s="57"/>
      <c r="T872" s="57"/>
      <c r="U872" s="57"/>
      <c r="V872" s="57"/>
      <c r="W872" s="57"/>
      <c r="X872" s="57"/>
      <c r="Y872" s="57"/>
      <c r="Z872" s="57"/>
    </row>
    <row r="873">
      <c r="A873" s="56" t="str">
        <f>IFERROR(__xludf.DUMMYFUNCTION("IF('AYIRA MINI MART FINAL MENU - Pr'!A873="""", """", IF(LEN(TRIM(REGEXREPLACE(REGEXREPLACE('AYIRA MINI MART FINAL MENU - Pr'!A873, ""^[^\x{0600}-\x{06FF}]+"", """"), ""^[-–\s]+"", """")))&gt;0, TRIM(REGEXREPLACE(REGEXREPLACE('AYIRA MINI MART FINAL MENU - Pr"&amp;"'!A873, ""^[^\x{0600}-\x{06FF}]+"", """"), ""^[-–\s]+"", """")), GOOGLETRANSLATE('AYIRA MINI MART FINAL MENU - Pr'!A873, ""en"", ""ar"")))"),"مل")</f>
        <v>مل</v>
      </c>
      <c r="B873" s="56" t="str">
        <f>IFERROR(__xludf.DUMMYFUNCTION("IF('AYIRA MINI MART FINAL MENU - Pr'!B873="""", """", IF(LEN(TRIM(REGEXREPLACE(REGEXREPLACE('AYIRA MINI MART FINAL MENU - Pr'!B873, ""^[^\x{0600}-\x{06FF}]+"", """"), ""^[-–\s]+"", """")))&gt;0, TRIM(REGEXREPLACE(REGEXREPLACE('AYIRA MINI MART FINAL MENU - Pr"&amp;"'!B873, ""^[^\x{0600}-\x{06FF}]+"", """"), ""^[-–\s]+"", """")), GOOGLETRANSLATE('AYIRA MINI MART FINAL MENU - Pr'!B873, ""en"", ""ar"")))"),"الحلوى 🍬")</f>
        <v>الحلوى 🍬</v>
      </c>
      <c r="C873" s="58">
        <f>IF('AYIRA MINI MART FINAL MENU - Pr'!C873="", "", 'AYIRA MINI MART FINAL MENU - Pr'!C873)</f>
        <v>5</v>
      </c>
      <c r="D873" s="58" t="str">
        <f>IF('AYIRA MINI MART FINAL MENU - Pr'!D873="", "", 'AYIRA MINI MART FINAL MENU - Pr'!D873)</f>
        <v>أضف لحظة حلوة إلى يومك مع Screamerz Big Lick Sour Candy Rolle Purple Razz 60 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73" s="56" t="str">
        <f>IF('AYIRA MINI MART FINAL MENU - Pr'!E873="", "", 'AYIRA MINI MART FINAL MENU - Pr'!E873)</f>
        <v/>
      </c>
      <c r="F873" s="56" t="str">
        <f>IF('AYIRA MINI MART FINAL MENU - Pr'!F873="", "", 'AYIRA MINI MART FINAL MENU - Pr'!F873)</f>
        <v/>
      </c>
      <c r="G873" s="56" t="str">
        <f>IF('AYIRA MINI MART FINAL MENU - Pr'!G873="", "", 'AYIRA MINI MART FINAL MENU - Pr'!G873)</f>
        <v/>
      </c>
      <c r="H873" s="56" t="str">
        <f>IF('AYIRA MINI MART FINAL MENU - Pr'!H873="", "", 'AYIRA MINI MART FINAL MENU - Pr'!H873)</f>
        <v/>
      </c>
      <c r="I873" s="56" t="str">
        <f>IF('AYIRA MINI MART FINAL MENU - Pr'!I873="", "", 'AYIRA MINI MART FINAL MENU - Pr'!I873)</f>
        <v/>
      </c>
      <c r="J873" s="56" t="str">
        <f>IFERROR(__xludf.DUMMYFUNCTION("IF('AYIRA MINI MART FINAL MENU - Pr'!J873="""", """", GOOGLETRANSLATE('AYIRA MINI MART FINAL MENU - Pr'!J873, ""en"", ""ar""))"),"")</f>
        <v/>
      </c>
      <c r="K873" s="56" t="str">
        <f>IF('AYIRA MINI MART FINAL MENU - Pr'!K873="", "", 'AYIRA MINI MART FINAL MENU - Pr'!K873)</f>
        <v/>
      </c>
      <c r="L873" s="56" t="str">
        <f>IF('AYIRA MINI MART FINAL MENU - Pr'!L873="", "", 'AYIRA MINI MART FINAL MENU - Pr'!L873)</f>
        <v/>
      </c>
      <c r="M873" s="56" t="str">
        <f>IF('AYIRA MINI MART FINAL MENU - Pr'!M873="", "", 'AYIRA MINI MART FINAL MENU - Pr'!M873)</f>
        <v/>
      </c>
      <c r="N873" s="56" t="str">
        <f>IF('AYIRA MINI MART FINAL MENU - Pr'!N873="", "", 'AYIRA MINI MART FINAL MENU - Pr'!N873)</f>
        <v/>
      </c>
      <c r="O873" s="57"/>
      <c r="P873" s="57"/>
      <c r="Q873" s="57"/>
      <c r="R873" s="57"/>
      <c r="S873" s="57"/>
      <c r="T873" s="57"/>
      <c r="U873" s="57"/>
      <c r="V873" s="57"/>
      <c r="W873" s="57"/>
      <c r="X873" s="57"/>
      <c r="Y873" s="57"/>
      <c r="Z873" s="57"/>
    </row>
    <row r="874">
      <c r="A874" s="56" t="str">
        <f>IFERROR(__xludf.DUMMYFUNCTION("IF('AYIRA MINI MART FINAL MENU - Pr'!A874="""", """", IF(LEN(TRIM(REGEXREPLACE(REGEXREPLACE('AYIRA MINI MART FINAL MENU - Pr'!A874, ""^[^\x{0600}-\x{06FF}]+"", """"), ""^[-–\s]+"", """")))&gt;0, TRIM(REGEXREPLACE(REGEXREPLACE('AYIRA MINI MART FINAL MENU - Pr"&amp;"'!A874, ""^[^\x{0600}-\x{06FF}]+"", """"), ""^[-–\s]+"", """")), GOOGLETRANSLATE('AYIRA MINI MART FINAL MENU - Pr'!A874, ""en"", ""ar"")))"),"تريبل باور بوش بوب حلوى")</f>
        <v>تريبل باور بوش بوب حلوى</v>
      </c>
      <c r="B874" s="56" t="str">
        <f>IFERROR(__xludf.DUMMYFUNCTION("IF('AYIRA MINI MART FINAL MENU - Pr'!B874="""", """", IF(LEN(TRIM(REGEXREPLACE(REGEXREPLACE('AYIRA MINI MART FINAL MENU - Pr'!B874, ""^[^\x{0600}-\x{06FF}]+"", """"), ""^[-–\s]+"", """")))&gt;0, TRIM(REGEXREPLACE(REGEXREPLACE('AYIRA MINI MART FINAL MENU - Pr"&amp;"'!B874, ""^[^\x{0600}-\x{06FF}]+"", """"), ""^[-–\s]+"", """")), GOOGLETRANSLATE('AYIRA MINI MART FINAL MENU - Pr'!B874, ""en"", ""ar"")))"),"الحلوى 🍬")</f>
        <v>الحلوى 🍬</v>
      </c>
      <c r="C874" s="58">
        <f>IF('AYIRA MINI MART FINAL MENU - Pr'!C874="", "", 'AYIRA MINI MART FINAL MENU - Pr'!C874)</f>
        <v>10</v>
      </c>
      <c r="D874" s="58" t="str">
        <f>IF('AYIRA MINI MART FINAL MENU - Pr'!D874="", "", 'AYIRA MINI MART FINAL MENU - Pr'!D874)</f>
        <v>أضف لحظة حلوة إلى يومك مع Triple Power Push Pop Candy،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74" s="56" t="str">
        <f>IF('AYIRA MINI MART FINAL MENU - Pr'!E874="", "", 'AYIRA MINI MART FINAL MENU - Pr'!E874)</f>
        <v/>
      </c>
      <c r="F874" s="56" t="str">
        <f>IF('AYIRA MINI MART FINAL MENU - Pr'!F874="", "", 'AYIRA MINI MART FINAL MENU - Pr'!F874)</f>
        <v/>
      </c>
      <c r="G874" s="56" t="str">
        <f>IF('AYIRA MINI MART FINAL MENU - Pr'!G874="", "", 'AYIRA MINI MART FINAL MENU - Pr'!G874)</f>
        <v/>
      </c>
      <c r="H874" s="56" t="str">
        <f>IF('AYIRA MINI MART FINAL MENU - Pr'!H874="", "", 'AYIRA MINI MART FINAL MENU - Pr'!H874)</f>
        <v/>
      </c>
      <c r="I874" s="56" t="str">
        <f>IF('AYIRA MINI MART FINAL MENU - Pr'!I874="", "", 'AYIRA MINI MART FINAL MENU - Pr'!I874)</f>
        <v/>
      </c>
      <c r="J874" s="56" t="str">
        <f>IFERROR(__xludf.DUMMYFUNCTION("IF('AYIRA MINI MART FINAL MENU - Pr'!J874="""", """", GOOGLETRANSLATE('AYIRA MINI MART FINAL MENU - Pr'!J874, ""en"", ""ar""))"),"")</f>
        <v/>
      </c>
      <c r="K874" s="56" t="str">
        <f>IF('AYIRA MINI MART FINAL MENU - Pr'!K874="", "", 'AYIRA MINI MART FINAL MENU - Pr'!K874)</f>
        <v/>
      </c>
      <c r="L874" s="56" t="str">
        <f>IF('AYIRA MINI MART FINAL MENU - Pr'!L874="", "", 'AYIRA MINI MART FINAL MENU - Pr'!L874)</f>
        <v/>
      </c>
      <c r="M874" s="56" t="str">
        <f>IF('AYIRA MINI MART FINAL MENU - Pr'!M874="", "", 'AYIRA MINI MART FINAL MENU - Pr'!M874)</f>
        <v/>
      </c>
      <c r="N874" s="56" t="str">
        <f>IF('AYIRA MINI MART FINAL MENU - Pr'!N874="", "", 'AYIRA MINI MART FINAL MENU - Pr'!N874)</f>
        <v/>
      </c>
      <c r="O874" s="57"/>
      <c r="P874" s="57"/>
      <c r="Q874" s="57"/>
      <c r="R874" s="57"/>
      <c r="S874" s="57"/>
      <c r="T874" s="57"/>
      <c r="U874" s="57"/>
      <c r="V874" s="57"/>
      <c r="W874" s="57"/>
      <c r="X874" s="57"/>
      <c r="Y874" s="57"/>
      <c r="Z874" s="57"/>
    </row>
    <row r="875">
      <c r="A875" s="56" t="str">
        <f>IFERROR(__xludf.DUMMYFUNCTION("IF('AYIRA MINI MART FINAL MENU - Pr'!A875="""", """", IF(LEN(TRIM(REGEXREPLACE(REGEXREPLACE('AYIRA MINI MART FINAL MENU - Pr'!A875, ""^[^\x{0600}-\x{06FF}]+"", """"), ""^[-–\s]+"", """")))&gt;0, TRIM(REGEXREPLACE(REGEXREPLACE('AYIRA MINI MART FINAL MENU - Pr"&amp;"'!A875, ""^[^\x{0600}-\x{06FF}]+"", """"), ""^[-–\s]+"", """")), GOOGLETRANSLATE('AYIRA MINI MART FINAL MENU - Pr'!A875, ""en"", ""ar"")))"),"مل")</f>
        <v>مل</v>
      </c>
      <c r="B875" s="56" t="str">
        <f>IFERROR(__xludf.DUMMYFUNCTION("IF('AYIRA MINI MART FINAL MENU - Pr'!B875="""", """", IF(LEN(TRIM(REGEXREPLACE(REGEXREPLACE('AYIRA MINI MART FINAL MENU - Pr'!B875, ""^[^\x{0600}-\x{06FF}]+"", """"), ""^[-–\s]+"", """")))&gt;0, TRIM(REGEXREPLACE(REGEXREPLACE('AYIRA MINI MART FINAL MENU - Pr"&amp;"'!B875, ""^[^\x{0600}-\x{06FF}]+"", """"), ""^[-–\s]+"", """")), GOOGLETRANSLATE('AYIRA MINI MART FINAL MENU - Pr'!B875, ""en"", ""ar"")))"),"الحلوى 🍬")</f>
        <v>الحلوى 🍬</v>
      </c>
      <c r="C875" s="58">
        <f>IF('AYIRA MINI MART FINAL MENU - Pr'!C875="", "", 'AYIRA MINI MART FINAL MENU - Pr'!C875)</f>
        <v>6</v>
      </c>
      <c r="D875" s="58" t="str">
        <f>IF('AYIRA MINI MART FINAL MENU - Pr'!D875="", "", 'AYIRA MINI MART FINAL MENU - Pr'!D875)</f>
        <v>أضف لحظة حلوة إلى يومك مع Roller Blaster Sour Liquid Candy Rol Blue Raspberry 60 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75" s="56" t="str">
        <f>IF('AYIRA MINI MART FINAL MENU - Pr'!E875="", "", 'AYIRA MINI MART FINAL MENU - Pr'!E875)</f>
        <v/>
      </c>
      <c r="F875" s="56" t="str">
        <f>IF('AYIRA MINI MART FINAL MENU - Pr'!F875="", "", 'AYIRA MINI MART FINAL MENU - Pr'!F875)</f>
        <v/>
      </c>
      <c r="G875" s="56" t="str">
        <f>IF('AYIRA MINI MART FINAL MENU - Pr'!G875="", "", 'AYIRA MINI MART FINAL MENU - Pr'!G875)</f>
        <v/>
      </c>
      <c r="H875" s="56" t="str">
        <f>IF('AYIRA MINI MART FINAL MENU - Pr'!H875="", "", 'AYIRA MINI MART FINAL MENU - Pr'!H875)</f>
        <v/>
      </c>
      <c r="I875" s="56" t="str">
        <f>IF('AYIRA MINI MART FINAL MENU - Pr'!I875="", "", 'AYIRA MINI MART FINAL MENU - Pr'!I875)</f>
        <v/>
      </c>
      <c r="J875" s="56" t="str">
        <f>IFERROR(__xludf.DUMMYFUNCTION("IF('AYIRA MINI MART FINAL MENU - Pr'!J875="""", """", GOOGLETRANSLATE('AYIRA MINI MART FINAL MENU - Pr'!J875, ""en"", ""ar""))"),"")</f>
        <v/>
      </c>
      <c r="K875" s="56" t="str">
        <f>IF('AYIRA MINI MART FINAL MENU - Pr'!K875="", "", 'AYIRA MINI MART FINAL MENU - Pr'!K875)</f>
        <v/>
      </c>
      <c r="L875" s="56" t="str">
        <f>IF('AYIRA MINI MART FINAL MENU - Pr'!L875="", "", 'AYIRA MINI MART FINAL MENU - Pr'!L875)</f>
        <v/>
      </c>
      <c r="M875" s="56" t="str">
        <f>IF('AYIRA MINI MART FINAL MENU - Pr'!M875="", "", 'AYIRA MINI MART FINAL MENU - Pr'!M875)</f>
        <v/>
      </c>
      <c r="N875" s="56" t="str">
        <f>IF('AYIRA MINI MART FINAL MENU - Pr'!N875="", "", 'AYIRA MINI MART FINAL MENU - Pr'!N875)</f>
        <v/>
      </c>
      <c r="O875" s="57"/>
      <c r="P875" s="57"/>
      <c r="Q875" s="57"/>
      <c r="R875" s="57"/>
      <c r="S875" s="57"/>
      <c r="T875" s="57"/>
      <c r="U875" s="57"/>
      <c r="V875" s="57"/>
      <c r="W875" s="57"/>
      <c r="X875" s="57"/>
      <c r="Y875" s="57"/>
      <c r="Z875" s="57"/>
    </row>
    <row r="876">
      <c r="A876" s="56" t="str">
        <f>IFERROR(__xludf.DUMMYFUNCTION("IF('AYIRA MINI MART FINAL MENU - Pr'!A876="""", """", IF(LEN(TRIM(REGEXREPLACE(REGEXREPLACE('AYIRA MINI MART FINAL MENU - Pr'!A876, ""^[^\x{0600}-\x{06FF}]+"", """"), ""^[-–\s]+"", """")))&gt;0, TRIM(REGEXREPLACE(REGEXREPLACE('AYIRA MINI MART FINAL MENU - Pr"&amp;"'!A876, ""^[^\x{0600}-\x{06FF}]+"", """"), ""^[-–\s]+"", """")), GOOGLETRANSLATE('AYIRA MINI MART FINAL MENU - Pr'!A876, ""en"", ""ar"")))"),"بودرة (Strawberry Flavour) 10 غرام")</f>
        <v>بودرة (Strawberry Flavour) 10 غرام</v>
      </c>
      <c r="B876" s="56" t="str">
        <f>IFERROR(__xludf.DUMMYFUNCTION("IF('AYIRA MINI MART FINAL MENU - Pr'!B876="""", """", IF(LEN(TRIM(REGEXREPLACE(REGEXREPLACE('AYIRA MINI MART FINAL MENU - Pr'!B876, ""^[^\x{0600}-\x{06FF}]+"", """"), ""^[-–\s]+"", """")))&gt;0, TRIM(REGEXREPLACE(REGEXREPLACE('AYIRA MINI MART FINAL MENU - Pr"&amp;"'!B876, ""^[^\x{0600}-\x{06FF}]+"", """"), ""^[-–\s]+"", """")), GOOGLETRANSLATE('AYIRA MINI MART FINAL MENU - Pr'!B876, ""en"", ""ar"")))"),"الحلوى 🍬")</f>
        <v>الحلوى 🍬</v>
      </c>
      <c r="C876" s="58">
        <f>IF('AYIRA MINI MART FINAL MENU - Pr'!C876="", "", 'AYIRA MINI MART FINAL MENU - Pr'!C876)</f>
        <v>8.5</v>
      </c>
      <c r="D876" s="58" t="str">
        <f>IF('AYIRA MINI MART FINAL MENU - Pr'!D876="", "", 'AYIRA MINI MART FINAL MENU - Pr'!D876)</f>
        <v>لا تقاوم طعم Brain Blasterz Sour Powder (Strawberry Flavour) 10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76" s="56" t="str">
        <f>IF('AYIRA MINI MART FINAL MENU - Pr'!E876="", "", 'AYIRA MINI MART FINAL MENU - Pr'!E876)</f>
        <v/>
      </c>
      <c r="F876" s="56" t="str">
        <f>IF('AYIRA MINI MART FINAL MENU - Pr'!F876="", "", 'AYIRA MINI MART FINAL MENU - Pr'!F876)</f>
        <v/>
      </c>
      <c r="G876" s="56" t="str">
        <f>IF('AYIRA MINI MART FINAL MENU - Pr'!G876="", "", 'AYIRA MINI MART FINAL MENU - Pr'!G876)</f>
        <v/>
      </c>
      <c r="H876" s="56" t="str">
        <f>IF('AYIRA MINI MART FINAL MENU - Pr'!H876="", "", 'AYIRA MINI MART FINAL MENU - Pr'!H876)</f>
        <v/>
      </c>
      <c r="I876" s="56" t="str">
        <f>IF('AYIRA MINI MART FINAL MENU - Pr'!I876="", "", 'AYIRA MINI MART FINAL MENU - Pr'!I876)</f>
        <v/>
      </c>
      <c r="J876" s="56" t="str">
        <f>IFERROR(__xludf.DUMMYFUNCTION("IF('AYIRA MINI MART FINAL MENU - Pr'!J876="""", """", GOOGLETRANSLATE('AYIRA MINI MART FINAL MENU - Pr'!J876, ""en"", ""ar""))"),"")</f>
        <v/>
      </c>
      <c r="K876" s="56" t="str">
        <f>IF('AYIRA MINI MART FINAL MENU - Pr'!K876="", "", 'AYIRA MINI MART FINAL MENU - Pr'!K876)</f>
        <v/>
      </c>
      <c r="L876" s="56" t="str">
        <f>IF('AYIRA MINI MART FINAL MENU - Pr'!L876="", "", 'AYIRA MINI MART FINAL MENU - Pr'!L876)</f>
        <v/>
      </c>
      <c r="M876" s="56" t="str">
        <f>IF('AYIRA MINI MART FINAL MENU - Pr'!M876="", "", 'AYIRA MINI MART FINAL MENU - Pr'!M876)</f>
        <v/>
      </c>
      <c r="N876" s="56" t="str">
        <f>IF('AYIRA MINI MART FINAL MENU - Pr'!N876="", "", 'AYIRA MINI MART FINAL MENU - Pr'!N876)</f>
        <v/>
      </c>
      <c r="O876" s="57"/>
      <c r="P876" s="57"/>
      <c r="Q876" s="57"/>
      <c r="R876" s="57"/>
      <c r="S876" s="57"/>
      <c r="T876" s="57"/>
      <c r="U876" s="57"/>
      <c r="V876" s="57"/>
      <c r="W876" s="57"/>
      <c r="X876" s="57"/>
      <c r="Y876" s="57"/>
      <c r="Z876" s="57"/>
    </row>
    <row r="877">
      <c r="A877" s="56" t="str">
        <f>IFERROR(__xludf.DUMMYFUNCTION("IF('AYIRA MINI MART FINAL MENU - Pr'!A877="""", """", IF(LEN(TRIM(REGEXREPLACE(REGEXREPLACE('AYIRA MINI MART FINAL MENU - Pr'!A877, ""^[^\x{0600}-\x{06FF}]+"", """"), ""^[-–\s]+"", """")))&gt;0, TRIM(REGEXREPLACE(REGEXREPLACE('AYIRA MINI MART FINAL MENU - Pr"&amp;"'!A877, ""^[^\x{0600}-\x{06FF}]+"", """"), ""^[-–\s]+"", """")), GOOGLETRANSLATE('AYIRA MINI MART FINAL MENU - Pr'!A877, ""en"", ""ar"")))"),"براين بلاسترز حلوى حامضة 45 قطعة")</f>
        <v>براين بلاسترز حلوى حامضة 45 قطعة</v>
      </c>
      <c r="B877" s="56" t="str">
        <f>IFERROR(__xludf.DUMMYFUNCTION("IF('AYIRA MINI MART FINAL MENU - Pr'!B877="""", """", IF(LEN(TRIM(REGEXREPLACE(REGEXREPLACE('AYIRA MINI MART FINAL MENU - Pr'!B877, ""^[^\x{0600}-\x{06FF}]+"", """"), ""^[-–\s]+"", """")))&gt;0, TRIM(REGEXREPLACE(REGEXREPLACE('AYIRA MINI MART FINAL MENU - Pr"&amp;"'!B877, ""^[^\x{0600}-\x{06FF}]+"", """"), ""^[-–\s]+"", """")), GOOGLETRANSLATE('AYIRA MINI MART FINAL MENU - Pr'!B877, ""en"", ""ar"")))"),"الحلوى 🍬")</f>
        <v>الحلوى 🍬</v>
      </c>
      <c r="C877" s="58">
        <f>IF('AYIRA MINI MART FINAL MENU - Pr'!C877="", "", 'AYIRA MINI MART FINAL MENU - Pr'!C877)</f>
        <v>3.5</v>
      </c>
      <c r="D877" s="58" t="str">
        <f>IF('AYIRA MINI MART FINAL MENU - Pr'!D877="", "", 'AYIRA MINI MART FINAL MENU - Pr'!D877)</f>
        <v>أضف لحظة حلوة إلى يومك مع Brain Blasterz Sour Candy Brain Bitz 45،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77" s="56" t="str">
        <f>IF('AYIRA MINI MART FINAL MENU - Pr'!E877="", "", 'AYIRA MINI MART FINAL MENU - Pr'!E877)</f>
        <v/>
      </c>
      <c r="F877" s="56" t="str">
        <f>IF('AYIRA MINI MART FINAL MENU - Pr'!F877="", "", 'AYIRA MINI MART FINAL MENU - Pr'!F877)</f>
        <v/>
      </c>
      <c r="G877" s="56" t="str">
        <f>IF('AYIRA MINI MART FINAL MENU - Pr'!G877="", "", 'AYIRA MINI MART FINAL MENU - Pr'!G877)</f>
        <v/>
      </c>
      <c r="H877" s="56" t="str">
        <f>IF('AYIRA MINI MART FINAL MENU - Pr'!H877="", "", 'AYIRA MINI MART FINAL MENU - Pr'!H877)</f>
        <v/>
      </c>
      <c r="I877" s="56" t="str">
        <f>IF('AYIRA MINI MART FINAL MENU - Pr'!I877="", "", 'AYIRA MINI MART FINAL MENU - Pr'!I877)</f>
        <v/>
      </c>
      <c r="J877" s="56" t="str">
        <f>IFERROR(__xludf.DUMMYFUNCTION("IF('AYIRA MINI MART FINAL MENU - Pr'!J877="""", """", GOOGLETRANSLATE('AYIRA MINI MART FINAL MENU - Pr'!J877, ""en"", ""ar""))"),"")</f>
        <v/>
      </c>
      <c r="K877" s="56" t="str">
        <f>IF('AYIRA MINI MART FINAL MENU - Pr'!K877="", "", 'AYIRA MINI MART FINAL MENU - Pr'!K877)</f>
        <v/>
      </c>
      <c r="L877" s="56" t="str">
        <f>IF('AYIRA MINI MART FINAL MENU - Pr'!L877="", "", 'AYIRA MINI MART FINAL MENU - Pr'!L877)</f>
        <v/>
      </c>
      <c r="M877" s="56" t="str">
        <f>IF('AYIRA MINI MART FINAL MENU - Pr'!M877="", "", 'AYIRA MINI MART FINAL MENU - Pr'!M877)</f>
        <v/>
      </c>
      <c r="N877" s="56" t="str">
        <f>IF('AYIRA MINI MART FINAL MENU - Pr'!N877="", "", 'AYIRA MINI MART FINAL MENU - Pr'!N877)</f>
        <v/>
      </c>
      <c r="O877" s="57"/>
      <c r="P877" s="57"/>
      <c r="Q877" s="57"/>
      <c r="R877" s="57"/>
      <c r="S877" s="57"/>
      <c r="T877" s="57"/>
      <c r="U877" s="57"/>
      <c r="V877" s="57"/>
      <c r="W877" s="57"/>
      <c r="X877" s="57"/>
      <c r="Y877" s="57"/>
      <c r="Z877" s="57"/>
    </row>
    <row r="878">
      <c r="A878" s="56" t="str">
        <f>IFERROR(__xludf.DUMMYFUNCTION("IF('AYIRA MINI MART FINAL MENU - Pr'!A878="""", """", IF(LEN(TRIM(REGEXREPLACE(REGEXREPLACE('AYIRA MINI MART FINAL MENU - Pr'!A878, ""^[^\x{0600}-\x{06FF}]+"", """"), ""^[-–\s]+"", """")))&gt;0, TRIM(REGEXREPLACE(REGEXREPLACE('AYIRA MINI MART FINAL MENU - Pr"&amp;"'!A878, ""^[^\x{0600}-\x{06FF}]+"", """"), ""^[-–\s]+"", """")), GOOGLETRANSLATE('AYIRA MINI MART FINAL MENU - Pr'!A878, ""en"", ""ar"")))"),"غرام")</f>
        <v>غرام</v>
      </c>
      <c r="B878" s="56" t="str">
        <f>IFERROR(__xludf.DUMMYFUNCTION("IF('AYIRA MINI MART FINAL MENU - Pr'!B878="""", """", IF(LEN(TRIM(REGEXREPLACE(REGEXREPLACE('AYIRA MINI MART FINAL MENU - Pr'!B878, ""^[^\x{0600}-\x{06FF}]+"", """"), ""^[-–\s]+"", """")))&gt;0, TRIM(REGEXREPLACE(REGEXREPLACE('AYIRA MINI MART FINAL MENU - Pr"&amp;"'!B878, ""^[^\x{0600}-\x{06FF}]+"", """"), ""^[-–\s]+"", """")), GOOGLETRANSLATE('AYIRA MINI MART FINAL MENU - Pr'!B878, ""en"", ""ar"")))"),"الحلوى 🍬")</f>
        <v>الحلوى 🍬</v>
      </c>
      <c r="C878" s="58">
        <f>IF('AYIRA MINI MART FINAL MENU - Pr'!C878="", "", 'AYIRA MINI MART FINAL MENU - Pr'!C878)</f>
        <v>9</v>
      </c>
      <c r="D878" s="58" t="str">
        <f>IF('AYIRA MINI MART FINAL MENU - Pr'!D878="", "", 'AYIRA MINI MART FINAL MENU - Pr'!D878)</f>
        <v>لا تقاوم طعم Juicy Drop Pop Raspberry 26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78" s="56" t="str">
        <f>IF('AYIRA MINI MART FINAL MENU - Pr'!E878="", "", 'AYIRA MINI MART FINAL MENU - Pr'!E878)</f>
        <v/>
      </c>
      <c r="F878" s="56" t="str">
        <f>IF('AYIRA MINI MART FINAL MENU - Pr'!F878="", "", 'AYIRA MINI MART FINAL MENU - Pr'!F878)</f>
        <v/>
      </c>
      <c r="G878" s="56" t="str">
        <f>IF('AYIRA MINI MART FINAL MENU - Pr'!G878="", "", 'AYIRA MINI MART FINAL MENU - Pr'!G878)</f>
        <v/>
      </c>
      <c r="H878" s="56" t="str">
        <f>IF('AYIRA MINI MART FINAL MENU - Pr'!H878="", "", 'AYIRA MINI MART FINAL MENU - Pr'!H878)</f>
        <v/>
      </c>
      <c r="I878" s="56" t="str">
        <f>IF('AYIRA MINI MART FINAL MENU - Pr'!I878="", "", 'AYIRA MINI MART FINAL MENU - Pr'!I878)</f>
        <v/>
      </c>
      <c r="J878" s="56" t="str">
        <f>IFERROR(__xludf.DUMMYFUNCTION("IF('AYIRA MINI MART FINAL MENU - Pr'!J878="""", """", GOOGLETRANSLATE('AYIRA MINI MART FINAL MENU - Pr'!J878, ""en"", ""ar""))"),"")</f>
        <v/>
      </c>
      <c r="K878" s="56" t="str">
        <f>IF('AYIRA MINI MART FINAL MENU - Pr'!K878="", "", 'AYIRA MINI MART FINAL MENU - Pr'!K878)</f>
        <v/>
      </c>
      <c r="L878" s="56" t="str">
        <f>IF('AYIRA MINI MART FINAL MENU - Pr'!L878="", "", 'AYIRA MINI MART FINAL MENU - Pr'!L878)</f>
        <v/>
      </c>
      <c r="M878" s="56" t="str">
        <f>IF('AYIRA MINI MART FINAL MENU - Pr'!M878="", "", 'AYIRA MINI MART FINAL MENU - Pr'!M878)</f>
        <v/>
      </c>
      <c r="N878" s="56" t="str">
        <f>IF('AYIRA MINI MART FINAL MENU - Pr'!N878="", "", 'AYIRA MINI MART FINAL MENU - Pr'!N878)</f>
        <v/>
      </c>
      <c r="O878" s="57"/>
      <c r="P878" s="57"/>
      <c r="Q878" s="57"/>
      <c r="R878" s="57"/>
      <c r="S878" s="57"/>
      <c r="T878" s="57"/>
      <c r="U878" s="57"/>
      <c r="V878" s="57"/>
      <c r="W878" s="57"/>
      <c r="X878" s="57"/>
      <c r="Y878" s="57"/>
      <c r="Z878" s="57"/>
    </row>
    <row r="879">
      <c r="A879" s="56" t="str">
        <f>IFERROR(__xludf.DUMMYFUNCTION("IF('AYIRA MINI MART FINAL MENU - Pr'!A879="""", """", IF(LEN(TRIM(REGEXREPLACE(REGEXREPLACE('AYIRA MINI MART FINAL MENU - Pr'!A879, ""^[^\x{0600}-\x{06FF}]+"", """"), ""^[-–\s]+"", """")))&gt;0, TRIM(REGEXREPLACE(REGEXREPLACE('AYIRA MINI MART FINAL MENU - Pr"&amp;"'!A879, ""^[^\x{0600}-\x{06FF}]+"", """"), ""^[-–\s]+"", """")), GOOGLETRANSLATE('AYIRA MINI MART FINAL MENU - Pr'!A879, ""en"", ""ar"")))"),"غرام")</f>
        <v>غرام</v>
      </c>
      <c r="B879" s="56" t="str">
        <f>IFERROR(__xludf.DUMMYFUNCTION("IF('AYIRA MINI MART FINAL MENU - Pr'!B879="""", """", IF(LEN(TRIM(REGEXREPLACE(REGEXREPLACE('AYIRA MINI MART FINAL MENU - Pr'!B879, ""^[^\x{0600}-\x{06FF}]+"", """"), ""^[-–\s]+"", """")))&gt;0, TRIM(REGEXREPLACE(REGEXREPLACE('AYIRA MINI MART FINAL MENU - Pr"&amp;"'!B879, ""^[^\x{0600}-\x{06FF}]+"", """"), ""^[-–\s]+"", """")), GOOGLETRANSLATE('AYIRA MINI MART FINAL MENU - Pr'!B879, ""en"", ""ar"")))"),"الحلوى 🍬")</f>
        <v>الحلوى 🍬</v>
      </c>
      <c r="C879" s="58">
        <f>IF('AYIRA MINI MART FINAL MENU - Pr'!C879="", "", 'AYIRA MINI MART FINAL MENU - Pr'!C879)</f>
        <v>9</v>
      </c>
      <c r="D879" s="58" t="str">
        <f>IF('AYIRA MINI MART FINAL MENU - Pr'!D879="", "", 'AYIRA MINI MART FINAL MENU - Pr'!D879)</f>
        <v>استمتع بـ Juicy Drop Pop Cola Flavour 27 g،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879" s="56" t="str">
        <f>IF('AYIRA MINI MART FINAL MENU - Pr'!E879="", "", 'AYIRA MINI MART FINAL MENU - Pr'!E879)</f>
        <v/>
      </c>
      <c r="F879" s="56" t="str">
        <f>IF('AYIRA MINI MART FINAL MENU - Pr'!F879="", "", 'AYIRA MINI MART FINAL MENU - Pr'!F879)</f>
        <v/>
      </c>
      <c r="G879" s="56" t="str">
        <f>IF('AYIRA MINI MART FINAL MENU - Pr'!G879="", "", 'AYIRA MINI MART FINAL MENU - Pr'!G879)</f>
        <v/>
      </c>
      <c r="H879" s="56" t="str">
        <f>IF('AYIRA MINI MART FINAL MENU - Pr'!H879="", "", 'AYIRA MINI MART FINAL MENU - Pr'!H879)</f>
        <v/>
      </c>
      <c r="I879" s="56" t="str">
        <f>IF('AYIRA MINI MART FINAL MENU - Pr'!I879="", "", 'AYIRA MINI MART FINAL MENU - Pr'!I879)</f>
        <v/>
      </c>
      <c r="J879" s="56" t="str">
        <f>IFERROR(__xludf.DUMMYFUNCTION("IF('AYIRA MINI MART FINAL MENU - Pr'!J879="""", """", GOOGLETRANSLATE('AYIRA MINI MART FINAL MENU - Pr'!J879, ""en"", ""ar""))"),"")</f>
        <v/>
      </c>
      <c r="K879" s="56" t="str">
        <f>IF('AYIRA MINI MART FINAL MENU - Pr'!K879="", "", 'AYIRA MINI MART FINAL MENU - Pr'!K879)</f>
        <v/>
      </c>
      <c r="L879" s="56" t="str">
        <f>IF('AYIRA MINI MART FINAL MENU - Pr'!L879="", "", 'AYIRA MINI MART FINAL MENU - Pr'!L879)</f>
        <v/>
      </c>
      <c r="M879" s="56" t="str">
        <f>IF('AYIRA MINI MART FINAL MENU - Pr'!M879="", "", 'AYIRA MINI MART FINAL MENU - Pr'!M879)</f>
        <v/>
      </c>
      <c r="N879" s="56" t="str">
        <f>IF('AYIRA MINI MART FINAL MENU - Pr'!N879="", "", 'AYIRA MINI MART FINAL MENU - Pr'!N879)</f>
        <v/>
      </c>
      <c r="O879" s="57"/>
      <c r="P879" s="57"/>
      <c r="Q879" s="57"/>
      <c r="R879" s="57"/>
      <c r="S879" s="57"/>
      <c r="T879" s="57"/>
      <c r="U879" s="57"/>
      <c r="V879" s="57"/>
      <c r="W879" s="57"/>
      <c r="X879" s="57"/>
      <c r="Y879" s="57"/>
      <c r="Z879" s="57"/>
    </row>
    <row r="880">
      <c r="A880" s="56" t="str">
        <f>IFERROR(__xludf.DUMMYFUNCTION("IF('AYIRA MINI MART FINAL MENU - Pr'!A880="""", """", IF(LEN(TRIM(REGEXREPLACE(REGEXREPLACE('AYIRA MINI MART FINAL MENU - Pr'!A880, ""^[^\x{0600}-\x{06FF}]+"", """"), ""^[-–\s]+"", """")))&gt;0, TRIM(REGEXREPLACE(REGEXREPLACE('AYIRA MINI MART FINAL MENU - Pr"&amp;"'!A880, ""^[^\x{0600}-\x{06FF}]+"", """"), ""^[-–\s]+"", """")), GOOGLETRANSLATE('AYIRA MINI MART FINAL MENU - Pr'!A880, ""en"", ""ar"")))"),"فراولة Flavour 15 غرام")</f>
        <v>فراولة Flavour 15 غرام</v>
      </c>
      <c r="B880" s="56" t="str">
        <f>IFERROR(__xludf.DUMMYFUNCTION("IF('AYIRA MINI MART FINAL MENU - Pr'!B880="""", """", IF(LEN(TRIM(REGEXREPLACE(REGEXREPLACE('AYIRA MINI MART FINAL MENU - Pr'!B880, ""^[^\x{0600}-\x{06FF}]+"", """"), ""^[-–\s]+"", """")))&gt;0, TRIM(REGEXREPLACE(REGEXREPLACE('AYIRA MINI MART FINAL MENU - Pr"&amp;"'!B880, ""^[^\x{0600}-\x{06FF}]+"", """"), ""^[-–\s]+"", """")), GOOGLETRANSLATE('AYIRA MINI MART FINAL MENU - Pr'!B880, ""en"", ""ar"")))"),"الحلوى 🍬")</f>
        <v>الحلوى 🍬</v>
      </c>
      <c r="C880" s="58">
        <f>IF('AYIRA MINI MART FINAL MENU - Pr'!C880="", "", 'AYIRA MINI MART FINAL MENU - Pr'!C880)</f>
        <v>3.5</v>
      </c>
      <c r="D880" s="58" t="str">
        <f>IF('AYIRA MINI MART FINAL MENU - Pr'!D880="", "", 'AYIRA MINI MART FINAL MENU - Pr'!D880)</f>
        <v>أضف لحظة حلوة إلى يومك مع Push Pop Candy Strawberry Flavour 15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80" s="56" t="str">
        <f>IF('AYIRA MINI MART FINAL MENU - Pr'!E880="", "", 'AYIRA MINI MART FINAL MENU - Pr'!E880)</f>
        <v/>
      </c>
      <c r="F880" s="56" t="str">
        <f>IF('AYIRA MINI MART FINAL MENU - Pr'!F880="", "", 'AYIRA MINI MART FINAL MENU - Pr'!F880)</f>
        <v/>
      </c>
      <c r="G880" s="56" t="str">
        <f>IF('AYIRA MINI MART FINAL MENU - Pr'!G880="", "", 'AYIRA MINI MART FINAL MENU - Pr'!G880)</f>
        <v/>
      </c>
      <c r="H880" s="56" t="str">
        <f>IF('AYIRA MINI MART FINAL MENU - Pr'!H880="", "", 'AYIRA MINI MART FINAL MENU - Pr'!H880)</f>
        <v/>
      </c>
      <c r="I880" s="56" t="str">
        <f>IF('AYIRA MINI MART FINAL MENU - Pr'!I880="", "", 'AYIRA MINI MART FINAL MENU - Pr'!I880)</f>
        <v/>
      </c>
      <c r="J880" s="56" t="str">
        <f>IFERROR(__xludf.DUMMYFUNCTION("IF('AYIRA MINI MART FINAL MENU - Pr'!J880="""", """", GOOGLETRANSLATE('AYIRA MINI MART FINAL MENU - Pr'!J880, ""en"", ""ar""))"),"")</f>
        <v/>
      </c>
      <c r="K880" s="56" t="str">
        <f>IF('AYIRA MINI MART FINAL MENU - Pr'!K880="", "", 'AYIRA MINI MART FINAL MENU - Pr'!K880)</f>
        <v/>
      </c>
      <c r="L880" s="56" t="str">
        <f>IF('AYIRA MINI MART FINAL MENU - Pr'!L880="", "", 'AYIRA MINI MART FINAL MENU - Pr'!L880)</f>
        <v/>
      </c>
      <c r="M880" s="56" t="str">
        <f>IF('AYIRA MINI MART FINAL MENU - Pr'!M880="", "", 'AYIRA MINI MART FINAL MENU - Pr'!M880)</f>
        <v/>
      </c>
      <c r="N880" s="56" t="str">
        <f>IF('AYIRA MINI MART FINAL MENU - Pr'!N880="", "", 'AYIRA MINI MART FINAL MENU - Pr'!N880)</f>
        <v/>
      </c>
      <c r="O880" s="57"/>
      <c r="P880" s="57"/>
      <c r="Q880" s="57"/>
      <c r="R880" s="57"/>
      <c r="S880" s="57"/>
      <c r="T880" s="57"/>
      <c r="U880" s="57"/>
      <c r="V880" s="57"/>
      <c r="W880" s="57"/>
      <c r="X880" s="57"/>
      <c r="Y880" s="57"/>
      <c r="Z880" s="57"/>
    </row>
    <row r="881">
      <c r="A881" s="56" t="str">
        <f>IFERROR(__xludf.DUMMYFUNCTION("IF('AYIRA MINI MART FINAL MENU - Pr'!A881="""", """", IF(LEN(TRIM(REGEXREPLACE(REGEXREPLACE('AYIRA MINI MART FINAL MENU - Pr'!A881, ""^[^\x{0600}-\x{06FF}]+"", """"), ""^[-–\s]+"", """")))&gt;0, TRIM(REGEXREPLACE(REGEXREPLACE('AYIRA MINI MART FINAL MENU - Pr"&amp;"'!A881, ""^[^\x{0600}-\x{06FF}]+"", """"), ""^[-–\s]+"", """")), GOOGLETRANSLATE('AYIRA MINI MART FINAL MENU - Pr'!A881, ""en"", ""ar"")))"),"سكريمرز ميغاسور علكة")</f>
        <v>سكريمرز ميغاسور علكة</v>
      </c>
      <c r="B881" s="56" t="str">
        <f>IFERROR(__xludf.DUMMYFUNCTION("IF('AYIRA MINI MART FINAL MENU - Pr'!B881="""", """", IF(LEN(TRIM(REGEXREPLACE(REGEXREPLACE('AYIRA MINI MART FINAL MENU - Pr'!B881, ""^[^\x{0600}-\x{06FF}]+"", """"), ""^[-–\s]+"", """")))&gt;0, TRIM(REGEXREPLACE(REGEXREPLACE('AYIRA MINI MART FINAL MENU - Pr"&amp;"'!B881, ""^[^\x{0600}-\x{06FF}]+"", """"), ""^[-–\s]+"", """")), GOOGLETRANSLATE('AYIRA MINI MART FINAL MENU - Pr'!B881, ""en"", ""ar"")))"),"الحلوى 🍬")</f>
        <v>الحلوى 🍬</v>
      </c>
      <c r="C881" s="58">
        <f>IF('AYIRA MINI MART FINAL MENU - Pr'!C881="", "", 'AYIRA MINI MART FINAL MENU - Pr'!C881)</f>
        <v>1.5</v>
      </c>
      <c r="D881" s="58" t="str">
        <f>IF('AYIRA MINI MART FINAL MENU - Pr'!D881="", "", 'AYIRA MINI MART FINAL MENU - Pr'!D881)</f>
        <v>استمتع بـ Screamers Megasaur Gum،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881" s="56" t="str">
        <f>IF('AYIRA MINI MART FINAL MENU - Pr'!E881="", "", 'AYIRA MINI MART FINAL MENU - Pr'!E881)</f>
        <v/>
      </c>
      <c r="F881" s="56" t="str">
        <f>IF('AYIRA MINI MART FINAL MENU - Pr'!F881="", "", 'AYIRA MINI MART FINAL MENU - Pr'!F881)</f>
        <v/>
      </c>
      <c r="G881" s="56" t="str">
        <f>IF('AYIRA MINI MART FINAL MENU - Pr'!G881="", "", 'AYIRA MINI MART FINAL MENU - Pr'!G881)</f>
        <v/>
      </c>
      <c r="H881" s="56" t="str">
        <f>IF('AYIRA MINI MART FINAL MENU - Pr'!H881="", "", 'AYIRA MINI MART FINAL MENU - Pr'!H881)</f>
        <v/>
      </c>
      <c r="I881" s="56" t="str">
        <f>IF('AYIRA MINI MART FINAL MENU - Pr'!I881="", "", 'AYIRA MINI MART FINAL MENU - Pr'!I881)</f>
        <v/>
      </c>
      <c r="J881" s="56" t="str">
        <f>IFERROR(__xludf.DUMMYFUNCTION("IF('AYIRA MINI MART FINAL MENU - Pr'!J881="""", """", GOOGLETRANSLATE('AYIRA MINI MART FINAL MENU - Pr'!J881, ""en"", ""ar""))"),"")</f>
        <v/>
      </c>
      <c r="K881" s="56" t="str">
        <f>IF('AYIRA MINI MART FINAL MENU - Pr'!K881="", "", 'AYIRA MINI MART FINAL MENU - Pr'!K881)</f>
        <v/>
      </c>
      <c r="L881" s="56" t="str">
        <f>IF('AYIRA MINI MART FINAL MENU - Pr'!L881="", "", 'AYIRA MINI MART FINAL MENU - Pr'!L881)</f>
        <v/>
      </c>
      <c r="M881" s="56" t="str">
        <f>IF('AYIRA MINI MART FINAL MENU - Pr'!M881="", "", 'AYIRA MINI MART FINAL MENU - Pr'!M881)</f>
        <v/>
      </c>
      <c r="N881" s="56" t="str">
        <f>IF('AYIRA MINI MART FINAL MENU - Pr'!N881="", "", 'AYIRA MINI MART FINAL MENU - Pr'!N881)</f>
        <v/>
      </c>
      <c r="O881" s="57"/>
      <c r="P881" s="57"/>
      <c r="Q881" s="57"/>
      <c r="R881" s="57"/>
      <c r="S881" s="57"/>
      <c r="T881" s="57"/>
      <c r="U881" s="57"/>
      <c r="V881" s="57"/>
      <c r="W881" s="57"/>
      <c r="X881" s="57"/>
      <c r="Y881" s="57"/>
      <c r="Z881" s="57"/>
    </row>
    <row r="882">
      <c r="A882" s="56" t="str">
        <f>IFERROR(__xludf.DUMMYFUNCTION("IF('AYIRA MINI MART FINAL MENU - Pr'!A882="""", """", IF(LEN(TRIM(REGEXREPLACE(REGEXREPLACE('AYIRA MINI MART FINAL MENU - Pr'!A882, ""^[^\x{0600}-\x{06FF}]+"", """"), ""^[-–\s]+"", """")))&gt;0, TRIM(REGEXREPLACE(REGEXREPLACE('AYIRA MINI MART FINAL MENU - Pr"&amp;"'!A882, ""^[^\x{0600}-\x{06FF}]+"", """"), ""^[-–\s]+"", """")), GOOGLETRANSLATE('AYIRA MINI MART FINAL MENU - Pr'!A882, ""en"", ""ar"")))"),"غرام")</f>
        <v>غرام</v>
      </c>
      <c r="B882" s="56" t="str">
        <f>IFERROR(__xludf.DUMMYFUNCTION("IF('AYIRA MINI MART FINAL MENU - Pr'!B882="""", """", IF(LEN(TRIM(REGEXREPLACE(REGEXREPLACE('AYIRA MINI MART FINAL MENU - Pr'!B882, ""^[^\x{0600}-\x{06FF}]+"", """"), ""^[-–\s]+"", """")))&gt;0, TRIM(REGEXREPLACE(REGEXREPLACE('AYIRA MINI MART FINAL MENU - Pr"&amp;"'!B882, ""^[^\x{0600}-\x{06FF}]+"", """"), ""^[-–\s]+"", """")), GOOGLETRANSLATE('AYIRA MINI MART FINAL MENU - Pr'!B882, ""en"", ""ar"")))"),"الحلوى 🍬")</f>
        <v>الحلوى 🍬</v>
      </c>
      <c r="C882" s="58">
        <f>IF('AYIRA MINI MART FINAL MENU - Pr'!C882="", "", 'AYIRA MINI MART FINAL MENU - Pr'!C882)</f>
        <v>1.5</v>
      </c>
      <c r="D882" s="58" t="str">
        <f>IF('AYIRA MINI MART FINAL MENU - Pr'!D882="", "", 'AYIRA MINI MART FINAL MENU - Pr'!D882)</f>
        <v>استمتع بـ Gremmers Mega Sour Gum 14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882" s="56" t="str">
        <f>IF('AYIRA MINI MART FINAL MENU - Pr'!E882="", "", 'AYIRA MINI MART FINAL MENU - Pr'!E882)</f>
        <v/>
      </c>
      <c r="F882" s="56" t="str">
        <f>IF('AYIRA MINI MART FINAL MENU - Pr'!F882="", "", 'AYIRA MINI MART FINAL MENU - Pr'!F882)</f>
        <v/>
      </c>
      <c r="G882" s="56" t="str">
        <f>IF('AYIRA MINI MART FINAL MENU - Pr'!G882="", "", 'AYIRA MINI MART FINAL MENU - Pr'!G882)</f>
        <v/>
      </c>
      <c r="H882" s="56" t="str">
        <f>IF('AYIRA MINI MART FINAL MENU - Pr'!H882="", "", 'AYIRA MINI MART FINAL MENU - Pr'!H882)</f>
        <v/>
      </c>
      <c r="I882" s="56" t="str">
        <f>IF('AYIRA MINI MART FINAL MENU - Pr'!I882="", "", 'AYIRA MINI MART FINAL MENU - Pr'!I882)</f>
        <v/>
      </c>
      <c r="J882" s="56" t="str">
        <f>IFERROR(__xludf.DUMMYFUNCTION("IF('AYIRA MINI MART FINAL MENU - Pr'!J882="""", """", GOOGLETRANSLATE('AYIRA MINI MART FINAL MENU - Pr'!J882, ""en"", ""ar""))"),"")</f>
        <v/>
      </c>
      <c r="K882" s="56" t="str">
        <f>IF('AYIRA MINI MART FINAL MENU - Pr'!K882="", "", 'AYIRA MINI MART FINAL MENU - Pr'!K882)</f>
        <v/>
      </c>
      <c r="L882" s="56" t="str">
        <f>IF('AYIRA MINI MART FINAL MENU - Pr'!L882="", "", 'AYIRA MINI MART FINAL MENU - Pr'!L882)</f>
        <v/>
      </c>
      <c r="M882" s="56" t="str">
        <f>IF('AYIRA MINI MART FINAL MENU - Pr'!M882="", "", 'AYIRA MINI MART FINAL MENU - Pr'!M882)</f>
        <v/>
      </c>
      <c r="N882" s="56" t="str">
        <f>IF('AYIRA MINI MART FINAL MENU - Pr'!N882="", "", 'AYIRA MINI MART FINAL MENU - Pr'!N882)</f>
        <v/>
      </c>
      <c r="O882" s="57"/>
      <c r="P882" s="57"/>
      <c r="Q882" s="57"/>
      <c r="R882" s="57"/>
      <c r="S882" s="57"/>
      <c r="T882" s="57"/>
      <c r="U882" s="57"/>
      <c r="V882" s="57"/>
      <c r="W882" s="57"/>
      <c r="X882" s="57"/>
      <c r="Y882" s="57"/>
      <c r="Z882" s="57"/>
    </row>
    <row r="883">
      <c r="A883" s="56" t="str">
        <f>IFERROR(__xludf.DUMMYFUNCTION("IF('AYIRA MINI MART FINAL MENU - Pr'!A883="""", """", IF(LEN(TRIM(REGEXREPLACE(REGEXREPLACE('AYIRA MINI MART FINAL MENU - Pr'!A883, ""^[^\x{0600}-\x{06FF}]+"", """"), ""^[-–\s]+"", """")))&gt;0, TRIM(REGEXREPLACE(REGEXREPLACE('AYIRA MINI MART FINAL MENU - Pr"&amp;"'!A883, ""^[^\x{0600}-\x{06FF}]+"", """"), ""^[-–\s]+"", """")), GOOGLETRANSLATE('AYIRA MINI MART FINAL MENU - Pr'!A883, ""en"", ""ar"")))"),"قطعة تفاح Flavour (20 غرام)")</f>
        <v>قطعة تفاح Flavour (20 غرام)</v>
      </c>
      <c r="B883" s="56" t="str">
        <f>IFERROR(__xludf.DUMMYFUNCTION("IF('AYIRA MINI MART FINAL MENU - Pr'!B883="""", """", IF(LEN(TRIM(REGEXREPLACE(REGEXREPLACE('AYIRA MINI MART FINAL MENU - Pr'!B883, ""^[^\x{0600}-\x{06FF}]+"", """"), ""^[-–\s]+"", """")))&gt;0, TRIM(REGEXREPLACE(REGEXREPLACE('AYIRA MINI MART FINAL MENU - Pr"&amp;"'!B883, ""^[^\x{0600}-\x{06FF}]+"", """"), ""^[-–\s]+"", """")), GOOGLETRANSLATE('AYIRA MINI MART FINAL MENU - Pr'!B883, ""en"", ""ar"")))"),"الحلوى 🍬")</f>
        <v>الحلوى 🍬</v>
      </c>
      <c r="C883" s="58">
        <f>IF('AYIRA MINI MART FINAL MENU - Pr'!C883="", "", 'AYIRA MINI MART FINAL MENU - Pr'!C883)</f>
        <v>1</v>
      </c>
      <c r="D883" s="58" t="str">
        <f>IF('AYIRA MINI MART FINAL MENU - Pr'!D883="", "", 'AYIRA MINI MART FINAL MENU - Pr'!D883)</f>
        <v>لا تقاوم طعم Brain Bitz Chew Bar Apple Flavour (20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83" s="56" t="str">
        <f>IF('AYIRA MINI MART FINAL MENU - Pr'!E883="", "", 'AYIRA MINI MART FINAL MENU - Pr'!E883)</f>
        <v/>
      </c>
      <c r="F883" s="56" t="str">
        <f>IF('AYIRA MINI MART FINAL MENU - Pr'!F883="", "", 'AYIRA MINI MART FINAL MENU - Pr'!F883)</f>
        <v/>
      </c>
      <c r="G883" s="56" t="str">
        <f>IF('AYIRA MINI MART FINAL MENU - Pr'!G883="", "", 'AYIRA MINI MART FINAL MENU - Pr'!G883)</f>
        <v/>
      </c>
      <c r="H883" s="56" t="str">
        <f>IF('AYIRA MINI MART FINAL MENU - Pr'!H883="", "", 'AYIRA MINI MART FINAL MENU - Pr'!H883)</f>
        <v/>
      </c>
      <c r="I883" s="56" t="str">
        <f>IF('AYIRA MINI MART FINAL MENU - Pr'!I883="", "", 'AYIRA MINI MART FINAL MENU - Pr'!I883)</f>
        <v/>
      </c>
      <c r="J883" s="56" t="str">
        <f>IFERROR(__xludf.DUMMYFUNCTION("IF('AYIRA MINI MART FINAL MENU - Pr'!J883="""", """", GOOGLETRANSLATE('AYIRA MINI MART FINAL MENU - Pr'!J883, ""en"", ""ar""))"),"")</f>
        <v/>
      </c>
      <c r="K883" s="56" t="str">
        <f>IF('AYIRA MINI MART FINAL MENU - Pr'!K883="", "", 'AYIRA MINI MART FINAL MENU - Pr'!K883)</f>
        <v/>
      </c>
      <c r="L883" s="56" t="str">
        <f>IF('AYIRA MINI MART FINAL MENU - Pr'!L883="", "", 'AYIRA MINI MART FINAL MENU - Pr'!L883)</f>
        <v/>
      </c>
      <c r="M883" s="56" t="str">
        <f>IF('AYIRA MINI MART FINAL MENU - Pr'!M883="", "", 'AYIRA MINI MART FINAL MENU - Pr'!M883)</f>
        <v/>
      </c>
      <c r="N883" s="56" t="str">
        <f>IF('AYIRA MINI MART FINAL MENU - Pr'!N883="", "", 'AYIRA MINI MART FINAL MENU - Pr'!N883)</f>
        <v/>
      </c>
      <c r="O883" s="57"/>
      <c r="P883" s="57"/>
      <c r="Q883" s="57"/>
      <c r="R883" s="57"/>
      <c r="S883" s="57"/>
      <c r="T883" s="57"/>
      <c r="U883" s="57"/>
      <c r="V883" s="57"/>
      <c r="W883" s="57"/>
      <c r="X883" s="57"/>
      <c r="Y883" s="57"/>
      <c r="Z883" s="57"/>
    </row>
    <row r="884">
      <c r="A884" s="56" t="str">
        <f>IFERROR(__xludf.DUMMYFUNCTION("IF('AYIRA MINI MART FINAL MENU - Pr'!A884="""", """", IF(LEN(TRIM(REGEXREPLACE(REGEXREPLACE('AYIRA MINI MART FINAL MENU - Pr'!A884, ""^[^\x{0600}-\x{06FF}]+"", """"), ""^[-–\s]+"", """")))&gt;0, TRIM(REGEXREPLACE(REGEXREPLACE('AYIRA MINI MART FINAL MENU - Pr"&amp;"'!A884, ""^[^\x{0600}-\x{06FF}]+"", """"), ""^[-–\s]+"", """")), GOOGLETRANSLATE('AYIRA MINI MART FINAL MENU - Pr'!A884, ""en"", ""ar"")))"),"بودرة 10 غرام")</f>
        <v>بودرة 10 غرام</v>
      </c>
      <c r="B884" s="56" t="str">
        <f>IFERROR(__xludf.DUMMYFUNCTION("IF('AYIRA MINI MART FINAL MENU - Pr'!B884="""", """", IF(LEN(TRIM(REGEXREPLACE(REGEXREPLACE('AYIRA MINI MART FINAL MENU - Pr'!B884, ""^[^\x{0600}-\x{06FF}]+"", """"), ""^[-–\s]+"", """")))&gt;0, TRIM(REGEXREPLACE(REGEXREPLACE('AYIRA MINI MART FINAL MENU - Pr"&amp;"'!B884, ""^[^\x{0600}-\x{06FF}]+"", """"), ""^[-–\s]+"", """")), GOOGLETRANSLATE('AYIRA MINI MART FINAL MENU - Pr'!B884, ""en"", ""ar"")))"),"الحلوى 🍬")</f>
        <v>الحلوى 🍬</v>
      </c>
      <c r="C884" s="58">
        <f>IF('AYIRA MINI MART FINAL MENU - Pr'!C884="", "", 'AYIRA MINI MART FINAL MENU - Pr'!C884)</f>
        <v>8</v>
      </c>
      <c r="D884" s="58" t="str">
        <f>IF('AYIRA MINI MART FINAL MENU - Pr'!D884="", "", 'AYIRA MINI MART FINAL MENU - Pr'!D884)</f>
        <v>لا تقاوم طعم Brain Blasterz Sour Powder 10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84" s="56" t="str">
        <f>IF('AYIRA MINI MART FINAL MENU - Pr'!E884="", "", 'AYIRA MINI MART FINAL MENU - Pr'!E884)</f>
        <v/>
      </c>
      <c r="F884" s="56" t="str">
        <f>IF('AYIRA MINI MART FINAL MENU - Pr'!F884="", "", 'AYIRA MINI MART FINAL MENU - Pr'!F884)</f>
        <v/>
      </c>
      <c r="G884" s="56" t="str">
        <f>IF('AYIRA MINI MART FINAL MENU - Pr'!G884="", "", 'AYIRA MINI MART FINAL MENU - Pr'!G884)</f>
        <v/>
      </c>
      <c r="H884" s="56" t="str">
        <f>IF('AYIRA MINI MART FINAL MENU - Pr'!H884="", "", 'AYIRA MINI MART FINAL MENU - Pr'!H884)</f>
        <v/>
      </c>
      <c r="I884" s="56" t="str">
        <f>IF('AYIRA MINI MART FINAL MENU - Pr'!I884="", "", 'AYIRA MINI MART FINAL MENU - Pr'!I884)</f>
        <v/>
      </c>
      <c r="J884" s="56" t="str">
        <f>IFERROR(__xludf.DUMMYFUNCTION("IF('AYIRA MINI MART FINAL MENU - Pr'!J884="""", """", GOOGLETRANSLATE('AYIRA MINI MART FINAL MENU - Pr'!J884, ""en"", ""ar""))"),"")</f>
        <v/>
      </c>
      <c r="K884" s="56" t="str">
        <f>IF('AYIRA MINI MART FINAL MENU - Pr'!K884="", "", 'AYIRA MINI MART FINAL MENU - Pr'!K884)</f>
        <v/>
      </c>
      <c r="L884" s="56" t="str">
        <f>IF('AYIRA MINI MART FINAL MENU - Pr'!L884="", "", 'AYIRA MINI MART FINAL MENU - Pr'!L884)</f>
        <v/>
      </c>
      <c r="M884" s="56" t="str">
        <f>IF('AYIRA MINI MART FINAL MENU - Pr'!M884="", "", 'AYIRA MINI MART FINAL MENU - Pr'!M884)</f>
        <v/>
      </c>
      <c r="N884" s="56" t="str">
        <f>IF('AYIRA MINI MART FINAL MENU - Pr'!N884="", "", 'AYIRA MINI MART FINAL MENU - Pr'!N884)</f>
        <v/>
      </c>
      <c r="O884" s="57"/>
      <c r="P884" s="57"/>
      <c r="Q884" s="57"/>
      <c r="R884" s="57"/>
      <c r="S884" s="57"/>
      <c r="T884" s="57"/>
      <c r="U884" s="57"/>
      <c r="V884" s="57"/>
      <c r="W884" s="57"/>
      <c r="X884" s="57"/>
      <c r="Y884" s="57"/>
      <c r="Z884" s="57"/>
    </row>
    <row r="885">
      <c r="A885" s="56" t="str">
        <f>IFERROR(__xludf.DUMMYFUNCTION("IF('AYIRA MINI MART FINAL MENU - Pr'!A885="""", """", IF(LEN(TRIM(REGEXREPLACE(REGEXREPLACE('AYIRA MINI MART FINAL MENU - Pr'!A885, ""^[^\x{0600}-\x{06FF}]+"", """"), ""^[-–\s]+"", """")))&gt;0, TRIM(REGEXREPLACE(REGEXREPLACE('AYIRA MINI MART FINAL MENU - Pr"&amp;"'!A885, ""^[^\x{0600}-\x{06FF}]+"", """"), ""^[-–\s]+"", """")), GOOGLETRANSLATE('AYIRA MINI MART FINAL MENU - Pr'!A885, ""en"", ""ar"")))"),"بودرة 15 غرام")</f>
        <v>بودرة 15 غرام</v>
      </c>
      <c r="B885" s="56" t="str">
        <f>IFERROR(__xludf.DUMMYFUNCTION("IF('AYIRA MINI MART FINAL MENU - Pr'!B885="""", """", IF(LEN(TRIM(REGEXREPLACE(REGEXREPLACE('AYIRA MINI MART FINAL MENU - Pr'!B885, ""^[^\x{0600}-\x{06FF}]+"", """"), ""^[-–\s]+"", """")))&gt;0, TRIM(REGEXREPLACE(REGEXREPLACE('AYIRA MINI MART FINAL MENU - Pr"&amp;"'!B885, ""^[^\x{0600}-\x{06FF}]+"", """"), ""^[-–\s]+"", """")), GOOGLETRANSLATE('AYIRA MINI MART FINAL MENU - Pr'!B885, ""en"", ""ar"")))"),"الحلوى 🍬")</f>
        <v>الحلوى 🍬</v>
      </c>
      <c r="C885" s="58">
        <f>IF('AYIRA MINI MART FINAL MENU - Pr'!C885="", "", 'AYIRA MINI MART FINAL MENU - Pr'!C885)</f>
        <v>1.5</v>
      </c>
      <c r="D885" s="58" t="str">
        <f>IF('AYIRA MINI MART FINAL MENU - Pr'!D885="", "", 'AYIRA MINI MART FINAL MENU - Pr'!D885)</f>
        <v>لا تقاوم طعم Fizzy Tubes Sour Fizz Powder 15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85" s="56" t="str">
        <f>IF('AYIRA MINI MART FINAL MENU - Pr'!E885="", "", 'AYIRA MINI MART FINAL MENU - Pr'!E885)</f>
        <v/>
      </c>
      <c r="F885" s="56" t="str">
        <f>IF('AYIRA MINI MART FINAL MENU - Pr'!F885="", "", 'AYIRA MINI MART FINAL MENU - Pr'!F885)</f>
        <v/>
      </c>
      <c r="G885" s="56" t="str">
        <f>IF('AYIRA MINI MART FINAL MENU - Pr'!G885="", "", 'AYIRA MINI MART FINAL MENU - Pr'!G885)</f>
        <v/>
      </c>
      <c r="H885" s="56" t="str">
        <f>IF('AYIRA MINI MART FINAL MENU - Pr'!H885="", "", 'AYIRA MINI MART FINAL MENU - Pr'!H885)</f>
        <v/>
      </c>
      <c r="I885" s="56" t="str">
        <f>IF('AYIRA MINI MART FINAL MENU - Pr'!I885="", "", 'AYIRA MINI MART FINAL MENU - Pr'!I885)</f>
        <v/>
      </c>
      <c r="J885" s="56" t="str">
        <f>IFERROR(__xludf.DUMMYFUNCTION("IF('AYIRA MINI MART FINAL MENU - Pr'!J885="""", """", GOOGLETRANSLATE('AYIRA MINI MART FINAL MENU - Pr'!J885, ""en"", ""ar""))"),"")</f>
        <v/>
      </c>
      <c r="K885" s="56" t="str">
        <f>IF('AYIRA MINI MART FINAL MENU - Pr'!K885="", "", 'AYIRA MINI MART FINAL MENU - Pr'!K885)</f>
        <v/>
      </c>
      <c r="L885" s="56" t="str">
        <f>IF('AYIRA MINI MART FINAL MENU - Pr'!L885="", "", 'AYIRA MINI MART FINAL MENU - Pr'!L885)</f>
        <v/>
      </c>
      <c r="M885" s="56" t="str">
        <f>IF('AYIRA MINI MART FINAL MENU - Pr'!M885="", "", 'AYIRA MINI MART FINAL MENU - Pr'!M885)</f>
        <v/>
      </c>
      <c r="N885" s="56" t="str">
        <f>IF('AYIRA MINI MART FINAL MENU - Pr'!N885="", "", 'AYIRA MINI MART FINAL MENU - Pr'!N885)</f>
        <v/>
      </c>
      <c r="O885" s="57"/>
      <c r="P885" s="57"/>
      <c r="Q885" s="57"/>
      <c r="R885" s="57"/>
      <c r="S885" s="57"/>
      <c r="T885" s="57"/>
      <c r="U885" s="57"/>
      <c r="V885" s="57"/>
      <c r="W885" s="57"/>
      <c r="X885" s="57"/>
      <c r="Y885" s="57"/>
      <c r="Z885" s="57"/>
    </row>
    <row r="886">
      <c r="A886" s="56" t="str">
        <f>IFERROR(__xludf.DUMMYFUNCTION("IF('AYIRA MINI MART FINAL MENU - Pr'!A886="""", """", IF(LEN(TRIM(REGEXREPLACE(REGEXREPLACE('AYIRA MINI MART FINAL MENU - Pr'!A886, ""^[^\x{0600}-\x{06FF}]+"", """"), ""^[-–\s]+"", """")))&gt;0, TRIM(REGEXREPLACE(REGEXREPLACE('AYIRA MINI MART FINAL MENU - Pr"&amp;"'!A886, ""^[^\x{0600}-\x{06FF}]+"", """"), ""^[-–\s]+"", """")), GOOGLETRANSLATE('AYIRA MINI MART FINAL MENU - Pr'!A886, ""en"", ""ar"")))"),"تفاح Flavour 28 مل")</f>
        <v>تفاح Flavour 28 مل</v>
      </c>
      <c r="B886" s="56" t="str">
        <f>IFERROR(__xludf.DUMMYFUNCTION("IF('AYIRA MINI MART FINAL MENU - Pr'!B886="""", """", IF(LEN(TRIM(REGEXREPLACE(REGEXREPLACE('AYIRA MINI MART FINAL MENU - Pr'!B886, ""^[^\x{0600}-\x{06FF}]+"", """"), ""^[-–\s]+"", """")))&gt;0, TRIM(REGEXREPLACE(REGEXREPLACE('AYIRA MINI MART FINAL MENU - Pr"&amp;"'!B886, ""^[^\x{0600}-\x{06FF}]+"", """"), ""^[-–\s]+"", """")), GOOGLETRANSLATE('AYIRA MINI MART FINAL MENU - Pr'!B886, ""en"", ""ar"")))"),"الحلوى 🍬")</f>
        <v>الحلوى 🍬</v>
      </c>
      <c r="C886" s="58">
        <f>IF('AYIRA MINI MART FINAL MENU - Pr'!C886="", "", 'AYIRA MINI MART FINAL MENU - Pr'!C886)</f>
        <v>5</v>
      </c>
      <c r="D886" s="58" t="str">
        <f>IF('AYIRA MINI MART FINAL MENU - Pr'!D886="", "", 'AYIRA MINI MART FINAL MENU - Pr'!D886)</f>
        <v>أضف لحظة حلوة إلى يومك مع Brain Blasterz Candy Spray Apple Flavour 28 ml،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86" s="56" t="str">
        <f>IF('AYIRA MINI MART FINAL MENU - Pr'!E886="", "", 'AYIRA MINI MART FINAL MENU - Pr'!E886)</f>
        <v/>
      </c>
      <c r="F886" s="56" t="str">
        <f>IF('AYIRA MINI MART FINAL MENU - Pr'!F886="", "", 'AYIRA MINI MART FINAL MENU - Pr'!F886)</f>
        <v/>
      </c>
      <c r="G886" s="56" t="str">
        <f>IF('AYIRA MINI MART FINAL MENU - Pr'!G886="", "", 'AYIRA MINI MART FINAL MENU - Pr'!G886)</f>
        <v/>
      </c>
      <c r="H886" s="56" t="str">
        <f>IF('AYIRA MINI MART FINAL MENU - Pr'!H886="", "", 'AYIRA MINI MART FINAL MENU - Pr'!H886)</f>
        <v/>
      </c>
      <c r="I886" s="56" t="str">
        <f>IF('AYIRA MINI MART FINAL MENU - Pr'!I886="", "", 'AYIRA MINI MART FINAL MENU - Pr'!I886)</f>
        <v/>
      </c>
      <c r="J886" s="56" t="str">
        <f>IFERROR(__xludf.DUMMYFUNCTION("IF('AYIRA MINI MART FINAL MENU - Pr'!J886="""", """", GOOGLETRANSLATE('AYIRA MINI MART FINAL MENU - Pr'!J886, ""en"", ""ar""))"),"")</f>
        <v/>
      </c>
      <c r="K886" s="56" t="str">
        <f>IF('AYIRA MINI MART FINAL MENU - Pr'!K886="", "", 'AYIRA MINI MART FINAL MENU - Pr'!K886)</f>
        <v/>
      </c>
      <c r="L886" s="56" t="str">
        <f>IF('AYIRA MINI MART FINAL MENU - Pr'!L886="", "", 'AYIRA MINI MART FINAL MENU - Pr'!L886)</f>
        <v/>
      </c>
      <c r="M886" s="56" t="str">
        <f>IF('AYIRA MINI MART FINAL MENU - Pr'!M886="", "", 'AYIRA MINI MART FINAL MENU - Pr'!M886)</f>
        <v/>
      </c>
      <c r="N886" s="56" t="str">
        <f>IF('AYIRA MINI MART FINAL MENU - Pr'!N886="", "", 'AYIRA MINI MART FINAL MENU - Pr'!N886)</f>
        <v/>
      </c>
      <c r="O886" s="57"/>
      <c r="P886" s="57"/>
      <c r="Q886" s="57"/>
      <c r="R886" s="57"/>
      <c r="S886" s="57"/>
      <c r="T886" s="57"/>
      <c r="U886" s="57"/>
      <c r="V886" s="57"/>
      <c r="W886" s="57"/>
      <c r="X886" s="57"/>
      <c r="Y886" s="57"/>
      <c r="Z886" s="57"/>
    </row>
    <row r="887">
      <c r="A887" s="56" t="str">
        <f>IFERROR(__xludf.DUMMYFUNCTION("IF('AYIRA MINI MART FINAL MENU - Pr'!A887="""", """", IF(LEN(TRIM(REGEXREPLACE(REGEXREPLACE('AYIRA MINI MART FINAL MENU - Pr'!A887, ""^[^\x{0600}-\x{06FF}]+"", """"), ""^[-–\s]+"", """")))&gt;0, TRIM(REGEXREPLACE(REGEXREPLACE('AYIRA MINI MART FINAL MENU - Pr"&amp;"'!A887, ""^[^\x{0600}-\x{06FF}]+"", """"), ""^[-–\s]+"", """")), GOOGLETRANSLATE('AYIRA MINI MART FINAL MENU - Pr'!A887, ""en"", ""ar"")))"),"غرام")</f>
        <v>غرام</v>
      </c>
      <c r="B887" s="56" t="str">
        <f>IFERROR(__xludf.DUMMYFUNCTION("IF('AYIRA MINI MART FINAL MENU - Pr'!B887="""", """", IF(LEN(TRIM(REGEXREPLACE(REGEXREPLACE('AYIRA MINI MART FINAL MENU - Pr'!B887, ""^[^\x{0600}-\x{06FF}]+"", """"), ""^[-–\s]+"", """")))&gt;0, TRIM(REGEXREPLACE(REGEXREPLACE('AYIRA MINI MART FINAL MENU - Pr"&amp;"'!B887, ""^[^\x{0600}-\x{06FF}]+"", """"), ""^[-–\s]+"", """")), GOOGLETRANSLATE('AYIRA MINI MART FINAL MENU - Pr'!B887, ""en"", ""ar"")))"),"الحلوى 🍬")</f>
        <v>الحلوى 🍬</v>
      </c>
      <c r="C887" s="58">
        <f>IF('AYIRA MINI MART FINAL MENU - Pr'!C887="", "", 'AYIRA MINI MART FINAL MENU - Pr'!C887)</f>
        <v>2</v>
      </c>
      <c r="D887" s="58" t="str">
        <f>IF('AYIRA MINI MART FINAL MENU - Pr'!D887="", "", 'AYIRA MINI MART FINAL MENU - Pr'!D887)</f>
        <v>أضف لحظة حلوة إلى يومك مع Triple Power Push Pop Candy (3 Pops in 1) 15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87" s="56" t="str">
        <f>IF('AYIRA MINI MART FINAL MENU - Pr'!E887="", "", 'AYIRA MINI MART FINAL MENU - Pr'!E887)</f>
        <v/>
      </c>
      <c r="F887" s="56" t="str">
        <f>IF('AYIRA MINI MART FINAL MENU - Pr'!F887="", "", 'AYIRA MINI MART FINAL MENU - Pr'!F887)</f>
        <v/>
      </c>
      <c r="G887" s="56" t="str">
        <f>IF('AYIRA MINI MART FINAL MENU - Pr'!G887="", "", 'AYIRA MINI MART FINAL MENU - Pr'!G887)</f>
        <v/>
      </c>
      <c r="H887" s="56" t="str">
        <f>IF('AYIRA MINI MART FINAL MENU - Pr'!H887="", "", 'AYIRA MINI MART FINAL MENU - Pr'!H887)</f>
        <v/>
      </c>
      <c r="I887" s="56" t="str">
        <f>IF('AYIRA MINI MART FINAL MENU - Pr'!I887="", "", 'AYIRA MINI MART FINAL MENU - Pr'!I887)</f>
        <v/>
      </c>
      <c r="J887" s="56" t="str">
        <f>IFERROR(__xludf.DUMMYFUNCTION("IF('AYIRA MINI MART FINAL MENU - Pr'!J887="""", """", GOOGLETRANSLATE('AYIRA MINI MART FINAL MENU - Pr'!J887, ""en"", ""ar""))"),"")</f>
        <v/>
      </c>
      <c r="K887" s="56" t="str">
        <f>IF('AYIRA MINI MART FINAL MENU - Pr'!K887="", "", 'AYIRA MINI MART FINAL MENU - Pr'!K887)</f>
        <v/>
      </c>
      <c r="L887" s="56" t="str">
        <f>IF('AYIRA MINI MART FINAL MENU - Pr'!L887="", "", 'AYIRA MINI MART FINAL MENU - Pr'!L887)</f>
        <v/>
      </c>
      <c r="M887" s="56" t="str">
        <f>IF('AYIRA MINI MART FINAL MENU - Pr'!M887="", "", 'AYIRA MINI MART FINAL MENU - Pr'!M887)</f>
        <v/>
      </c>
      <c r="N887" s="56" t="str">
        <f>IF('AYIRA MINI MART FINAL MENU - Pr'!N887="", "", 'AYIRA MINI MART FINAL MENU - Pr'!N887)</f>
        <v/>
      </c>
      <c r="O887" s="57"/>
      <c r="P887" s="57"/>
      <c r="Q887" s="57"/>
      <c r="R887" s="57"/>
      <c r="S887" s="57"/>
      <c r="T887" s="57"/>
      <c r="U887" s="57"/>
      <c r="V887" s="57"/>
      <c r="W887" s="57"/>
      <c r="X887" s="57"/>
      <c r="Y887" s="57"/>
      <c r="Z887" s="57"/>
    </row>
    <row r="888">
      <c r="A888" s="56" t="str">
        <f>IFERROR(__xludf.DUMMYFUNCTION("IF('AYIRA MINI MART FINAL MENU - Pr'!A888="""", """", IF(LEN(TRIM(REGEXREPLACE(REGEXREPLACE('AYIRA MINI MART FINAL MENU - Pr'!A888, ""^[^\x{0600}-\x{06FF}]+"", """"), ""^[-–\s]+"", """")))&gt;0, TRIM(REGEXREPLACE(REGEXREPLACE('AYIRA MINI MART FINAL MENU - Pr"&amp;"'!A888, ""^[^\x{0600}-\x{06FF}]+"", """"), ""^[-–\s]+"", """")), GOOGLETRANSLATE('AYIRA MINI MART FINAL MENU - Pr'!A888, ""en"", ""ar"")))"),"عصير Dip Candy فراولة 20 غرام")</f>
        <v>عصير Dip Candy فراولة 20 غرام</v>
      </c>
      <c r="B888" s="56" t="str">
        <f>IFERROR(__xludf.DUMMYFUNCTION("IF('AYIRA MINI MART FINAL MENU - Pr'!B888="""", """", IF(LEN(TRIM(REGEXREPLACE(REGEXREPLACE('AYIRA MINI MART FINAL MENU - Pr'!B888, ""^[^\x{0600}-\x{06FF}]+"", """"), ""^[-–\s]+"", """")))&gt;0, TRIM(REGEXREPLACE(REGEXREPLACE('AYIRA MINI MART FINAL MENU - Pr"&amp;"'!B888, ""^[^\x{0600}-\x{06FF}]+"", """"), ""^[-–\s]+"", """")), GOOGLETRANSLATE('AYIRA MINI MART FINAL MENU - Pr'!B888, ""en"", ""ar"")))"),"الحلوى 🍬")</f>
        <v>الحلوى 🍬</v>
      </c>
      <c r="C888" s="58">
        <f>IF('AYIRA MINI MART FINAL MENU - Pr'!C888="", "", 'AYIRA MINI MART FINAL MENU - Pr'!C888)</f>
        <v>4</v>
      </c>
      <c r="D888" s="58" t="str">
        <f>IF('AYIRA MINI MART FINAL MENU - Pr'!D888="", "", 'AYIRA MINI MART FINAL MENU - Pr'!D888)</f>
        <v>احرص على صحتك مع Juice Dip Candy Strawberry 20g،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888" s="56" t="str">
        <f>IF('AYIRA MINI MART FINAL MENU - Pr'!E888="", "", 'AYIRA MINI MART FINAL MENU - Pr'!E888)</f>
        <v/>
      </c>
      <c r="F888" s="56" t="str">
        <f>IF('AYIRA MINI MART FINAL MENU - Pr'!F888="", "", 'AYIRA MINI MART FINAL MENU - Pr'!F888)</f>
        <v/>
      </c>
      <c r="G888" s="56" t="str">
        <f>IF('AYIRA MINI MART FINAL MENU - Pr'!G888="", "", 'AYIRA MINI MART FINAL MENU - Pr'!G888)</f>
        <v/>
      </c>
      <c r="H888" s="56" t="str">
        <f>IF('AYIRA MINI MART FINAL MENU - Pr'!H888="", "", 'AYIRA MINI MART FINAL MENU - Pr'!H888)</f>
        <v/>
      </c>
      <c r="I888" s="56" t="str">
        <f>IF('AYIRA MINI MART FINAL MENU - Pr'!I888="", "", 'AYIRA MINI MART FINAL MENU - Pr'!I888)</f>
        <v/>
      </c>
      <c r="J888" s="56" t="str">
        <f>IFERROR(__xludf.DUMMYFUNCTION("IF('AYIRA MINI MART FINAL MENU - Pr'!J888="""", """", GOOGLETRANSLATE('AYIRA MINI MART FINAL MENU - Pr'!J888, ""en"", ""ar""))"),"")</f>
        <v/>
      </c>
      <c r="K888" s="56" t="str">
        <f>IF('AYIRA MINI MART FINAL MENU - Pr'!K888="", "", 'AYIRA MINI MART FINAL MENU - Pr'!K888)</f>
        <v/>
      </c>
      <c r="L888" s="56" t="str">
        <f>IF('AYIRA MINI MART FINAL MENU - Pr'!L888="", "", 'AYIRA MINI MART FINAL MENU - Pr'!L888)</f>
        <v/>
      </c>
      <c r="M888" s="56" t="str">
        <f>IF('AYIRA MINI MART FINAL MENU - Pr'!M888="", "", 'AYIRA MINI MART FINAL MENU - Pr'!M888)</f>
        <v/>
      </c>
      <c r="N888" s="56" t="str">
        <f>IF('AYIRA MINI MART FINAL MENU - Pr'!N888="", "", 'AYIRA MINI MART FINAL MENU - Pr'!N888)</f>
        <v/>
      </c>
      <c r="O888" s="57"/>
      <c r="P888" s="57"/>
      <c r="Q888" s="57"/>
      <c r="R888" s="57"/>
      <c r="S888" s="57"/>
      <c r="T888" s="57"/>
      <c r="U888" s="57"/>
      <c r="V888" s="57"/>
      <c r="W888" s="57"/>
      <c r="X888" s="57"/>
      <c r="Y888" s="57"/>
      <c r="Z888" s="57"/>
    </row>
    <row r="889">
      <c r="A889" s="56" t="str">
        <f>IFERROR(__xludf.DUMMYFUNCTION("IF('AYIRA MINI MART FINAL MENU - Pr'!A889="""", """", IF(LEN(TRIM(REGEXREPLACE(REGEXREPLACE('AYIRA MINI MART FINAL MENU - Pr'!A889, ""^[^\x{0600}-\x{06FF}]+"", """"), ""^[-–\s]+"", """")))&gt;0, TRIM(REGEXREPLACE(REGEXREPLACE('AYIRA MINI MART FINAL MENU - Pr"&amp;"'!A889, ""^[^\x{0600}-\x{06FF}]+"", """"), ""^[-–\s]+"", """")), GOOGLETRANSLATE('AYIRA MINI MART FINAL MENU - Pr'!A889, ""en"", ""ar"")))"),"لوز Toffee 100 غرام")</f>
        <v>لوز Toffee 100 غرام</v>
      </c>
      <c r="B889" s="56" t="str">
        <f>IFERROR(__xludf.DUMMYFUNCTION("IF('AYIRA MINI MART FINAL MENU - Pr'!B889="""", """", IF(LEN(TRIM(REGEXREPLACE(REGEXREPLACE('AYIRA MINI MART FINAL MENU - Pr'!B889, ""^[^\x{0600}-\x{06FF}]+"", """"), ""^[-–\s]+"", """")))&gt;0, TRIM(REGEXREPLACE(REGEXREPLACE('AYIRA MINI MART FINAL MENU - Pr"&amp;"'!B889, ""^[^\x{0600}-\x{06FF}]+"", """"), ""^[-–\s]+"", """")), GOOGLETRANSLATE('AYIRA MINI MART FINAL MENU - Pr'!B889, ""en"", ""ar"")))"),"الحلوى 🍬")</f>
        <v>الحلوى 🍬</v>
      </c>
      <c r="C889" s="58">
        <f>IF('AYIRA MINI MART FINAL MENU - Pr'!C889="", "", 'AYIRA MINI MART FINAL MENU - Pr'!C889)</f>
        <v>10</v>
      </c>
      <c r="D889" s="58" t="str">
        <f>IF('AYIRA MINI MART FINAL MENU - Pr'!D889="", "", 'AYIRA MINI MART FINAL MENU - Pr'!D889)</f>
        <v>أضف لحظة حلوة إلى يومك مع Leetak Kreetenes Almond Toffee 100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89" s="56" t="str">
        <f>IF('AYIRA MINI MART FINAL MENU - Pr'!E889="", "", 'AYIRA MINI MART FINAL MENU - Pr'!E889)</f>
        <v/>
      </c>
      <c r="F889" s="56" t="str">
        <f>IF('AYIRA MINI MART FINAL MENU - Pr'!F889="", "", 'AYIRA MINI MART FINAL MENU - Pr'!F889)</f>
        <v/>
      </c>
      <c r="G889" s="56" t="str">
        <f>IF('AYIRA MINI MART FINAL MENU - Pr'!G889="", "", 'AYIRA MINI MART FINAL MENU - Pr'!G889)</f>
        <v/>
      </c>
      <c r="H889" s="56" t="str">
        <f>IF('AYIRA MINI MART FINAL MENU - Pr'!H889="", "", 'AYIRA MINI MART FINAL MENU - Pr'!H889)</f>
        <v/>
      </c>
      <c r="I889" s="56" t="str">
        <f>IF('AYIRA MINI MART FINAL MENU - Pr'!I889="", "", 'AYIRA MINI MART FINAL MENU - Pr'!I889)</f>
        <v/>
      </c>
      <c r="J889" s="56" t="str">
        <f>IFERROR(__xludf.DUMMYFUNCTION("IF('AYIRA MINI MART FINAL MENU - Pr'!J889="""", """", GOOGLETRANSLATE('AYIRA MINI MART FINAL MENU - Pr'!J889, ""en"", ""ar""))"),"")</f>
        <v/>
      </c>
      <c r="K889" s="56" t="str">
        <f>IF('AYIRA MINI MART FINAL MENU - Pr'!K889="", "", 'AYIRA MINI MART FINAL MENU - Pr'!K889)</f>
        <v/>
      </c>
      <c r="L889" s="56" t="str">
        <f>IF('AYIRA MINI MART FINAL MENU - Pr'!L889="", "", 'AYIRA MINI MART FINAL MENU - Pr'!L889)</f>
        <v/>
      </c>
      <c r="M889" s="56" t="str">
        <f>IF('AYIRA MINI MART FINAL MENU - Pr'!M889="", "", 'AYIRA MINI MART FINAL MENU - Pr'!M889)</f>
        <v/>
      </c>
      <c r="N889" s="56" t="str">
        <f>IF('AYIRA MINI MART FINAL MENU - Pr'!N889="", "", 'AYIRA MINI MART FINAL MENU - Pr'!N889)</f>
        <v/>
      </c>
      <c r="O889" s="57"/>
      <c r="P889" s="57"/>
      <c r="Q889" s="57"/>
      <c r="R889" s="57"/>
      <c r="S889" s="57"/>
      <c r="T889" s="57"/>
      <c r="U889" s="57"/>
      <c r="V889" s="57"/>
      <c r="W889" s="57"/>
      <c r="X889" s="57"/>
      <c r="Y889" s="57"/>
      <c r="Z889" s="57"/>
    </row>
    <row r="890">
      <c r="A890" s="56" t="str">
        <f>IFERROR(__xludf.DUMMYFUNCTION("IF('AYIRA MINI MART FINAL MENU - Pr'!A890="""", """", IF(LEN(TRIM(REGEXREPLACE(REGEXREPLACE('AYIRA MINI MART FINAL MENU - Pr'!A890, ""^[^\x{0600}-\x{06FF}]+"", """"), ""^[-–\s]+"", """")))&gt;0, TRIM(REGEXREPLACE(REGEXREPLACE('AYIRA MINI MART FINAL MENU - Pr"&amp;"'!A890, ""^[^\x{0600}-\x{06FF}]+"", """"), ""^[-–\s]+"", """")), GOOGLETRANSLATE('AYIRA MINI MART FINAL MENU - Pr'!A890, ""en"", ""ar"")))"),"سبيس تشوبي مصاصة (20 قطعة)")</f>
        <v>سبيس تشوبي مصاصة (20 قطعة)</v>
      </c>
      <c r="B890" s="56" t="str">
        <f>IFERROR(__xludf.DUMMYFUNCTION("IF('AYIRA MINI MART FINAL MENU - Pr'!B890="""", """", IF(LEN(TRIM(REGEXREPLACE(REGEXREPLACE('AYIRA MINI MART FINAL MENU - Pr'!B890, ""^[^\x{0600}-\x{06FF}]+"", """"), ""^[-–\s]+"", """")))&gt;0, TRIM(REGEXREPLACE(REGEXREPLACE('AYIRA MINI MART FINAL MENU - Pr"&amp;"'!B890, ""^[^\x{0600}-\x{06FF}]+"", """"), ""^[-–\s]+"", """")), GOOGLETRANSLATE('AYIRA MINI MART FINAL MENU - Pr'!B890, ""en"", ""ar"")))"),"الحلوى 🍬")</f>
        <v>الحلوى 🍬</v>
      </c>
      <c r="C890" s="58">
        <f>IF('AYIRA MINI MART FINAL MENU - Pr'!C890="", "", 'AYIRA MINI MART FINAL MENU - Pr'!C890)</f>
        <v>10</v>
      </c>
      <c r="D890" s="58" t="str">
        <f>IF('AYIRA MINI MART FINAL MENU - Pr'!D890="", "", 'AYIRA MINI MART FINAL MENU - Pr'!D890)</f>
        <v>أضف لحظة حلوة إلى يومك مع Space Chupi Lollipop (20 Units)،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90" s="56" t="str">
        <f>IF('AYIRA MINI MART FINAL MENU - Pr'!E890="", "", 'AYIRA MINI MART FINAL MENU - Pr'!E890)</f>
        <v/>
      </c>
      <c r="F890" s="56" t="str">
        <f>IF('AYIRA MINI MART FINAL MENU - Pr'!F890="", "", 'AYIRA MINI MART FINAL MENU - Pr'!F890)</f>
        <v/>
      </c>
      <c r="G890" s="56" t="str">
        <f>IF('AYIRA MINI MART FINAL MENU - Pr'!G890="", "", 'AYIRA MINI MART FINAL MENU - Pr'!G890)</f>
        <v/>
      </c>
      <c r="H890" s="56" t="str">
        <f>IF('AYIRA MINI MART FINAL MENU - Pr'!H890="", "", 'AYIRA MINI MART FINAL MENU - Pr'!H890)</f>
        <v/>
      </c>
      <c r="I890" s="56" t="str">
        <f>IF('AYIRA MINI MART FINAL MENU - Pr'!I890="", "", 'AYIRA MINI MART FINAL MENU - Pr'!I890)</f>
        <v/>
      </c>
      <c r="J890" s="56" t="str">
        <f>IFERROR(__xludf.DUMMYFUNCTION("IF('AYIRA MINI MART FINAL MENU - Pr'!J890="""", """", GOOGLETRANSLATE('AYIRA MINI MART FINAL MENU - Pr'!J890, ""en"", ""ar""))"),"")</f>
        <v/>
      </c>
      <c r="K890" s="56" t="str">
        <f>IF('AYIRA MINI MART FINAL MENU - Pr'!K890="", "", 'AYIRA MINI MART FINAL MENU - Pr'!K890)</f>
        <v/>
      </c>
      <c r="L890" s="56" t="str">
        <f>IF('AYIRA MINI MART FINAL MENU - Pr'!L890="", "", 'AYIRA MINI MART FINAL MENU - Pr'!L890)</f>
        <v/>
      </c>
      <c r="M890" s="56" t="str">
        <f>IF('AYIRA MINI MART FINAL MENU - Pr'!M890="", "", 'AYIRA MINI MART FINAL MENU - Pr'!M890)</f>
        <v/>
      </c>
      <c r="N890" s="56" t="str">
        <f>IF('AYIRA MINI MART FINAL MENU - Pr'!N890="", "", 'AYIRA MINI MART FINAL MENU - Pr'!N890)</f>
        <v/>
      </c>
      <c r="O890" s="57"/>
      <c r="P890" s="57"/>
      <c r="Q890" s="57"/>
      <c r="R890" s="57"/>
      <c r="S890" s="57"/>
      <c r="T890" s="57"/>
      <c r="U890" s="57"/>
      <c r="V890" s="57"/>
      <c r="W890" s="57"/>
      <c r="X890" s="57"/>
      <c r="Y890" s="57"/>
      <c r="Z890" s="57"/>
    </row>
    <row r="891">
      <c r="A891" s="56" t="str">
        <f>IFERROR(__xludf.DUMMYFUNCTION("IF('AYIRA MINI MART FINAL MENU - Pr'!A891="""", """", IF(LEN(TRIM(REGEXREPLACE(REGEXREPLACE('AYIRA MINI MART FINAL MENU - Pr'!A891, ""^[^\x{0600}-\x{06FF}]+"", """"), ""^[-–\s]+"", """")))&gt;0, TRIM(REGEXREPLACE(REGEXREPLACE('AYIRA MINI MART FINAL MENU - Pr"&amp;"'!A891, ""^[^\x{0600}-\x{06FF}]+"", """"), ""^[-–\s]+"", """")), GOOGLETRANSLATE('AYIRA MINI MART FINAL MENU - Pr'!A891, ""en"", ""ar"")))"),"هاريبو Chamallows Rubino فراولة Marshmallow 70 غرام")</f>
        <v>هاريبو Chamallows Rubino فراولة Marshmallow 70 غرام</v>
      </c>
      <c r="B891" s="56" t="str">
        <f>IFERROR(__xludf.DUMMYFUNCTION("IF('AYIRA MINI MART FINAL MENU - Pr'!B891="""", """", IF(LEN(TRIM(REGEXREPLACE(REGEXREPLACE('AYIRA MINI MART FINAL MENU - Pr'!B891, ""^[^\x{0600}-\x{06FF}]+"", """"), ""^[-–\s]+"", """")))&gt;0, TRIM(REGEXREPLACE(REGEXREPLACE('AYIRA MINI MART FINAL MENU - Pr"&amp;"'!B891, ""^[^\x{0600}-\x{06FF}]+"", """"), ""^[-–\s]+"", """")), GOOGLETRANSLATE('AYIRA MINI MART FINAL MENU - Pr'!B891, ""en"", ""ar"")))"),"الحلوى 🍬")</f>
        <v>الحلوى 🍬</v>
      </c>
      <c r="C891" s="58">
        <f>IF('AYIRA MINI MART FINAL MENU - Pr'!C891="", "", 'AYIRA MINI MART FINAL MENU - Pr'!C891)</f>
        <v>6</v>
      </c>
      <c r="D891" s="58" t="str">
        <f>IF('AYIRA MINI MART FINAL MENU - Pr'!D891="", "", 'AYIRA MINI MART FINAL MENU - Pr'!D891)</f>
        <v>أضف لحظة حلوة إلى يومك مع هاريبو،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91" s="56" t="str">
        <f>IF('AYIRA MINI MART FINAL MENU - Pr'!E891="", "", 'AYIRA MINI MART FINAL MENU - Pr'!E891)</f>
        <v/>
      </c>
      <c r="F891" s="56" t="str">
        <f>IF('AYIRA MINI MART FINAL MENU - Pr'!F891="", "", 'AYIRA MINI MART FINAL MENU - Pr'!F891)</f>
        <v/>
      </c>
      <c r="G891" s="56" t="str">
        <f>IF('AYIRA MINI MART FINAL MENU - Pr'!G891="", "", 'AYIRA MINI MART FINAL MENU - Pr'!G891)</f>
        <v/>
      </c>
      <c r="H891" s="56" t="str">
        <f>IF('AYIRA MINI MART FINAL MENU - Pr'!H891="", "", 'AYIRA MINI MART FINAL MENU - Pr'!H891)</f>
        <v/>
      </c>
      <c r="I891" s="56" t="str">
        <f>IF('AYIRA MINI MART FINAL MENU - Pr'!I891="", "", 'AYIRA MINI MART FINAL MENU - Pr'!I891)</f>
        <v/>
      </c>
      <c r="J891" s="56" t="str">
        <f>IFERROR(__xludf.DUMMYFUNCTION("IF('AYIRA MINI MART FINAL MENU - Pr'!J891="""", """", GOOGLETRANSLATE('AYIRA MINI MART FINAL MENU - Pr'!J891, ""en"", ""ar""))"),"")</f>
        <v/>
      </c>
      <c r="K891" s="56" t="str">
        <f>IF('AYIRA MINI MART FINAL MENU - Pr'!K891="", "", 'AYIRA MINI MART FINAL MENU - Pr'!K891)</f>
        <v/>
      </c>
      <c r="L891" s="56" t="str">
        <f>IF('AYIRA MINI MART FINAL MENU - Pr'!L891="", "", 'AYIRA MINI MART FINAL MENU - Pr'!L891)</f>
        <v/>
      </c>
      <c r="M891" s="56" t="str">
        <f>IF('AYIRA MINI MART FINAL MENU - Pr'!M891="", "", 'AYIRA MINI MART FINAL MENU - Pr'!M891)</f>
        <v/>
      </c>
      <c r="N891" s="56" t="str">
        <f>IF('AYIRA MINI MART FINAL MENU - Pr'!N891="", "", 'AYIRA MINI MART FINAL MENU - Pr'!N891)</f>
        <v/>
      </c>
      <c r="O891" s="57"/>
      <c r="P891" s="57"/>
      <c r="Q891" s="57"/>
      <c r="R891" s="57"/>
      <c r="S891" s="57"/>
      <c r="T891" s="57"/>
      <c r="U891" s="57"/>
      <c r="V891" s="57"/>
      <c r="W891" s="57"/>
      <c r="X891" s="57"/>
      <c r="Y891" s="57"/>
      <c r="Z891" s="57"/>
    </row>
    <row r="892">
      <c r="A892" s="56" t="str">
        <f>IFERROR(__xludf.DUMMYFUNCTION("IF('AYIRA MINI MART FINAL MENU - Pr'!A892="""", """", IF(LEN(TRIM(REGEXREPLACE(REGEXREPLACE('AYIRA MINI MART FINAL MENU - Pr'!A892, ""^[^\x{0600}-\x{06FF}]+"", """"), ""^[-–\s]+"", """")))&gt;0, TRIM(REGEXREPLACE(REGEXREPLACE('AYIRA MINI MART FINAL MENU - Pr"&amp;"'!A892, ""^[^\x{0600}-\x{06FF}]+"", """"), ""^[-–\s]+"", """")), GOOGLETRANSLATE('AYIRA MINI MART FINAL MENU - Pr'!A892, ""en"", ""ar"")))"),"كريم Fudge Candy 750 غرام")</f>
        <v>كريم Fudge Candy 750 غرام</v>
      </c>
      <c r="B892" s="56" t="str">
        <f>IFERROR(__xludf.DUMMYFUNCTION("IF('AYIRA MINI MART FINAL MENU - Pr'!B892="""", """", IF(LEN(TRIM(REGEXREPLACE(REGEXREPLACE('AYIRA MINI MART FINAL MENU - Pr'!B892, ""^[^\x{0600}-\x{06FF}]+"", """"), ""^[-–\s]+"", """")))&gt;0, TRIM(REGEXREPLACE(REGEXREPLACE('AYIRA MINI MART FINAL MENU - Pr"&amp;"'!B892, ""^[^\x{0600}-\x{06FF}]+"", """"), ""^[-–\s]+"", """")), GOOGLETRANSLATE('AYIRA MINI MART FINAL MENU - Pr'!B892, ""en"", ""ar"")))"),"الحلوى 🍬")</f>
        <v>الحلوى 🍬</v>
      </c>
      <c r="C892" s="58">
        <f>IF('AYIRA MINI MART FINAL MENU - Pr'!C892="", "", 'AYIRA MINI MART FINAL MENU - Pr'!C892)</f>
        <v>20</v>
      </c>
      <c r="D892" s="58" t="str">
        <f>IF('AYIRA MINI MART FINAL MENU - Pr'!D892="", "", 'AYIRA MINI MART FINAL MENU - Pr'!D892)</f>
        <v>أضف لحظة حلوة إلى يومك مع Milki Krowka Cream Fudge Candy 750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92" s="56" t="str">
        <f>IF('AYIRA MINI MART FINAL MENU - Pr'!E892="", "", 'AYIRA MINI MART FINAL MENU - Pr'!E892)</f>
        <v/>
      </c>
      <c r="F892" s="56" t="str">
        <f>IF('AYIRA MINI MART FINAL MENU - Pr'!F892="", "", 'AYIRA MINI MART FINAL MENU - Pr'!F892)</f>
        <v/>
      </c>
      <c r="G892" s="56" t="str">
        <f>IF('AYIRA MINI MART FINAL MENU - Pr'!G892="", "", 'AYIRA MINI MART FINAL MENU - Pr'!G892)</f>
        <v/>
      </c>
      <c r="H892" s="56" t="str">
        <f>IF('AYIRA MINI MART FINAL MENU - Pr'!H892="", "", 'AYIRA MINI MART FINAL MENU - Pr'!H892)</f>
        <v/>
      </c>
      <c r="I892" s="56" t="str">
        <f>IF('AYIRA MINI MART FINAL MENU - Pr'!I892="", "", 'AYIRA MINI MART FINAL MENU - Pr'!I892)</f>
        <v/>
      </c>
      <c r="J892" s="56" t="str">
        <f>IFERROR(__xludf.DUMMYFUNCTION("IF('AYIRA MINI MART FINAL MENU - Pr'!J892="""", """", GOOGLETRANSLATE('AYIRA MINI MART FINAL MENU - Pr'!J892, ""en"", ""ar""))"),"")</f>
        <v/>
      </c>
      <c r="K892" s="56" t="str">
        <f>IF('AYIRA MINI MART FINAL MENU - Pr'!K892="", "", 'AYIRA MINI MART FINAL MENU - Pr'!K892)</f>
        <v/>
      </c>
      <c r="L892" s="56" t="str">
        <f>IF('AYIRA MINI MART FINAL MENU - Pr'!L892="", "", 'AYIRA MINI MART FINAL MENU - Pr'!L892)</f>
        <v/>
      </c>
      <c r="M892" s="56" t="str">
        <f>IF('AYIRA MINI MART FINAL MENU - Pr'!M892="", "", 'AYIRA MINI MART FINAL MENU - Pr'!M892)</f>
        <v/>
      </c>
      <c r="N892" s="56" t="str">
        <f>IF('AYIRA MINI MART FINAL MENU - Pr'!N892="", "", 'AYIRA MINI MART FINAL MENU - Pr'!N892)</f>
        <v/>
      </c>
      <c r="O892" s="57"/>
      <c r="P892" s="57"/>
      <c r="Q892" s="57"/>
      <c r="R892" s="57"/>
      <c r="S892" s="57"/>
      <c r="T892" s="57"/>
      <c r="U892" s="57"/>
      <c r="V892" s="57"/>
      <c r="W892" s="57"/>
      <c r="X892" s="57"/>
      <c r="Y892" s="57"/>
      <c r="Z892" s="57"/>
    </row>
    <row r="893">
      <c r="A893" s="56" t="str">
        <f>IFERROR(__xludf.DUMMYFUNCTION("IF('AYIRA MINI MART FINAL MENU - Pr'!A893="""", """", IF(LEN(TRIM(REGEXREPLACE(REGEXREPLACE('AYIRA MINI MART FINAL MENU - Pr'!A893, ""^[^\x{0600}-\x{06FF}]+"", """"), ""^[-–\s]+"", """")))&gt;0, TRIM(REGEXREPLACE(REGEXREPLACE('AYIRA MINI MART FINAL MENU - Pr"&amp;"'!A893, ""^[^\x{0600}-\x{06FF}]+"", """"), ""^[-–\s]+"", """")), GOOGLETRANSLATE('AYIRA MINI MART FINAL MENU - Pr'!A893, ""en"", ""ar"")))"),"أبيض شوكولاتة 300 غرام")</f>
        <v>أبيض شوكولاتة 300 غرام</v>
      </c>
      <c r="B893" s="56" t="str">
        <f>IFERROR(__xludf.DUMMYFUNCTION("IF('AYIRA MINI MART FINAL MENU - Pr'!B893="""", """", IF(LEN(TRIM(REGEXREPLACE(REGEXREPLACE('AYIRA MINI MART FINAL MENU - Pr'!B893, ""^[^\x{0600}-\x{06FF}]+"", """"), ""^[-–\s]+"", """")))&gt;0, TRIM(REGEXREPLACE(REGEXREPLACE('AYIRA MINI MART FINAL MENU - Pr"&amp;"'!B893, ""^[^\x{0600}-\x{06FF}]+"", """"), ""^[-–\s]+"", """")), GOOGLETRANSLATE('AYIRA MINI MART FINAL MENU - Pr'!B893, ""en"", ""ar"")))"),"الحلوى 🍬")</f>
        <v>الحلوى 🍬</v>
      </c>
      <c r="C893" s="58">
        <f>IF('AYIRA MINI MART FINAL MENU - Pr'!C893="", "", 'AYIRA MINI MART FINAL MENU - Pr'!C893)</f>
        <v>20</v>
      </c>
      <c r="D893" s="58" t="str">
        <f>IF('AYIRA MINI MART FINAL MENU - Pr'!D893="", "", 'AYIRA MINI MART FINAL MENU - Pr'!D893)</f>
        <v>دلّل حواسك مع Vigo Snow Ball White Chocolate 300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893" s="56" t="str">
        <f>IF('AYIRA MINI MART FINAL MENU - Pr'!E893="", "", 'AYIRA MINI MART FINAL MENU - Pr'!E893)</f>
        <v/>
      </c>
      <c r="F893" s="56" t="str">
        <f>IF('AYIRA MINI MART FINAL MENU - Pr'!F893="", "", 'AYIRA MINI MART FINAL MENU - Pr'!F893)</f>
        <v/>
      </c>
      <c r="G893" s="56" t="str">
        <f>IF('AYIRA MINI MART FINAL MENU - Pr'!G893="", "", 'AYIRA MINI MART FINAL MENU - Pr'!G893)</f>
        <v/>
      </c>
      <c r="H893" s="56" t="str">
        <f>IF('AYIRA MINI MART FINAL MENU - Pr'!H893="", "", 'AYIRA MINI MART FINAL MENU - Pr'!H893)</f>
        <v/>
      </c>
      <c r="I893" s="56" t="str">
        <f>IF('AYIRA MINI MART FINAL MENU - Pr'!I893="", "", 'AYIRA MINI MART FINAL MENU - Pr'!I893)</f>
        <v/>
      </c>
      <c r="J893" s="56" t="str">
        <f>IFERROR(__xludf.DUMMYFUNCTION("IF('AYIRA MINI MART FINAL MENU - Pr'!J893="""", """", GOOGLETRANSLATE('AYIRA MINI MART FINAL MENU - Pr'!J893, ""en"", ""ar""))"),"")</f>
        <v/>
      </c>
      <c r="K893" s="56" t="str">
        <f>IF('AYIRA MINI MART FINAL MENU - Pr'!K893="", "", 'AYIRA MINI MART FINAL MENU - Pr'!K893)</f>
        <v/>
      </c>
      <c r="L893" s="56" t="str">
        <f>IF('AYIRA MINI MART FINAL MENU - Pr'!L893="", "", 'AYIRA MINI MART FINAL MENU - Pr'!L893)</f>
        <v/>
      </c>
      <c r="M893" s="56" t="str">
        <f>IF('AYIRA MINI MART FINAL MENU - Pr'!M893="", "", 'AYIRA MINI MART FINAL MENU - Pr'!M893)</f>
        <v/>
      </c>
      <c r="N893" s="56" t="str">
        <f>IF('AYIRA MINI MART FINAL MENU - Pr'!N893="", "", 'AYIRA MINI MART FINAL MENU - Pr'!N893)</f>
        <v/>
      </c>
      <c r="O893" s="57"/>
      <c r="P893" s="57"/>
      <c r="Q893" s="57"/>
      <c r="R893" s="57"/>
      <c r="S893" s="57"/>
      <c r="T893" s="57"/>
      <c r="U893" s="57"/>
      <c r="V893" s="57"/>
      <c r="W893" s="57"/>
      <c r="X893" s="57"/>
      <c r="Y893" s="57"/>
      <c r="Z893" s="57"/>
    </row>
    <row r="894">
      <c r="A894" s="56" t="str">
        <f>IFERROR(__xludf.DUMMYFUNCTION("IF('AYIRA MINI MART FINAL MENU - Pr'!A894="""", """", IF(LEN(TRIM(REGEXREPLACE(REGEXREPLACE('AYIRA MINI MART FINAL MENU - Pr'!A894, ""^[^\x{0600}-\x{06FF}]+"", """"), ""^[-–\s]+"", """")))&gt;0, TRIM(REGEXREPLACE(REGEXREPLACE('AYIRA MINI MART FINAL MENU - Pr"&amp;"'!A894, ""^[^\x{0600}-\x{06FF}]+"", """"), ""^[-–\s]+"", """")), GOOGLETRANSLATE('AYIRA MINI MART FINAL MENU - Pr'!A894, ""en"", ""ar"")))"),"آيس كريم Jam Filled Mallow 100 غرام")</f>
        <v>آيس كريم Jam Filled Mallow 100 غرام</v>
      </c>
      <c r="B894" s="56" t="str">
        <f>IFERROR(__xludf.DUMMYFUNCTION("IF('AYIRA MINI MART FINAL MENU - Pr'!B894="""", """", IF(LEN(TRIM(REGEXREPLACE(REGEXREPLACE('AYIRA MINI MART FINAL MENU - Pr'!B894, ""^[^\x{0600}-\x{06FF}]+"", """"), ""^[-–\s]+"", """")))&gt;0, TRIM(REGEXREPLACE(REGEXREPLACE('AYIRA MINI MART FINAL MENU - Pr"&amp;"'!B894, ""^[^\x{0600}-\x{06FF}]+"", """"), ""^[-–\s]+"", """")), GOOGLETRANSLATE('AYIRA MINI MART FINAL MENU - Pr'!B894, ""en"", ""ar"")))"),"الحلوى 🍬")</f>
        <v>الحلوى 🍬</v>
      </c>
      <c r="C894" s="58">
        <f>IF('AYIRA MINI MART FINAL MENU - Pr'!C894="", "", 'AYIRA MINI MART FINAL MENU - Pr'!C894)</f>
        <v>1.5</v>
      </c>
      <c r="D894" s="58" t="str">
        <f>IF('AYIRA MINI MART FINAL MENU - Pr'!D894="", "", 'AYIRA MINI MART FINAL MENU - Pr'!D894)</f>
        <v>برّد أيامك الحارة مع Ice Cream Jam Filled Mallow 100 g، المثلجات الشهية التي تنقلك إلى عالم من الانتعاش والمتعة. تتميز بنكهتها الرائعة وقوامها الكريمي الناعم الذي يذوب في فمك تاركاً أثراً لذيذاً لا يُنسى. مثالية للأطفال والكبار وتصلح كحلوى خفيفة في أي وقت من اليوم. اكتشف سر طعمها المميز واجعلها جزءاً من يومك المشمس. توفرها أيرا ميني مارت طازجة ومحفوظة بأعلى المعايير.</v>
      </c>
      <c r="E894" s="56" t="str">
        <f>IF('AYIRA MINI MART FINAL MENU - Pr'!E894="", "", 'AYIRA MINI MART FINAL MENU - Pr'!E894)</f>
        <v/>
      </c>
      <c r="F894" s="56" t="str">
        <f>IF('AYIRA MINI MART FINAL MENU - Pr'!F894="", "", 'AYIRA MINI MART FINAL MENU - Pr'!F894)</f>
        <v/>
      </c>
      <c r="G894" s="56" t="str">
        <f>IF('AYIRA MINI MART FINAL MENU - Pr'!G894="", "", 'AYIRA MINI MART FINAL MENU - Pr'!G894)</f>
        <v/>
      </c>
      <c r="H894" s="56" t="str">
        <f>IF('AYIRA MINI MART FINAL MENU - Pr'!H894="", "", 'AYIRA MINI MART FINAL MENU - Pr'!H894)</f>
        <v/>
      </c>
      <c r="I894" s="56" t="str">
        <f>IF('AYIRA MINI MART FINAL MENU - Pr'!I894="", "", 'AYIRA MINI MART FINAL MENU - Pr'!I894)</f>
        <v/>
      </c>
      <c r="J894" s="56" t="str">
        <f>IFERROR(__xludf.DUMMYFUNCTION("IF('AYIRA MINI MART FINAL MENU - Pr'!J894="""", """", GOOGLETRANSLATE('AYIRA MINI MART FINAL MENU - Pr'!J894, ""en"", ""ar""))"),"")</f>
        <v/>
      </c>
      <c r="K894" s="56" t="str">
        <f>IF('AYIRA MINI MART FINAL MENU - Pr'!K894="", "", 'AYIRA MINI MART FINAL MENU - Pr'!K894)</f>
        <v/>
      </c>
      <c r="L894" s="56" t="str">
        <f>IF('AYIRA MINI MART FINAL MENU - Pr'!L894="", "", 'AYIRA MINI MART FINAL MENU - Pr'!L894)</f>
        <v/>
      </c>
      <c r="M894" s="56" t="str">
        <f>IF('AYIRA MINI MART FINAL MENU - Pr'!M894="", "", 'AYIRA MINI MART FINAL MENU - Pr'!M894)</f>
        <v/>
      </c>
      <c r="N894" s="56" t="str">
        <f>IF('AYIRA MINI MART FINAL MENU - Pr'!N894="", "", 'AYIRA MINI MART FINAL MENU - Pr'!N894)</f>
        <v/>
      </c>
      <c r="O894" s="57"/>
      <c r="P894" s="57"/>
      <c r="Q894" s="57"/>
      <c r="R894" s="57"/>
      <c r="S894" s="57"/>
      <c r="T894" s="57"/>
      <c r="U894" s="57"/>
      <c r="V894" s="57"/>
      <c r="W894" s="57"/>
      <c r="X894" s="57"/>
      <c r="Y894" s="57"/>
      <c r="Z894" s="57"/>
    </row>
    <row r="895">
      <c r="A895" s="56" t="str">
        <f>IFERROR(__xludf.DUMMYFUNCTION("IF('AYIRA MINI MART FINAL MENU - Pr'!A895="""", """", IF(LEN(TRIM(REGEXREPLACE(REGEXREPLACE('AYIRA MINI MART FINAL MENU - Pr'!A895, ""^[^\x{0600}-\x{06FF}]+"", """"), ""^[-–\s]+"", """")))&gt;0, TRIM(REGEXREPLACE(REGEXREPLACE('AYIRA MINI MART FINAL MENU - Pr"&amp;"'!A895, ""^[^\x{0600}-\x{06FF}]+"", """"), ""^[-–\s]+"", """")), GOOGLETRANSLATE('AYIRA MINI MART FINAL MENU - Pr'!A895, ""en"", ""ar"")))"),"يوبي غامي لانش")</f>
        <v>يوبي غامي لانش</v>
      </c>
      <c r="B895" s="56" t="str">
        <f>IFERROR(__xludf.DUMMYFUNCTION("IF('AYIRA MINI MART FINAL MENU - Pr'!B895="""", """", IF(LEN(TRIM(REGEXREPLACE(REGEXREPLACE('AYIRA MINI MART FINAL MENU - Pr'!B895, ""^[^\x{0600}-\x{06FF}]+"", """"), ""^[-–\s]+"", """")))&gt;0, TRIM(REGEXREPLACE(REGEXREPLACE('AYIRA MINI MART FINAL MENU - Pr"&amp;"'!B895, ""^[^\x{0600}-\x{06FF}]+"", """"), ""^[-–\s]+"", """")), GOOGLETRANSLATE('AYIRA MINI MART FINAL MENU - Pr'!B895, ""en"", ""ar"")))"),"الحلوى 🍬")</f>
        <v>الحلوى 🍬</v>
      </c>
      <c r="C895" s="58">
        <f>IF('AYIRA MINI MART FINAL MENU - Pr'!C895="", "", 'AYIRA MINI MART FINAL MENU - Pr'!C895)</f>
        <v>10</v>
      </c>
      <c r="D895" s="58" t="str">
        <f>IF('AYIRA MINI MART FINAL MENU - Pr'!D895="", "", 'AYIRA MINI MART FINAL MENU - Pr'!D895)</f>
        <v>استمتع بـ Yupi Gummi Lunch،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895" s="56" t="str">
        <f>IF('AYIRA MINI MART FINAL MENU - Pr'!E895="", "", 'AYIRA MINI MART FINAL MENU - Pr'!E895)</f>
        <v/>
      </c>
      <c r="F895" s="56" t="str">
        <f>IF('AYIRA MINI MART FINAL MENU - Pr'!F895="", "", 'AYIRA MINI MART FINAL MENU - Pr'!F895)</f>
        <v/>
      </c>
      <c r="G895" s="56" t="str">
        <f>IF('AYIRA MINI MART FINAL MENU - Pr'!G895="", "", 'AYIRA MINI MART FINAL MENU - Pr'!G895)</f>
        <v/>
      </c>
      <c r="H895" s="56" t="str">
        <f>IF('AYIRA MINI MART FINAL MENU - Pr'!H895="", "", 'AYIRA MINI MART FINAL MENU - Pr'!H895)</f>
        <v/>
      </c>
      <c r="I895" s="56" t="str">
        <f>IF('AYIRA MINI MART FINAL MENU - Pr'!I895="", "", 'AYIRA MINI MART FINAL MENU - Pr'!I895)</f>
        <v/>
      </c>
      <c r="J895" s="56" t="str">
        <f>IFERROR(__xludf.DUMMYFUNCTION("IF('AYIRA MINI MART FINAL MENU - Pr'!J895="""", """", GOOGLETRANSLATE('AYIRA MINI MART FINAL MENU - Pr'!J895, ""en"", ""ar""))"),"")</f>
        <v/>
      </c>
      <c r="K895" s="56" t="str">
        <f>IF('AYIRA MINI MART FINAL MENU - Pr'!K895="", "", 'AYIRA MINI MART FINAL MENU - Pr'!K895)</f>
        <v/>
      </c>
      <c r="L895" s="56" t="str">
        <f>IF('AYIRA MINI MART FINAL MENU - Pr'!L895="", "", 'AYIRA MINI MART FINAL MENU - Pr'!L895)</f>
        <v/>
      </c>
      <c r="M895" s="56" t="str">
        <f>IF('AYIRA MINI MART FINAL MENU - Pr'!M895="", "", 'AYIRA MINI MART FINAL MENU - Pr'!M895)</f>
        <v/>
      </c>
      <c r="N895" s="56" t="str">
        <f>IF('AYIRA MINI MART FINAL MENU - Pr'!N895="", "", 'AYIRA MINI MART FINAL MENU - Pr'!N895)</f>
        <v/>
      </c>
      <c r="O895" s="57"/>
      <c r="P895" s="57"/>
      <c r="Q895" s="57"/>
      <c r="R895" s="57"/>
      <c r="S895" s="57"/>
      <c r="T895" s="57"/>
      <c r="U895" s="57"/>
      <c r="V895" s="57"/>
      <c r="W895" s="57"/>
      <c r="X895" s="57"/>
      <c r="Y895" s="57"/>
      <c r="Z895" s="57"/>
    </row>
    <row r="896">
      <c r="A896" s="56" t="str">
        <f>IFERROR(__xludf.DUMMYFUNCTION("IF('AYIRA MINI MART FINAL MENU - Pr'!A896="""", """", IF(LEN(TRIM(REGEXREPLACE(REGEXREPLACE('AYIRA MINI MART FINAL MENU - Pr'!A896, ""^[^\x{0600}-\x{06FF}]+"", """"), ""^[-–\s]+"", """")))&gt;0, TRIM(REGEXREPLACE(REGEXREPLACE('AYIRA MINI MART FINAL MENU - Pr"&amp;"'!A896, ""^[^\x{0600}-\x{06FF}]+"", """"), ""^[-–\s]+"", """")), GOOGLETRANSLATE('AYIRA MINI MART FINAL MENU - Pr'!A896, ""en"", ""ar"")))"),"بورغات مصاصات ملونة")</f>
        <v>بورغات مصاصات ملونة</v>
      </c>
      <c r="B896" s="56" t="str">
        <f>IFERROR(__xludf.DUMMYFUNCTION("IF('AYIRA MINI MART FINAL MENU - Pr'!B896="""", """", IF(LEN(TRIM(REGEXREPLACE(REGEXREPLACE('AYIRA MINI MART FINAL MENU - Pr'!B896, ""^[^\x{0600}-\x{06FF}]+"", """"), ""^[-–\s]+"", """")))&gt;0, TRIM(REGEXREPLACE(REGEXREPLACE('AYIRA MINI MART FINAL MENU - Pr"&amp;"'!B896, ""^[^\x{0600}-\x{06FF}]+"", """"), ""^[-–\s]+"", """")), GOOGLETRANSLATE('AYIRA MINI MART FINAL MENU - Pr'!B896, ""en"", ""ar"")))"),"الحلوى 🍬")</f>
        <v>الحلوى 🍬</v>
      </c>
      <c r="C896" s="58">
        <f>IF('AYIRA MINI MART FINAL MENU - Pr'!C896="", "", 'AYIRA MINI MART FINAL MENU - Pr'!C896)</f>
        <v>10</v>
      </c>
      <c r="D896" s="58" t="str">
        <f>IF('AYIRA MINI MART FINAL MENU - Pr'!D896="", "", 'AYIRA MINI MART FINAL MENU - Pr'!D896)</f>
        <v>أضف لحظة حلوة إلى يومك مع Borgat Tongue Paint Lollipops،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896" s="56" t="str">
        <f>IF('AYIRA MINI MART FINAL MENU - Pr'!E896="", "", 'AYIRA MINI MART FINAL MENU - Pr'!E896)</f>
        <v/>
      </c>
      <c r="F896" s="56" t="str">
        <f>IF('AYIRA MINI MART FINAL MENU - Pr'!F896="", "", 'AYIRA MINI MART FINAL MENU - Pr'!F896)</f>
        <v/>
      </c>
      <c r="G896" s="56" t="str">
        <f>IF('AYIRA MINI MART FINAL MENU - Pr'!G896="", "", 'AYIRA MINI MART FINAL MENU - Pr'!G896)</f>
        <v/>
      </c>
      <c r="H896" s="56" t="str">
        <f>IF('AYIRA MINI MART FINAL MENU - Pr'!H896="", "", 'AYIRA MINI MART FINAL MENU - Pr'!H896)</f>
        <v/>
      </c>
      <c r="I896" s="56" t="str">
        <f>IF('AYIRA MINI MART FINAL MENU - Pr'!I896="", "", 'AYIRA MINI MART FINAL MENU - Pr'!I896)</f>
        <v/>
      </c>
      <c r="J896" s="56" t="str">
        <f>IFERROR(__xludf.DUMMYFUNCTION("IF('AYIRA MINI MART FINAL MENU - Pr'!J896="""", """", GOOGLETRANSLATE('AYIRA MINI MART FINAL MENU - Pr'!J896, ""en"", ""ar""))"),"")</f>
        <v/>
      </c>
      <c r="K896" s="56" t="str">
        <f>IF('AYIRA MINI MART FINAL MENU - Pr'!K896="", "", 'AYIRA MINI MART FINAL MENU - Pr'!K896)</f>
        <v/>
      </c>
      <c r="L896" s="56" t="str">
        <f>IF('AYIRA MINI MART FINAL MENU - Pr'!L896="", "", 'AYIRA MINI MART FINAL MENU - Pr'!L896)</f>
        <v/>
      </c>
      <c r="M896" s="56" t="str">
        <f>IF('AYIRA MINI MART FINAL MENU - Pr'!M896="", "", 'AYIRA MINI MART FINAL MENU - Pr'!M896)</f>
        <v/>
      </c>
      <c r="N896" s="56" t="str">
        <f>IF('AYIRA MINI MART FINAL MENU - Pr'!N896="", "", 'AYIRA MINI MART FINAL MENU - Pr'!N896)</f>
        <v/>
      </c>
      <c r="O896" s="57"/>
      <c r="P896" s="57"/>
      <c r="Q896" s="57"/>
      <c r="R896" s="57"/>
      <c r="S896" s="57"/>
      <c r="T896" s="57"/>
      <c r="U896" s="57"/>
      <c r="V896" s="57"/>
      <c r="W896" s="57"/>
      <c r="X896" s="57"/>
      <c r="Y896" s="57"/>
      <c r="Z896" s="57"/>
    </row>
    <row r="897">
      <c r="A897" s="56" t="str">
        <f>IFERROR(__xludf.DUMMYFUNCTION("IF('AYIRA MINI MART FINAL MENU - Pr'!A897="""", """", IF(LEN(TRIM(REGEXREPLACE(REGEXREPLACE('AYIRA MINI MART FINAL MENU - Pr'!A897, ""^[^\x{0600}-\x{06FF}]+"", """"), ""^[-–\s]+"", """")))&gt;0, TRIM(REGEXREPLACE(REGEXREPLACE('AYIRA MINI MART FINAL MENU - Pr"&amp;"'!A897, ""^[^\x{0600}-\x{06FF}]+"", """"), ""^[-–\s]+"", """")), GOOGLETRANSLATE('AYIRA MINI MART FINAL MENU - Pr'!A897, ""en"", ""ar"")))"),"أبيض Marshmallow 100 غرام")</f>
        <v>أبيض Marshmallow 100 غرام</v>
      </c>
      <c r="B897" s="56" t="str">
        <f>IFERROR(__xludf.DUMMYFUNCTION("IF('AYIRA MINI MART FINAL MENU - Pr'!B897="""", """", IF(LEN(TRIM(REGEXREPLACE(REGEXREPLACE('AYIRA MINI MART FINAL MENU - Pr'!B897, ""^[^\x{0600}-\x{06FF}]+"", """"), ""^[-–\s]+"", """")))&gt;0, TRIM(REGEXREPLACE(REGEXREPLACE('AYIRA MINI MART FINAL MENU - Pr"&amp;"'!B897, ""^[^\x{0600}-\x{06FF}]+"", """"), ""^[-–\s]+"", """")), GOOGLETRANSLATE('AYIRA MINI MART FINAL MENU - Pr'!B897, ""en"", ""ar"")))"),"الحلوى 🍬")</f>
        <v>الحلوى 🍬</v>
      </c>
      <c r="C897" s="58">
        <f>IF('AYIRA MINI MART FINAL MENU - Pr'!C897="", "", 'AYIRA MINI MART FINAL MENU - Pr'!C897)</f>
        <v>10</v>
      </c>
      <c r="D897" s="58" t="str">
        <f>IF('AYIRA MINI MART FINAL MENU - Pr'!D897="", "", 'AYIRA MINI MART FINAL MENU - Pr'!D897)</f>
        <v>لا تقاوم طعم مارس،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897" s="56" t="str">
        <f>IF('AYIRA MINI MART FINAL MENU - Pr'!E897="", "", 'AYIRA MINI MART FINAL MENU - Pr'!E897)</f>
        <v/>
      </c>
      <c r="F897" s="56" t="str">
        <f>IF('AYIRA MINI MART FINAL MENU - Pr'!F897="", "", 'AYIRA MINI MART FINAL MENU - Pr'!F897)</f>
        <v/>
      </c>
      <c r="G897" s="56" t="str">
        <f>IF('AYIRA MINI MART FINAL MENU - Pr'!G897="", "", 'AYIRA MINI MART FINAL MENU - Pr'!G897)</f>
        <v/>
      </c>
      <c r="H897" s="56" t="str">
        <f>IF('AYIRA MINI MART FINAL MENU - Pr'!H897="", "", 'AYIRA MINI MART FINAL MENU - Pr'!H897)</f>
        <v/>
      </c>
      <c r="I897" s="56" t="str">
        <f>IF('AYIRA MINI MART FINAL MENU - Pr'!I897="", "", 'AYIRA MINI MART FINAL MENU - Pr'!I897)</f>
        <v/>
      </c>
      <c r="J897" s="56" t="str">
        <f>IFERROR(__xludf.DUMMYFUNCTION("IF('AYIRA MINI MART FINAL MENU - Pr'!J897="""", """", GOOGLETRANSLATE('AYIRA MINI MART FINAL MENU - Pr'!J897, ""en"", ""ar""))"),"")</f>
        <v/>
      </c>
      <c r="K897" s="56" t="str">
        <f>IF('AYIRA MINI MART FINAL MENU - Pr'!K897="", "", 'AYIRA MINI MART FINAL MENU - Pr'!K897)</f>
        <v/>
      </c>
      <c r="L897" s="56" t="str">
        <f>IF('AYIRA MINI MART FINAL MENU - Pr'!L897="", "", 'AYIRA MINI MART FINAL MENU - Pr'!L897)</f>
        <v/>
      </c>
      <c r="M897" s="56" t="str">
        <f>IF('AYIRA MINI MART FINAL MENU - Pr'!M897="", "", 'AYIRA MINI MART FINAL MENU - Pr'!M897)</f>
        <v/>
      </c>
      <c r="N897" s="56" t="str">
        <f>IF('AYIRA MINI MART FINAL MENU - Pr'!N897="", "", 'AYIRA MINI MART FINAL MENU - Pr'!N897)</f>
        <v/>
      </c>
      <c r="O897" s="57"/>
      <c r="P897" s="57"/>
      <c r="Q897" s="57"/>
      <c r="R897" s="57"/>
      <c r="S897" s="57"/>
      <c r="T897" s="57"/>
      <c r="U897" s="57"/>
      <c r="V897" s="57"/>
      <c r="W897" s="57"/>
      <c r="X897" s="57"/>
      <c r="Y897" s="57"/>
      <c r="Z897" s="57"/>
    </row>
    <row r="898">
      <c r="A898" s="56" t="str">
        <f>IFERROR(__xludf.DUMMYFUNCTION("IF('AYIRA MINI MART FINAL MENU - Pr'!A898="""", """", IF(LEN(TRIM(REGEXREPLACE(REGEXREPLACE('AYIRA MINI MART FINAL MENU - Pr'!A898, ""^[^\x{0600}-\x{06FF}]+"", """"), ""^[-–\s]+"", """")))&gt;0, TRIM(REGEXREPLACE(REGEXREPLACE('AYIRA MINI MART FINAL MENU - Pr"&amp;"'!A898, ""^[^\x{0600}-\x{06FF}]+"", """"), ""^[-–\s]+"", """")), GOOGLETRANSLATE('AYIRA MINI MART FINAL MENU - Pr'!A898, ""en"", ""ar"")))"),"يوبي برغر حلوى جيلي")</f>
        <v>يوبي برغر حلوى جيلي</v>
      </c>
      <c r="B898" s="56" t="str">
        <f>IFERROR(__xludf.DUMMYFUNCTION("IF('AYIRA MINI MART FINAL MENU - Pr'!B898="""", """", IF(LEN(TRIM(REGEXREPLACE(REGEXREPLACE('AYIRA MINI MART FINAL MENU - Pr'!B898, ""^[^\x{0600}-\x{06FF}]+"", """"), ""^[-–\s]+"", """")))&gt;0, TRIM(REGEXREPLACE(REGEXREPLACE('AYIRA MINI MART FINAL MENU - Pr"&amp;"'!B898, ""^[^\x{0600}-\x{06FF}]+"", """"), ""^[-–\s]+"", """")), GOOGLETRANSLATE('AYIRA MINI MART FINAL MENU - Pr'!B898, ""en"", ""ar"")))"),"الحلوى 🍬")</f>
        <v>الحلوى 🍬</v>
      </c>
      <c r="C898" s="58">
        <f>IF('AYIRA MINI MART FINAL MENU - Pr'!C898="", "", 'AYIRA MINI MART FINAL MENU - Pr'!C898)</f>
        <v>10</v>
      </c>
      <c r="D898" s="58" t="str">
        <f>IF('AYIRA MINI MART FINAL MENU - Pr'!D898="", "", 'AYIRA MINI MART FINAL MENU - Pr'!D898)</f>
        <v>استمتع بـ Yupi Burger Gummy Candy،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898" s="56" t="str">
        <f>IF('AYIRA MINI MART FINAL MENU - Pr'!E898="", "", 'AYIRA MINI MART FINAL MENU - Pr'!E898)</f>
        <v/>
      </c>
      <c r="F898" s="56" t="str">
        <f>IF('AYIRA MINI MART FINAL MENU - Pr'!F898="", "", 'AYIRA MINI MART FINAL MENU - Pr'!F898)</f>
        <v/>
      </c>
      <c r="G898" s="56" t="str">
        <f>IF('AYIRA MINI MART FINAL MENU - Pr'!G898="", "", 'AYIRA MINI MART FINAL MENU - Pr'!G898)</f>
        <v/>
      </c>
      <c r="H898" s="56" t="str">
        <f>IF('AYIRA MINI MART FINAL MENU - Pr'!H898="", "", 'AYIRA MINI MART FINAL MENU - Pr'!H898)</f>
        <v/>
      </c>
      <c r="I898" s="56" t="str">
        <f>IF('AYIRA MINI MART FINAL MENU - Pr'!I898="", "", 'AYIRA MINI MART FINAL MENU - Pr'!I898)</f>
        <v/>
      </c>
      <c r="J898" s="56" t="str">
        <f>IFERROR(__xludf.DUMMYFUNCTION("IF('AYIRA MINI MART FINAL MENU - Pr'!J898="""", """", GOOGLETRANSLATE('AYIRA MINI MART FINAL MENU - Pr'!J898, ""en"", ""ar""))"),"")</f>
        <v/>
      </c>
      <c r="K898" s="56" t="str">
        <f>IF('AYIRA MINI MART FINAL MENU - Pr'!K898="", "", 'AYIRA MINI MART FINAL MENU - Pr'!K898)</f>
        <v/>
      </c>
      <c r="L898" s="56" t="str">
        <f>IF('AYIRA MINI MART FINAL MENU - Pr'!L898="", "", 'AYIRA MINI MART FINAL MENU - Pr'!L898)</f>
        <v/>
      </c>
      <c r="M898" s="56" t="str">
        <f>IF('AYIRA MINI MART FINAL MENU - Pr'!M898="", "", 'AYIRA MINI MART FINAL MENU - Pr'!M898)</f>
        <v/>
      </c>
      <c r="N898" s="56" t="str">
        <f>IF('AYIRA MINI MART FINAL MENU - Pr'!N898="", "", 'AYIRA MINI MART FINAL MENU - Pr'!N898)</f>
        <v/>
      </c>
      <c r="O898" s="57"/>
      <c r="P898" s="57"/>
      <c r="Q898" s="57"/>
      <c r="R898" s="57"/>
      <c r="S898" s="57"/>
      <c r="T898" s="57"/>
      <c r="U898" s="57"/>
      <c r="V898" s="57"/>
      <c r="W898" s="57"/>
      <c r="X898" s="57"/>
      <c r="Y898" s="57"/>
      <c r="Z898" s="57"/>
    </row>
    <row r="899">
      <c r="A899" s="56" t="str">
        <f>IFERROR(__xludf.DUMMYFUNCTION("IF('AYIRA MINI MART FINAL MENU - Pr'!A899="""", """", IF(LEN(TRIM(REGEXREPLACE(REGEXREPLACE('AYIRA MINI MART FINAL MENU - Pr'!A899, ""^[^\x{0600}-\x{06FF}]+"", """"), ""^[-–\s]+"", """")))&gt;0, TRIM(REGEXREPLACE(REGEXREPLACE('AYIRA MINI MART FINAL MENU - Pr"&amp;"'!A899, ""^[^\x{0600}-\x{06FF}]+"", """"), ""^[-–\s]+"", """")), GOOGLETRANSLATE('AYIRA MINI MART FINAL MENU - Pr'!A899, ""en"", ""ar"")))"),"يوبي غامي بيتزا")</f>
        <v>يوبي غامي بيتزا</v>
      </c>
      <c r="B899" s="56" t="str">
        <f>IFERROR(__xludf.DUMMYFUNCTION("IF('AYIRA MINI MART FINAL MENU - Pr'!B899="""", """", IF(LEN(TRIM(REGEXREPLACE(REGEXREPLACE('AYIRA MINI MART FINAL MENU - Pr'!B899, ""^[^\x{0600}-\x{06FF}]+"", """"), ""^[-–\s]+"", """")))&gt;0, TRIM(REGEXREPLACE(REGEXREPLACE('AYIRA MINI MART FINAL MENU - Pr"&amp;"'!B899, ""^[^\x{0600}-\x{06FF}]+"", """"), ""^[-–\s]+"", """")), GOOGLETRANSLATE('AYIRA MINI MART FINAL MENU - Pr'!B899, ""en"", ""ar"")))"),"الحلوى 🍬")</f>
        <v>الحلوى 🍬</v>
      </c>
      <c r="C899" s="58">
        <f>IF('AYIRA MINI MART FINAL MENU - Pr'!C899="", "", 'AYIRA MINI MART FINAL MENU - Pr'!C899)</f>
        <v>10</v>
      </c>
      <c r="D899" s="58" t="str">
        <f>IF('AYIRA MINI MART FINAL MENU - Pr'!D899="", "", 'AYIRA MINI MART FINAL MENU - Pr'!D899)</f>
        <v>استمتع بـ Yupi Gummi Pizza،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899" s="56" t="str">
        <f>IF('AYIRA MINI MART FINAL MENU - Pr'!E899="", "", 'AYIRA MINI MART FINAL MENU - Pr'!E899)</f>
        <v/>
      </c>
      <c r="F899" s="56" t="str">
        <f>IF('AYIRA MINI MART FINAL MENU - Pr'!F899="", "", 'AYIRA MINI MART FINAL MENU - Pr'!F899)</f>
        <v/>
      </c>
      <c r="G899" s="56" t="str">
        <f>IF('AYIRA MINI MART FINAL MENU - Pr'!G899="", "", 'AYIRA MINI MART FINAL MENU - Pr'!G899)</f>
        <v/>
      </c>
      <c r="H899" s="56" t="str">
        <f>IF('AYIRA MINI MART FINAL MENU - Pr'!H899="", "", 'AYIRA MINI MART FINAL MENU - Pr'!H899)</f>
        <v/>
      </c>
      <c r="I899" s="56" t="str">
        <f>IF('AYIRA MINI MART FINAL MENU - Pr'!I899="", "", 'AYIRA MINI MART FINAL MENU - Pr'!I899)</f>
        <v/>
      </c>
      <c r="J899" s="56" t="str">
        <f>IFERROR(__xludf.DUMMYFUNCTION("IF('AYIRA MINI MART FINAL MENU - Pr'!J899="""", """", GOOGLETRANSLATE('AYIRA MINI MART FINAL MENU - Pr'!J899, ""en"", ""ar""))"),"")</f>
        <v/>
      </c>
      <c r="K899" s="56" t="str">
        <f>IF('AYIRA MINI MART FINAL MENU - Pr'!K899="", "", 'AYIRA MINI MART FINAL MENU - Pr'!K899)</f>
        <v/>
      </c>
      <c r="L899" s="56" t="str">
        <f>IF('AYIRA MINI MART FINAL MENU - Pr'!L899="", "", 'AYIRA MINI MART FINAL MENU - Pr'!L899)</f>
        <v/>
      </c>
      <c r="M899" s="56" t="str">
        <f>IF('AYIRA MINI MART FINAL MENU - Pr'!M899="", "", 'AYIRA MINI MART FINAL MENU - Pr'!M899)</f>
        <v/>
      </c>
      <c r="N899" s="56" t="str">
        <f>IF('AYIRA MINI MART FINAL MENU - Pr'!N899="", "", 'AYIRA MINI MART FINAL MENU - Pr'!N899)</f>
        <v/>
      </c>
      <c r="O899" s="57"/>
      <c r="P899" s="57"/>
      <c r="Q899" s="57"/>
      <c r="R899" s="57"/>
      <c r="S899" s="57"/>
      <c r="T899" s="57"/>
      <c r="U899" s="57"/>
      <c r="V899" s="57"/>
      <c r="W899" s="57"/>
      <c r="X899" s="57"/>
      <c r="Y899" s="57"/>
      <c r="Z899" s="57"/>
    </row>
    <row r="900">
      <c r="A900" s="56" t="str">
        <f>IFERROR(__xludf.DUMMYFUNCTION("IF('AYIRA MINI MART FINAL MENU - Pr'!A900="""", """", IF(LEN(TRIM(REGEXREPLACE(REGEXREPLACE('AYIRA MINI MART FINAL MENU - Pr'!A900, ""^[^\x{0600}-\x{06FF}]+"", """"), ""^[-–\s]+"", """")))&gt;0, TRIM(REGEXREPLACE(REGEXREPLACE('AYIRA MINI MART FINAL MENU - Pr"&amp;"'!A900, ""^[^\x{0600}-\x{06FF}]+"", """"), ""^[-–\s]+"", """")), GOOGLETRANSLATE('AYIRA MINI MART FINAL MENU - Pr'!A900, ""en"", ""ar"")))"),"لعبة الدجاجة المطاطية كيدي تويز")</f>
        <v>لعبة الدجاجة المطاطية كيدي تويز</v>
      </c>
      <c r="B900" s="56" t="str">
        <f>IFERROR(__xludf.DUMMYFUNCTION("IF('AYIRA MINI MART FINAL MENU - Pr'!B900="""", """", IF(LEN(TRIM(REGEXREPLACE(REGEXREPLACE('AYIRA MINI MART FINAL MENU - Pr'!B900, ""^[^\x{0600}-\x{06FF}]+"", """"), ""^[-–\s]+"", """")))&gt;0, TRIM(REGEXREPLACE(REGEXREPLACE('AYIRA MINI MART FINAL MENU - Pr"&amp;"'!B900, ""^[^\x{0600}-\x{06FF}]+"", """"), ""^[-–\s]+"", """")), GOOGLETRANSLATE('AYIRA MINI MART FINAL MENU - Pr'!B900, ""en"", ""ar"")))"),"الحلوى 🍬")</f>
        <v>الحلوى 🍬</v>
      </c>
      <c r="C900" s="58">
        <f>IF('AYIRA MINI MART FINAL MENU - Pr'!C900="", "", 'AYIRA MINI MART FINAL MENU - Pr'!C900)</f>
        <v>9</v>
      </c>
      <c r="D900" s="58" t="str">
        <f>IF('AYIRA MINI MART FINAL MENU - Pr'!D900="", "", 'AYIRA MINI MART FINAL MENU - Pr'!D900)</f>
        <v>لا تقاوم طعم Kiddy Toys Rubber Chicken Toy،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00" s="56" t="str">
        <f>IF('AYIRA MINI MART FINAL MENU - Pr'!E900="", "", 'AYIRA MINI MART FINAL MENU - Pr'!E900)</f>
        <v/>
      </c>
      <c r="F900" s="56" t="str">
        <f>IF('AYIRA MINI MART FINAL MENU - Pr'!F900="", "", 'AYIRA MINI MART FINAL MENU - Pr'!F900)</f>
        <v/>
      </c>
      <c r="G900" s="56" t="str">
        <f>IF('AYIRA MINI MART FINAL MENU - Pr'!G900="", "", 'AYIRA MINI MART FINAL MENU - Pr'!G900)</f>
        <v/>
      </c>
      <c r="H900" s="56" t="str">
        <f>IF('AYIRA MINI MART FINAL MENU - Pr'!H900="", "", 'AYIRA MINI MART FINAL MENU - Pr'!H900)</f>
        <v/>
      </c>
      <c r="I900" s="56" t="str">
        <f>IF('AYIRA MINI MART FINAL MENU - Pr'!I900="", "", 'AYIRA MINI MART FINAL MENU - Pr'!I900)</f>
        <v/>
      </c>
      <c r="J900" s="56" t="str">
        <f>IFERROR(__xludf.DUMMYFUNCTION("IF('AYIRA MINI MART FINAL MENU - Pr'!J900="""", """", GOOGLETRANSLATE('AYIRA MINI MART FINAL MENU - Pr'!J900, ""en"", ""ar""))"),"")</f>
        <v/>
      </c>
      <c r="K900" s="56" t="str">
        <f>IF('AYIRA MINI MART FINAL MENU - Pr'!K900="", "", 'AYIRA MINI MART FINAL MENU - Pr'!K900)</f>
        <v/>
      </c>
      <c r="L900" s="56" t="str">
        <f>IF('AYIRA MINI MART FINAL MENU - Pr'!L900="", "", 'AYIRA MINI MART FINAL MENU - Pr'!L900)</f>
        <v/>
      </c>
      <c r="M900" s="56" t="str">
        <f>IF('AYIRA MINI MART FINAL MENU - Pr'!M900="", "", 'AYIRA MINI MART FINAL MENU - Pr'!M900)</f>
        <v/>
      </c>
      <c r="N900" s="56" t="str">
        <f>IF('AYIRA MINI MART FINAL MENU - Pr'!N900="", "", 'AYIRA MINI MART FINAL MENU - Pr'!N900)</f>
        <v/>
      </c>
      <c r="O900" s="57"/>
      <c r="P900" s="57"/>
      <c r="Q900" s="57"/>
      <c r="R900" s="57"/>
      <c r="S900" s="57"/>
      <c r="T900" s="57"/>
      <c r="U900" s="57"/>
      <c r="V900" s="57"/>
      <c r="W900" s="57"/>
      <c r="X900" s="57"/>
      <c r="Y900" s="57"/>
      <c r="Z900" s="57"/>
    </row>
    <row r="901">
      <c r="A901" s="56" t="str">
        <f>IFERROR(__xludf.DUMMYFUNCTION("IF('AYIRA MINI MART FINAL MENU - Pr'!A901="""", """", IF(LEN(TRIM(REGEXREPLACE(REGEXREPLACE('AYIRA MINI MART FINAL MENU - Pr'!A901, ""^[^\x{0600}-\x{06FF}]+"", """"), ""^[-–\s]+"", """")))&gt;0, TRIM(REGEXREPLACE(REGEXREPLACE('AYIRA MINI MART FINAL MENU - Pr"&amp;"'!A901, ""^[^\x{0600}-\x{06FF}]+"", """"), ""^[-–\s]+"", """")), GOOGLETRANSLATE('AYIRA MINI MART FINAL MENU - Pr'!A901, ""en"", ""ar"")))"),"كيندر Bueno شوكولاتة قطعة 43 غرام")</f>
        <v>كيندر Bueno شوكولاتة قطعة 43 غرام</v>
      </c>
      <c r="B901" s="56" t="str">
        <f>IFERROR(__xludf.DUMMYFUNCTION("IF('AYIRA MINI MART FINAL MENU - Pr'!B901="""", """", IF(LEN(TRIM(REGEXREPLACE(REGEXREPLACE('AYIRA MINI MART FINAL MENU - Pr'!B901, ""^[^\x{0600}-\x{06FF}]+"", """"), ""^[-–\s]+"", """")))&gt;0, TRIM(REGEXREPLACE(REGEXREPLACE('AYIRA MINI MART FINAL MENU - Pr"&amp;"'!B901, ""^[^\x{0600}-\x{06FF}]+"", """"), ""^[-–\s]+"", """")), GOOGLETRANSLATE('AYIRA MINI MART FINAL MENU - Pr'!B901, ""en"", ""ar"")))"),"الشوكولاتة")</f>
        <v>الشوكولاتة</v>
      </c>
      <c r="C901" s="58">
        <f>IF('AYIRA MINI MART FINAL MENU - Pr'!C901="", "", 'AYIRA MINI MART FINAL MENU - Pr'!C901)</f>
        <v>3.5</v>
      </c>
      <c r="D901" s="58" t="str">
        <f>IF('AYIRA MINI MART FINAL MENU - Pr'!D901="", "", 'AYIRA MINI MART FINAL MENU - Pr'!D901)</f>
        <v>دلّل حواسك مع كيندر،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01" s="56" t="str">
        <f>IF('AYIRA MINI MART FINAL MENU - Pr'!E901="", "", 'AYIRA MINI MART FINAL MENU - Pr'!E901)</f>
        <v/>
      </c>
      <c r="F901" s="56" t="str">
        <f>IF('AYIRA MINI MART FINAL MENU - Pr'!F901="", "", 'AYIRA MINI MART FINAL MENU - Pr'!F901)</f>
        <v/>
      </c>
      <c r="G901" s="56" t="str">
        <f>IF('AYIRA MINI MART FINAL MENU - Pr'!G901="", "", 'AYIRA MINI MART FINAL MENU - Pr'!G901)</f>
        <v/>
      </c>
      <c r="H901" s="56" t="str">
        <f>IF('AYIRA MINI MART FINAL MENU - Pr'!H901="", "", 'AYIRA MINI MART FINAL MENU - Pr'!H901)</f>
        <v/>
      </c>
      <c r="I901" s="56" t="str">
        <f>IF('AYIRA MINI MART FINAL MENU - Pr'!I901="", "", 'AYIRA MINI MART FINAL MENU - Pr'!I901)</f>
        <v/>
      </c>
      <c r="J901" s="56" t="str">
        <f>IFERROR(__xludf.DUMMYFUNCTION("IF('AYIRA MINI MART FINAL MENU - Pr'!J901="""", """", GOOGLETRANSLATE('AYIRA MINI MART FINAL MENU - Pr'!J901, ""en"", ""ar""))"),"")</f>
        <v/>
      </c>
      <c r="K901" s="56" t="str">
        <f>IF('AYIRA MINI MART FINAL MENU - Pr'!K901="", "", 'AYIRA MINI MART FINAL MENU - Pr'!K901)</f>
        <v/>
      </c>
      <c r="L901" s="56" t="str">
        <f>IF('AYIRA MINI MART FINAL MENU - Pr'!L901="", "", 'AYIRA MINI MART FINAL MENU - Pr'!L901)</f>
        <v/>
      </c>
      <c r="M901" s="56" t="str">
        <f>IF('AYIRA MINI MART FINAL MENU - Pr'!M901="", "", 'AYIRA MINI MART FINAL MENU - Pr'!M901)</f>
        <v/>
      </c>
      <c r="N901" s="56" t="str">
        <f>IF('AYIRA MINI MART FINAL MENU - Pr'!N901="", "", 'AYIRA MINI MART FINAL MENU - Pr'!N901)</f>
        <v/>
      </c>
      <c r="O901" s="57"/>
      <c r="P901" s="57"/>
      <c r="Q901" s="57"/>
      <c r="R901" s="57"/>
      <c r="S901" s="57"/>
      <c r="T901" s="57"/>
      <c r="U901" s="57"/>
      <c r="V901" s="57"/>
      <c r="W901" s="57"/>
      <c r="X901" s="57"/>
      <c r="Y901" s="57"/>
      <c r="Z901" s="57"/>
    </row>
    <row r="902">
      <c r="A902" s="56" t="str">
        <f>IFERROR(__xludf.DUMMYFUNCTION("IF('AYIRA MINI MART FINAL MENU - Pr'!A902="""", """", IF(LEN(TRIM(REGEXREPLACE(REGEXREPLACE('AYIRA MINI MART FINAL MENU - Pr'!A902, ""^[^\x{0600}-\x{06FF}]+"", """"), ""^[-–\s]+"", """")))&gt;0, TRIM(REGEXREPLACE(REGEXREPLACE('AYIRA MINI MART FINAL MENU - Pr"&amp;"'!A902, ""^[^\x{0600}-\x{06FF}]+"", """"), ""^[-–\s]+"", """")), GOOGLETRANSLATE('AYIRA MINI MART FINAL MENU - Pr'!A902, ""en"", ""ar"")))"),"حليب شوكولاتة Coated بسكويت")</f>
        <v>حليب شوكولاتة Coated بسكويت</v>
      </c>
      <c r="B902" s="56" t="str">
        <f>IFERROR(__xludf.DUMMYFUNCTION("IF('AYIRA MINI MART FINAL MENU - Pr'!B902="""", """", IF(LEN(TRIM(REGEXREPLACE(REGEXREPLACE('AYIRA MINI MART FINAL MENU - Pr'!B902, ""^[^\x{0600}-\x{06FF}]+"", """"), ""^[-–\s]+"", """")))&gt;0, TRIM(REGEXREPLACE(REGEXREPLACE('AYIRA MINI MART FINAL MENU - Pr"&amp;"'!B902, ""^[^\x{0600}-\x{06FF}]+"", """"), ""^[-–\s]+"", """")), GOOGLETRANSLATE('AYIRA MINI MART FINAL MENU - Pr'!B902, ""en"", ""ar"")))"),"الشوكولاتة")</f>
        <v>الشوكولاتة</v>
      </c>
      <c r="C902" s="58">
        <f>IF('AYIRA MINI MART FINAL MENU - Pr'!C902="", "", 'AYIRA MINI MART FINAL MENU - Pr'!C902)</f>
        <v>2.5</v>
      </c>
      <c r="D902" s="58" t="str">
        <f>IF('AYIRA MINI MART FINAL MENU - Pr'!D902="", "", 'AYIRA MINI MART FINAL MENU - Pr'!D902)</f>
        <v>دلّل حواسك مع Ülker Halley Milk Chocolate Coated Biscuit،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02" s="56" t="str">
        <f>IF('AYIRA MINI MART FINAL MENU - Pr'!E902="", "", 'AYIRA MINI MART FINAL MENU - Pr'!E902)</f>
        <v/>
      </c>
      <c r="F902" s="56" t="str">
        <f>IF('AYIRA MINI MART FINAL MENU - Pr'!F902="", "", 'AYIRA MINI MART FINAL MENU - Pr'!F902)</f>
        <v/>
      </c>
      <c r="G902" s="56" t="str">
        <f>IF('AYIRA MINI MART FINAL MENU - Pr'!G902="", "", 'AYIRA MINI MART FINAL MENU - Pr'!G902)</f>
        <v/>
      </c>
      <c r="H902" s="56" t="str">
        <f>IF('AYIRA MINI MART FINAL MENU - Pr'!H902="", "", 'AYIRA MINI MART FINAL MENU - Pr'!H902)</f>
        <v/>
      </c>
      <c r="I902" s="56" t="str">
        <f>IF('AYIRA MINI MART FINAL MENU - Pr'!I902="", "", 'AYIRA MINI MART FINAL MENU - Pr'!I902)</f>
        <v/>
      </c>
      <c r="J902" s="56" t="str">
        <f>IFERROR(__xludf.DUMMYFUNCTION("IF('AYIRA MINI MART FINAL MENU - Pr'!J902="""", """", GOOGLETRANSLATE('AYIRA MINI MART FINAL MENU - Pr'!J902, ""en"", ""ar""))"),"")</f>
        <v/>
      </c>
      <c r="K902" s="56" t="str">
        <f>IF('AYIRA MINI MART FINAL MENU - Pr'!K902="", "", 'AYIRA MINI MART FINAL MENU - Pr'!K902)</f>
        <v/>
      </c>
      <c r="L902" s="56" t="str">
        <f>IF('AYIRA MINI MART FINAL MENU - Pr'!L902="", "", 'AYIRA MINI MART FINAL MENU - Pr'!L902)</f>
        <v/>
      </c>
      <c r="M902" s="56" t="str">
        <f>IF('AYIRA MINI MART FINAL MENU - Pr'!M902="", "", 'AYIRA MINI MART FINAL MENU - Pr'!M902)</f>
        <v/>
      </c>
      <c r="N902" s="56" t="str">
        <f>IF('AYIRA MINI MART FINAL MENU - Pr'!N902="", "", 'AYIRA MINI MART FINAL MENU - Pr'!N902)</f>
        <v/>
      </c>
      <c r="O902" s="57"/>
      <c r="P902" s="57"/>
      <c r="Q902" s="57"/>
      <c r="R902" s="57"/>
      <c r="S902" s="57"/>
      <c r="T902" s="57"/>
      <c r="U902" s="57"/>
      <c r="V902" s="57"/>
      <c r="W902" s="57"/>
      <c r="X902" s="57"/>
      <c r="Y902" s="57"/>
      <c r="Z902" s="57"/>
    </row>
    <row r="903">
      <c r="A903" s="56" t="str">
        <f>IFERROR(__xludf.DUMMYFUNCTION("IF('AYIRA MINI MART FINAL MENU - Pr'!A903="""", """", IF(LEN(TRIM(REGEXREPLACE(REGEXREPLACE('AYIRA MINI MART FINAL MENU - Pr'!A903, ""^[^\x{0600}-\x{06FF}]+"", """"), ""^[-–\s]+"", """")))&gt;0, TRIM(REGEXREPLACE(REGEXREPLACE('AYIRA MINI MART FINAL MENU - Pr"&amp;"'!A903, ""^[^\x{0600}-\x{06FF}]+"", """"), ""^[-–\s]+"", """")), GOOGLETRANSLATE('AYIRA MINI MART FINAL MENU - Pr'!A903, ""en"", ""ar"")))"),"فستق &amp; شوفان Cookies 42 غرام")</f>
        <v>فستق &amp; شوفان Cookies 42 غرام</v>
      </c>
      <c r="B903" s="56" t="str">
        <f>IFERROR(__xludf.DUMMYFUNCTION("IF('AYIRA MINI MART FINAL MENU - Pr'!B903="""", """", IF(LEN(TRIM(REGEXREPLACE(REGEXREPLACE('AYIRA MINI MART FINAL MENU - Pr'!B903, ""^[^\x{0600}-\x{06FF}]+"", """"), ""^[-–\s]+"", """")))&gt;0, TRIM(REGEXREPLACE(REGEXREPLACE('AYIRA MINI MART FINAL MENU - Pr"&amp;"'!B903, ""^[^\x{0600}-\x{06FF}]+"", """"), ""^[-–\s]+"", """")), GOOGLETRANSLATE('AYIRA MINI MART FINAL MENU - Pr'!B903, ""en"", ""ar"")))"),"بسكويت 🍪")</f>
        <v>بسكويت 🍪</v>
      </c>
      <c r="C903" s="58">
        <f>IF('AYIRA MINI MART FINAL MENU - Pr'!C903="", "", 'AYIRA MINI MART FINAL MENU - Pr'!C903)</f>
        <v>2</v>
      </c>
      <c r="D903" s="58" t="str">
        <f>IF('AYIRA MINI MART FINAL MENU - Pr'!D903="", "", 'AYIRA MINI MART FINAL MENU - Pr'!D903)</f>
        <v>اختر Relish Cashew, Pistachio &amp; Oats Cookies 42 g،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903" s="56" t="str">
        <f>IF('AYIRA MINI MART FINAL MENU - Pr'!E903="", "", 'AYIRA MINI MART FINAL MENU - Pr'!E903)</f>
        <v/>
      </c>
      <c r="F903" s="56" t="str">
        <f>IF('AYIRA MINI MART FINAL MENU - Pr'!F903="", "", 'AYIRA MINI MART FINAL MENU - Pr'!F903)</f>
        <v/>
      </c>
      <c r="G903" s="56" t="str">
        <f>IF('AYIRA MINI MART FINAL MENU - Pr'!G903="", "", 'AYIRA MINI MART FINAL MENU - Pr'!G903)</f>
        <v/>
      </c>
      <c r="H903" s="56" t="str">
        <f>IF('AYIRA MINI MART FINAL MENU - Pr'!H903="", "", 'AYIRA MINI MART FINAL MENU - Pr'!H903)</f>
        <v/>
      </c>
      <c r="I903" s="56" t="str">
        <f>IF('AYIRA MINI MART FINAL MENU - Pr'!I903="", "", 'AYIRA MINI MART FINAL MENU - Pr'!I903)</f>
        <v/>
      </c>
      <c r="J903" s="56" t="str">
        <f>IFERROR(__xludf.DUMMYFUNCTION("IF('AYIRA MINI MART FINAL MENU - Pr'!J903="""", """", GOOGLETRANSLATE('AYIRA MINI MART FINAL MENU - Pr'!J903, ""en"", ""ar""))"),"")</f>
        <v/>
      </c>
      <c r="K903" s="56" t="str">
        <f>IF('AYIRA MINI MART FINAL MENU - Pr'!K903="", "", 'AYIRA MINI MART FINAL MENU - Pr'!K903)</f>
        <v/>
      </c>
      <c r="L903" s="56" t="str">
        <f>IF('AYIRA MINI MART FINAL MENU - Pr'!L903="", "", 'AYIRA MINI MART FINAL MENU - Pr'!L903)</f>
        <v/>
      </c>
      <c r="M903" s="56" t="str">
        <f>IF('AYIRA MINI MART FINAL MENU - Pr'!M903="", "", 'AYIRA MINI MART FINAL MENU - Pr'!M903)</f>
        <v/>
      </c>
      <c r="N903" s="56" t="str">
        <f>IF('AYIRA MINI MART FINAL MENU - Pr'!N903="", "", 'AYIRA MINI MART FINAL MENU - Pr'!N903)</f>
        <v/>
      </c>
      <c r="O903" s="57"/>
      <c r="P903" s="57"/>
      <c r="Q903" s="57"/>
      <c r="R903" s="57"/>
      <c r="S903" s="57"/>
      <c r="T903" s="57"/>
      <c r="U903" s="57"/>
      <c r="V903" s="57"/>
      <c r="W903" s="57"/>
      <c r="X903" s="57"/>
      <c r="Y903" s="57"/>
      <c r="Z903" s="57"/>
    </row>
    <row r="904">
      <c r="A904" s="56" t="str">
        <f>IFERROR(__xludf.DUMMYFUNCTION("IF('AYIRA MINI MART FINAL MENU - Pr'!A904="""", """", IF(LEN(TRIM(REGEXREPLACE(REGEXREPLACE('AYIRA MINI MART FINAL MENU - Pr'!A904, ""^[^\x{0600}-\x{06FF}]+"", """"), ""^[-–\s]+"", """")))&gt;0, TRIM(REGEXREPLACE(REGEXREPLACE('AYIRA MINI MART FINAL MENU - Pr"&amp;"'!A904, ""^[^\x{0600}-\x{06FF}]+"", """"), ""^[-–\s]+"", """")), GOOGLETRANSLATE('AYIRA MINI MART FINAL MENU - Pr'!A904, ""en"", ""ar"")))"),"شوكولاتة قطعة 72 غرام")</f>
        <v>شوكولاتة قطعة 72 غرام</v>
      </c>
      <c r="B904" s="56" t="str">
        <f>IFERROR(__xludf.DUMMYFUNCTION("IF('AYIRA MINI MART FINAL MENU - Pr'!B904="""", """", IF(LEN(TRIM(REGEXREPLACE(REGEXREPLACE('AYIRA MINI MART FINAL MENU - Pr'!B904, ""^[^\x{0600}-\x{06FF}]+"", """"), ""^[-–\s]+"", """")))&gt;0, TRIM(REGEXREPLACE(REGEXREPLACE('AYIRA MINI MART FINAL MENU - Pr"&amp;"'!B904, ""^[^\x{0600}-\x{06FF}]+"", """"), ""^[-–\s]+"", """")), GOOGLETRANSLATE('AYIRA MINI MART FINAL MENU - Pr'!B904, ""en"", ""ar"")))"),"بسكويت 🍪")</f>
        <v>بسكويت 🍪</v>
      </c>
      <c r="C904" s="58">
        <f>IF('AYIRA MINI MART FINAL MENU - Pr'!C904="", "", 'AYIRA MINI MART FINAL MENU - Pr'!C904)</f>
        <v>2.5</v>
      </c>
      <c r="D904" s="58" t="str">
        <f>IF('AYIRA MINI MART FINAL MENU - Pr'!D904="", "", 'AYIRA MINI MART FINAL MENU - Pr'!D904)</f>
        <v>دلّل حواسك مع Ülker Albeni Bites Chocolate Bar 72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04" s="56" t="str">
        <f>IF('AYIRA MINI MART FINAL MENU - Pr'!E904="", "", 'AYIRA MINI MART FINAL MENU - Pr'!E904)</f>
        <v/>
      </c>
      <c r="F904" s="56" t="str">
        <f>IF('AYIRA MINI MART FINAL MENU - Pr'!F904="", "", 'AYIRA MINI MART FINAL MENU - Pr'!F904)</f>
        <v/>
      </c>
      <c r="G904" s="56" t="str">
        <f>IF('AYIRA MINI MART FINAL MENU - Pr'!G904="", "", 'AYIRA MINI MART FINAL MENU - Pr'!G904)</f>
        <v/>
      </c>
      <c r="H904" s="56" t="str">
        <f>IF('AYIRA MINI MART FINAL MENU - Pr'!H904="", "", 'AYIRA MINI MART FINAL MENU - Pr'!H904)</f>
        <v/>
      </c>
      <c r="I904" s="56" t="str">
        <f>IF('AYIRA MINI MART FINAL MENU - Pr'!I904="", "", 'AYIRA MINI MART FINAL MENU - Pr'!I904)</f>
        <v/>
      </c>
      <c r="J904" s="56" t="str">
        <f>IFERROR(__xludf.DUMMYFUNCTION("IF('AYIRA MINI MART FINAL MENU - Pr'!J904="""", """", GOOGLETRANSLATE('AYIRA MINI MART FINAL MENU - Pr'!J904, ""en"", ""ar""))"),"")</f>
        <v/>
      </c>
      <c r="K904" s="56" t="str">
        <f>IF('AYIRA MINI MART FINAL MENU - Pr'!K904="", "", 'AYIRA MINI MART FINAL MENU - Pr'!K904)</f>
        <v/>
      </c>
      <c r="L904" s="56" t="str">
        <f>IF('AYIRA MINI MART FINAL MENU - Pr'!L904="", "", 'AYIRA MINI MART FINAL MENU - Pr'!L904)</f>
        <v/>
      </c>
      <c r="M904" s="56" t="str">
        <f>IF('AYIRA MINI MART FINAL MENU - Pr'!M904="", "", 'AYIRA MINI MART FINAL MENU - Pr'!M904)</f>
        <v/>
      </c>
      <c r="N904" s="56" t="str">
        <f>IF('AYIRA MINI MART FINAL MENU - Pr'!N904="", "", 'AYIRA MINI MART FINAL MENU - Pr'!N904)</f>
        <v/>
      </c>
      <c r="O904" s="57"/>
      <c r="P904" s="57"/>
      <c r="Q904" s="57"/>
      <c r="R904" s="57"/>
      <c r="S904" s="57"/>
      <c r="T904" s="57"/>
      <c r="U904" s="57"/>
      <c r="V904" s="57"/>
      <c r="W904" s="57"/>
      <c r="X904" s="57"/>
      <c r="Y904" s="57"/>
      <c r="Z904" s="57"/>
    </row>
    <row r="905">
      <c r="A905" s="56" t="str">
        <f>IFERROR(__xludf.DUMMYFUNCTION("IF('AYIRA MINI MART FINAL MENU - Pr'!A905="""", """", IF(LEN(TRIM(REGEXREPLACE(REGEXREPLACE('AYIRA MINI MART FINAL MENU - Pr'!A905, ""^[^\x{0600}-\x{06FF}]+"", """"), ""^[-–\s]+"", """")))&gt;0, TRIM(REGEXREPLACE(REGEXREPLACE('AYIRA MINI MART FINAL MENU - Pr"&amp;"'!A905, ""^[^\x{0600}-\x{06FF}]+"", """"), ""^[-–\s]+"", """")), GOOGLETRANSLATE('AYIRA MINI MART FINAL MENU - Pr'!A905, ""en"", ""ar"")))"),"شيبس Cookies 82 غرام")</f>
        <v>شيبس Cookies 82 غرام</v>
      </c>
      <c r="B905" s="56" t="str">
        <f>IFERROR(__xludf.DUMMYFUNCTION("IF('AYIRA MINI MART FINAL MENU - Pr'!B905="""", """", IF(LEN(TRIM(REGEXREPLACE(REGEXREPLACE('AYIRA MINI MART FINAL MENU - Pr'!B905, ""^[^\x{0600}-\x{06FF}]+"", """"), ""^[-–\s]+"", """")))&gt;0, TRIM(REGEXREPLACE(REGEXREPLACE('AYIRA MINI MART FINAL MENU - Pr"&amp;"'!B905, ""^[^\x{0600}-\x{06FF}]+"", """"), ""^[-–\s]+"", """")), GOOGLETRANSLATE('AYIRA MINI MART FINAL MENU - Pr'!B905, ""en"", ""ar"")))"),"بسكويت 🍪")</f>
        <v>بسكويت 🍪</v>
      </c>
      <c r="C905" s="58">
        <f>IF('AYIRA MINI MART FINAL MENU - Pr'!C905="", "", 'AYIRA MINI MART FINAL MENU - Pr'!C905)</f>
        <v>3</v>
      </c>
      <c r="D905" s="58" t="str">
        <f>IF('AYIRA MINI MART FINAL MENU - Pr'!D905="", "", 'AYIRA MINI MART FINAL MENU - Pr'!D905)</f>
        <v>لا تقاوم طعم Ülker Hanimeller Cocoa Chips Cookies 82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05" s="56" t="str">
        <f>IF('AYIRA MINI MART FINAL MENU - Pr'!E905="", "", 'AYIRA MINI MART FINAL MENU - Pr'!E905)</f>
        <v/>
      </c>
      <c r="F905" s="56" t="str">
        <f>IF('AYIRA MINI MART FINAL MENU - Pr'!F905="", "", 'AYIRA MINI MART FINAL MENU - Pr'!F905)</f>
        <v/>
      </c>
      <c r="G905" s="56" t="str">
        <f>IF('AYIRA MINI MART FINAL MENU - Pr'!G905="", "", 'AYIRA MINI MART FINAL MENU - Pr'!G905)</f>
        <v/>
      </c>
      <c r="H905" s="56" t="str">
        <f>IF('AYIRA MINI MART FINAL MENU - Pr'!H905="", "", 'AYIRA MINI MART FINAL MENU - Pr'!H905)</f>
        <v/>
      </c>
      <c r="I905" s="56" t="str">
        <f>IF('AYIRA MINI MART FINAL MENU - Pr'!I905="", "", 'AYIRA MINI MART FINAL MENU - Pr'!I905)</f>
        <v/>
      </c>
      <c r="J905" s="56" t="str">
        <f>IFERROR(__xludf.DUMMYFUNCTION("IF('AYIRA MINI MART FINAL MENU - Pr'!J905="""", """", GOOGLETRANSLATE('AYIRA MINI MART FINAL MENU - Pr'!J905, ""en"", ""ar""))"),"")</f>
        <v/>
      </c>
      <c r="K905" s="56" t="str">
        <f>IF('AYIRA MINI MART FINAL MENU - Pr'!K905="", "", 'AYIRA MINI MART FINAL MENU - Pr'!K905)</f>
        <v/>
      </c>
      <c r="L905" s="56" t="str">
        <f>IF('AYIRA MINI MART FINAL MENU - Pr'!L905="", "", 'AYIRA MINI MART FINAL MENU - Pr'!L905)</f>
        <v/>
      </c>
      <c r="M905" s="56" t="str">
        <f>IF('AYIRA MINI MART FINAL MENU - Pr'!M905="", "", 'AYIRA MINI MART FINAL MENU - Pr'!M905)</f>
        <v/>
      </c>
      <c r="N905" s="56" t="str">
        <f>IF('AYIRA MINI MART FINAL MENU - Pr'!N905="", "", 'AYIRA MINI MART FINAL MENU - Pr'!N905)</f>
        <v/>
      </c>
      <c r="O905" s="57"/>
      <c r="P905" s="57"/>
      <c r="Q905" s="57"/>
      <c r="R905" s="57"/>
      <c r="S905" s="57"/>
      <c r="T905" s="57"/>
      <c r="U905" s="57"/>
      <c r="V905" s="57"/>
      <c r="W905" s="57"/>
      <c r="X905" s="57"/>
      <c r="Y905" s="57"/>
      <c r="Z905" s="57"/>
    </row>
    <row r="906">
      <c r="A906" s="56" t="str">
        <f>IFERROR(__xludf.DUMMYFUNCTION("IF('AYIRA MINI MART FINAL MENU - Pr'!A906="""", """", IF(LEN(TRIM(REGEXREPLACE(REGEXREPLACE('AYIRA MINI MART FINAL MENU - Pr'!A906, ""^[^\x{0600}-\x{06FF}]+"", """"), ""^[-–\s]+"", """")))&gt;0, TRIM(REGEXREPLACE(REGEXREPLACE('AYIRA MINI MART FINAL MENU - Pr"&amp;"'!A906, ""^[^\x{0600}-\x{06FF}]+"", """"), ""^[-–\s]+"", """")), GOOGLETRANSLATE('AYIRA MINI MART FINAL MENU - Pr'!A906, ""en"", ""ar"")))"),"فراولة كريم Biscuits 61 غرام")</f>
        <v>فراولة كريم Biscuits 61 غرام</v>
      </c>
      <c r="B906" s="56" t="str">
        <f>IFERROR(__xludf.DUMMYFUNCTION("IF('AYIRA MINI MART FINAL MENU - Pr'!B906="""", """", IF(LEN(TRIM(REGEXREPLACE(REGEXREPLACE('AYIRA MINI MART FINAL MENU - Pr'!B906, ""^[^\x{0600}-\x{06FF}]+"", """"), ""^[-–\s]+"", """")))&gt;0, TRIM(REGEXREPLACE(REGEXREPLACE('AYIRA MINI MART FINAL MENU - Pr"&amp;"'!B906, ""^[^\x{0600}-\x{06FF}]+"", """"), ""^[-–\s]+"", """")), GOOGLETRANSLATE('AYIRA MINI MART FINAL MENU - Pr'!B906, ""en"", ""ar"")))"),"بسكويت 🍪")</f>
        <v>بسكويت 🍪</v>
      </c>
      <c r="C906" s="58">
        <f>IF('AYIRA MINI MART FINAL MENU - Pr'!C906="", "", 'AYIRA MINI MART FINAL MENU - Pr'!C906)</f>
        <v>3</v>
      </c>
      <c r="D906" s="58" t="str">
        <f>IF('AYIRA MINI MART FINAL MENU - Pr'!D906="", "", 'AYIRA MINI MART FINAL MENU - Pr'!D906)</f>
        <v>لا تقاوم طعم Ülker Rondo Kremali Strawberry Cream Biscuits 61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06" s="56" t="str">
        <f>IF('AYIRA MINI MART FINAL MENU - Pr'!E906="", "", 'AYIRA MINI MART FINAL MENU - Pr'!E906)</f>
        <v/>
      </c>
      <c r="F906" s="56" t="str">
        <f>IF('AYIRA MINI MART FINAL MENU - Pr'!F906="", "", 'AYIRA MINI MART FINAL MENU - Pr'!F906)</f>
        <v/>
      </c>
      <c r="G906" s="56" t="str">
        <f>IF('AYIRA MINI MART FINAL MENU - Pr'!G906="", "", 'AYIRA MINI MART FINAL MENU - Pr'!G906)</f>
        <v/>
      </c>
      <c r="H906" s="56" t="str">
        <f>IF('AYIRA MINI MART FINAL MENU - Pr'!H906="", "", 'AYIRA MINI MART FINAL MENU - Pr'!H906)</f>
        <v/>
      </c>
      <c r="I906" s="56" t="str">
        <f>IF('AYIRA MINI MART FINAL MENU - Pr'!I906="", "", 'AYIRA MINI MART FINAL MENU - Pr'!I906)</f>
        <v/>
      </c>
      <c r="J906" s="56" t="str">
        <f>IFERROR(__xludf.DUMMYFUNCTION("IF('AYIRA MINI MART FINAL MENU - Pr'!J906="""", """", GOOGLETRANSLATE('AYIRA MINI MART FINAL MENU - Pr'!J906, ""en"", ""ar""))"),"")</f>
        <v/>
      </c>
      <c r="K906" s="56" t="str">
        <f>IF('AYIRA MINI MART FINAL MENU - Pr'!K906="", "", 'AYIRA MINI MART FINAL MENU - Pr'!K906)</f>
        <v/>
      </c>
      <c r="L906" s="56" t="str">
        <f>IF('AYIRA MINI MART FINAL MENU - Pr'!L906="", "", 'AYIRA MINI MART FINAL MENU - Pr'!L906)</f>
        <v/>
      </c>
      <c r="M906" s="56" t="str">
        <f>IF('AYIRA MINI MART FINAL MENU - Pr'!M906="", "", 'AYIRA MINI MART FINAL MENU - Pr'!M906)</f>
        <v/>
      </c>
      <c r="N906" s="56" t="str">
        <f>IF('AYIRA MINI MART FINAL MENU - Pr'!N906="", "", 'AYIRA MINI MART FINAL MENU - Pr'!N906)</f>
        <v/>
      </c>
      <c r="O906" s="57"/>
      <c r="P906" s="57"/>
      <c r="Q906" s="57"/>
      <c r="R906" s="57"/>
      <c r="S906" s="57"/>
      <c r="T906" s="57"/>
      <c r="U906" s="57"/>
      <c r="V906" s="57"/>
      <c r="W906" s="57"/>
      <c r="X906" s="57"/>
      <c r="Y906" s="57"/>
      <c r="Z906" s="57"/>
    </row>
    <row r="907">
      <c r="A907" s="56" t="str">
        <f>IFERROR(__xludf.DUMMYFUNCTION("IF('AYIRA MINI MART FINAL MENU - Pr'!A907="""", """", IF(LEN(TRIM(REGEXREPLACE(REGEXREPLACE('AYIRA MINI MART FINAL MENU - Pr'!A907, ""^[^\x{0600}-\x{06FF}]+"", """"), ""^[-–\s]+"", """")))&gt;0, TRIM(REGEXREPLACE(REGEXREPLACE('AYIRA MINI MART FINAL MENU - Pr"&amp;"'!A907, ""^[^\x{0600}-\x{06FF}]+"", """"), ""^[-–\s]+"", """")), GOOGLETRANSLATE('AYIRA MINI MART FINAL MENU - Pr'!A907, ""en"", ""ar"")))"),"كريم Biscuits 61 غرام")</f>
        <v>كريم Biscuits 61 غرام</v>
      </c>
      <c r="B907" s="56" t="str">
        <f>IFERROR(__xludf.DUMMYFUNCTION("IF('AYIRA MINI MART FINAL MENU - Pr'!B907="""", """", IF(LEN(TRIM(REGEXREPLACE(REGEXREPLACE('AYIRA MINI MART FINAL MENU - Pr'!B907, ""^[^\x{0600}-\x{06FF}]+"", """"), ""^[-–\s]+"", """")))&gt;0, TRIM(REGEXREPLACE(REGEXREPLACE('AYIRA MINI MART FINAL MENU - Pr"&amp;"'!B907, ""^[^\x{0600}-\x{06FF}]+"", """"), ""^[-–\s]+"", """")), GOOGLETRANSLATE('AYIRA MINI MART FINAL MENU - Pr'!B907, ""en"", ""ar"")))"),"بسكويت 🍪")</f>
        <v>بسكويت 🍪</v>
      </c>
      <c r="C907" s="56" t="str">
        <f>IF('AYIRA MINI MART FINAL MENU - Pr'!C907="", "", 'AYIRA MINI MART FINAL MENU - Pr'!C907)</f>
        <v/>
      </c>
      <c r="D907" s="58" t="str">
        <f>IF('AYIRA MINI MART FINAL MENU - Pr'!D907="", "", 'AYIRA MINI MART FINAL MENU - Pr'!D907)</f>
        <v>لا تقاوم طعم Ülker Rondo Kremaliı Banana Cream Biscuits 61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07" s="56" t="str">
        <f>IF('AYIRA MINI MART FINAL MENU - Pr'!E907="", "", 'AYIRA MINI MART FINAL MENU - Pr'!E907)</f>
        <v/>
      </c>
      <c r="F907" s="56" t="str">
        <f>IF('AYIRA MINI MART FINAL MENU - Pr'!F907="", "", 'AYIRA MINI MART FINAL MENU - Pr'!F907)</f>
        <v/>
      </c>
      <c r="G907" s="56" t="str">
        <f>IF('AYIRA MINI MART FINAL MENU - Pr'!G907="", "", 'AYIRA MINI MART FINAL MENU - Pr'!G907)</f>
        <v/>
      </c>
      <c r="H907" s="56" t="str">
        <f>IF('AYIRA MINI MART FINAL MENU - Pr'!H907="", "", 'AYIRA MINI MART FINAL MENU - Pr'!H907)</f>
        <v/>
      </c>
      <c r="I907" s="56" t="str">
        <f>IF('AYIRA MINI MART FINAL MENU - Pr'!I907="", "", 'AYIRA MINI MART FINAL MENU - Pr'!I907)</f>
        <v/>
      </c>
      <c r="J907" s="56" t="str">
        <f>IFERROR(__xludf.DUMMYFUNCTION("IF('AYIRA MINI MART FINAL MENU - Pr'!J907="""", """", GOOGLETRANSLATE('AYIRA MINI MART FINAL MENU - Pr'!J907, ""en"", ""ar""))"),"")</f>
        <v/>
      </c>
      <c r="K907" s="56" t="str">
        <f>IF('AYIRA MINI MART FINAL MENU - Pr'!K907="", "", 'AYIRA MINI MART FINAL MENU - Pr'!K907)</f>
        <v/>
      </c>
      <c r="L907" s="56" t="str">
        <f>IF('AYIRA MINI MART FINAL MENU - Pr'!L907="", "", 'AYIRA MINI MART FINAL MENU - Pr'!L907)</f>
        <v/>
      </c>
      <c r="M907" s="56" t="str">
        <f>IF('AYIRA MINI MART FINAL MENU - Pr'!M907="", "", 'AYIRA MINI MART FINAL MENU - Pr'!M907)</f>
        <v/>
      </c>
      <c r="N907" s="56" t="str">
        <f>IF('AYIRA MINI MART FINAL MENU - Pr'!N907="", "", 'AYIRA MINI MART FINAL MENU - Pr'!N907)</f>
        <v/>
      </c>
      <c r="O907" s="57"/>
      <c r="P907" s="57"/>
      <c r="Q907" s="57"/>
      <c r="R907" s="57"/>
      <c r="S907" s="57"/>
      <c r="T907" s="57"/>
      <c r="U907" s="57"/>
      <c r="V907" s="57"/>
      <c r="W907" s="57"/>
      <c r="X907" s="57"/>
      <c r="Y907" s="57"/>
      <c r="Z907" s="57"/>
    </row>
    <row r="908">
      <c r="A908" s="56" t="str">
        <f>IFERROR(__xludf.DUMMYFUNCTION("IF('AYIRA MINI MART FINAL MENU - Pr'!A908="""", """", IF(LEN(TRIM(REGEXREPLACE(REGEXREPLACE('AYIRA MINI MART FINAL MENU - Pr'!A908, ""^[^\x{0600}-\x{06FF}]+"", """"), ""^[-–\s]+"", """")))&gt;0, TRIM(REGEXREPLACE(REGEXREPLACE('AYIRA MINI MART FINAL MENU - Pr"&amp;"'!A908, ""^[^\x{0600}-\x{06FF}]+"", """"), ""^[-–\s]+"", """")), GOOGLETRANSLATE('AYIRA MINI MART FINAL MENU - Pr'!A908, ""en"", ""ar"")))"),"بريتانيا 50-50 Sweet &amp; Salty Biscuits 71 غرام")</f>
        <v>بريتانيا 50-50 Sweet &amp; Salty Biscuits 71 غرام</v>
      </c>
      <c r="B908" s="56" t="str">
        <f>IFERROR(__xludf.DUMMYFUNCTION("IF('AYIRA MINI MART FINAL MENU - Pr'!B908="""", """", IF(LEN(TRIM(REGEXREPLACE(REGEXREPLACE('AYIRA MINI MART FINAL MENU - Pr'!B908, ""^[^\x{0600}-\x{06FF}]+"", """"), ""^[-–\s]+"", """")))&gt;0, TRIM(REGEXREPLACE(REGEXREPLACE('AYIRA MINI MART FINAL MENU - Pr"&amp;"'!B908, ""^[^\x{0600}-\x{06FF}]+"", """"), ""^[-–\s]+"", """")), GOOGLETRANSLATE('AYIRA MINI MART FINAL MENU - Pr'!B908, ""en"", ""ar"")))"),"بسكويت 🍪")</f>
        <v>بسكويت 🍪</v>
      </c>
      <c r="C908" s="56" t="str">
        <f>IF('AYIRA MINI MART FINAL MENU - Pr'!C908="", "", 'AYIRA MINI MART FINAL MENU - Pr'!C908)</f>
        <v/>
      </c>
      <c r="D908" s="58" t="str">
        <f>IF('AYIRA MINI MART FINAL MENU - Pr'!D908="", "", 'AYIRA MINI MART FINAL MENU - Pr'!D908)</f>
        <v>لا تقاوم طعم بريتانيا،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08" s="56" t="str">
        <f>IF('AYIRA MINI MART FINAL MENU - Pr'!E908="", "", 'AYIRA MINI MART FINAL MENU - Pr'!E908)</f>
        <v/>
      </c>
      <c r="F908" s="56" t="str">
        <f>IF('AYIRA MINI MART FINAL MENU - Pr'!F908="", "", 'AYIRA MINI MART FINAL MENU - Pr'!F908)</f>
        <v/>
      </c>
      <c r="G908" s="56" t="str">
        <f>IF('AYIRA MINI MART FINAL MENU - Pr'!G908="", "", 'AYIRA MINI MART FINAL MENU - Pr'!G908)</f>
        <v/>
      </c>
      <c r="H908" s="56" t="str">
        <f>IF('AYIRA MINI MART FINAL MENU - Pr'!H908="", "", 'AYIRA MINI MART FINAL MENU - Pr'!H908)</f>
        <v/>
      </c>
      <c r="I908" s="56" t="str">
        <f>IF('AYIRA MINI MART FINAL MENU - Pr'!I908="", "", 'AYIRA MINI MART FINAL MENU - Pr'!I908)</f>
        <v/>
      </c>
      <c r="J908" s="56" t="str">
        <f>IFERROR(__xludf.DUMMYFUNCTION("IF('AYIRA MINI MART FINAL MENU - Pr'!J908="""", """", GOOGLETRANSLATE('AYIRA MINI MART FINAL MENU - Pr'!J908, ""en"", ""ar""))"),"")</f>
        <v/>
      </c>
      <c r="K908" s="56" t="str">
        <f>IF('AYIRA MINI MART FINAL MENU - Pr'!K908="", "", 'AYIRA MINI MART FINAL MENU - Pr'!K908)</f>
        <v/>
      </c>
      <c r="L908" s="56" t="str">
        <f>IF('AYIRA MINI MART FINAL MENU - Pr'!L908="", "", 'AYIRA MINI MART FINAL MENU - Pr'!L908)</f>
        <v/>
      </c>
      <c r="M908" s="56" t="str">
        <f>IF('AYIRA MINI MART FINAL MENU - Pr'!M908="", "", 'AYIRA MINI MART FINAL MENU - Pr'!M908)</f>
        <v/>
      </c>
      <c r="N908" s="56" t="str">
        <f>IF('AYIRA MINI MART FINAL MENU - Pr'!N908="", "", 'AYIRA MINI MART FINAL MENU - Pr'!N908)</f>
        <v/>
      </c>
      <c r="O908" s="57"/>
      <c r="P908" s="57"/>
      <c r="Q908" s="57"/>
      <c r="R908" s="57"/>
      <c r="S908" s="57"/>
      <c r="T908" s="57"/>
      <c r="U908" s="57"/>
      <c r="V908" s="57"/>
      <c r="W908" s="57"/>
      <c r="X908" s="57"/>
      <c r="Y908" s="57"/>
      <c r="Z908" s="57"/>
    </row>
    <row r="909">
      <c r="A909" s="56" t="str">
        <f>IFERROR(__xludf.DUMMYFUNCTION("IF('AYIRA MINI MART FINAL MENU - Pr'!A909="""", """", IF(LEN(TRIM(REGEXREPLACE(REGEXREPLACE('AYIRA MINI MART FINAL MENU - Pr'!A909, ""^[^\x{0600}-\x{06FF}]+"", """"), ""^[-–\s]+"", """")))&gt;0, TRIM(REGEXREPLACE(REGEXREPLACE('AYIRA MINI MART FINAL MENU - Pr"&amp;"'!A909, ""^[^\x{0600}-\x{06FF}]+"", """"), ""^[-–\s]+"", """")), GOOGLETRANSLATE('AYIRA MINI MART FINAL MENU - Pr'!A909, ""en"", ""ar"")))"),"قهوة بسكويت 58 غرام")</f>
        <v>قهوة بسكويت 58 غرام</v>
      </c>
      <c r="B909" s="56" t="str">
        <f>IFERROR(__xludf.DUMMYFUNCTION("IF('AYIRA MINI MART FINAL MENU - Pr'!B909="""", """", IF(LEN(TRIM(REGEXREPLACE(REGEXREPLACE('AYIRA MINI MART FINAL MENU - Pr'!B909, ""^[^\x{0600}-\x{06FF}]+"", """"), ""^[-–\s]+"", """")))&gt;0, TRIM(REGEXREPLACE(REGEXREPLACE('AYIRA MINI MART FINAL MENU - Pr"&amp;"'!B909, ""^[^\x{0600}-\x{06FF}]+"", """"), ""^[-–\s]+"", """")), GOOGLETRANSLATE('AYIRA MINI MART FINAL MENU - Pr'!B909, ""en"", ""ar"")))"),"بسكويت 🍪")</f>
        <v>بسكويت 🍪</v>
      </c>
      <c r="C909" s="56" t="str">
        <f>IF('AYIRA MINI MART FINAL MENU - Pr'!C909="", "", 'AYIRA MINI MART FINAL MENU - Pr'!C909)</f>
        <v/>
      </c>
      <c r="D909" s="58" t="str">
        <f>IF('AYIRA MINI MART FINAL MENU - Pr'!D909="", "", 'AYIRA MINI MART FINAL MENU - Pr'!D909)</f>
        <v>لا تقاوم طعم Ülker Coffee Biscuit 58 g،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09" s="56" t="str">
        <f>IF('AYIRA MINI MART FINAL MENU - Pr'!E909="", "", 'AYIRA MINI MART FINAL MENU - Pr'!E909)</f>
        <v/>
      </c>
      <c r="F909" s="56" t="str">
        <f>IF('AYIRA MINI MART FINAL MENU - Pr'!F909="", "", 'AYIRA MINI MART FINAL MENU - Pr'!F909)</f>
        <v/>
      </c>
      <c r="G909" s="56" t="str">
        <f>IF('AYIRA MINI MART FINAL MENU - Pr'!G909="", "", 'AYIRA MINI MART FINAL MENU - Pr'!G909)</f>
        <v/>
      </c>
      <c r="H909" s="56" t="str">
        <f>IF('AYIRA MINI MART FINAL MENU - Pr'!H909="", "", 'AYIRA MINI MART FINAL MENU - Pr'!H909)</f>
        <v/>
      </c>
      <c r="I909" s="56" t="str">
        <f>IF('AYIRA MINI MART FINAL MENU - Pr'!I909="", "", 'AYIRA MINI MART FINAL MENU - Pr'!I909)</f>
        <v/>
      </c>
      <c r="J909" s="56" t="str">
        <f>IFERROR(__xludf.DUMMYFUNCTION("IF('AYIRA MINI MART FINAL MENU - Pr'!J909="""", """", GOOGLETRANSLATE('AYIRA MINI MART FINAL MENU - Pr'!J909, ""en"", ""ar""))"),"")</f>
        <v/>
      </c>
      <c r="K909" s="56" t="str">
        <f>IF('AYIRA MINI MART FINAL MENU - Pr'!K909="", "", 'AYIRA MINI MART FINAL MENU - Pr'!K909)</f>
        <v/>
      </c>
      <c r="L909" s="56" t="str">
        <f>IF('AYIRA MINI MART FINAL MENU - Pr'!L909="", "", 'AYIRA MINI MART FINAL MENU - Pr'!L909)</f>
        <v/>
      </c>
      <c r="M909" s="56" t="str">
        <f>IF('AYIRA MINI MART FINAL MENU - Pr'!M909="", "", 'AYIRA MINI MART FINAL MENU - Pr'!M909)</f>
        <v/>
      </c>
      <c r="N909" s="56" t="str">
        <f>IF('AYIRA MINI MART FINAL MENU - Pr'!N909="", "", 'AYIRA MINI MART FINAL MENU - Pr'!N909)</f>
        <v/>
      </c>
      <c r="O909" s="57"/>
      <c r="P909" s="57"/>
      <c r="Q909" s="57"/>
      <c r="R909" s="57"/>
      <c r="S909" s="57"/>
      <c r="T909" s="57"/>
      <c r="U909" s="57"/>
      <c r="V909" s="57"/>
      <c r="W909" s="57"/>
      <c r="X909" s="57"/>
      <c r="Y909" s="57"/>
      <c r="Z909" s="57"/>
    </row>
    <row r="910">
      <c r="A910" s="56" t="str">
        <f>IFERROR(__xludf.DUMMYFUNCTION("IF('AYIRA MINI MART FINAL MENU - Pr'!A910="""", """", IF(LEN(TRIM(REGEXREPLACE(REGEXREPLACE('AYIRA MINI MART FINAL MENU - Pr'!A910, ""^[^\x{0600}-\x{06FF}]+"", """"), ""^[-–\s]+"", """")))&gt;0, TRIM(REGEXREPLACE(REGEXREPLACE('AYIRA MINI MART FINAL MENU - Pr"&amp;"'!A910, ""^[^\x{0600}-\x{06FF}]+"", """"), ""^[-–\s]+"", """")), GOOGLETRANSLATE('AYIRA MINI MART FINAL MENU - Pr'!A910, ""en"", ""ar"")))"),"حار Chili Pepper &amp; Lime Tortilla شيبس")</f>
        <v>حار Chili Pepper &amp; Lime Tortilla شيبس</v>
      </c>
      <c r="B910" s="56" t="str">
        <f>IFERROR(__xludf.DUMMYFUNCTION("IF('AYIRA MINI MART FINAL MENU - Pr'!B910="""", """", IF(LEN(TRIM(REGEXREPLACE(REGEXREPLACE('AYIRA MINI MART FINAL MENU - Pr'!B910, ""^[^\x{0600}-\x{06FF}]+"", """"), ""^[-–\s]+"", """")))&gt;0, TRIM(REGEXREPLACE(REGEXREPLACE('AYIRA MINI MART FINAL MENU - Pr"&amp;"'!B910, ""^[^\x{0600}-\x{06FF}]+"", """"), ""^[-–\s]+"", """")), GOOGLETRANSLATE('AYIRA MINI MART FINAL MENU - Pr'!B910, ""en"", ""ar"")))"),"الشيبس والمقرمشات")</f>
        <v>الشيبس والمقرمشات</v>
      </c>
      <c r="C910" s="58">
        <f>IF('AYIRA MINI MART FINAL MENU - Pr'!C910="", "", 'AYIRA MINI MART FINAL MENU - Pr'!C910)</f>
        <v>6.5</v>
      </c>
      <c r="D910" s="58" t="str">
        <f>IF('AYIRA MINI MART FINAL MENU - Pr'!D910="", "", 'AYIRA MINI MART FINAL MENU - Pr'!D910)</f>
        <v>لا تقاوم طعم Takis Fuego Hot Chili Pepper &amp; Lime Tortilla Chips،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10" s="56" t="str">
        <f>IF('AYIRA MINI MART FINAL MENU - Pr'!E910="", "", 'AYIRA MINI MART FINAL MENU - Pr'!E910)</f>
        <v/>
      </c>
      <c r="F910" s="56" t="str">
        <f>IF('AYIRA MINI MART FINAL MENU - Pr'!F910="", "", 'AYIRA MINI MART FINAL MENU - Pr'!F910)</f>
        <v/>
      </c>
      <c r="G910" s="56" t="str">
        <f>IF('AYIRA MINI MART FINAL MENU - Pr'!G910="", "", 'AYIRA MINI MART FINAL MENU - Pr'!G910)</f>
        <v/>
      </c>
      <c r="H910" s="56" t="str">
        <f>IF('AYIRA MINI MART FINAL MENU - Pr'!H910="", "", 'AYIRA MINI MART FINAL MENU - Pr'!H910)</f>
        <v/>
      </c>
      <c r="I910" s="56" t="str">
        <f>IF('AYIRA MINI MART FINAL MENU - Pr'!I910="", "", 'AYIRA MINI MART FINAL MENU - Pr'!I910)</f>
        <v/>
      </c>
      <c r="J910" s="56" t="str">
        <f>IFERROR(__xludf.DUMMYFUNCTION("IF('AYIRA MINI MART FINAL MENU - Pr'!J910="""", """", GOOGLETRANSLATE('AYIRA MINI MART FINAL MENU - Pr'!J910, ""en"", ""ar""))"),"إنتهى من المخزن")</f>
        <v>إنتهى من المخزن</v>
      </c>
      <c r="K910" s="56" t="str">
        <f>IF('AYIRA MINI MART FINAL MENU - Pr'!K910="", "", 'AYIRA MINI MART FINAL MENU - Pr'!K910)</f>
        <v/>
      </c>
      <c r="L910" s="56" t="str">
        <f>IF('AYIRA MINI MART FINAL MENU - Pr'!L910="", "", 'AYIRA MINI MART FINAL MENU - Pr'!L910)</f>
        <v/>
      </c>
      <c r="M910" s="56" t="str">
        <f>IF('AYIRA MINI MART FINAL MENU - Pr'!M910="", "", 'AYIRA MINI MART FINAL MENU - Pr'!M910)</f>
        <v/>
      </c>
      <c r="N910" s="56" t="str">
        <f>IF('AYIRA MINI MART FINAL MENU - Pr'!N910="", "", 'AYIRA MINI MART FINAL MENU - Pr'!N910)</f>
        <v/>
      </c>
      <c r="O910" s="57"/>
      <c r="P910" s="57"/>
      <c r="Q910" s="57"/>
      <c r="R910" s="57"/>
      <c r="S910" s="57"/>
      <c r="T910" s="57"/>
      <c r="U910" s="57"/>
      <c r="V910" s="57"/>
      <c r="W910" s="57"/>
      <c r="X910" s="57"/>
      <c r="Y910" s="57"/>
      <c r="Z910" s="57"/>
    </row>
    <row r="911">
      <c r="A911" s="56" t="str">
        <f>IFERROR(__xludf.DUMMYFUNCTION("IF('AYIRA MINI MART FINAL MENU - Pr'!A911="""", """", IF(LEN(TRIM(REGEXREPLACE(REGEXREPLACE('AYIRA MINI MART FINAL MENU - Pr'!A911, ""^[^\x{0600}-\x{06FF}]+"", """"), ""^[-–\s]+"", """")))&gt;0, TRIM(REGEXREPLACE(REGEXREPLACE('AYIRA MINI MART FINAL MENU - Pr"&amp;"'!A911, ""^[^\x{0600}-\x{06FF}]+"", """"), ""^[-–\s]+"", """")), GOOGLETRANSLATE('AYIRA MINI MART FINAL MENU - Pr'!A911, ""en"", ""ar"")))"),"")</f>
        <v/>
      </c>
      <c r="B911" s="56" t="str">
        <f>IFERROR(__xludf.DUMMYFUNCTION("IF('AYIRA MINI MART FINAL MENU - Pr'!B911="""", """", IF(LEN(TRIM(REGEXREPLACE(REGEXREPLACE('AYIRA MINI MART FINAL MENU - Pr'!B911, ""^[^\x{0600}-\x{06FF}]+"", """"), ""^[-–\s]+"", """")))&gt;0, TRIM(REGEXREPLACE(REGEXREPLACE('AYIRA MINI MART FINAL MENU - Pr"&amp;"'!B911, ""^[^\x{0600}-\x{06FF}]+"", """"), ""^[-–\s]+"", """")), GOOGLETRANSLATE('AYIRA MINI MART FINAL MENU - Pr'!B911, ""en"", ""ar"")))"),"الشيبس والمقرمشات")</f>
        <v>الشيبس والمقرمشات</v>
      </c>
      <c r="C911" s="56" t="str">
        <f>IF('AYIRA MINI MART FINAL MENU - Pr'!C911="", "", 'AYIRA MINI MART FINAL MENU - Pr'!C911)</f>
        <v/>
      </c>
      <c r="D911" s="58" t="str">
        <f>IF('AYIRA MINI MART FINAL MENU - Pr'!D911="", "", 'AYIRA MINI MART FINAL MENU - Pr'!D911)</f>
        <v>لا تقاوم طعم Fruittella Gelatin Free Chewy Sweets،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11" s="56" t="str">
        <f>IF('AYIRA MINI MART FINAL MENU - Pr'!E911="", "", 'AYIRA MINI MART FINAL MENU - Pr'!E911)</f>
        <v/>
      </c>
      <c r="F911" s="56" t="str">
        <f>IF('AYIRA MINI MART FINAL MENU - Pr'!F911="", "", 'AYIRA MINI MART FINAL MENU - Pr'!F911)</f>
        <v/>
      </c>
      <c r="G911" s="56" t="str">
        <f>IF('AYIRA MINI MART FINAL MENU - Pr'!G911="", "", 'AYIRA MINI MART FINAL MENU - Pr'!G911)</f>
        <v/>
      </c>
      <c r="H911" s="56" t="str">
        <f>IF('AYIRA MINI MART FINAL MENU - Pr'!H911="", "", 'AYIRA MINI MART FINAL MENU - Pr'!H911)</f>
        <v/>
      </c>
      <c r="I911" s="56" t="str">
        <f>IF('AYIRA MINI MART FINAL MENU - Pr'!I911="", "", 'AYIRA MINI MART FINAL MENU - Pr'!I911)</f>
        <v/>
      </c>
      <c r="J911" s="56" t="str">
        <f>IFERROR(__xludf.DUMMYFUNCTION("IF('AYIRA MINI MART FINAL MENU - Pr'!J911="""", """", GOOGLETRANSLATE('AYIRA MINI MART FINAL MENU - Pr'!J911, ""en"", ""ar""))"),"إنتهى من المخزن")</f>
        <v>إنتهى من المخزن</v>
      </c>
      <c r="K911" s="56" t="str">
        <f>IF('AYIRA MINI MART FINAL MENU - Pr'!K911="", "", 'AYIRA MINI MART FINAL MENU - Pr'!K911)</f>
        <v/>
      </c>
      <c r="L911" s="56" t="str">
        <f>IF('AYIRA MINI MART FINAL MENU - Pr'!L911="", "", 'AYIRA MINI MART FINAL MENU - Pr'!L911)</f>
        <v/>
      </c>
      <c r="M911" s="56" t="str">
        <f>IF('AYIRA MINI MART FINAL MENU - Pr'!M911="", "", 'AYIRA MINI MART FINAL MENU - Pr'!M911)</f>
        <v/>
      </c>
      <c r="N911" s="56" t="str">
        <f>IF('AYIRA MINI MART FINAL MENU - Pr'!N911="", "", 'AYIRA MINI MART FINAL MENU - Pr'!N911)</f>
        <v/>
      </c>
      <c r="O911" s="57"/>
      <c r="P911" s="57"/>
      <c r="Q911" s="57"/>
      <c r="R911" s="57"/>
      <c r="S911" s="57"/>
      <c r="T911" s="57"/>
      <c r="U911" s="57"/>
      <c r="V911" s="57"/>
      <c r="W911" s="57"/>
      <c r="X911" s="57"/>
      <c r="Y911" s="57"/>
      <c r="Z911" s="57"/>
    </row>
    <row r="912">
      <c r="A912" s="56" t="str">
        <f>IFERROR(__xludf.DUMMYFUNCTION("IF('AYIRA MINI MART FINAL MENU - Pr'!A912="""", """", IF(LEN(TRIM(REGEXREPLACE(REGEXREPLACE('AYIRA MINI MART FINAL MENU - Pr'!A912, ""^[^\x{0600}-\x{06FF}]+"", """"), ""^[-–\s]+"", """")))&gt;0, TRIM(REGEXREPLACE(REGEXREPLACE('AYIRA MINI MART FINAL MENU - Pr"&amp;"'!A912, ""^[^\x{0600}-\x{06FF}]+"", """"), ""^[-–\s]+"", """")), GOOGLETRANSLATE('AYIRA MINI MART FINAL MENU - Pr'!A912, ""en"", ""ar"")))"),"برتقال Chewy Sweets with Fruit عصير")</f>
        <v>برتقال Chewy Sweets with Fruit عصير</v>
      </c>
      <c r="B912" s="56" t="str">
        <f>IFERROR(__xludf.DUMMYFUNCTION("IF('AYIRA MINI MART FINAL MENU - Pr'!B912="""", """", IF(LEN(TRIM(REGEXREPLACE(REGEXREPLACE('AYIRA MINI MART FINAL MENU - Pr'!B912, ""^[^\x{0600}-\x{06FF}]+"", """"), ""^[-–\s]+"", """")))&gt;0, TRIM(REGEXREPLACE(REGEXREPLACE('AYIRA MINI MART FINAL MENU - Pr"&amp;"'!B912, ""^[^\x{0600}-\x{06FF}]+"", """"), ""^[-–\s]+"", """")), GOOGLETRANSLATE('AYIRA MINI MART FINAL MENU - Pr'!B912, ""en"", ""ar"")))"),"العلكة")</f>
        <v>العلكة</v>
      </c>
      <c r="C912" s="58">
        <f>IF('AYIRA MINI MART FINAL MENU - Pr'!C912="", "", 'AYIRA MINI MART FINAL MENU - Pr'!C912)</f>
        <v>1.5</v>
      </c>
      <c r="D912" s="58" t="str">
        <f>IF('AYIRA MINI MART FINAL MENU - Pr'!D912="", "", 'AYIRA MINI MART FINAL MENU - Pr'!D912)</f>
        <v>احرص على صحتك مع Fruittella Orange Chewy Sweets with Fruit Juice، العصير الطازج الغني بالفيتامينات والمعادن الضرورية لصحة جسمك. مصنوع من أجود الفواكه المختارة بعناية لتمنحك طعماً رائعاً وفائدة غذائية عالية. يمنحك الطاقة الطبيعية ويعزز جهازك المناعي بفضل محتواه الغني. مثالي للإفطار اليومي أو كمشروب صحي في أي وقت. اطلبه الآن من أيرا ميني مارت واستمتع بكل قطرة من هذا العصير اللذيذ والمفيد.</v>
      </c>
      <c r="E912" s="56" t="str">
        <f>IF('AYIRA MINI MART FINAL MENU - Pr'!E912="", "", 'AYIRA MINI MART FINAL MENU - Pr'!E912)</f>
        <v/>
      </c>
      <c r="F912" s="56" t="str">
        <f>IF('AYIRA MINI MART FINAL MENU - Pr'!F912="", "", 'AYIRA MINI MART FINAL MENU - Pr'!F912)</f>
        <v/>
      </c>
      <c r="G912" s="56" t="str">
        <f>IF('AYIRA MINI MART FINAL MENU - Pr'!G912="", "", 'AYIRA MINI MART FINAL MENU - Pr'!G912)</f>
        <v/>
      </c>
      <c r="H912" s="56" t="str">
        <f>IF('AYIRA MINI MART FINAL MENU - Pr'!H912="", "", 'AYIRA MINI MART FINAL MENU - Pr'!H912)</f>
        <v/>
      </c>
      <c r="I912" s="56" t="str">
        <f>IF('AYIRA MINI MART FINAL MENU - Pr'!I912="", "", 'AYIRA MINI MART FINAL MENU - Pr'!I912)</f>
        <v/>
      </c>
      <c r="J912" s="56" t="str">
        <f>IFERROR(__xludf.DUMMYFUNCTION("IF('AYIRA MINI MART FINAL MENU - Pr'!J912="""", """", GOOGLETRANSLATE('AYIRA MINI MART FINAL MENU - Pr'!J912, ""en"", ""ar""))"),"")</f>
        <v/>
      </c>
      <c r="K912" s="56" t="str">
        <f>IF('AYIRA MINI MART FINAL MENU - Pr'!K912="", "", 'AYIRA MINI MART FINAL MENU - Pr'!K912)</f>
        <v/>
      </c>
      <c r="L912" s="56" t="str">
        <f>IF('AYIRA MINI MART FINAL MENU - Pr'!L912="", "", 'AYIRA MINI MART FINAL MENU - Pr'!L912)</f>
        <v/>
      </c>
      <c r="M912" s="56" t="str">
        <f>IF('AYIRA MINI MART FINAL MENU - Pr'!M912="", "", 'AYIRA MINI MART FINAL MENU - Pr'!M912)</f>
        <v/>
      </c>
      <c r="N912" s="56" t="str">
        <f>IF('AYIRA MINI MART FINAL MENU - Pr'!N912="", "", 'AYIRA MINI MART FINAL MENU - Pr'!N912)</f>
        <v/>
      </c>
      <c r="O912" s="57"/>
      <c r="P912" s="57"/>
      <c r="Q912" s="57"/>
      <c r="R912" s="57"/>
      <c r="S912" s="57"/>
      <c r="T912" s="57"/>
      <c r="U912" s="57"/>
      <c r="V912" s="57"/>
      <c r="W912" s="57"/>
      <c r="X912" s="57"/>
      <c r="Y912" s="57"/>
      <c r="Z912" s="57"/>
    </row>
    <row r="913">
      <c r="A913" s="56" t="str">
        <f>IFERROR(__xludf.DUMMYFUNCTION("IF('AYIRA MINI MART FINAL MENU - Pr'!A913="""", """", IF(LEN(TRIM(REGEXREPLACE(REGEXREPLACE('AYIRA MINI MART FINAL MENU - Pr'!A913, ""^[^\x{0600}-\x{06FF}]+"", """"), ""^[-–\s]+"", """")))&gt;0, TRIM(REGEXREPLACE(REGEXREPLACE('AYIRA MINI MART FINAL MENU - Pr"&amp;"'!A913, ""^[^\x{0600}-\x{06FF}]+"", """"), ""^[-–\s]+"", """")), GOOGLETRANSLATE('AYIRA MINI MART FINAL MENU - Pr'!A913, ""en"", ""ar"")))"),"فراولة Chewy Sweets Gelatin Free")</f>
        <v>فراولة Chewy Sweets Gelatin Free</v>
      </c>
      <c r="B913" s="56" t="str">
        <f>IFERROR(__xludf.DUMMYFUNCTION("IF('AYIRA MINI MART FINAL MENU - Pr'!B913="""", """", IF(LEN(TRIM(REGEXREPLACE(REGEXREPLACE('AYIRA MINI MART FINAL MENU - Pr'!B913, ""^[^\x{0600}-\x{06FF}]+"", """"), ""^[-–\s]+"", """")))&gt;0, TRIM(REGEXREPLACE(REGEXREPLACE('AYIRA MINI MART FINAL MENU - Pr"&amp;"'!B913, ""^[^\x{0600}-\x{06FF}]+"", """"), ""^[-–\s]+"", """")), GOOGLETRANSLATE('AYIRA MINI MART FINAL MENU - Pr'!B913, ""en"", ""ar"")))"),"العلكة")</f>
        <v>العلكة</v>
      </c>
      <c r="C913" s="58">
        <f>IF('AYIRA MINI MART FINAL MENU - Pr'!C913="", "", 'AYIRA MINI MART FINAL MENU - Pr'!C913)</f>
        <v>1.5</v>
      </c>
      <c r="D913" s="58" t="str">
        <f>IF('AYIRA MINI MART FINAL MENU - Pr'!D913="", "", 'AYIRA MINI MART FINAL MENU - Pr'!D913)</f>
        <v>لا تقاوم طعم Fruittella Strawberry Chewy Sweets Gelatin Free،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13" s="56" t="str">
        <f>IF('AYIRA MINI MART FINAL MENU - Pr'!E913="", "", 'AYIRA MINI MART FINAL MENU - Pr'!E913)</f>
        <v/>
      </c>
      <c r="F913" s="56" t="str">
        <f>IF('AYIRA MINI MART FINAL MENU - Pr'!F913="", "", 'AYIRA MINI MART FINAL MENU - Pr'!F913)</f>
        <v/>
      </c>
      <c r="G913" s="56" t="str">
        <f>IF('AYIRA MINI MART FINAL MENU - Pr'!G913="", "", 'AYIRA MINI MART FINAL MENU - Pr'!G913)</f>
        <v/>
      </c>
      <c r="H913" s="56" t="str">
        <f>IF('AYIRA MINI MART FINAL MENU - Pr'!H913="", "", 'AYIRA MINI MART FINAL MENU - Pr'!H913)</f>
        <v/>
      </c>
      <c r="I913" s="56" t="str">
        <f>IF('AYIRA MINI MART FINAL MENU - Pr'!I913="", "", 'AYIRA MINI MART FINAL MENU - Pr'!I913)</f>
        <v/>
      </c>
      <c r="J913" s="56" t="str">
        <f>IFERROR(__xludf.DUMMYFUNCTION("IF('AYIRA MINI MART FINAL MENU - Pr'!J913="""", """", GOOGLETRANSLATE('AYIRA MINI MART FINAL MENU - Pr'!J913, ""en"", ""ar""))"),"")</f>
        <v/>
      </c>
      <c r="K913" s="56" t="str">
        <f>IF('AYIRA MINI MART FINAL MENU - Pr'!K913="", "", 'AYIRA MINI MART FINAL MENU - Pr'!K913)</f>
        <v/>
      </c>
      <c r="L913" s="56" t="str">
        <f>IF('AYIRA MINI MART FINAL MENU - Pr'!L913="", "", 'AYIRA MINI MART FINAL MENU - Pr'!L913)</f>
        <v/>
      </c>
      <c r="M913" s="56" t="str">
        <f>IF('AYIRA MINI MART FINAL MENU - Pr'!M913="", "", 'AYIRA MINI MART FINAL MENU - Pr'!M913)</f>
        <v/>
      </c>
      <c r="N913" s="56" t="str">
        <f>IF('AYIRA MINI MART FINAL MENU - Pr'!N913="", "", 'AYIRA MINI MART FINAL MENU - Pr'!N913)</f>
        <v/>
      </c>
      <c r="O913" s="57"/>
      <c r="P913" s="57"/>
      <c r="Q913" s="57"/>
      <c r="R913" s="57"/>
      <c r="S913" s="57"/>
      <c r="T913" s="57"/>
      <c r="U913" s="57"/>
      <c r="V913" s="57"/>
      <c r="W913" s="57"/>
      <c r="X913" s="57"/>
      <c r="Y913" s="57"/>
      <c r="Z913" s="57"/>
    </row>
    <row r="914">
      <c r="A914" s="56" t="str">
        <f>IFERROR(__xludf.DUMMYFUNCTION("IF('AYIRA MINI MART FINAL MENU - Pr'!A914="""", """", IF(LEN(TRIM(REGEXREPLACE(REGEXREPLACE('AYIRA MINI MART FINAL MENU - Pr'!A914, ""^[^\x{0600}-\x{06FF}]+"", """"), ""^[-–\s]+"", """")))&gt;0, TRIM(REGEXREPLACE(REGEXREPLACE('AYIRA MINI MART FINAL MENU - Pr"&amp;"'!A914, ""^[^\x{0600}-\x{06FF}]+"", """"), ""^[-–\s]+"", """")), GOOGLETRANSLATE('AYIRA MINI MART FINAL MENU - Pr'!A914, ""en"", ""ar"")))"),"مشكل Fruit Chewy Sweets Gelatin Free")</f>
        <v>مشكل Fruit Chewy Sweets Gelatin Free</v>
      </c>
      <c r="B914" s="56" t="str">
        <f>IFERROR(__xludf.DUMMYFUNCTION("IF('AYIRA MINI MART FINAL MENU - Pr'!B914="""", """", IF(LEN(TRIM(REGEXREPLACE(REGEXREPLACE('AYIRA MINI MART FINAL MENU - Pr'!B914, ""^[^\x{0600}-\x{06FF}]+"", """"), ""^[-–\s]+"", """")))&gt;0, TRIM(REGEXREPLACE(REGEXREPLACE('AYIRA MINI MART FINAL MENU - Pr"&amp;"'!B914, ""^[^\x{0600}-\x{06FF}]+"", """"), ""^[-–\s]+"", """")), GOOGLETRANSLATE('AYIRA MINI MART FINAL MENU - Pr'!B914, ""en"", ""ar"")))"),"العلكة")</f>
        <v>العلكة</v>
      </c>
      <c r="C914" s="58">
        <f>IF('AYIRA MINI MART FINAL MENU - Pr'!C914="", "", 'AYIRA MINI MART FINAL MENU - Pr'!C914)</f>
        <v>1.5</v>
      </c>
      <c r="D914" s="58" t="str">
        <f>IF('AYIRA MINI MART FINAL MENU - Pr'!D914="", "", 'AYIRA MINI MART FINAL MENU - Pr'!D914)</f>
        <v>لا تقاوم طعم Fruittella Mixed Fruit Chewy Sweets Gelatin Free،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14" s="56" t="str">
        <f>IF('AYIRA MINI MART FINAL MENU - Pr'!E914="", "", 'AYIRA MINI MART FINAL MENU - Pr'!E914)</f>
        <v/>
      </c>
      <c r="F914" s="56" t="str">
        <f>IF('AYIRA MINI MART FINAL MENU - Pr'!F914="", "", 'AYIRA MINI MART FINAL MENU - Pr'!F914)</f>
        <v/>
      </c>
      <c r="G914" s="56" t="str">
        <f>IF('AYIRA MINI MART FINAL MENU - Pr'!G914="", "", 'AYIRA MINI MART FINAL MENU - Pr'!G914)</f>
        <v/>
      </c>
      <c r="H914" s="56" t="str">
        <f>IF('AYIRA MINI MART FINAL MENU - Pr'!H914="", "", 'AYIRA MINI MART FINAL MENU - Pr'!H914)</f>
        <v/>
      </c>
      <c r="I914" s="56" t="str">
        <f>IF('AYIRA MINI MART FINAL MENU - Pr'!I914="", "", 'AYIRA MINI MART FINAL MENU - Pr'!I914)</f>
        <v/>
      </c>
      <c r="J914" s="56" t="str">
        <f>IFERROR(__xludf.DUMMYFUNCTION("IF('AYIRA MINI MART FINAL MENU - Pr'!J914="""", """", GOOGLETRANSLATE('AYIRA MINI MART FINAL MENU - Pr'!J914, ""en"", ""ar""))"),"")</f>
        <v/>
      </c>
      <c r="K914" s="56" t="str">
        <f>IF('AYIRA MINI MART FINAL MENU - Pr'!K914="", "", 'AYIRA MINI MART FINAL MENU - Pr'!K914)</f>
        <v/>
      </c>
      <c r="L914" s="56" t="str">
        <f>IF('AYIRA MINI MART FINAL MENU - Pr'!L914="", "", 'AYIRA MINI MART FINAL MENU - Pr'!L914)</f>
        <v/>
      </c>
      <c r="M914" s="56" t="str">
        <f>IF('AYIRA MINI MART FINAL MENU - Pr'!M914="", "", 'AYIRA MINI MART FINAL MENU - Pr'!M914)</f>
        <v/>
      </c>
      <c r="N914" s="56" t="str">
        <f>IF('AYIRA MINI MART FINAL MENU - Pr'!N914="", "", 'AYIRA MINI MART FINAL MENU - Pr'!N914)</f>
        <v/>
      </c>
      <c r="O914" s="57"/>
      <c r="P914" s="57"/>
      <c r="Q914" s="57"/>
      <c r="R914" s="57"/>
      <c r="S914" s="57"/>
      <c r="T914" s="57"/>
      <c r="U914" s="57"/>
      <c r="V914" s="57"/>
      <c r="W914" s="57"/>
      <c r="X914" s="57"/>
      <c r="Y914" s="57"/>
      <c r="Z914" s="57"/>
    </row>
    <row r="915">
      <c r="A915" s="56" t="str">
        <f>IFERROR(__xludf.DUMMYFUNCTION("IF('AYIRA MINI MART FINAL MENU - Pr'!A915="""", """", IF(LEN(TRIM(REGEXREPLACE(REGEXREPLACE('AYIRA MINI MART FINAL MENU - Pr'!A915, ""^[^\x{0600}-\x{06FF}]+"", """"), ""^[-–\s]+"", """")))&gt;0, TRIM(REGEXREPLACE(REGEXREPLACE('AYIRA MINI MART FINAL MENU - Pr"&amp;"'!A915, ""^[^\x{0600}-\x{06FF}]+"", """"), ""^[-–\s]+"", """")), GOOGLETRANSLATE('AYIRA MINI MART FINAL MENU - Pr'!A915, ""en"", ""ar"")))"),"فراولة Lollipop")</f>
        <v>فراولة Lollipop</v>
      </c>
      <c r="B915" s="56" t="str">
        <f>IFERROR(__xludf.DUMMYFUNCTION("IF('AYIRA MINI MART FINAL MENU - Pr'!B915="""", """", IF(LEN(TRIM(REGEXREPLACE(REGEXREPLACE('AYIRA MINI MART FINAL MENU - Pr'!B915, ""^[^\x{0600}-\x{06FF}]+"", """"), ""^[-–\s]+"", """")))&gt;0, TRIM(REGEXREPLACE(REGEXREPLACE('AYIRA MINI MART FINAL MENU - Pr"&amp;"'!B915, ""^[^\x{0600}-\x{06FF}]+"", """"), ""^[-–\s]+"", """")), GOOGLETRANSLATE('AYIRA MINI MART FINAL MENU - Pr'!B915, ""en"", ""ar"")))"),"الحلوى 🍬")</f>
        <v>الحلوى 🍬</v>
      </c>
      <c r="C915" s="58">
        <f>IF('AYIRA MINI MART FINAL MENU - Pr'!C915="", "", 'AYIRA MINI MART FINAL MENU - Pr'!C915)</f>
        <v>2</v>
      </c>
      <c r="D915" s="58" t="str">
        <f>IF('AYIRA MINI MART FINAL MENU - Pr'!D915="", "", 'AYIRA MINI MART FINAL MENU - Pr'!D915)</f>
        <v>أضف لحظة حلوة إلى يومك مع Strawberry Lollipop،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15" s="56" t="str">
        <f>IF('AYIRA MINI MART FINAL MENU - Pr'!E915="", "", 'AYIRA MINI MART FINAL MENU - Pr'!E915)</f>
        <v/>
      </c>
      <c r="F915" s="56" t="str">
        <f>IF('AYIRA MINI MART FINAL MENU - Pr'!F915="", "", 'AYIRA MINI MART FINAL MENU - Pr'!F915)</f>
        <v/>
      </c>
      <c r="G915" s="56" t="str">
        <f>IF('AYIRA MINI MART FINAL MENU - Pr'!G915="", "", 'AYIRA MINI MART FINAL MENU - Pr'!G915)</f>
        <v/>
      </c>
      <c r="H915" s="56" t="str">
        <f>IF('AYIRA MINI MART FINAL MENU - Pr'!H915="", "", 'AYIRA MINI MART FINAL MENU - Pr'!H915)</f>
        <v/>
      </c>
      <c r="I915" s="56" t="str">
        <f>IF('AYIRA MINI MART FINAL MENU - Pr'!I915="", "", 'AYIRA MINI MART FINAL MENU - Pr'!I915)</f>
        <v/>
      </c>
      <c r="J915" s="56" t="str">
        <f>IFERROR(__xludf.DUMMYFUNCTION("IF('AYIRA MINI MART FINAL MENU - Pr'!J915="""", """", GOOGLETRANSLATE('AYIRA MINI MART FINAL MENU - Pr'!J915, ""en"", ""ar""))"),"")</f>
        <v/>
      </c>
      <c r="K915" s="56" t="str">
        <f>IF('AYIRA MINI MART FINAL MENU - Pr'!K915="", "", 'AYIRA MINI MART FINAL MENU - Pr'!K915)</f>
        <v/>
      </c>
      <c r="L915" s="56" t="str">
        <f>IF('AYIRA MINI MART FINAL MENU - Pr'!L915="", "", 'AYIRA MINI MART FINAL MENU - Pr'!L915)</f>
        <v/>
      </c>
      <c r="M915" s="56" t="str">
        <f>IF('AYIRA MINI MART FINAL MENU - Pr'!M915="", "", 'AYIRA MINI MART FINAL MENU - Pr'!M915)</f>
        <v/>
      </c>
      <c r="N915" s="56" t="str">
        <f>IF('AYIRA MINI MART FINAL MENU - Pr'!N915="", "", 'AYIRA MINI MART FINAL MENU - Pr'!N915)</f>
        <v/>
      </c>
      <c r="O915" s="57"/>
      <c r="P915" s="57"/>
      <c r="Q915" s="57"/>
      <c r="R915" s="57"/>
      <c r="S915" s="57"/>
      <c r="T915" s="57"/>
      <c r="U915" s="57"/>
      <c r="V915" s="57"/>
      <c r="W915" s="57"/>
      <c r="X915" s="57"/>
      <c r="Y915" s="57"/>
      <c r="Z915" s="57"/>
    </row>
    <row r="916">
      <c r="A916" s="56" t="str">
        <f>IFERROR(__xludf.DUMMYFUNCTION("IF('AYIRA MINI MART FINAL MENU - Pr'!A916="""", """", IF(LEN(TRIM(REGEXREPLACE(REGEXREPLACE('AYIRA MINI MART FINAL MENU - Pr'!A916, ""^[^\x{0600}-\x{06FF}]+"", """"), ""^[-–\s]+"", """")))&gt;0, TRIM(REGEXREPLACE(REGEXREPLACE('AYIRA MINI MART FINAL MENU - Pr"&amp;"'!A916, ""^[^\x{0600}-\x{06FF}]+"", """"), ""^[-–\s]+"", """")), GOOGLETRANSLATE('AYIRA MINI MART FINAL MENU - Pr'!A916, ""en"", ""ar"")))"),"تشوبا تشوبس Melody Pops Cola Flavour")</f>
        <v>تشوبا تشوبس Melody Pops Cola Flavour</v>
      </c>
      <c r="B916" s="56" t="str">
        <f>IFERROR(__xludf.DUMMYFUNCTION("IF('AYIRA MINI MART FINAL MENU - Pr'!B916="""", """", IF(LEN(TRIM(REGEXREPLACE(REGEXREPLACE('AYIRA MINI MART FINAL MENU - Pr'!B916, ""^[^\x{0600}-\x{06FF}]+"", """"), ""^[-–\s]+"", """")))&gt;0, TRIM(REGEXREPLACE(REGEXREPLACE('AYIRA MINI MART FINAL MENU - Pr"&amp;"'!B916, ""^[^\x{0600}-\x{06FF}]+"", """"), ""^[-–\s]+"", """")), GOOGLETRANSLATE('AYIRA MINI MART FINAL MENU - Pr'!B916, ""en"", ""ar"")))"),"الحلوى 🍬")</f>
        <v>الحلوى 🍬</v>
      </c>
      <c r="C916" s="58">
        <f>IF('AYIRA MINI MART FINAL MENU - Pr'!C916="", "", 'AYIRA MINI MART FINAL MENU - Pr'!C916)</f>
        <v>1.5</v>
      </c>
      <c r="D916" s="58" t="str">
        <f>IF('AYIRA MINI MART FINAL MENU - Pr'!D916="", "", 'AYIRA MINI MART FINAL MENU - Pr'!D916)</f>
        <v>استمتع بـ Chupa Chups Melody Pops Cola Flavour،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916" s="56" t="str">
        <f>IF('AYIRA MINI MART FINAL MENU - Pr'!E916="", "", 'AYIRA MINI MART FINAL MENU - Pr'!E916)</f>
        <v/>
      </c>
      <c r="F916" s="56" t="str">
        <f>IF('AYIRA MINI MART FINAL MENU - Pr'!F916="", "", 'AYIRA MINI MART FINAL MENU - Pr'!F916)</f>
        <v/>
      </c>
      <c r="G916" s="56" t="str">
        <f>IF('AYIRA MINI MART FINAL MENU - Pr'!G916="", "", 'AYIRA MINI MART FINAL MENU - Pr'!G916)</f>
        <v/>
      </c>
      <c r="H916" s="56" t="str">
        <f>IF('AYIRA MINI MART FINAL MENU - Pr'!H916="", "", 'AYIRA MINI MART FINAL MENU - Pr'!H916)</f>
        <v/>
      </c>
      <c r="I916" s="56" t="str">
        <f>IF('AYIRA MINI MART FINAL MENU - Pr'!I916="", "", 'AYIRA MINI MART FINAL MENU - Pr'!I916)</f>
        <v/>
      </c>
      <c r="J916" s="56" t="str">
        <f>IFERROR(__xludf.DUMMYFUNCTION("IF('AYIRA MINI MART FINAL MENU - Pr'!J916="""", """", GOOGLETRANSLATE('AYIRA MINI MART FINAL MENU - Pr'!J916, ""en"", ""ar""))"),"")</f>
        <v/>
      </c>
      <c r="K916" s="56" t="str">
        <f>IF('AYIRA MINI MART FINAL MENU - Pr'!K916="", "", 'AYIRA MINI MART FINAL MENU - Pr'!K916)</f>
        <v/>
      </c>
      <c r="L916" s="56" t="str">
        <f>IF('AYIRA MINI MART FINAL MENU - Pr'!L916="", "", 'AYIRA MINI MART FINAL MENU - Pr'!L916)</f>
        <v/>
      </c>
      <c r="M916" s="56" t="str">
        <f>IF('AYIRA MINI MART FINAL MENU - Pr'!M916="", "", 'AYIRA MINI MART FINAL MENU - Pr'!M916)</f>
        <v/>
      </c>
      <c r="N916" s="56" t="str">
        <f>IF('AYIRA MINI MART FINAL MENU - Pr'!N916="", "", 'AYIRA MINI MART FINAL MENU - Pr'!N916)</f>
        <v/>
      </c>
      <c r="O916" s="57"/>
      <c r="P916" s="57"/>
      <c r="Q916" s="57"/>
      <c r="R916" s="57"/>
      <c r="S916" s="57"/>
      <c r="T916" s="57"/>
      <c r="U916" s="57"/>
      <c r="V916" s="57"/>
      <c r="W916" s="57"/>
      <c r="X916" s="57"/>
      <c r="Y916" s="57"/>
      <c r="Z916" s="57"/>
    </row>
    <row r="917">
      <c r="A917" s="56" t="str">
        <f>IFERROR(__xludf.DUMMYFUNCTION("IF('AYIRA MINI MART FINAL MENU - Pr'!A917="""", """", IF(LEN(TRIM(REGEXREPLACE(REGEXREPLACE('AYIRA MINI MART FINAL MENU - Pr'!A917, ""^[^\x{0600}-\x{06FF}]+"", """"), ""^[-–\s]+"", """")))&gt;0, TRIM(REGEXREPLACE(REGEXREPLACE('AYIRA MINI MART FINAL MENU - Pr"&amp;"'!A917, ""^[^\x{0600}-\x{06FF}]+"", """"), ""^[-–\s]+"", """")), GOOGLETRANSLATE('AYIRA MINI MART FINAL MENU - Pr'!A917, ""en"", ""ar"")))"),"تشوبا تشوبس Melody Pops فراولة Flavour")</f>
        <v>تشوبا تشوبس Melody Pops فراولة Flavour</v>
      </c>
      <c r="B917" s="56" t="str">
        <f>IFERROR(__xludf.DUMMYFUNCTION("IF('AYIRA MINI MART FINAL MENU - Pr'!B917="""", """", IF(LEN(TRIM(REGEXREPLACE(REGEXREPLACE('AYIRA MINI MART FINAL MENU - Pr'!B917, ""^[^\x{0600}-\x{06FF}]+"", """"), ""^[-–\s]+"", """")))&gt;0, TRIM(REGEXREPLACE(REGEXREPLACE('AYIRA MINI MART FINAL MENU - Pr"&amp;"'!B917, ""^[^\x{0600}-\x{06FF}]+"", """"), ""^[-–\s]+"", """")), GOOGLETRANSLATE('AYIRA MINI MART FINAL MENU - Pr'!B917, ""en"", ""ar"")))"),"الحلوى 🍬")</f>
        <v>الحلوى 🍬</v>
      </c>
      <c r="C917" s="58">
        <f>IF('AYIRA MINI MART FINAL MENU - Pr'!C917="", "", 'AYIRA MINI MART FINAL MENU - Pr'!C917)</f>
        <v>1.5</v>
      </c>
      <c r="D917" s="58" t="str">
        <f>IF('AYIRA MINI MART FINAL MENU - Pr'!D917="", "", 'AYIRA MINI MART FINAL MENU - Pr'!D917)</f>
        <v>لا تقاوم طعم Chupa Chups Melody Pops Strawberry Flavour،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17" s="56" t="str">
        <f>IF('AYIRA MINI MART FINAL MENU - Pr'!E917="", "", 'AYIRA MINI MART FINAL MENU - Pr'!E917)</f>
        <v/>
      </c>
      <c r="F917" s="56" t="str">
        <f>IF('AYIRA MINI MART FINAL MENU - Pr'!F917="", "", 'AYIRA MINI MART FINAL MENU - Pr'!F917)</f>
        <v/>
      </c>
      <c r="G917" s="56" t="str">
        <f>IF('AYIRA MINI MART FINAL MENU - Pr'!G917="", "", 'AYIRA MINI MART FINAL MENU - Pr'!G917)</f>
        <v/>
      </c>
      <c r="H917" s="56" t="str">
        <f>IF('AYIRA MINI MART FINAL MENU - Pr'!H917="", "", 'AYIRA MINI MART FINAL MENU - Pr'!H917)</f>
        <v/>
      </c>
      <c r="I917" s="56" t="str">
        <f>IF('AYIRA MINI MART FINAL MENU - Pr'!I917="", "", 'AYIRA MINI MART FINAL MENU - Pr'!I917)</f>
        <v/>
      </c>
      <c r="J917" s="56" t="str">
        <f>IFERROR(__xludf.DUMMYFUNCTION("IF('AYIRA MINI MART FINAL MENU - Pr'!J917="""", """", GOOGLETRANSLATE('AYIRA MINI MART FINAL MENU - Pr'!J917, ""en"", ""ar""))"),"")</f>
        <v/>
      </c>
      <c r="K917" s="56" t="str">
        <f>IF('AYIRA MINI MART FINAL MENU - Pr'!K917="", "", 'AYIRA MINI MART FINAL MENU - Pr'!K917)</f>
        <v/>
      </c>
      <c r="L917" s="56" t="str">
        <f>IF('AYIRA MINI MART FINAL MENU - Pr'!L917="", "", 'AYIRA MINI MART FINAL MENU - Pr'!L917)</f>
        <v/>
      </c>
      <c r="M917" s="56" t="str">
        <f>IF('AYIRA MINI MART FINAL MENU - Pr'!M917="", "", 'AYIRA MINI MART FINAL MENU - Pr'!M917)</f>
        <v/>
      </c>
      <c r="N917" s="56" t="str">
        <f>IF('AYIRA MINI MART FINAL MENU - Pr'!N917="", "", 'AYIRA MINI MART FINAL MENU - Pr'!N917)</f>
        <v/>
      </c>
      <c r="O917" s="57"/>
      <c r="P917" s="57"/>
      <c r="Q917" s="57"/>
      <c r="R917" s="57"/>
      <c r="S917" s="57"/>
      <c r="T917" s="57"/>
      <c r="U917" s="57"/>
      <c r="V917" s="57"/>
      <c r="W917" s="57"/>
      <c r="X917" s="57"/>
      <c r="Y917" s="57"/>
      <c r="Z917" s="57"/>
    </row>
    <row r="918">
      <c r="A918" s="56" t="str">
        <f>IFERROR(__xludf.DUMMYFUNCTION("IF('AYIRA MINI MART FINAL MENU - Pr'!A918="""", """", IF(LEN(TRIM(REGEXREPLACE(REGEXREPLACE('AYIRA MINI MART FINAL MENU - Pr'!A918, ""^[^\x{0600}-\x{06FF}]+"", """"), ""^[-–\s]+"", """")))&gt;0, TRIM(REGEXREPLACE(REGEXREPLACE('AYIRA MINI MART FINAL MENU - Pr"&amp;"'!A918, ""^[^\x{0600}-\x{06FF}]+"", """"), ""^[-–\s]+"", """")), GOOGLETRANSLATE('AYIRA MINI MART FINAL MENU - Pr'!A918, ""en"", ""ar"")))"),"تشوبا تشوبس Sour Belt مشكل Fruit Flavour Soft and Chewy")</f>
        <v>تشوبا تشوبس Sour Belt مشكل Fruit Flavour Soft and Chewy</v>
      </c>
      <c r="B918" s="56" t="str">
        <f>IFERROR(__xludf.DUMMYFUNCTION("IF('AYIRA MINI MART FINAL MENU - Pr'!B918="""", """", IF(LEN(TRIM(REGEXREPLACE(REGEXREPLACE('AYIRA MINI MART FINAL MENU - Pr'!B918, ""^[^\x{0600}-\x{06FF}]+"", """"), ""^[-–\s]+"", """")))&gt;0, TRIM(REGEXREPLACE(REGEXREPLACE('AYIRA MINI MART FINAL MENU - Pr"&amp;"'!B918, ""^[^\x{0600}-\x{06FF}]+"", """"), ""^[-–\s]+"", """")), GOOGLETRANSLATE('AYIRA MINI MART FINAL MENU - Pr'!B918, ""en"", ""ar"")))"),"الحلوى 🍬")</f>
        <v>الحلوى 🍬</v>
      </c>
      <c r="C918" s="58">
        <f>IF('AYIRA MINI MART FINAL MENU - Pr'!C918="", "", 'AYIRA MINI MART FINAL MENU - Pr'!C918)</f>
        <v>1</v>
      </c>
      <c r="D918" s="58" t="str">
        <f>IF('AYIRA MINI MART FINAL MENU - Pr'!D918="", "", 'AYIRA MINI MART FINAL MENU - Pr'!D918)</f>
        <v>لا تقاوم طعم Chupa Chups Sour Belt Mixed Fruit Flavour Soft and Chewy،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18" s="56" t="str">
        <f>IF('AYIRA MINI MART FINAL MENU - Pr'!E918="", "", 'AYIRA MINI MART FINAL MENU - Pr'!E918)</f>
        <v/>
      </c>
      <c r="F918" s="56" t="str">
        <f>IF('AYIRA MINI MART FINAL MENU - Pr'!F918="", "", 'AYIRA MINI MART FINAL MENU - Pr'!F918)</f>
        <v/>
      </c>
      <c r="G918" s="56" t="str">
        <f>IF('AYIRA MINI MART FINAL MENU - Pr'!G918="", "", 'AYIRA MINI MART FINAL MENU - Pr'!G918)</f>
        <v/>
      </c>
      <c r="H918" s="56" t="str">
        <f>IF('AYIRA MINI MART FINAL MENU - Pr'!H918="", "", 'AYIRA MINI MART FINAL MENU - Pr'!H918)</f>
        <v/>
      </c>
      <c r="I918" s="56" t="str">
        <f>IF('AYIRA MINI MART FINAL MENU - Pr'!I918="", "", 'AYIRA MINI MART FINAL MENU - Pr'!I918)</f>
        <v/>
      </c>
      <c r="J918" s="56" t="str">
        <f>IFERROR(__xludf.DUMMYFUNCTION("IF('AYIRA MINI MART FINAL MENU - Pr'!J918="""", """", GOOGLETRANSLATE('AYIRA MINI MART FINAL MENU - Pr'!J918, ""en"", ""ar""))"),"")</f>
        <v/>
      </c>
      <c r="K918" s="56" t="str">
        <f>IF('AYIRA MINI MART FINAL MENU - Pr'!K918="", "", 'AYIRA MINI MART FINAL MENU - Pr'!K918)</f>
        <v/>
      </c>
      <c r="L918" s="56" t="str">
        <f>IF('AYIRA MINI MART FINAL MENU - Pr'!L918="", "", 'AYIRA MINI MART FINAL MENU - Pr'!L918)</f>
        <v/>
      </c>
      <c r="M918" s="56" t="str">
        <f>IF('AYIRA MINI MART FINAL MENU - Pr'!M918="", "", 'AYIRA MINI MART FINAL MENU - Pr'!M918)</f>
        <v/>
      </c>
      <c r="N918" s="56" t="str">
        <f>IF('AYIRA MINI MART FINAL MENU - Pr'!N918="", "", 'AYIRA MINI MART FINAL MENU - Pr'!N918)</f>
        <v/>
      </c>
      <c r="O918" s="57"/>
      <c r="P918" s="57"/>
      <c r="Q918" s="57"/>
      <c r="R918" s="57"/>
      <c r="S918" s="57"/>
      <c r="T918" s="57"/>
      <c r="U918" s="57"/>
      <c r="V918" s="57"/>
      <c r="W918" s="57"/>
      <c r="X918" s="57"/>
      <c r="Y918" s="57"/>
      <c r="Z918" s="57"/>
    </row>
    <row r="919">
      <c r="A919" s="56" t="str">
        <f>IFERROR(__xludf.DUMMYFUNCTION("IF('AYIRA MINI MART FINAL MENU - Pr'!A919="""", """", IF(LEN(TRIM(REGEXREPLACE(REGEXREPLACE('AYIRA MINI MART FINAL MENU - Pr'!A919, ""^[^\x{0600}-\x{06FF}]+"", """"), ""^[-–\s]+"", """")))&gt;0, TRIM(REGEXREPLACE(REGEXREPLACE('AYIRA MINI MART FINAL MENU - Pr"&amp;"'!A919, ""^[^\x{0600}-\x{06FF}]+"", """"), ""^[-–\s]+"", """")), GOOGLETRANSLATE('AYIRA MINI MART FINAL MENU - Pr'!A919, ""en"", ""ar"")))"),"حليب Flavour Chews Rich and Creamy Gelatin Free")</f>
        <v>حليب Flavour Chews Rich and Creamy Gelatin Free</v>
      </c>
      <c r="B919" s="56" t="str">
        <f>IFERROR(__xludf.DUMMYFUNCTION("IF('AYIRA MINI MART FINAL MENU - Pr'!B919="""", """", IF(LEN(TRIM(REGEXREPLACE(REGEXREPLACE('AYIRA MINI MART FINAL MENU - Pr'!B919, ""^[^\x{0600}-\x{06FF}]+"", """"), ""^[-–\s]+"", """")))&gt;0, TRIM(REGEXREPLACE(REGEXREPLACE('AYIRA MINI MART FINAL MENU - Pr"&amp;"'!B919, ""^[^\x{0600}-\x{06FF}]+"", """"), ""^[-–\s]+"", """")), GOOGLETRANSLATE('AYIRA MINI MART FINAL MENU - Pr'!B919, ""en"", ""ar"")))"),"العلكة")</f>
        <v>العلكة</v>
      </c>
      <c r="C919" s="58">
        <f>IF('AYIRA MINI MART FINAL MENU - Pr'!C919="", "", 'AYIRA MINI MART FINAL MENU - Pr'!C919)</f>
        <v>1.5</v>
      </c>
      <c r="D919" s="58" t="str">
        <f>IF('AYIRA MINI MART FINAL MENU - Pr'!D919="", "", 'AYIRA MINI MART FINAL MENU - Pr'!D919)</f>
        <v>لا تقاوم طعم Milk Flavour Chews Rich and Creamy Gelatin Free، رفيقك المثالي في أوقات الاسترخاء ومشاهدة المباريات. تتميز بقرمشتها الفريدة ونكهاتها المتنوعة التي تجعل كل حفنة تجربة ممتعة. محضرة من أجود المكونات وفق أحدث تقنيات التصنيع لضمان طعم لا يُضاهى. مثالية كوجبة خفيفة للكبار والصغار في الأوقات بين الوجبات. توفرها لك أيرا ميني مارت بالحجم والنكهة المناسبة لك.</v>
      </c>
      <c r="E919" s="56" t="str">
        <f>IF('AYIRA MINI MART FINAL MENU - Pr'!E919="", "", 'AYIRA MINI MART FINAL MENU - Pr'!E919)</f>
        <v/>
      </c>
      <c r="F919" s="56" t="str">
        <f>IF('AYIRA MINI MART FINAL MENU - Pr'!F919="", "", 'AYIRA MINI MART FINAL MENU - Pr'!F919)</f>
        <v/>
      </c>
      <c r="G919" s="56" t="str">
        <f>IF('AYIRA MINI MART FINAL MENU - Pr'!G919="", "", 'AYIRA MINI MART FINAL MENU - Pr'!G919)</f>
        <v/>
      </c>
      <c r="H919" s="56" t="str">
        <f>IF('AYIRA MINI MART FINAL MENU - Pr'!H919="", "", 'AYIRA MINI MART FINAL MENU - Pr'!H919)</f>
        <v/>
      </c>
      <c r="I919" s="56" t="str">
        <f>IF('AYIRA MINI MART FINAL MENU - Pr'!I919="", "", 'AYIRA MINI MART FINAL MENU - Pr'!I919)</f>
        <v/>
      </c>
      <c r="J919" s="56" t="str">
        <f>IFERROR(__xludf.DUMMYFUNCTION("IF('AYIRA MINI MART FINAL MENU - Pr'!J919="""", """", GOOGLETRANSLATE('AYIRA MINI MART FINAL MENU - Pr'!J919, ""en"", ""ar""))"),"")</f>
        <v/>
      </c>
      <c r="K919" s="56" t="str">
        <f>IF('AYIRA MINI MART FINAL MENU - Pr'!K919="", "", 'AYIRA MINI MART FINAL MENU - Pr'!K919)</f>
        <v/>
      </c>
      <c r="L919" s="56" t="str">
        <f>IF('AYIRA MINI MART FINAL MENU - Pr'!L919="", "", 'AYIRA MINI MART FINAL MENU - Pr'!L919)</f>
        <v/>
      </c>
      <c r="M919" s="56" t="str">
        <f>IF('AYIRA MINI MART FINAL MENU - Pr'!M919="", "", 'AYIRA MINI MART FINAL MENU - Pr'!M919)</f>
        <v/>
      </c>
      <c r="N919" s="56" t="str">
        <f>IF('AYIRA MINI MART FINAL MENU - Pr'!N919="", "", 'AYIRA MINI MART FINAL MENU - Pr'!N919)</f>
        <v/>
      </c>
      <c r="O919" s="57"/>
      <c r="P919" s="57"/>
      <c r="Q919" s="57"/>
      <c r="R919" s="57"/>
      <c r="S919" s="57"/>
      <c r="T919" s="57"/>
      <c r="U919" s="57"/>
      <c r="V919" s="57"/>
      <c r="W919" s="57"/>
      <c r="X919" s="57"/>
      <c r="Y919" s="57"/>
      <c r="Z919" s="57"/>
    </row>
    <row r="920">
      <c r="A920" s="56" t="str">
        <f>IFERROR(__xludf.DUMMYFUNCTION("IF('AYIRA MINI MART FINAL MENU - Pr'!A920="""", """", IF(LEN(TRIM(REGEXREPLACE(REGEXREPLACE('AYIRA MINI MART FINAL MENU - Pr'!A920, ""^[^\x{0600}-\x{06FF}]+"", """"), ""^[-–\s]+"", """")))&gt;0, TRIM(REGEXREPLACE(REGEXREPLACE('AYIRA MINI MART FINAL MENU - Pr"&amp;"'!A920, ""^[^\x{0600}-\x{06FF}]+"", """"), ""^[-–\s]+"", """")), GOOGLETRANSLATE('AYIRA MINI MART FINAL MENU - Pr'!A920, ""en"", ""ar"")))"),"منتوس Incredible Chew Soft Candy Green تفاح Flavour")</f>
        <v>منتوس Incredible Chew Soft Candy Green تفاح Flavour</v>
      </c>
      <c r="B920" s="56" t="str">
        <f>IFERROR(__xludf.DUMMYFUNCTION("IF('AYIRA MINI MART FINAL MENU - Pr'!B920="""", """", IF(LEN(TRIM(REGEXREPLACE(REGEXREPLACE('AYIRA MINI MART FINAL MENU - Pr'!B920, ""^[^\x{0600}-\x{06FF}]+"", """"), ""^[-–\s]+"", """")))&gt;0, TRIM(REGEXREPLACE(REGEXREPLACE('AYIRA MINI MART FINAL MENU - Pr"&amp;"'!B920, ""^[^\x{0600}-\x{06FF}]+"", """"), ""^[-–\s]+"", """")), GOOGLETRANSLATE('AYIRA MINI MART FINAL MENU - Pr'!B920, ""en"", ""ar"")))"),"العلكة")</f>
        <v>العلكة</v>
      </c>
      <c r="C920" s="58">
        <f>IF('AYIRA MINI MART FINAL MENU - Pr'!C920="", "", 'AYIRA MINI MART FINAL MENU - Pr'!C920)</f>
        <v>3</v>
      </c>
      <c r="D920" s="58" t="str">
        <f>IF('AYIRA MINI MART FINAL MENU - Pr'!D920="", "", 'AYIRA MINI MART FINAL MENU - Pr'!D920)</f>
        <v>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20" s="56" t="str">
        <f>IF('AYIRA MINI MART FINAL MENU - Pr'!E920="", "", 'AYIRA MINI MART FINAL MENU - Pr'!E920)</f>
        <v/>
      </c>
      <c r="F920" s="56" t="str">
        <f>IF('AYIRA MINI MART FINAL MENU - Pr'!F920="", "", 'AYIRA MINI MART FINAL MENU - Pr'!F920)</f>
        <v/>
      </c>
      <c r="G920" s="56" t="str">
        <f>IF('AYIRA MINI MART FINAL MENU - Pr'!G920="", "", 'AYIRA MINI MART FINAL MENU - Pr'!G920)</f>
        <v/>
      </c>
      <c r="H920" s="56" t="str">
        <f>IF('AYIRA MINI MART FINAL MENU - Pr'!H920="", "", 'AYIRA MINI MART FINAL MENU - Pr'!H920)</f>
        <v/>
      </c>
      <c r="I920" s="56" t="str">
        <f>IF('AYIRA MINI MART FINAL MENU - Pr'!I920="", "", 'AYIRA MINI MART FINAL MENU - Pr'!I920)</f>
        <v/>
      </c>
      <c r="J920" s="56" t="str">
        <f>IFERROR(__xludf.DUMMYFUNCTION("IF('AYIRA MINI MART FINAL MENU - Pr'!J920="""", """", GOOGLETRANSLATE('AYIRA MINI MART FINAL MENU - Pr'!J920, ""en"", ""ar""))"),"")</f>
        <v/>
      </c>
      <c r="K920" s="56" t="str">
        <f>IF('AYIRA MINI MART FINAL MENU - Pr'!K920="", "", 'AYIRA MINI MART FINAL MENU - Pr'!K920)</f>
        <v/>
      </c>
      <c r="L920" s="56" t="str">
        <f>IF('AYIRA MINI MART FINAL MENU - Pr'!L920="", "", 'AYIRA MINI MART FINAL MENU - Pr'!L920)</f>
        <v/>
      </c>
      <c r="M920" s="56" t="str">
        <f>IF('AYIRA MINI MART FINAL MENU - Pr'!M920="", "", 'AYIRA MINI MART FINAL MENU - Pr'!M920)</f>
        <v/>
      </c>
      <c r="N920" s="56" t="str">
        <f>IF('AYIRA MINI MART FINAL MENU - Pr'!N920="", "", 'AYIRA MINI MART FINAL MENU - Pr'!N920)</f>
        <v/>
      </c>
      <c r="O920" s="57"/>
      <c r="P920" s="57"/>
      <c r="Q920" s="57"/>
      <c r="R920" s="57"/>
      <c r="S920" s="57"/>
      <c r="T920" s="57"/>
      <c r="U920" s="57"/>
      <c r="V920" s="57"/>
      <c r="W920" s="57"/>
      <c r="X920" s="57"/>
      <c r="Y920" s="57"/>
      <c r="Z920" s="57"/>
    </row>
    <row r="921">
      <c r="A921" s="56" t="str">
        <f>IFERROR(__xludf.DUMMYFUNCTION("IF('AYIRA MINI MART FINAL MENU - Pr'!A921="""", """", IF(LEN(TRIM(REGEXREPLACE(REGEXREPLACE('AYIRA MINI MART FINAL MENU - Pr'!A921, ""^[^\x{0600}-\x{06FF}]+"", """"), ""^[-–\s]+"", """")))&gt;0, TRIM(REGEXREPLACE(REGEXREPLACE('AYIRA MINI MART FINAL MENU - Pr"&amp;"'!A921, ""^[^\x{0600}-\x{06FF}]+"", """"), ""^[-–\s]+"", """")), GOOGLETRANSLATE('AYIRA MINI MART FINAL MENU - Pr'!A921, ""en"", ""ar"")))"),"منتوس Incredible Chew Soft Candy عنب Flavour")</f>
        <v>منتوس Incredible Chew Soft Candy عنب Flavour</v>
      </c>
      <c r="B921" s="56" t="str">
        <f>IFERROR(__xludf.DUMMYFUNCTION("IF('AYIRA MINI MART FINAL MENU - Pr'!B921="""", """", IF(LEN(TRIM(REGEXREPLACE(REGEXREPLACE('AYIRA MINI MART FINAL MENU - Pr'!B921, ""^[^\x{0600}-\x{06FF}]+"", """"), ""^[-–\s]+"", """")))&gt;0, TRIM(REGEXREPLACE(REGEXREPLACE('AYIRA MINI MART FINAL MENU - Pr"&amp;"'!B921, ""^[^\x{0600}-\x{06FF}]+"", """"), ""^[-–\s]+"", """")), GOOGLETRANSLATE('AYIRA MINI MART FINAL MENU - Pr'!B921, ""en"", ""ar"")))"),"العلكة")</f>
        <v>العلكة</v>
      </c>
      <c r="C921" s="58">
        <f>IF('AYIRA MINI MART FINAL MENU - Pr'!C921="", "", 'AYIRA MINI MART FINAL MENU - Pr'!C921)</f>
        <v>3</v>
      </c>
      <c r="D921" s="58" t="str">
        <f>IF('AYIRA MINI MART FINAL MENU - Pr'!D921="", "", 'AYIRA MINI MART FINAL MENU - Pr'!D921)</f>
        <v>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21" s="56" t="str">
        <f>IF('AYIRA MINI MART FINAL MENU - Pr'!E921="", "", 'AYIRA MINI MART FINAL MENU - Pr'!E921)</f>
        <v/>
      </c>
      <c r="F921" s="56" t="str">
        <f>IF('AYIRA MINI MART FINAL MENU - Pr'!F921="", "", 'AYIRA MINI MART FINAL MENU - Pr'!F921)</f>
        <v/>
      </c>
      <c r="G921" s="56" t="str">
        <f>IF('AYIRA MINI MART FINAL MENU - Pr'!G921="", "", 'AYIRA MINI MART FINAL MENU - Pr'!G921)</f>
        <v/>
      </c>
      <c r="H921" s="56" t="str">
        <f>IF('AYIRA MINI MART FINAL MENU - Pr'!H921="", "", 'AYIRA MINI MART FINAL MENU - Pr'!H921)</f>
        <v/>
      </c>
      <c r="I921" s="56" t="str">
        <f>IF('AYIRA MINI MART FINAL MENU - Pr'!I921="", "", 'AYIRA MINI MART FINAL MENU - Pr'!I921)</f>
        <v/>
      </c>
      <c r="J921" s="56" t="str">
        <f>IFERROR(__xludf.DUMMYFUNCTION("IF('AYIRA MINI MART FINAL MENU - Pr'!J921="""", """", GOOGLETRANSLATE('AYIRA MINI MART FINAL MENU - Pr'!J921, ""en"", ""ar""))"),"")</f>
        <v/>
      </c>
      <c r="K921" s="56" t="str">
        <f>IF('AYIRA MINI MART FINAL MENU - Pr'!K921="", "", 'AYIRA MINI MART FINAL MENU - Pr'!K921)</f>
        <v/>
      </c>
      <c r="L921" s="56" t="str">
        <f>IF('AYIRA MINI MART FINAL MENU - Pr'!L921="", "", 'AYIRA MINI MART FINAL MENU - Pr'!L921)</f>
        <v/>
      </c>
      <c r="M921" s="56" t="str">
        <f>IF('AYIRA MINI MART FINAL MENU - Pr'!M921="", "", 'AYIRA MINI MART FINAL MENU - Pr'!M921)</f>
        <v/>
      </c>
      <c r="N921" s="56" t="str">
        <f>IF('AYIRA MINI MART FINAL MENU - Pr'!N921="", "", 'AYIRA MINI MART FINAL MENU - Pr'!N921)</f>
        <v/>
      </c>
      <c r="O921" s="57"/>
      <c r="P921" s="57"/>
      <c r="Q921" s="57"/>
      <c r="R921" s="57"/>
      <c r="S921" s="57"/>
      <c r="T921" s="57"/>
      <c r="U921" s="57"/>
      <c r="V921" s="57"/>
      <c r="W921" s="57"/>
      <c r="X921" s="57"/>
      <c r="Y921" s="57"/>
      <c r="Z921" s="57"/>
    </row>
    <row r="922">
      <c r="A922" s="56" t="str">
        <f>IFERROR(__xludf.DUMMYFUNCTION("IF('AYIRA MINI MART FINAL MENU - Pr'!A922="""", """", IF(LEN(TRIM(REGEXREPLACE(REGEXREPLACE('AYIRA MINI MART FINAL MENU - Pr'!A922, ""^[^\x{0600}-\x{06FF}]+"", """"), ""^[-–\s]+"", """")))&gt;0, TRIM(REGEXREPLACE(REGEXREPLACE('AYIRA MINI MART FINAL MENU - Pr"&amp;"'!A922, ""^[^\x{0600}-\x{06FF}]+"", """"), ""^[-–\s]+"", """")), GOOGLETRANSLATE('AYIRA MINI MART FINAL MENU - Pr'!A922, ""en"", ""ar"")))"),"منتوس Incredible Chew Soft Candy فراولة Flavour")</f>
        <v>منتوس Incredible Chew Soft Candy فراولة Flavour</v>
      </c>
      <c r="B922" s="56" t="str">
        <f>IFERROR(__xludf.DUMMYFUNCTION("IF('AYIRA MINI MART FINAL MENU - Pr'!B922="""", """", IF(LEN(TRIM(REGEXREPLACE(REGEXREPLACE('AYIRA MINI MART FINAL MENU - Pr'!B922, ""^[^\x{0600}-\x{06FF}]+"", """"), ""^[-–\s]+"", """")))&gt;0, TRIM(REGEXREPLACE(REGEXREPLACE('AYIRA MINI MART FINAL MENU - Pr"&amp;"'!B922, ""^[^\x{0600}-\x{06FF}]+"", """"), ""^[-–\s]+"", """")), GOOGLETRANSLATE('AYIRA MINI MART FINAL MENU - Pr'!B922, ""en"", ""ar"")))"),"العلكة")</f>
        <v>العلكة</v>
      </c>
      <c r="C922" s="58">
        <f>IF('AYIRA MINI MART FINAL MENU - Pr'!C922="", "", 'AYIRA MINI MART FINAL MENU - Pr'!C922)</f>
        <v>3</v>
      </c>
      <c r="D922" s="58" t="str">
        <f>IF('AYIRA MINI MART FINAL MENU - Pr'!D922="", "", 'AYIRA MINI MART FINAL MENU - Pr'!D922)</f>
        <v>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22" s="56" t="str">
        <f>IF('AYIRA MINI MART FINAL MENU - Pr'!E922="", "", 'AYIRA MINI MART FINAL MENU - Pr'!E922)</f>
        <v/>
      </c>
      <c r="F922" s="56" t="str">
        <f>IF('AYIRA MINI MART FINAL MENU - Pr'!F922="", "", 'AYIRA MINI MART FINAL MENU - Pr'!F922)</f>
        <v/>
      </c>
      <c r="G922" s="56" t="str">
        <f>IF('AYIRA MINI MART FINAL MENU - Pr'!G922="", "", 'AYIRA MINI MART FINAL MENU - Pr'!G922)</f>
        <v/>
      </c>
      <c r="H922" s="56" t="str">
        <f>IF('AYIRA MINI MART FINAL MENU - Pr'!H922="", "", 'AYIRA MINI MART FINAL MENU - Pr'!H922)</f>
        <v/>
      </c>
      <c r="I922" s="56" t="str">
        <f>IF('AYIRA MINI MART FINAL MENU - Pr'!I922="", "", 'AYIRA MINI MART FINAL MENU - Pr'!I922)</f>
        <v/>
      </c>
      <c r="J922" s="56" t="str">
        <f>IFERROR(__xludf.DUMMYFUNCTION("IF('AYIRA MINI MART FINAL MENU - Pr'!J922="""", """", GOOGLETRANSLATE('AYIRA MINI MART FINAL MENU - Pr'!J922, ""en"", ""ar""))"),"")</f>
        <v/>
      </c>
      <c r="K922" s="56" t="str">
        <f>IF('AYIRA MINI MART FINAL MENU - Pr'!K922="", "", 'AYIRA MINI MART FINAL MENU - Pr'!K922)</f>
        <v/>
      </c>
      <c r="L922" s="56" t="str">
        <f>IF('AYIRA MINI MART FINAL MENU - Pr'!L922="", "", 'AYIRA MINI MART FINAL MENU - Pr'!L922)</f>
        <v/>
      </c>
      <c r="M922" s="56" t="str">
        <f>IF('AYIRA MINI MART FINAL MENU - Pr'!M922="", "", 'AYIRA MINI MART FINAL MENU - Pr'!M922)</f>
        <v/>
      </c>
      <c r="N922" s="56" t="str">
        <f>IF('AYIRA MINI MART FINAL MENU - Pr'!N922="", "", 'AYIRA MINI MART FINAL MENU - Pr'!N922)</f>
        <v/>
      </c>
      <c r="O922" s="57"/>
      <c r="P922" s="57"/>
      <c r="Q922" s="57"/>
      <c r="R922" s="57"/>
      <c r="S922" s="57"/>
      <c r="T922" s="57"/>
      <c r="U922" s="57"/>
      <c r="V922" s="57"/>
      <c r="W922" s="57"/>
      <c r="X922" s="57"/>
      <c r="Y922" s="57"/>
      <c r="Z922" s="57"/>
    </row>
    <row r="923">
      <c r="A923" s="56" t="str">
        <f>IFERROR(__xludf.DUMMYFUNCTION("IF('AYIRA MINI MART FINAL MENU - Pr'!A923="""", """", IF(LEN(TRIM(REGEXREPLACE(REGEXREPLACE('AYIRA MINI MART FINAL MENU - Pr'!A923, ""^[^\x{0600}-\x{06FF}]+"", """"), ""^[-–\s]+"", """")))&gt;0, TRIM(REGEXREPLACE(REGEXREPLACE('AYIRA MINI MART FINAL MENU - Pr"&amp;"'!A923, ""^[^\x{0600}-\x{06FF}]+"", """"), ""^[-–\s]+"", """")), GOOGLETRANSLATE('AYIRA MINI MART FINAL MENU - Pr'!A923, ""en"", ""ar"")))"),"ريد باند توتي فروتي حلوى بنكهة الفواكه")</f>
        <v>ريد باند توتي فروتي حلوى بنكهة الفواكه</v>
      </c>
      <c r="B923" s="56" t="str">
        <f>IFERROR(__xludf.DUMMYFUNCTION("IF('AYIRA MINI MART FINAL MENU - Pr'!B923="""", """", IF(LEN(TRIM(REGEXREPLACE(REGEXREPLACE('AYIRA MINI MART FINAL MENU - Pr'!B923, ""^[^\x{0600}-\x{06FF}]+"", """"), ""^[-–\s]+"", """")))&gt;0, TRIM(REGEXREPLACE(REGEXREPLACE('AYIRA MINI MART FINAL MENU - Pr"&amp;"'!B923, ""^[^\x{0600}-\x{06FF}]+"", """"), ""^[-–\s]+"", """")), GOOGLETRANSLATE('AYIRA MINI MART FINAL MENU - Pr'!B923, ""en"", ""ar"")))"),"الحلوى 🍬")</f>
        <v>الحلوى 🍬</v>
      </c>
      <c r="C923" s="58">
        <f>IF('AYIRA MINI MART FINAL MENU - Pr'!C923="", "", 'AYIRA MINI MART FINAL MENU - Pr'!C923)</f>
        <v>2</v>
      </c>
      <c r="D923" s="58" t="str">
        <f>IF('AYIRA MINI MART FINAL MENU - Pr'!D923="", "", 'AYIRA MINI MART FINAL MENU - Pr'!D923)</f>
        <v>أضف لحظة حلوة إلى يومك مع Red Band Tutti Frutti Fruit Flavoured Candy،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23" s="56" t="str">
        <f>IF('AYIRA MINI MART FINAL MENU - Pr'!E923="", "", 'AYIRA MINI MART FINAL MENU - Pr'!E923)</f>
        <v/>
      </c>
      <c r="F923" s="56" t="str">
        <f>IF('AYIRA MINI MART FINAL MENU - Pr'!F923="", "", 'AYIRA MINI MART FINAL MENU - Pr'!F923)</f>
        <v/>
      </c>
      <c r="G923" s="56" t="str">
        <f>IF('AYIRA MINI MART FINAL MENU - Pr'!G923="", "", 'AYIRA MINI MART FINAL MENU - Pr'!G923)</f>
        <v/>
      </c>
      <c r="H923" s="56" t="str">
        <f>IF('AYIRA MINI MART FINAL MENU - Pr'!H923="", "", 'AYIRA MINI MART FINAL MENU - Pr'!H923)</f>
        <v/>
      </c>
      <c r="I923" s="56" t="str">
        <f>IF('AYIRA MINI MART FINAL MENU - Pr'!I923="", "", 'AYIRA MINI MART FINAL MENU - Pr'!I923)</f>
        <v/>
      </c>
      <c r="J923" s="56" t="str">
        <f>IFERROR(__xludf.DUMMYFUNCTION("IF('AYIRA MINI MART FINAL MENU - Pr'!J923="""", """", GOOGLETRANSLATE('AYIRA MINI MART FINAL MENU - Pr'!J923, ""en"", ""ar""))"),"")</f>
        <v/>
      </c>
      <c r="K923" s="56" t="str">
        <f>IF('AYIRA MINI MART FINAL MENU - Pr'!K923="", "", 'AYIRA MINI MART FINAL MENU - Pr'!K923)</f>
        <v/>
      </c>
      <c r="L923" s="56" t="str">
        <f>IF('AYIRA MINI MART FINAL MENU - Pr'!L923="", "", 'AYIRA MINI MART FINAL MENU - Pr'!L923)</f>
        <v/>
      </c>
      <c r="M923" s="56" t="str">
        <f>IF('AYIRA MINI MART FINAL MENU - Pr'!M923="", "", 'AYIRA MINI MART FINAL MENU - Pr'!M923)</f>
        <v/>
      </c>
      <c r="N923" s="56" t="str">
        <f>IF('AYIRA MINI MART FINAL MENU - Pr'!N923="", "", 'AYIRA MINI MART FINAL MENU - Pr'!N923)</f>
        <v/>
      </c>
      <c r="O923" s="57"/>
      <c r="P923" s="57"/>
      <c r="Q923" s="57"/>
      <c r="R923" s="57"/>
      <c r="S923" s="57"/>
      <c r="T923" s="57"/>
      <c r="U923" s="57"/>
      <c r="V923" s="57"/>
      <c r="W923" s="57"/>
      <c r="X923" s="57"/>
      <c r="Y923" s="57"/>
      <c r="Z923" s="57"/>
    </row>
    <row r="924">
      <c r="A924" s="56" t="str">
        <f>IFERROR(__xludf.DUMMYFUNCTION("IF('AYIRA MINI MART FINAL MENU - Pr'!A924="""", """", IF(LEN(TRIM(REGEXREPLACE(REGEXREPLACE('AYIRA MINI MART FINAL MENU - Pr'!A924, ""^[^\x{0600}-\x{06FF}]+"", """"), ""^[-–\s]+"", """")))&gt;0, TRIM(REGEXREPLACE(REGEXREPLACE('AYIRA MINI MART FINAL MENU - Pr"&amp;"'!A924, ""^[^\x{0600}-\x{06FF}]+"", """"), ""^[-–\s]+"", """")), GOOGLETRANSLATE('AYIRA MINI MART FINAL MENU - Pr'!A924, ""en"", ""ar"")))"),"منتوس أبيض خالي من السكر Chewing Gum فراولة Flavour 72 Pieces")</f>
        <v>منتوس أبيض خالي من السكر Chewing Gum فراولة Flavour 72 Pieces</v>
      </c>
      <c r="B924" s="56" t="str">
        <f>IFERROR(__xludf.DUMMYFUNCTION("IF('AYIRA MINI MART FINAL MENU - Pr'!B924="""", """", IF(LEN(TRIM(REGEXREPLACE(REGEXREPLACE('AYIRA MINI MART FINAL MENU - Pr'!B924, ""^[^\x{0600}-\x{06FF}]+"", """"), ""^[-–\s]+"", """")))&gt;0, TRIM(REGEXREPLACE(REGEXREPLACE('AYIRA MINI MART FINAL MENU - Pr"&amp;"'!B924, ""^[^\x{0600}-\x{06FF}]+"", """"), ""^[-–\s]+"", """")), GOOGLETRANSLATE('AYIRA MINI MART FINAL MENU - Pr'!B924, ""en"", ""ar"")))"),"العلكة")</f>
        <v>العلكة</v>
      </c>
      <c r="C924" s="58">
        <f>IF('AYIRA MINI MART FINAL MENU - Pr'!C924="", "", 'AYIRA MINI MART FINAL MENU - Pr'!C924)</f>
        <v>14</v>
      </c>
      <c r="D924" s="58" t="str">
        <f>IF('AYIRA MINI MART FINAL MENU - Pr'!D924="", "", 'AYIRA MINI MART FINAL MENU - Pr'!D924)</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24" s="56" t="str">
        <f>IF('AYIRA MINI MART FINAL MENU - Pr'!E924="", "", 'AYIRA MINI MART FINAL MENU - Pr'!E924)</f>
        <v/>
      </c>
      <c r="F924" s="56" t="str">
        <f>IF('AYIRA MINI MART FINAL MENU - Pr'!F924="", "", 'AYIRA MINI MART FINAL MENU - Pr'!F924)</f>
        <v/>
      </c>
      <c r="G924" s="56" t="str">
        <f>IF('AYIRA MINI MART FINAL MENU - Pr'!G924="", "", 'AYIRA MINI MART FINAL MENU - Pr'!G924)</f>
        <v/>
      </c>
      <c r="H924" s="56" t="str">
        <f>IF('AYIRA MINI MART FINAL MENU - Pr'!H924="", "", 'AYIRA MINI MART FINAL MENU - Pr'!H924)</f>
        <v/>
      </c>
      <c r="I924" s="56" t="str">
        <f>IF('AYIRA MINI MART FINAL MENU - Pr'!I924="", "", 'AYIRA MINI MART FINAL MENU - Pr'!I924)</f>
        <v/>
      </c>
      <c r="J924" s="56" t="str">
        <f>IFERROR(__xludf.DUMMYFUNCTION("IF('AYIRA MINI MART FINAL MENU - Pr'!J924="""", """", GOOGLETRANSLATE('AYIRA MINI MART FINAL MENU - Pr'!J924, ""en"", ""ar""))"),"")</f>
        <v/>
      </c>
      <c r="K924" s="56" t="str">
        <f>IF('AYIRA MINI MART FINAL MENU - Pr'!K924="", "", 'AYIRA MINI MART FINAL MENU - Pr'!K924)</f>
        <v/>
      </c>
      <c r="L924" s="56" t="str">
        <f>IF('AYIRA MINI MART FINAL MENU - Pr'!L924="", "", 'AYIRA MINI MART FINAL MENU - Pr'!L924)</f>
        <v/>
      </c>
      <c r="M924" s="56" t="str">
        <f>IF('AYIRA MINI MART FINAL MENU - Pr'!M924="", "", 'AYIRA MINI MART FINAL MENU - Pr'!M924)</f>
        <v/>
      </c>
      <c r="N924" s="56" t="str">
        <f>IF('AYIRA MINI MART FINAL MENU - Pr'!N924="", "", 'AYIRA MINI MART FINAL MENU - Pr'!N924)</f>
        <v/>
      </c>
      <c r="O924" s="57"/>
      <c r="P924" s="57"/>
      <c r="Q924" s="57"/>
      <c r="R924" s="57"/>
      <c r="S924" s="57"/>
      <c r="T924" s="57"/>
      <c r="U924" s="57"/>
      <c r="V924" s="57"/>
      <c r="W924" s="57"/>
      <c r="X924" s="57"/>
      <c r="Y924" s="57"/>
      <c r="Z924" s="57"/>
    </row>
    <row r="925">
      <c r="A925" s="56" t="str">
        <f>IFERROR(__xludf.DUMMYFUNCTION("IF('AYIRA MINI MART FINAL MENU - Pr'!A925="""", """", IF(LEN(TRIM(REGEXREPLACE(REGEXREPLACE('AYIRA MINI MART FINAL MENU - Pr'!A925, ""^[^\x{0600}-\x{06FF}]+"", """"), ""^[-–\s]+"", """")))&gt;0, TRIM(REGEXREPLACE(REGEXREPLACE('AYIRA MINI MART FINAL MENU - Pr"&amp;"'!A925, ""^[^\x{0600}-\x{06FF}]+"", """"), ""^[-–\s]+"", """")), GOOGLETRANSLATE('AYIRA MINI MART FINAL MENU - Pr'!A925, ""en"", ""ar"")))"),"منتوس أبيض خالي من السكر Chewing Gum Spearmint Flavour 72 Pieces")</f>
        <v>منتوس أبيض خالي من السكر Chewing Gum Spearmint Flavour 72 Pieces</v>
      </c>
      <c r="B925" s="56" t="str">
        <f>IFERROR(__xludf.DUMMYFUNCTION("IF('AYIRA MINI MART FINAL MENU - Pr'!B925="""", """", IF(LEN(TRIM(REGEXREPLACE(REGEXREPLACE('AYIRA MINI MART FINAL MENU - Pr'!B925, ""^[^\x{0600}-\x{06FF}]+"", """"), ""^[-–\s]+"", """")))&gt;0, TRIM(REGEXREPLACE(REGEXREPLACE('AYIRA MINI MART FINAL MENU - Pr"&amp;"'!B925, ""^[^\x{0600}-\x{06FF}]+"", """"), ""^[-–\s]+"", """")), GOOGLETRANSLATE('AYIRA MINI MART FINAL MENU - Pr'!B925, ""en"", ""ar"")))"),"العلكة")</f>
        <v>العلكة</v>
      </c>
      <c r="C925" s="58">
        <f>IF('AYIRA MINI MART FINAL MENU - Pr'!C925="", "", 'AYIRA MINI MART FINAL MENU - Pr'!C925)</f>
        <v>14</v>
      </c>
      <c r="D925" s="58" t="str">
        <f>IF('AYIRA MINI MART FINAL MENU - Pr'!D925="", "", 'AYIRA MINI MART FINAL MENU - Pr'!D925)</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25" s="56" t="str">
        <f>IF('AYIRA MINI MART FINAL MENU - Pr'!E925="", "", 'AYIRA MINI MART FINAL MENU - Pr'!E925)</f>
        <v/>
      </c>
      <c r="F925" s="56" t="str">
        <f>IF('AYIRA MINI MART FINAL MENU - Pr'!F925="", "", 'AYIRA MINI MART FINAL MENU - Pr'!F925)</f>
        <v/>
      </c>
      <c r="G925" s="56" t="str">
        <f>IF('AYIRA MINI MART FINAL MENU - Pr'!G925="", "", 'AYIRA MINI MART FINAL MENU - Pr'!G925)</f>
        <v/>
      </c>
      <c r="H925" s="56" t="str">
        <f>IF('AYIRA MINI MART FINAL MENU - Pr'!H925="", "", 'AYIRA MINI MART FINAL MENU - Pr'!H925)</f>
        <v/>
      </c>
      <c r="I925" s="56" t="str">
        <f>IF('AYIRA MINI MART FINAL MENU - Pr'!I925="", "", 'AYIRA MINI MART FINAL MENU - Pr'!I925)</f>
        <v/>
      </c>
      <c r="J925" s="56" t="str">
        <f>IFERROR(__xludf.DUMMYFUNCTION("IF('AYIRA MINI MART FINAL MENU - Pr'!J925="""", """", GOOGLETRANSLATE('AYIRA MINI MART FINAL MENU - Pr'!J925, ""en"", ""ar""))"),"")</f>
        <v/>
      </c>
      <c r="K925" s="56" t="str">
        <f>IF('AYIRA MINI MART FINAL MENU - Pr'!K925="", "", 'AYIRA MINI MART FINAL MENU - Pr'!K925)</f>
        <v/>
      </c>
      <c r="L925" s="56" t="str">
        <f>IF('AYIRA MINI MART FINAL MENU - Pr'!L925="", "", 'AYIRA MINI MART FINAL MENU - Pr'!L925)</f>
        <v/>
      </c>
      <c r="M925" s="56" t="str">
        <f>IF('AYIRA MINI MART FINAL MENU - Pr'!M925="", "", 'AYIRA MINI MART FINAL MENU - Pr'!M925)</f>
        <v/>
      </c>
      <c r="N925" s="56" t="str">
        <f>IF('AYIRA MINI MART FINAL MENU - Pr'!N925="", "", 'AYIRA MINI MART FINAL MENU - Pr'!N925)</f>
        <v/>
      </c>
      <c r="O925" s="57"/>
      <c r="P925" s="57"/>
      <c r="Q925" s="57"/>
      <c r="R925" s="57"/>
      <c r="S925" s="57"/>
      <c r="T925" s="57"/>
      <c r="U925" s="57"/>
      <c r="V925" s="57"/>
      <c r="W925" s="57"/>
      <c r="X925" s="57"/>
      <c r="Y925" s="57"/>
      <c r="Z925" s="57"/>
    </row>
    <row r="926">
      <c r="A926" s="56" t="str">
        <f>IFERROR(__xludf.DUMMYFUNCTION("IF('AYIRA MINI MART FINAL MENU - Pr'!A926="""", """", IF(LEN(TRIM(REGEXREPLACE(REGEXREPLACE('AYIRA MINI MART FINAL MENU - Pr'!A926, ""^[^\x{0600}-\x{06FF}]+"", """"), ""^[-–\s]+"", """")))&gt;0, TRIM(REGEXREPLACE(REGEXREPLACE('AYIRA MINI MART FINAL MENU - Pr"&amp;"'!A926, ""^[^\x{0600}-\x{06FF}]+"", """"), ""^[-–\s]+"", """")), GOOGLETRANSLATE('AYIRA MINI MART FINAL MENU - Pr'!A926, ""en"", ""ar"")))"),"منتوس أبيض خالي من السكر Chewing Gum Sweet نعناع Flavour 38 Pieces")</f>
        <v>منتوس أبيض خالي من السكر Chewing Gum Sweet نعناع Flavour 38 Pieces</v>
      </c>
      <c r="B926" s="56" t="str">
        <f>IFERROR(__xludf.DUMMYFUNCTION("IF('AYIRA MINI MART FINAL MENU - Pr'!B926="""", """", IF(LEN(TRIM(REGEXREPLACE(REGEXREPLACE('AYIRA MINI MART FINAL MENU - Pr'!B926, ""^[^\x{0600}-\x{06FF}]+"", """"), ""^[-–\s]+"", """")))&gt;0, TRIM(REGEXREPLACE(REGEXREPLACE('AYIRA MINI MART FINAL MENU - Pr"&amp;"'!B926, ""^[^\x{0600}-\x{06FF}]+"", """"), ""^[-–\s]+"", """")), GOOGLETRANSLATE('AYIRA MINI MART FINAL MENU - Pr'!B926, ""en"", ""ar"")))"),"العلكة")</f>
        <v>العلكة</v>
      </c>
      <c r="C926" s="58">
        <f>IF('AYIRA MINI MART FINAL MENU - Pr'!C926="", "", 'AYIRA MINI MART FINAL MENU - Pr'!C926)</f>
        <v>7.5</v>
      </c>
      <c r="D926" s="58" t="str">
        <f>IF('AYIRA MINI MART FINAL MENU - Pr'!D926="", "", 'AYIRA MINI MART FINAL MENU - Pr'!D926)</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26" s="56" t="str">
        <f>IF('AYIRA MINI MART FINAL MENU - Pr'!E926="", "", 'AYIRA MINI MART FINAL MENU - Pr'!E926)</f>
        <v/>
      </c>
      <c r="F926" s="56" t="str">
        <f>IF('AYIRA MINI MART FINAL MENU - Pr'!F926="", "", 'AYIRA MINI MART FINAL MENU - Pr'!F926)</f>
        <v/>
      </c>
      <c r="G926" s="56" t="str">
        <f>IF('AYIRA MINI MART FINAL MENU - Pr'!G926="", "", 'AYIRA MINI MART FINAL MENU - Pr'!G926)</f>
        <v/>
      </c>
      <c r="H926" s="56" t="str">
        <f>IF('AYIRA MINI MART FINAL MENU - Pr'!H926="", "", 'AYIRA MINI MART FINAL MENU - Pr'!H926)</f>
        <v/>
      </c>
      <c r="I926" s="56" t="str">
        <f>IF('AYIRA MINI MART FINAL MENU - Pr'!I926="", "", 'AYIRA MINI MART FINAL MENU - Pr'!I926)</f>
        <v/>
      </c>
      <c r="J926" s="56" t="str">
        <f>IFERROR(__xludf.DUMMYFUNCTION("IF('AYIRA MINI MART FINAL MENU - Pr'!J926="""", """", GOOGLETRANSLATE('AYIRA MINI MART FINAL MENU - Pr'!J926, ""en"", ""ar""))"),"")</f>
        <v/>
      </c>
      <c r="K926" s="56" t="str">
        <f>IF('AYIRA MINI MART FINAL MENU - Pr'!K926="", "", 'AYIRA MINI MART FINAL MENU - Pr'!K926)</f>
        <v/>
      </c>
      <c r="L926" s="56" t="str">
        <f>IF('AYIRA MINI MART FINAL MENU - Pr'!L926="", "", 'AYIRA MINI MART FINAL MENU - Pr'!L926)</f>
        <v/>
      </c>
      <c r="M926" s="56" t="str">
        <f>IF('AYIRA MINI MART FINAL MENU - Pr'!M926="", "", 'AYIRA MINI MART FINAL MENU - Pr'!M926)</f>
        <v/>
      </c>
      <c r="N926" s="56" t="str">
        <f>IF('AYIRA MINI MART FINAL MENU - Pr'!N926="", "", 'AYIRA MINI MART FINAL MENU - Pr'!N926)</f>
        <v/>
      </c>
      <c r="O926" s="57"/>
      <c r="P926" s="57"/>
      <c r="Q926" s="57"/>
      <c r="R926" s="57"/>
      <c r="S926" s="57"/>
      <c r="T926" s="57"/>
      <c r="U926" s="57"/>
      <c r="V926" s="57"/>
      <c r="W926" s="57"/>
      <c r="X926" s="57"/>
      <c r="Y926" s="57"/>
      <c r="Z926" s="57"/>
    </row>
    <row r="927">
      <c r="A927" s="56" t="str">
        <f>IFERROR(__xludf.DUMMYFUNCTION("IF('AYIRA MINI MART FINAL MENU - Pr'!A927="""", """", IF(LEN(TRIM(REGEXREPLACE(REGEXREPLACE('AYIRA MINI MART FINAL MENU - Pr'!A927, ""^[^\x{0600}-\x{06FF}]+"", """"), ""^[-–\s]+"", """")))&gt;0, TRIM(REGEXREPLACE(REGEXREPLACE('AYIRA MINI MART FINAL MENU - Pr"&amp;"'!A927, ""^[^\x{0600}-\x{06FF}]+"", """"), ""^[-–\s]+"", """")), GOOGLETRANSLATE('AYIRA MINI MART FINAL MENU - Pr'!A927, ""en"", ""ar"")))"),"منتوس أبيض خالي من السكر Chewing Gum Tutti Frutti Flavour 38 Pieces")</f>
        <v>منتوس أبيض خالي من السكر Chewing Gum Tutti Frutti Flavour 38 Pieces</v>
      </c>
      <c r="B927" s="56" t="str">
        <f>IFERROR(__xludf.DUMMYFUNCTION("IF('AYIRA MINI MART FINAL MENU - Pr'!B927="""", """", IF(LEN(TRIM(REGEXREPLACE(REGEXREPLACE('AYIRA MINI MART FINAL MENU - Pr'!B927, ""^[^\x{0600}-\x{06FF}]+"", """"), ""^[-–\s]+"", """")))&gt;0, TRIM(REGEXREPLACE(REGEXREPLACE('AYIRA MINI MART FINAL MENU - Pr"&amp;"'!B927, ""^[^\x{0600}-\x{06FF}]+"", """"), ""^[-–\s]+"", """")), GOOGLETRANSLATE('AYIRA MINI MART FINAL MENU - Pr'!B927, ""en"", ""ar"")))"),"العلكة")</f>
        <v>العلكة</v>
      </c>
      <c r="C927" s="58">
        <f>IF('AYIRA MINI MART FINAL MENU - Pr'!C927="", "", 'AYIRA MINI MART FINAL MENU - Pr'!C927)</f>
        <v>7.5</v>
      </c>
      <c r="D927" s="58" t="str">
        <f>IF('AYIRA MINI MART FINAL MENU - Pr'!D927="", "", 'AYIRA MINI MART FINAL MENU - Pr'!D927)</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27" s="56" t="str">
        <f>IF('AYIRA MINI MART FINAL MENU - Pr'!E927="", "", 'AYIRA MINI MART FINAL MENU - Pr'!E927)</f>
        <v/>
      </c>
      <c r="F927" s="56" t="str">
        <f>IF('AYIRA MINI MART FINAL MENU - Pr'!F927="", "", 'AYIRA MINI MART FINAL MENU - Pr'!F927)</f>
        <v/>
      </c>
      <c r="G927" s="56" t="str">
        <f>IF('AYIRA MINI MART FINAL MENU - Pr'!G927="", "", 'AYIRA MINI MART FINAL MENU - Pr'!G927)</f>
        <v/>
      </c>
      <c r="H927" s="56" t="str">
        <f>IF('AYIRA MINI MART FINAL MENU - Pr'!H927="", "", 'AYIRA MINI MART FINAL MENU - Pr'!H927)</f>
        <v/>
      </c>
      <c r="I927" s="56" t="str">
        <f>IF('AYIRA MINI MART FINAL MENU - Pr'!I927="", "", 'AYIRA MINI MART FINAL MENU - Pr'!I927)</f>
        <v/>
      </c>
      <c r="J927" s="56" t="str">
        <f>IFERROR(__xludf.DUMMYFUNCTION("IF('AYIRA MINI MART FINAL MENU - Pr'!J927="""", """", GOOGLETRANSLATE('AYIRA MINI MART FINAL MENU - Pr'!J927, ""en"", ""ar""))"),"")</f>
        <v/>
      </c>
      <c r="K927" s="56" t="str">
        <f>IF('AYIRA MINI MART FINAL MENU - Pr'!K927="", "", 'AYIRA MINI MART FINAL MENU - Pr'!K927)</f>
        <v/>
      </c>
      <c r="L927" s="56" t="str">
        <f>IF('AYIRA MINI MART FINAL MENU - Pr'!L927="", "", 'AYIRA MINI MART FINAL MENU - Pr'!L927)</f>
        <v/>
      </c>
      <c r="M927" s="56" t="str">
        <f>IF('AYIRA MINI MART FINAL MENU - Pr'!M927="", "", 'AYIRA MINI MART FINAL MENU - Pr'!M927)</f>
        <v/>
      </c>
      <c r="N927" s="56" t="str">
        <f>IF('AYIRA MINI MART FINAL MENU - Pr'!N927="", "", 'AYIRA MINI MART FINAL MENU - Pr'!N927)</f>
        <v/>
      </c>
      <c r="O927" s="57"/>
      <c r="P927" s="57"/>
      <c r="Q927" s="57"/>
      <c r="R927" s="57"/>
      <c r="S927" s="57"/>
      <c r="T927" s="57"/>
      <c r="U927" s="57"/>
      <c r="V927" s="57"/>
      <c r="W927" s="57"/>
      <c r="X927" s="57"/>
      <c r="Y927" s="57"/>
      <c r="Z927" s="57"/>
    </row>
    <row r="928">
      <c r="A928" s="56" t="str">
        <f>IFERROR(__xludf.DUMMYFUNCTION("IF('AYIRA MINI MART FINAL MENU - Pr'!A928="""", """", IF(LEN(TRIM(REGEXREPLACE(REGEXREPLACE('AYIRA MINI MART FINAL MENU - Pr'!A928, ""^[^\x{0600}-\x{06FF}]+"", """"), ""^[-–\s]+"", """")))&gt;0, TRIM(REGEXREPLACE(REGEXREPLACE('AYIRA MINI MART FINAL MENU - Pr"&amp;"'!A928, ""^[^\x{0600}-\x{06FF}]+"", """"), ""^[-–\s]+"", """")), GOOGLETRANSLATE('AYIRA MINI MART FINAL MENU - Pr'!A928, ""en"", ""ar"")))"),"منتوس أبيض خالي من السكر Chewing Gum Peppermint Flavour 38 Pieces")</f>
        <v>منتوس أبيض خالي من السكر Chewing Gum Peppermint Flavour 38 Pieces</v>
      </c>
      <c r="B928" s="56" t="str">
        <f>IFERROR(__xludf.DUMMYFUNCTION("IF('AYIRA MINI MART FINAL MENU - Pr'!B928="""", """", IF(LEN(TRIM(REGEXREPLACE(REGEXREPLACE('AYIRA MINI MART FINAL MENU - Pr'!B928, ""^[^\x{0600}-\x{06FF}]+"", """"), ""^[-–\s]+"", """")))&gt;0, TRIM(REGEXREPLACE(REGEXREPLACE('AYIRA MINI MART FINAL MENU - Pr"&amp;"'!B928, ""^[^\x{0600}-\x{06FF}]+"", """"), ""^[-–\s]+"", """")), GOOGLETRANSLATE('AYIRA MINI MART FINAL MENU - Pr'!B928, ""en"", ""ar"")))"),"العلكة")</f>
        <v>العلكة</v>
      </c>
      <c r="C928" s="58">
        <f>IF('AYIRA MINI MART FINAL MENU - Pr'!C928="", "", 'AYIRA MINI MART FINAL MENU - Pr'!C928)</f>
        <v>7.5</v>
      </c>
      <c r="D928" s="58" t="str">
        <f>IF('AYIRA MINI MART FINAL MENU - Pr'!D928="", "", 'AYIRA MINI MART FINAL MENU - Pr'!D928)</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28" s="56" t="str">
        <f>IF('AYIRA MINI MART FINAL MENU - Pr'!E928="", "", 'AYIRA MINI MART FINAL MENU - Pr'!E928)</f>
        <v/>
      </c>
      <c r="F928" s="56" t="str">
        <f>IF('AYIRA MINI MART FINAL MENU - Pr'!F928="", "", 'AYIRA MINI MART FINAL MENU - Pr'!F928)</f>
        <v/>
      </c>
      <c r="G928" s="56" t="str">
        <f>IF('AYIRA MINI MART FINAL MENU - Pr'!G928="", "", 'AYIRA MINI MART FINAL MENU - Pr'!G928)</f>
        <v/>
      </c>
      <c r="H928" s="56" t="str">
        <f>IF('AYIRA MINI MART FINAL MENU - Pr'!H928="", "", 'AYIRA MINI MART FINAL MENU - Pr'!H928)</f>
        <v/>
      </c>
      <c r="I928" s="56" t="str">
        <f>IF('AYIRA MINI MART FINAL MENU - Pr'!I928="", "", 'AYIRA MINI MART FINAL MENU - Pr'!I928)</f>
        <v/>
      </c>
      <c r="J928" s="56" t="str">
        <f>IFERROR(__xludf.DUMMYFUNCTION("IF('AYIRA MINI MART FINAL MENU - Pr'!J928="""", """", GOOGLETRANSLATE('AYIRA MINI MART FINAL MENU - Pr'!J928, ""en"", ""ar""))"),"")</f>
        <v/>
      </c>
      <c r="K928" s="56" t="str">
        <f>IF('AYIRA MINI MART FINAL MENU - Pr'!K928="", "", 'AYIRA MINI MART FINAL MENU - Pr'!K928)</f>
        <v/>
      </c>
      <c r="L928" s="56" t="str">
        <f>IF('AYIRA MINI MART FINAL MENU - Pr'!L928="", "", 'AYIRA MINI MART FINAL MENU - Pr'!L928)</f>
        <v/>
      </c>
      <c r="M928" s="56" t="str">
        <f>IF('AYIRA MINI MART FINAL MENU - Pr'!M928="", "", 'AYIRA MINI MART FINAL MENU - Pr'!M928)</f>
        <v/>
      </c>
      <c r="N928" s="56" t="str">
        <f>IF('AYIRA MINI MART FINAL MENU - Pr'!N928="", "", 'AYIRA MINI MART FINAL MENU - Pr'!N928)</f>
        <v/>
      </c>
      <c r="O928" s="57"/>
      <c r="P928" s="57"/>
      <c r="Q928" s="57"/>
      <c r="R928" s="57"/>
      <c r="S928" s="57"/>
      <c r="T928" s="57"/>
      <c r="U928" s="57"/>
      <c r="V928" s="57"/>
      <c r="W928" s="57"/>
      <c r="X928" s="57"/>
      <c r="Y928" s="57"/>
      <c r="Z928" s="57"/>
    </row>
    <row r="929">
      <c r="A929" s="56" t="str">
        <f>IFERROR(__xludf.DUMMYFUNCTION("IF('AYIRA MINI MART FINAL MENU - Pr'!A929="""", """", IF(LEN(TRIM(REGEXREPLACE(REGEXREPLACE('AYIRA MINI MART FINAL MENU - Pr'!A929, ""^[^\x{0600}-\x{06FF}]+"", """"), ""^[-–\s]+"", """")))&gt;0, TRIM(REGEXREPLACE(REGEXREPLACE('AYIRA MINI MART FINAL MENU - Pr"&amp;"'!A929, ""^[^\x{0600}-\x{06FF}]+"", """"), ""^[-–\s]+"", """")), GOOGLETRANSLATE('AYIRA MINI MART FINAL MENU - Pr'!A929, ""en"", ""ar"")))"),"منتوس Fresh Dive Soft Gum Tidal عنب Flavour 44 Pieces")</f>
        <v>منتوس Fresh Dive Soft Gum Tidal عنب Flavour 44 Pieces</v>
      </c>
      <c r="B929" s="56" t="str">
        <f>IFERROR(__xludf.DUMMYFUNCTION("IF('AYIRA MINI MART FINAL MENU - Pr'!B929="""", """", IF(LEN(TRIM(REGEXREPLACE(REGEXREPLACE('AYIRA MINI MART FINAL MENU - Pr'!B929, ""^[^\x{0600}-\x{06FF}]+"", """"), ""^[-–\s]+"", """")))&gt;0, TRIM(REGEXREPLACE(REGEXREPLACE('AYIRA MINI MART FINAL MENU - Pr"&amp;"'!B929, ""^[^\x{0600}-\x{06FF}]+"", """"), ""^[-–\s]+"", """")), GOOGLETRANSLATE('AYIRA MINI MART FINAL MENU - Pr'!B929, ""en"", ""ar"")))"),"العلكة")</f>
        <v>العلكة</v>
      </c>
      <c r="C929" s="58">
        <f>IF('AYIRA MINI MART FINAL MENU - Pr'!C929="", "", 'AYIRA MINI MART FINAL MENU - Pr'!C929)</f>
        <v>19</v>
      </c>
      <c r="D929" s="58" t="str">
        <f>IF('AYIRA MINI MART FINAL MENU - Pr'!D929="", "", 'AYIRA MINI MART FINAL MENU - Pr'!D929)</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29" s="56" t="str">
        <f>IF('AYIRA MINI MART FINAL MENU - Pr'!E929="", "", 'AYIRA MINI MART FINAL MENU - Pr'!E929)</f>
        <v/>
      </c>
      <c r="F929" s="56" t="str">
        <f>IF('AYIRA MINI MART FINAL MENU - Pr'!F929="", "", 'AYIRA MINI MART FINAL MENU - Pr'!F929)</f>
        <v/>
      </c>
      <c r="G929" s="56" t="str">
        <f>IF('AYIRA MINI MART FINAL MENU - Pr'!G929="", "", 'AYIRA MINI MART FINAL MENU - Pr'!G929)</f>
        <v/>
      </c>
      <c r="H929" s="56" t="str">
        <f>IF('AYIRA MINI MART FINAL MENU - Pr'!H929="", "", 'AYIRA MINI MART FINAL MENU - Pr'!H929)</f>
        <v/>
      </c>
      <c r="I929" s="56" t="str">
        <f>IF('AYIRA MINI MART FINAL MENU - Pr'!I929="", "", 'AYIRA MINI MART FINAL MENU - Pr'!I929)</f>
        <v/>
      </c>
      <c r="J929" s="56" t="str">
        <f>IFERROR(__xludf.DUMMYFUNCTION("IF('AYIRA MINI MART FINAL MENU - Pr'!J929="""", """", GOOGLETRANSLATE('AYIRA MINI MART FINAL MENU - Pr'!J929, ""en"", ""ar""))"),"")</f>
        <v/>
      </c>
      <c r="K929" s="56" t="str">
        <f>IF('AYIRA MINI MART FINAL MENU - Pr'!K929="", "", 'AYIRA MINI MART FINAL MENU - Pr'!K929)</f>
        <v/>
      </c>
      <c r="L929" s="56" t="str">
        <f>IF('AYIRA MINI MART FINAL MENU - Pr'!L929="", "", 'AYIRA MINI MART FINAL MENU - Pr'!L929)</f>
        <v/>
      </c>
      <c r="M929" s="56" t="str">
        <f>IF('AYIRA MINI MART FINAL MENU - Pr'!M929="", "", 'AYIRA MINI MART FINAL MENU - Pr'!M929)</f>
        <v/>
      </c>
      <c r="N929" s="56" t="str">
        <f>IF('AYIRA MINI MART FINAL MENU - Pr'!N929="", "", 'AYIRA MINI MART FINAL MENU - Pr'!N929)</f>
        <v/>
      </c>
      <c r="O929" s="57"/>
      <c r="P929" s="57"/>
      <c r="Q929" s="57"/>
      <c r="R929" s="57"/>
      <c r="S929" s="57"/>
      <c r="T929" s="57"/>
      <c r="U929" s="57"/>
      <c r="V929" s="57"/>
      <c r="W929" s="57"/>
      <c r="X929" s="57"/>
      <c r="Y929" s="57"/>
      <c r="Z929" s="57"/>
    </row>
    <row r="930">
      <c r="A930" s="56" t="str">
        <f>IFERROR(__xludf.DUMMYFUNCTION("IF('AYIRA MINI MART FINAL MENU - Pr'!A930="""", """", IF(LEN(TRIM(REGEXREPLACE(REGEXREPLACE('AYIRA MINI MART FINAL MENU - Pr'!A930, ""^[^\x{0600}-\x{06FF}]+"", """"), ""^[-–\s]+"", """")))&gt;0, TRIM(REGEXREPLACE(REGEXREPLACE('AYIRA MINI MART FINAL MENU - Pr"&amp;"'!A930, ""^[^\x{0600}-\x{06FF}]+"", """"), ""^[-–\s]+"", """")), GOOGLETRANSLATE('AYIRA MINI MART FINAL MENU - Pr'!A930, ""en"", ""ar"")))"),"منتوس Fresh Dive Soft Gum Cool Peppermint Flavour (44 Pieces)")</f>
        <v>منتوس Fresh Dive Soft Gum Cool Peppermint Flavour (44 Pieces)</v>
      </c>
      <c r="B930" s="56" t="str">
        <f>IFERROR(__xludf.DUMMYFUNCTION("IF('AYIRA MINI MART FINAL MENU - Pr'!B930="""", """", IF(LEN(TRIM(REGEXREPLACE(REGEXREPLACE('AYIRA MINI MART FINAL MENU - Pr'!B930, ""^[^\x{0600}-\x{06FF}]+"", """"), ""^[-–\s]+"", """")))&gt;0, TRIM(REGEXREPLACE(REGEXREPLACE('AYIRA MINI MART FINAL MENU - Pr"&amp;"'!B930, ""^[^\x{0600}-\x{06FF}]+"", """"), ""^[-–\s]+"", """")), GOOGLETRANSLATE('AYIRA MINI MART FINAL MENU - Pr'!B930, ""en"", ""ar"")))"),"العلكة")</f>
        <v>العلكة</v>
      </c>
      <c r="C930" s="58">
        <f>IF('AYIRA MINI MART FINAL MENU - Pr'!C930="", "", 'AYIRA MINI MART FINAL MENU - Pr'!C930)</f>
        <v>19</v>
      </c>
      <c r="D930" s="58" t="str">
        <f>IF('AYIRA MINI MART FINAL MENU - Pr'!D930="", "", 'AYIRA MINI MART FINAL MENU - Pr'!D930)</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0" s="56" t="str">
        <f>IF('AYIRA MINI MART FINAL MENU - Pr'!E930="", "", 'AYIRA MINI MART FINAL MENU - Pr'!E930)</f>
        <v/>
      </c>
      <c r="F930" s="56" t="str">
        <f>IF('AYIRA MINI MART FINAL MENU - Pr'!F930="", "", 'AYIRA MINI MART FINAL MENU - Pr'!F930)</f>
        <v/>
      </c>
      <c r="G930" s="56" t="str">
        <f>IF('AYIRA MINI MART FINAL MENU - Pr'!G930="", "", 'AYIRA MINI MART FINAL MENU - Pr'!G930)</f>
        <v/>
      </c>
      <c r="H930" s="56" t="str">
        <f>IF('AYIRA MINI MART FINAL MENU - Pr'!H930="", "", 'AYIRA MINI MART FINAL MENU - Pr'!H930)</f>
        <v/>
      </c>
      <c r="I930" s="56" t="str">
        <f>IF('AYIRA MINI MART FINAL MENU - Pr'!I930="", "", 'AYIRA MINI MART FINAL MENU - Pr'!I930)</f>
        <v/>
      </c>
      <c r="J930" s="56" t="str">
        <f>IFERROR(__xludf.DUMMYFUNCTION("IF('AYIRA MINI MART FINAL MENU - Pr'!J930="""", """", GOOGLETRANSLATE('AYIRA MINI MART FINAL MENU - Pr'!J930, ""en"", ""ar""))"),"")</f>
        <v/>
      </c>
      <c r="K930" s="56" t="str">
        <f>IF('AYIRA MINI MART FINAL MENU - Pr'!K930="", "", 'AYIRA MINI MART FINAL MENU - Pr'!K930)</f>
        <v/>
      </c>
      <c r="L930" s="56" t="str">
        <f>IF('AYIRA MINI MART FINAL MENU - Pr'!L930="", "", 'AYIRA MINI MART FINAL MENU - Pr'!L930)</f>
        <v/>
      </c>
      <c r="M930" s="56" t="str">
        <f>IF('AYIRA MINI MART FINAL MENU - Pr'!M930="", "", 'AYIRA MINI MART FINAL MENU - Pr'!M930)</f>
        <v/>
      </c>
      <c r="N930" s="56" t="str">
        <f>IF('AYIRA MINI MART FINAL MENU - Pr'!N930="", "", 'AYIRA MINI MART FINAL MENU - Pr'!N930)</f>
        <v/>
      </c>
      <c r="O930" s="57"/>
      <c r="P930" s="57"/>
      <c r="Q930" s="57"/>
      <c r="R930" s="57"/>
      <c r="S930" s="57"/>
      <c r="T930" s="57"/>
      <c r="U930" s="57"/>
      <c r="V930" s="57"/>
      <c r="W930" s="57"/>
      <c r="X930" s="57"/>
      <c r="Y930" s="57"/>
      <c r="Z930" s="57"/>
    </row>
    <row r="931">
      <c r="A931" s="56" t="str">
        <f>IFERROR(__xludf.DUMMYFUNCTION("IF('AYIRA MINI MART FINAL MENU - Pr'!A931="""", """", IF(LEN(TRIM(REGEXREPLACE(REGEXREPLACE('AYIRA MINI MART FINAL MENU - Pr'!A931, ""^[^\x{0600}-\x{06FF}]+"", """"), ""^[-–\s]+"", """")))&gt;0, TRIM(REGEXREPLACE(REGEXREPLACE('AYIRA MINI MART FINAL MENU - Pr"&amp;"'!A931, ""^[^\x{0600}-\x{06FF}]+"", """"), ""^[-–\s]+"", """")), GOOGLETRANSLATE('AYIRA MINI MART FINAL MENU - Pr'!A931, ""en"", ""ar"")))"),"منتوس Bubble Gum")</f>
        <v>منتوس Bubble Gum</v>
      </c>
      <c r="B931" s="56" t="str">
        <f>IFERROR(__xludf.DUMMYFUNCTION("IF('AYIRA MINI MART FINAL MENU - Pr'!B931="""", """", IF(LEN(TRIM(REGEXREPLACE(REGEXREPLACE('AYIRA MINI MART FINAL MENU - Pr'!B931, ""^[^\x{0600}-\x{06FF}]+"", """"), ""^[-–\s]+"", """")))&gt;0, TRIM(REGEXREPLACE(REGEXREPLACE('AYIRA MINI MART FINAL MENU - Pr"&amp;"'!B931, ""^[^\x{0600}-\x{06FF}]+"", """"), ""^[-–\s]+"", """")), GOOGLETRANSLATE('AYIRA MINI MART FINAL MENU - Pr'!B931, ""en"", ""ar"")))"),"العلكة")</f>
        <v>العلكة</v>
      </c>
      <c r="C931" s="58">
        <f>IF('AYIRA MINI MART FINAL MENU - Pr'!C931="", "", 'AYIRA MINI MART FINAL MENU - Pr'!C931)</f>
        <v>11.5</v>
      </c>
      <c r="D931" s="58" t="str">
        <f>IF('AYIRA MINI MART FINAL MENU - Pr'!D931="", "", 'AYIRA MINI MART FINAL MENU - Pr'!D931)</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1" s="56" t="str">
        <f>IF('AYIRA MINI MART FINAL MENU - Pr'!E931="", "", 'AYIRA MINI MART FINAL MENU - Pr'!E931)</f>
        <v/>
      </c>
      <c r="F931" s="56" t="str">
        <f>IF('AYIRA MINI MART FINAL MENU - Pr'!F931="", "", 'AYIRA MINI MART FINAL MENU - Pr'!F931)</f>
        <v/>
      </c>
      <c r="G931" s="56" t="str">
        <f>IF('AYIRA MINI MART FINAL MENU - Pr'!G931="", "", 'AYIRA MINI MART FINAL MENU - Pr'!G931)</f>
        <v/>
      </c>
      <c r="H931" s="56" t="str">
        <f>IF('AYIRA MINI MART FINAL MENU - Pr'!H931="", "", 'AYIRA MINI MART FINAL MENU - Pr'!H931)</f>
        <v/>
      </c>
      <c r="I931" s="56" t="str">
        <f>IF('AYIRA MINI MART FINAL MENU - Pr'!I931="", "", 'AYIRA MINI MART FINAL MENU - Pr'!I931)</f>
        <v/>
      </c>
      <c r="J931" s="56" t="str">
        <f>IFERROR(__xludf.DUMMYFUNCTION("IF('AYIRA MINI MART FINAL MENU - Pr'!J931="""", """", GOOGLETRANSLATE('AYIRA MINI MART FINAL MENU - Pr'!J931, ""en"", ""ar""))"),"")</f>
        <v/>
      </c>
      <c r="K931" s="56" t="str">
        <f>IF('AYIRA MINI MART FINAL MENU - Pr'!K931="", "", 'AYIRA MINI MART FINAL MENU - Pr'!K931)</f>
        <v/>
      </c>
      <c r="L931" s="56" t="str">
        <f>IF('AYIRA MINI MART FINAL MENU - Pr'!L931="", "", 'AYIRA MINI MART FINAL MENU - Pr'!L931)</f>
        <v/>
      </c>
      <c r="M931" s="56" t="str">
        <f>IF('AYIRA MINI MART FINAL MENU - Pr'!M931="", "", 'AYIRA MINI MART FINAL MENU - Pr'!M931)</f>
        <v/>
      </c>
      <c r="N931" s="56" t="str">
        <f>IF('AYIRA MINI MART FINAL MENU - Pr'!N931="", "", 'AYIRA MINI MART FINAL MENU - Pr'!N931)</f>
        <v/>
      </c>
      <c r="O931" s="57"/>
      <c r="P931" s="57"/>
      <c r="Q931" s="57"/>
      <c r="R931" s="57"/>
      <c r="S931" s="57"/>
      <c r="T931" s="57"/>
      <c r="U931" s="57"/>
      <c r="V931" s="57"/>
      <c r="W931" s="57"/>
      <c r="X931" s="57"/>
      <c r="Y931" s="57"/>
      <c r="Z931" s="57"/>
    </row>
    <row r="932">
      <c r="A932" s="56" t="str">
        <f>IFERROR(__xludf.DUMMYFUNCTION("IF('AYIRA MINI MART FINAL MENU - Pr'!A932="""", """", IF(LEN(TRIM(REGEXREPLACE(REGEXREPLACE('AYIRA MINI MART FINAL MENU - Pr'!A932, ""^[^\x{0600}-\x{06FF}]+"", """"), ""^[-–\s]+"", """")))&gt;0, TRIM(REGEXREPLACE(REGEXREPLACE('AYIRA MINI MART FINAL MENU - Pr"&amp;"'!A932, ""^[^\x{0600}-\x{06FF}]+"", """"), ""^[-–\s]+"", """")), GOOGLETRANSLATE('AYIRA MINI MART FINAL MENU - Pr'!A932, ""en"", ""ar"")))"),"تشوبا تشوبس Pinkis Soft &amp; Chewy فراولة Flavour Gummy Candy 106 غرام")</f>
        <v>تشوبا تشوبس Pinkis Soft &amp; Chewy فراولة Flavour Gummy Candy 106 غرام</v>
      </c>
      <c r="B932" s="56" t="str">
        <f>IFERROR(__xludf.DUMMYFUNCTION("IF('AYIRA MINI MART FINAL MENU - Pr'!B932="""", """", IF(LEN(TRIM(REGEXREPLACE(REGEXREPLACE('AYIRA MINI MART FINAL MENU - Pr'!B932, ""^[^\x{0600}-\x{06FF}]+"", """"), ""^[-–\s]+"", """")))&gt;0, TRIM(REGEXREPLACE(REGEXREPLACE('AYIRA MINI MART FINAL MENU - Pr"&amp;"'!B932, ""^[^\x{0600}-\x{06FF}]+"", """"), ""^[-–\s]+"", """")), GOOGLETRANSLATE('AYIRA MINI MART FINAL MENU - Pr'!B932, ""en"", ""ar"")))"),"الحلوى 🍬")</f>
        <v>الحلوى 🍬</v>
      </c>
      <c r="C932" s="58">
        <f>IF('AYIRA MINI MART FINAL MENU - Pr'!C932="", "", 'AYIRA MINI MART FINAL MENU - Pr'!C932)</f>
        <v>10</v>
      </c>
      <c r="D932" s="58" t="str">
        <f>IF('AYIRA MINI MART FINAL MENU - Pr'!D932="", "", 'AYIRA MINI MART FINAL MENU - Pr'!D932)</f>
        <v>استمتع بـ Chupa Chups Pinkis Soft &amp; Chewy Strawberry Flavour Gummy Candy 106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2" s="56" t="str">
        <f>IF('AYIRA MINI MART FINAL MENU - Pr'!E932="", "", 'AYIRA MINI MART FINAL MENU - Pr'!E932)</f>
        <v/>
      </c>
      <c r="F932" s="56" t="str">
        <f>IF('AYIRA MINI MART FINAL MENU - Pr'!F932="", "", 'AYIRA MINI MART FINAL MENU - Pr'!F932)</f>
        <v/>
      </c>
      <c r="G932" s="56" t="str">
        <f>IF('AYIRA MINI MART FINAL MENU - Pr'!G932="", "", 'AYIRA MINI MART FINAL MENU - Pr'!G932)</f>
        <v/>
      </c>
      <c r="H932" s="56" t="str">
        <f>IF('AYIRA MINI MART FINAL MENU - Pr'!H932="", "", 'AYIRA MINI MART FINAL MENU - Pr'!H932)</f>
        <v/>
      </c>
      <c r="I932" s="56" t="str">
        <f>IF('AYIRA MINI MART FINAL MENU - Pr'!I932="", "", 'AYIRA MINI MART FINAL MENU - Pr'!I932)</f>
        <v/>
      </c>
      <c r="J932" s="56" t="str">
        <f>IFERROR(__xludf.DUMMYFUNCTION("IF('AYIRA MINI MART FINAL MENU - Pr'!J932="""", """", GOOGLETRANSLATE('AYIRA MINI MART FINAL MENU - Pr'!J932, ""en"", ""ar""))"),"")</f>
        <v/>
      </c>
      <c r="K932" s="56" t="str">
        <f>IF('AYIRA MINI MART FINAL MENU - Pr'!K932="", "", 'AYIRA MINI MART FINAL MENU - Pr'!K932)</f>
        <v/>
      </c>
      <c r="L932" s="56" t="str">
        <f>IF('AYIRA MINI MART FINAL MENU - Pr'!L932="", "", 'AYIRA MINI MART FINAL MENU - Pr'!L932)</f>
        <v/>
      </c>
      <c r="M932" s="56" t="str">
        <f>IF('AYIRA MINI MART FINAL MENU - Pr'!M932="", "", 'AYIRA MINI MART FINAL MENU - Pr'!M932)</f>
        <v/>
      </c>
      <c r="N932" s="56" t="str">
        <f>IF('AYIRA MINI MART FINAL MENU - Pr'!N932="", "", 'AYIRA MINI MART FINAL MENU - Pr'!N932)</f>
        <v/>
      </c>
      <c r="O932" s="57"/>
      <c r="P932" s="57"/>
      <c r="Q932" s="57"/>
      <c r="R932" s="57"/>
      <c r="S932" s="57"/>
      <c r="T932" s="57"/>
      <c r="U932" s="57"/>
      <c r="V932" s="57"/>
      <c r="W932" s="57"/>
      <c r="X932" s="57"/>
      <c r="Y932" s="57"/>
      <c r="Z932" s="57"/>
    </row>
    <row r="933">
      <c r="A933" s="56" t="str">
        <f>IFERROR(__xludf.DUMMYFUNCTION("IF('AYIRA MINI MART FINAL MENU - Pr'!A933="""", """", IF(LEN(TRIM(REGEXREPLACE(REGEXREPLACE('AYIRA MINI MART FINAL MENU - Pr'!A933, ""^[^\x{0600}-\x{06FF}]+"", """"), ""^[-–\s]+"", """")))&gt;0, TRIM(REGEXREPLACE(REGEXREPLACE('AYIRA MINI MART FINAL MENU - Pr"&amp;"'!A933, ""^[^\x{0600}-\x{06FF}]+"", """"), ""^[-–\s]+"", """")), GOOGLETRANSLATE('AYIRA MINI MART FINAL MENU - Pr'!A933, ""en"", ""ar"")))"),"تشوبا تشوبس Cola Soft &amp; Chewy Cola Flavour Gummy Candy 106 غرام")</f>
        <v>تشوبا تشوبس Cola Soft &amp; Chewy Cola Flavour Gummy Candy 106 غرام</v>
      </c>
      <c r="B933" s="56" t="str">
        <f>IFERROR(__xludf.DUMMYFUNCTION("IF('AYIRA MINI MART FINAL MENU - Pr'!B933="""", """", IF(LEN(TRIM(REGEXREPLACE(REGEXREPLACE('AYIRA MINI MART FINAL MENU - Pr'!B933, ""^[^\x{0600}-\x{06FF}]+"", """"), ""^[-–\s]+"", """")))&gt;0, TRIM(REGEXREPLACE(REGEXREPLACE('AYIRA MINI MART FINAL MENU - Pr"&amp;"'!B933, ""^[^\x{0600}-\x{06FF}]+"", """"), ""^[-–\s]+"", """")), GOOGLETRANSLATE('AYIRA MINI MART FINAL MENU - Pr'!B933, ""en"", ""ar"")))"),"الحلوى 🍬")</f>
        <v>الحلوى 🍬</v>
      </c>
      <c r="C933" s="58">
        <f>IF('AYIRA MINI MART FINAL MENU - Pr'!C933="", "", 'AYIRA MINI MART FINAL MENU - Pr'!C933)</f>
        <v>10</v>
      </c>
      <c r="D933" s="58" t="str">
        <f>IF('AYIRA MINI MART FINAL MENU - Pr'!D933="", "", 'AYIRA MINI MART FINAL MENU - Pr'!D933)</f>
        <v>استمتع بـ Chupa Chups Cola Soft &amp; Chewy Cola Flavour Gummy Candy 106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3" s="56" t="str">
        <f>IF('AYIRA MINI MART FINAL MENU - Pr'!E933="", "", 'AYIRA MINI MART FINAL MENU - Pr'!E933)</f>
        <v/>
      </c>
      <c r="F933" s="56" t="str">
        <f>IF('AYIRA MINI MART FINAL MENU - Pr'!F933="", "", 'AYIRA MINI MART FINAL MENU - Pr'!F933)</f>
        <v/>
      </c>
      <c r="G933" s="56" t="str">
        <f>IF('AYIRA MINI MART FINAL MENU - Pr'!G933="", "", 'AYIRA MINI MART FINAL MENU - Pr'!G933)</f>
        <v/>
      </c>
      <c r="H933" s="56" t="str">
        <f>IF('AYIRA MINI MART FINAL MENU - Pr'!H933="", "", 'AYIRA MINI MART FINAL MENU - Pr'!H933)</f>
        <v/>
      </c>
      <c r="I933" s="56" t="str">
        <f>IF('AYIRA MINI MART FINAL MENU - Pr'!I933="", "", 'AYIRA MINI MART FINAL MENU - Pr'!I933)</f>
        <v/>
      </c>
      <c r="J933" s="56" t="str">
        <f>IFERROR(__xludf.DUMMYFUNCTION("IF('AYIRA MINI MART FINAL MENU - Pr'!J933="""", """", GOOGLETRANSLATE('AYIRA MINI MART FINAL MENU - Pr'!J933, ""en"", ""ar""))"),"")</f>
        <v/>
      </c>
      <c r="K933" s="56" t="str">
        <f>IF('AYIRA MINI MART FINAL MENU - Pr'!K933="", "", 'AYIRA MINI MART FINAL MENU - Pr'!K933)</f>
        <v/>
      </c>
      <c r="L933" s="56" t="str">
        <f>IF('AYIRA MINI MART FINAL MENU - Pr'!L933="", "", 'AYIRA MINI MART FINAL MENU - Pr'!L933)</f>
        <v/>
      </c>
      <c r="M933" s="56" t="str">
        <f>IF('AYIRA MINI MART FINAL MENU - Pr'!M933="", "", 'AYIRA MINI MART FINAL MENU - Pr'!M933)</f>
        <v/>
      </c>
      <c r="N933" s="56" t="str">
        <f>IF('AYIRA MINI MART FINAL MENU - Pr'!N933="", "", 'AYIRA MINI MART FINAL MENU - Pr'!N933)</f>
        <v/>
      </c>
      <c r="O933" s="57"/>
      <c r="P933" s="57"/>
      <c r="Q933" s="57"/>
      <c r="R933" s="57"/>
      <c r="S933" s="57"/>
      <c r="T933" s="57"/>
      <c r="U933" s="57"/>
      <c r="V933" s="57"/>
      <c r="W933" s="57"/>
      <c r="X933" s="57"/>
      <c r="Y933" s="57"/>
      <c r="Z933" s="57"/>
    </row>
    <row r="934">
      <c r="A934" s="56" t="str">
        <f>IFERROR(__xludf.DUMMYFUNCTION("IF('AYIRA MINI MART FINAL MENU - Pr'!A934="""", """", IF(LEN(TRIM(REGEXREPLACE(REGEXREPLACE('AYIRA MINI MART FINAL MENU - Pr'!A934, ""^[^\x{0600}-\x{06FF}]+"", """"), ""^[-–\s]+"", """")))&gt;0, TRIM(REGEXREPLACE(REGEXREPLACE('AYIRA MINI MART FINAL MENU - Pr"&amp;"'!A934, ""^[^\x{0600}-\x{06FF}]+"", """"), ""^[-–\s]+"", """")), GOOGLETRANSLATE('AYIRA MINI MART FINAL MENU - Pr'!A934, ""en"", ""ar"")))"),"تشوبا تشوبس Gecko Sour Fruit Flavour Gummy Candy 106 غرام")</f>
        <v>تشوبا تشوبس Gecko Sour Fruit Flavour Gummy Candy 106 غرام</v>
      </c>
      <c r="B934" s="56" t="str">
        <f>IFERROR(__xludf.DUMMYFUNCTION("IF('AYIRA MINI MART FINAL MENU - Pr'!B934="""", """", IF(LEN(TRIM(REGEXREPLACE(REGEXREPLACE('AYIRA MINI MART FINAL MENU - Pr'!B934, ""^[^\x{0600}-\x{06FF}]+"", """"), ""^[-–\s]+"", """")))&gt;0, TRIM(REGEXREPLACE(REGEXREPLACE('AYIRA MINI MART FINAL MENU - Pr"&amp;"'!B934, ""^[^\x{0600}-\x{06FF}]+"", """"), ""^[-–\s]+"", """")), GOOGLETRANSLATE('AYIRA MINI MART FINAL MENU - Pr'!B934, ""en"", ""ar"")))"),"الحلوى 🍬")</f>
        <v>الحلوى 🍬</v>
      </c>
      <c r="C934" s="58">
        <f>IF('AYIRA MINI MART FINAL MENU - Pr'!C934="", "", 'AYIRA MINI MART FINAL MENU - Pr'!C934)</f>
        <v>10</v>
      </c>
      <c r="D934" s="58" t="str">
        <f>IF('AYIRA MINI MART FINAL MENU - Pr'!D934="", "", 'AYIRA MINI MART FINAL MENU - Pr'!D934)</f>
        <v>استمتع بـ Chupa Chups Gecko Sour Fruit Flavour Gummy Candy 106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4" s="56" t="str">
        <f>IF('AYIRA MINI MART FINAL MENU - Pr'!E934="", "", 'AYIRA MINI MART FINAL MENU - Pr'!E934)</f>
        <v/>
      </c>
      <c r="F934" s="56" t="str">
        <f>IF('AYIRA MINI MART FINAL MENU - Pr'!F934="", "", 'AYIRA MINI MART FINAL MENU - Pr'!F934)</f>
        <v/>
      </c>
      <c r="G934" s="56" t="str">
        <f>IF('AYIRA MINI MART FINAL MENU - Pr'!G934="", "", 'AYIRA MINI MART FINAL MENU - Pr'!G934)</f>
        <v/>
      </c>
      <c r="H934" s="56" t="str">
        <f>IF('AYIRA MINI MART FINAL MENU - Pr'!H934="", "", 'AYIRA MINI MART FINAL MENU - Pr'!H934)</f>
        <v/>
      </c>
      <c r="I934" s="56" t="str">
        <f>IF('AYIRA MINI MART FINAL MENU - Pr'!I934="", "", 'AYIRA MINI MART FINAL MENU - Pr'!I934)</f>
        <v/>
      </c>
      <c r="J934" s="56" t="str">
        <f>IFERROR(__xludf.DUMMYFUNCTION("IF('AYIRA MINI MART FINAL MENU - Pr'!J934="""", """", GOOGLETRANSLATE('AYIRA MINI MART FINAL MENU - Pr'!J934, ""en"", ""ar""))"),"")</f>
        <v/>
      </c>
      <c r="K934" s="56" t="str">
        <f>IF('AYIRA MINI MART FINAL MENU - Pr'!K934="", "", 'AYIRA MINI MART FINAL MENU - Pr'!K934)</f>
        <v/>
      </c>
      <c r="L934" s="56" t="str">
        <f>IF('AYIRA MINI MART FINAL MENU - Pr'!L934="", "", 'AYIRA MINI MART FINAL MENU - Pr'!L934)</f>
        <v/>
      </c>
      <c r="M934" s="56" t="str">
        <f>IF('AYIRA MINI MART FINAL MENU - Pr'!M934="", "", 'AYIRA MINI MART FINAL MENU - Pr'!M934)</f>
        <v/>
      </c>
      <c r="N934" s="56" t="str">
        <f>IF('AYIRA MINI MART FINAL MENU - Pr'!N934="", "", 'AYIRA MINI MART FINAL MENU - Pr'!N934)</f>
        <v/>
      </c>
      <c r="O934" s="57"/>
      <c r="P934" s="57"/>
      <c r="Q934" s="57"/>
      <c r="R934" s="57"/>
      <c r="S934" s="57"/>
      <c r="T934" s="57"/>
      <c r="U934" s="57"/>
      <c r="V934" s="57"/>
      <c r="W934" s="57"/>
      <c r="X934" s="57"/>
      <c r="Y934" s="57"/>
      <c r="Z934" s="57"/>
    </row>
    <row r="935">
      <c r="A935" s="56" t="str">
        <f>IFERROR(__xludf.DUMMYFUNCTION("IF('AYIRA MINI MART FINAL MENU - Pr'!A935="""", """", IF(LEN(TRIM(REGEXREPLACE(REGEXREPLACE('AYIRA MINI MART FINAL MENU - Pr'!A935, ""^[^\x{0600}-\x{06FF}]+"", """"), ""^[-–\s]+"", """")))&gt;0, TRIM(REGEXREPLACE(REGEXREPLACE('AYIRA MINI MART FINAL MENU - Pr"&amp;"'!A935, ""^[^\x{0600}-\x{06FF}]+"", """"), ""^[-–\s]+"", """")), GOOGLETRANSLATE('AYIRA MINI MART FINAL MENU - Pr'!A935, ""en"", ""ar"")))"),"تشوبا تشوبس Crawlers Sour Fruit Flavour Gummy Candy 90 غرام")</f>
        <v>تشوبا تشوبس Crawlers Sour Fruit Flavour Gummy Candy 90 غرام</v>
      </c>
      <c r="B935" s="56" t="str">
        <f>IFERROR(__xludf.DUMMYFUNCTION("IF('AYIRA MINI MART FINAL MENU - Pr'!B935="""", """", IF(LEN(TRIM(REGEXREPLACE(REGEXREPLACE('AYIRA MINI MART FINAL MENU - Pr'!B935, ""^[^\x{0600}-\x{06FF}]+"", """"), ""^[-–\s]+"", """")))&gt;0, TRIM(REGEXREPLACE(REGEXREPLACE('AYIRA MINI MART FINAL MENU - Pr"&amp;"'!B935, ""^[^\x{0600}-\x{06FF}]+"", """"), ""^[-–\s]+"", """")), GOOGLETRANSLATE('AYIRA MINI MART FINAL MENU - Pr'!B935, ""en"", ""ar"")))"),"الحلوى 🍬")</f>
        <v>الحلوى 🍬</v>
      </c>
      <c r="C935" s="58">
        <f>IF('AYIRA MINI MART FINAL MENU - Pr'!C935="", "", 'AYIRA MINI MART FINAL MENU - Pr'!C935)</f>
        <v>6</v>
      </c>
      <c r="D935" s="58" t="str">
        <f>IF('AYIRA MINI MART FINAL MENU - Pr'!D935="", "", 'AYIRA MINI MART FINAL MENU - Pr'!D935)</f>
        <v>استمتع بـ Chupa Chups Crawlers Sour Fruit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5" s="56" t="str">
        <f>IF('AYIRA MINI MART FINAL MENU - Pr'!E935="", "", 'AYIRA MINI MART FINAL MENU - Pr'!E935)</f>
        <v/>
      </c>
      <c r="F935" s="56" t="str">
        <f>IF('AYIRA MINI MART FINAL MENU - Pr'!F935="", "", 'AYIRA MINI MART FINAL MENU - Pr'!F935)</f>
        <v/>
      </c>
      <c r="G935" s="56" t="str">
        <f>IF('AYIRA MINI MART FINAL MENU - Pr'!G935="", "", 'AYIRA MINI MART FINAL MENU - Pr'!G935)</f>
        <v/>
      </c>
      <c r="H935" s="56" t="str">
        <f>IF('AYIRA MINI MART FINAL MENU - Pr'!H935="", "", 'AYIRA MINI MART FINAL MENU - Pr'!H935)</f>
        <v/>
      </c>
      <c r="I935" s="56" t="str">
        <f>IF('AYIRA MINI MART FINAL MENU - Pr'!I935="", "", 'AYIRA MINI MART FINAL MENU - Pr'!I935)</f>
        <v/>
      </c>
      <c r="J935" s="56" t="str">
        <f>IFERROR(__xludf.DUMMYFUNCTION("IF('AYIRA MINI MART FINAL MENU - Pr'!J935="""", """", GOOGLETRANSLATE('AYIRA MINI MART FINAL MENU - Pr'!J935, ""en"", ""ar""))"),"")</f>
        <v/>
      </c>
      <c r="K935" s="56" t="str">
        <f>IF('AYIRA MINI MART FINAL MENU - Pr'!K935="", "", 'AYIRA MINI MART FINAL MENU - Pr'!K935)</f>
        <v/>
      </c>
      <c r="L935" s="56" t="str">
        <f>IF('AYIRA MINI MART FINAL MENU - Pr'!L935="", "", 'AYIRA MINI MART FINAL MENU - Pr'!L935)</f>
        <v/>
      </c>
      <c r="M935" s="56" t="str">
        <f>IF('AYIRA MINI MART FINAL MENU - Pr'!M935="", "", 'AYIRA MINI MART FINAL MENU - Pr'!M935)</f>
        <v/>
      </c>
      <c r="N935" s="56" t="str">
        <f>IF('AYIRA MINI MART FINAL MENU - Pr'!N935="", "", 'AYIRA MINI MART FINAL MENU - Pr'!N935)</f>
        <v/>
      </c>
      <c r="O935" s="57"/>
      <c r="P935" s="57"/>
      <c r="Q935" s="57"/>
      <c r="R935" s="57"/>
      <c r="S935" s="57"/>
      <c r="T935" s="57"/>
      <c r="U935" s="57"/>
      <c r="V935" s="57"/>
      <c r="W935" s="57"/>
      <c r="X935" s="57"/>
      <c r="Y935" s="57"/>
      <c r="Z935" s="57"/>
    </row>
    <row r="936">
      <c r="A936" s="56" t="str">
        <f>IFERROR(__xludf.DUMMYFUNCTION("IF('AYIRA MINI MART FINAL MENU - Pr'!A936="""", """", IF(LEN(TRIM(REGEXREPLACE(REGEXREPLACE('AYIRA MINI MART FINAL MENU - Pr'!A936, ""^[^\x{0600}-\x{06FF}]+"", """"), ""^[-–\s]+"", """")))&gt;0, TRIM(REGEXREPLACE(REGEXREPLACE('AYIRA MINI MART FINAL MENU - Pr"&amp;"'!A936, ""^[^\x{0600}-\x{06FF}]+"", """"), ""^[-–\s]+"", """")), GOOGLETRANSLATE('AYIRA MINI MART FINAL MENU - Pr'!A936, ""en"", ""ar"")))"),"تشوبا تشوبس Panda Bears Fruit Flavour Gummy Candy 90 غرام")</f>
        <v>تشوبا تشوبس Panda Bears Fruit Flavour Gummy Candy 90 غرام</v>
      </c>
      <c r="B936" s="56" t="str">
        <f>IFERROR(__xludf.DUMMYFUNCTION("IF('AYIRA MINI MART FINAL MENU - Pr'!B936="""", """", IF(LEN(TRIM(REGEXREPLACE(REGEXREPLACE('AYIRA MINI MART FINAL MENU - Pr'!B936, ""^[^\x{0600}-\x{06FF}]+"", """"), ""^[-–\s]+"", """")))&gt;0, TRIM(REGEXREPLACE(REGEXREPLACE('AYIRA MINI MART FINAL MENU - Pr"&amp;"'!B936, ""^[^\x{0600}-\x{06FF}]+"", """"), ""^[-–\s]+"", """")), GOOGLETRANSLATE('AYIRA MINI MART FINAL MENU - Pr'!B936, ""en"", ""ar"")))"),"الحلوى 🍬")</f>
        <v>الحلوى 🍬</v>
      </c>
      <c r="C936" s="58">
        <f>IF('AYIRA MINI MART FINAL MENU - Pr'!C936="", "", 'AYIRA MINI MART FINAL MENU - Pr'!C936)</f>
        <v>6</v>
      </c>
      <c r="D936" s="58" t="str">
        <f>IF('AYIRA MINI MART FINAL MENU - Pr'!D936="", "", 'AYIRA MINI MART FINAL MENU - Pr'!D936)</f>
        <v>استمتع بـ Chupa Chups Panda Bears Fruit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6" s="56" t="str">
        <f>IF('AYIRA MINI MART FINAL MENU - Pr'!E936="", "", 'AYIRA MINI MART FINAL MENU - Pr'!E936)</f>
        <v/>
      </c>
      <c r="F936" s="56" t="str">
        <f>IF('AYIRA MINI MART FINAL MENU - Pr'!F936="", "", 'AYIRA MINI MART FINAL MENU - Pr'!F936)</f>
        <v/>
      </c>
      <c r="G936" s="56" t="str">
        <f>IF('AYIRA MINI MART FINAL MENU - Pr'!G936="", "", 'AYIRA MINI MART FINAL MENU - Pr'!G936)</f>
        <v/>
      </c>
      <c r="H936" s="56" t="str">
        <f>IF('AYIRA MINI MART FINAL MENU - Pr'!H936="", "", 'AYIRA MINI MART FINAL MENU - Pr'!H936)</f>
        <v/>
      </c>
      <c r="I936" s="56" t="str">
        <f>IF('AYIRA MINI MART FINAL MENU - Pr'!I936="", "", 'AYIRA MINI MART FINAL MENU - Pr'!I936)</f>
        <v/>
      </c>
      <c r="J936" s="56" t="str">
        <f>IFERROR(__xludf.DUMMYFUNCTION("IF('AYIRA MINI MART FINAL MENU - Pr'!J936="""", """", GOOGLETRANSLATE('AYIRA MINI MART FINAL MENU - Pr'!J936, ""en"", ""ar""))"),"")</f>
        <v/>
      </c>
      <c r="K936" s="56" t="str">
        <f>IF('AYIRA MINI MART FINAL MENU - Pr'!K936="", "", 'AYIRA MINI MART FINAL MENU - Pr'!K936)</f>
        <v/>
      </c>
      <c r="L936" s="56" t="str">
        <f>IF('AYIRA MINI MART FINAL MENU - Pr'!L936="", "", 'AYIRA MINI MART FINAL MENU - Pr'!L936)</f>
        <v/>
      </c>
      <c r="M936" s="56" t="str">
        <f>IF('AYIRA MINI MART FINAL MENU - Pr'!M936="", "", 'AYIRA MINI MART FINAL MENU - Pr'!M936)</f>
        <v/>
      </c>
      <c r="N936" s="56" t="str">
        <f>IF('AYIRA MINI MART FINAL MENU - Pr'!N936="", "", 'AYIRA MINI MART FINAL MENU - Pr'!N936)</f>
        <v/>
      </c>
      <c r="O936" s="57"/>
      <c r="P936" s="57"/>
      <c r="Q936" s="57"/>
      <c r="R936" s="57"/>
      <c r="S936" s="57"/>
      <c r="T936" s="57"/>
      <c r="U936" s="57"/>
      <c r="V936" s="57"/>
      <c r="W936" s="57"/>
      <c r="X936" s="57"/>
      <c r="Y936" s="57"/>
      <c r="Z936" s="57"/>
    </row>
    <row r="937">
      <c r="A937" s="56" t="str">
        <f>IFERROR(__xludf.DUMMYFUNCTION("IF('AYIRA MINI MART FINAL MENU - Pr'!A937="""", """", IF(LEN(TRIM(REGEXREPLACE(REGEXREPLACE('AYIRA MINI MART FINAL MENU - Pr'!A937, ""^[^\x{0600}-\x{06FF}]+"", """"), ""^[-–\s]+"", """")))&gt;0, TRIM(REGEXREPLACE(REGEXREPLACE('AYIRA MINI MART FINAL MENU - Pr"&amp;"'!A937, ""^[^\x{0600}-\x{06FF}]+"", """"), ""^[-–\s]+"", """")), GOOGLETRANSLATE('AYIRA MINI MART FINAL MENU - Pr'!A937, ""en"", ""ar"")))"),"تشوبا تشوبس Cola Soft &amp; Chewy Cola Flavour Gummy Candy 90 غرام")</f>
        <v>تشوبا تشوبس Cola Soft &amp; Chewy Cola Flavour Gummy Candy 90 غرام</v>
      </c>
      <c r="B937" s="56" t="str">
        <f>IFERROR(__xludf.DUMMYFUNCTION("IF('AYIRA MINI MART FINAL MENU - Pr'!B937="""", """", IF(LEN(TRIM(REGEXREPLACE(REGEXREPLACE('AYIRA MINI MART FINAL MENU - Pr'!B937, ""^[^\x{0600}-\x{06FF}]+"", """"), ""^[-–\s]+"", """")))&gt;0, TRIM(REGEXREPLACE(REGEXREPLACE('AYIRA MINI MART FINAL MENU - Pr"&amp;"'!B937, ""^[^\x{0600}-\x{06FF}]+"", """"), ""^[-–\s]+"", """")), GOOGLETRANSLATE('AYIRA MINI MART FINAL MENU - Pr'!B937, ""en"", ""ar"")))"),"الحلوى 🍬")</f>
        <v>الحلوى 🍬</v>
      </c>
      <c r="C937" s="58">
        <f>IF('AYIRA MINI MART FINAL MENU - Pr'!C937="", "", 'AYIRA MINI MART FINAL MENU - Pr'!C937)</f>
        <v>6</v>
      </c>
      <c r="D937" s="58" t="str">
        <f>IF('AYIRA MINI MART FINAL MENU - Pr'!D937="", "", 'AYIRA MINI MART FINAL MENU - Pr'!D937)</f>
        <v>استمتع بـ Chupa Chups Cola Soft &amp; Chewy Cola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7" s="56" t="str">
        <f>IF('AYIRA MINI MART FINAL MENU - Pr'!E937="", "", 'AYIRA MINI MART FINAL MENU - Pr'!E937)</f>
        <v/>
      </c>
      <c r="F937" s="56" t="str">
        <f>IF('AYIRA MINI MART FINAL MENU - Pr'!F937="", "", 'AYIRA MINI MART FINAL MENU - Pr'!F937)</f>
        <v/>
      </c>
      <c r="G937" s="56" t="str">
        <f>IF('AYIRA MINI MART FINAL MENU - Pr'!G937="", "", 'AYIRA MINI MART FINAL MENU - Pr'!G937)</f>
        <v/>
      </c>
      <c r="H937" s="56" t="str">
        <f>IF('AYIRA MINI MART FINAL MENU - Pr'!H937="", "", 'AYIRA MINI MART FINAL MENU - Pr'!H937)</f>
        <v/>
      </c>
      <c r="I937" s="56" t="str">
        <f>IF('AYIRA MINI MART FINAL MENU - Pr'!I937="", "", 'AYIRA MINI MART FINAL MENU - Pr'!I937)</f>
        <v/>
      </c>
      <c r="J937" s="56" t="str">
        <f>IFERROR(__xludf.DUMMYFUNCTION("IF('AYIRA MINI MART FINAL MENU - Pr'!J937="""", """", GOOGLETRANSLATE('AYIRA MINI MART FINAL MENU - Pr'!J937, ""en"", ""ar""))"),"")</f>
        <v/>
      </c>
      <c r="K937" s="56" t="str">
        <f>IF('AYIRA MINI MART FINAL MENU - Pr'!K937="", "", 'AYIRA MINI MART FINAL MENU - Pr'!K937)</f>
        <v/>
      </c>
      <c r="L937" s="56" t="str">
        <f>IF('AYIRA MINI MART FINAL MENU - Pr'!L937="", "", 'AYIRA MINI MART FINAL MENU - Pr'!L937)</f>
        <v/>
      </c>
      <c r="M937" s="56" t="str">
        <f>IF('AYIRA MINI MART FINAL MENU - Pr'!M937="", "", 'AYIRA MINI MART FINAL MENU - Pr'!M937)</f>
        <v/>
      </c>
      <c r="N937" s="56" t="str">
        <f>IF('AYIRA MINI MART FINAL MENU - Pr'!N937="", "", 'AYIRA MINI MART FINAL MENU - Pr'!N937)</f>
        <v/>
      </c>
      <c r="O937" s="57"/>
      <c r="P937" s="57"/>
      <c r="Q937" s="57"/>
      <c r="R937" s="57"/>
      <c r="S937" s="57"/>
      <c r="T937" s="57"/>
      <c r="U937" s="57"/>
      <c r="V937" s="57"/>
      <c r="W937" s="57"/>
      <c r="X937" s="57"/>
      <c r="Y937" s="57"/>
      <c r="Z937" s="57"/>
    </row>
    <row r="938">
      <c r="A938" s="56" t="str">
        <f>IFERROR(__xludf.DUMMYFUNCTION("IF('AYIRA MINI MART FINAL MENU - Pr'!A938="""", """", IF(LEN(TRIM(REGEXREPLACE(REGEXREPLACE('AYIRA MINI MART FINAL MENU - Pr'!A938, ""^[^\x{0600}-\x{06FF}]+"", """"), ""^[-–\s]+"", """")))&gt;0, TRIM(REGEXREPLACE(REGEXREPLACE('AYIRA MINI MART FINAL MENU - Pr"&amp;"'!A938, ""^[^\x{0600}-\x{06FF}]+"", """"), ""^[-–\s]+"", """")), GOOGLETRANSLATE('AYIRA MINI MART FINAL MENU - Pr'!A938, ""en"", ""ar"")))"),"تشوبا تشوبس Gecko Sour Fruit Flavour Gummy Candy 90 غرام")</f>
        <v>تشوبا تشوبس Gecko Sour Fruit Flavour Gummy Candy 90 غرام</v>
      </c>
      <c r="B938" s="56" t="str">
        <f>IFERROR(__xludf.DUMMYFUNCTION("IF('AYIRA MINI MART FINAL MENU - Pr'!B938="""", """", IF(LEN(TRIM(REGEXREPLACE(REGEXREPLACE('AYIRA MINI MART FINAL MENU - Pr'!B938, ""^[^\x{0600}-\x{06FF}]+"", """"), ""^[-–\s]+"", """")))&gt;0, TRIM(REGEXREPLACE(REGEXREPLACE('AYIRA MINI MART FINAL MENU - Pr"&amp;"'!B938, ""^[^\x{0600}-\x{06FF}]+"", """"), ""^[-–\s]+"", """")), GOOGLETRANSLATE('AYIRA MINI MART FINAL MENU - Pr'!B938, ""en"", ""ar"")))"),"الحلوى 🍬")</f>
        <v>الحلوى 🍬</v>
      </c>
      <c r="C938" s="58">
        <f>IF('AYIRA MINI MART FINAL MENU - Pr'!C938="", "", 'AYIRA MINI MART FINAL MENU - Pr'!C938)</f>
        <v>6</v>
      </c>
      <c r="D938" s="58" t="str">
        <f>IF('AYIRA MINI MART FINAL MENU - Pr'!D938="", "", 'AYIRA MINI MART FINAL MENU - Pr'!D938)</f>
        <v>استمتع بـ Chupa Chups Gecko Sour Fruit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8" s="56" t="str">
        <f>IF('AYIRA MINI MART FINAL MENU - Pr'!E938="", "", 'AYIRA MINI MART FINAL MENU - Pr'!E938)</f>
        <v/>
      </c>
      <c r="F938" s="56" t="str">
        <f>IF('AYIRA MINI MART FINAL MENU - Pr'!F938="", "", 'AYIRA MINI MART FINAL MENU - Pr'!F938)</f>
        <v/>
      </c>
      <c r="G938" s="56" t="str">
        <f>IF('AYIRA MINI MART FINAL MENU - Pr'!G938="", "", 'AYIRA MINI MART FINAL MENU - Pr'!G938)</f>
        <v/>
      </c>
      <c r="H938" s="56" t="str">
        <f>IF('AYIRA MINI MART FINAL MENU - Pr'!H938="", "", 'AYIRA MINI MART FINAL MENU - Pr'!H938)</f>
        <v/>
      </c>
      <c r="I938" s="56" t="str">
        <f>IF('AYIRA MINI MART FINAL MENU - Pr'!I938="", "", 'AYIRA MINI MART FINAL MENU - Pr'!I938)</f>
        <v/>
      </c>
      <c r="J938" s="56" t="str">
        <f>IFERROR(__xludf.DUMMYFUNCTION("IF('AYIRA MINI MART FINAL MENU - Pr'!J938="""", """", GOOGLETRANSLATE('AYIRA MINI MART FINAL MENU - Pr'!J938, ""en"", ""ar""))"),"")</f>
        <v/>
      </c>
      <c r="K938" s="56" t="str">
        <f>IF('AYIRA MINI MART FINAL MENU - Pr'!K938="", "", 'AYIRA MINI MART FINAL MENU - Pr'!K938)</f>
        <v/>
      </c>
      <c r="L938" s="56" t="str">
        <f>IF('AYIRA MINI MART FINAL MENU - Pr'!L938="", "", 'AYIRA MINI MART FINAL MENU - Pr'!L938)</f>
        <v/>
      </c>
      <c r="M938" s="56" t="str">
        <f>IF('AYIRA MINI MART FINAL MENU - Pr'!M938="", "", 'AYIRA MINI MART FINAL MENU - Pr'!M938)</f>
        <v/>
      </c>
      <c r="N938" s="56" t="str">
        <f>IF('AYIRA MINI MART FINAL MENU - Pr'!N938="", "", 'AYIRA MINI MART FINAL MENU - Pr'!N938)</f>
        <v/>
      </c>
      <c r="O938" s="57"/>
      <c r="P938" s="57"/>
      <c r="Q938" s="57"/>
      <c r="R938" s="57"/>
      <c r="S938" s="57"/>
      <c r="T938" s="57"/>
      <c r="U938" s="57"/>
      <c r="V938" s="57"/>
      <c r="W938" s="57"/>
      <c r="X938" s="57"/>
      <c r="Y938" s="57"/>
      <c r="Z938" s="57"/>
    </row>
    <row r="939">
      <c r="A939" s="56" t="str">
        <f>IFERROR(__xludf.DUMMYFUNCTION("IF('AYIRA MINI MART FINAL MENU - Pr'!A939="""", """", IF(LEN(TRIM(REGEXREPLACE(REGEXREPLACE('AYIRA MINI MART FINAL MENU - Pr'!A939, ""^[^\x{0600}-\x{06FF}]+"", """"), ""^[-–\s]+"", """")))&gt;0, TRIM(REGEXREPLACE(REGEXREPLACE('AYIRA MINI MART FINAL MENU - Pr"&amp;"'!A939, ""^[^\x{0600}-\x{06FF}]+"", """"), ""^[-–\s]+"", """")), GOOGLETRANSLATE('AYIRA MINI MART FINAL MENU - Pr'!A939, ""en"", ""ar"")))"),"تشوبا تشوبس Pinkis Soft &amp; Chewy فراولة Flavour Gummy Candy 90 غرام")</f>
        <v>تشوبا تشوبس Pinkis Soft &amp; Chewy فراولة Flavour Gummy Candy 90 غرام</v>
      </c>
      <c r="B939" s="56" t="str">
        <f>IFERROR(__xludf.DUMMYFUNCTION("IF('AYIRA MINI MART FINAL MENU - Pr'!B939="""", """", IF(LEN(TRIM(REGEXREPLACE(REGEXREPLACE('AYIRA MINI MART FINAL MENU - Pr'!B939, ""^[^\x{0600}-\x{06FF}]+"", """"), ""^[-–\s]+"", """")))&gt;0, TRIM(REGEXREPLACE(REGEXREPLACE('AYIRA MINI MART FINAL MENU - Pr"&amp;"'!B939, ""^[^\x{0600}-\x{06FF}]+"", """"), ""^[-–\s]+"", """")), GOOGLETRANSLATE('AYIRA MINI MART FINAL MENU - Pr'!B939, ""en"", ""ar"")))"),"الحلوى 🍬")</f>
        <v>الحلوى 🍬</v>
      </c>
      <c r="C939" s="58">
        <f>IF('AYIRA MINI MART FINAL MENU - Pr'!C939="", "", 'AYIRA MINI MART FINAL MENU - Pr'!C939)</f>
        <v>6</v>
      </c>
      <c r="D939" s="58" t="str">
        <f>IF('AYIRA MINI MART FINAL MENU - Pr'!D939="", "", 'AYIRA MINI MART FINAL MENU - Pr'!D939)</f>
        <v>استمتع بـ Chupa Chups Pinkis Soft &amp; Chewy Strawberry Flavour Gummy Candy 90 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39" s="56" t="str">
        <f>IF('AYIRA MINI MART FINAL MENU - Pr'!E939="", "", 'AYIRA MINI MART FINAL MENU - Pr'!E939)</f>
        <v/>
      </c>
      <c r="F939" s="56" t="str">
        <f>IF('AYIRA MINI MART FINAL MENU - Pr'!F939="", "", 'AYIRA MINI MART FINAL MENU - Pr'!F939)</f>
        <v/>
      </c>
      <c r="G939" s="56" t="str">
        <f>IF('AYIRA MINI MART FINAL MENU - Pr'!G939="", "", 'AYIRA MINI MART FINAL MENU - Pr'!G939)</f>
        <v/>
      </c>
      <c r="H939" s="56" t="str">
        <f>IF('AYIRA MINI MART FINAL MENU - Pr'!H939="", "", 'AYIRA MINI MART FINAL MENU - Pr'!H939)</f>
        <v/>
      </c>
      <c r="I939" s="56" t="str">
        <f>IF('AYIRA MINI MART FINAL MENU - Pr'!I939="", "", 'AYIRA MINI MART FINAL MENU - Pr'!I939)</f>
        <v/>
      </c>
      <c r="J939" s="56" t="str">
        <f>IFERROR(__xludf.DUMMYFUNCTION("IF('AYIRA MINI MART FINAL MENU - Pr'!J939="""", """", GOOGLETRANSLATE('AYIRA MINI MART FINAL MENU - Pr'!J939, ""en"", ""ar""))"),"")</f>
        <v/>
      </c>
      <c r="K939" s="56" t="str">
        <f>IF('AYIRA MINI MART FINAL MENU - Pr'!K939="", "", 'AYIRA MINI MART FINAL MENU - Pr'!K939)</f>
        <v/>
      </c>
      <c r="L939" s="56" t="str">
        <f>IF('AYIRA MINI MART FINAL MENU - Pr'!L939="", "", 'AYIRA MINI MART FINAL MENU - Pr'!L939)</f>
        <v/>
      </c>
      <c r="M939" s="56" t="str">
        <f>IF('AYIRA MINI MART FINAL MENU - Pr'!M939="", "", 'AYIRA MINI MART FINAL MENU - Pr'!M939)</f>
        <v/>
      </c>
      <c r="N939" s="56" t="str">
        <f>IF('AYIRA MINI MART FINAL MENU - Pr'!N939="", "", 'AYIRA MINI MART FINAL MENU - Pr'!N939)</f>
        <v/>
      </c>
      <c r="O939" s="57"/>
      <c r="P939" s="57"/>
      <c r="Q939" s="57"/>
      <c r="R939" s="57"/>
      <c r="S939" s="57"/>
      <c r="T939" s="57"/>
      <c r="U939" s="57"/>
      <c r="V939" s="57"/>
      <c r="W939" s="57"/>
      <c r="X939" s="57"/>
      <c r="Y939" s="57"/>
      <c r="Z939" s="57"/>
    </row>
    <row r="940">
      <c r="A940" s="56" t="str">
        <f>IFERROR(__xludf.DUMMYFUNCTION("IF('AYIRA MINI MART FINAL MENU - Pr'!A940="""", """", IF(LEN(TRIM(REGEXREPLACE(REGEXREPLACE('AYIRA MINI MART FINAL MENU - Pr'!A940, ""^[^\x{0600}-\x{06FF}]+"", """"), ""^[-–\s]+"", """")))&gt;0, TRIM(REGEXREPLACE(REGEXREPLACE('AYIRA MINI MART FINAL MENU - Pr"&amp;"'!A940, ""^[^\x{0600}-\x{06FF}]+"", """"), ""^[-–\s]+"", """")), GOOGLETRANSLATE('AYIRA MINI MART FINAL MENU - Pr'!A940, ""en"", ""ar"")))"),"تشوبا تشوبس Sour متنوع Flavour Lollipops 120 غرام")</f>
        <v>تشوبا تشوبس Sour متنوع Flavour Lollipops 120 غرام</v>
      </c>
      <c r="B940" s="56" t="str">
        <f>IFERROR(__xludf.DUMMYFUNCTION("IF('AYIRA MINI MART FINAL MENU - Pr'!B940="""", """", IF(LEN(TRIM(REGEXREPLACE(REGEXREPLACE('AYIRA MINI MART FINAL MENU - Pr'!B940, ""^[^\x{0600}-\x{06FF}]+"", """"), ""^[-–\s]+"", """")))&gt;0, TRIM(REGEXREPLACE(REGEXREPLACE('AYIRA MINI MART FINAL MENU - Pr"&amp;"'!B940, ""^[^\x{0600}-\x{06FF}]+"", """"), ""^[-–\s]+"", """")), GOOGLETRANSLATE('AYIRA MINI MART FINAL MENU - Pr'!B940, ""en"", ""ar"")))"),"الحلوى 🍬")</f>
        <v>الحلوى 🍬</v>
      </c>
      <c r="C940" s="58">
        <f>IF('AYIRA MINI MART FINAL MENU - Pr'!C940="", "", 'AYIRA MINI MART FINAL MENU - Pr'!C940)</f>
        <v>7.5</v>
      </c>
      <c r="D940" s="58" t="str">
        <f>IF('AYIRA MINI MART FINAL MENU - Pr'!D940="", "", 'AYIRA MINI MART FINAL MENU - Pr'!D940)</f>
        <v>أضف لحظة حلوة إلى يومك مع Chupa Chups Sour Assorted Flavour Lollipops 120 g،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40" s="56" t="str">
        <f>IF('AYIRA MINI MART FINAL MENU - Pr'!E940="", "", 'AYIRA MINI MART FINAL MENU - Pr'!E940)</f>
        <v/>
      </c>
      <c r="F940" s="56" t="str">
        <f>IF('AYIRA MINI MART FINAL MENU - Pr'!F940="", "", 'AYIRA MINI MART FINAL MENU - Pr'!F940)</f>
        <v/>
      </c>
      <c r="G940" s="56" t="str">
        <f>IF('AYIRA MINI MART FINAL MENU - Pr'!G940="", "", 'AYIRA MINI MART FINAL MENU - Pr'!G940)</f>
        <v/>
      </c>
      <c r="H940" s="56" t="str">
        <f>IF('AYIRA MINI MART FINAL MENU - Pr'!H940="", "", 'AYIRA MINI MART FINAL MENU - Pr'!H940)</f>
        <v/>
      </c>
      <c r="I940" s="56" t="str">
        <f>IF('AYIRA MINI MART FINAL MENU - Pr'!I940="", "", 'AYIRA MINI MART FINAL MENU - Pr'!I940)</f>
        <v/>
      </c>
      <c r="J940" s="56" t="str">
        <f>IFERROR(__xludf.DUMMYFUNCTION("IF('AYIRA MINI MART FINAL MENU - Pr'!J940="""", """", GOOGLETRANSLATE('AYIRA MINI MART FINAL MENU - Pr'!J940, ""en"", ""ar""))"),"")</f>
        <v/>
      </c>
      <c r="K940" s="56" t="str">
        <f>IF('AYIRA MINI MART FINAL MENU - Pr'!K940="", "", 'AYIRA MINI MART FINAL MENU - Pr'!K940)</f>
        <v/>
      </c>
      <c r="L940" s="56" t="str">
        <f>IF('AYIRA MINI MART FINAL MENU - Pr'!L940="", "", 'AYIRA MINI MART FINAL MENU - Pr'!L940)</f>
        <v/>
      </c>
      <c r="M940" s="56" t="str">
        <f>IF('AYIRA MINI MART FINAL MENU - Pr'!M940="", "", 'AYIRA MINI MART FINAL MENU - Pr'!M940)</f>
        <v/>
      </c>
      <c r="N940" s="56" t="str">
        <f>IF('AYIRA MINI MART FINAL MENU - Pr'!N940="", "", 'AYIRA MINI MART FINAL MENU - Pr'!N940)</f>
        <v/>
      </c>
      <c r="O940" s="57"/>
      <c r="P940" s="57"/>
      <c r="Q940" s="57"/>
      <c r="R940" s="57"/>
      <c r="S940" s="57"/>
      <c r="T940" s="57"/>
      <c r="U940" s="57"/>
      <c r="V940" s="57"/>
      <c r="W940" s="57"/>
      <c r="X940" s="57"/>
      <c r="Y940" s="57"/>
      <c r="Z940" s="57"/>
    </row>
    <row r="941">
      <c r="A941" s="56" t="str">
        <f>IFERROR(__xludf.DUMMYFUNCTION("IF('AYIRA MINI MART FINAL MENU - Pr'!A941="""", """", IF(LEN(TRIM(REGEXREPLACE(REGEXREPLACE('AYIRA MINI MART FINAL MENU - Pr'!A941, ""^[^\x{0600}-\x{06FF}]+"", """"), ""^[-–\s]+"", """")))&gt;0, TRIM(REGEXREPLACE(REGEXREPLACE('AYIRA MINI MART FINAL MENU - Pr"&amp;"'!A941, ""^[^\x{0600}-\x{06FF}]+"", """"), ""^[-–\s]+"", """")), GOOGLETRANSLATE('AYIRA MINI MART FINAL MENU - Pr'!A941, ""en"", ""ar"")))"),"تشوبا تشوبس Cola Gummy Candy 45 غرام")</f>
        <v>تشوبا تشوبس Cola Gummy Candy 45 غرام</v>
      </c>
      <c r="B941" s="56" t="str">
        <f>IFERROR(__xludf.DUMMYFUNCTION("IF('AYIRA MINI MART FINAL MENU - Pr'!B941="""", """", IF(LEN(TRIM(REGEXREPLACE(REGEXREPLACE('AYIRA MINI MART FINAL MENU - Pr'!B941, ""^[^\x{0600}-\x{06FF}]+"", """"), ""^[-–\s]+"", """")))&gt;0, TRIM(REGEXREPLACE(REGEXREPLACE('AYIRA MINI MART FINAL MENU - Pr"&amp;"'!B941, ""^[^\x{0600}-\x{06FF}]+"", """"), ""^[-–\s]+"", """")), GOOGLETRANSLATE('AYIRA MINI MART FINAL MENU - Pr'!B941, ""en"", ""ar"")))"),"الحلوى 🍬")</f>
        <v>الحلوى 🍬</v>
      </c>
      <c r="C941" s="58">
        <f>IF('AYIRA MINI MART FINAL MENU - Pr'!C941="", "", 'AYIRA MINI MART FINAL MENU - Pr'!C941)</f>
        <v>6</v>
      </c>
      <c r="D941" s="58" t="str">
        <f>IF('AYIRA MINI MART FINAL MENU - Pr'!D941="", "", 'AYIRA MINI MART FINAL MENU - Pr'!D941)</f>
        <v>استمتع بـ Chupa Chups Cola Gummy Candy 45g،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41" s="56" t="str">
        <f>IF('AYIRA MINI MART FINAL MENU - Pr'!E941="", "", 'AYIRA MINI MART FINAL MENU - Pr'!E941)</f>
        <v/>
      </c>
      <c r="F941" s="56" t="str">
        <f>IF('AYIRA MINI MART FINAL MENU - Pr'!F941="", "", 'AYIRA MINI MART FINAL MENU - Pr'!F941)</f>
        <v/>
      </c>
      <c r="G941" s="56" t="str">
        <f>IF('AYIRA MINI MART FINAL MENU - Pr'!G941="", "", 'AYIRA MINI MART FINAL MENU - Pr'!G941)</f>
        <v/>
      </c>
      <c r="H941" s="56" t="str">
        <f>IF('AYIRA MINI MART FINAL MENU - Pr'!H941="", "", 'AYIRA MINI MART FINAL MENU - Pr'!H941)</f>
        <v/>
      </c>
      <c r="I941" s="56" t="str">
        <f>IF('AYIRA MINI MART FINAL MENU - Pr'!I941="", "", 'AYIRA MINI MART FINAL MENU - Pr'!I941)</f>
        <v/>
      </c>
      <c r="J941" s="56" t="str">
        <f>IFERROR(__xludf.DUMMYFUNCTION("IF('AYIRA MINI MART FINAL MENU - Pr'!J941="""", """", GOOGLETRANSLATE('AYIRA MINI MART FINAL MENU - Pr'!J941, ""en"", ""ar""))"),"")</f>
        <v/>
      </c>
      <c r="K941" s="56" t="str">
        <f>IF('AYIRA MINI MART FINAL MENU - Pr'!K941="", "", 'AYIRA MINI MART FINAL MENU - Pr'!K941)</f>
        <v/>
      </c>
      <c r="L941" s="56" t="str">
        <f>IF('AYIRA MINI MART FINAL MENU - Pr'!L941="", "", 'AYIRA MINI MART FINAL MENU - Pr'!L941)</f>
        <v/>
      </c>
      <c r="M941" s="56" t="str">
        <f>IF('AYIRA MINI MART FINAL MENU - Pr'!M941="", "", 'AYIRA MINI MART FINAL MENU - Pr'!M941)</f>
        <v/>
      </c>
      <c r="N941" s="56" t="str">
        <f>IF('AYIRA MINI MART FINAL MENU - Pr'!N941="", "", 'AYIRA MINI MART FINAL MENU - Pr'!N941)</f>
        <v/>
      </c>
      <c r="O941" s="57"/>
      <c r="P941" s="57"/>
      <c r="Q941" s="57"/>
      <c r="R941" s="57"/>
      <c r="S941" s="57"/>
      <c r="T941" s="57"/>
      <c r="U941" s="57"/>
      <c r="V941" s="57"/>
      <c r="W941" s="57"/>
      <c r="X941" s="57"/>
      <c r="Y941" s="57"/>
      <c r="Z941" s="57"/>
    </row>
    <row r="942">
      <c r="A942" s="56" t="str">
        <f>IFERROR(__xludf.DUMMYFUNCTION("IF('AYIRA MINI MART FINAL MENU - Pr'!A942="""", """", IF(LEN(TRIM(REGEXREPLACE(REGEXREPLACE('AYIRA MINI MART FINAL MENU - Pr'!A942, ""^[^\x{0600}-\x{06FF}]+"", """"), ""^[-–\s]+"", """")))&gt;0, TRIM(REGEXREPLACE(REGEXREPLACE('AYIRA MINI MART FINAL MENU - Pr"&amp;"'!A942, ""^[^\x{0600}-\x{06FF}]+"", """"), ""^[-–\s]+"", """")), GOOGLETRANSLATE('AYIRA MINI MART FINAL MENU - Pr'!A942, ""en"", ""ar"")))"),"تشوبا تشوبس Bites Sour Fruit Flavour Gummy Candy 85 غرام")</f>
        <v>تشوبا تشوبس Bites Sour Fruit Flavour Gummy Candy 85 غرام</v>
      </c>
      <c r="B942" s="56" t="str">
        <f>IFERROR(__xludf.DUMMYFUNCTION("IF('AYIRA MINI MART FINAL MENU - Pr'!B942="""", """", IF(LEN(TRIM(REGEXREPLACE(REGEXREPLACE('AYIRA MINI MART FINAL MENU - Pr'!B942, ""^[^\x{0600}-\x{06FF}]+"", """"), ""^[-–\s]+"", """")))&gt;0, TRIM(REGEXREPLACE(REGEXREPLACE('AYIRA MINI MART FINAL MENU - Pr"&amp;"'!B942, ""^[^\x{0600}-\x{06FF}]+"", """"), ""^[-–\s]+"", """")), GOOGLETRANSLATE('AYIRA MINI MART FINAL MENU - Pr'!B942, ""en"", ""ar"")))"),"الحلوى 🍬")</f>
        <v>الحلوى 🍬</v>
      </c>
      <c r="C942" s="58">
        <f>IF('AYIRA MINI MART FINAL MENU - Pr'!C942="", "", 'AYIRA MINI MART FINAL MENU - Pr'!C942)</f>
        <v>6</v>
      </c>
      <c r="D942" s="58" t="str">
        <f>IF('AYIRA MINI MART FINAL MENU - Pr'!D942="", "", 'AYIRA MINI MART FINAL MENU - Pr'!D942)</f>
        <v>استمتع بـ Chupa Chups Bites Sour Fruit Flavour Gummy Candy 85g،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42" s="56" t="str">
        <f>IF('AYIRA MINI MART FINAL MENU - Pr'!E942="", "", 'AYIRA MINI MART FINAL MENU - Pr'!E942)</f>
        <v/>
      </c>
      <c r="F942" s="56" t="str">
        <f>IF('AYIRA MINI MART FINAL MENU - Pr'!F942="", "", 'AYIRA MINI MART FINAL MENU - Pr'!F942)</f>
        <v/>
      </c>
      <c r="G942" s="56" t="str">
        <f>IF('AYIRA MINI MART FINAL MENU - Pr'!G942="", "", 'AYIRA MINI MART FINAL MENU - Pr'!G942)</f>
        <v/>
      </c>
      <c r="H942" s="56" t="str">
        <f>IF('AYIRA MINI MART FINAL MENU - Pr'!H942="", "", 'AYIRA MINI MART FINAL MENU - Pr'!H942)</f>
        <v/>
      </c>
      <c r="I942" s="56" t="str">
        <f>IF('AYIRA MINI MART FINAL MENU - Pr'!I942="", "", 'AYIRA MINI MART FINAL MENU - Pr'!I942)</f>
        <v/>
      </c>
      <c r="J942" s="56" t="str">
        <f>IFERROR(__xludf.DUMMYFUNCTION("IF('AYIRA MINI MART FINAL MENU - Pr'!J942="""", """", GOOGLETRANSLATE('AYIRA MINI MART FINAL MENU - Pr'!J942, ""en"", ""ar""))"),"")</f>
        <v/>
      </c>
      <c r="K942" s="56" t="str">
        <f>IF('AYIRA MINI MART FINAL MENU - Pr'!K942="", "", 'AYIRA MINI MART FINAL MENU - Pr'!K942)</f>
        <v/>
      </c>
      <c r="L942" s="56" t="str">
        <f>IF('AYIRA MINI MART FINAL MENU - Pr'!L942="", "", 'AYIRA MINI MART FINAL MENU - Pr'!L942)</f>
        <v/>
      </c>
      <c r="M942" s="56" t="str">
        <f>IF('AYIRA MINI MART FINAL MENU - Pr'!M942="", "", 'AYIRA MINI MART FINAL MENU - Pr'!M942)</f>
        <v/>
      </c>
      <c r="N942" s="56" t="str">
        <f>IF('AYIRA MINI MART FINAL MENU - Pr'!N942="", "", 'AYIRA MINI MART FINAL MENU - Pr'!N942)</f>
        <v/>
      </c>
      <c r="O942" s="57"/>
      <c r="P942" s="57"/>
      <c r="Q942" s="57"/>
      <c r="R942" s="57"/>
      <c r="S942" s="57"/>
      <c r="T942" s="57"/>
      <c r="U942" s="57"/>
      <c r="V942" s="57"/>
      <c r="W942" s="57"/>
      <c r="X942" s="57"/>
      <c r="Y942" s="57"/>
      <c r="Z942" s="57"/>
    </row>
    <row r="943">
      <c r="A943" s="56" t="str">
        <f>IFERROR(__xludf.DUMMYFUNCTION("IF('AYIRA MINI MART FINAL MENU - Pr'!A943="""", """", IF(LEN(TRIM(REGEXREPLACE(REGEXREPLACE('AYIRA MINI MART FINAL MENU - Pr'!A943, ""^[^\x{0600}-\x{06FF}]+"", """"), ""^[-–\s]+"", """")))&gt;0, TRIM(REGEXREPLACE(REGEXREPLACE('AYIRA MINI MART FINAL MENU - Pr"&amp;"'!A943, ""^[^\x{0600}-\x{06FF}]+"", """"), ""^[-–\s]+"", """")), GOOGLETRANSLATE('AYIRA MINI MART FINAL MENU - Pr'!A943, ""en"", ""ar"")))"),"منتوس Pure Fresh Chewing Gum Fresh نعناع")</f>
        <v>منتوس Pure Fresh Chewing Gum Fresh نعناع</v>
      </c>
      <c r="B943" s="56" t="str">
        <f>IFERROR(__xludf.DUMMYFUNCTION("IF('AYIRA MINI MART FINAL MENU - Pr'!B943="""", """", IF(LEN(TRIM(REGEXREPLACE(REGEXREPLACE('AYIRA MINI MART FINAL MENU - Pr'!B943, ""^[^\x{0600}-\x{06FF}]+"", """"), ""^[-–\s]+"", """")))&gt;0, TRIM(REGEXREPLACE(REGEXREPLACE('AYIRA MINI MART FINAL MENU - Pr"&amp;"'!B943, ""^[^\x{0600}-\x{06FF}]+"", """"), ""^[-–\s]+"", """")), GOOGLETRANSLATE('AYIRA MINI MART FINAL MENU - Pr'!B943, ""en"", ""ar"")))"),"العلكة")</f>
        <v>العلكة</v>
      </c>
      <c r="C943" s="58">
        <f>IF('AYIRA MINI MART FINAL MENU - Pr'!C943="", "", 'AYIRA MINI MART FINAL MENU - Pr'!C943)</f>
        <v>11.5</v>
      </c>
      <c r="D943" s="58" t="str">
        <f>IF('AYIRA MINI MART FINAL MENU - Pr'!D943="", "", 'AYIRA MINI MART FINAL MENU - Pr'!D943)</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43" s="56" t="str">
        <f>IF('AYIRA MINI MART FINAL MENU - Pr'!E943="", "", 'AYIRA MINI MART FINAL MENU - Pr'!E943)</f>
        <v/>
      </c>
      <c r="F943" s="56" t="str">
        <f>IF('AYIRA MINI MART FINAL MENU - Pr'!F943="", "", 'AYIRA MINI MART FINAL MENU - Pr'!F943)</f>
        <v/>
      </c>
      <c r="G943" s="56" t="str">
        <f>IF('AYIRA MINI MART FINAL MENU - Pr'!G943="", "", 'AYIRA MINI MART FINAL MENU - Pr'!G943)</f>
        <v/>
      </c>
      <c r="H943" s="56" t="str">
        <f>IF('AYIRA MINI MART FINAL MENU - Pr'!H943="", "", 'AYIRA MINI MART FINAL MENU - Pr'!H943)</f>
        <v/>
      </c>
      <c r="I943" s="56" t="str">
        <f>IF('AYIRA MINI MART FINAL MENU - Pr'!I943="", "", 'AYIRA MINI MART FINAL MENU - Pr'!I943)</f>
        <v/>
      </c>
      <c r="J943" s="56" t="str">
        <f>IFERROR(__xludf.DUMMYFUNCTION("IF('AYIRA MINI MART FINAL MENU - Pr'!J943="""", """", GOOGLETRANSLATE('AYIRA MINI MART FINAL MENU - Pr'!J943, ""en"", ""ar""))"),"")</f>
        <v/>
      </c>
      <c r="K943" s="56" t="str">
        <f>IF('AYIRA MINI MART FINAL MENU - Pr'!K943="", "", 'AYIRA MINI MART FINAL MENU - Pr'!K943)</f>
        <v/>
      </c>
      <c r="L943" s="56" t="str">
        <f>IF('AYIRA MINI MART FINAL MENU - Pr'!L943="", "", 'AYIRA MINI MART FINAL MENU - Pr'!L943)</f>
        <v/>
      </c>
      <c r="M943" s="56" t="str">
        <f>IF('AYIRA MINI MART FINAL MENU - Pr'!M943="", "", 'AYIRA MINI MART FINAL MENU - Pr'!M943)</f>
        <v/>
      </c>
      <c r="N943" s="56" t="str">
        <f>IF('AYIRA MINI MART FINAL MENU - Pr'!N943="", "", 'AYIRA MINI MART FINAL MENU - Pr'!N943)</f>
        <v/>
      </c>
      <c r="O943" s="57"/>
      <c r="P943" s="57"/>
      <c r="Q943" s="57"/>
      <c r="R943" s="57"/>
      <c r="S943" s="57"/>
      <c r="T943" s="57"/>
      <c r="U943" s="57"/>
      <c r="V943" s="57"/>
      <c r="W943" s="57"/>
      <c r="X943" s="57"/>
      <c r="Y943" s="57"/>
      <c r="Z943" s="57"/>
    </row>
    <row r="944">
      <c r="A944" s="56" t="str">
        <f>IFERROR(__xludf.DUMMYFUNCTION("IF('AYIRA MINI MART FINAL MENU - Pr'!A944="""", """", IF(LEN(TRIM(REGEXREPLACE(REGEXREPLACE('AYIRA MINI MART FINAL MENU - Pr'!A944, ""^[^\x{0600}-\x{06FF}]+"", """"), ""^[-–\s]+"", """")))&gt;0, TRIM(REGEXREPLACE(REGEXREPLACE('AYIRA MINI MART FINAL MENU - Pr"&amp;"'!A944, ""^[^\x{0600}-\x{06FF}]+"", """"), ""^[-–\s]+"", """")), GOOGLETRANSLATE('AYIRA MINI MART FINAL MENU - Pr'!A944, ""en"", ""ar"")))"),"منتوس Pure Fresh Chewing Gum Wintergreen 32 Pieces")</f>
        <v>منتوس Pure Fresh Chewing Gum Wintergreen 32 Pieces</v>
      </c>
      <c r="B944" s="56" t="str">
        <f>IFERROR(__xludf.DUMMYFUNCTION("IF('AYIRA MINI MART FINAL MENU - Pr'!B944="""", """", IF(LEN(TRIM(REGEXREPLACE(REGEXREPLACE('AYIRA MINI MART FINAL MENU - Pr'!B944, ""^[^\x{0600}-\x{06FF}]+"", """"), ""^[-–\s]+"", """")))&gt;0, TRIM(REGEXREPLACE(REGEXREPLACE('AYIRA MINI MART FINAL MENU - Pr"&amp;"'!B944, ""^[^\x{0600}-\x{06FF}]+"", """"), ""^[-–\s]+"", """")), GOOGLETRANSLATE('AYIRA MINI MART FINAL MENU - Pr'!B944, ""en"", ""ar"")))"),"العلكة")</f>
        <v>العلكة</v>
      </c>
      <c r="C944" s="58">
        <f>IF('AYIRA MINI MART FINAL MENU - Pr'!C944="", "", 'AYIRA MINI MART FINAL MENU - Pr'!C944)</f>
        <v>11.5</v>
      </c>
      <c r="D944" s="58" t="str">
        <f>IF('AYIRA MINI MART FINAL MENU - Pr'!D944="", "", 'AYIRA MINI MART FINAL MENU - Pr'!D944)</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44" s="56" t="str">
        <f>IF('AYIRA MINI MART FINAL MENU - Pr'!E944="", "", 'AYIRA MINI MART FINAL MENU - Pr'!E944)</f>
        <v/>
      </c>
      <c r="F944" s="56" t="str">
        <f>IF('AYIRA MINI MART FINAL MENU - Pr'!F944="", "", 'AYIRA MINI MART FINAL MENU - Pr'!F944)</f>
        <v/>
      </c>
      <c r="G944" s="56" t="str">
        <f>IF('AYIRA MINI MART FINAL MENU - Pr'!G944="", "", 'AYIRA MINI MART FINAL MENU - Pr'!G944)</f>
        <v/>
      </c>
      <c r="H944" s="56" t="str">
        <f>IF('AYIRA MINI MART FINAL MENU - Pr'!H944="", "", 'AYIRA MINI MART FINAL MENU - Pr'!H944)</f>
        <v/>
      </c>
      <c r="I944" s="56" t="str">
        <f>IF('AYIRA MINI MART FINAL MENU - Pr'!I944="", "", 'AYIRA MINI MART FINAL MENU - Pr'!I944)</f>
        <v/>
      </c>
      <c r="J944" s="56" t="str">
        <f>IFERROR(__xludf.DUMMYFUNCTION("IF('AYIRA MINI MART FINAL MENU - Pr'!J944="""", """", GOOGLETRANSLATE('AYIRA MINI MART FINAL MENU - Pr'!J944, ""en"", ""ar""))"),"")</f>
        <v/>
      </c>
      <c r="K944" s="56" t="str">
        <f>IF('AYIRA MINI MART FINAL MENU - Pr'!K944="", "", 'AYIRA MINI MART FINAL MENU - Pr'!K944)</f>
        <v/>
      </c>
      <c r="L944" s="56" t="str">
        <f>IF('AYIRA MINI MART FINAL MENU - Pr'!L944="", "", 'AYIRA MINI MART FINAL MENU - Pr'!L944)</f>
        <v/>
      </c>
      <c r="M944" s="56" t="str">
        <f>IF('AYIRA MINI MART FINAL MENU - Pr'!M944="", "", 'AYIRA MINI MART FINAL MENU - Pr'!M944)</f>
        <v/>
      </c>
      <c r="N944" s="56" t="str">
        <f>IF('AYIRA MINI MART FINAL MENU - Pr'!N944="", "", 'AYIRA MINI MART FINAL MENU - Pr'!N944)</f>
        <v/>
      </c>
      <c r="O944" s="57"/>
      <c r="P944" s="57"/>
      <c r="Q944" s="57"/>
      <c r="R944" s="57"/>
      <c r="S944" s="57"/>
      <c r="T944" s="57"/>
      <c r="U944" s="57"/>
      <c r="V944" s="57"/>
      <c r="W944" s="57"/>
      <c r="X944" s="57"/>
      <c r="Y944" s="57"/>
      <c r="Z944" s="57"/>
    </row>
    <row r="945">
      <c r="A945" s="56" t="str">
        <f>IFERROR(__xludf.DUMMYFUNCTION("IF('AYIRA MINI MART FINAL MENU - Pr'!A945="""", """", IF(LEN(TRIM(REGEXREPLACE(REGEXREPLACE('AYIRA MINI MART FINAL MENU - Pr'!A945, ""^[^\x{0600}-\x{06FF}]+"", """"), ""^[-–\s]+"", """")))&gt;0, TRIM(REGEXREPLACE(REGEXREPLACE('AYIRA MINI MART FINAL MENU - Pr"&amp;"'!A945, ""^[^\x{0600}-\x{06FF}]+"", """"), ""^[-–\s]+"", """")), GOOGLETRANSLATE('AYIRA MINI MART FINAL MENU - Pr'!A945, ""en"", ""ar"")))"),"منتوس Pure Fresh Chewing Gum فراولة 32 Pieces")</f>
        <v>منتوس Pure Fresh Chewing Gum فراولة 32 Pieces</v>
      </c>
      <c r="B945" s="56" t="str">
        <f>IFERROR(__xludf.DUMMYFUNCTION("IF('AYIRA MINI MART FINAL MENU - Pr'!B945="""", """", IF(LEN(TRIM(REGEXREPLACE(REGEXREPLACE('AYIRA MINI MART FINAL MENU - Pr'!B945, ""^[^\x{0600}-\x{06FF}]+"", """"), ""^[-–\s]+"", """")))&gt;0, TRIM(REGEXREPLACE(REGEXREPLACE('AYIRA MINI MART FINAL MENU - Pr"&amp;"'!B945, ""^[^\x{0600}-\x{06FF}]+"", """"), ""^[-–\s]+"", """")), GOOGLETRANSLATE('AYIRA MINI MART FINAL MENU - Pr'!B945, ""en"", ""ar"")))"),"العلكة")</f>
        <v>العلكة</v>
      </c>
      <c r="C945" s="58">
        <f>IF('AYIRA MINI MART FINAL MENU - Pr'!C945="", "", 'AYIRA MINI MART FINAL MENU - Pr'!C945)</f>
        <v>11.5</v>
      </c>
      <c r="D945" s="58" t="str">
        <f>IF('AYIRA MINI MART FINAL MENU - Pr'!D945="", "", 'AYIRA MINI MART FINAL MENU - Pr'!D945)</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45" s="56" t="str">
        <f>IF('AYIRA MINI MART FINAL MENU - Pr'!E945="", "", 'AYIRA MINI MART FINAL MENU - Pr'!E945)</f>
        <v/>
      </c>
      <c r="F945" s="56" t="str">
        <f>IF('AYIRA MINI MART FINAL MENU - Pr'!F945="", "", 'AYIRA MINI MART FINAL MENU - Pr'!F945)</f>
        <v/>
      </c>
      <c r="G945" s="56" t="str">
        <f>IF('AYIRA MINI MART FINAL MENU - Pr'!G945="", "", 'AYIRA MINI MART FINAL MENU - Pr'!G945)</f>
        <v/>
      </c>
      <c r="H945" s="56" t="str">
        <f>IF('AYIRA MINI MART FINAL MENU - Pr'!H945="", "", 'AYIRA MINI MART FINAL MENU - Pr'!H945)</f>
        <v/>
      </c>
      <c r="I945" s="56" t="str">
        <f>IF('AYIRA MINI MART FINAL MENU - Pr'!I945="", "", 'AYIRA MINI MART FINAL MENU - Pr'!I945)</f>
        <v/>
      </c>
      <c r="J945" s="56" t="str">
        <f>IFERROR(__xludf.DUMMYFUNCTION("IF('AYIRA MINI MART FINAL MENU - Pr'!J945="""", """", GOOGLETRANSLATE('AYIRA MINI MART FINAL MENU - Pr'!J945, ""en"", ""ar""))"),"")</f>
        <v/>
      </c>
      <c r="K945" s="56" t="str">
        <f>IF('AYIRA MINI MART FINAL MENU - Pr'!K945="", "", 'AYIRA MINI MART FINAL MENU - Pr'!K945)</f>
        <v/>
      </c>
      <c r="L945" s="56" t="str">
        <f>IF('AYIRA MINI MART FINAL MENU - Pr'!L945="", "", 'AYIRA MINI MART FINAL MENU - Pr'!L945)</f>
        <v/>
      </c>
      <c r="M945" s="56" t="str">
        <f>IF('AYIRA MINI MART FINAL MENU - Pr'!M945="", "", 'AYIRA MINI MART FINAL MENU - Pr'!M945)</f>
        <v/>
      </c>
      <c r="N945" s="56" t="str">
        <f>IF('AYIRA MINI MART FINAL MENU - Pr'!N945="", "", 'AYIRA MINI MART FINAL MENU - Pr'!N945)</f>
        <v/>
      </c>
      <c r="O945" s="57"/>
      <c r="P945" s="57"/>
      <c r="Q945" s="57"/>
      <c r="R945" s="57"/>
      <c r="S945" s="57"/>
      <c r="T945" s="57"/>
      <c r="U945" s="57"/>
      <c r="V945" s="57"/>
      <c r="W945" s="57"/>
      <c r="X945" s="57"/>
      <c r="Y945" s="57"/>
      <c r="Z945" s="57"/>
    </row>
    <row r="946">
      <c r="A946" s="56" t="str">
        <f>IFERROR(__xludf.DUMMYFUNCTION("IF('AYIRA MINI MART FINAL MENU - Pr'!A946="""", """", IF(LEN(TRIM(REGEXREPLACE(REGEXREPLACE('AYIRA MINI MART FINAL MENU - Pr'!A946, ""^[^\x{0600}-\x{06FF}]+"", """"), ""^[-–\s]+"", """")))&gt;0, TRIM(REGEXREPLACE(REGEXREPLACE('AYIRA MINI MART FINAL MENU - Pr"&amp;"'!A946, ""^[^\x{0600}-\x{06FF}]+"", """"), ""^[-–\s]+"", """")), GOOGLETRANSLATE('AYIRA MINI MART FINAL MENU - Pr'!A946, ""en"", ""ar"")))"),"منتوس Pure Fresh Chewing Gum Watermelon 32 Pieces")</f>
        <v>منتوس Pure Fresh Chewing Gum Watermelon 32 Pieces</v>
      </c>
      <c r="B946" s="56" t="str">
        <f>IFERROR(__xludf.DUMMYFUNCTION("IF('AYIRA MINI MART FINAL MENU - Pr'!B946="""", """", IF(LEN(TRIM(REGEXREPLACE(REGEXREPLACE('AYIRA MINI MART FINAL MENU - Pr'!B946, ""^[^\x{0600}-\x{06FF}]+"", """"), ""^[-–\s]+"", """")))&gt;0, TRIM(REGEXREPLACE(REGEXREPLACE('AYIRA MINI MART FINAL MENU - Pr"&amp;"'!B946, ""^[^\x{0600}-\x{06FF}]+"", """"), ""^[-–\s]+"", """")), GOOGLETRANSLATE('AYIRA MINI MART FINAL MENU - Pr'!B946, ""en"", ""ar"")))"),"العلكة")</f>
        <v>العلكة</v>
      </c>
      <c r="C946" s="58">
        <f>IF('AYIRA MINI MART FINAL MENU - Pr'!C946="", "", 'AYIRA MINI MART FINAL MENU - Pr'!C946)</f>
        <v>11.5</v>
      </c>
      <c r="D946" s="58" t="str">
        <f>IF('AYIRA MINI MART FINAL MENU - Pr'!D946="", "", 'AYIRA MINI MART FINAL MENU - Pr'!D946)</f>
        <v>اشرب منتوس،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946" s="56" t="str">
        <f>IF('AYIRA MINI MART FINAL MENU - Pr'!E946="", "", 'AYIRA MINI MART FINAL MENU - Pr'!E946)</f>
        <v/>
      </c>
      <c r="F946" s="56" t="str">
        <f>IF('AYIRA MINI MART FINAL MENU - Pr'!F946="", "", 'AYIRA MINI MART FINAL MENU - Pr'!F946)</f>
        <v/>
      </c>
      <c r="G946" s="56" t="str">
        <f>IF('AYIRA MINI MART FINAL MENU - Pr'!G946="", "", 'AYIRA MINI MART FINAL MENU - Pr'!G946)</f>
        <v/>
      </c>
      <c r="H946" s="56" t="str">
        <f>IF('AYIRA MINI MART FINAL MENU - Pr'!H946="", "", 'AYIRA MINI MART FINAL MENU - Pr'!H946)</f>
        <v/>
      </c>
      <c r="I946" s="56" t="str">
        <f>IF('AYIRA MINI MART FINAL MENU - Pr'!I946="", "", 'AYIRA MINI MART FINAL MENU - Pr'!I946)</f>
        <v/>
      </c>
      <c r="J946" s="56" t="str">
        <f>IFERROR(__xludf.DUMMYFUNCTION("IF('AYIRA MINI MART FINAL MENU - Pr'!J946="""", """", GOOGLETRANSLATE('AYIRA MINI MART FINAL MENU - Pr'!J946, ""en"", ""ar""))"),"")</f>
        <v/>
      </c>
      <c r="K946" s="56" t="str">
        <f>IF('AYIRA MINI MART FINAL MENU - Pr'!K946="", "", 'AYIRA MINI MART FINAL MENU - Pr'!K946)</f>
        <v/>
      </c>
      <c r="L946" s="56" t="str">
        <f>IF('AYIRA MINI MART FINAL MENU - Pr'!L946="", "", 'AYIRA MINI MART FINAL MENU - Pr'!L946)</f>
        <v/>
      </c>
      <c r="M946" s="56" t="str">
        <f>IF('AYIRA MINI MART FINAL MENU - Pr'!M946="", "", 'AYIRA MINI MART FINAL MENU - Pr'!M946)</f>
        <v/>
      </c>
      <c r="N946" s="56" t="str">
        <f>IF('AYIRA MINI MART FINAL MENU - Pr'!N946="", "", 'AYIRA MINI MART FINAL MENU - Pr'!N946)</f>
        <v/>
      </c>
      <c r="O946" s="57"/>
      <c r="P946" s="57"/>
      <c r="Q946" s="57"/>
      <c r="R946" s="57"/>
      <c r="S946" s="57"/>
      <c r="T946" s="57"/>
      <c r="U946" s="57"/>
      <c r="V946" s="57"/>
      <c r="W946" s="57"/>
      <c r="X946" s="57"/>
      <c r="Y946" s="57"/>
      <c r="Z946" s="57"/>
    </row>
    <row r="947">
      <c r="A947" s="56" t="str">
        <f>IFERROR(__xludf.DUMMYFUNCTION("IF('AYIRA MINI MART FINAL MENU - Pr'!A947="""", """", IF(LEN(TRIM(REGEXREPLACE(REGEXREPLACE('AYIRA MINI MART FINAL MENU - Pr'!A947, ""^[^\x{0600}-\x{06FF}]+"", """"), ""^[-–\s]+"", """")))&gt;0, TRIM(REGEXREPLACE(REGEXREPLACE('AYIRA MINI MART FINAL MENU - Pr"&amp;"'!A947, ""^[^\x{0600}-\x{06FF}]+"", """"), ""^[-–\s]+"", """")), GOOGLETRANSLATE('AYIRA MINI MART FINAL MENU - Pr'!A947, ""en"", ""ar"")))"),"منتوس Pure Fresh Chewing Gum Fresh نعناع 32 Pieces")</f>
        <v>منتوس Pure Fresh Chewing Gum Fresh نعناع 32 Pieces</v>
      </c>
      <c r="B947" s="56" t="str">
        <f>IFERROR(__xludf.DUMMYFUNCTION("IF('AYIRA MINI MART FINAL MENU - Pr'!B947="""", """", IF(LEN(TRIM(REGEXREPLACE(REGEXREPLACE('AYIRA MINI MART FINAL MENU - Pr'!B947, ""^[^\x{0600}-\x{06FF}]+"", """"), ""^[-–\s]+"", """")))&gt;0, TRIM(REGEXREPLACE(REGEXREPLACE('AYIRA MINI MART FINAL MENU - Pr"&amp;"'!B947, ""^[^\x{0600}-\x{06FF}]+"", """"), ""^[-–\s]+"", """")), GOOGLETRANSLATE('AYIRA MINI MART FINAL MENU - Pr'!B947, ""en"", ""ar"")))"),"العلكة")</f>
        <v>العلكة</v>
      </c>
      <c r="C947" s="58">
        <f>IF('AYIRA MINI MART FINAL MENU - Pr'!C947="", "", 'AYIRA MINI MART FINAL MENU - Pr'!C947)</f>
        <v>11.5</v>
      </c>
      <c r="D947" s="58" t="str">
        <f>IF('AYIRA MINI MART FINAL MENU - Pr'!D947="", "", 'AYIRA MINI MART FINAL MENU - Pr'!D947)</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47" s="56" t="str">
        <f>IF('AYIRA MINI MART FINAL MENU - Pr'!E947="", "", 'AYIRA MINI MART FINAL MENU - Pr'!E947)</f>
        <v/>
      </c>
      <c r="F947" s="56" t="str">
        <f>IF('AYIRA MINI MART FINAL MENU - Pr'!F947="", "", 'AYIRA MINI MART FINAL MENU - Pr'!F947)</f>
        <v/>
      </c>
      <c r="G947" s="56" t="str">
        <f>IF('AYIRA MINI MART FINAL MENU - Pr'!G947="", "", 'AYIRA MINI MART FINAL MENU - Pr'!G947)</f>
        <v/>
      </c>
      <c r="H947" s="56" t="str">
        <f>IF('AYIRA MINI MART FINAL MENU - Pr'!H947="", "", 'AYIRA MINI MART FINAL MENU - Pr'!H947)</f>
        <v/>
      </c>
      <c r="I947" s="56" t="str">
        <f>IF('AYIRA MINI MART FINAL MENU - Pr'!I947="", "", 'AYIRA MINI MART FINAL MENU - Pr'!I947)</f>
        <v/>
      </c>
      <c r="J947" s="56" t="str">
        <f>IFERROR(__xludf.DUMMYFUNCTION("IF('AYIRA MINI MART FINAL MENU - Pr'!J947="""", """", GOOGLETRANSLATE('AYIRA MINI MART FINAL MENU - Pr'!J947, ""en"", ""ar""))"),"")</f>
        <v/>
      </c>
      <c r="K947" s="56" t="str">
        <f>IF('AYIRA MINI MART FINAL MENU - Pr'!K947="", "", 'AYIRA MINI MART FINAL MENU - Pr'!K947)</f>
        <v/>
      </c>
      <c r="L947" s="56" t="str">
        <f>IF('AYIRA MINI MART FINAL MENU - Pr'!L947="", "", 'AYIRA MINI MART FINAL MENU - Pr'!L947)</f>
        <v/>
      </c>
      <c r="M947" s="56" t="str">
        <f>IF('AYIRA MINI MART FINAL MENU - Pr'!M947="", "", 'AYIRA MINI MART FINAL MENU - Pr'!M947)</f>
        <v/>
      </c>
      <c r="N947" s="56" t="str">
        <f>IF('AYIRA MINI MART FINAL MENU - Pr'!N947="", "", 'AYIRA MINI MART FINAL MENU - Pr'!N947)</f>
        <v/>
      </c>
      <c r="O947" s="57"/>
      <c r="P947" s="57"/>
      <c r="Q947" s="57"/>
      <c r="R947" s="57"/>
      <c r="S947" s="57"/>
      <c r="T947" s="57"/>
      <c r="U947" s="57"/>
      <c r="V947" s="57"/>
      <c r="W947" s="57"/>
      <c r="X947" s="57"/>
      <c r="Y947" s="57"/>
      <c r="Z947" s="57"/>
    </row>
    <row r="948">
      <c r="A948" s="56" t="str">
        <f>IFERROR(__xludf.DUMMYFUNCTION("IF('AYIRA MINI MART FINAL MENU - Pr'!A948="""", """", IF(LEN(TRIM(REGEXREPLACE(REGEXREPLACE('AYIRA MINI MART FINAL MENU - Pr'!A948, ""^[^\x{0600}-\x{06FF}]+"", """"), ""^[-–\s]+"", """")))&gt;0, TRIM(REGEXREPLACE(REGEXREPLACE('AYIRA MINI MART FINAL MENU - Pr"&amp;"'!A948, ""^[^\x{0600}-\x{06FF}]+"", """"), ""^[-–\s]+"", """")), GOOGLETRANSLATE('AYIRA MINI MART FINAL MENU - Pr'!A948, ""en"", ""ar"")))"),"منتوس 3D Sugarfree Chewing Gum Watermelon 5 Pieces")</f>
        <v>منتوس 3D Sugarfree Chewing Gum Watermelon 5 Pieces</v>
      </c>
      <c r="B948" s="56" t="str">
        <f>IFERROR(__xludf.DUMMYFUNCTION("IF('AYIRA MINI MART FINAL MENU - Pr'!B948="""", """", IF(LEN(TRIM(REGEXREPLACE(REGEXREPLACE('AYIRA MINI MART FINAL MENU - Pr'!B948, ""^[^\x{0600}-\x{06FF}]+"", """"), ""^[-–\s]+"", """")))&gt;0, TRIM(REGEXREPLACE(REGEXREPLACE('AYIRA MINI MART FINAL MENU - Pr"&amp;"'!B948, ""^[^\x{0600}-\x{06FF}]+"", """"), ""^[-–\s]+"", """")), GOOGLETRANSLATE('AYIRA MINI MART FINAL MENU - Pr'!B948, ""en"", ""ar"")))"),"العلكة")</f>
        <v>العلكة</v>
      </c>
      <c r="C948" s="58">
        <f>IF('AYIRA MINI MART FINAL MENU - Pr'!C948="", "", 'AYIRA MINI MART FINAL MENU - Pr'!C948)</f>
        <v>1.5</v>
      </c>
      <c r="D948" s="58" t="str">
        <f>IF('AYIRA MINI MART FINAL MENU - Pr'!D948="", "", 'AYIRA MINI MART FINAL MENU - Pr'!D948)</f>
        <v>اشرب منتوس،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948" s="56" t="str">
        <f>IF('AYIRA MINI MART FINAL MENU - Pr'!E948="", "", 'AYIRA MINI MART FINAL MENU - Pr'!E948)</f>
        <v/>
      </c>
      <c r="F948" s="56" t="str">
        <f>IF('AYIRA MINI MART FINAL MENU - Pr'!F948="", "", 'AYIRA MINI MART FINAL MENU - Pr'!F948)</f>
        <v/>
      </c>
      <c r="G948" s="56" t="str">
        <f>IF('AYIRA MINI MART FINAL MENU - Pr'!G948="", "", 'AYIRA MINI MART FINAL MENU - Pr'!G948)</f>
        <v/>
      </c>
      <c r="H948" s="56" t="str">
        <f>IF('AYIRA MINI MART FINAL MENU - Pr'!H948="", "", 'AYIRA MINI MART FINAL MENU - Pr'!H948)</f>
        <v/>
      </c>
      <c r="I948" s="56" t="str">
        <f>IF('AYIRA MINI MART FINAL MENU - Pr'!I948="", "", 'AYIRA MINI MART FINAL MENU - Pr'!I948)</f>
        <v/>
      </c>
      <c r="J948" s="56" t="str">
        <f>IFERROR(__xludf.DUMMYFUNCTION("IF('AYIRA MINI MART FINAL MENU - Pr'!J948="""", """", GOOGLETRANSLATE('AYIRA MINI MART FINAL MENU - Pr'!J948, ""en"", ""ar""))"),"")</f>
        <v/>
      </c>
      <c r="K948" s="56" t="str">
        <f>IF('AYIRA MINI MART FINAL MENU - Pr'!K948="", "", 'AYIRA MINI MART FINAL MENU - Pr'!K948)</f>
        <v/>
      </c>
      <c r="L948" s="56" t="str">
        <f>IF('AYIRA MINI MART FINAL MENU - Pr'!L948="", "", 'AYIRA MINI MART FINAL MENU - Pr'!L948)</f>
        <v/>
      </c>
      <c r="M948" s="56" t="str">
        <f>IF('AYIRA MINI MART FINAL MENU - Pr'!M948="", "", 'AYIRA MINI MART FINAL MENU - Pr'!M948)</f>
        <v/>
      </c>
      <c r="N948" s="56" t="str">
        <f>IF('AYIRA MINI MART FINAL MENU - Pr'!N948="", "", 'AYIRA MINI MART FINAL MENU - Pr'!N948)</f>
        <v/>
      </c>
      <c r="O948" s="57"/>
      <c r="P948" s="57"/>
      <c r="Q948" s="57"/>
      <c r="R948" s="57"/>
      <c r="S948" s="57"/>
      <c r="T948" s="57"/>
      <c r="U948" s="57"/>
      <c r="V948" s="57"/>
      <c r="W948" s="57"/>
      <c r="X948" s="57"/>
      <c r="Y948" s="57"/>
      <c r="Z948" s="57"/>
    </row>
    <row r="949">
      <c r="A949" s="56" t="str">
        <f>IFERROR(__xludf.DUMMYFUNCTION("IF('AYIRA MINI MART FINAL MENU - Pr'!A949="""", """", IF(LEN(TRIM(REGEXREPLACE(REGEXREPLACE('AYIRA MINI MART FINAL MENU - Pr'!A949, ""^[^\x{0600}-\x{06FF}]+"", """"), ""^[-–\s]+"", """")))&gt;0, TRIM(REGEXREPLACE(REGEXREPLACE('AYIRA MINI MART FINAL MENU - Pr"&amp;"'!A949, ""^[^\x{0600}-\x{06FF}]+"", """"), ""^[-–\s]+"", """")), GOOGLETRANSLATE('AYIRA MINI MART FINAL MENU - Pr'!A949, ""en"", ""ar"")))"),"منتوس 3D Sugarfree Chewing Gum Fresh نعناع 5 Pieces")</f>
        <v>منتوس 3D Sugarfree Chewing Gum Fresh نعناع 5 Pieces</v>
      </c>
      <c r="B949" s="56" t="str">
        <f>IFERROR(__xludf.DUMMYFUNCTION("IF('AYIRA MINI MART FINAL MENU - Pr'!B949="""", """", IF(LEN(TRIM(REGEXREPLACE(REGEXREPLACE('AYIRA MINI MART FINAL MENU - Pr'!B949, ""^[^\x{0600}-\x{06FF}]+"", """"), ""^[-–\s]+"", """")))&gt;0, TRIM(REGEXREPLACE(REGEXREPLACE('AYIRA MINI MART FINAL MENU - Pr"&amp;"'!B949, ""^[^\x{0600}-\x{06FF}]+"", """"), ""^[-–\s]+"", """")), GOOGLETRANSLATE('AYIRA MINI MART FINAL MENU - Pr'!B949, ""en"", ""ar"")))"),"العلكة")</f>
        <v>العلكة</v>
      </c>
      <c r="C949" s="58">
        <f>IF('AYIRA MINI MART FINAL MENU - Pr'!C949="", "", 'AYIRA MINI MART FINAL MENU - Pr'!C949)</f>
        <v>1.5</v>
      </c>
      <c r="D949" s="58" t="str">
        <f>IF('AYIRA MINI MART FINAL MENU - Pr'!D949="", "", 'AYIRA MINI MART FINAL MENU - Pr'!D949)</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49" s="56" t="str">
        <f>IF('AYIRA MINI MART FINAL MENU - Pr'!E949="", "", 'AYIRA MINI MART FINAL MENU - Pr'!E949)</f>
        <v/>
      </c>
      <c r="F949" s="56" t="str">
        <f>IF('AYIRA MINI MART FINAL MENU - Pr'!F949="", "", 'AYIRA MINI MART FINAL MENU - Pr'!F949)</f>
        <v/>
      </c>
      <c r="G949" s="56" t="str">
        <f>IF('AYIRA MINI MART FINAL MENU - Pr'!G949="", "", 'AYIRA MINI MART FINAL MENU - Pr'!G949)</f>
        <v/>
      </c>
      <c r="H949" s="56" t="str">
        <f>IF('AYIRA MINI MART FINAL MENU - Pr'!H949="", "", 'AYIRA MINI MART FINAL MENU - Pr'!H949)</f>
        <v/>
      </c>
      <c r="I949" s="56" t="str">
        <f>IF('AYIRA MINI MART FINAL MENU - Pr'!I949="", "", 'AYIRA MINI MART FINAL MENU - Pr'!I949)</f>
        <v/>
      </c>
      <c r="J949" s="56" t="str">
        <f>IFERROR(__xludf.DUMMYFUNCTION("IF('AYIRA MINI MART FINAL MENU - Pr'!J949="""", """", GOOGLETRANSLATE('AYIRA MINI MART FINAL MENU - Pr'!J949, ""en"", ""ar""))"),"")</f>
        <v/>
      </c>
      <c r="K949" s="56" t="str">
        <f>IF('AYIRA MINI MART FINAL MENU - Pr'!K949="", "", 'AYIRA MINI MART FINAL MENU - Pr'!K949)</f>
        <v/>
      </c>
      <c r="L949" s="56" t="str">
        <f>IF('AYIRA MINI MART FINAL MENU - Pr'!L949="", "", 'AYIRA MINI MART FINAL MENU - Pr'!L949)</f>
        <v/>
      </c>
      <c r="M949" s="56" t="str">
        <f>IF('AYIRA MINI MART FINAL MENU - Pr'!M949="", "", 'AYIRA MINI MART FINAL MENU - Pr'!M949)</f>
        <v/>
      </c>
      <c r="N949" s="56" t="str">
        <f>IF('AYIRA MINI MART FINAL MENU - Pr'!N949="", "", 'AYIRA MINI MART FINAL MENU - Pr'!N949)</f>
        <v/>
      </c>
      <c r="O949" s="57"/>
      <c r="P949" s="57"/>
      <c r="Q949" s="57"/>
      <c r="R949" s="57"/>
      <c r="S949" s="57"/>
      <c r="T949" s="57"/>
      <c r="U949" s="57"/>
      <c r="V949" s="57"/>
      <c r="W949" s="57"/>
      <c r="X949" s="57"/>
      <c r="Y949" s="57"/>
      <c r="Z949" s="57"/>
    </row>
    <row r="950">
      <c r="A950" s="56" t="str">
        <f>IFERROR(__xludf.DUMMYFUNCTION("IF('AYIRA MINI MART FINAL MENU - Pr'!A950="""", """", IF(LEN(TRIM(REGEXREPLACE(REGEXREPLACE('AYIRA MINI MART FINAL MENU - Pr'!A950, ""^[^\x{0600}-\x{06FF}]+"", """"), ""^[-–\s]+"", """")))&gt;0, TRIM(REGEXREPLACE(REGEXREPLACE('AYIRA MINI MART FINAL MENU - Pr"&amp;"'!A950, ""^[^\x{0600}-\x{06FF}]+"", """"), ""^[-–\s]+"", """")), GOOGLETRANSLATE('AYIRA MINI MART FINAL MENU - Pr'!A950, ""en"", ""ar"")))"),"منتوس Incredible Chew Cola Flavour Chews 140 غرام")</f>
        <v>منتوس Incredible Chew Cola Flavour Chews 140 غرام</v>
      </c>
      <c r="B950" s="56" t="str">
        <f>IFERROR(__xludf.DUMMYFUNCTION("IF('AYIRA MINI MART FINAL MENU - Pr'!B950="""", """", IF(LEN(TRIM(REGEXREPLACE(REGEXREPLACE('AYIRA MINI MART FINAL MENU - Pr'!B950, ""^[^\x{0600}-\x{06FF}]+"", """"), ""^[-–\s]+"", """")))&gt;0, TRIM(REGEXREPLACE(REGEXREPLACE('AYIRA MINI MART FINAL MENU - Pr"&amp;"'!B950, ""^[^\x{0600}-\x{06FF}]+"", """"), ""^[-–\s]+"", """")), GOOGLETRANSLATE('AYIRA MINI MART FINAL MENU - Pr'!B950, ""en"", ""ar"")))"),"العلكة")</f>
        <v>العلكة</v>
      </c>
      <c r="C950" s="58">
        <f>IF('AYIRA MINI MART FINAL MENU - Pr'!C950="", "", 'AYIRA MINI MART FINAL MENU - Pr'!C950)</f>
        <v>13</v>
      </c>
      <c r="D950" s="58" t="str">
        <f>IF('AYIRA MINI MART FINAL MENU - Pr'!D950="", "", 'AYIRA MINI MART FINAL MENU - Pr'!D950)</f>
        <v>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50" s="56" t="str">
        <f>IF('AYIRA MINI MART FINAL MENU - Pr'!E950="", "", 'AYIRA MINI MART FINAL MENU - Pr'!E950)</f>
        <v/>
      </c>
      <c r="F950" s="56" t="str">
        <f>IF('AYIRA MINI MART FINAL MENU - Pr'!F950="", "", 'AYIRA MINI MART FINAL MENU - Pr'!F950)</f>
        <v/>
      </c>
      <c r="G950" s="56" t="str">
        <f>IF('AYIRA MINI MART FINAL MENU - Pr'!G950="", "", 'AYIRA MINI MART FINAL MENU - Pr'!G950)</f>
        <v/>
      </c>
      <c r="H950" s="56" t="str">
        <f>IF('AYIRA MINI MART FINAL MENU - Pr'!H950="", "", 'AYIRA MINI MART FINAL MENU - Pr'!H950)</f>
        <v/>
      </c>
      <c r="I950" s="56" t="str">
        <f>IF('AYIRA MINI MART FINAL MENU - Pr'!I950="", "", 'AYIRA MINI MART FINAL MENU - Pr'!I950)</f>
        <v/>
      </c>
      <c r="J950" s="56" t="str">
        <f>IFERROR(__xludf.DUMMYFUNCTION("IF('AYIRA MINI MART FINAL MENU - Pr'!J950="""", """", GOOGLETRANSLATE('AYIRA MINI MART FINAL MENU - Pr'!J950, ""en"", ""ar""))"),"")</f>
        <v/>
      </c>
      <c r="K950" s="56" t="str">
        <f>IF('AYIRA MINI MART FINAL MENU - Pr'!K950="", "", 'AYIRA MINI MART FINAL MENU - Pr'!K950)</f>
        <v/>
      </c>
      <c r="L950" s="56" t="str">
        <f>IF('AYIRA MINI MART FINAL MENU - Pr'!L950="", "", 'AYIRA MINI MART FINAL MENU - Pr'!L950)</f>
        <v/>
      </c>
      <c r="M950" s="56" t="str">
        <f>IF('AYIRA MINI MART FINAL MENU - Pr'!M950="", "", 'AYIRA MINI MART FINAL MENU - Pr'!M950)</f>
        <v/>
      </c>
      <c r="N950" s="56" t="str">
        <f>IF('AYIRA MINI MART FINAL MENU - Pr'!N950="", "", 'AYIRA MINI MART FINAL MENU - Pr'!N950)</f>
        <v/>
      </c>
      <c r="O950" s="57"/>
      <c r="P950" s="57"/>
      <c r="Q950" s="57"/>
      <c r="R950" s="57"/>
      <c r="S950" s="57"/>
      <c r="T950" s="57"/>
      <c r="U950" s="57"/>
      <c r="V950" s="57"/>
      <c r="W950" s="57"/>
      <c r="X950" s="57"/>
      <c r="Y950" s="57"/>
      <c r="Z950" s="57"/>
    </row>
    <row r="951">
      <c r="A951" s="56" t="str">
        <f>IFERROR(__xludf.DUMMYFUNCTION("IF('AYIRA MINI MART FINAL MENU - Pr'!A951="""", """", IF(LEN(TRIM(REGEXREPLACE(REGEXREPLACE('AYIRA MINI MART FINAL MENU - Pr'!A951, ""^[^\x{0600}-\x{06FF}]+"", """"), ""^[-–\s]+"", """")))&gt;0, TRIM(REGEXREPLACE(REGEXREPLACE('AYIRA MINI MART FINAL MENU - Pr"&amp;"'!A951, ""^[^\x{0600}-\x{06FF}]+"", """"), ""^[-–\s]+"", """")), GOOGLETRANSLATE('AYIRA MINI MART FINAL MENU - Pr'!A951, ""en"", ""ar"")))"),"منتوس نعناع Chewy Candy Rol 37.5 غرام")</f>
        <v>منتوس نعناع Chewy Candy Rol 37.5 غرام</v>
      </c>
      <c r="B951" s="56" t="str">
        <f>IFERROR(__xludf.DUMMYFUNCTION("IF('AYIRA MINI MART FINAL MENU - Pr'!B951="""", """", IF(LEN(TRIM(REGEXREPLACE(REGEXREPLACE('AYIRA MINI MART FINAL MENU - Pr'!B951, ""^[^\x{0600}-\x{06FF}]+"", """"), ""^[-–\s]+"", """")))&gt;0, TRIM(REGEXREPLACE(REGEXREPLACE('AYIRA MINI MART FINAL MENU - Pr"&amp;"'!B951, ""^[^\x{0600}-\x{06FF}]+"", """"), ""^[-–\s]+"", """")), GOOGLETRANSLATE('AYIRA MINI MART FINAL MENU - Pr'!B951, ""en"", ""ar"")))"),"العلكة")</f>
        <v>العلكة</v>
      </c>
      <c r="C951" s="58">
        <f>IF('AYIRA MINI MART FINAL MENU - Pr'!C951="", "", 'AYIRA MINI MART FINAL MENU - Pr'!C951)</f>
        <v>2.5</v>
      </c>
      <c r="D951" s="58" t="str">
        <f>IF('AYIRA MINI MART FINAL MENU - Pr'!D951="", "", 'AYIRA MINI MART FINAL MENU - Pr'!D951)</f>
        <v>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51" s="56" t="str">
        <f>IF('AYIRA MINI MART FINAL MENU - Pr'!E951="", "", 'AYIRA MINI MART FINAL MENU - Pr'!E951)</f>
        <v/>
      </c>
      <c r="F951" s="56" t="str">
        <f>IF('AYIRA MINI MART FINAL MENU - Pr'!F951="", "", 'AYIRA MINI MART FINAL MENU - Pr'!F951)</f>
        <v/>
      </c>
      <c r="G951" s="56" t="str">
        <f>IF('AYIRA MINI MART FINAL MENU - Pr'!G951="", "", 'AYIRA MINI MART FINAL MENU - Pr'!G951)</f>
        <v/>
      </c>
      <c r="H951" s="56" t="str">
        <f>IF('AYIRA MINI MART FINAL MENU - Pr'!H951="", "", 'AYIRA MINI MART FINAL MENU - Pr'!H951)</f>
        <v/>
      </c>
      <c r="I951" s="56" t="str">
        <f>IF('AYIRA MINI MART FINAL MENU - Pr'!I951="", "", 'AYIRA MINI MART FINAL MENU - Pr'!I951)</f>
        <v/>
      </c>
      <c r="J951" s="56" t="str">
        <f>IFERROR(__xludf.DUMMYFUNCTION("IF('AYIRA MINI MART FINAL MENU - Pr'!J951="""", """", GOOGLETRANSLATE('AYIRA MINI MART FINAL MENU - Pr'!J951, ""en"", ""ar""))"),"")</f>
        <v/>
      </c>
      <c r="K951" s="56" t="str">
        <f>IF('AYIRA MINI MART FINAL MENU - Pr'!K951="", "", 'AYIRA MINI MART FINAL MENU - Pr'!K951)</f>
        <v/>
      </c>
      <c r="L951" s="56" t="str">
        <f>IF('AYIRA MINI MART FINAL MENU - Pr'!L951="", "", 'AYIRA MINI MART FINAL MENU - Pr'!L951)</f>
        <v/>
      </c>
      <c r="M951" s="56" t="str">
        <f>IF('AYIRA MINI MART FINAL MENU - Pr'!M951="", "", 'AYIRA MINI MART FINAL MENU - Pr'!M951)</f>
        <v/>
      </c>
      <c r="N951" s="56" t="str">
        <f>IF('AYIRA MINI MART FINAL MENU - Pr'!N951="", "", 'AYIRA MINI MART FINAL MENU - Pr'!N951)</f>
        <v/>
      </c>
      <c r="O951" s="57"/>
      <c r="P951" s="57"/>
      <c r="Q951" s="57"/>
      <c r="R951" s="57"/>
      <c r="S951" s="57"/>
      <c r="T951" s="57"/>
      <c r="U951" s="57"/>
      <c r="V951" s="57"/>
      <c r="W951" s="57"/>
      <c r="X951" s="57"/>
      <c r="Y951" s="57"/>
      <c r="Z951" s="57"/>
    </row>
    <row r="952">
      <c r="A952" s="56" t="str">
        <f>IFERROR(__xludf.DUMMYFUNCTION("IF('AYIRA MINI MART FINAL MENU - Pr'!A952="""", """", IF(LEN(TRIM(REGEXREPLACE(REGEXREPLACE('AYIRA MINI MART FINAL MENU - Pr'!A952, ""^[^\x{0600}-\x{06FF}]+"", """"), ""^[-–\s]+"", """")))&gt;0, TRIM(REGEXREPLACE(REGEXREPLACE('AYIRA MINI MART FINAL MENU - Pr"&amp;"'!A952, ""^[^\x{0600}-\x{06FF}]+"", """"), ""^[-–\s]+"", """")), GOOGLETRANSLATE('AYIRA MINI MART FINAL MENU - Pr'!A952, ""en"", ""ar"")))"),"منتوس Fruit Chewy Candy Roll 37.5 غرام")</f>
        <v>منتوس Fruit Chewy Candy Roll 37.5 غرام</v>
      </c>
      <c r="B952" s="56" t="str">
        <f>IFERROR(__xludf.DUMMYFUNCTION("IF('AYIRA MINI MART FINAL MENU - Pr'!B952="""", """", IF(LEN(TRIM(REGEXREPLACE(REGEXREPLACE('AYIRA MINI MART FINAL MENU - Pr'!B952, ""^[^\x{0600}-\x{06FF}]+"", """"), ""^[-–\s]+"", """")))&gt;0, TRIM(REGEXREPLACE(REGEXREPLACE('AYIRA MINI MART FINAL MENU - Pr"&amp;"'!B952, ""^[^\x{0600}-\x{06FF}]+"", """"), ""^[-–\s]+"", """")), GOOGLETRANSLATE('AYIRA MINI MART FINAL MENU - Pr'!B952, ""en"", ""ar"")))"),"العلكة")</f>
        <v>العلكة</v>
      </c>
      <c r="C952" s="58">
        <f>IF('AYIRA MINI MART FINAL MENU - Pr'!C952="", "", 'AYIRA MINI MART FINAL MENU - Pr'!C952)</f>
        <v>2.5</v>
      </c>
      <c r="D952" s="58" t="str">
        <f>IF('AYIRA MINI MART FINAL MENU - Pr'!D952="", "", 'AYIRA MINI MART FINAL MENU - Pr'!D952)</f>
        <v>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52" s="56" t="str">
        <f>IF('AYIRA MINI MART FINAL MENU - Pr'!E952="", "", 'AYIRA MINI MART FINAL MENU - Pr'!E952)</f>
        <v/>
      </c>
      <c r="F952" s="56" t="str">
        <f>IF('AYIRA MINI MART FINAL MENU - Pr'!F952="", "", 'AYIRA MINI MART FINAL MENU - Pr'!F952)</f>
        <v/>
      </c>
      <c r="G952" s="56" t="str">
        <f>IF('AYIRA MINI MART FINAL MENU - Pr'!G952="", "", 'AYIRA MINI MART FINAL MENU - Pr'!G952)</f>
        <v/>
      </c>
      <c r="H952" s="56" t="str">
        <f>IF('AYIRA MINI MART FINAL MENU - Pr'!H952="", "", 'AYIRA MINI MART FINAL MENU - Pr'!H952)</f>
        <v/>
      </c>
      <c r="I952" s="56" t="str">
        <f>IF('AYIRA MINI MART FINAL MENU - Pr'!I952="", "", 'AYIRA MINI MART FINAL MENU - Pr'!I952)</f>
        <v/>
      </c>
      <c r="J952" s="56" t="str">
        <f>IFERROR(__xludf.DUMMYFUNCTION("IF('AYIRA MINI MART FINAL MENU - Pr'!J952="""", """", GOOGLETRANSLATE('AYIRA MINI MART FINAL MENU - Pr'!J952, ""en"", ""ar""))"),"")</f>
        <v/>
      </c>
      <c r="K952" s="56" t="str">
        <f>IF('AYIRA MINI MART FINAL MENU - Pr'!K952="", "", 'AYIRA MINI MART FINAL MENU - Pr'!K952)</f>
        <v/>
      </c>
      <c r="L952" s="56" t="str">
        <f>IF('AYIRA MINI MART FINAL MENU - Pr'!L952="", "", 'AYIRA MINI MART FINAL MENU - Pr'!L952)</f>
        <v/>
      </c>
      <c r="M952" s="56" t="str">
        <f>IF('AYIRA MINI MART FINAL MENU - Pr'!M952="", "", 'AYIRA MINI MART FINAL MENU - Pr'!M952)</f>
        <v/>
      </c>
      <c r="N952" s="56" t="str">
        <f>IF('AYIRA MINI MART FINAL MENU - Pr'!N952="", "", 'AYIRA MINI MART FINAL MENU - Pr'!N952)</f>
        <v/>
      </c>
      <c r="O952" s="57"/>
      <c r="P952" s="57"/>
      <c r="Q952" s="57"/>
      <c r="R952" s="57"/>
      <c r="S952" s="57"/>
      <c r="T952" s="57"/>
      <c r="U952" s="57"/>
      <c r="V952" s="57"/>
      <c r="W952" s="57"/>
      <c r="X952" s="57"/>
      <c r="Y952" s="57"/>
      <c r="Z952" s="57"/>
    </row>
    <row r="953">
      <c r="A953" s="56" t="str">
        <f>IFERROR(__xludf.DUMMYFUNCTION("IF('AYIRA MINI MART FINAL MENU - Pr'!A953="""", """", IF(LEN(TRIM(REGEXREPLACE(REGEXREPLACE('AYIRA MINI MART FINAL MENU - Pr'!A953, ""^[^\x{0600}-\x{06FF}]+"", """"), ""^[-–\s]+"", """")))&gt;0, TRIM(REGEXREPLACE(REGEXREPLACE('AYIRA MINI MART FINAL MENU - Pr"&amp;"'!A953, ""^[^\x{0600}-\x{06FF}]+"", """"), ""^[-–\s]+"", """")), GOOGLETRANSLATE('AYIRA MINI MART FINAL MENU - Pr'!A953, ""en"", ""ar"")))"),"منتوس Rainbow Chewy Candy Roll 37.5 غرام")</f>
        <v>منتوس Rainbow Chewy Candy Roll 37.5 غرام</v>
      </c>
      <c r="B953" s="56" t="str">
        <f>IFERROR(__xludf.DUMMYFUNCTION("IF('AYIRA MINI MART FINAL MENU - Pr'!B953="""", """", IF(LEN(TRIM(REGEXREPLACE(REGEXREPLACE('AYIRA MINI MART FINAL MENU - Pr'!B953, ""^[^\x{0600}-\x{06FF}]+"", """"), ""^[-–\s]+"", """")))&gt;0, TRIM(REGEXREPLACE(REGEXREPLACE('AYIRA MINI MART FINAL MENU - Pr"&amp;"'!B953, ""^[^\x{0600}-\x{06FF}]+"", """"), ""^[-–\s]+"", """")), GOOGLETRANSLATE('AYIRA MINI MART FINAL MENU - Pr'!B953, ""en"", ""ar"")))"),"العلكة")</f>
        <v>العلكة</v>
      </c>
      <c r="C953" s="58">
        <f>IF('AYIRA MINI MART FINAL MENU - Pr'!C953="", "", 'AYIRA MINI MART FINAL MENU - Pr'!C953)</f>
        <v>2.5</v>
      </c>
      <c r="D953" s="58" t="str">
        <f>IF('AYIRA MINI MART FINAL MENU - Pr'!D953="", "", 'AYIRA MINI MART FINAL MENU - Pr'!D953)</f>
        <v>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53" s="56" t="str">
        <f>IF('AYIRA MINI MART FINAL MENU - Pr'!E953="", "", 'AYIRA MINI MART FINAL MENU - Pr'!E953)</f>
        <v/>
      </c>
      <c r="F953" s="56" t="str">
        <f>IF('AYIRA MINI MART FINAL MENU - Pr'!F953="", "", 'AYIRA MINI MART FINAL MENU - Pr'!F953)</f>
        <v/>
      </c>
      <c r="G953" s="56" t="str">
        <f>IF('AYIRA MINI MART FINAL MENU - Pr'!G953="", "", 'AYIRA MINI MART FINAL MENU - Pr'!G953)</f>
        <v/>
      </c>
      <c r="H953" s="56" t="str">
        <f>IF('AYIRA MINI MART FINAL MENU - Pr'!H953="", "", 'AYIRA MINI MART FINAL MENU - Pr'!H953)</f>
        <v/>
      </c>
      <c r="I953" s="56" t="str">
        <f>IF('AYIRA MINI MART FINAL MENU - Pr'!I953="", "", 'AYIRA MINI MART FINAL MENU - Pr'!I953)</f>
        <v/>
      </c>
      <c r="J953" s="56" t="str">
        <f>IFERROR(__xludf.DUMMYFUNCTION("IF('AYIRA MINI MART FINAL MENU - Pr'!J953="""", """", GOOGLETRANSLATE('AYIRA MINI MART FINAL MENU - Pr'!J953, ""en"", ""ar""))"),"")</f>
        <v/>
      </c>
      <c r="K953" s="56" t="str">
        <f>IF('AYIRA MINI MART FINAL MENU - Pr'!K953="", "", 'AYIRA MINI MART FINAL MENU - Pr'!K953)</f>
        <v/>
      </c>
      <c r="L953" s="56" t="str">
        <f>IF('AYIRA MINI MART FINAL MENU - Pr'!L953="", "", 'AYIRA MINI MART FINAL MENU - Pr'!L953)</f>
        <v/>
      </c>
      <c r="M953" s="56" t="str">
        <f>IF('AYIRA MINI MART FINAL MENU - Pr'!M953="", "", 'AYIRA MINI MART FINAL MENU - Pr'!M953)</f>
        <v/>
      </c>
      <c r="N953" s="56" t="str">
        <f>IF('AYIRA MINI MART FINAL MENU - Pr'!N953="", "", 'AYIRA MINI MART FINAL MENU - Pr'!N953)</f>
        <v/>
      </c>
      <c r="O953" s="57"/>
      <c r="P953" s="57"/>
      <c r="Q953" s="57"/>
      <c r="R953" s="57"/>
      <c r="S953" s="57"/>
      <c r="T953" s="57"/>
      <c r="U953" s="57"/>
      <c r="V953" s="57"/>
      <c r="W953" s="57"/>
      <c r="X953" s="57"/>
      <c r="Y953" s="57"/>
      <c r="Z953" s="57"/>
    </row>
    <row r="954">
      <c r="A954" s="56" t="str">
        <f>IFERROR(__xludf.DUMMYFUNCTION("IF('AYIRA MINI MART FINAL MENU - Pr'!A954="""", """", IF(LEN(TRIM(REGEXREPLACE(REGEXREPLACE('AYIRA MINI MART FINAL MENU - Pr'!A954, ""^[^\x{0600}-\x{06FF}]+"", """"), ""^[-–\s]+"", """")))&gt;0, TRIM(REGEXREPLACE(REGEXREPLACE('AYIRA MINI MART FINAL MENU - Pr"&amp;"'!A954, ""^[^\x{0600}-\x{06FF}]+"", """"), ""^[-–\s]+"", """")), GOOGLETRANSLATE('AYIRA MINI MART FINAL MENU - Pr'!A954, ""en"", ""ar"")))"),"منتوس فراولة Chewy Candy Roll 37.5 غرام")</f>
        <v>منتوس فراولة Chewy Candy Roll 37.5 غرام</v>
      </c>
      <c r="B954" s="56" t="str">
        <f>IFERROR(__xludf.DUMMYFUNCTION("IF('AYIRA MINI MART FINAL MENU - Pr'!B954="""", """", IF(LEN(TRIM(REGEXREPLACE(REGEXREPLACE('AYIRA MINI MART FINAL MENU - Pr'!B954, ""^[^\x{0600}-\x{06FF}]+"", """"), ""^[-–\s]+"", """")))&gt;0, TRIM(REGEXREPLACE(REGEXREPLACE('AYIRA MINI MART FINAL MENU - Pr"&amp;"'!B954, ""^[^\x{0600}-\x{06FF}]+"", """"), ""^[-–\s]+"", """")), GOOGLETRANSLATE('AYIRA MINI MART FINAL MENU - Pr'!B954, ""en"", ""ar"")))"),"العلكة")</f>
        <v>العلكة</v>
      </c>
      <c r="C954" s="58">
        <f>IF('AYIRA MINI MART FINAL MENU - Pr'!C954="", "", 'AYIRA MINI MART FINAL MENU - Pr'!C954)</f>
        <v>2.5</v>
      </c>
      <c r="D954" s="58" t="str">
        <f>IF('AYIRA MINI MART FINAL MENU - Pr'!D954="", "", 'AYIRA MINI MART FINAL MENU - Pr'!D954)</f>
        <v>أضف لحظة حلوة إلى يومك مع منتوس، الحلوى اللذيذة المحبوبة من الجميع. بنكهاتها المتنوعة وألوانها الجذابة تجعلها مناسبة لجميع الأعمار. مثالية كمكافأة صغيرة أو هدية خفيفة للأصدقاء والعائلة. مصنوعة بجودة عالية لضمان طعم رائع في كل قطعة. احصل عليها من أيرا ميني مارت وانشر البهجة بين من تحب.</v>
      </c>
      <c r="E954" s="56" t="str">
        <f>IF('AYIRA MINI MART FINAL MENU - Pr'!E954="", "", 'AYIRA MINI MART FINAL MENU - Pr'!E954)</f>
        <v/>
      </c>
      <c r="F954" s="56" t="str">
        <f>IF('AYIRA MINI MART FINAL MENU - Pr'!F954="", "", 'AYIRA MINI MART FINAL MENU - Pr'!F954)</f>
        <v/>
      </c>
      <c r="G954" s="56" t="str">
        <f>IF('AYIRA MINI MART FINAL MENU - Pr'!G954="", "", 'AYIRA MINI MART FINAL MENU - Pr'!G954)</f>
        <v/>
      </c>
      <c r="H954" s="56" t="str">
        <f>IF('AYIRA MINI MART FINAL MENU - Pr'!H954="", "", 'AYIRA MINI MART FINAL MENU - Pr'!H954)</f>
        <v/>
      </c>
      <c r="I954" s="56" t="str">
        <f>IF('AYIRA MINI MART FINAL MENU - Pr'!I954="", "", 'AYIRA MINI MART FINAL MENU - Pr'!I954)</f>
        <v/>
      </c>
      <c r="J954" s="56" t="str">
        <f>IFERROR(__xludf.DUMMYFUNCTION("IF('AYIRA MINI MART FINAL MENU - Pr'!J954="""", """", GOOGLETRANSLATE('AYIRA MINI MART FINAL MENU - Pr'!J954, ""en"", ""ar""))"),"")</f>
        <v/>
      </c>
      <c r="K954" s="56" t="str">
        <f>IF('AYIRA MINI MART FINAL MENU - Pr'!K954="", "", 'AYIRA MINI MART FINAL MENU - Pr'!K954)</f>
        <v/>
      </c>
      <c r="L954" s="56" t="str">
        <f>IF('AYIRA MINI MART FINAL MENU - Pr'!L954="", "", 'AYIRA MINI MART FINAL MENU - Pr'!L954)</f>
        <v/>
      </c>
      <c r="M954" s="56" t="str">
        <f>IF('AYIRA MINI MART FINAL MENU - Pr'!M954="", "", 'AYIRA MINI MART FINAL MENU - Pr'!M954)</f>
        <v/>
      </c>
      <c r="N954" s="56" t="str">
        <f>IF('AYIRA MINI MART FINAL MENU - Pr'!N954="", "", 'AYIRA MINI MART FINAL MENU - Pr'!N954)</f>
        <v/>
      </c>
      <c r="O954" s="57"/>
      <c r="P954" s="57"/>
      <c r="Q954" s="57"/>
      <c r="R954" s="57"/>
      <c r="S954" s="57"/>
      <c r="T954" s="57"/>
      <c r="U954" s="57"/>
      <c r="V954" s="57"/>
      <c r="W954" s="57"/>
      <c r="X954" s="57"/>
      <c r="Y954" s="57"/>
      <c r="Z954" s="57"/>
    </row>
    <row r="955">
      <c r="A955" s="56" t="str">
        <f>IFERROR(__xludf.DUMMYFUNCTION("IF('AYIRA MINI MART FINAL MENU - Pr'!A955="""", """", IF(LEN(TRIM(REGEXREPLACE(REGEXREPLACE('AYIRA MINI MART FINAL MENU - Pr'!A955, ""^[^\x{0600}-\x{06FF}]+"", """"), ""^[-–\s]+"", """")))&gt;0, TRIM(REGEXREPLACE(REGEXREPLACE('AYIRA MINI MART FINAL MENU - Pr"&amp;"'!A955, ""^[^\x{0600}-\x{06FF}]+"", """"), ""^[-–\s]+"", """")), GOOGLETRANSLATE('AYIRA MINI MART FINAL MENU - Pr'!A955, ""en"", ""ar"")))"),"منتوس Pure Fresh Sugarfree Chewing Gum فراولة 9 Pieces 15 غرام")</f>
        <v>منتوس Pure Fresh Sugarfree Chewing Gum فراولة 9 Pieces 15 غرام</v>
      </c>
      <c r="B955" s="56" t="str">
        <f>IFERROR(__xludf.DUMMYFUNCTION("IF('AYIRA MINI MART FINAL MENU - Pr'!B955="""", """", IF(LEN(TRIM(REGEXREPLACE(REGEXREPLACE('AYIRA MINI MART FINAL MENU - Pr'!B955, ""^[^\x{0600}-\x{06FF}]+"", """"), ""^[-–\s]+"", """")))&gt;0, TRIM(REGEXREPLACE(REGEXREPLACE('AYIRA MINI MART FINAL MENU - Pr"&amp;"'!B955, ""^[^\x{0600}-\x{06FF}]+"", """"), ""^[-–\s]+"", """")), GOOGLETRANSLATE('AYIRA MINI MART FINAL MENU - Pr'!B955, ""en"", ""ar"")))"),"العلكة")</f>
        <v>العلكة</v>
      </c>
      <c r="C955" s="58">
        <f>IF('AYIRA MINI MART FINAL MENU - Pr'!C955="", "", 'AYIRA MINI MART FINAL MENU - Pr'!C955)</f>
        <v>2.5</v>
      </c>
      <c r="D955" s="58" t="str">
        <f>IF('AYIRA MINI MART FINAL MENU - Pr'!D955="", "", 'AYIRA MINI MART FINAL MENU - Pr'!D955)</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55" s="56" t="str">
        <f>IF('AYIRA MINI MART FINAL MENU - Pr'!E955="", "", 'AYIRA MINI MART FINAL MENU - Pr'!E955)</f>
        <v/>
      </c>
      <c r="F955" s="56" t="str">
        <f>IF('AYIRA MINI MART FINAL MENU - Pr'!F955="", "", 'AYIRA MINI MART FINAL MENU - Pr'!F955)</f>
        <v/>
      </c>
      <c r="G955" s="56" t="str">
        <f>IF('AYIRA MINI MART FINAL MENU - Pr'!G955="", "", 'AYIRA MINI MART FINAL MENU - Pr'!G955)</f>
        <v/>
      </c>
      <c r="H955" s="56" t="str">
        <f>IF('AYIRA MINI MART FINAL MENU - Pr'!H955="", "", 'AYIRA MINI MART FINAL MENU - Pr'!H955)</f>
        <v/>
      </c>
      <c r="I955" s="56" t="str">
        <f>IF('AYIRA MINI MART FINAL MENU - Pr'!I955="", "", 'AYIRA MINI MART FINAL MENU - Pr'!I955)</f>
        <v/>
      </c>
      <c r="J955" s="56" t="str">
        <f>IFERROR(__xludf.DUMMYFUNCTION("IF('AYIRA MINI MART FINAL MENU - Pr'!J955="""", """", GOOGLETRANSLATE('AYIRA MINI MART FINAL MENU - Pr'!J955, ""en"", ""ar""))"),"")</f>
        <v/>
      </c>
      <c r="K955" s="56" t="str">
        <f>IF('AYIRA MINI MART FINAL MENU - Pr'!K955="", "", 'AYIRA MINI MART FINAL MENU - Pr'!K955)</f>
        <v/>
      </c>
      <c r="L955" s="56" t="str">
        <f>IF('AYIRA MINI MART FINAL MENU - Pr'!L955="", "", 'AYIRA MINI MART FINAL MENU - Pr'!L955)</f>
        <v/>
      </c>
      <c r="M955" s="56" t="str">
        <f>IF('AYIRA MINI MART FINAL MENU - Pr'!M955="", "", 'AYIRA MINI MART FINAL MENU - Pr'!M955)</f>
        <v/>
      </c>
      <c r="N955" s="56" t="str">
        <f>IF('AYIRA MINI MART FINAL MENU - Pr'!N955="", "", 'AYIRA MINI MART FINAL MENU - Pr'!N955)</f>
        <v/>
      </c>
      <c r="O955" s="57"/>
      <c r="P955" s="57"/>
      <c r="Q955" s="57"/>
      <c r="R955" s="57"/>
      <c r="S955" s="57"/>
      <c r="T955" s="57"/>
      <c r="U955" s="57"/>
      <c r="V955" s="57"/>
      <c r="W955" s="57"/>
      <c r="X955" s="57"/>
      <c r="Y955" s="57"/>
      <c r="Z955" s="57"/>
    </row>
    <row r="956">
      <c r="A956" s="56" t="str">
        <f>IFERROR(__xludf.DUMMYFUNCTION("IF('AYIRA MINI MART FINAL MENU - Pr'!A956="""", """", IF(LEN(TRIM(REGEXREPLACE(REGEXREPLACE('AYIRA MINI MART FINAL MENU - Pr'!A956, ""^[^\x{0600}-\x{06FF}]+"", """"), ""^[-–\s]+"", """")))&gt;0, TRIM(REGEXREPLACE(REGEXREPLACE('AYIRA MINI MART FINAL MENU - Pr"&amp;"'!A956, ""^[^\x{0600}-\x{06FF}]+"", """"), ""^[-–\s]+"", """")), GOOGLETRANSLATE('AYIRA MINI MART FINAL MENU - Pr'!A956, ""en"", ""ar"")))"),"منتوس Pure Fresh Sugarfree Chewing Gum Spearmint 9 Pieces 15 غرام")</f>
        <v>منتوس Pure Fresh Sugarfree Chewing Gum Spearmint 9 Pieces 15 غرام</v>
      </c>
      <c r="B956" s="56" t="str">
        <f>IFERROR(__xludf.DUMMYFUNCTION("IF('AYIRA MINI MART FINAL MENU - Pr'!B956="""", """", IF(LEN(TRIM(REGEXREPLACE(REGEXREPLACE('AYIRA MINI MART FINAL MENU - Pr'!B956, ""^[^\x{0600}-\x{06FF}]+"", """"), ""^[-–\s]+"", """")))&gt;0, TRIM(REGEXREPLACE(REGEXREPLACE('AYIRA MINI MART FINAL MENU - Pr"&amp;"'!B956, ""^[^\x{0600}-\x{06FF}]+"", """"), ""^[-–\s]+"", """")), GOOGLETRANSLATE('AYIRA MINI MART FINAL MENU - Pr'!B956, ""en"", ""ar"")))"),"العلكة")</f>
        <v>العلكة</v>
      </c>
      <c r="C956" s="58">
        <f>IF('AYIRA MINI MART FINAL MENU - Pr'!C956="", "", 'AYIRA MINI MART FINAL MENU - Pr'!C956)</f>
        <v>2.5</v>
      </c>
      <c r="D956" s="58" t="str">
        <f>IF('AYIRA MINI MART FINAL MENU - Pr'!D956="", "", 'AYIRA MINI MART FINAL MENU - Pr'!D956)</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56" s="56" t="str">
        <f>IF('AYIRA MINI MART FINAL MENU - Pr'!E956="", "", 'AYIRA MINI MART FINAL MENU - Pr'!E956)</f>
        <v/>
      </c>
      <c r="F956" s="56" t="str">
        <f>IF('AYIRA MINI MART FINAL MENU - Pr'!F956="", "", 'AYIRA MINI MART FINAL MENU - Pr'!F956)</f>
        <v/>
      </c>
      <c r="G956" s="56" t="str">
        <f>IF('AYIRA MINI MART FINAL MENU - Pr'!G956="", "", 'AYIRA MINI MART FINAL MENU - Pr'!G956)</f>
        <v/>
      </c>
      <c r="H956" s="56" t="str">
        <f>IF('AYIRA MINI MART FINAL MENU - Pr'!H956="", "", 'AYIRA MINI MART FINAL MENU - Pr'!H956)</f>
        <v/>
      </c>
      <c r="I956" s="56" t="str">
        <f>IF('AYIRA MINI MART FINAL MENU - Pr'!I956="", "", 'AYIRA MINI MART FINAL MENU - Pr'!I956)</f>
        <v/>
      </c>
      <c r="J956" s="56" t="str">
        <f>IFERROR(__xludf.DUMMYFUNCTION("IF('AYIRA MINI MART FINAL MENU - Pr'!J956="""", """", GOOGLETRANSLATE('AYIRA MINI MART FINAL MENU - Pr'!J956, ""en"", ""ar""))"),"")</f>
        <v/>
      </c>
      <c r="K956" s="56" t="str">
        <f>IF('AYIRA MINI MART FINAL MENU - Pr'!K956="", "", 'AYIRA MINI MART FINAL MENU - Pr'!K956)</f>
        <v/>
      </c>
      <c r="L956" s="56" t="str">
        <f>IF('AYIRA MINI MART FINAL MENU - Pr'!L956="", "", 'AYIRA MINI MART FINAL MENU - Pr'!L956)</f>
        <v/>
      </c>
      <c r="M956" s="56" t="str">
        <f>IF('AYIRA MINI MART FINAL MENU - Pr'!M956="", "", 'AYIRA MINI MART FINAL MENU - Pr'!M956)</f>
        <v/>
      </c>
      <c r="N956" s="56" t="str">
        <f>IF('AYIRA MINI MART FINAL MENU - Pr'!N956="", "", 'AYIRA MINI MART FINAL MENU - Pr'!N956)</f>
        <v/>
      </c>
      <c r="O956" s="57"/>
      <c r="P956" s="57"/>
      <c r="Q956" s="57"/>
      <c r="R956" s="57"/>
      <c r="S956" s="57"/>
      <c r="T956" s="57"/>
      <c r="U956" s="57"/>
      <c r="V956" s="57"/>
      <c r="W956" s="57"/>
      <c r="X956" s="57"/>
      <c r="Y956" s="57"/>
      <c r="Z956" s="57"/>
    </row>
    <row r="957">
      <c r="A957" s="56" t="str">
        <f>IFERROR(__xludf.DUMMYFUNCTION("IF('AYIRA MINI MART FINAL MENU - Pr'!A957="""", """", IF(LEN(TRIM(REGEXREPLACE(REGEXREPLACE('AYIRA MINI MART FINAL MENU - Pr'!A957, ""^[^\x{0600}-\x{06FF}]+"", """"), ""^[-–\s]+"", """")))&gt;0, TRIM(REGEXREPLACE(REGEXREPLACE('AYIRA MINI MART FINAL MENU - Pr"&amp;"'!A957, ""^[^\x{0600}-\x{06FF}]+"", """"), ""^[-–\s]+"", """")), GOOGLETRANSLATE('AYIRA MINI MART FINAL MENU - Pr'!A957, ""en"", ""ar"")))"),"منتوس Pure Fresh Sugarfree Chewing Gum Bubble Fresh 9 Pieces 15 غرام")</f>
        <v>منتوس Pure Fresh Sugarfree Chewing Gum Bubble Fresh 9 Pieces 15 غرام</v>
      </c>
      <c r="B957" s="56" t="str">
        <f>IFERROR(__xludf.DUMMYFUNCTION("IF('AYIRA MINI MART FINAL MENU - Pr'!B957="""", """", IF(LEN(TRIM(REGEXREPLACE(REGEXREPLACE('AYIRA MINI MART FINAL MENU - Pr'!B957, ""^[^\x{0600}-\x{06FF}]+"", """"), ""^[-–\s]+"", """")))&gt;0, TRIM(REGEXREPLACE(REGEXREPLACE('AYIRA MINI MART FINAL MENU - Pr"&amp;"'!B957, ""^[^\x{0600}-\x{06FF}]+"", """"), ""^[-–\s]+"", """")), GOOGLETRANSLATE('AYIRA MINI MART FINAL MENU - Pr'!B957, ""en"", ""ar"")))"),"العلكة")</f>
        <v>العلكة</v>
      </c>
      <c r="C957" s="58">
        <f>IF('AYIRA MINI MART FINAL MENU - Pr'!C957="", "", 'AYIRA MINI MART FINAL MENU - Pr'!C957)</f>
        <v>2.5</v>
      </c>
      <c r="D957" s="58" t="str">
        <f>IF('AYIRA MINI MART FINAL MENU - Pr'!D957="", "", 'AYIRA MINI MART FINAL MENU - Pr'!D957)</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57" s="56" t="str">
        <f>IF('AYIRA MINI MART FINAL MENU - Pr'!E957="", "", 'AYIRA MINI MART FINAL MENU - Pr'!E957)</f>
        <v/>
      </c>
      <c r="F957" s="56" t="str">
        <f>IF('AYIRA MINI MART FINAL MENU - Pr'!F957="", "", 'AYIRA MINI MART FINAL MENU - Pr'!F957)</f>
        <v/>
      </c>
      <c r="G957" s="56" t="str">
        <f>IF('AYIRA MINI MART FINAL MENU - Pr'!G957="", "", 'AYIRA MINI MART FINAL MENU - Pr'!G957)</f>
        <v/>
      </c>
      <c r="H957" s="56" t="str">
        <f>IF('AYIRA MINI MART FINAL MENU - Pr'!H957="", "", 'AYIRA MINI MART FINAL MENU - Pr'!H957)</f>
        <v/>
      </c>
      <c r="I957" s="56" t="str">
        <f>IF('AYIRA MINI MART FINAL MENU - Pr'!I957="", "", 'AYIRA MINI MART FINAL MENU - Pr'!I957)</f>
        <v/>
      </c>
      <c r="J957" s="56" t="str">
        <f>IFERROR(__xludf.DUMMYFUNCTION("IF('AYIRA MINI MART FINAL MENU - Pr'!J957="""", """", GOOGLETRANSLATE('AYIRA MINI MART FINAL MENU - Pr'!J957, ""en"", ""ar""))"),"")</f>
        <v/>
      </c>
      <c r="K957" s="56" t="str">
        <f>IF('AYIRA MINI MART FINAL MENU - Pr'!K957="", "", 'AYIRA MINI MART FINAL MENU - Pr'!K957)</f>
        <v/>
      </c>
      <c r="L957" s="56" t="str">
        <f>IF('AYIRA MINI MART FINAL MENU - Pr'!L957="", "", 'AYIRA MINI MART FINAL MENU - Pr'!L957)</f>
        <v/>
      </c>
      <c r="M957" s="56" t="str">
        <f>IF('AYIRA MINI MART FINAL MENU - Pr'!M957="", "", 'AYIRA MINI MART FINAL MENU - Pr'!M957)</f>
        <v/>
      </c>
      <c r="N957" s="56" t="str">
        <f>IF('AYIRA MINI MART FINAL MENU - Pr'!N957="", "", 'AYIRA MINI MART FINAL MENU - Pr'!N957)</f>
        <v/>
      </c>
      <c r="O957" s="57"/>
      <c r="P957" s="57"/>
      <c r="Q957" s="57"/>
      <c r="R957" s="57"/>
      <c r="S957" s="57"/>
      <c r="T957" s="57"/>
      <c r="U957" s="57"/>
      <c r="V957" s="57"/>
      <c r="W957" s="57"/>
      <c r="X957" s="57"/>
      <c r="Y957" s="57"/>
      <c r="Z957" s="57"/>
    </row>
    <row r="958">
      <c r="A958" s="56" t="str">
        <f>IFERROR(__xludf.DUMMYFUNCTION("IF('AYIRA MINI MART FINAL MENU - Pr'!A958="""", """", IF(LEN(TRIM(REGEXREPLACE(REGEXREPLACE('AYIRA MINI MART FINAL MENU - Pr'!A958, ""^[^\x{0600}-\x{06FF}]+"", """"), ""^[-–\s]+"", """")))&gt;0, TRIM(REGEXREPLACE(REGEXREPLACE('AYIRA MINI MART FINAL MENU - Pr"&amp;"'!A958, ""^[^\x{0600}-\x{06FF}]+"", """"), ""^[-–\s]+"", """")), GOOGLETRANSLATE('AYIRA MINI MART FINAL MENU - Pr'!A958, ""en"", ""ar"")))"),"منتوس Pure Fresh Sugarfree Chewing Gum Fresh نعناع 9 Pieces 15 غرام")</f>
        <v>منتوس Pure Fresh Sugarfree Chewing Gum Fresh نعناع 9 Pieces 15 غرام</v>
      </c>
      <c r="B958" s="56" t="str">
        <f>IFERROR(__xludf.DUMMYFUNCTION("IF('AYIRA MINI MART FINAL MENU - Pr'!B958="""", """", IF(LEN(TRIM(REGEXREPLACE(REGEXREPLACE('AYIRA MINI MART FINAL MENU - Pr'!B958, ""^[^\x{0600}-\x{06FF}]+"", """"), ""^[-–\s]+"", """")))&gt;0, TRIM(REGEXREPLACE(REGEXREPLACE('AYIRA MINI MART FINAL MENU - Pr"&amp;"'!B958, ""^[^\x{0600}-\x{06FF}]+"", """"), ""^[-–\s]+"", """")), GOOGLETRANSLATE('AYIRA MINI MART FINAL MENU - Pr'!B958, ""en"", ""ar"")))"),"العلكة")</f>
        <v>العلكة</v>
      </c>
      <c r="C958" s="58">
        <f>IF('AYIRA MINI MART FINAL MENU - Pr'!C958="", "", 'AYIRA MINI MART FINAL MENU - Pr'!C958)</f>
        <v>2.5</v>
      </c>
      <c r="D958" s="58" t="str">
        <f>IF('AYIRA MINI MART FINAL MENU - Pr'!D958="", "", 'AYIRA MINI MART FINAL MENU - Pr'!D958)</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58" s="56" t="str">
        <f>IF('AYIRA MINI MART FINAL MENU - Pr'!E958="", "", 'AYIRA MINI MART FINAL MENU - Pr'!E958)</f>
        <v/>
      </c>
      <c r="F958" s="56" t="str">
        <f>IF('AYIRA MINI MART FINAL MENU - Pr'!F958="", "", 'AYIRA MINI MART FINAL MENU - Pr'!F958)</f>
        <v/>
      </c>
      <c r="G958" s="56" t="str">
        <f>IF('AYIRA MINI MART FINAL MENU - Pr'!G958="", "", 'AYIRA MINI MART FINAL MENU - Pr'!G958)</f>
        <v/>
      </c>
      <c r="H958" s="56" t="str">
        <f>IF('AYIRA MINI MART FINAL MENU - Pr'!H958="", "", 'AYIRA MINI MART FINAL MENU - Pr'!H958)</f>
        <v/>
      </c>
      <c r="I958" s="56" t="str">
        <f>IF('AYIRA MINI MART FINAL MENU - Pr'!I958="", "", 'AYIRA MINI MART FINAL MENU - Pr'!I958)</f>
        <v/>
      </c>
      <c r="J958" s="56" t="str">
        <f>IFERROR(__xludf.DUMMYFUNCTION("IF('AYIRA MINI MART FINAL MENU - Pr'!J958="""", """", GOOGLETRANSLATE('AYIRA MINI MART FINAL MENU - Pr'!J958, ""en"", ""ar""))"),"")</f>
        <v/>
      </c>
      <c r="K958" s="56" t="str">
        <f>IF('AYIRA MINI MART FINAL MENU - Pr'!K958="", "", 'AYIRA MINI MART FINAL MENU - Pr'!K958)</f>
        <v/>
      </c>
      <c r="L958" s="56" t="str">
        <f>IF('AYIRA MINI MART FINAL MENU - Pr'!L958="", "", 'AYIRA MINI MART FINAL MENU - Pr'!L958)</f>
        <v/>
      </c>
      <c r="M958" s="56" t="str">
        <f>IF('AYIRA MINI MART FINAL MENU - Pr'!M958="", "", 'AYIRA MINI MART FINAL MENU - Pr'!M958)</f>
        <v/>
      </c>
      <c r="N958" s="56" t="str">
        <f>IF('AYIRA MINI MART FINAL MENU - Pr'!N958="", "", 'AYIRA MINI MART FINAL MENU - Pr'!N958)</f>
        <v/>
      </c>
      <c r="O958" s="57"/>
      <c r="P958" s="57"/>
      <c r="Q958" s="57"/>
      <c r="R958" s="57"/>
      <c r="S958" s="57"/>
      <c r="T958" s="57"/>
      <c r="U958" s="57"/>
      <c r="V958" s="57"/>
      <c r="W958" s="57"/>
      <c r="X958" s="57"/>
      <c r="Y958" s="57"/>
      <c r="Z958" s="57"/>
    </row>
    <row r="959">
      <c r="A959" s="56" t="str">
        <f>IFERROR(__xludf.DUMMYFUNCTION("IF('AYIRA MINI MART FINAL MENU - Pr'!A959="""", """", IF(LEN(TRIM(REGEXREPLACE(REGEXREPLACE('AYIRA MINI MART FINAL MENU - Pr'!A959, ""^[^\x{0600}-\x{06FF}]+"", """"), ""^[-–\s]+"", """")))&gt;0, TRIM(REGEXREPLACE(REGEXREPLACE('AYIRA MINI MART FINAL MENU - Pr"&amp;"'!A959, ""^[^\x{0600}-\x{06FF}]+"", """"), ""^[-–\s]+"", """")), GOOGLETRANSLATE('AYIRA MINI MART FINAL MENU - Pr'!A959, ""en"", ""ar"")))"),"منتوس Pure Fresh Sugarfree Chewing Gum فراولة 50 Pieces 87.5 غرام")</f>
        <v>منتوس Pure Fresh Sugarfree Chewing Gum فراولة 50 Pieces 87.5 غرام</v>
      </c>
      <c r="B959" s="56" t="str">
        <f>IFERROR(__xludf.DUMMYFUNCTION("IF('AYIRA MINI MART FINAL MENU - Pr'!B959="""", """", IF(LEN(TRIM(REGEXREPLACE(REGEXREPLACE('AYIRA MINI MART FINAL MENU - Pr'!B959, ""^[^\x{0600}-\x{06FF}]+"", """"), ""^[-–\s]+"", """")))&gt;0, TRIM(REGEXREPLACE(REGEXREPLACE('AYIRA MINI MART FINAL MENU - Pr"&amp;"'!B959, ""^[^\x{0600}-\x{06FF}]+"", """"), ""^[-–\s]+"", """")), GOOGLETRANSLATE('AYIRA MINI MART FINAL MENU - Pr'!B959, ""en"", ""ar"")))"),"العلكة")</f>
        <v>العلكة</v>
      </c>
      <c r="C959" s="58">
        <f>IF('AYIRA MINI MART FINAL MENU - Pr'!C959="", "", 'AYIRA MINI MART FINAL MENU - Pr'!C959)</f>
        <v>14.5</v>
      </c>
      <c r="D959" s="58" t="str">
        <f>IF('AYIRA MINI MART FINAL MENU - Pr'!D959="", "", 'AYIRA MINI MART FINAL MENU - Pr'!D959)</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59" s="56" t="str">
        <f>IF('AYIRA MINI MART FINAL MENU - Pr'!E959="", "", 'AYIRA MINI MART FINAL MENU - Pr'!E959)</f>
        <v/>
      </c>
      <c r="F959" s="56" t="str">
        <f>IF('AYIRA MINI MART FINAL MENU - Pr'!F959="", "", 'AYIRA MINI MART FINAL MENU - Pr'!F959)</f>
        <v/>
      </c>
      <c r="G959" s="56" t="str">
        <f>IF('AYIRA MINI MART FINAL MENU - Pr'!G959="", "", 'AYIRA MINI MART FINAL MENU - Pr'!G959)</f>
        <v/>
      </c>
      <c r="H959" s="56" t="str">
        <f>IF('AYIRA MINI MART FINAL MENU - Pr'!H959="", "", 'AYIRA MINI MART FINAL MENU - Pr'!H959)</f>
        <v/>
      </c>
      <c r="I959" s="56" t="str">
        <f>IF('AYIRA MINI MART FINAL MENU - Pr'!I959="", "", 'AYIRA MINI MART FINAL MENU - Pr'!I959)</f>
        <v/>
      </c>
      <c r="J959" s="56" t="str">
        <f>IFERROR(__xludf.DUMMYFUNCTION("IF('AYIRA MINI MART FINAL MENU - Pr'!J959="""", """", GOOGLETRANSLATE('AYIRA MINI MART FINAL MENU - Pr'!J959, ""en"", ""ar""))"),"")</f>
        <v/>
      </c>
      <c r="K959" s="56" t="str">
        <f>IF('AYIRA MINI MART FINAL MENU - Pr'!K959="", "", 'AYIRA MINI MART FINAL MENU - Pr'!K959)</f>
        <v/>
      </c>
      <c r="L959" s="56" t="str">
        <f>IF('AYIRA MINI MART FINAL MENU - Pr'!L959="", "", 'AYIRA MINI MART FINAL MENU - Pr'!L959)</f>
        <v/>
      </c>
      <c r="M959" s="56" t="str">
        <f>IF('AYIRA MINI MART FINAL MENU - Pr'!M959="", "", 'AYIRA MINI MART FINAL MENU - Pr'!M959)</f>
        <v/>
      </c>
      <c r="N959" s="56" t="str">
        <f>IF('AYIRA MINI MART FINAL MENU - Pr'!N959="", "", 'AYIRA MINI MART FINAL MENU - Pr'!N959)</f>
        <v/>
      </c>
      <c r="O959" s="57"/>
      <c r="P959" s="57"/>
      <c r="Q959" s="57"/>
      <c r="R959" s="57"/>
      <c r="S959" s="57"/>
      <c r="T959" s="57"/>
      <c r="U959" s="57"/>
      <c r="V959" s="57"/>
      <c r="W959" s="57"/>
      <c r="X959" s="57"/>
      <c r="Y959" s="57"/>
      <c r="Z959" s="57"/>
    </row>
    <row r="960">
      <c r="A960" s="56" t="str">
        <f>IFERROR(__xludf.DUMMYFUNCTION("IF('AYIRA MINI MART FINAL MENU - Pr'!A960="""", """", IF(LEN(TRIM(REGEXREPLACE(REGEXREPLACE('AYIRA MINI MART FINAL MENU - Pr'!A960, ""^[^\x{0600}-\x{06FF}]+"", """"), ""^[-–\s]+"", """")))&gt;0, TRIM(REGEXREPLACE(REGEXREPLACE('AYIRA MINI MART FINAL MENU - Pr"&amp;"'!A960, ""^[^\x{0600}-\x{06FF}]+"", """"), ""^[-–\s]+"", """")), GOOGLETRANSLATE('AYIRA MINI MART FINAL MENU - Pr'!A960, ""en"", ""ar"")))"),"منتوس Pure Fresh Sugarfree Chewing Gum Bubble Fresh 50 Pieces 87.5 غرام")</f>
        <v>منتوس Pure Fresh Sugarfree Chewing Gum Bubble Fresh 50 Pieces 87.5 غرام</v>
      </c>
      <c r="B960" s="56" t="str">
        <f>IFERROR(__xludf.DUMMYFUNCTION("IF('AYIRA MINI MART FINAL MENU - Pr'!B960="""", """", IF(LEN(TRIM(REGEXREPLACE(REGEXREPLACE('AYIRA MINI MART FINAL MENU - Pr'!B960, ""^[^\x{0600}-\x{06FF}]+"", """"), ""^[-–\s]+"", """")))&gt;0, TRIM(REGEXREPLACE(REGEXREPLACE('AYIRA MINI MART FINAL MENU - Pr"&amp;"'!B960, ""^[^\x{0600}-\x{06FF}]+"", """"), ""^[-–\s]+"", """")), GOOGLETRANSLATE('AYIRA MINI MART FINAL MENU - Pr'!B960, ""en"", ""ar"")))"),"العلكة")</f>
        <v>العلكة</v>
      </c>
      <c r="C960" s="58">
        <f>IF('AYIRA MINI MART FINAL MENU - Pr'!C960="", "", 'AYIRA MINI MART FINAL MENU - Pr'!C960)</f>
        <v>14.5</v>
      </c>
      <c r="D960" s="58" t="str">
        <f>IF('AYIRA MINI MART FINAL MENU - Pr'!D960="", "", 'AYIRA MINI MART FINAL MENU - Pr'!D960)</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60" s="56" t="str">
        <f>IF('AYIRA MINI MART FINAL MENU - Pr'!E960="", "", 'AYIRA MINI MART FINAL MENU - Pr'!E960)</f>
        <v/>
      </c>
      <c r="F960" s="56" t="str">
        <f>IF('AYIRA MINI MART FINAL MENU - Pr'!F960="", "", 'AYIRA MINI MART FINAL MENU - Pr'!F960)</f>
        <v/>
      </c>
      <c r="G960" s="56" t="str">
        <f>IF('AYIRA MINI MART FINAL MENU - Pr'!G960="", "", 'AYIRA MINI MART FINAL MENU - Pr'!G960)</f>
        <v/>
      </c>
      <c r="H960" s="56" t="str">
        <f>IF('AYIRA MINI MART FINAL MENU - Pr'!H960="", "", 'AYIRA MINI MART FINAL MENU - Pr'!H960)</f>
        <v/>
      </c>
      <c r="I960" s="56" t="str">
        <f>IF('AYIRA MINI MART FINAL MENU - Pr'!I960="", "", 'AYIRA MINI MART FINAL MENU - Pr'!I960)</f>
        <v/>
      </c>
      <c r="J960" s="56" t="str">
        <f>IFERROR(__xludf.DUMMYFUNCTION("IF('AYIRA MINI MART FINAL MENU - Pr'!J960="""", """", GOOGLETRANSLATE('AYIRA MINI MART FINAL MENU - Pr'!J960, ""en"", ""ar""))"),"")</f>
        <v/>
      </c>
      <c r="K960" s="56" t="str">
        <f>IF('AYIRA MINI MART FINAL MENU - Pr'!K960="", "", 'AYIRA MINI MART FINAL MENU - Pr'!K960)</f>
        <v/>
      </c>
      <c r="L960" s="56" t="str">
        <f>IF('AYIRA MINI MART FINAL MENU - Pr'!L960="", "", 'AYIRA MINI MART FINAL MENU - Pr'!L960)</f>
        <v/>
      </c>
      <c r="M960" s="56" t="str">
        <f>IF('AYIRA MINI MART FINAL MENU - Pr'!M960="", "", 'AYIRA MINI MART FINAL MENU - Pr'!M960)</f>
        <v/>
      </c>
      <c r="N960" s="56" t="str">
        <f>IF('AYIRA MINI MART FINAL MENU - Pr'!N960="", "", 'AYIRA MINI MART FINAL MENU - Pr'!N960)</f>
        <v/>
      </c>
      <c r="O960" s="57"/>
      <c r="P960" s="57"/>
      <c r="Q960" s="57"/>
      <c r="R960" s="57"/>
      <c r="S960" s="57"/>
      <c r="T960" s="57"/>
      <c r="U960" s="57"/>
      <c r="V960" s="57"/>
      <c r="W960" s="57"/>
      <c r="X960" s="57"/>
      <c r="Y960" s="57"/>
      <c r="Z960" s="57"/>
    </row>
    <row r="961">
      <c r="A961" s="56" t="str">
        <f>IFERROR(__xludf.DUMMYFUNCTION("IF('AYIRA MINI MART FINAL MENU - Pr'!A961="""", """", IF(LEN(TRIM(REGEXREPLACE(REGEXREPLACE('AYIRA MINI MART FINAL MENU - Pr'!A961, ""^[^\x{0600}-\x{06FF}]+"", """"), ""^[-–\s]+"", """")))&gt;0, TRIM(REGEXREPLACE(REGEXREPLACE('AYIRA MINI MART FINAL MENU - Pr"&amp;"'!A961, ""^[^\x{0600}-\x{06FF}]+"", """"), ""^[-–\s]+"", """")), GOOGLETRANSLATE('AYIRA MINI MART FINAL MENU - Pr'!A961, ""en"", ""ar"")))"),"منتوس Pure Fresh Sugarfree Chewing Gum Spearmint 50 Pieces 87.5 غرام")</f>
        <v>منتوس Pure Fresh Sugarfree Chewing Gum Spearmint 50 Pieces 87.5 غرام</v>
      </c>
      <c r="B961" s="56" t="str">
        <f>IFERROR(__xludf.DUMMYFUNCTION("IF('AYIRA MINI MART FINAL MENU - Pr'!B961="""", """", IF(LEN(TRIM(REGEXREPLACE(REGEXREPLACE('AYIRA MINI MART FINAL MENU - Pr'!B961, ""^[^\x{0600}-\x{06FF}]+"", """"), ""^[-–\s]+"", """")))&gt;0, TRIM(REGEXREPLACE(REGEXREPLACE('AYIRA MINI MART FINAL MENU - Pr"&amp;"'!B961, ""^[^\x{0600}-\x{06FF}]+"", """"), ""^[-–\s]+"", """")), GOOGLETRANSLATE('AYIRA MINI MART FINAL MENU - Pr'!B961, ""en"", ""ar"")))"),"العلكة")</f>
        <v>العلكة</v>
      </c>
      <c r="C961" s="58">
        <f>IF('AYIRA MINI MART FINAL MENU - Pr'!C961="", "", 'AYIRA MINI MART FINAL MENU - Pr'!C961)</f>
        <v>14.5</v>
      </c>
      <c r="D961" s="58" t="str">
        <f>IF('AYIRA MINI MART FINAL MENU - Pr'!D961="", "", 'AYIRA MINI MART FINAL MENU - Pr'!D961)</f>
        <v>استمتع بـ منتوس، العلكة المنعشة التي تمنح فمك نظافة ونضارة دائمة. بنكهتها الممتدة وتركيبتها المميزة تجعلها الخيار المثالي لمن يبحث عن انتعاش مستمر طوال اليوم. تساعد على تنشيط الأسنان وتعطير النفس بشكل رائع. مناسبة في أي وقت وأي مكان. احصل عليها من أيرا ميني مارت واستمتع بنضارة مستمرة.</v>
      </c>
      <c r="E961" s="56" t="str">
        <f>IF('AYIRA MINI MART FINAL MENU - Pr'!E961="", "", 'AYIRA MINI MART FINAL MENU - Pr'!E961)</f>
        <v/>
      </c>
      <c r="F961" s="56" t="str">
        <f>IF('AYIRA MINI MART FINAL MENU - Pr'!F961="", "", 'AYIRA MINI MART FINAL MENU - Pr'!F961)</f>
        <v/>
      </c>
      <c r="G961" s="56" t="str">
        <f>IF('AYIRA MINI MART FINAL MENU - Pr'!G961="", "", 'AYIRA MINI MART FINAL MENU - Pr'!G961)</f>
        <v/>
      </c>
      <c r="H961" s="56" t="str">
        <f>IF('AYIRA MINI MART FINAL MENU - Pr'!H961="", "", 'AYIRA MINI MART FINAL MENU - Pr'!H961)</f>
        <v/>
      </c>
      <c r="I961" s="56" t="str">
        <f>IF('AYIRA MINI MART FINAL MENU - Pr'!I961="", "", 'AYIRA MINI MART FINAL MENU - Pr'!I961)</f>
        <v/>
      </c>
      <c r="J961" s="56" t="str">
        <f>IFERROR(__xludf.DUMMYFUNCTION("IF('AYIRA MINI MART FINAL MENU - Pr'!J961="""", """", GOOGLETRANSLATE('AYIRA MINI MART FINAL MENU - Pr'!J961, ""en"", ""ar""))"),"")</f>
        <v/>
      </c>
      <c r="K961" s="56" t="str">
        <f>IF('AYIRA MINI MART FINAL MENU - Pr'!K961="", "", 'AYIRA MINI MART FINAL MENU - Pr'!K961)</f>
        <v/>
      </c>
      <c r="L961" s="56" t="str">
        <f>IF('AYIRA MINI MART FINAL MENU - Pr'!L961="", "", 'AYIRA MINI MART FINAL MENU - Pr'!L961)</f>
        <v/>
      </c>
      <c r="M961" s="56" t="str">
        <f>IF('AYIRA MINI MART FINAL MENU - Pr'!M961="", "", 'AYIRA MINI MART FINAL MENU - Pr'!M961)</f>
        <v/>
      </c>
      <c r="N961" s="56" t="str">
        <f>IF('AYIRA MINI MART FINAL MENU - Pr'!N961="", "", 'AYIRA MINI MART FINAL MENU - Pr'!N961)</f>
        <v/>
      </c>
      <c r="O961" s="57"/>
      <c r="P961" s="57"/>
      <c r="Q961" s="57"/>
      <c r="R961" s="57"/>
      <c r="S961" s="57"/>
      <c r="T961" s="57"/>
      <c r="U961" s="57"/>
      <c r="V961" s="57"/>
      <c r="W961" s="57"/>
      <c r="X961" s="57"/>
      <c r="Y961" s="57"/>
      <c r="Z961" s="57"/>
    </row>
    <row r="962">
      <c r="A962" s="56" t="str">
        <f>IFERROR(__xludf.DUMMYFUNCTION("IF('AYIRA MINI MART FINAL MENU - Pr'!A962="""", """", IF(LEN(TRIM(REGEXREPLACE(REGEXREPLACE('AYIRA MINI MART FINAL MENU - Pr'!A962, ""^[^\x{0600}-\x{06FF}]+"", """"), ""^[-–\s]+"", """")))&gt;0, TRIM(REGEXREPLACE(REGEXREPLACE('AYIRA MINI MART FINAL MENU - Pr"&amp;"'!A962, ""^[^\x{0600}-\x{06FF}]+"", """"), ""^[-–\s]+"", """")), GOOGLETRANSLATE('AYIRA MINI MART FINAL MENU - Pr'!A962, ""en"", ""ar"")))"),"منتوس Pure Fresh Sugarfree Chewing Gum Watermelon 50 Pieces 87.5 غرام")</f>
        <v>منتوس Pure Fresh Sugarfree Chewing Gum Watermelon 50 Pieces 87.5 غرام</v>
      </c>
      <c r="B962" s="56" t="str">
        <f>IFERROR(__xludf.DUMMYFUNCTION("IF('AYIRA MINI MART FINAL MENU - Pr'!B962="""", """", IF(LEN(TRIM(REGEXREPLACE(REGEXREPLACE('AYIRA MINI MART FINAL MENU - Pr'!B962, ""^[^\x{0600}-\x{06FF}]+"", """"), ""^[-–\s]+"", """")))&gt;0, TRIM(REGEXREPLACE(REGEXREPLACE('AYIRA MINI MART FINAL MENU - Pr"&amp;"'!B962, ""^[^\x{0600}-\x{06FF}]+"", """"), ""^[-–\s]+"", """")), GOOGLETRANSLATE('AYIRA MINI MART FINAL MENU - Pr'!B962, ""en"", ""ar"")))"),"العلكة")</f>
        <v>العلكة</v>
      </c>
      <c r="C962" s="58">
        <f>IF('AYIRA MINI MART FINAL MENU - Pr'!C962="", "", 'AYIRA MINI MART FINAL MENU - Pr'!C962)</f>
        <v>14.5</v>
      </c>
      <c r="D962" s="58" t="str">
        <f>IF('AYIRA MINI MART FINAL MENU - Pr'!D962="", "", 'AYIRA MINI MART FINAL MENU - Pr'!D962)</f>
        <v>اشرب منتوس، المياه النقية التي تعيد لجسمك توازنه الطبيعي. مستخرجة من أنقى المصادر الطبيعية ومعبأة بأعلى معايير الجودة والنظافة لضمان وصولها إليك بأفضل حالة. الترطيب الصحي أساس الحياة الجيدة، واختيارك لهذه المياه يعكس اهتمامك بصحتك. احرص على شرب كميات كافية يومياً للحفاظ على نشاطك وحيويتك. توفر لك أيرا ميني مارت هذه المياه الممتازة بأسعار تنافسية.</v>
      </c>
      <c r="E962" s="56" t="str">
        <f>IF('AYIRA MINI MART FINAL MENU - Pr'!E962="", "", 'AYIRA MINI MART FINAL MENU - Pr'!E962)</f>
        <v/>
      </c>
      <c r="F962" s="56" t="str">
        <f>IF('AYIRA MINI MART FINAL MENU - Pr'!F962="", "", 'AYIRA MINI MART FINAL MENU - Pr'!F962)</f>
        <v/>
      </c>
      <c r="G962" s="56" t="str">
        <f>IF('AYIRA MINI MART FINAL MENU - Pr'!G962="", "", 'AYIRA MINI MART FINAL MENU - Pr'!G962)</f>
        <v/>
      </c>
      <c r="H962" s="56" t="str">
        <f>IF('AYIRA MINI MART FINAL MENU - Pr'!H962="", "", 'AYIRA MINI MART FINAL MENU - Pr'!H962)</f>
        <v/>
      </c>
      <c r="I962" s="56" t="str">
        <f>IF('AYIRA MINI MART FINAL MENU - Pr'!I962="", "", 'AYIRA MINI MART FINAL MENU - Pr'!I962)</f>
        <v/>
      </c>
      <c r="J962" s="56" t="str">
        <f>IFERROR(__xludf.DUMMYFUNCTION("IF('AYIRA MINI MART FINAL MENU - Pr'!J962="""", """", GOOGLETRANSLATE('AYIRA MINI MART FINAL MENU - Pr'!J962, ""en"", ""ar""))"),"")</f>
        <v/>
      </c>
      <c r="K962" s="56" t="str">
        <f>IF('AYIRA MINI MART FINAL MENU - Pr'!K962="", "", 'AYIRA MINI MART FINAL MENU - Pr'!K962)</f>
        <v/>
      </c>
      <c r="L962" s="56" t="str">
        <f>IF('AYIRA MINI MART FINAL MENU - Pr'!L962="", "", 'AYIRA MINI MART FINAL MENU - Pr'!L962)</f>
        <v/>
      </c>
      <c r="M962" s="56" t="str">
        <f>IF('AYIRA MINI MART FINAL MENU - Pr'!M962="", "", 'AYIRA MINI MART FINAL MENU - Pr'!M962)</f>
        <v/>
      </c>
      <c r="N962" s="56" t="str">
        <f>IF('AYIRA MINI MART FINAL MENU - Pr'!N962="", "", 'AYIRA MINI MART FINAL MENU - Pr'!N962)</f>
        <v/>
      </c>
      <c r="O962" s="57"/>
      <c r="P962" s="57"/>
      <c r="Q962" s="57"/>
      <c r="R962" s="57"/>
      <c r="S962" s="57"/>
      <c r="T962" s="57"/>
      <c r="U962" s="57"/>
      <c r="V962" s="57"/>
      <c r="W962" s="57"/>
      <c r="X962" s="57"/>
      <c r="Y962" s="57"/>
      <c r="Z962" s="57"/>
    </row>
    <row r="963">
      <c r="A963" s="56" t="str">
        <f>IFERROR(__xludf.DUMMYFUNCTION("IF('AYIRA MINI MART FINAL MENU - Pr'!A963="""", """", IF(LEN(TRIM(REGEXREPLACE(REGEXREPLACE('AYIRA MINI MART FINAL MENU - Pr'!A963, ""^[^\x{0600}-\x{06FF}]+"", """"), ""^[-–\s]+"", """")))&gt;0, TRIM(REGEXREPLACE(REGEXREPLACE('AYIRA MINI MART FINAL MENU - Pr"&amp;"'!A963, ""^[^\x{0600}-\x{06FF}]+"", """"), ""^[-–\s]+"", """")), GOOGLETRANSLATE('AYIRA MINI MART FINAL MENU - Pr'!A963, ""en"", ""ar"")))"),"كريم جبنة ساندويتش Roll 110 غرام")</f>
        <v>كريم جبنة ساندويتش Roll 110 غرام</v>
      </c>
      <c r="B963" s="56" t="str">
        <f>IFERROR(__xludf.DUMMYFUNCTION("IF('AYIRA MINI MART FINAL MENU - Pr'!B963="""", """", IF(LEN(TRIM(REGEXREPLACE(REGEXREPLACE('AYIRA MINI MART FINAL MENU - Pr'!B963, ""^[^\x{0600}-\x{06FF}]+"", """"), ""^[-–\s]+"", """")))&gt;0, TRIM(REGEXREPLACE(REGEXREPLACE('AYIRA MINI MART FINAL MENU - Pr"&amp;"'!B963, ""^[^\x{0600}-\x{06FF}]+"", """"), ""^[-–\s]+"", """")), GOOGLETRANSLATE('AYIRA MINI MART FINAL MENU - Pr'!B963, ""en"", ""ar"")))"),"المخبوزات والمعجنات")</f>
        <v>المخبوزات والمعجنات</v>
      </c>
      <c r="C963" s="58">
        <f>IF('AYIRA MINI MART FINAL MENU - Pr'!C963="", "", 'AYIRA MINI MART FINAL MENU - Pr'!C963)</f>
        <v>3</v>
      </c>
      <c r="D963" s="58" t="str">
        <f>IF('AYIRA MINI MART FINAL MENU - Pr'!D963="", "", 'AYIRA MINI MART FINAL MENU - Pr'!D963)</f>
        <v>اكتشف Qbake Zaatar Cream Cheese Sandwich Roll 110g،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63" s="56" t="str">
        <f>IF('AYIRA MINI MART FINAL MENU - Pr'!E963="", "", 'AYIRA MINI MART FINAL MENU - Pr'!E963)</f>
        <v/>
      </c>
      <c r="F963" s="56" t="str">
        <f>IF('AYIRA MINI MART FINAL MENU - Pr'!F963="", "", 'AYIRA MINI MART FINAL MENU - Pr'!F963)</f>
        <v/>
      </c>
      <c r="G963" s="56" t="str">
        <f>IF('AYIRA MINI MART FINAL MENU - Pr'!G963="", "", 'AYIRA MINI MART FINAL MENU - Pr'!G963)</f>
        <v/>
      </c>
      <c r="H963" s="56" t="str">
        <f>IF('AYIRA MINI MART FINAL MENU - Pr'!H963="", "", 'AYIRA MINI MART FINAL MENU - Pr'!H963)</f>
        <v/>
      </c>
      <c r="I963" s="56" t="str">
        <f>IF('AYIRA MINI MART FINAL MENU - Pr'!I963="", "", 'AYIRA MINI MART FINAL MENU - Pr'!I963)</f>
        <v/>
      </c>
      <c r="J963" s="56" t="str">
        <f>IFERROR(__xludf.DUMMYFUNCTION("IF('AYIRA MINI MART FINAL MENU - Pr'!J963="""", """", GOOGLETRANSLATE('AYIRA MINI MART FINAL MENU - Pr'!J963, ""en"", ""ar""))"),"")</f>
        <v/>
      </c>
      <c r="K963" s="56" t="str">
        <f>IF('AYIRA MINI MART FINAL MENU - Pr'!K963="", "", 'AYIRA MINI MART FINAL MENU - Pr'!K963)</f>
        <v/>
      </c>
      <c r="L963" s="56" t="str">
        <f>IF('AYIRA MINI MART FINAL MENU - Pr'!L963="", "", 'AYIRA MINI MART FINAL MENU - Pr'!L963)</f>
        <v/>
      </c>
      <c r="M963" s="56" t="str">
        <f>IF('AYIRA MINI MART FINAL MENU - Pr'!M963="", "", 'AYIRA MINI MART FINAL MENU - Pr'!M963)</f>
        <v/>
      </c>
      <c r="N963" s="56" t="str">
        <f>IF('AYIRA MINI MART FINAL MENU - Pr'!N963="", "", 'AYIRA MINI MART FINAL MENU - Pr'!N963)</f>
        <v/>
      </c>
      <c r="O963" s="57"/>
      <c r="P963" s="57"/>
      <c r="Q963" s="57"/>
      <c r="R963" s="57"/>
      <c r="S963" s="57"/>
      <c r="T963" s="57"/>
      <c r="U963" s="57"/>
      <c r="V963" s="57"/>
      <c r="W963" s="57"/>
      <c r="X963" s="57"/>
      <c r="Y963" s="57"/>
      <c r="Z963" s="57"/>
    </row>
    <row r="964">
      <c r="A964" s="56" t="str">
        <f>IFERROR(__xludf.DUMMYFUNCTION("IF('AYIRA MINI MART FINAL MENU - Pr'!A964="""", """", IF(LEN(TRIM(REGEXREPLACE(REGEXREPLACE('AYIRA MINI MART FINAL MENU - Pr'!A964, ""^[^\x{0600}-\x{06FF}]+"", """"), ""^[-–\s]+"", """")))&gt;0, TRIM(REGEXREPLACE(REGEXREPLACE('AYIRA MINI MART FINAL MENU - Pr"&amp;"'!A964, ""^[^\x{0600}-\x{06FF}]+"", """"), ""^[-–\s]+"", """")), GOOGLETRANSLATE('AYIRA MINI MART FINAL MENU - Pr'!A964, ""en"", ""ar"")))"),"بسكويت كريم زبدة Croissant 80 غرام")</f>
        <v>بسكويت كريم زبدة Croissant 80 غرام</v>
      </c>
      <c r="B964" s="56" t="str">
        <f>IFERROR(__xludf.DUMMYFUNCTION("IF('AYIRA MINI MART FINAL MENU - Pr'!B964="""", """", IF(LEN(TRIM(REGEXREPLACE(REGEXREPLACE('AYIRA MINI MART FINAL MENU - Pr'!B964, ""^[^\x{0600}-\x{06FF}]+"", """"), ""^[-–\s]+"", """")))&gt;0, TRIM(REGEXREPLACE(REGEXREPLACE('AYIRA MINI MART FINAL MENU - Pr"&amp;"'!B964, ""^[^\x{0600}-\x{06FF}]+"", """"), ""^[-–\s]+"", """")), GOOGLETRANSLATE('AYIRA MINI MART FINAL MENU - Pr'!B964, ""en"", ""ar"")))"),"المخبوزات والمعجنات")</f>
        <v>المخبوزات والمعجنات</v>
      </c>
      <c r="C964" s="58">
        <f>IF('AYIRA MINI MART FINAL MENU - Pr'!C964="", "", 'AYIRA MINI MART FINAL MENU - Pr'!C964)</f>
        <v>3</v>
      </c>
      <c r="D964" s="58" t="str">
        <f>IF('AYIRA MINI MART FINAL MENU - Pr'!D964="", "", 'AYIRA MINI MART FINAL MENU - Pr'!D964)</f>
        <v>اكتشف Biscuit Cream Butter Croissant 80g،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64" s="56" t="str">
        <f>IF('AYIRA MINI MART FINAL MENU - Pr'!E964="", "", 'AYIRA MINI MART FINAL MENU - Pr'!E964)</f>
        <v/>
      </c>
      <c r="F964" s="56" t="str">
        <f>IF('AYIRA MINI MART FINAL MENU - Pr'!F964="", "", 'AYIRA MINI MART FINAL MENU - Pr'!F964)</f>
        <v/>
      </c>
      <c r="G964" s="56" t="str">
        <f>IF('AYIRA MINI MART FINAL MENU - Pr'!G964="", "", 'AYIRA MINI MART FINAL MENU - Pr'!G964)</f>
        <v/>
      </c>
      <c r="H964" s="56" t="str">
        <f>IF('AYIRA MINI MART FINAL MENU - Pr'!H964="", "", 'AYIRA MINI MART FINAL MENU - Pr'!H964)</f>
        <v/>
      </c>
      <c r="I964" s="56" t="str">
        <f>IF('AYIRA MINI MART FINAL MENU - Pr'!I964="", "", 'AYIRA MINI MART FINAL MENU - Pr'!I964)</f>
        <v/>
      </c>
      <c r="J964" s="56" t="str">
        <f>IFERROR(__xludf.DUMMYFUNCTION("IF('AYIRA MINI MART FINAL MENU - Pr'!J964="""", """", GOOGLETRANSLATE('AYIRA MINI MART FINAL MENU - Pr'!J964, ""en"", ""ar""))"),"")</f>
        <v/>
      </c>
      <c r="K964" s="56" t="str">
        <f>IF('AYIRA MINI MART FINAL MENU - Pr'!K964="", "", 'AYIRA MINI MART FINAL MENU - Pr'!K964)</f>
        <v/>
      </c>
      <c r="L964" s="56" t="str">
        <f>IF('AYIRA MINI MART FINAL MENU - Pr'!L964="", "", 'AYIRA MINI MART FINAL MENU - Pr'!L964)</f>
        <v/>
      </c>
      <c r="M964" s="56" t="str">
        <f>IF('AYIRA MINI MART FINAL MENU - Pr'!M964="", "", 'AYIRA MINI MART FINAL MENU - Pr'!M964)</f>
        <v/>
      </c>
      <c r="N964" s="56" t="str">
        <f>IF('AYIRA MINI MART FINAL MENU - Pr'!N964="", "", 'AYIRA MINI MART FINAL MENU - Pr'!N964)</f>
        <v/>
      </c>
      <c r="O964" s="57"/>
      <c r="P964" s="57"/>
      <c r="Q964" s="57"/>
      <c r="R964" s="57"/>
      <c r="S964" s="57"/>
      <c r="T964" s="57"/>
      <c r="U964" s="57"/>
      <c r="V964" s="57"/>
      <c r="W964" s="57"/>
      <c r="X964" s="57"/>
      <c r="Y964" s="57"/>
      <c r="Z964" s="57"/>
    </row>
    <row r="965">
      <c r="A965" s="56" t="str">
        <f>IFERROR(__xludf.DUMMYFUNCTION("IF('AYIRA MINI MART FINAL MENU - Pr'!A965="""", """", IF(LEN(TRIM(REGEXREPLACE(REGEXREPLACE('AYIRA MINI MART FINAL MENU - Pr'!A965, ""^[^\x{0600}-\x{06FF}]+"", """"), ""^[-–\s]+"", """")))&gt;0, TRIM(REGEXREPLACE(REGEXREPLACE('AYIRA MINI MART FINAL MENU - Pr"&amp;"'!A965, ""^[^\x{0600}-\x{06FF}]+"", """"), ""^[-–\s]+"", """")), GOOGLETRANSLATE('AYIRA MINI MART FINAL MENU - Pr'!A965, ""en"", ""ar"")))"),"تفاح Puff 70 غرام")</f>
        <v>تفاح Puff 70 غرام</v>
      </c>
      <c r="B965" s="56" t="str">
        <f>IFERROR(__xludf.DUMMYFUNCTION("IF('AYIRA MINI MART FINAL MENU - Pr'!B965="""", """", IF(LEN(TRIM(REGEXREPLACE(REGEXREPLACE('AYIRA MINI MART FINAL MENU - Pr'!B965, ""^[^\x{0600}-\x{06FF}]+"", """"), ""^[-–\s]+"", """")))&gt;0, TRIM(REGEXREPLACE(REGEXREPLACE('AYIRA MINI MART FINAL MENU - Pr"&amp;"'!B965, ""^[^\x{0600}-\x{06FF}]+"", """"), ""^[-–\s]+"", """")), GOOGLETRANSLATE('AYIRA MINI MART FINAL MENU - Pr'!B965, ""en"", ""ar"")))"),"المخبوزات والمعجنات")</f>
        <v>المخبوزات والمعجنات</v>
      </c>
      <c r="C965" s="58">
        <f>IF('AYIRA MINI MART FINAL MENU - Pr'!C965="", "", 'AYIRA MINI MART FINAL MENU - Pr'!C965)</f>
        <v>2</v>
      </c>
      <c r="D965" s="58" t="str">
        <f>IF('AYIRA MINI MART FINAL MENU - Pr'!D965="", "", 'AYIRA MINI MART FINAL MENU - Pr'!D965)</f>
        <v>اكتشف Qbake Apple Puff 70g،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65" s="56" t="str">
        <f>IF('AYIRA MINI MART FINAL MENU - Pr'!E965="", "", 'AYIRA MINI MART FINAL MENU - Pr'!E965)</f>
        <v/>
      </c>
      <c r="F965" s="56" t="str">
        <f>IF('AYIRA MINI MART FINAL MENU - Pr'!F965="", "", 'AYIRA MINI MART FINAL MENU - Pr'!F965)</f>
        <v/>
      </c>
      <c r="G965" s="56" t="str">
        <f>IF('AYIRA MINI MART FINAL MENU - Pr'!G965="", "", 'AYIRA MINI MART FINAL MENU - Pr'!G965)</f>
        <v/>
      </c>
      <c r="H965" s="56" t="str">
        <f>IF('AYIRA MINI MART FINAL MENU - Pr'!H965="", "", 'AYIRA MINI MART FINAL MENU - Pr'!H965)</f>
        <v/>
      </c>
      <c r="I965" s="56" t="str">
        <f>IF('AYIRA MINI MART FINAL MENU - Pr'!I965="", "", 'AYIRA MINI MART FINAL MENU - Pr'!I965)</f>
        <v/>
      </c>
      <c r="J965" s="56" t="str">
        <f>IFERROR(__xludf.DUMMYFUNCTION("IF('AYIRA MINI MART FINAL MENU - Pr'!J965="""", """", GOOGLETRANSLATE('AYIRA MINI MART FINAL MENU - Pr'!J965, ""en"", ""ar""))"),"")</f>
        <v/>
      </c>
      <c r="K965" s="56" t="str">
        <f>IF('AYIRA MINI MART FINAL MENU - Pr'!K965="", "", 'AYIRA MINI MART FINAL MENU - Pr'!K965)</f>
        <v/>
      </c>
      <c r="L965" s="56" t="str">
        <f>IF('AYIRA MINI MART FINAL MENU - Pr'!L965="", "", 'AYIRA MINI MART FINAL MENU - Pr'!L965)</f>
        <v/>
      </c>
      <c r="M965" s="56" t="str">
        <f>IF('AYIRA MINI MART FINAL MENU - Pr'!M965="", "", 'AYIRA MINI MART FINAL MENU - Pr'!M965)</f>
        <v/>
      </c>
      <c r="N965" s="56" t="str">
        <f>IF('AYIRA MINI MART FINAL MENU - Pr'!N965="", "", 'AYIRA MINI MART FINAL MENU - Pr'!N965)</f>
        <v/>
      </c>
      <c r="O965" s="57"/>
      <c r="P965" s="57"/>
      <c r="Q965" s="57"/>
      <c r="R965" s="57"/>
      <c r="S965" s="57"/>
      <c r="T965" s="57"/>
      <c r="U965" s="57"/>
      <c r="V965" s="57"/>
      <c r="W965" s="57"/>
      <c r="X965" s="57"/>
      <c r="Y965" s="57"/>
      <c r="Z965" s="57"/>
    </row>
    <row r="966">
      <c r="A966" s="56" t="str">
        <f>IFERROR(__xludf.DUMMYFUNCTION("IF('AYIRA MINI MART FINAL MENU - Pr'!A966="""", """", IF(LEN(TRIM(REGEXREPLACE(REGEXREPLACE('AYIRA MINI MART FINAL MENU - Pr'!A966, ""^[^\x{0600}-\x{06FF}]+"", """"), ""^[-–\s]+"", """")))&gt;0, TRIM(REGEXREPLACE(REGEXREPLACE('AYIRA MINI MART FINAL MENU - Pr"&amp;"'!A966, ""^[^\x{0600}-\x{06FF}]+"", """"), ""^[-–\s]+"", """")), GOOGLETRANSLATE('AYIRA MINI MART FINAL MENU - Pr'!A966, ""en"", ""ar"")))"),"غرام")</f>
        <v>غرام</v>
      </c>
      <c r="B966" s="56" t="str">
        <f>IFERROR(__xludf.DUMMYFUNCTION("IF('AYIRA MINI MART FINAL MENU - Pr'!B966="""", """", IF(LEN(TRIM(REGEXREPLACE(REGEXREPLACE('AYIRA MINI MART FINAL MENU - Pr'!B966, ""^[^\x{0600}-\x{06FF}]+"", """"), ""^[-–\s]+"", """")))&gt;0, TRIM(REGEXREPLACE(REGEXREPLACE('AYIRA MINI MART FINAL MENU - Pr"&amp;"'!B966, ""^[^\x{0600}-\x{06FF}]+"", """"), ""^[-–\s]+"", """")), GOOGLETRANSLATE('AYIRA MINI MART FINAL MENU - Pr'!B966, ""en"", ""ar"")))"),"المخبوزات والمعجنات")</f>
        <v>المخبوزات والمعجنات</v>
      </c>
      <c r="C966" s="58">
        <f>IF('AYIRA MINI MART FINAL MENU - Pr'!C966="", "", 'AYIRA MINI MART FINAL MENU - Pr'!C966)</f>
        <v>2</v>
      </c>
      <c r="D966" s="58" t="str">
        <f>IF('AYIRA MINI MART FINAL MENU - Pr'!D966="", "", 'AYIRA MINI MART FINAL MENU - Pr'!D966)</f>
        <v>اكتشف Qbake Sweet Puff 70g،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66" s="56" t="str">
        <f>IF('AYIRA MINI MART FINAL MENU - Pr'!E966="", "", 'AYIRA MINI MART FINAL MENU - Pr'!E966)</f>
        <v/>
      </c>
      <c r="F966" s="56" t="str">
        <f>IF('AYIRA MINI MART FINAL MENU - Pr'!F966="", "", 'AYIRA MINI MART FINAL MENU - Pr'!F966)</f>
        <v/>
      </c>
      <c r="G966" s="56" t="str">
        <f>IF('AYIRA MINI MART FINAL MENU - Pr'!G966="", "", 'AYIRA MINI MART FINAL MENU - Pr'!G966)</f>
        <v/>
      </c>
      <c r="H966" s="56" t="str">
        <f>IF('AYIRA MINI MART FINAL MENU - Pr'!H966="", "", 'AYIRA MINI MART FINAL MENU - Pr'!H966)</f>
        <v/>
      </c>
      <c r="I966" s="56" t="str">
        <f>IF('AYIRA MINI MART FINAL MENU - Pr'!I966="", "", 'AYIRA MINI MART FINAL MENU - Pr'!I966)</f>
        <v/>
      </c>
      <c r="J966" s="56" t="str">
        <f>IFERROR(__xludf.DUMMYFUNCTION("IF('AYIRA MINI MART FINAL MENU - Pr'!J966="""", """", GOOGLETRANSLATE('AYIRA MINI MART FINAL MENU - Pr'!J966, ""en"", ""ar""))"),"")</f>
        <v/>
      </c>
      <c r="K966" s="56" t="str">
        <f>IF('AYIRA MINI MART FINAL MENU - Pr'!K966="", "", 'AYIRA MINI MART FINAL MENU - Pr'!K966)</f>
        <v/>
      </c>
      <c r="L966" s="56" t="str">
        <f>IF('AYIRA MINI MART FINAL MENU - Pr'!L966="", "", 'AYIRA MINI MART FINAL MENU - Pr'!L966)</f>
        <v/>
      </c>
      <c r="M966" s="56" t="str">
        <f>IF('AYIRA MINI MART FINAL MENU - Pr'!M966="", "", 'AYIRA MINI MART FINAL MENU - Pr'!M966)</f>
        <v/>
      </c>
      <c r="N966" s="56" t="str">
        <f>IF('AYIRA MINI MART FINAL MENU - Pr'!N966="", "", 'AYIRA MINI MART FINAL MENU - Pr'!N966)</f>
        <v/>
      </c>
      <c r="O966" s="57"/>
      <c r="P966" s="57"/>
      <c r="Q966" s="57"/>
      <c r="R966" s="57"/>
      <c r="S966" s="57"/>
      <c r="T966" s="57"/>
      <c r="U966" s="57"/>
      <c r="V966" s="57"/>
      <c r="W966" s="57"/>
      <c r="X966" s="57"/>
      <c r="Y966" s="57"/>
      <c r="Z966" s="57"/>
    </row>
    <row r="967">
      <c r="A967" s="56" t="str">
        <f>IFERROR(__xludf.DUMMYFUNCTION("IF('AYIRA MINI MART FINAL MENU - Pr'!A967="""", """", IF(LEN(TRIM(REGEXREPLACE(REGEXREPLACE('AYIRA MINI MART FINAL MENU - Pr'!A967, ""^[^\x{0600}-\x{06FF}]+"", """"), ""^[-–\s]+"", """")))&gt;0, TRIM(REGEXREPLACE(REGEXREPLACE('AYIRA MINI MART FINAL MENU - Pr"&amp;"'!A967, ""^[^\x{0600}-\x{06FF}]+"", """"), ""^[-–\s]+"", """")), GOOGLETRANSLATE('AYIRA MINI MART FINAL MENU - Pr'!A967, ""en"", ""ar"")))"),"فانيليا Cupcake 15pcs")</f>
        <v>فانيليا Cupcake 15pcs</v>
      </c>
      <c r="B967" s="56" t="str">
        <f>IFERROR(__xludf.DUMMYFUNCTION("IF('AYIRA MINI MART FINAL MENU - Pr'!B967="""", """", IF(LEN(TRIM(REGEXREPLACE(REGEXREPLACE('AYIRA MINI MART FINAL MENU - Pr'!B967, ""^[^\x{0600}-\x{06FF}]+"", """"), ""^[-–\s]+"", """")))&gt;0, TRIM(REGEXREPLACE(REGEXREPLACE('AYIRA MINI MART FINAL MENU - Pr"&amp;"'!B967, ""^[^\x{0600}-\x{06FF}]+"", """"), ""^[-–\s]+"", """")), GOOGLETRANSLATE('AYIRA MINI MART FINAL MENU - Pr'!B967, ""en"", ""ar"")))"),"المخبوزات والمعجنات")</f>
        <v>المخبوزات والمعجنات</v>
      </c>
      <c r="C967" s="58">
        <f>IF('AYIRA MINI MART FINAL MENU - Pr'!C967="", "", 'AYIRA MINI MART FINAL MENU - Pr'!C967)</f>
        <v>5</v>
      </c>
      <c r="D967" s="58" t="str">
        <f>IF('AYIRA MINI MART FINAL MENU - Pr'!D967="", "", 'AYIRA MINI MART FINAL MENU - Pr'!D967)</f>
        <v>اكتشف Qbake Vanilla Cupcake 15pcs،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67" s="56" t="str">
        <f>IF('AYIRA MINI MART FINAL MENU - Pr'!E967="", "", 'AYIRA MINI MART FINAL MENU - Pr'!E967)</f>
        <v/>
      </c>
      <c r="F967" s="56" t="str">
        <f>IF('AYIRA MINI MART FINAL MENU - Pr'!F967="", "", 'AYIRA MINI MART FINAL MENU - Pr'!F967)</f>
        <v/>
      </c>
      <c r="G967" s="56" t="str">
        <f>IF('AYIRA MINI MART FINAL MENU - Pr'!G967="", "", 'AYIRA MINI MART FINAL MENU - Pr'!G967)</f>
        <v/>
      </c>
      <c r="H967" s="56" t="str">
        <f>IF('AYIRA MINI MART FINAL MENU - Pr'!H967="", "", 'AYIRA MINI MART FINAL MENU - Pr'!H967)</f>
        <v/>
      </c>
      <c r="I967" s="56" t="str">
        <f>IF('AYIRA MINI MART FINAL MENU - Pr'!I967="", "", 'AYIRA MINI MART FINAL MENU - Pr'!I967)</f>
        <v/>
      </c>
      <c r="J967" s="56" t="str">
        <f>IFERROR(__xludf.DUMMYFUNCTION("IF('AYIRA MINI MART FINAL MENU - Pr'!J967="""", """", GOOGLETRANSLATE('AYIRA MINI MART FINAL MENU - Pr'!J967, ""en"", ""ar""))"),"")</f>
        <v/>
      </c>
      <c r="K967" s="56" t="str">
        <f>IF('AYIRA MINI MART FINAL MENU - Pr'!K967="", "", 'AYIRA MINI MART FINAL MENU - Pr'!K967)</f>
        <v/>
      </c>
      <c r="L967" s="56" t="str">
        <f>IF('AYIRA MINI MART FINAL MENU - Pr'!L967="", "", 'AYIRA MINI MART FINAL MENU - Pr'!L967)</f>
        <v/>
      </c>
      <c r="M967" s="56" t="str">
        <f>IF('AYIRA MINI MART FINAL MENU - Pr'!M967="", "", 'AYIRA MINI MART FINAL MENU - Pr'!M967)</f>
        <v/>
      </c>
      <c r="N967" s="56" t="str">
        <f>IF('AYIRA MINI MART FINAL MENU - Pr'!N967="", "", 'AYIRA MINI MART FINAL MENU - Pr'!N967)</f>
        <v/>
      </c>
      <c r="O967" s="57"/>
      <c r="P967" s="57"/>
      <c r="Q967" s="57"/>
      <c r="R967" s="57"/>
      <c r="S967" s="57"/>
      <c r="T967" s="57"/>
      <c r="U967" s="57"/>
      <c r="V967" s="57"/>
      <c r="W967" s="57"/>
      <c r="X967" s="57"/>
      <c r="Y967" s="57"/>
      <c r="Z967" s="57"/>
    </row>
    <row r="968">
      <c r="A968" s="56" t="str">
        <f>IFERROR(__xludf.DUMMYFUNCTION("IF('AYIRA MINI MART FINAL MENU - Pr'!A968="""", """", IF(LEN(TRIM(REGEXREPLACE(REGEXREPLACE('AYIRA MINI MART FINAL MENU - Pr'!A968, ""^[^\x{0600}-\x{06FF}]+"", """"), ""^[-–\s]+"", """")))&gt;0, TRIM(REGEXREPLACE(REGEXREPLACE('AYIRA MINI MART FINAL MENU - Pr"&amp;"'!A968, ""^[^\x{0600}-\x{06FF}]+"", """"), ""^[-–\s]+"", """")), GOOGLETRANSLATE('AYIRA MINI MART FINAL MENU - Pr'!A968, ""en"", ""ar"")))"),"ميني فانيليا Muffins أصلي 195 غرام")</f>
        <v>ميني فانيليا Muffins أصلي 195 غرام</v>
      </c>
      <c r="B968" s="56" t="str">
        <f>IFERROR(__xludf.DUMMYFUNCTION("IF('AYIRA MINI MART FINAL MENU - Pr'!B968="""", """", IF(LEN(TRIM(REGEXREPLACE(REGEXREPLACE('AYIRA MINI MART FINAL MENU - Pr'!B968, ""^[^\x{0600}-\x{06FF}]+"", """"), ""^[-–\s]+"", """")))&gt;0, TRIM(REGEXREPLACE(REGEXREPLACE('AYIRA MINI MART FINAL MENU - Pr"&amp;"'!B968, ""^[^\x{0600}-\x{06FF}]+"", """"), ""^[-–\s]+"", """")), GOOGLETRANSLATE('AYIRA MINI MART FINAL MENU - Pr'!B968, ""en"", ""ar"")))"),"المخبوزات والمعجنات")</f>
        <v>المخبوزات والمعجنات</v>
      </c>
      <c r="C968" s="58">
        <f>IF('AYIRA MINI MART FINAL MENU - Pr'!C968="", "", 'AYIRA MINI MART FINAL MENU - Pr'!C968)</f>
        <v>5</v>
      </c>
      <c r="D968" s="58" t="str">
        <f>IF('AYIRA MINI MART FINAL MENU - Pr'!D968="", "", 'AYIRA MINI MART FINAL MENU - Pr'!D968)</f>
        <v>اكتشف Qbake Mini Vanilla Muffins Original 195g،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68" s="56" t="str">
        <f>IF('AYIRA MINI MART FINAL MENU - Pr'!E968="", "", 'AYIRA MINI MART FINAL MENU - Pr'!E968)</f>
        <v/>
      </c>
      <c r="F968" s="56" t="str">
        <f>IF('AYIRA MINI MART FINAL MENU - Pr'!F968="", "", 'AYIRA MINI MART FINAL MENU - Pr'!F968)</f>
        <v/>
      </c>
      <c r="G968" s="56" t="str">
        <f>IF('AYIRA MINI MART FINAL MENU - Pr'!G968="", "", 'AYIRA MINI MART FINAL MENU - Pr'!G968)</f>
        <v/>
      </c>
      <c r="H968" s="56" t="str">
        <f>IF('AYIRA MINI MART FINAL MENU - Pr'!H968="", "", 'AYIRA MINI MART FINAL MENU - Pr'!H968)</f>
        <v/>
      </c>
      <c r="I968" s="56" t="str">
        <f>IF('AYIRA MINI MART FINAL MENU - Pr'!I968="", "", 'AYIRA MINI MART FINAL MENU - Pr'!I968)</f>
        <v/>
      </c>
      <c r="J968" s="56" t="str">
        <f>IFERROR(__xludf.DUMMYFUNCTION("IF('AYIRA MINI MART FINAL MENU - Pr'!J968="""", """", GOOGLETRANSLATE('AYIRA MINI MART FINAL MENU - Pr'!J968, ""en"", ""ar""))"),"")</f>
        <v/>
      </c>
      <c r="K968" s="56" t="str">
        <f>IF('AYIRA MINI MART FINAL MENU - Pr'!K968="", "", 'AYIRA MINI MART FINAL MENU - Pr'!K968)</f>
        <v/>
      </c>
      <c r="L968" s="56" t="str">
        <f>IF('AYIRA MINI MART FINAL MENU - Pr'!L968="", "", 'AYIRA MINI MART FINAL MENU - Pr'!L968)</f>
        <v/>
      </c>
      <c r="M968" s="56" t="str">
        <f>IF('AYIRA MINI MART FINAL MENU - Pr'!M968="", "", 'AYIRA MINI MART FINAL MENU - Pr'!M968)</f>
        <v/>
      </c>
      <c r="N968" s="56" t="str">
        <f>IF('AYIRA MINI MART FINAL MENU - Pr'!N968="", "", 'AYIRA MINI MART FINAL MENU - Pr'!N968)</f>
        <v/>
      </c>
      <c r="O968" s="57"/>
      <c r="P968" s="57"/>
      <c r="Q968" s="57"/>
      <c r="R968" s="57"/>
      <c r="S968" s="57"/>
      <c r="T968" s="57"/>
      <c r="U968" s="57"/>
      <c r="V968" s="57"/>
      <c r="W968" s="57"/>
      <c r="X968" s="57"/>
      <c r="Y968" s="57"/>
      <c r="Z968" s="57"/>
    </row>
    <row r="969">
      <c r="A969" s="56" t="str">
        <f>IFERROR(__xludf.DUMMYFUNCTION("IF('AYIRA MINI MART FINAL MENU - Pr'!A969="""", """", IF(LEN(TRIM(REGEXREPLACE(REGEXREPLACE('AYIRA MINI MART FINAL MENU - Pr'!A969, ""^[^\x{0600}-\x{06FF}]+"", """"), ""^[-–\s]+"", """")))&gt;0, TRIM(REGEXREPLACE(REGEXREPLACE('AYIRA MINI MART FINAL MENU - Pr"&amp;"'!A969, ""^[^\x{0600}-\x{06FF}]+"", """"), ""^[-–\s]+"", """")), GOOGLETRANSLATE('AYIRA MINI MART FINAL MENU - Pr'!A969, ""en"", ""ar"")))"),"ميني شوكولاتة Muffins 195 غرام")</f>
        <v>ميني شوكولاتة Muffins 195 غرام</v>
      </c>
      <c r="B969" s="56" t="str">
        <f>IFERROR(__xludf.DUMMYFUNCTION("IF('AYIRA MINI MART FINAL MENU - Pr'!B969="""", """", IF(LEN(TRIM(REGEXREPLACE(REGEXREPLACE('AYIRA MINI MART FINAL MENU - Pr'!B969, ""^[^\x{0600}-\x{06FF}]+"", """"), ""^[-–\s]+"", """")))&gt;0, TRIM(REGEXREPLACE(REGEXREPLACE('AYIRA MINI MART FINAL MENU - Pr"&amp;"'!B969, ""^[^\x{0600}-\x{06FF}]+"", """"), ""^[-–\s]+"", """")), GOOGLETRANSLATE('AYIRA MINI MART FINAL MENU - Pr'!B969, ""en"", ""ar"")))"),"المخبوزات والمعجنات")</f>
        <v>المخبوزات والمعجنات</v>
      </c>
      <c r="C969" s="58">
        <f>IF('AYIRA MINI MART FINAL MENU - Pr'!C969="", "", 'AYIRA MINI MART FINAL MENU - Pr'!C969)</f>
        <v>5</v>
      </c>
      <c r="D969" s="58" t="str">
        <f>IF('AYIRA MINI MART FINAL MENU - Pr'!D969="", "", 'AYIRA MINI MART FINAL MENU - Pr'!D969)</f>
        <v>دلّل حواسك مع Qbake Mini Chocolate Muffins 195g،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69" s="56" t="str">
        <f>IF('AYIRA MINI MART FINAL MENU - Pr'!E969="", "", 'AYIRA MINI MART FINAL MENU - Pr'!E969)</f>
        <v/>
      </c>
      <c r="F969" s="56" t="str">
        <f>IF('AYIRA MINI MART FINAL MENU - Pr'!F969="", "", 'AYIRA MINI MART FINAL MENU - Pr'!F969)</f>
        <v/>
      </c>
      <c r="G969" s="56" t="str">
        <f>IF('AYIRA MINI MART FINAL MENU - Pr'!G969="", "", 'AYIRA MINI MART FINAL MENU - Pr'!G969)</f>
        <v/>
      </c>
      <c r="H969" s="56" t="str">
        <f>IF('AYIRA MINI MART FINAL MENU - Pr'!H969="", "", 'AYIRA MINI MART FINAL MENU - Pr'!H969)</f>
        <v/>
      </c>
      <c r="I969" s="56" t="str">
        <f>IF('AYIRA MINI MART FINAL MENU - Pr'!I969="", "", 'AYIRA MINI MART FINAL MENU - Pr'!I969)</f>
        <v/>
      </c>
      <c r="J969" s="56" t="str">
        <f>IFERROR(__xludf.DUMMYFUNCTION("IF('AYIRA MINI MART FINAL MENU - Pr'!J969="""", """", GOOGLETRANSLATE('AYIRA MINI MART FINAL MENU - Pr'!J969, ""en"", ""ar""))"),"")</f>
        <v/>
      </c>
      <c r="K969" s="56" t="str">
        <f>IF('AYIRA MINI MART FINAL MENU - Pr'!K969="", "", 'AYIRA MINI MART FINAL MENU - Pr'!K969)</f>
        <v/>
      </c>
      <c r="L969" s="56" t="str">
        <f>IF('AYIRA MINI MART FINAL MENU - Pr'!L969="", "", 'AYIRA MINI MART FINAL MENU - Pr'!L969)</f>
        <v/>
      </c>
      <c r="M969" s="56" t="str">
        <f>IF('AYIRA MINI MART FINAL MENU - Pr'!M969="", "", 'AYIRA MINI MART FINAL MENU - Pr'!M969)</f>
        <v/>
      </c>
      <c r="N969" s="56" t="str">
        <f>IF('AYIRA MINI MART FINAL MENU - Pr'!N969="", "", 'AYIRA MINI MART FINAL MENU - Pr'!N969)</f>
        <v/>
      </c>
      <c r="O969" s="57"/>
      <c r="P969" s="57"/>
      <c r="Q969" s="57"/>
      <c r="R969" s="57"/>
      <c r="S969" s="57"/>
      <c r="T969" s="57"/>
      <c r="U969" s="57"/>
      <c r="V969" s="57"/>
      <c r="W969" s="57"/>
      <c r="X969" s="57"/>
      <c r="Y969" s="57"/>
      <c r="Z969" s="57"/>
    </row>
    <row r="970">
      <c r="A970" s="56" t="str">
        <f>IFERROR(__xludf.DUMMYFUNCTION("IF('AYIRA MINI MART FINAL MENU - Pr'!A970="""", """", IF(LEN(TRIM(REGEXREPLACE(REGEXREPLACE('AYIRA MINI MART FINAL MENU - Pr'!A970, ""^[^\x{0600}-\x{06FF}]+"", """"), ""^[-–\s]+"", """")))&gt;0, TRIM(REGEXREPLACE(REGEXREPLACE('AYIRA MINI MART FINAL MENU - Pr"&amp;"'!A970, ""^[^\x{0600}-\x{06FF}]+"", """"), ""^[-–\s]+"", """")), GOOGLETRANSLATE('AYIRA MINI MART FINAL MENU - Pr'!A970, ""en"", ""ar"")))"),"خبز 620 غرام")</f>
        <v>خبز 620 غرام</v>
      </c>
      <c r="B970" s="56" t="str">
        <f>IFERROR(__xludf.DUMMYFUNCTION("IF('AYIRA MINI MART FINAL MENU - Pr'!B970="""", """", IF(LEN(TRIM(REGEXREPLACE(REGEXREPLACE('AYIRA MINI MART FINAL MENU - Pr'!B970, ""^[^\x{0600}-\x{06FF}]+"", """"), ""^[-–\s]+"", """")))&gt;0, TRIM(REGEXREPLACE(REGEXREPLACE('AYIRA MINI MART FINAL MENU - Pr"&amp;"'!B970, ""^[^\x{0600}-\x{06FF}]+"", """"), ""^[-–\s]+"", """")), GOOGLETRANSLATE('AYIRA MINI MART FINAL MENU - Pr'!B970, ""en"", ""ar"")))"),"المخبوزات والمعجنات")</f>
        <v>المخبوزات والمعجنات</v>
      </c>
      <c r="C970" s="58">
        <f>IF('AYIRA MINI MART FINAL MENU - Pr'!C970="", "", 'AYIRA MINI MART FINAL MENU - Pr'!C970)</f>
        <v>6</v>
      </c>
      <c r="D970" s="58" t="str">
        <f>IF('AYIRA MINI MART FINAL MENU - Pr'!D970="", "", 'AYIRA MINI MART FINAL MENU - Pr'!D970)</f>
        <v>اكتشف Qbake Brown Bread 620g،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70" s="56" t="str">
        <f>IF('AYIRA MINI MART FINAL MENU - Pr'!E970="", "", 'AYIRA MINI MART FINAL MENU - Pr'!E970)</f>
        <v/>
      </c>
      <c r="F970" s="56" t="str">
        <f>IF('AYIRA MINI MART FINAL MENU - Pr'!F970="", "", 'AYIRA MINI MART FINAL MENU - Pr'!F970)</f>
        <v/>
      </c>
      <c r="G970" s="56" t="str">
        <f>IF('AYIRA MINI MART FINAL MENU - Pr'!G970="", "", 'AYIRA MINI MART FINAL MENU - Pr'!G970)</f>
        <v/>
      </c>
      <c r="H970" s="56" t="str">
        <f>IF('AYIRA MINI MART FINAL MENU - Pr'!H970="", "", 'AYIRA MINI MART FINAL MENU - Pr'!H970)</f>
        <v/>
      </c>
      <c r="I970" s="56" t="str">
        <f>IF('AYIRA MINI MART FINAL MENU - Pr'!I970="", "", 'AYIRA MINI MART FINAL MENU - Pr'!I970)</f>
        <v/>
      </c>
      <c r="J970" s="56" t="str">
        <f>IFERROR(__xludf.DUMMYFUNCTION("IF('AYIRA MINI MART FINAL MENU - Pr'!J970="""", """", GOOGLETRANSLATE('AYIRA MINI MART FINAL MENU - Pr'!J970, ""en"", ""ar""))"),"")</f>
        <v/>
      </c>
      <c r="K970" s="56" t="str">
        <f>IF('AYIRA MINI MART FINAL MENU - Pr'!K970="", "", 'AYIRA MINI MART FINAL MENU - Pr'!K970)</f>
        <v/>
      </c>
      <c r="L970" s="56" t="str">
        <f>IF('AYIRA MINI MART FINAL MENU - Pr'!L970="", "", 'AYIRA MINI MART FINAL MENU - Pr'!L970)</f>
        <v/>
      </c>
      <c r="M970" s="56" t="str">
        <f>IF('AYIRA MINI MART FINAL MENU - Pr'!M970="", "", 'AYIRA MINI MART FINAL MENU - Pr'!M970)</f>
        <v/>
      </c>
      <c r="N970" s="56" t="str">
        <f>IF('AYIRA MINI MART FINAL MENU - Pr'!N970="", "", 'AYIRA MINI MART FINAL MENU - Pr'!N970)</f>
        <v/>
      </c>
      <c r="O970" s="57"/>
      <c r="P970" s="57"/>
      <c r="Q970" s="57"/>
      <c r="R970" s="57"/>
      <c r="S970" s="57"/>
      <c r="T970" s="57"/>
      <c r="U970" s="57"/>
      <c r="V970" s="57"/>
      <c r="W970" s="57"/>
      <c r="X970" s="57"/>
      <c r="Y970" s="57"/>
      <c r="Z970" s="57"/>
    </row>
    <row r="971">
      <c r="A971" s="56" t="str">
        <f>IFERROR(__xludf.DUMMYFUNCTION("IF('AYIRA MINI MART FINAL MENU - Pr'!A971="""", """", IF(LEN(TRIM(REGEXREPLACE(REGEXREPLACE('AYIRA MINI MART FINAL MENU - Pr'!A971, ""^[^\x{0600}-\x{06FF}]+"", """"), ""^[-–\s]+"", """")))&gt;0, TRIM(REGEXREPLACE(REGEXREPLACE('AYIRA MINI MART FINAL MENU - Pr"&amp;"'!A971, ""^[^\x{0600}-\x{06FF}]+"", """"), ""^[-–\s]+"", """")), GOOGLETRANSLATE('AYIRA MINI MART FINAL MENU - Pr'!A971, ""en"", ""ar"")))"),"أبيض خبز 620 غرام")</f>
        <v>أبيض خبز 620 غرام</v>
      </c>
      <c r="B971" s="56" t="str">
        <f>IFERROR(__xludf.DUMMYFUNCTION("IF('AYIRA MINI MART FINAL MENU - Pr'!B971="""", """", IF(LEN(TRIM(REGEXREPLACE(REGEXREPLACE('AYIRA MINI MART FINAL MENU - Pr'!B971, ""^[^\x{0600}-\x{06FF}]+"", """"), ""^[-–\s]+"", """")))&gt;0, TRIM(REGEXREPLACE(REGEXREPLACE('AYIRA MINI MART FINAL MENU - Pr"&amp;"'!B971, ""^[^\x{0600}-\x{06FF}]+"", """"), ""^[-–\s]+"", """")), GOOGLETRANSLATE('AYIRA MINI MART FINAL MENU - Pr'!B971, ""en"", ""ar"")))"),"المخبوزات والمعجنات")</f>
        <v>المخبوزات والمعجنات</v>
      </c>
      <c r="C971" s="58">
        <f>IF('AYIRA MINI MART FINAL MENU - Pr'!C971="", "", 'AYIRA MINI MART FINAL MENU - Pr'!C971)</f>
        <v>6</v>
      </c>
      <c r="D971" s="58" t="str">
        <f>IF('AYIRA MINI MART FINAL MENU - Pr'!D971="", "", 'AYIRA MINI MART FINAL MENU - Pr'!D971)</f>
        <v>اكتشف Qbake White Bread 620g،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71" s="56" t="str">
        <f>IF('AYIRA MINI MART FINAL MENU - Pr'!E971="", "", 'AYIRA MINI MART FINAL MENU - Pr'!E971)</f>
        <v/>
      </c>
      <c r="F971" s="56" t="str">
        <f>IF('AYIRA MINI MART FINAL MENU - Pr'!F971="", "", 'AYIRA MINI MART FINAL MENU - Pr'!F971)</f>
        <v/>
      </c>
      <c r="G971" s="56" t="str">
        <f>IF('AYIRA MINI MART FINAL MENU - Pr'!G971="", "", 'AYIRA MINI MART FINAL MENU - Pr'!G971)</f>
        <v/>
      </c>
      <c r="H971" s="56" t="str">
        <f>IF('AYIRA MINI MART FINAL MENU - Pr'!H971="", "", 'AYIRA MINI MART FINAL MENU - Pr'!H971)</f>
        <v/>
      </c>
      <c r="I971" s="56" t="str">
        <f>IF('AYIRA MINI MART FINAL MENU - Pr'!I971="", "", 'AYIRA MINI MART FINAL MENU - Pr'!I971)</f>
        <v/>
      </c>
      <c r="J971" s="56" t="str">
        <f>IFERROR(__xludf.DUMMYFUNCTION("IF('AYIRA MINI MART FINAL MENU - Pr'!J971="""", """", GOOGLETRANSLATE('AYIRA MINI MART FINAL MENU - Pr'!J971, ""en"", ""ar""))"),"")</f>
        <v/>
      </c>
      <c r="K971" s="56" t="str">
        <f>IF('AYIRA MINI MART FINAL MENU - Pr'!K971="", "", 'AYIRA MINI MART FINAL MENU - Pr'!K971)</f>
        <v/>
      </c>
      <c r="L971" s="56" t="str">
        <f>IF('AYIRA MINI MART FINAL MENU - Pr'!L971="", "", 'AYIRA MINI MART FINAL MENU - Pr'!L971)</f>
        <v/>
      </c>
      <c r="M971" s="56" t="str">
        <f>IF('AYIRA MINI MART FINAL MENU - Pr'!M971="", "", 'AYIRA MINI MART FINAL MENU - Pr'!M971)</f>
        <v/>
      </c>
      <c r="N971" s="56" t="str">
        <f>IF('AYIRA MINI MART FINAL MENU - Pr'!N971="", "", 'AYIRA MINI MART FINAL MENU - Pr'!N971)</f>
        <v/>
      </c>
      <c r="O971" s="57"/>
      <c r="P971" s="57"/>
      <c r="Q971" s="57"/>
      <c r="R971" s="57"/>
      <c r="S971" s="57"/>
      <c r="T971" s="57"/>
      <c r="U971" s="57"/>
      <c r="V971" s="57"/>
      <c r="W971" s="57"/>
      <c r="X971" s="57"/>
      <c r="Y971" s="57"/>
      <c r="Z971" s="57"/>
    </row>
    <row r="972">
      <c r="A972" s="56" t="str">
        <f>IFERROR(__xludf.DUMMYFUNCTION("IF('AYIRA MINI MART FINAL MENU - Pr'!A972="""", """", IF(LEN(TRIM(REGEXREPLACE(REGEXREPLACE('AYIRA MINI MART FINAL MENU - Pr'!A972, ""^[^\x{0600}-\x{06FF}]+"", """"), ""^[-–\s]+"", """")))&gt;0, TRIM(REGEXREPLACE(REGEXREPLACE('AYIRA MINI MART FINAL MENU - Pr"&amp;"'!A972, ""^[^\x{0600}-\x{06FF}]+"", """"), ""^[-–\s]+"", """")), GOOGLETRANSLATE('AYIRA MINI MART FINAL MENU - Pr'!A972, ""en"", ""ar"")))"),"أبيض خبز Small 320 غرام")</f>
        <v>أبيض خبز Small 320 غرام</v>
      </c>
      <c r="B972" s="56" t="str">
        <f>IFERROR(__xludf.DUMMYFUNCTION("IF('AYIRA MINI MART FINAL MENU - Pr'!B972="""", """", IF(LEN(TRIM(REGEXREPLACE(REGEXREPLACE('AYIRA MINI MART FINAL MENU - Pr'!B972, ""^[^\x{0600}-\x{06FF}]+"", """"), ""^[-–\s]+"", """")))&gt;0, TRIM(REGEXREPLACE(REGEXREPLACE('AYIRA MINI MART FINAL MENU - Pr"&amp;"'!B972, ""^[^\x{0600}-\x{06FF}]+"", """"), ""^[-–\s]+"", """")), GOOGLETRANSLATE('AYIRA MINI MART FINAL MENU - Pr'!B972, ""en"", ""ar"")))"),"المخبوزات والمعجنات")</f>
        <v>المخبوزات والمعجنات</v>
      </c>
      <c r="C972" s="58">
        <f>IF('AYIRA MINI MART FINAL MENU - Pr'!C972="", "", 'AYIRA MINI MART FINAL MENU - Pr'!C972)</f>
        <v>3.5</v>
      </c>
      <c r="D972" s="58" t="str">
        <f>IF('AYIRA MINI MART FINAL MENU - Pr'!D972="", "", 'AYIRA MINI MART FINAL MENU - Pr'!D972)</f>
        <v>اكتشف Qbake White Bread Small 320g،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72" s="56" t="str">
        <f>IF('AYIRA MINI MART FINAL MENU - Pr'!E972="", "", 'AYIRA MINI MART FINAL MENU - Pr'!E972)</f>
        <v/>
      </c>
      <c r="F972" s="56" t="str">
        <f>IF('AYIRA MINI MART FINAL MENU - Pr'!F972="", "", 'AYIRA MINI MART FINAL MENU - Pr'!F972)</f>
        <v/>
      </c>
      <c r="G972" s="56" t="str">
        <f>IF('AYIRA MINI MART FINAL MENU - Pr'!G972="", "", 'AYIRA MINI MART FINAL MENU - Pr'!G972)</f>
        <v/>
      </c>
      <c r="H972" s="56" t="str">
        <f>IF('AYIRA MINI MART FINAL MENU - Pr'!H972="", "", 'AYIRA MINI MART FINAL MENU - Pr'!H972)</f>
        <v/>
      </c>
      <c r="I972" s="56" t="str">
        <f>IF('AYIRA MINI MART FINAL MENU - Pr'!I972="", "", 'AYIRA MINI MART FINAL MENU - Pr'!I972)</f>
        <v/>
      </c>
      <c r="J972" s="56" t="str">
        <f>IFERROR(__xludf.DUMMYFUNCTION("IF('AYIRA MINI MART FINAL MENU - Pr'!J972="""", """", GOOGLETRANSLATE('AYIRA MINI MART FINAL MENU - Pr'!J972, ""en"", ""ar""))"),"")</f>
        <v/>
      </c>
      <c r="K972" s="56" t="str">
        <f>IF('AYIRA MINI MART FINAL MENU - Pr'!K972="", "", 'AYIRA MINI MART FINAL MENU - Pr'!K972)</f>
        <v/>
      </c>
      <c r="L972" s="56" t="str">
        <f>IF('AYIRA MINI MART FINAL MENU - Pr'!L972="", "", 'AYIRA MINI MART FINAL MENU - Pr'!L972)</f>
        <v/>
      </c>
      <c r="M972" s="56" t="str">
        <f>IF('AYIRA MINI MART FINAL MENU - Pr'!M972="", "", 'AYIRA MINI MART FINAL MENU - Pr'!M972)</f>
        <v/>
      </c>
      <c r="N972" s="56" t="str">
        <f>IF('AYIRA MINI MART FINAL MENU - Pr'!N972="", "", 'AYIRA MINI MART FINAL MENU - Pr'!N972)</f>
        <v/>
      </c>
      <c r="O972" s="57"/>
      <c r="P972" s="57"/>
      <c r="Q972" s="57"/>
      <c r="R972" s="57"/>
      <c r="S972" s="57"/>
      <c r="T972" s="57"/>
      <c r="U972" s="57"/>
      <c r="V972" s="57"/>
      <c r="W972" s="57"/>
      <c r="X972" s="57"/>
      <c r="Y972" s="57"/>
      <c r="Z972" s="57"/>
    </row>
    <row r="973">
      <c r="A973" s="56" t="str">
        <f>IFERROR(__xludf.DUMMYFUNCTION("IF('AYIRA MINI MART FINAL MENU - Pr'!A973="""", """", IF(LEN(TRIM(REGEXREPLACE(REGEXREPLACE('AYIRA MINI MART FINAL MENU - Pr'!A973, ""^[^\x{0600}-\x{06FF}]+"", """"), ""^[-–\s]+"", """")))&gt;0, TRIM(REGEXREPLACE(REGEXREPLACE('AYIRA MINI MART FINAL MENU - Pr"&amp;"'!A973, ""^[^\x{0600}-\x{06FF}]+"", """"), ""^[-–\s]+"", """")), GOOGLETRANSLATE('AYIRA MINI MART FINAL MENU - Pr'!A973, ""en"", ""ar"")))"),"غرام")</f>
        <v>غرام</v>
      </c>
      <c r="B973" s="56" t="str">
        <f>IFERROR(__xludf.DUMMYFUNCTION("IF('AYIRA MINI MART FINAL MENU - Pr'!B973="""", """", IF(LEN(TRIM(REGEXREPLACE(REGEXREPLACE('AYIRA MINI MART FINAL MENU - Pr'!B973, ""^[^\x{0600}-\x{06FF}]+"", """"), ""^[-–\s]+"", """")))&gt;0, TRIM(REGEXREPLACE(REGEXREPLACE('AYIRA MINI MART FINAL MENU - Pr"&amp;"'!B973, ""^[^\x{0600}-\x{06FF}]+"", """"), ""^[-–\s]+"", """")), GOOGLETRANSLATE('AYIRA MINI MART FINAL MENU - Pr'!B973, ""en"", ""ar"")))"),"المخبوزات والمعجنات")</f>
        <v>المخبوزات والمعجنات</v>
      </c>
      <c r="C973" s="58">
        <f>IF('AYIRA MINI MART FINAL MENU - Pr'!C973="", "", 'AYIRA MINI MART FINAL MENU - Pr'!C973)</f>
        <v>2.5</v>
      </c>
      <c r="D973" s="58" t="str">
        <f>IF('AYIRA MINI MART FINAL MENU - Pr'!D973="", "", 'AYIRA MINI MART FINAL MENU - Pr'!D973)</f>
        <v>اكتشف Jumpo Roll 55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73" s="56" t="str">
        <f>IF('AYIRA MINI MART FINAL MENU - Pr'!E973="", "", 'AYIRA MINI MART FINAL MENU - Pr'!E973)</f>
        <v/>
      </c>
      <c r="F973" s="56" t="str">
        <f>IF('AYIRA MINI MART FINAL MENU - Pr'!F973="", "", 'AYIRA MINI MART FINAL MENU - Pr'!F973)</f>
        <v/>
      </c>
      <c r="G973" s="56" t="str">
        <f>IF('AYIRA MINI MART FINAL MENU - Pr'!G973="", "", 'AYIRA MINI MART FINAL MENU - Pr'!G973)</f>
        <v/>
      </c>
      <c r="H973" s="56" t="str">
        <f>IF('AYIRA MINI MART FINAL MENU - Pr'!H973="", "", 'AYIRA MINI MART FINAL MENU - Pr'!H973)</f>
        <v/>
      </c>
      <c r="I973" s="56" t="str">
        <f>IF('AYIRA MINI MART FINAL MENU - Pr'!I973="", "", 'AYIRA MINI MART FINAL MENU - Pr'!I973)</f>
        <v/>
      </c>
      <c r="J973" s="56" t="str">
        <f>IFERROR(__xludf.DUMMYFUNCTION("IF('AYIRA MINI MART FINAL MENU - Pr'!J973="""", """", GOOGLETRANSLATE('AYIRA MINI MART FINAL MENU - Pr'!J973, ""en"", ""ar""))"),"")</f>
        <v/>
      </c>
      <c r="K973" s="56" t="str">
        <f>IF('AYIRA MINI MART FINAL MENU - Pr'!K973="", "", 'AYIRA MINI MART FINAL MENU - Pr'!K973)</f>
        <v/>
      </c>
      <c r="L973" s="56" t="str">
        <f>IF('AYIRA MINI MART FINAL MENU - Pr'!L973="", "", 'AYIRA MINI MART FINAL MENU - Pr'!L973)</f>
        <v/>
      </c>
      <c r="M973" s="56" t="str">
        <f>IF('AYIRA MINI MART FINAL MENU - Pr'!M973="", "", 'AYIRA MINI MART FINAL MENU - Pr'!M973)</f>
        <v/>
      </c>
      <c r="N973" s="56" t="str">
        <f>IF('AYIRA MINI MART FINAL MENU - Pr'!N973="", "", 'AYIRA MINI MART FINAL MENU - Pr'!N973)</f>
        <v/>
      </c>
      <c r="O973" s="57"/>
      <c r="P973" s="57"/>
      <c r="Q973" s="57"/>
      <c r="R973" s="57"/>
      <c r="S973" s="57"/>
      <c r="T973" s="57"/>
      <c r="U973" s="57"/>
      <c r="V973" s="57"/>
      <c r="W973" s="57"/>
      <c r="X973" s="57"/>
      <c r="Y973" s="57"/>
      <c r="Z973" s="57"/>
    </row>
    <row r="974">
      <c r="A974" s="56" t="str">
        <f>IFERROR(__xludf.DUMMYFUNCTION("IF('AYIRA MINI MART FINAL MENU - Pr'!A974="""", """", IF(LEN(TRIM(REGEXREPLACE(REGEXREPLACE('AYIRA MINI MART FINAL MENU - Pr'!A974, ""^[^\x{0600}-\x{06FF}]+"", """"), ""^[-–\s]+"", """")))&gt;0, TRIM(REGEXREPLACE(REGEXREPLACE('AYIRA MINI MART FINAL MENU - Pr"&amp;"'!A974, ""^[^\x{0600}-\x{06FF}]+"", """"), ""^[-–\s]+"", """")), GOOGLETRANSLATE('AYIRA MINI MART FINAL MENU - Pr'!A974, ""en"", ""ar"")))"),"شوكولاتة Brownie (50 غرام)")</f>
        <v>شوكولاتة Brownie (50 غرام)</v>
      </c>
      <c r="B974" s="56" t="str">
        <f>IFERROR(__xludf.DUMMYFUNCTION("IF('AYIRA MINI MART FINAL MENU - Pr'!B974="""", """", IF(LEN(TRIM(REGEXREPLACE(REGEXREPLACE('AYIRA MINI MART FINAL MENU - Pr'!B974, ""^[^\x{0600}-\x{06FF}]+"", """"), ""^[-–\s]+"", """")))&gt;0, TRIM(REGEXREPLACE(REGEXREPLACE('AYIRA MINI MART FINAL MENU - Pr"&amp;"'!B974, ""^[^\x{0600}-\x{06FF}]+"", """"), ""^[-–\s]+"", """")), GOOGLETRANSLATE('AYIRA MINI MART FINAL MENU - Pr'!B974, ""en"", ""ar"")))"),"الشوكولاتة")</f>
        <v>الشوكولاتة</v>
      </c>
      <c r="C974" s="58">
        <f>IF('AYIRA MINI MART FINAL MENU - Pr'!C974="", "", 'AYIRA MINI MART FINAL MENU - Pr'!C974)</f>
        <v>3</v>
      </c>
      <c r="D974" s="58" t="str">
        <f>IF('AYIRA MINI MART FINAL MENU - Pr'!D974="", "", 'AYIRA MINI MART FINAL MENU - Pr'!D974)</f>
        <v>دلّل حواسك مع Lusine Chocolate Brownie (50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74" s="56" t="str">
        <f>IF('AYIRA MINI MART FINAL MENU - Pr'!E974="", "", 'AYIRA MINI MART FINAL MENU - Pr'!E974)</f>
        <v/>
      </c>
      <c r="F974" s="56" t="str">
        <f>IF('AYIRA MINI MART FINAL MENU - Pr'!F974="", "", 'AYIRA MINI MART FINAL MENU - Pr'!F974)</f>
        <v/>
      </c>
      <c r="G974" s="56" t="str">
        <f>IF('AYIRA MINI MART FINAL MENU - Pr'!G974="", "", 'AYIRA MINI MART FINAL MENU - Pr'!G974)</f>
        <v/>
      </c>
      <c r="H974" s="56" t="str">
        <f>IF('AYIRA MINI MART FINAL MENU - Pr'!H974="", "", 'AYIRA MINI MART FINAL MENU - Pr'!H974)</f>
        <v/>
      </c>
      <c r="I974" s="56" t="str">
        <f>IF('AYIRA MINI MART FINAL MENU - Pr'!I974="", "", 'AYIRA MINI MART FINAL MENU - Pr'!I974)</f>
        <v/>
      </c>
      <c r="J974" s="56" t="str">
        <f>IFERROR(__xludf.DUMMYFUNCTION("IF('AYIRA MINI MART FINAL MENU - Pr'!J974="""", """", GOOGLETRANSLATE('AYIRA MINI MART FINAL MENU - Pr'!J974, ""en"", ""ar""))"),"")</f>
        <v/>
      </c>
      <c r="K974" s="56" t="str">
        <f>IF('AYIRA MINI MART FINAL MENU - Pr'!K974="", "", 'AYIRA MINI MART FINAL MENU - Pr'!K974)</f>
        <v/>
      </c>
      <c r="L974" s="56" t="str">
        <f>IF('AYIRA MINI MART FINAL MENU - Pr'!L974="", "", 'AYIRA MINI MART FINAL MENU - Pr'!L974)</f>
        <v/>
      </c>
      <c r="M974" s="56" t="str">
        <f>IF('AYIRA MINI MART FINAL MENU - Pr'!M974="", "", 'AYIRA MINI MART FINAL MENU - Pr'!M974)</f>
        <v/>
      </c>
      <c r="N974" s="56" t="str">
        <f>IF('AYIRA MINI MART FINAL MENU - Pr'!N974="", "", 'AYIRA MINI MART FINAL MENU - Pr'!N974)</f>
        <v/>
      </c>
      <c r="O974" s="57"/>
      <c r="P974" s="57"/>
      <c r="Q974" s="57"/>
      <c r="R974" s="57"/>
      <c r="S974" s="57"/>
      <c r="T974" s="57"/>
      <c r="U974" s="57"/>
      <c r="V974" s="57"/>
      <c r="W974" s="57"/>
      <c r="X974" s="57"/>
      <c r="Y974" s="57"/>
      <c r="Z974" s="57"/>
    </row>
    <row r="975">
      <c r="A975" s="56" t="str">
        <f>IFERROR(__xludf.DUMMYFUNCTION("IF('AYIRA MINI MART FINAL MENU - Pr'!A975="""", """", IF(LEN(TRIM(REGEXREPLACE(REGEXREPLACE('AYIRA MINI MART FINAL MENU - Pr'!A975, ""^[^\x{0600}-\x{06FF}]+"", """"), ""^[-–\s]+"", """")))&gt;0, TRIM(REGEXREPLACE(REGEXREPLACE('AYIRA MINI MART FINAL MENU - Pr"&amp;"'!A975, ""^[^\x{0600}-\x{06FF}]+"", """"), ""^[-–\s]+"", """")), GOOGLETRANSLATE('AYIRA MINI MART FINAL MENU - Pr'!A975, ""en"", ""ar"")))"),"شوكولاتة Muffin (60 غرام)")</f>
        <v>شوكولاتة Muffin (60 غرام)</v>
      </c>
      <c r="B975" s="56" t="str">
        <f>IFERROR(__xludf.DUMMYFUNCTION("IF('AYIRA MINI MART FINAL MENU - Pr'!B975="""", """", IF(LEN(TRIM(REGEXREPLACE(REGEXREPLACE('AYIRA MINI MART FINAL MENU - Pr'!B975, ""^[^\x{0600}-\x{06FF}]+"", """"), ""^[-–\s]+"", """")))&gt;0, TRIM(REGEXREPLACE(REGEXREPLACE('AYIRA MINI MART FINAL MENU - Pr"&amp;"'!B975, ""^[^\x{0600}-\x{06FF}]+"", """"), ""^[-–\s]+"", """")), GOOGLETRANSLATE('AYIRA MINI MART FINAL MENU - Pr'!B975, ""en"", ""ar"")))"),"الشوكولاتة")</f>
        <v>الشوكولاتة</v>
      </c>
      <c r="C975" s="58">
        <f>IF('AYIRA MINI MART FINAL MENU - Pr'!C975="", "", 'AYIRA MINI MART FINAL MENU - Pr'!C975)</f>
        <v>3</v>
      </c>
      <c r="D975" s="58" t="str">
        <f>IF('AYIRA MINI MART FINAL MENU - Pr'!D975="", "", 'AYIRA MINI MART FINAL MENU - Pr'!D975)</f>
        <v>دلّل حواسك مع Lusine Triple Chocolate Muffin (60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75" s="56" t="str">
        <f>IF('AYIRA MINI MART FINAL MENU - Pr'!E975="", "", 'AYIRA MINI MART FINAL MENU - Pr'!E975)</f>
        <v/>
      </c>
      <c r="F975" s="56" t="str">
        <f>IF('AYIRA MINI MART FINAL MENU - Pr'!F975="", "", 'AYIRA MINI MART FINAL MENU - Pr'!F975)</f>
        <v/>
      </c>
      <c r="G975" s="56" t="str">
        <f>IF('AYIRA MINI MART FINAL MENU - Pr'!G975="", "", 'AYIRA MINI MART FINAL MENU - Pr'!G975)</f>
        <v/>
      </c>
      <c r="H975" s="56" t="str">
        <f>IF('AYIRA MINI MART FINAL MENU - Pr'!H975="", "", 'AYIRA MINI MART FINAL MENU - Pr'!H975)</f>
        <v/>
      </c>
      <c r="I975" s="56" t="str">
        <f>IF('AYIRA MINI MART FINAL MENU - Pr'!I975="", "", 'AYIRA MINI MART FINAL MENU - Pr'!I975)</f>
        <v/>
      </c>
      <c r="J975" s="56" t="str">
        <f>IFERROR(__xludf.DUMMYFUNCTION("IF('AYIRA MINI MART FINAL MENU - Pr'!J975="""", """", GOOGLETRANSLATE('AYIRA MINI MART FINAL MENU - Pr'!J975, ""en"", ""ar""))"),"")</f>
        <v/>
      </c>
      <c r="K975" s="56" t="str">
        <f>IF('AYIRA MINI MART FINAL MENU - Pr'!K975="", "", 'AYIRA MINI MART FINAL MENU - Pr'!K975)</f>
        <v/>
      </c>
      <c r="L975" s="56" t="str">
        <f>IF('AYIRA MINI MART FINAL MENU - Pr'!L975="", "", 'AYIRA MINI MART FINAL MENU - Pr'!L975)</f>
        <v/>
      </c>
      <c r="M975" s="56" t="str">
        <f>IF('AYIRA MINI MART FINAL MENU - Pr'!M975="", "", 'AYIRA MINI MART FINAL MENU - Pr'!M975)</f>
        <v/>
      </c>
      <c r="N975" s="56" t="str">
        <f>IF('AYIRA MINI MART FINAL MENU - Pr'!N975="", "", 'AYIRA MINI MART FINAL MENU - Pr'!N975)</f>
        <v/>
      </c>
      <c r="O975" s="57"/>
      <c r="P975" s="57"/>
      <c r="Q975" s="57"/>
      <c r="R975" s="57"/>
      <c r="S975" s="57"/>
      <c r="T975" s="57"/>
      <c r="U975" s="57"/>
      <c r="V975" s="57"/>
      <c r="W975" s="57"/>
      <c r="X975" s="57"/>
      <c r="Y975" s="57"/>
      <c r="Z975" s="57"/>
    </row>
    <row r="976">
      <c r="A976" s="56" t="str">
        <f>IFERROR(__xludf.DUMMYFUNCTION("IF('AYIRA MINI MART FINAL MENU - Pr'!A976="""", """", IF(LEN(TRIM(REGEXREPLACE(REGEXREPLACE('AYIRA MINI MART FINAL MENU - Pr'!A976, ""^[^\x{0600}-\x{06FF}]+"", """"), ""^[-–\s]+"", """")))&gt;0, TRIM(REGEXREPLACE(REGEXREPLACE('AYIRA MINI MART FINAL MENU - Pr"&amp;"'!A976, ""^[^\x{0600}-\x{06FF}]+"", """"), ""^[-–\s]+"", """")), GOOGLETRANSLATE('AYIRA MINI MART FINAL MENU - Pr'!A976, ""en"", ""ar"")))"),"غرام)")</f>
        <v>غرام)</v>
      </c>
      <c r="B976" s="56" t="str">
        <f>IFERROR(__xludf.DUMMYFUNCTION("IF('AYIRA MINI MART FINAL MENU - Pr'!B976="""", """", IF(LEN(TRIM(REGEXREPLACE(REGEXREPLACE('AYIRA MINI MART FINAL MENU - Pr'!B976, ""^[^\x{0600}-\x{06FF}]+"", """"), ""^[-–\s]+"", """")))&gt;0, TRIM(REGEXREPLACE(REGEXREPLACE('AYIRA MINI MART FINAL MENU - Pr"&amp;"'!B976, ""^[^\x{0600}-\x{06FF}]+"", """"), ""^[-–\s]+"", """")), GOOGLETRANSLATE('AYIRA MINI MART FINAL MENU - Pr'!B976, ""en"", ""ar"")))"),"المخبوزات والمعجنات")</f>
        <v>المخبوزات والمعجنات</v>
      </c>
      <c r="C976" s="58">
        <f>IF('AYIRA MINI MART FINAL MENU - Pr'!C976="", "", 'AYIRA MINI MART FINAL MENU - Pr'!C976)</f>
        <v>1</v>
      </c>
      <c r="D976" s="58" t="str">
        <f>IF('AYIRA MINI MART FINAL MENU - Pr'!D976="", "", 'AYIRA MINI MART FINAL MENU - Pr'!D976)</f>
        <v>اكتشف Snaz Swizz Roll (20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76" s="56" t="str">
        <f>IF('AYIRA MINI MART FINAL MENU - Pr'!E976="", "", 'AYIRA MINI MART FINAL MENU - Pr'!E976)</f>
        <v/>
      </c>
      <c r="F976" s="56" t="str">
        <f>IF('AYIRA MINI MART FINAL MENU - Pr'!F976="", "", 'AYIRA MINI MART FINAL MENU - Pr'!F976)</f>
        <v/>
      </c>
      <c r="G976" s="56" t="str">
        <f>IF('AYIRA MINI MART FINAL MENU - Pr'!G976="", "", 'AYIRA MINI MART FINAL MENU - Pr'!G976)</f>
        <v/>
      </c>
      <c r="H976" s="56" t="str">
        <f>IF('AYIRA MINI MART FINAL MENU - Pr'!H976="", "", 'AYIRA MINI MART FINAL MENU - Pr'!H976)</f>
        <v/>
      </c>
      <c r="I976" s="56" t="str">
        <f>IF('AYIRA MINI MART FINAL MENU - Pr'!I976="", "", 'AYIRA MINI MART FINAL MENU - Pr'!I976)</f>
        <v/>
      </c>
      <c r="J976" s="56" t="str">
        <f>IFERROR(__xludf.DUMMYFUNCTION("IF('AYIRA MINI MART FINAL MENU - Pr'!J976="""", """", GOOGLETRANSLATE('AYIRA MINI MART FINAL MENU - Pr'!J976, ""en"", ""ar""))"),"")</f>
        <v/>
      </c>
      <c r="K976" s="56" t="str">
        <f>IF('AYIRA MINI MART FINAL MENU - Pr'!K976="", "", 'AYIRA MINI MART FINAL MENU - Pr'!K976)</f>
        <v/>
      </c>
      <c r="L976" s="56" t="str">
        <f>IF('AYIRA MINI MART FINAL MENU - Pr'!L976="", "", 'AYIRA MINI MART FINAL MENU - Pr'!L976)</f>
        <v/>
      </c>
      <c r="M976" s="56" t="str">
        <f>IF('AYIRA MINI MART FINAL MENU - Pr'!M976="", "", 'AYIRA MINI MART FINAL MENU - Pr'!M976)</f>
        <v/>
      </c>
      <c r="N976" s="56" t="str">
        <f>IF('AYIRA MINI MART FINAL MENU - Pr'!N976="", "", 'AYIRA MINI MART FINAL MENU - Pr'!N976)</f>
        <v/>
      </c>
      <c r="O976" s="57"/>
      <c r="P976" s="57"/>
      <c r="Q976" s="57"/>
      <c r="R976" s="57"/>
      <c r="S976" s="57"/>
      <c r="T976" s="57"/>
      <c r="U976" s="57"/>
      <c r="V976" s="57"/>
      <c r="W976" s="57"/>
      <c r="X976" s="57"/>
      <c r="Y976" s="57"/>
      <c r="Z976" s="57"/>
    </row>
    <row r="977">
      <c r="A977" s="56" t="str">
        <f>IFERROR(__xludf.DUMMYFUNCTION("IF('AYIRA MINI MART FINAL MENU - Pr'!A977="""", """", IF(LEN(TRIM(REGEXREPLACE(REGEXREPLACE('AYIRA MINI MART FINAL MENU - Pr'!A977, ""^[^\x{0600}-\x{06FF}]+"", """"), ""^[-–\s]+"", """")))&gt;0, TRIM(REGEXREPLACE(REGEXREPLACE('AYIRA MINI MART FINAL MENU - Pr"&amp;"'!A977, ""^[^\x{0600}-\x{06FF}]+"", """"), ""^[-–\s]+"", """")), GOOGLETRANSLATE('AYIRA MINI MART FINAL MENU - Pr'!A977, ""en"", ""ar"")))"),"فراولة (20 غرام)")</f>
        <v>فراولة (20 غرام)</v>
      </c>
      <c r="B977" s="56" t="str">
        <f>IFERROR(__xludf.DUMMYFUNCTION("IF('AYIRA MINI MART FINAL MENU - Pr'!B977="""", """", IF(LEN(TRIM(REGEXREPLACE(REGEXREPLACE('AYIRA MINI MART FINAL MENU - Pr'!B977, ""^[^\x{0600}-\x{06FF}]+"", """"), ""^[-–\s]+"", """")))&gt;0, TRIM(REGEXREPLACE(REGEXREPLACE('AYIRA MINI MART FINAL MENU - Pr"&amp;"'!B977, ""^[^\x{0600}-\x{06FF}]+"", """"), ""^[-–\s]+"", """")), GOOGLETRANSLATE('AYIRA MINI MART FINAL MENU - Pr'!B977, ""en"", ""ar"")))"),"المخبوزات والمعجنات")</f>
        <v>المخبوزات والمعجنات</v>
      </c>
      <c r="C977" s="58">
        <f>IF('AYIRA MINI MART FINAL MENU - Pr'!C977="", "", 'AYIRA MINI MART FINAL MENU - Pr'!C977)</f>
        <v>1</v>
      </c>
      <c r="D977" s="58" t="str">
        <f>IF('AYIRA MINI MART FINAL MENU - Pr'!D977="", "", 'AYIRA MINI MART FINAL MENU - Pr'!D977)</f>
        <v>اكتشف Snaz Swizz Roll with Strawberry (20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77" s="56" t="str">
        <f>IF('AYIRA MINI MART FINAL MENU - Pr'!E977="", "", 'AYIRA MINI MART FINAL MENU - Pr'!E977)</f>
        <v/>
      </c>
      <c r="F977" s="56" t="str">
        <f>IF('AYIRA MINI MART FINAL MENU - Pr'!F977="", "", 'AYIRA MINI MART FINAL MENU - Pr'!F977)</f>
        <v/>
      </c>
      <c r="G977" s="56" t="str">
        <f>IF('AYIRA MINI MART FINAL MENU - Pr'!G977="", "", 'AYIRA MINI MART FINAL MENU - Pr'!G977)</f>
        <v/>
      </c>
      <c r="H977" s="56" t="str">
        <f>IF('AYIRA MINI MART FINAL MENU - Pr'!H977="", "", 'AYIRA MINI MART FINAL MENU - Pr'!H977)</f>
        <v/>
      </c>
      <c r="I977" s="56" t="str">
        <f>IF('AYIRA MINI MART FINAL MENU - Pr'!I977="", "", 'AYIRA MINI MART FINAL MENU - Pr'!I977)</f>
        <v/>
      </c>
      <c r="J977" s="56" t="str">
        <f>IFERROR(__xludf.DUMMYFUNCTION("IF('AYIRA MINI MART FINAL MENU - Pr'!J977="""", """", GOOGLETRANSLATE('AYIRA MINI MART FINAL MENU - Pr'!J977, ""en"", ""ar""))"),"")</f>
        <v/>
      </c>
      <c r="K977" s="56" t="str">
        <f>IF('AYIRA MINI MART FINAL MENU - Pr'!K977="", "", 'AYIRA MINI MART FINAL MENU - Pr'!K977)</f>
        <v/>
      </c>
      <c r="L977" s="56" t="str">
        <f>IF('AYIRA MINI MART FINAL MENU - Pr'!L977="", "", 'AYIRA MINI MART FINAL MENU - Pr'!L977)</f>
        <v/>
      </c>
      <c r="M977" s="56" t="str">
        <f>IF('AYIRA MINI MART FINAL MENU - Pr'!M977="", "", 'AYIRA MINI MART FINAL MENU - Pr'!M977)</f>
        <v/>
      </c>
      <c r="N977" s="56" t="str">
        <f>IF('AYIRA MINI MART FINAL MENU - Pr'!N977="", "", 'AYIRA MINI MART FINAL MENU - Pr'!N977)</f>
        <v/>
      </c>
      <c r="O977" s="57"/>
      <c r="P977" s="57"/>
      <c r="Q977" s="57"/>
      <c r="R977" s="57"/>
      <c r="S977" s="57"/>
      <c r="T977" s="57"/>
      <c r="U977" s="57"/>
      <c r="V977" s="57"/>
      <c r="W977" s="57"/>
      <c r="X977" s="57"/>
      <c r="Y977" s="57"/>
      <c r="Z977" s="57"/>
    </row>
    <row r="978">
      <c r="A978" s="56" t="str">
        <f>IFERROR(__xludf.DUMMYFUNCTION("IF('AYIRA MINI MART FINAL MENU - Pr'!A978="""", """", IF(LEN(TRIM(REGEXREPLACE(REGEXREPLACE('AYIRA MINI MART FINAL MENU - Pr'!A978, ""^[^\x{0600}-\x{06FF}]+"", """"), ""^[-–\s]+"", """")))&gt;0, TRIM(REGEXREPLACE(REGEXREPLACE('AYIRA MINI MART FINAL MENU - Pr"&amp;"'!A978, ""^[^\x{0600}-\x{06FF}]+"", """"), ""^[-–\s]+"", """")), GOOGLETRANSLATE('AYIRA MINI MART FINAL MENU - Pr'!A978, ""en"", ""ar"")))"),"غرام)")</f>
        <v>غرام)</v>
      </c>
      <c r="B978" s="56" t="str">
        <f>IFERROR(__xludf.DUMMYFUNCTION("IF('AYIRA MINI MART FINAL MENU - Pr'!B978="""", """", IF(LEN(TRIM(REGEXREPLACE(REGEXREPLACE('AYIRA MINI MART FINAL MENU - Pr'!B978, ""^[^\x{0600}-\x{06FF}]+"", """"), ""^[-–\s]+"", """")))&gt;0, TRIM(REGEXREPLACE(REGEXREPLACE('AYIRA MINI MART FINAL MENU - Pr"&amp;"'!B978, ""^[^\x{0600}-\x{06FF}]+"", """"), ""^[-–\s]+"", """")), GOOGLETRANSLATE('AYIRA MINI MART FINAL MENU - Pr'!B978, ""en"", ""ar"")))"),"المخبوزات والمعجنات")</f>
        <v>المخبوزات والمعجنات</v>
      </c>
      <c r="C978" s="58">
        <f>IF('AYIRA MINI MART FINAL MENU - Pr'!C978="", "", 'AYIRA MINI MART FINAL MENU - Pr'!C978)</f>
        <v>4</v>
      </c>
      <c r="D978" s="58" t="str">
        <f>IF('AYIRA MINI MART FINAL MENU - Pr'!D978="", "", 'AYIRA MINI MART FINAL MENU - Pr'!D978)</f>
        <v>اكتشف Qbake Samona (360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78" s="56" t="str">
        <f>IF('AYIRA MINI MART FINAL MENU - Pr'!E978="", "", 'AYIRA MINI MART FINAL MENU - Pr'!E978)</f>
        <v/>
      </c>
      <c r="F978" s="56" t="str">
        <f>IF('AYIRA MINI MART FINAL MENU - Pr'!F978="", "", 'AYIRA MINI MART FINAL MENU - Pr'!F978)</f>
        <v/>
      </c>
      <c r="G978" s="56" t="str">
        <f>IF('AYIRA MINI MART FINAL MENU - Pr'!G978="", "", 'AYIRA MINI MART FINAL MENU - Pr'!G978)</f>
        <v/>
      </c>
      <c r="H978" s="56" t="str">
        <f>IF('AYIRA MINI MART FINAL MENU - Pr'!H978="", "", 'AYIRA MINI MART FINAL MENU - Pr'!H978)</f>
        <v/>
      </c>
      <c r="I978" s="56" t="str">
        <f>IF('AYIRA MINI MART FINAL MENU - Pr'!I978="", "", 'AYIRA MINI MART FINAL MENU - Pr'!I978)</f>
        <v/>
      </c>
      <c r="J978" s="56" t="str">
        <f>IFERROR(__xludf.DUMMYFUNCTION("IF('AYIRA MINI MART FINAL MENU - Pr'!J978="""", """", GOOGLETRANSLATE('AYIRA MINI MART FINAL MENU - Pr'!J978, ""en"", ""ar""))"),"")</f>
        <v/>
      </c>
      <c r="K978" s="56" t="str">
        <f>IF('AYIRA MINI MART FINAL MENU - Pr'!K978="", "", 'AYIRA MINI MART FINAL MENU - Pr'!K978)</f>
        <v/>
      </c>
      <c r="L978" s="56" t="str">
        <f>IF('AYIRA MINI MART FINAL MENU - Pr'!L978="", "", 'AYIRA MINI MART FINAL MENU - Pr'!L978)</f>
        <v/>
      </c>
      <c r="M978" s="56" t="str">
        <f>IF('AYIRA MINI MART FINAL MENU - Pr'!M978="", "", 'AYIRA MINI MART FINAL MENU - Pr'!M978)</f>
        <v/>
      </c>
      <c r="N978" s="56" t="str">
        <f>IF('AYIRA MINI MART FINAL MENU - Pr'!N978="", "", 'AYIRA MINI MART FINAL MENU - Pr'!N978)</f>
        <v/>
      </c>
      <c r="O978" s="57"/>
      <c r="P978" s="57"/>
      <c r="Q978" s="57"/>
      <c r="R978" s="57"/>
      <c r="S978" s="57"/>
      <c r="T978" s="57"/>
      <c r="U978" s="57"/>
      <c r="V978" s="57"/>
      <c r="W978" s="57"/>
      <c r="X978" s="57"/>
      <c r="Y978" s="57"/>
      <c r="Z978" s="57"/>
    </row>
    <row r="979">
      <c r="A979" s="56" t="str">
        <f>IFERROR(__xludf.DUMMYFUNCTION("IF('AYIRA MINI MART FINAL MENU - Pr'!A979="""", """", IF(LEN(TRIM(REGEXREPLACE(REGEXREPLACE('AYIRA MINI MART FINAL MENU - Pr'!A979, ""^[^\x{0600}-\x{06FF}]+"", """"), ""^[-–\s]+"", """")))&gt;0, TRIM(REGEXREPLACE(REGEXREPLACE('AYIRA MINI MART FINAL MENU - Pr"&amp;"'!A979, ""^[^\x{0600}-\x{06FF}]+"", """"), ""^[-–\s]+"", """")), GOOGLETRANSLATE('AYIRA MINI MART FINAL MENU - Pr'!A979, ""en"", ""ar"")))"),"غرام)")</f>
        <v>غرام)</v>
      </c>
      <c r="B979" s="56" t="str">
        <f>IFERROR(__xludf.DUMMYFUNCTION("IF('AYIRA MINI MART FINAL MENU - Pr'!B979="""", """", IF(LEN(TRIM(REGEXREPLACE(REGEXREPLACE('AYIRA MINI MART FINAL MENU - Pr'!B979, ""^[^\x{0600}-\x{06FF}]+"", """"), ""^[-–\s]+"", """")))&gt;0, TRIM(REGEXREPLACE(REGEXREPLACE('AYIRA MINI MART FINAL MENU - Pr"&amp;"'!B979, ""^[^\x{0600}-\x{06FF}]+"", """"), ""^[-–\s]+"", """")), GOOGLETRANSLATE('AYIRA MINI MART FINAL MENU - Pr'!B979, ""en"", ""ar"")))"),"المخبوزات والمعجنات")</f>
        <v>المخبوزات والمعجنات</v>
      </c>
      <c r="C979" s="58">
        <f>IF('AYIRA MINI MART FINAL MENU - Pr'!C979="", "", 'AYIRA MINI MART FINAL MENU - Pr'!C979)</f>
        <v>5</v>
      </c>
      <c r="D979" s="58" t="str">
        <f>IF('AYIRA MINI MART FINAL MENU - Pr'!D979="", "", 'AYIRA MINI MART FINAL MENU - Pr'!D979)</f>
        <v>اكتشف Qbake Burger Bun (420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79" s="56" t="str">
        <f>IF('AYIRA MINI MART FINAL MENU - Pr'!E979="", "", 'AYIRA MINI MART FINAL MENU - Pr'!E979)</f>
        <v/>
      </c>
      <c r="F979" s="56" t="str">
        <f>IF('AYIRA MINI MART FINAL MENU - Pr'!F979="", "", 'AYIRA MINI MART FINAL MENU - Pr'!F979)</f>
        <v/>
      </c>
      <c r="G979" s="56" t="str">
        <f>IF('AYIRA MINI MART FINAL MENU - Pr'!G979="", "", 'AYIRA MINI MART FINAL MENU - Pr'!G979)</f>
        <v/>
      </c>
      <c r="H979" s="56" t="str">
        <f>IF('AYIRA MINI MART FINAL MENU - Pr'!H979="", "", 'AYIRA MINI MART FINAL MENU - Pr'!H979)</f>
        <v/>
      </c>
      <c r="I979" s="56" t="str">
        <f>IF('AYIRA MINI MART FINAL MENU - Pr'!I979="", "", 'AYIRA MINI MART FINAL MENU - Pr'!I979)</f>
        <v/>
      </c>
      <c r="J979" s="56" t="str">
        <f>IFERROR(__xludf.DUMMYFUNCTION("IF('AYIRA MINI MART FINAL MENU - Pr'!J979="""", """", GOOGLETRANSLATE('AYIRA MINI MART FINAL MENU - Pr'!J979, ""en"", ""ar""))"),"")</f>
        <v/>
      </c>
      <c r="K979" s="56" t="str">
        <f>IF('AYIRA MINI MART FINAL MENU - Pr'!K979="", "", 'AYIRA MINI MART FINAL MENU - Pr'!K979)</f>
        <v/>
      </c>
      <c r="L979" s="56" t="str">
        <f>IF('AYIRA MINI MART FINAL MENU - Pr'!L979="", "", 'AYIRA MINI MART FINAL MENU - Pr'!L979)</f>
        <v/>
      </c>
      <c r="M979" s="56" t="str">
        <f>IF('AYIRA MINI MART FINAL MENU - Pr'!M979="", "", 'AYIRA MINI MART FINAL MENU - Pr'!M979)</f>
        <v/>
      </c>
      <c r="N979" s="56" t="str">
        <f>IF('AYIRA MINI MART FINAL MENU - Pr'!N979="", "", 'AYIRA MINI MART FINAL MENU - Pr'!N979)</f>
        <v/>
      </c>
      <c r="O979" s="57"/>
      <c r="P979" s="57"/>
      <c r="Q979" s="57"/>
      <c r="R979" s="57"/>
      <c r="S979" s="57"/>
      <c r="T979" s="57"/>
      <c r="U979" s="57"/>
      <c r="V979" s="57"/>
      <c r="W979" s="57"/>
      <c r="X979" s="57"/>
      <c r="Y979" s="57"/>
      <c r="Z979" s="57"/>
    </row>
    <row r="980">
      <c r="A980" s="56" t="str">
        <f>IFERROR(__xludf.DUMMYFUNCTION("IF('AYIRA MINI MART FINAL MENU - Pr'!A980="""", """", IF(LEN(TRIM(REGEXREPLACE(REGEXREPLACE('AYIRA MINI MART FINAL MENU - Pr'!A980, ""^[^\x{0600}-\x{06FF}]+"", """"), ""^[-–\s]+"", """")))&gt;0, TRIM(REGEXREPLACE(REGEXREPLACE('AYIRA MINI MART FINAL MENU - Pr"&amp;"'!A980, ""^[^\x{0600}-\x{06FF}]+"", """"), ""^[-–\s]+"", """")), GOOGLETRANSLATE('AYIRA MINI MART FINAL MENU - Pr'!A980, ""en"", ""ar"")))"),"غرام)")</f>
        <v>غرام)</v>
      </c>
      <c r="B980" s="56" t="str">
        <f>IFERROR(__xludf.DUMMYFUNCTION("IF('AYIRA MINI MART FINAL MENU - Pr'!B980="""", """", IF(LEN(TRIM(REGEXREPLACE(REGEXREPLACE('AYIRA MINI MART FINAL MENU - Pr'!B980, ""^[^\x{0600}-\x{06FF}]+"", """"), ""^[-–\s]+"", """")))&gt;0, TRIM(REGEXREPLACE(REGEXREPLACE('AYIRA MINI MART FINAL MENU - Pr"&amp;"'!B980, ""^[^\x{0600}-\x{06FF}]+"", """"), ""^[-–\s]+"", """")), GOOGLETRANSLATE('AYIRA MINI MART FINAL MENU - Pr'!B980, ""en"", ""ar"")))"),"المخبوزات والمعجنات")</f>
        <v>المخبوزات والمعجنات</v>
      </c>
      <c r="C980" s="58">
        <f>IF('AYIRA MINI MART FINAL MENU - Pr'!C980="", "", 'AYIRA MINI MART FINAL MENU - Pr'!C980)</f>
        <v>4.5</v>
      </c>
      <c r="D980" s="58" t="str">
        <f>IF('AYIRA MINI MART FINAL MENU - Pr'!D980="", "", 'AYIRA MINI MART FINAL MENU - Pr'!D980)</f>
        <v>اكتشف Qbake Soft Bun (420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80" s="56" t="str">
        <f>IF('AYIRA MINI MART FINAL MENU - Pr'!E980="", "", 'AYIRA MINI MART FINAL MENU - Pr'!E980)</f>
        <v/>
      </c>
      <c r="F980" s="56" t="str">
        <f>IF('AYIRA MINI MART FINAL MENU - Pr'!F980="", "", 'AYIRA MINI MART FINAL MENU - Pr'!F980)</f>
        <v/>
      </c>
      <c r="G980" s="56" t="str">
        <f>IF('AYIRA MINI MART FINAL MENU - Pr'!G980="", "", 'AYIRA MINI MART FINAL MENU - Pr'!G980)</f>
        <v/>
      </c>
      <c r="H980" s="56" t="str">
        <f>IF('AYIRA MINI MART FINAL MENU - Pr'!H980="", "", 'AYIRA MINI MART FINAL MENU - Pr'!H980)</f>
        <v/>
      </c>
      <c r="I980" s="56" t="str">
        <f>IF('AYIRA MINI MART FINAL MENU - Pr'!I980="", "", 'AYIRA MINI MART FINAL MENU - Pr'!I980)</f>
        <v/>
      </c>
      <c r="J980" s="56" t="str">
        <f>IFERROR(__xludf.DUMMYFUNCTION("IF('AYIRA MINI MART FINAL MENU - Pr'!J980="""", """", GOOGLETRANSLATE('AYIRA MINI MART FINAL MENU - Pr'!J980, ""en"", ""ar""))"),"")</f>
        <v/>
      </c>
      <c r="K980" s="56" t="str">
        <f>IF('AYIRA MINI MART FINAL MENU - Pr'!K980="", "", 'AYIRA MINI MART FINAL MENU - Pr'!K980)</f>
        <v/>
      </c>
      <c r="L980" s="56" t="str">
        <f>IF('AYIRA MINI MART FINAL MENU - Pr'!L980="", "", 'AYIRA MINI MART FINAL MENU - Pr'!L980)</f>
        <v/>
      </c>
      <c r="M980" s="56" t="str">
        <f>IF('AYIRA MINI MART FINAL MENU - Pr'!M980="", "", 'AYIRA MINI MART FINAL MENU - Pr'!M980)</f>
        <v/>
      </c>
      <c r="N980" s="56" t="str">
        <f>IF('AYIRA MINI MART FINAL MENU - Pr'!N980="", "", 'AYIRA MINI MART FINAL MENU - Pr'!N980)</f>
        <v/>
      </c>
      <c r="O980" s="57"/>
      <c r="P980" s="57"/>
      <c r="Q980" s="57"/>
      <c r="R980" s="57"/>
      <c r="S980" s="57"/>
      <c r="T980" s="57"/>
      <c r="U980" s="57"/>
      <c r="V980" s="57"/>
      <c r="W980" s="57"/>
      <c r="X980" s="57"/>
      <c r="Y980" s="57"/>
      <c r="Z980" s="57"/>
    </row>
    <row r="981">
      <c r="A981" s="56" t="str">
        <f>IFERROR(__xludf.DUMMYFUNCTION("IF('AYIRA MINI MART FINAL MENU - Pr'!A981="""", """", IF(LEN(TRIM(REGEXREPLACE(REGEXREPLACE('AYIRA MINI MART FINAL MENU - Pr'!A981, ""^[^\x{0600}-\x{06FF}]+"", """"), ""^[-–\s]+"", """")))&gt;0, TRIM(REGEXREPLACE(REGEXREPLACE('AYIRA MINI MART FINAL MENU - Pr"&amp;"'!A981, ""^[^\x{0600}-\x{06FF}]+"", """"), ""^[-–\s]+"", """")), GOOGLETRANSLATE('AYIRA MINI MART FINAL MENU - Pr'!A981, ""en"", ""ar"")))"),"حار Dog Roll – Soft &amp; Fluffy (500 غرام)")</f>
        <v>حار Dog Roll – Soft &amp; Fluffy (500 غرام)</v>
      </c>
      <c r="B981" s="56" t="str">
        <f>IFERROR(__xludf.DUMMYFUNCTION("IF('AYIRA MINI MART FINAL MENU - Pr'!B981="""", """", IF(LEN(TRIM(REGEXREPLACE(REGEXREPLACE('AYIRA MINI MART FINAL MENU - Pr'!B981, ""^[^\x{0600}-\x{06FF}]+"", """"), ""^[-–\s]+"", """")))&gt;0, TRIM(REGEXREPLACE(REGEXREPLACE('AYIRA MINI MART FINAL MENU - Pr"&amp;"'!B981, ""^[^\x{0600}-\x{06FF}]+"", """"), ""^[-–\s]+"", """")), GOOGLETRANSLATE('AYIRA MINI MART FINAL MENU - Pr'!B981, ""en"", ""ar"")))"),"المخبوزات والمعجنات")</f>
        <v>المخبوزات والمعجنات</v>
      </c>
      <c r="C981" s="58">
        <f>IF('AYIRA MINI MART FINAL MENU - Pr'!C981="", "", 'AYIRA MINI MART FINAL MENU - Pr'!C981)</f>
        <v>5</v>
      </c>
      <c r="D981" s="58" t="str">
        <f>IF('AYIRA MINI MART FINAL MENU - Pr'!D981="", "", 'AYIRA MINI MART FINAL MENU - Pr'!D981)</f>
        <v>اكتشف Qbake Hot Dog Roll – Soft &amp; Fluffy (500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81" s="56" t="str">
        <f>IF('AYIRA MINI MART FINAL MENU - Pr'!E981="", "", 'AYIRA MINI MART FINAL MENU - Pr'!E981)</f>
        <v/>
      </c>
      <c r="F981" s="56" t="str">
        <f>IF('AYIRA MINI MART FINAL MENU - Pr'!F981="", "", 'AYIRA MINI MART FINAL MENU - Pr'!F981)</f>
        <v/>
      </c>
      <c r="G981" s="56" t="str">
        <f>IF('AYIRA MINI MART FINAL MENU - Pr'!G981="", "", 'AYIRA MINI MART FINAL MENU - Pr'!G981)</f>
        <v/>
      </c>
      <c r="H981" s="56" t="str">
        <f>IF('AYIRA MINI MART FINAL MENU - Pr'!H981="", "", 'AYIRA MINI MART FINAL MENU - Pr'!H981)</f>
        <v/>
      </c>
      <c r="I981" s="56" t="str">
        <f>IF('AYIRA MINI MART FINAL MENU - Pr'!I981="", "", 'AYIRA MINI MART FINAL MENU - Pr'!I981)</f>
        <v/>
      </c>
      <c r="J981" s="56" t="str">
        <f>IFERROR(__xludf.DUMMYFUNCTION("IF('AYIRA MINI MART FINAL MENU - Pr'!J981="""", """", GOOGLETRANSLATE('AYIRA MINI MART FINAL MENU - Pr'!J981, ""en"", ""ar""))"),"")</f>
        <v/>
      </c>
      <c r="K981" s="56" t="str">
        <f>IF('AYIRA MINI MART FINAL MENU - Pr'!K981="", "", 'AYIRA MINI MART FINAL MENU - Pr'!K981)</f>
        <v/>
      </c>
      <c r="L981" s="56" t="str">
        <f>IF('AYIRA MINI MART FINAL MENU - Pr'!L981="", "", 'AYIRA MINI MART FINAL MENU - Pr'!L981)</f>
        <v/>
      </c>
      <c r="M981" s="56" t="str">
        <f>IF('AYIRA MINI MART FINAL MENU - Pr'!M981="", "", 'AYIRA MINI MART FINAL MENU - Pr'!M981)</f>
        <v/>
      </c>
      <c r="N981" s="56" t="str">
        <f>IF('AYIRA MINI MART FINAL MENU - Pr'!N981="", "", 'AYIRA MINI MART FINAL MENU - Pr'!N981)</f>
        <v/>
      </c>
      <c r="O981" s="57"/>
      <c r="P981" s="57"/>
      <c r="Q981" s="57"/>
      <c r="R981" s="57"/>
      <c r="S981" s="57"/>
      <c r="T981" s="57"/>
      <c r="U981" s="57"/>
      <c r="V981" s="57"/>
      <c r="W981" s="57"/>
      <c r="X981" s="57"/>
      <c r="Y981" s="57"/>
      <c r="Z981" s="57"/>
    </row>
    <row r="982">
      <c r="A982" s="56" t="str">
        <f>IFERROR(__xludf.DUMMYFUNCTION("IF('AYIRA MINI MART FINAL MENU - Pr'!A982="""", """", IF(LEN(TRIM(REGEXREPLACE(REGEXREPLACE('AYIRA MINI MART FINAL MENU - Pr'!A982, ""^[^\x{0600}-\x{06FF}]+"", """"), ""^[-–\s]+"", """")))&gt;0, TRIM(REGEXREPLACE(REGEXREPLACE('AYIRA MINI MART FINAL MENU - Pr"&amp;"'!A982, ""^[^\x{0600}-\x{06FF}]+"", """"), ""^[-–\s]+"", """")), GOOGLETRANSLATE('AYIRA MINI MART FINAL MENU - Pr'!A982, ""en"", ""ar"")))"),"غرام)")</f>
        <v>غرام)</v>
      </c>
      <c r="B982" s="56" t="str">
        <f>IFERROR(__xludf.DUMMYFUNCTION("IF('AYIRA MINI MART FINAL MENU - Pr'!B982="""", """", IF(LEN(TRIM(REGEXREPLACE(REGEXREPLACE('AYIRA MINI MART FINAL MENU - Pr'!B982, ""^[^\x{0600}-\x{06FF}]+"", """"), ""^[-–\s]+"", """")))&gt;0, TRIM(REGEXREPLACE(REGEXREPLACE('AYIRA MINI MART FINAL MENU - Pr"&amp;"'!B982, ""^[^\x{0600}-\x{06FF}]+"", """"), ""^[-–\s]+"", """")), GOOGLETRANSLATE('AYIRA MINI MART FINAL MENU - Pr'!B982, ""en"", ""ar"")))"),"المخبوزات والمعجنات")</f>
        <v>المخبوزات والمعجنات</v>
      </c>
      <c r="C982" s="58">
        <f>IF('AYIRA MINI MART FINAL MENU - Pr'!C982="", "", 'AYIRA MINI MART FINAL MENU - Pr'!C982)</f>
        <v>4</v>
      </c>
      <c r="D982" s="58" t="str">
        <f>IF('AYIRA MINI MART FINAL MENU - Pr'!D982="", "", 'AYIRA MINI MART FINAL MENU - Pr'!D982)</f>
        <v>اكتشف London Oven Fresh – London Bakery (210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82" s="56" t="str">
        <f>IF('AYIRA MINI MART FINAL MENU - Pr'!E982="", "", 'AYIRA MINI MART FINAL MENU - Pr'!E982)</f>
        <v/>
      </c>
      <c r="F982" s="56" t="str">
        <f>IF('AYIRA MINI MART FINAL MENU - Pr'!F982="", "", 'AYIRA MINI MART FINAL MENU - Pr'!F982)</f>
        <v/>
      </c>
      <c r="G982" s="56" t="str">
        <f>IF('AYIRA MINI MART FINAL MENU - Pr'!G982="", "", 'AYIRA MINI MART FINAL MENU - Pr'!G982)</f>
        <v/>
      </c>
      <c r="H982" s="56" t="str">
        <f>IF('AYIRA MINI MART FINAL MENU - Pr'!H982="", "", 'AYIRA MINI MART FINAL MENU - Pr'!H982)</f>
        <v/>
      </c>
      <c r="I982" s="56" t="str">
        <f>IF('AYIRA MINI MART FINAL MENU - Pr'!I982="", "", 'AYIRA MINI MART FINAL MENU - Pr'!I982)</f>
        <v/>
      </c>
      <c r="J982" s="56" t="str">
        <f>IFERROR(__xludf.DUMMYFUNCTION("IF('AYIRA MINI MART FINAL MENU - Pr'!J982="""", """", GOOGLETRANSLATE('AYIRA MINI MART FINAL MENU - Pr'!J982, ""en"", ""ar""))"),"")</f>
        <v/>
      </c>
      <c r="K982" s="56" t="str">
        <f>IF('AYIRA MINI MART FINAL MENU - Pr'!K982="", "", 'AYIRA MINI MART FINAL MENU - Pr'!K982)</f>
        <v/>
      </c>
      <c r="L982" s="56" t="str">
        <f>IF('AYIRA MINI MART FINAL MENU - Pr'!L982="", "", 'AYIRA MINI MART FINAL MENU - Pr'!L982)</f>
        <v/>
      </c>
      <c r="M982" s="56" t="str">
        <f>IF('AYIRA MINI MART FINAL MENU - Pr'!M982="", "", 'AYIRA MINI MART FINAL MENU - Pr'!M982)</f>
        <v/>
      </c>
      <c r="N982" s="56" t="str">
        <f>IF('AYIRA MINI MART FINAL MENU - Pr'!N982="", "", 'AYIRA MINI MART FINAL MENU - Pr'!N982)</f>
        <v/>
      </c>
      <c r="O982" s="57"/>
      <c r="P982" s="57"/>
      <c r="Q982" s="57"/>
      <c r="R982" s="57"/>
      <c r="S982" s="57"/>
      <c r="T982" s="57"/>
      <c r="U982" s="57"/>
      <c r="V982" s="57"/>
      <c r="W982" s="57"/>
      <c r="X982" s="57"/>
      <c r="Y982" s="57"/>
      <c r="Z982" s="57"/>
    </row>
    <row r="983">
      <c r="A983" s="56" t="str">
        <f>IFERROR(__xludf.DUMMYFUNCTION("IF('AYIRA MINI MART FINAL MENU - Pr'!A983="""", """", IF(LEN(TRIM(REGEXREPLACE(REGEXREPLACE('AYIRA MINI MART FINAL MENU - Pr'!A983, ""^[^\x{0600}-\x{06FF}]+"", """"), ""^[-–\s]+"", """")))&gt;0, TRIM(REGEXREPLACE(REGEXREPLACE('AYIRA MINI MART FINAL MENU - Pr"&amp;"'!A983, ""^[^\x{0600}-\x{06FF}]+"", """"), ""^[-–\s]+"", """")), GOOGLETRANSLATE('AYIRA MINI MART FINAL MENU - Pr'!A983, ""en"", ""ar"")))"),"شوكولاتة Muffin (60 غرام)")</f>
        <v>شوكولاتة Muffin (60 غرام)</v>
      </c>
      <c r="B983" s="56" t="str">
        <f>IFERROR(__xludf.DUMMYFUNCTION("IF('AYIRA MINI MART FINAL MENU - Pr'!B983="""", """", IF(LEN(TRIM(REGEXREPLACE(REGEXREPLACE('AYIRA MINI MART FINAL MENU - Pr'!B983, ""^[^\x{0600}-\x{06FF}]+"", """"), ""^[-–\s]+"", """")))&gt;0, TRIM(REGEXREPLACE(REGEXREPLACE('AYIRA MINI MART FINAL MENU - Pr"&amp;"'!B983, ""^[^\x{0600}-\x{06FF}]+"", """"), ""^[-–\s]+"", """")), GOOGLETRANSLATE('AYIRA MINI MART FINAL MENU - Pr'!B983, ""en"", ""ar"")))"),"المخبوزات والمعجنات")</f>
        <v>المخبوزات والمعجنات</v>
      </c>
      <c r="C983" s="58">
        <f>IF('AYIRA MINI MART FINAL MENU - Pr'!C983="", "", 'AYIRA MINI MART FINAL MENU - Pr'!C983)</f>
        <v>3</v>
      </c>
      <c r="D983" s="58" t="str">
        <f>IF('AYIRA MINI MART FINAL MENU - Pr'!D983="", "", 'AYIRA MINI MART FINAL MENU - Pr'!D983)</f>
        <v>دلّل حواسك مع Lusine Triple Chocolate Muffin (60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83" s="56" t="str">
        <f>IF('AYIRA MINI MART FINAL MENU - Pr'!E983="", "", 'AYIRA MINI MART FINAL MENU - Pr'!E983)</f>
        <v/>
      </c>
      <c r="F983" s="56" t="str">
        <f>IF('AYIRA MINI MART FINAL MENU - Pr'!F983="", "", 'AYIRA MINI MART FINAL MENU - Pr'!F983)</f>
        <v/>
      </c>
      <c r="G983" s="56" t="str">
        <f>IF('AYIRA MINI MART FINAL MENU - Pr'!G983="", "", 'AYIRA MINI MART FINAL MENU - Pr'!G983)</f>
        <v/>
      </c>
      <c r="H983" s="56" t="str">
        <f>IF('AYIRA MINI MART FINAL MENU - Pr'!H983="", "", 'AYIRA MINI MART FINAL MENU - Pr'!H983)</f>
        <v/>
      </c>
      <c r="I983" s="56" t="str">
        <f>IF('AYIRA MINI MART FINAL MENU - Pr'!I983="", "", 'AYIRA MINI MART FINAL MENU - Pr'!I983)</f>
        <v/>
      </c>
      <c r="J983" s="56" t="str">
        <f>IFERROR(__xludf.DUMMYFUNCTION("IF('AYIRA MINI MART FINAL MENU - Pr'!J983="""", """", GOOGLETRANSLATE('AYIRA MINI MART FINAL MENU - Pr'!J983, ""en"", ""ar""))"),"")</f>
        <v/>
      </c>
      <c r="K983" s="56" t="str">
        <f>IF('AYIRA MINI MART FINAL MENU - Pr'!K983="", "", 'AYIRA MINI MART FINAL MENU - Pr'!K983)</f>
        <v/>
      </c>
      <c r="L983" s="56" t="str">
        <f>IF('AYIRA MINI MART FINAL MENU - Pr'!L983="", "", 'AYIRA MINI MART FINAL MENU - Pr'!L983)</f>
        <v/>
      </c>
      <c r="M983" s="56" t="str">
        <f>IF('AYIRA MINI MART FINAL MENU - Pr'!M983="", "", 'AYIRA MINI MART FINAL MENU - Pr'!M983)</f>
        <v/>
      </c>
      <c r="N983" s="56" t="str">
        <f>IF('AYIRA MINI MART FINAL MENU - Pr'!N983="", "", 'AYIRA MINI MART FINAL MENU - Pr'!N983)</f>
        <v/>
      </c>
      <c r="O983" s="57"/>
      <c r="P983" s="57"/>
      <c r="Q983" s="57"/>
      <c r="R983" s="57"/>
      <c r="S983" s="57"/>
      <c r="T983" s="57"/>
      <c r="U983" s="57"/>
      <c r="V983" s="57"/>
      <c r="W983" s="57"/>
      <c r="X983" s="57"/>
      <c r="Y983" s="57"/>
      <c r="Z983" s="57"/>
    </row>
    <row r="984">
      <c r="A984" s="56" t="str">
        <f>IFERROR(__xludf.DUMMYFUNCTION("IF('AYIRA MINI MART FINAL MENU - Pr'!A984="""", """", IF(LEN(TRIM(REGEXREPLACE(REGEXREPLACE('AYIRA MINI MART FINAL MENU - Pr'!A984, ""^[^\x{0600}-\x{06FF}]+"", """"), ""^[-–\s]+"", """")))&gt;0, TRIM(REGEXREPLACE(REGEXREPLACE('AYIRA MINI MART FINAL MENU - Pr"&amp;"'!A984, ""^[^\x{0600}-\x{06FF}]+"", """"), ""^[-–\s]+"", """")), GOOGLETRANSLATE('AYIRA MINI MART FINAL MENU - Pr'!A984, ""en"", ""ar"")))"),"زبدة خبز 300 غرام")</f>
        <v>زبدة خبز 300 غرام</v>
      </c>
      <c r="B984" s="56" t="str">
        <f>IFERROR(__xludf.DUMMYFUNCTION("IF('AYIRA MINI MART FINAL MENU - Pr'!B984="""", """", IF(LEN(TRIM(REGEXREPLACE(REGEXREPLACE('AYIRA MINI MART FINAL MENU - Pr'!B984, ""^[^\x{0600}-\x{06FF}]+"", """"), ""^[-–\s]+"", """")))&gt;0, TRIM(REGEXREPLACE(REGEXREPLACE('AYIRA MINI MART FINAL MENU - Pr"&amp;"'!B984, ""^[^\x{0600}-\x{06FF}]+"", """"), ""^[-–\s]+"", """")), GOOGLETRANSLATE('AYIRA MINI MART FINAL MENU - Pr'!B984, ""en"", ""ar"")))"),"المخبوزات والمعجنات")</f>
        <v>المخبوزات والمعجنات</v>
      </c>
      <c r="C984" s="58">
        <f>IF('AYIRA MINI MART FINAL MENU - Pr'!C984="", "", 'AYIRA MINI MART FINAL MENU - Pr'!C984)</f>
        <v>4</v>
      </c>
      <c r="D984" s="58" t="str">
        <f>IF('AYIRA MINI MART FINAL MENU - Pr'!D984="", "", 'AYIRA MINI MART FINAL MENU - Pr'!D984)</f>
        <v>اكتشف Qbake Butter Bread 300g،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84" s="56" t="str">
        <f>IF('AYIRA MINI MART FINAL MENU - Pr'!E984="", "", 'AYIRA MINI MART FINAL MENU - Pr'!E984)</f>
        <v/>
      </c>
      <c r="F984" s="56" t="str">
        <f>IF('AYIRA MINI MART FINAL MENU - Pr'!F984="", "", 'AYIRA MINI MART FINAL MENU - Pr'!F984)</f>
        <v/>
      </c>
      <c r="G984" s="56" t="str">
        <f>IF('AYIRA MINI MART FINAL MENU - Pr'!G984="", "", 'AYIRA MINI MART FINAL MENU - Pr'!G984)</f>
        <v/>
      </c>
      <c r="H984" s="56" t="str">
        <f>IF('AYIRA MINI MART FINAL MENU - Pr'!H984="", "", 'AYIRA MINI MART FINAL MENU - Pr'!H984)</f>
        <v/>
      </c>
      <c r="I984" s="56" t="str">
        <f>IF('AYIRA MINI MART FINAL MENU - Pr'!I984="", "", 'AYIRA MINI MART FINAL MENU - Pr'!I984)</f>
        <v/>
      </c>
      <c r="J984" s="56" t="str">
        <f>IFERROR(__xludf.DUMMYFUNCTION("IF('AYIRA MINI MART FINAL MENU - Pr'!J984="""", """", GOOGLETRANSLATE('AYIRA MINI MART FINAL MENU - Pr'!J984, ""en"", ""ar""))"),"")</f>
        <v/>
      </c>
      <c r="K984" s="56" t="str">
        <f>IF('AYIRA MINI MART FINAL MENU - Pr'!K984="", "", 'AYIRA MINI MART FINAL MENU - Pr'!K984)</f>
        <v/>
      </c>
      <c r="L984" s="56" t="str">
        <f>IF('AYIRA MINI MART FINAL MENU - Pr'!L984="", "", 'AYIRA MINI MART FINAL MENU - Pr'!L984)</f>
        <v/>
      </c>
      <c r="M984" s="56" t="str">
        <f>IF('AYIRA MINI MART FINAL MENU - Pr'!M984="", "", 'AYIRA MINI MART FINAL MENU - Pr'!M984)</f>
        <v/>
      </c>
      <c r="N984" s="56" t="str">
        <f>IF('AYIRA MINI MART FINAL MENU - Pr'!N984="", "", 'AYIRA MINI MART FINAL MENU - Pr'!N984)</f>
        <v/>
      </c>
      <c r="O984" s="57"/>
      <c r="P984" s="57"/>
      <c r="Q984" s="57"/>
      <c r="R984" s="57"/>
      <c r="S984" s="57"/>
      <c r="T984" s="57"/>
      <c r="U984" s="57"/>
      <c r="V984" s="57"/>
      <c r="W984" s="57"/>
      <c r="X984" s="57"/>
      <c r="Y984" s="57"/>
      <c r="Z984" s="57"/>
    </row>
    <row r="985">
      <c r="A985" s="56" t="str">
        <f>IFERROR(__xludf.DUMMYFUNCTION("IF('AYIRA MINI MART FINAL MENU - Pr'!A985="""", """", IF(LEN(TRIM(REGEXREPLACE(REGEXREPLACE('AYIRA MINI MART FINAL MENU - Pr'!A985, ""^[^\x{0600}-\x{06FF}]+"", """"), ""^[-–\s]+"", """")))&gt;0, TRIM(REGEXREPLACE(REGEXREPLACE('AYIRA MINI MART FINAL MENU - Pr"&amp;"'!A985, ""^[^\x{0600}-\x{06FF}]+"", """"), ""^[-–\s]+"", """")), GOOGLETRANSLATE('AYIRA MINI MART FINAL MENU - Pr'!A985, ""en"", ""ar"")))"),"خبز 325 غرام")</f>
        <v>خبز 325 غرام</v>
      </c>
      <c r="B985" s="56" t="str">
        <f>IFERROR(__xludf.DUMMYFUNCTION("IF('AYIRA MINI MART FINAL MENU - Pr'!B985="""", """", IF(LEN(TRIM(REGEXREPLACE(REGEXREPLACE('AYIRA MINI MART FINAL MENU - Pr'!B985, ""^[^\x{0600}-\x{06FF}]+"", """"), ""^[-–\s]+"", """")))&gt;0, TRIM(REGEXREPLACE(REGEXREPLACE('AYIRA MINI MART FINAL MENU - Pr"&amp;"'!B985, ""^[^\x{0600}-\x{06FF}]+"", """"), ""^[-–\s]+"", """")), GOOGLETRANSLATE('AYIRA MINI MART FINAL MENU - Pr'!B985, ""en"", ""ar"")))"),"المخبوزات والمعجنات")</f>
        <v>المخبوزات والمعجنات</v>
      </c>
      <c r="C985" s="58">
        <f>IF('AYIRA MINI MART FINAL MENU - Pr'!C985="", "", 'AYIRA MINI MART FINAL MENU - Pr'!C985)</f>
        <v>5</v>
      </c>
      <c r="D985" s="58" t="str">
        <f>IF('AYIRA MINI MART FINAL MENU - Pr'!D985="", "", 'AYIRA MINI MART FINAL MENU - Pr'!D985)</f>
        <v>اكتشف Qbake multi Grain Bread 325g،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85" s="56" t="str">
        <f>IF('AYIRA MINI MART FINAL MENU - Pr'!E985="", "", 'AYIRA MINI MART FINAL MENU - Pr'!E985)</f>
        <v/>
      </c>
      <c r="F985" s="56" t="str">
        <f>IF('AYIRA MINI MART FINAL MENU - Pr'!F985="", "", 'AYIRA MINI MART FINAL MENU - Pr'!F985)</f>
        <v/>
      </c>
      <c r="G985" s="56" t="str">
        <f>IF('AYIRA MINI MART FINAL MENU - Pr'!G985="", "", 'AYIRA MINI MART FINAL MENU - Pr'!G985)</f>
        <v/>
      </c>
      <c r="H985" s="56" t="str">
        <f>IF('AYIRA MINI MART FINAL MENU - Pr'!H985="", "", 'AYIRA MINI MART FINAL MENU - Pr'!H985)</f>
        <v/>
      </c>
      <c r="I985" s="56" t="str">
        <f>IF('AYIRA MINI MART FINAL MENU - Pr'!I985="", "", 'AYIRA MINI MART FINAL MENU - Pr'!I985)</f>
        <v/>
      </c>
      <c r="J985" s="56" t="str">
        <f>IFERROR(__xludf.DUMMYFUNCTION("IF('AYIRA MINI MART FINAL MENU - Pr'!J985="""", """", GOOGLETRANSLATE('AYIRA MINI MART FINAL MENU - Pr'!J985, ""en"", ""ar""))"),"")</f>
        <v/>
      </c>
      <c r="K985" s="56" t="str">
        <f>IF('AYIRA MINI MART FINAL MENU - Pr'!K985="", "", 'AYIRA MINI MART FINAL MENU - Pr'!K985)</f>
        <v/>
      </c>
      <c r="L985" s="56" t="str">
        <f>IF('AYIRA MINI MART FINAL MENU - Pr'!L985="", "", 'AYIRA MINI MART FINAL MENU - Pr'!L985)</f>
        <v/>
      </c>
      <c r="M985" s="56" t="str">
        <f>IF('AYIRA MINI MART FINAL MENU - Pr'!M985="", "", 'AYIRA MINI MART FINAL MENU - Pr'!M985)</f>
        <v/>
      </c>
      <c r="N985" s="56" t="str">
        <f>IF('AYIRA MINI MART FINAL MENU - Pr'!N985="", "", 'AYIRA MINI MART FINAL MENU - Pr'!N985)</f>
        <v/>
      </c>
      <c r="O985" s="57"/>
      <c r="P985" s="57"/>
      <c r="Q985" s="57"/>
      <c r="R985" s="57"/>
      <c r="S985" s="57"/>
      <c r="T985" s="57"/>
      <c r="U985" s="57"/>
      <c r="V985" s="57"/>
      <c r="W985" s="57"/>
      <c r="X985" s="57"/>
      <c r="Y985" s="57"/>
      <c r="Z985" s="57"/>
    </row>
    <row r="986">
      <c r="A986" s="56" t="str">
        <f>IFERROR(__xludf.DUMMYFUNCTION("IF('AYIRA MINI MART FINAL MENU - Pr'!A986="""", """", IF(LEN(TRIM(REGEXREPLACE(REGEXREPLACE('AYIRA MINI MART FINAL MENU - Pr'!A986, ""^[^\x{0600}-\x{06FF}]+"", """"), ""^[-–\s]+"", """")))&gt;0, TRIM(REGEXREPLACE(REGEXREPLACE('AYIRA MINI MART FINAL MENU - Pr"&amp;"'!A986, ""^[^\x{0600}-\x{06FF}]+"", """"), ""^[-–\s]+"", """")), GOOGLETRANSLATE('AYIRA MINI MART FINAL MENU - Pr'!A986, ""en"", ""ar"")))"),"حليب خبز Medium 620gm")</f>
        <v>حليب خبز Medium 620gm</v>
      </c>
      <c r="B986" s="56" t="str">
        <f>IFERROR(__xludf.DUMMYFUNCTION("IF('AYIRA MINI MART FINAL MENU - Pr'!B986="""", """", IF(LEN(TRIM(REGEXREPLACE(REGEXREPLACE('AYIRA MINI MART FINAL MENU - Pr'!B986, ""^[^\x{0600}-\x{06FF}]+"", """"), ""^[-–\s]+"", """")))&gt;0, TRIM(REGEXREPLACE(REGEXREPLACE('AYIRA MINI MART FINAL MENU - Pr"&amp;"'!B986, ""^[^\x{0600}-\x{06FF}]+"", """"), ""^[-–\s]+"", """")), GOOGLETRANSLATE('AYIRA MINI MART FINAL MENU - Pr'!B986, ""en"", ""ar"")))"),"المخبوزات والمعجنات")</f>
        <v>المخبوزات والمعجنات</v>
      </c>
      <c r="C986" s="58">
        <f>IF('AYIRA MINI MART FINAL MENU - Pr'!C986="", "", 'AYIRA MINI MART FINAL MENU - Pr'!C986)</f>
        <v>6</v>
      </c>
      <c r="D986" s="58" t="str">
        <f>IF('AYIRA MINI MART FINAL MENU - Pr'!D986="", "", 'AYIRA MINI MART FINAL MENU - Pr'!D986)</f>
        <v>اكتشف Qbake Milk Bread Medium 620gm،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86" s="56" t="str">
        <f>IF('AYIRA MINI MART FINAL MENU - Pr'!E986="", "", 'AYIRA MINI MART FINAL MENU - Pr'!E986)</f>
        <v/>
      </c>
      <c r="F986" s="56" t="str">
        <f>IF('AYIRA MINI MART FINAL MENU - Pr'!F986="", "", 'AYIRA MINI MART FINAL MENU - Pr'!F986)</f>
        <v/>
      </c>
      <c r="G986" s="56" t="str">
        <f>IF('AYIRA MINI MART FINAL MENU - Pr'!G986="", "", 'AYIRA MINI MART FINAL MENU - Pr'!G986)</f>
        <v/>
      </c>
      <c r="H986" s="56" t="str">
        <f>IF('AYIRA MINI MART FINAL MENU - Pr'!H986="", "", 'AYIRA MINI MART FINAL MENU - Pr'!H986)</f>
        <v/>
      </c>
      <c r="I986" s="56" t="str">
        <f>IF('AYIRA MINI MART FINAL MENU - Pr'!I986="", "", 'AYIRA MINI MART FINAL MENU - Pr'!I986)</f>
        <v/>
      </c>
      <c r="J986" s="56" t="str">
        <f>IFERROR(__xludf.DUMMYFUNCTION("IF('AYIRA MINI MART FINAL MENU - Pr'!J986="""", """", GOOGLETRANSLATE('AYIRA MINI MART FINAL MENU - Pr'!J986, ""en"", ""ar""))"),"")</f>
        <v/>
      </c>
      <c r="K986" s="56" t="str">
        <f>IF('AYIRA MINI MART FINAL MENU - Pr'!K986="", "", 'AYIRA MINI MART FINAL MENU - Pr'!K986)</f>
        <v/>
      </c>
      <c r="L986" s="56" t="str">
        <f>IF('AYIRA MINI MART FINAL MENU - Pr'!L986="", "", 'AYIRA MINI MART FINAL MENU - Pr'!L986)</f>
        <v/>
      </c>
      <c r="M986" s="56" t="str">
        <f>IF('AYIRA MINI MART FINAL MENU - Pr'!M986="", "", 'AYIRA MINI MART FINAL MENU - Pr'!M986)</f>
        <v/>
      </c>
      <c r="N986" s="56" t="str">
        <f>IF('AYIRA MINI MART FINAL MENU - Pr'!N986="", "", 'AYIRA MINI MART FINAL MENU - Pr'!N986)</f>
        <v/>
      </c>
      <c r="O986" s="57"/>
      <c r="P986" s="57"/>
      <c r="Q986" s="57"/>
      <c r="R986" s="57"/>
      <c r="S986" s="57"/>
      <c r="T986" s="57"/>
      <c r="U986" s="57"/>
      <c r="V986" s="57"/>
      <c r="W986" s="57"/>
      <c r="X986" s="57"/>
      <c r="Y986" s="57"/>
      <c r="Z986" s="57"/>
    </row>
    <row r="987">
      <c r="A987" s="56" t="str">
        <f>IFERROR(__xludf.DUMMYFUNCTION("IF('AYIRA MINI MART FINAL MENU - Pr'!A987="""", """", IF(LEN(TRIM(REGEXREPLACE(REGEXREPLACE('AYIRA MINI MART FINAL MENU - Pr'!A987, ""^[^\x{0600}-\x{06FF}]+"", """"), ""^[-–\s]+"", """")))&gt;0, TRIM(REGEXREPLACE(REGEXREPLACE('AYIRA MINI MART FINAL MENU - Pr"&amp;"'!A987, ""^[^\x{0600}-\x{06FF}]+"", """"), ""^[-–\s]+"", """")), GOOGLETRANSLATE('AYIRA MINI MART FINAL MENU - Pr'!A987, ""en"", ""ar"")))"),"حليب خبز 350Gm")</f>
        <v>حليب خبز 350Gm</v>
      </c>
      <c r="B987" s="56" t="str">
        <f>IFERROR(__xludf.DUMMYFUNCTION("IF('AYIRA MINI MART FINAL MENU - Pr'!B987="""", """", IF(LEN(TRIM(REGEXREPLACE(REGEXREPLACE('AYIRA MINI MART FINAL MENU - Pr'!B987, ""^[^\x{0600}-\x{06FF}]+"", """"), ""^[-–\s]+"", """")))&gt;0, TRIM(REGEXREPLACE(REGEXREPLACE('AYIRA MINI MART FINAL MENU - Pr"&amp;"'!B987, ""^[^\x{0600}-\x{06FF}]+"", """"), ""^[-–\s]+"", """")), GOOGLETRANSLATE('AYIRA MINI MART FINAL MENU - Pr'!B987, ""en"", ""ar"")))"),"المخبوزات والمعجنات")</f>
        <v>المخبوزات والمعجنات</v>
      </c>
      <c r="C987" s="58">
        <f>IF('AYIRA MINI MART FINAL MENU - Pr'!C987="", "", 'AYIRA MINI MART FINAL MENU - Pr'!C987)</f>
        <v>3.5</v>
      </c>
      <c r="D987" s="58" t="str">
        <f>IF('AYIRA MINI MART FINAL MENU - Pr'!D987="", "", 'AYIRA MINI MART FINAL MENU - Pr'!D987)</f>
        <v>اكتشف Qbake Milk Bread 350Gm،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87" s="56" t="str">
        <f>IF('AYIRA MINI MART FINAL MENU - Pr'!E987="", "", 'AYIRA MINI MART FINAL MENU - Pr'!E987)</f>
        <v/>
      </c>
      <c r="F987" s="56" t="str">
        <f>IF('AYIRA MINI MART FINAL MENU - Pr'!F987="", "", 'AYIRA MINI MART FINAL MENU - Pr'!F987)</f>
        <v/>
      </c>
      <c r="G987" s="56" t="str">
        <f>IF('AYIRA MINI MART FINAL MENU - Pr'!G987="", "", 'AYIRA MINI MART FINAL MENU - Pr'!G987)</f>
        <v/>
      </c>
      <c r="H987" s="56" t="str">
        <f>IF('AYIRA MINI MART FINAL MENU - Pr'!H987="", "", 'AYIRA MINI MART FINAL MENU - Pr'!H987)</f>
        <v/>
      </c>
      <c r="I987" s="56" t="str">
        <f>IF('AYIRA MINI MART FINAL MENU - Pr'!I987="", "", 'AYIRA MINI MART FINAL MENU - Pr'!I987)</f>
        <v/>
      </c>
      <c r="J987" s="56" t="str">
        <f>IFERROR(__xludf.DUMMYFUNCTION("IF('AYIRA MINI MART FINAL MENU - Pr'!J987="""", """", GOOGLETRANSLATE('AYIRA MINI MART FINAL MENU - Pr'!J987, ""en"", ""ar""))"),"")</f>
        <v/>
      </c>
      <c r="K987" s="56" t="str">
        <f>IF('AYIRA MINI MART FINAL MENU - Pr'!K987="", "", 'AYIRA MINI MART FINAL MENU - Pr'!K987)</f>
        <v/>
      </c>
      <c r="L987" s="56" t="str">
        <f>IF('AYIRA MINI MART FINAL MENU - Pr'!L987="", "", 'AYIRA MINI MART FINAL MENU - Pr'!L987)</f>
        <v/>
      </c>
      <c r="M987" s="56" t="str">
        <f>IF('AYIRA MINI MART FINAL MENU - Pr'!M987="", "", 'AYIRA MINI MART FINAL MENU - Pr'!M987)</f>
        <v/>
      </c>
      <c r="N987" s="56" t="str">
        <f>IF('AYIRA MINI MART FINAL MENU - Pr'!N987="", "", 'AYIRA MINI MART FINAL MENU - Pr'!N987)</f>
        <v/>
      </c>
      <c r="O987" s="57"/>
      <c r="P987" s="57"/>
      <c r="Q987" s="57"/>
      <c r="R987" s="57"/>
      <c r="S987" s="57"/>
      <c r="T987" s="57"/>
      <c r="U987" s="57"/>
      <c r="V987" s="57"/>
      <c r="W987" s="57"/>
      <c r="X987" s="57"/>
      <c r="Y987" s="57"/>
      <c r="Z987" s="57"/>
    </row>
    <row r="988">
      <c r="A988" s="56" t="str">
        <f>IFERROR(__xludf.DUMMYFUNCTION("IF('AYIRA MINI MART FINAL MENU - Pr'!A988="""", """", IF(LEN(TRIM(REGEXREPLACE(REGEXREPLACE('AYIRA MINI MART FINAL MENU - Pr'!A988, ""^[^\x{0600}-\x{06FF}]+"", """"), ""^[-–\s]+"", """")))&gt;0, TRIM(REGEXREPLACE(REGEXREPLACE('AYIRA MINI MART FINAL MENU - Pr"&amp;"'!A988, ""^[^\x{0600}-\x{06FF}]+"", """"), ""^[-–\s]+"", """")), GOOGLETRANSLATE('AYIRA MINI MART FINAL MENU - Pr'!A988, ""en"", ""ar"")))"),"لوسين كرواسان زعتر")</f>
        <v>لوسين كرواسان زعتر</v>
      </c>
      <c r="B988" s="56" t="str">
        <f>IFERROR(__xludf.DUMMYFUNCTION("IF('AYIRA MINI MART FINAL MENU - Pr'!B988="""", """", IF(LEN(TRIM(REGEXREPLACE(REGEXREPLACE('AYIRA MINI MART FINAL MENU - Pr'!B988, ""^[^\x{0600}-\x{06FF}]+"", """"), ""^[-–\s]+"", """")))&gt;0, TRIM(REGEXREPLACE(REGEXREPLACE('AYIRA MINI MART FINAL MENU - Pr"&amp;"'!B988, ""^[^\x{0600}-\x{06FF}]+"", """"), ""^[-–\s]+"", """")), GOOGLETRANSLATE('AYIRA MINI MART FINAL MENU - Pr'!B988, ""en"", ""ar"")))"),"المخبوزات والمعجنات")</f>
        <v>المخبوزات والمعجنات</v>
      </c>
      <c r="C988" s="58">
        <f>IF('AYIRA MINI MART FINAL MENU - Pr'!C988="", "", 'AYIRA MINI MART FINAL MENU - Pr'!C988)</f>
        <v>2</v>
      </c>
      <c r="D988" s="58" t="str">
        <f>IF('AYIRA MINI MART FINAL MENU - Pr'!D988="", "", 'AYIRA MINI MART FINAL MENU - Pr'!D988)</f>
        <v>اكتشف Lusine Zaatar Croissant،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88" s="56" t="str">
        <f>IF('AYIRA MINI MART FINAL MENU - Pr'!E988="", "", 'AYIRA MINI MART FINAL MENU - Pr'!E988)</f>
        <v/>
      </c>
      <c r="F988" s="56" t="str">
        <f>IF('AYIRA MINI MART FINAL MENU - Pr'!F988="", "", 'AYIRA MINI MART FINAL MENU - Pr'!F988)</f>
        <v/>
      </c>
      <c r="G988" s="56" t="str">
        <f>IF('AYIRA MINI MART FINAL MENU - Pr'!G988="", "", 'AYIRA MINI MART FINAL MENU - Pr'!G988)</f>
        <v/>
      </c>
      <c r="H988" s="56" t="str">
        <f>IF('AYIRA MINI MART FINAL MENU - Pr'!H988="", "", 'AYIRA MINI MART FINAL MENU - Pr'!H988)</f>
        <v/>
      </c>
      <c r="I988" s="56" t="str">
        <f>IF('AYIRA MINI MART FINAL MENU - Pr'!I988="", "", 'AYIRA MINI MART FINAL MENU - Pr'!I988)</f>
        <v/>
      </c>
      <c r="J988" s="56" t="str">
        <f>IFERROR(__xludf.DUMMYFUNCTION("IF('AYIRA MINI MART FINAL MENU - Pr'!J988="""", """", GOOGLETRANSLATE('AYIRA MINI MART FINAL MENU - Pr'!J988, ""en"", ""ar""))"),"")</f>
        <v/>
      </c>
      <c r="K988" s="56" t="str">
        <f>IF('AYIRA MINI MART FINAL MENU - Pr'!K988="", "", 'AYIRA MINI MART FINAL MENU - Pr'!K988)</f>
        <v/>
      </c>
      <c r="L988" s="56" t="str">
        <f>IF('AYIRA MINI MART FINAL MENU - Pr'!L988="", "", 'AYIRA MINI MART FINAL MENU - Pr'!L988)</f>
        <v/>
      </c>
      <c r="M988" s="56" t="str">
        <f>IF('AYIRA MINI MART FINAL MENU - Pr'!M988="", "", 'AYIRA MINI MART FINAL MENU - Pr'!M988)</f>
        <v/>
      </c>
      <c r="N988" s="56" t="str">
        <f>IF('AYIRA MINI MART FINAL MENU - Pr'!N988="", "", 'AYIRA MINI MART FINAL MENU - Pr'!N988)</f>
        <v/>
      </c>
      <c r="O988" s="57"/>
      <c r="P988" s="57"/>
      <c r="Q988" s="57"/>
      <c r="R988" s="57"/>
      <c r="S988" s="57"/>
      <c r="T988" s="57"/>
      <c r="U988" s="57"/>
      <c r="V988" s="57"/>
      <c r="W988" s="57"/>
      <c r="X988" s="57"/>
      <c r="Y988" s="57"/>
      <c r="Z988" s="57"/>
    </row>
    <row r="989">
      <c r="A989" s="56" t="str">
        <f>IFERROR(__xludf.DUMMYFUNCTION("IF('AYIRA MINI MART FINAL MENU - Pr'!A989="""", """", IF(LEN(TRIM(REGEXREPLACE(REGEXREPLACE('AYIRA MINI MART FINAL MENU - Pr'!A989, ""^[^\x{0600}-\x{06FF}]+"", """"), ""^[-–\s]+"", """")))&gt;0, TRIM(REGEXREPLACE(REGEXREPLACE('AYIRA MINI MART FINAL MENU - Pr"&amp;"'!A989, ""^[^\x{0600}-\x{06FF}]+"", """"), ""^[-–\s]+"", """")), GOOGLETRANSLATE('AYIRA MINI MART FINAL MENU - Pr'!A989, ""en"", ""ar"")))"),"زبدة Puff – فراولة (80 غرام)")</f>
        <v>زبدة Puff – فراولة (80 غرام)</v>
      </c>
      <c r="B989" s="56" t="str">
        <f>IFERROR(__xludf.DUMMYFUNCTION("IF('AYIRA MINI MART FINAL MENU - Pr'!B989="""", """", IF(LEN(TRIM(REGEXREPLACE(REGEXREPLACE('AYIRA MINI MART FINAL MENU - Pr'!B989, ""^[^\x{0600}-\x{06FF}]+"", """"), ""^[-–\s]+"", """")))&gt;0, TRIM(REGEXREPLACE(REGEXREPLACE('AYIRA MINI MART FINAL MENU - Pr"&amp;"'!B989, ""^[^\x{0600}-\x{06FF}]+"", """"), ""^[-–\s]+"", """")), GOOGLETRANSLATE('AYIRA MINI MART FINAL MENU - Pr'!B989, ""en"", ""ar"")))"),"المخبوزات والمعجنات")</f>
        <v>المخبوزات والمعجنات</v>
      </c>
      <c r="C989" s="58">
        <f>IF('AYIRA MINI MART FINAL MENU - Pr'!C989="", "", 'AYIRA MINI MART FINAL MENU - Pr'!C989)</f>
        <v>2</v>
      </c>
      <c r="D989" s="58" t="str">
        <f>IF('AYIRA MINI MART FINAL MENU - Pr'!D989="", "", 'AYIRA MINI MART FINAL MENU - Pr'!D989)</f>
        <v>اكتشف Lusine Flaky Butter Puff – Strawberry (80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89" s="56" t="str">
        <f>IF('AYIRA MINI MART FINAL MENU - Pr'!E989="", "", 'AYIRA MINI MART FINAL MENU - Pr'!E989)</f>
        <v/>
      </c>
      <c r="F989" s="56" t="str">
        <f>IF('AYIRA MINI MART FINAL MENU - Pr'!F989="", "", 'AYIRA MINI MART FINAL MENU - Pr'!F989)</f>
        <v/>
      </c>
      <c r="G989" s="56" t="str">
        <f>IF('AYIRA MINI MART FINAL MENU - Pr'!G989="", "", 'AYIRA MINI MART FINAL MENU - Pr'!G989)</f>
        <v/>
      </c>
      <c r="H989" s="56" t="str">
        <f>IF('AYIRA MINI MART FINAL MENU - Pr'!H989="", "", 'AYIRA MINI MART FINAL MENU - Pr'!H989)</f>
        <v/>
      </c>
      <c r="I989" s="56" t="str">
        <f>IF('AYIRA MINI MART FINAL MENU - Pr'!I989="", "", 'AYIRA MINI MART FINAL MENU - Pr'!I989)</f>
        <v/>
      </c>
      <c r="J989" s="56" t="str">
        <f>IFERROR(__xludf.DUMMYFUNCTION("IF('AYIRA MINI MART FINAL MENU - Pr'!J989="""", """", GOOGLETRANSLATE('AYIRA MINI MART FINAL MENU - Pr'!J989, ""en"", ""ar""))"),"")</f>
        <v/>
      </c>
      <c r="K989" s="56" t="str">
        <f>IF('AYIRA MINI MART FINAL MENU - Pr'!K989="", "", 'AYIRA MINI MART FINAL MENU - Pr'!K989)</f>
        <v/>
      </c>
      <c r="L989" s="56" t="str">
        <f>IF('AYIRA MINI MART FINAL MENU - Pr'!L989="", "", 'AYIRA MINI MART FINAL MENU - Pr'!L989)</f>
        <v/>
      </c>
      <c r="M989" s="56" t="str">
        <f>IF('AYIRA MINI MART FINAL MENU - Pr'!M989="", "", 'AYIRA MINI MART FINAL MENU - Pr'!M989)</f>
        <v/>
      </c>
      <c r="N989" s="56" t="str">
        <f>IF('AYIRA MINI MART FINAL MENU - Pr'!N989="", "", 'AYIRA MINI MART FINAL MENU - Pr'!N989)</f>
        <v/>
      </c>
      <c r="O989" s="57"/>
      <c r="P989" s="57"/>
      <c r="Q989" s="57"/>
      <c r="R989" s="57"/>
      <c r="S989" s="57"/>
      <c r="T989" s="57"/>
      <c r="U989" s="57"/>
      <c r="V989" s="57"/>
      <c r="W989" s="57"/>
      <c r="X989" s="57"/>
      <c r="Y989" s="57"/>
      <c r="Z989" s="57"/>
    </row>
    <row r="990">
      <c r="A990" s="56" t="str">
        <f>IFERROR(__xludf.DUMMYFUNCTION("IF('AYIRA MINI MART FINAL MENU - Pr'!A990="""", """", IF(LEN(TRIM(REGEXREPLACE(REGEXREPLACE('AYIRA MINI MART FINAL MENU - Pr'!A990, ""^[^\x{0600}-\x{06FF}]+"", """"), ""^[-–\s]+"", """")))&gt;0, TRIM(REGEXREPLACE(REGEXREPLACE('AYIRA MINI MART FINAL MENU - Pr"&amp;"'!A990, ""^[^\x{0600}-\x{06FF}]+"", """"), ""^[-–\s]+"", """")), GOOGLETRANSLATE('AYIRA MINI MART FINAL MENU - Pr'!A990, ""en"", ""ar"")))"),"جبنة Puff (70 غرام)")</f>
        <v>جبنة Puff (70 غرام)</v>
      </c>
      <c r="B990" s="56" t="str">
        <f>IFERROR(__xludf.DUMMYFUNCTION("IF('AYIRA MINI MART FINAL MENU - Pr'!B990="""", """", IF(LEN(TRIM(REGEXREPLACE(REGEXREPLACE('AYIRA MINI MART FINAL MENU - Pr'!B990, ""^[^\x{0600}-\x{06FF}]+"", """"), ""^[-–\s]+"", """")))&gt;0, TRIM(REGEXREPLACE(REGEXREPLACE('AYIRA MINI MART FINAL MENU - Pr"&amp;"'!B990, ""^[^\x{0600}-\x{06FF}]+"", """"), ""^[-–\s]+"", """")), GOOGLETRANSLATE('AYIRA MINI MART FINAL MENU - Pr'!B990, ""en"", ""ar"")))"),"المخبوزات والمعجنات")</f>
        <v>المخبوزات والمعجنات</v>
      </c>
      <c r="C990" s="58">
        <f>IF('AYIRA MINI MART FINAL MENU - Pr'!C990="", "", 'AYIRA MINI MART FINAL MENU - Pr'!C990)</f>
        <v>2</v>
      </c>
      <c r="D990" s="58" t="str">
        <f>IF('AYIRA MINI MART FINAL MENU - Pr'!D990="", "", 'AYIRA MINI MART FINAL MENU - Pr'!D990)</f>
        <v>اكتشف Lusine Cheese Puff (70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90" s="56" t="str">
        <f>IF('AYIRA MINI MART FINAL MENU - Pr'!E990="", "", 'AYIRA MINI MART FINAL MENU - Pr'!E990)</f>
        <v/>
      </c>
      <c r="F990" s="56" t="str">
        <f>IF('AYIRA MINI MART FINAL MENU - Pr'!F990="", "", 'AYIRA MINI MART FINAL MENU - Pr'!F990)</f>
        <v/>
      </c>
      <c r="G990" s="56" t="str">
        <f>IF('AYIRA MINI MART FINAL MENU - Pr'!G990="", "", 'AYIRA MINI MART FINAL MENU - Pr'!G990)</f>
        <v/>
      </c>
      <c r="H990" s="56" t="str">
        <f>IF('AYIRA MINI MART FINAL MENU - Pr'!H990="", "", 'AYIRA MINI MART FINAL MENU - Pr'!H990)</f>
        <v/>
      </c>
      <c r="I990" s="56" t="str">
        <f>IF('AYIRA MINI MART FINAL MENU - Pr'!I990="", "", 'AYIRA MINI MART FINAL MENU - Pr'!I990)</f>
        <v/>
      </c>
      <c r="J990" s="56" t="str">
        <f>IFERROR(__xludf.DUMMYFUNCTION("IF('AYIRA MINI MART FINAL MENU - Pr'!J990="""", """", GOOGLETRANSLATE('AYIRA MINI MART FINAL MENU - Pr'!J990, ""en"", ""ar""))"),"")</f>
        <v/>
      </c>
      <c r="K990" s="56" t="str">
        <f>IF('AYIRA MINI MART FINAL MENU - Pr'!K990="", "", 'AYIRA MINI MART FINAL MENU - Pr'!K990)</f>
        <v/>
      </c>
      <c r="L990" s="56" t="str">
        <f>IF('AYIRA MINI MART FINAL MENU - Pr'!L990="", "", 'AYIRA MINI MART FINAL MENU - Pr'!L990)</f>
        <v/>
      </c>
      <c r="M990" s="56" t="str">
        <f>IF('AYIRA MINI MART FINAL MENU - Pr'!M990="", "", 'AYIRA MINI MART FINAL MENU - Pr'!M990)</f>
        <v/>
      </c>
      <c r="N990" s="56" t="str">
        <f>IF('AYIRA MINI MART FINAL MENU - Pr'!N990="", "", 'AYIRA MINI MART FINAL MENU - Pr'!N990)</f>
        <v/>
      </c>
      <c r="O990" s="57"/>
      <c r="P990" s="57"/>
      <c r="Q990" s="57"/>
      <c r="R990" s="57"/>
      <c r="S990" s="57"/>
      <c r="T990" s="57"/>
      <c r="U990" s="57"/>
      <c r="V990" s="57"/>
      <c r="W990" s="57"/>
      <c r="X990" s="57"/>
      <c r="Y990" s="57"/>
      <c r="Z990" s="57"/>
    </row>
    <row r="991">
      <c r="A991" s="56" t="str">
        <f>IFERROR(__xludf.DUMMYFUNCTION("IF('AYIRA MINI MART FINAL MENU - Pr'!A991="""", """", IF(LEN(TRIM(REGEXREPLACE(REGEXREPLACE('AYIRA MINI MART FINAL MENU - Pr'!A991, ""^[^\x{0600}-\x{06FF}]+"", """"), ""^[-–\s]+"", """")))&gt;0, TRIM(REGEXREPLACE(REGEXREPLACE('AYIRA MINI MART FINAL MENU - Pr"&amp;"'!A991, ""^[^\x{0600}-\x{06FF}]+"", """"), ""^[-–\s]+"", """")), GOOGLETRANSLATE('AYIRA MINI MART FINAL MENU - Pr'!A991, ""en"", ""ar"")))"),"زبدة Puff – Feta (80 غرام)")</f>
        <v>زبدة Puff – Feta (80 غرام)</v>
      </c>
      <c r="B991" s="56" t="str">
        <f>IFERROR(__xludf.DUMMYFUNCTION("IF('AYIRA MINI MART FINAL MENU - Pr'!B991="""", """", IF(LEN(TRIM(REGEXREPLACE(REGEXREPLACE('AYIRA MINI MART FINAL MENU - Pr'!B991, ""^[^\x{0600}-\x{06FF}]+"", """"), ""^[-–\s]+"", """")))&gt;0, TRIM(REGEXREPLACE(REGEXREPLACE('AYIRA MINI MART FINAL MENU - Pr"&amp;"'!B991, ""^[^\x{0600}-\x{06FF}]+"", """"), ""^[-–\s]+"", """")), GOOGLETRANSLATE('AYIRA MINI MART FINAL MENU - Pr'!B991, ""en"", ""ar"")))"),"المخبوزات والمعجنات")</f>
        <v>المخبوزات والمعجنات</v>
      </c>
      <c r="C991" s="58">
        <f>IF('AYIRA MINI MART FINAL MENU - Pr'!C991="", "", 'AYIRA MINI MART FINAL MENU - Pr'!C991)</f>
        <v>3</v>
      </c>
      <c r="D991" s="58" t="str">
        <f>IF('AYIRA MINI MART FINAL MENU - Pr'!D991="", "", 'AYIRA MINI MART FINAL MENU - Pr'!D991)</f>
        <v>اكتشف Lusine Flaky Butter Puff – Feta (80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91" s="56" t="str">
        <f>IF('AYIRA MINI MART FINAL MENU - Pr'!E991="", "", 'AYIRA MINI MART FINAL MENU - Pr'!E991)</f>
        <v/>
      </c>
      <c r="F991" s="56" t="str">
        <f>IF('AYIRA MINI MART FINAL MENU - Pr'!F991="", "", 'AYIRA MINI MART FINAL MENU - Pr'!F991)</f>
        <v/>
      </c>
      <c r="G991" s="56" t="str">
        <f>IF('AYIRA MINI MART FINAL MENU - Pr'!G991="", "", 'AYIRA MINI MART FINAL MENU - Pr'!G991)</f>
        <v/>
      </c>
      <c r="H991" s="56" t="str">
        <f>IF('AYIRA MINI MART FINAL MENU - Pr'!H991="", "", 'AYIRA MINI MART FINAL MENU - Pr'!H991)</f>
        <v/>
      </c>
      <c r="I991" s="56" t="str">
        <f>IF('AYIRA MINI MART FINAL MENU - Pr'!I991="", "", 'AYIRA MINI MART FINAL MENU - Pr'!I991)</f>
        <v/>
      </c>
      <c r="J991" s="56" t="str">
        <f>IFERROR(__xludf.DUMMYFUNCTION("IF('AYIRA MINI MART FINAL MENU - Pr'!J991="""", """", GOOGLETRANSLATE('AYIRA MINI MART FINAL MENU - Pr'!J991, ""en"", ""ar""))"),"")</f>
        <v/>
      </c>
      <c r="K991" s="56" t="str">
        <f>IF('AYIRA MINI MART FINAL MENU - Pr'!K991="", "", 'AYIRA MINI MART FINAL MENU - Pr'!K991)</f>
        <v/>
      </c>
      <c r="L991" s="56" t="str">
        <f>IF('AYIRA MINI MART FINAL MENU - Pr'!L991="", "", 'AYIRA MINI MART FINAL MENU - Pr'!L991)</f>
        <v/>
      </c>
      <c r="M991" s="56" t="str">
        <f>IF('AYIRA MINI MART FINAL MENU - Pr'!M991="", "", 'AYIRA MINI MART FINAL MENU - Pr'!M991)</f>
        <v/>
      </c>
      <c r="N991" s="56" t="str">
        <f>IF('AYIRA MINI MART FINAL MENU - Pr'!N991="", "", 'AYIRA MINI MART FINAL MENU - Pr'!N991)</f>
        <v/>
      </c>
      <c r="O991" s="57"/>
      <c r="P991" s="57"/>
      <c r="Q991" s="57"/>
      <c r="R991" s="57"/>
      <c r="S991" s="57"/>
      <c r="T991" s="57"/>
      <c r="U991" s="57"/>
      <c r="V991" s="57"/>
      <c r="W991" s="57"/>
      <c r="X991" s="57"/>
      <c r="Y991" s="57"/>
      <c r="Z991" s="57"/>
    </row>
    <row r="992">
      <c r="A992" s="56" t="str">
        <f>IFERROR(__xludf.DUMMYFUNCTION("IF('AYIRA MINI MART FINAL MENU - Pr'!A992="""", """", IF(LEN(TRIM(REGEXREPLACE(REGEXREPLACE('AYIRA MINI MART FINAL MENU - Pr'!A992, ""^[^\x{0600}-\x{06FF}]+"", """"), ""^[-–\s]+"", """")))&gt;0, TRIM(REGEXREPLACE(REGEXREPLACE('AYIRA MINI MART FINAL MENU - Pr"&amp;"'!A992, ""^[^\x{0600}-\x{06FF}]+"", """"), ""^[-–\s]+"", """")), GOOGLETRANSLATE('AYIRA MINI MART FINAL MENU - Pr'!A992, ""en"", ""ar"")))"),"شوكولاتة Puff (70 غرام)")</f>
        <v>شوكولاتة Puff (70 غرام)</v>
      </c>
      <c r="B992" s="56" t="str">
        <f>IFERROR(__xludf.DUMMYFUNCTION("IF('AYIRA MINI MART FINAL MENU - Pr'!B992="""", """", IF(LEN(TRIM(REGEXREPLACE(REGEXREPLACE('AYIRA MINI MART FINAL MENU - Pr'!B992, ""^[^\x{0600}-\x{06FF}]+"", """"), ""^[-–\s]+"", """")))&gt;0, TRIM(REGEXREPLACE(REGEXREPLACE('AYIRA MINI MART FINAL MENU - Pr"&amp;"'!B992, ""^[^\x{0600}-\x{06FF}]+"", """"), ""^[-–\s]+"", """")), GOOGLETRANSLATE('AYIRA MINI MART FINAL MENU - Pr'!B992, ""en"", ""ar"")))"),"المخبوزات والمعجنات")</f>
        <v>المخبوزات والمعجنات</v>
      </c>
      <c r="C992" s="58">
        <f>IF('AYIRA MINI MART FINAL MENU - Pr'!C992="", "", 'AYIRA MINI MART FINAL MENU - Pr'!C992)</f>
        <v>2</v>
      </c>
      <c r="D992" s="58" t="str">
        <f>IF('AYIRA MINI MART FINAL MENU - Pr'!D992="", "", 'AYIRA MINI MART FINAL MENU - Pr'!D992)</f>
        <v>دلّل حواسك مع Lusine Chocolate Puff (70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92" s="56" t="str">
        <f>IF('AYIRA MINI MART FINAL MENU - Pr'!E992="", "", 'AYIRA MINI MART FINAL MENU - Pr'!E992)</f>
        <v/>
      </c>
      <c r="F992" s="56" t="str">
        <f>IF('AYIRA MINI MART FINAL MENU - Pr'!F992="", "", 'AYIRA MINI MART FINAL MENU - Pr'!F992)</f>
        <v/>
      </c>
      <c r="G992" s="56" t="str">
        <f>IF('AYIRA MINI MART FINAL MENU - Pr'!G992="", "", 'AYIRA MINI MART FINAL MENU - Pr'!G992)</f>
        <v/>
      </c>
      <c r="H992" s="56" t="str">
        <f>IF('AYIRA MINI MART FINAL MENU - Pr'!H992="", "", 'AYIRA MINI MART FINAL MENU - Pr'!H992)</f>
        <v/>
      </c>
      <c r="I992" s="56" t="str">
        <f>IF('AYIRA MINI MART FINAL MENU - Pr'!I992="", "", 'AYIRA MINI MART FINAL MENU - Pr'!I992)</f>
        <v/>
      </c>
      <c r="J992" s="56" t="str">
        <f>IFERROR(__xludf.DUMMYFUNCTION("IF('AYIRA MINI MART FINAL MENU - Pr'!J992="""", """", GOOGLETRANSLATE('AYIRA MINI MART FINAL MENU - Pr'!J992, ""en"", ""ar""))"),"")</f>
        <v/>
      </c>
      <c r="K992" s="56" t="str">
        <f>IF('AYIRA MINI MART FINAL MENU - Pr'!K992="", "", 'AYIRA MINI MART FINAL MENU - Pr'!K992)</f>
        <v/>
      </c>
      <c r="L992" s="56" t="str">
        <f>IF('AYIRA MINI MART FINAL MENU - Pr'!L992="", "", 'AYIRA MINI MART FINAL MENU - Pr'!L992)</f>
        <v/>
      </c>
      <c r="M992" s="56" t="str">
        <f>IF('AYIRA MINI MART FINAL MENU - Pr'!M992="", "", 'AYIRA MINI MART FINAL MENU - Pr'!M992)</f>
        <v/>
      </c>
      <c r="N992" s="56" t="str">
        <f>IF('AYIRA MINI MART FINAL MENU - Pr'!N992="", "", 'AYIRA MINI MART FINAL MENU - Pr'!N992)</f>
        <v/>
      </c>
      <c r="O992" s="57"/>
      <c r="P992" s="57"/>
      <c r="Q992" s="57"/>
      <c r="R992" s="57"/>
      <c r="S992" s="57"/>
      <c r="T992" s="57"/>
      <c r="U992" s="57"/>
      <c r="V992" s="57"/>
      <c r="W992" s="57"/>
      <c r="X992" s="57"/>
      <c r="Y992" s="57"/>
      <c r="Z992" s="57"/>
    </row>
    <row r="993">
      <c r="A993" s="56" t="str">
        <f>IFERROR(__xludf.DUMMYFUNCTION("IF('AYIRA MINI MART FINAL MENU - Pr'!A993="""", """", IF(LEN(TRIM(REGEXREPLACE(REGEXREPLACE('AYIRA MINI MART FINAL MENU - Pr'!A993, ""^[^\x{0600}-\x{06FF}]+"", """"), ""^[-–\s]+"", """")))&gt;0, TRIM(REGEXREPLACE(REGEXREPLACE('AYIRA MINI MART FINAL MENU - Pr"&amp;"'!A993, ""^[^\x{0600}-\x{06FF}]+"", """"), ""^[-–\s]+"", """")), GOOGLETRANSLATE('AYIRA MINI MART FINAL MENU - Pr'!A993, ""en"", ""ar"")))"),"تفاح Puff (70 غرام)")</f>
        <v>تفاح Puff (70 غرام)</v>
      </c>
      <c r="B993" s="56" t="str">
        <f>IFERROR(__xludf.DUMMYFUNCTION("IF('AYIRA MINI MART FINAL MENU - Pr'!B993="""", """", IF(LEN(TRIM(REGEXREPLACE(REGEXREPLACE('AYIRA MINI MART FINAL MENU - Pr'!B993, ""^[^\x{0600}-\x{06FF}]+"", """"), ""^[-–\s]+"", """")))&gt;0, TRIM(REGEXREPLACE(REGEXREPLACE('AYIRA MINI MART FINAL MENU - Pr"&amp;"'!B993, ""^[^\x{0600}-\x{06FF}]+"", """"), ""^[-–\s]+"", """")), GOOGLETRANSLATE('AYIRA MINI MART FINAL MENU - Pr'!B993, ""en"", ""ar"")))"),"المخبوزات والمعجنات")</f>
        <v>المخبوزات والمعجنات</v>
      </c>
      <c r="C993" s="58">
        <f>IF('AYIRA MINI MART FINAL MENU - Pr'!C993="", "", 'AYIRA MINI MART FINAL MENU - Pr'!C993)</f>
        <v>2</v>
      </c>
      <c r="D993" s="58" t="str">
        <f>IF('AYIRA MINI MART FINAL MENU - Pr'!D993="", "", 'AYIRA MINI MART FINAL MENU - Pr'!D993)</f>
        <v>اكتشف Lusine Apple Puff (70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93" s="56" t="str">
        <f>IF('AYIRA MINI MART FINAL MENU - Pr'!E993="", "", 'AYIRA MINI MART FINAL MENU - Pr'!E993)</f>
        <v/>
      </c>
      <c r="F993" s="56" t="str">
        <f>IF('AYIRA MINI MART FINAL MENU - Pr'!F993="", "", 'AYIRA MINI MART FINAL MENU - Pr'!F993)</f>
        <v/>
      </c>
      <c r="G993" s="56" t="str">
        <f>IF('AYIRA MINI MART FINAL MENU - Pr'!G993="", "", 'AYIRA MINI MART FINAL MENU - Pr'!G993)</f>
        <v/>
      </c>
      <c r="H993" s="56" t="str">
        <f>IF('AYIRA MINI MART FINAL MENU - Pr'!H993="", "", 'AYIRA MINI MART FINAL MENU - Pr'!H993)</f>
        <v/>
      </c>
      <c r="I993" s="56" t="str">
        <f>IF('AYIRA MINI MART FINAL MENU - Pr'!I993="", "", 'AYIRA MINI MART FINAL MENU - Pr'!I993)</f>
        <v/>
      </c>
      <c r="J993" s="56" t="str">
        <f>IFERROR(__xludf.DUMMYFUNCTION("IF('AYIRA MINI MART FINAL MENU - Pr'!J993="""", """", GOOGLETRANSLATE('AYIRA MINI MART FINAL MENU - Pr'!J993, ""en"", ""ar""))"),"")</f>
        <v/>
      </c>
      <c r="K993" s="56" t="str">
        <f>IF('AYIRA MINI MART FINAL MENU - Pr'!K993="", "", 'AYIRA MINI MART FINAL MENU - Pr'!K993)</f>
        <v/>
      </c>
      <c r="L993" s="56" t="str">
        <f>IF('AYIRA MINI MART FINAL MENU - Pr'!L993="", "", 'AYIRA MINI MART FINAL MENU - Pr'!L993)</f>
        <v/>
      </c>
      <c r="M993" s="56" t="str">
        <f>IF('AYIRA MINI MART FINAL MENU - Pr'!M993="", "", 'AYIRA MINI MART FINAL MENU - Pr'!M993)</f>
        <v/>
      </c>
      <c r="N993" s="56" t="str">
        <f>IF('AYIRA MINI MART FINAL MENU - Pr'!N993="", "", 'AYIRA MINI MART FINAL MENU - Pr'!N993)</f>
        <v/>
      </c>
      <c r="O993" s="57"/>
      <c r="P993" s="57"/>
      <c r="Q993" s="57"/>
      <c r="R993" s="57"/>
      <c r="S993" s="57"/>
      <c r="T993" s="57"/>
      <c r="U993" s="57"/>
      <c r="V993" s="57"/>
      <c r="W993" s="57"/>
      <c r="X993" s="57"/>
      <c r="Y993" s="57"/>
      <c r="Z993" s="57"/>
    </row>
    <row r="994">
      <c r="A994" s="56" t="str">
        <f>IFERROR(__xludf.DUMMYFUNCTION("IF('AYIRA MINI MART FINAL MENU - Pr'!A994="""", """", IF(LEN(TRIM(REGEXREPLACE(REGEXREPLACE('AYIRA MINI MART FINAL MENU - Pr'!A994, ""^[^\x{0600}-\x{06FF}]+"", """"), ""^[-–\s]+"", """")))&gt;0, TRIM(REGEXREPLACE(REGEXREPLACE('AYIRA MINI MART FINAL MENU - Pr"&amp;"'!A994, ""^[^\x{0600}-\x{06FF}]+"", """"), ""^[-–\s]+"", """")), GOOGLETRANSLATE('AYIRA MINI MART FINAL MENU - Pr'!A994, ""en"", ""ar"")))"),"شوكولاتة Cupcake (60 غرام)")</f>
        <v>شوكولاتة Cupcake (60 غرام)</v>
      </c>
      <c r="B994" s="56" t="str">
        <f>IFERROR(__xludf.DUMMYFUNCTION("IF('AYIRA MINI MART FINAL MENU - Pr'!B994="""", """", IF(LEN(TRIM(REGEXREPLACE(REGEXREPLACE('AYIRA MINI MART FINAL MENU - Pr'!B994, ""^[^\x{0600}-\x{06FF}]+"", """"), ""^[-–\s]+"", """")))&gt;0, TRIM(REGEXREPLACE(REGEXREPLACE('AYIRA MINI MART FINAL MENU - Pr"&amp;"'!B994, ""^[^\x{0600}-\x{06FF}]+"", """"), ""^[-–\s]+"", """")), GOOGLETRANSLATE('AYIRA MINI MART FINAL MENU - Pr'!B994, ""en"", ""ar"")))"),"المخبوزات والمعجنات")</f>
        <v>المخبوزات والمعجنات</v>
      </c>
      <c r="C994" s="58">
        <f>IF('AYIRA MINI MART FINAL MENU - Pr'!C994="", "", 'AYIRA MINI MART FINAL MENU - Pr'!C994)</f>
        <v>2</v>
      </c>
      <c r="D994" s="58" t="str">
        <f>IF('AYIRA MINI MART FINAL MENU - Pr'!D994="", "", 'AYIRA MINI MART FINAL MENU - Pr'!D994)</f>
        <v>دلّل حواسك مع Lusine Chocolate Cupcake (60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94" s="56" t="str">
        <f>IF('AYIRA MINI MART FINAL MENU - Pr'!E994="", "", 'AYIRA MINI MART FINAL MENU - Pr'!E994)</f>
        <v/>
      </c>
      <c r="F994" s="56" t="str">
        <f>IF('AYIRA MINI MART FINAL MENU - Pr'!F994="", "", 'AYIRA MINI MART FINAL MENU - Pr'!F994)</f>
        <v/>
      </c>
      <c r="G994" s="56" t="str">
        <f>IF('AYIRA MINI MART FINAL MENU - Pr'!G994="", "", 'AYIRA MINI MART FINAL MENU - Pr'!G994)</f>
        <v/>
      </c>
      <c r="H994" s="56" t="str">
        <f>IF('AYIRA MINI MART FINAL MENU - Pr'!H994="", "", 'AYIRA MINI MART FINAL MENU - Pr'!H994)</f>
        <v/>
      </c>
      <c r="I994" s="56" t="str">
        <f>IF('AYIRA MINI MART FINAL MENU - Pr'!I994="", "", 'AYIRA MINI MART FINAL MENU - Pr'!I994)</f>
        <v/>
      </c>
      <c r="J994" s="56" t="str">
        <f>IFERROR(__xludf.DUMMYFUNCTION("IF('AYIRA MINI MART FINAL MENU - Pr'!J994="""", """", GOOGLETRANSLATE('AYIRA MINI MART FINAL MENU - Pr'!J994, ""en"", ""ar""))"),"")</f>
        <v/>
      </c>
      <c r="K994" s="56" t="str">
        <f>IF('AYIRA MINI MART FINAL MENU - Pr'!K994="", "", 'AYIRA MINI MART FINAL MENU - Pr'!K994)</f>
        <v/>
      </c>
      <c r="L994" s="56" t="str">
        <f>IF('AYIRA MINI MART FINAL MENU - Pr'!L994="", "", 'AYIRA MINI MART FINAL MENU - Pr'!L994)</f>
        <v/>
      </c>
      <c r="M994" s="56" t="str">
        <f>IF('AYIRA MINI MART FINAL MENU - Pr'!M994="", "", 'AYIRA MINI MART FINAL MENU - Pr'!M994)</f>
        <v/>
      </c>
      <c r="N994" s="56" t="str">
        <f>IF('AYIRA MINI MART FINAL MENU - Pr'!N994="", "", 'AYIRA MINI MART FINAL MENU - Pr'!N994)</f>
        <v/>
      </c>
      <c r="O994" s="57"/>
      <c r="P994" s="57"/>
      <c r="Q994" s="57"/>
      <c r="R994" s="57"/>
      <c r="S994" s="57"/>
      <c r="T994" s="57"/>
      <c r="U994" s="57"/>
      <c r="V994" s="57"/>
      <c r="W994" s="57"/>
      <c r="X994" s="57"/>
      <c r="Y994" s="57"/>
      <c r="Z994" s="57"/>
    </row>
    <row r="995">
      <c r="A995" s="56" t="str">
        <f>IFERROR(__xludf.DUMMYFUNCTION("IF('AYIRA MINI MART FINAL MENU - Pr'!A995="""", """", IF(LEN(TRIM(REGEXREPLACE(REGEXREPLACE('AYIRA MINI MART FINAL MENU - Pr'!A995, ""^[^\x{0600}-\x{06FF}]+"", """"), ""^[-–\s]+"", """")))&gt;0, TRIM(REGEXREPLACE(REGEXREPLACE('AYIRA MINI MART FINAL MENU - Pr"&amp;"'!A995, ""^[^\x{0600}-\x{06FF}]+"", """"), ""^[-–\s]+"", """")), GOOGLETRANSLATE('AYIRA MINI MART FINAL MENU - Pr'!A995, ""en"", ""ar"")))"),"فانيليا Cupcake (60 غرام)")</f>
        <v>فانيليا Cupcake (60 غرام)</v>
      </c>
      <c r="B995" s="56" t="str">
        <f>IFERROR(__xludf.DUMMYFUNCTION("IF('AYIRA MINI MART FINAL MENU - Pr'!B995="""", """", IF(LEN(TRIM(REGEXREPLACE(REGEXREPLACE('AYIRA MINI MART FINAL MENU - Pr'!B995, ""^[^\x{0600}-\x{06FF}]+"", """"), ""^[-–\s]+"", """")))&gt;0, TRIM(REGEXREPLACE(REGEXREPLACE('AYIRA MINI MART FINAL MENU - Pr"&amp;"'!B995, ""^[^\x{0600}-\x{06FF}]+"", """"), ""^[-–\s]+"", """")), GOOGLETRANSLATE('AYIRA MINI MART FINAL MENU - Pr'!B995, ""en"", ""ar"")))"),"المخبوزات والمعجنات")</f>
        <v>المخبوزات والمعجنات</v>
      </c>
      <c r="C995" s="58">
        <f>IF('AYIRA MINI MART FINAL MENU - Pr'!C995="", "", 'AYIRA MINI MART FINAL MENU - Pr'!C995)</f>
        <v>2</v>
      </c>
      <c r="D995" s="58" t="str">
        <f>IF('AYIRA MINI MART FINAL MENU - Pr'!D995="", "", 'AYIRA MINI MART FINAL MENU - Pr'!D995)</f>
        <v>اكتشف Lusine Vanilla Cupcake (60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95" s="56" t="str">
        <f>IF('AYIRA MINI MART FINAL MENU - Pr'!E995="", "", 'AYIRA MINI MART FINAL MENU - Pr'!E995)</f>
        <v/>
      </c>
      <c r="F995" s="56" t="str">
        <f>IF('AYIRA MINI MART FINAL MENU - Pr'!F995="", "", 'AYIRA MINI MART FINAL MENU - Pr'!F995)</f>
        <v/>
      </c>
      <c r="G995" s="56" t="str">
        <f>IF('AYIRA MINI MART FINAL MENU - Pr'!G995="", "", 'AYIRA MINI MART FINAL MENU - Pr'!G995)</f>
        <v/>
      </c>
      <c r="H995" s="56" t="str">
        <f>IF('AYIRA MINI MART FINAL MENU - Pr'!H995="", "", 'AYIRA MINI MART FINAL MENU - Pr'!H995)</f>
        <v/>
      </c>
      <c r="I995" s="56" t="str">
        <f>IF('AYIRA MINI MART FINAL MENU - Pr'!I995="", "", 'AYIRA MINI MART FINAL MENU - Pr'!I995)</f>
        <v/>
      </c>
      <c r="J995" s="56" t="str">
        <f>IFERROR(__xludf.DUMMYFUNCTION("IF('AYIRA MINI MART FINAL MENU - Pr'!J995="""", """", GOOGLETRANSLATE('AYIRA MINI MART FINAL MENU - Pr'!J995, ""en"", ""ar""))"),"")</f>
        <v/>
      </c>
      <c r="K995" s="56" t="str">
        <f>IF('AYIRA MINI MART FINAL MENU - Pr'!K995="", "", 'AYIRA MINI MART FINAL MENU - Pr'!K995)</f>
        <v/>
      </c>
      <c r="L995" s="56" t="str">
        <f>IF('AYIRA MINI MART FINAL MENU - Pr'!L995="", "", 'AYIRA MINI MART FINAL MENU - Pr'!L995)</f>
        <v/>
      </c>
      <c r="M995" s="56" t="str">
        <f>IF('AYIRA MINI MART FINAL MENU - Pr'!M995="", "", 'AYIRA MINI MART FINAL MENU - Pr'!M995)</f>
        <v/>
      </c>
      <c r="N995" s="56" t="str">
        <f>IF('AYIRA MINI MART FINAL MENU - Pr'!N995="", "", 'AYIRA MINI MART FINAL MENU - Pr'!N995)</f>
        <v/>
      </c>
      <c r="O995" s="57"/>
      <c r="P995" s="57"/>
      <c r="Q995" s="57"/>
      <c r="R995" s="57"/>
      <c r="S995" s="57"/>
      <c r="T995" s="57"/>
      <c r="U995" s="57"/>
      <c r="V995" s="57"/>
      <c r="W995" s="57"/>
      <c r="X995" s="57"/>
      <c r="Y995" s="57"/>
      <c r="Z995" s="57"/>
    </row>
    <row r="996">
      <c r="A996" s="56" t="str">
        <f>IFERROR(__xludf.DUMMYFUNCTION("IF('AYIRA MINI MART FINAL MENU - Pr'!A996="""", """", IF(LEN(TRIM(REGEXREPLACE(REGEXREPLACE('AYIRA MINI MART FINAL MENU - Pr'!A996, ""^[^\x{0600}-\x{06FF}]+"", """"), ""^[-–\s]+"", """")))&gt;0, TRIM(REGEXREPLACE(REGEXREPLACE('AYIRA MINI MART FINAL MENU - Pr"&amp;"'!A996, ""^[^\x{0600}-\x{06FF}]+"", """"), ""^[-–\s]+"", """")), GOOGLETRANSLATE('AYIRA MINI MART FINAL MENU - Pr'!A996, ""en"", ""ar"")))"),"فراولة Cupcake (60 غرام)")</f>
        <v>فراولة Cupcake (60 غرام)</v>
      </c>
      <c r="B996" s="56" t="str">
        <f>IFERROR(__xludf.DUMMYFUNCTION("IF('AYIRA MINI MART FINAL MENU - Pr'!B996="""", """", IF(LEN(TRIM(REGEXREPLACE(REGEXREPLACE('AYIRA MINI MART FINAL MENU - Pr'!B996, ""^[^\x{0600}-\x{06FF}]+"", """"), ""^[-–\s]+"", """")))&gt;0, TRIM(REGEXREPLACE(REGEXREPLACE('AYIRA MINI MART FINAL MENU - Pr"&amp;"'!B996, ""^[^\x{0600}-\x{06FF}]+"", """"), ""^[-–\s]+"", """")), GOOGLETRANSLATE('AYIRA MINI MART FINAL MENU - Pr'!B996, ""en"", ""ar"")))"),"المخبوزات والمعجنات")</f>
        <v>المخبوزات والمعجنات</v>
      </c>
      <c r="C996" s="58">
        <f>IF('AYIRA MINI MART FINAL MENU - Pr'!C996="", "", 'AYIRA MINI MART FINAL MENU - Pr'!C996)</f>
        <v>2</v>
      </c>
      <c r="D996" s="58" t="str">
        <f>IF('AYIRA MINI MART FINAL MENU - Pr'!D996="", "", 'AYIRA MINI MART FINAL MENU - Pr'!D996)</f>
        <v>اكتشف Lusine Strawberry Cupcake (60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96" s="56" t="str">
        <f>IF('AYIRA MINI MART FINAL MENU - Pr'!E996="", "", 'AYIRA MINI MART FINAL MENU - Pr'!E996)</f>
        <v/>
      </c>
      <c r="F996" s="56" t="str">
        <f>IF('AYIRA MINI MART FINAL MENU - Pr'!F996="", "", 'AYIRA MINI MART FINAL MENU - Pr'!F996)</f>
        <v/>
      </c>
      <c r="G996" s="56" t="str">
        <f>IF('AYIRA MINI MART FINAL MENU - Pr'!G996="", "", 'AYIRA MINI MART FINAL MENU - Pr'!G996)</f>
        <v/>
      </c>
      <c r="H996" s="56" t="str">
        <f>IF('AYIRA MINI MART FINAL MENU - Pr'!H996="", "", 'AYIRA MINI MART FINAL MENU - Pr'!H996)</f>
        <v/>
      </c>
      <c r="I996" s="56" t="str">
        <f>IF('AYIRA MINI MART FINAL MENU - Pr'!I996="", "", 'AYIRA MINI MART FINAL MENU - Pr'!I996)</f>
        <v/>
      </c>
      <c r="J996" s="56" t="str">
        <f>IFERROR(__xludf.DUMMYFUNCTION("IF('AYIRA MINI MART FINAL MENU - Pr'!J996="""", """", GOOGLETRANSLATE('AYIRA MINI MART FINAL MENU - Pr'!J996, ""en"", ""ar""))"),"")</f>
        <v/>
      </c>
      <c r="K996" s="56" t="str">
        <f>IF('AYIRA MINI MART FINAL MENU - Pr'!K996="", "", 'AYIRA MINI MART FINAL MENU - Pr'!K996)</f>
        <v/>
      </c>
      <c r="L996" s="56" t="str">
        <f>IF('AYIRA MINI MART FINAL MENU - Pr'!L996="", "", 'AYIRA MINI MART FINAL MENU - Pr'!L996)</f>
        <v/>
      </c>
      <c r="M996" s="56" t="str">
        <f>IF('AYIRA MINI MART FINAL MENU - Pr'!M996="", "", 'AYIRA MINI MART FINAL MENU - Pr'!M996)</f>
        <v/>
      </c>
      <c r="N996" s="56" t="str">
        <f>IF('AYIRA MINI MART FINAL MENU - Pr'!N996="", "", 'AYIRA MINI MART FINAL MENU - Pr'!N996)</f>
        <v/>
      </c>
      <c r="O996" s="57"/>
      <c r="P996" s="57"/>
      <c r="Q996" s="57"/>
      <c r="R996" s="57"/>
      <c r="S996" s="57"/>
      <c r="T996" s="57"/>
      <c r="U996" s="57"/>
      <c r="V996" s="57"/>
      <c r="W996" s="57"/>
      <c r="X996" s="57"/>
      <c r="Y996" s="57"/>
      <c r="Z996" s="57"/>
    </row>
    <row r="997">
      <c r="A997" s="56" t="str">
        <f>IFERROR(__xludf.DUMMYFUNCTION("IF('AYIRA MINI MART FINAL MENU - Pr'!A997="""", """", IF(LEN(TRIM(REGEXREPLACE(REGEXREPLACE('AYIRA MINI MART FINAL MENU - Pr'!A997, ""^[^\x{0600}-\x{06FF}]+"", """"), ""^[-–\s]+"", """")))&gt;0, TRIM(REGEXREPLACE(REGEXREPLACE('AYIRA MINI MART FINAL MENU - Pr"&amp;"'!A997, ""^[^\x{0600}-\x{06FF}]+"", """"), ""^[-–\s]+"", """")), GOOGLETRANSLATE('AYIRA MINI MART FINAL MENU - Pr'!A997, ""en"", ""ar"")))"),"زبدة Croissant (85 غرام)")</f>
        <v>زبدة Croissant (85 غرام)</v>
      </c>
      <c r="B997" s="56" t="str">
        <f>IFERROR(__xludf.DUMMYFUNCTION("IF('AYIRA MINI MART FINAL MENU - Pr'!B997="""", """", IF(LEN(TRIM(REGEXREPLACE(REGEXREPLACE('AYIRA MINI MART FINAL MENU - Pr'!B997, ""^[^\x{0600}-\x{06FF}]+"", """"), ""^[-–\s]+"", """")))&gt;0, TRIM(REGEXREPLACE(REGEXREPLACE('AYIRA MINI MART FINAL MENU - Pr"&amp;"'!B997, ""^[^\x{0600}-\x{06FF}]+"", """"), ""^[-–\s]+"", """")), GOOGLETRANSLATE('AYIRA MINI MART FINAL MENU - Pr'!B997, ""en"", ""ar"")))"),"المخبوزات والمعجنات")</f>
        <v>المخبوزات والمعجنات</v>
      </c>
      <c r="C997" s="58">
        <f>IF('AYIRA MINI MART FINAL MENU - Pr'!C997="", "", 'AYIRA MINI MART FINAL MENU - Pr'!C997)</f>
        <v>3</v>
      </c>
      <c r="D997" s="58" t="str">
        <f>IF('AYIRA MINI MART FINAL MENU - Pr'!D997="", "", 'AYIRA MINI MART FINAL MENU - Pr'!D997)</f>
        <v>اكتشف Lusine Butter Croissant (85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97" s="56" t="str">
        <f>IF('AYIRA MINI MART FINAL MENU - Pr'!E997="", "", 'AYIRA MINI MART FINAL MENU - Pr'!E997)</f>
        <v/>
      </c>
      <c r="F997" s="56" t="str">
        <f>IF('AYIRA MINI MART FINAL MENU - Pr'!F997="", "", 'AYIRA MINI MART FINAL MENU - Pr'!F997)</f>
        <v/>
      </c>
      <c r="G997" s="56" t="str">
        <f>IF('AYIRA MINI MART FINAL MENU - Pr'!G997="", "", 'AYIRA MINI MART FINAL MENU - Pr'!G997)</f>
        <v/>
      </c>
      <c r="H997" s="56" t="str">
        <f>IF('AYIRA MINI MART FINAL MENU - Pr'!H997="", "", 'AYIRA MINI MART FINAL MENU - Pr'!H997)</f>
        <v/>
      </c>
      <c r="I997" s="56" t="str">
        <f>IF('AYIRA MINI MART FINAL MENU - Pr'!I997="", "", 'AYIRA MINI MART FINAL MENU - Pr'!I997)</f>
        <v/>
      </c>
      <c r="J997" s="56" t="str">
        <f>IFERROR(__xludf.DUMMYFUNCTION("IF('AYIRA MINI MART FINAL MENU - Pr'!J997="""", """", GOOGLETRANSLATE('AYIRA MINI MART FINAL MENU - Pr'!J997, ""en"", ""ar""))"),"")</f>
        <v/>
      </c>
      <c r="K997" s="56" t="str">
        <f>IF('AYIRA MINI MART FINAL MENU - Pr'!K997="", "", 'AYIRA MINI MART FINAL MENU - Pr'!K997)</f>
        <v/>
      </c>
      <c r="L997" s="56" t="str">
        <f>IF('AYIRA MINI MART FINAL MENU - Pr'!L997="", "", 'AYIRA MINI MART FINAL MENU - Pr'!L997)</f>
        <v/>
      </c>
      <c r="M997" s="56" t="str">
        <f>IF('AYIRA MINI MART FINAL MENU - Pr'!M997="", "", 'AYIRA MINI MART FINAL MENU - Pr'!M997)</f>
        <v/>
      </c>
      <c r="N997" s="56" t="str">
        <f>IF('AYIRA MINI MART FINAL MENU - Pr'!N997="", "", 'AYIRA MINI MART FINAL MENU - Pr'!N997)</f>
        <v/>
      </c>
      <c r="O997" s="57"/>
      <c r="P997" s="57"/>
      <c r="Q997" s="57"/>
      <c r="R997" s="57"/>
      <c r="S997" s="57"/>
      <c r="T997" s="57"/>
      <c r="U997" s="57"/>
      <c r="V997" s="57"/>
      <c r="W997" s="57"/>
      <c r="X997" s="57"/>
      <c r="Y997" s="57"/>
      <c r="Z997" s="57"/>
    </row>
    <row r="998">
      <c r="A998" s="56" t="str">
        <f>IFERROR(__xludf.DUMMYFUNCTION("IF('AYIRA MINI MART FINAL MENU - Pr'!A998="""", """", IF(LEN(TRIM(REGEXREPLACE(REGEXREPLACE('AYIRA MINI MART FINAL MENU - Pr'!A998, ""^[^\x{0600}-\x{06FF}]+"", """"), ""^[-–\s]+"", """")))&gt;0, TRIM(REGEXREPLACE(REGEXREPLACE('AYIRA MINI MART FINAL MENU - Pr"&amp;"'!A998, ""^[^\x{0600}-\x{06FF}]+"", """"), ""^[-–\s]+"", """")), GOOGLETRANSLATE('AYIRA MINI MART FINAL MENU - Pr'!A998, ""en"", ""ar"")))"),"فراولة Cupcake (30 غرام)")</f>
        <v>فراولة Cupcake (30 غرام)</v>
      </c>
      <c r="B998" s="56" t="str">
        <f>IFERROR(__xludf.DUMMYFUNCTION("IF('AYIRA MINI MART FINAL MENU - Pr'!B998="""", """", IF(LEN(TRIM(REGEXREPLACE(REGEXREPLACE('AYIRA MINI MART FINAL MENU - Pr'!B998, ""^[^\x{0600}-\x{06FF}]+"", """"), ""^[-–\s]+"", """")))&gt;0, TRIM(REGEXREPLACE(REGEXREPLACE('AYIRA MINI MART FINAL MENU - Pr"&amp;"'!B998, ""^[^\x{0600}-\x{06FF}]+"", """"), ""^[-–\s]+"", """")), GOOGLETRANSLATE('AYIRA MINI MART FINAL MENU - Pr'!B998, ""en"", ""ar"")))"),"المخبوزات والمعجنات")</f>
        <v>المخبوزات والمعجنات</v>
      </c>
      <c r="C998" s="58">
        <f>IF('AYIRA MINI MART FINAL MENU - Pr'!C998="", "", 'AYIRA MINI MART FINAL MENU - Pr'!C998)</f>
        <v>2</v>
      </c>
      <c r="D998" s="58" t="str">
        <f>IF('AYIRA MINI MART FINAL MENU - Pr'!D998="", "", 'AYIRA MINI MART FINAL MENU - Pr'!D998)</f>
        <v>اكتشف Lusine Strawberry Cupcake (30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998" s="56" t="str">
        <f>IF('AYIRA MINI MART FINAL MENU - Pr'!E998="", "", 'AYIRA MINI MART FINAL MENU - Pr'!E998)</f>
        <v/>
      </c>
      <c r="F998" s="56" t="str">
        <f>IF('AYIRA MINI MART FINAL MENU - Pr'!F998="", "", 'AYIRA MINI MART FINAL MENU - Pr'!F998)</f>
        <v/>
      </c>
      <c r="G998" s="56" t="str">
        <f>IF('AYIRA MINI MART FINAL MENU - Pr'!G998="", "", 'AYIRA MINI MART FINAL MENU - Pr'!G998)</f>
        <v/>
      </c>
      <c r="H998" s="56" t="str">
        <f>IF('AYIRA MINI MART FINAL MENU - Pr'!H998="", "", 'AYIRA MINI MART FINAL MENU - Pr'!H998)</f>
        <v/>
      </c>
      <c r="I998" s="56" t="str">
        <f>IF('AYIRA MINI MART FINAL MENU - Pr'!I998="", "", 'AYIRA MINI MART FINAL MENU - Pr'!I998)</f>
        <v/>
      </c>
      <c r="J998" s="56" t="str">
        <f>IFERROR(__xludf.DUMMYFUNCTION("IF('AYIRA MINI MART FINAL MENU - Pr'!J998="""", """", GOOGLETRANSLATE('AYIRA MINI MART FINAL MENU - Pr'!J998, ""en"", ""ar""))"),"")</f>
        <v/>
      </c>
      <c r="K998" s="56" t="str">
        <f>IF('AYIRA MINI MART FINAL MENU - Pr'!K998="", "", 'AYIRA MINI MART FINAL MENU - Pr'!K998)</f>
        <v/>
      </c>
      <c r="L998" s="56" t="str">
        <f>IF('AYIRA MINI MART FINAL MENU - Pr'!L998="", "", 'AYIRA MINI MART FINAL MENU - Pr'!L998)</f>
        <v/>
      </c>
      <c r="M998" s="56" t="str">
        <f>IF('AYIRA MINI MART FINAL MENU - Pr'!M998="", "", 'AYIRA MINI MART FINAL MENU - Pr'!M998)</f>
        <v/>
      </c>
      <c r="N998" s="56" t="str">
        <f>IF('AYIRA MINI MART FINAL MENU - Pr'!N998="", "", 'AYIRA MINI MART FINAL MENU - Pr'!N998)</f>
        <v/>
      </c>
      <c r="O998" s="57"/>
      <c r="P998" s="57"/>
      <c r="Q998" s="57"/>
      <c r="R998" s="57"/>
      <c r="S998" s="57"/>
      <c r="T998" s="57"/>
      <c r="U998" s="57"/>
      <c r="V998" s="57"/>
      <c r="W998" s="57"/>
      <c r="X998" s="57"/>
      <c r="Y998" s="57"/>
      <c r="Z998" s="57"/>
    </row>
    <row r="999">
      <c r="A999" s="56" t="str">
        <f>IFERROR(__xludf.DUMMYFUNCTION("IF('AYIRA MINI MART FINAL MENU - Pr'!A999="""", """", IF(LEN(TRIM(REGEXREPLACE(REGEXREPLACE('AYIRA MINI MART FINAL MENU - Pr'!A999, ""^[^\x{0600}-\x{06FF}]+"", """"), ""^[-–\s]+"", """")))&gt;0, TRIM(REGEXREPLACE(REGEXREPLACE('AYIRA MINI MART FINAL MENU - Pr"&amp;"'!A999, ""^[^\x{0600}-\x{06FF}]+"", """"), ""^[-–\s]+"", """")), GOOGLETRANSLATE('AYIRA MINI MART FINAL MENU - Pr'!A999, ""en"", ""ar"")))"),"شوكولاتة Cupcake (30 غرام)")</f>
        <v>شوكولاتة Cupcake (30 غرام)</v>
      </c>
      <c r="B999" s="56" t="str">
        <f>IFERROR(__xludf.DUMMYFUNCTION("IF('AYIRA MINI MART FINAL MENU - Pr'!B999="""", """", IF(LEN(TRIM(REGEXREPLACE(REGEXREPLACE('AYIRA MINI MART FINAL MENU - Pr'!B999, ""^[^\x{0600}-\x{06FF}]+"", """"), ""^[-–\s]+"", """")))&gt;0, TRIM(REGEXREPLACE(REGEXREPLACE('AYIRA MINI MART FINAL MENU - Pr"&amp;"'!B999, ""^[^\x{0600}-\x{06FF}]+"", """"), ""^[-–\s]+"", """")), GOOGLETRANSLATE('AYIRA MINI MART FINAL MENU - Pr'!B999, ""en"", ""ar"")))"),"المخبوزات والمعجنات")</f>
        <v>المخبوزات والمعجنات</v>
      </c>
      <c r="C999" s="58">
        <f>IF('AYIRA MINI MART FINAL MENU - Pr'!C999="", "", 'AYIRA MINI MART FINAL MENU - Pr'!C999)</f>
        <v>2</v>
      </c>
      <c r="D999" s="58" t="str">
        <f>IF('AYIRA MINI MART FINAL MENU - Pr'!D999="", "", 'AYIRA MINI MART FINAL MENU - Pr'!D999)</f>
        <v>دلّل حواسك مع Lusine Chocolate Cupcake (30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999" s="56" t="str">
        <f>IF('AYIRA MINI MART FINAL MENU - Pr'!E999="", "", 'AYIRA MINI MART FINAL MENU - Pr'!E999)</f>
        <v/>
      </c>
      <c r="F999" s="56" t="str">
        <f>IF('AYIRA MINI MART FINAL MENU - Pr'!F999="", "", 'AYIRA MINI MART FINAL MENU - Pr'!F999)</f>
        <v/>
      </c>
      <c r="G999" s="56" t="str">
        <f>IF('AYIRA MINI MART FINAL MENU - Pr'!G999="", "", 'AYIRA MINI MART FINAL MENU - Pr'!G999)</f>
        <v/>
      </c>
      <c r="H999" s="56" t="str">
        <f>IF('AYIRA MINI MART FINAL MENU - Pr'!H999="", "", 'AYIRA MINI MART FINAL MENU - Pr'!H999)</f>
        <v/>
      </c>
      <c r="I999" s="56" t="str">
        <f>IF('AYIRA MINI MART FINAL MENU - Pr'!I999="", "", 'AYIRA MINI MART FINAL MENU - Pr'!I999)</f>
        <v/>
      </c>
      <c r="J999" s="56" t="str">
        <f>IFERROR(__xludf.DUMMYFUNCTION("IF('AYIRA MINI MART FINAL MENU - Pr'!J999="""", """", GOOGLETRANSLATE('AYIRA MINI MART FINAL MENU - Pr'!J999, ""en"", ""ar""))"),"")</f>
        <v/>
      </c>
      <c r="K999" s="56" t="str">
        <f>IF('AYIRA MINI MART FINAL MENU - Pr'!K999="", "", 'AYIRA MINI MART FINAL MENU - Pr'!K999)</f>
        <v/>
      </c>
      <c r="L999" s="56" t="str">
        <f>IF('AYIRA MINI MART FINAL MENU - Pr'!L999="", "", 'AYIRA MINI MART FINAL MENU - Pr'!L999)</f>
        <v/>
      </c>
      <c r="M999" s="56" t="str">
        <f>IF('AYIRA MINI MART FINAL MENU - Pr'!M999="", "", 'AYIRA MINI MART FINAL MENU - Pr'!M999)</f>
        <v/>
      </c>
      <c r="N999" s="56" t="str">
        <f>IF('AYIRA MINI MART FINAL MENU - Pr'!N999="", "", 'AYIRA MINI MART FINAL MENU - Pr'!N999)</f>
        <v/>
      </c>
      <c r="O999" s="57"/>
      <c r="P999" s="57"/>
      <c r="Q999" s="57"/>
      <c r="R999" s="57"/>
      <c r="S999" s="57"/>
      <c r="T999" s="57"/>
      <c r="U999" s="57"/>
      <c r="V999" s="57"/>
      <c r="W999" s="57"/>
      <c r="X999" s="57"/>
      <c r="Y999" s="57"/>
      <c r="Z999" s="57"/>
    </row>
    <row r="1000">
      <c r="A1000" s="56" t="str">
        <f>IFERROR(__xludf.DUMMYFUNCTION("IF('AYIRA MINI MART FINAL MENU - Pr'!A1000="""", """", IF(LEN(TRIM(REGEXREPLACE(REGEXREPLACE('AYIRA MINI MART FINAL MENU - Pr'!A1000, ""^[^\x{0600}-\x{06FF}]+"", """"), ""^[-–\s]+"", """")))&gt;0, TRIM(REGEXREPLACE(REGEXREPLACE('AYIRA MINI MART FINAL MENU - "&amp;"Pr'!A1000, ""^[^\x{0600}-\x{06FF}]+"", """"), ""^[-–\s]+"", """")), GOOGLETRANSLATE('AYIRA MINI MART FINAL MENU - Pr'!A1000, ""en"", ""ar"")))"),"غرام)")</f>
        <v>غرام)</v>
      </c>
      <c r="B1000" s="56" t="str">
        <f>IFERROR(__xludf.DUMMYFUNCTION("IF('AYIRA MINI MART FINAL MENU - Pr'!B1000="""", """", IF(LEN(TRIM(REGEXREPLACE(REGEXREPLACE('AYIRA MINI MART FINAL MENU - Pr'!B1000, ""^[^\x{0600}-\x{06FF}]+"", """"), ""^[-–\s]+"", """")))&gt;0, TRIM(REGEXREPLACE(REGEXREPLACE('AYIRA MINI MART FINAL MENU - "&amp;"Pr'!B1000, ""^[^\x{0600}-\x{06FF}]+"", """"), ""^[-–\s]+"", """")), GOOGLETRANSLATE('AYIRA MINI MART FINAL MENU - Pr'!B1000, ""en"", ""ar"")))"),"المخبوزات والمعجنات")</f>
        <v>المخبوزات والمعجنات</v>
      </c>
      <c r="C1000" s="58">
        <f>IF('AYIRA MINI MART FINAL MENU - Pr'!C1000="", "", 'AYIRA MINI MART FINAL MENU - Pr'!C1000)</f>
        <v>2</v>
      </c>
      <c r="D1000" s="58" t="str">
        <f>IF('AYIRA MINI MART FINAL MENU - Pr'!D1000="", "", 'AYIRA MINI MART FINAL MENU - Pr'!D1000)</f>
        <v>اكتشف Lusine Pizza Puff (90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00" s="56" t="str">
        <f>IF('AYIRA MINI MART FINAL MENU - Pr'!E1000="", "", 'AYIRA MINI MART FINAL MENU - Pr'!E1000)</f>
        <v/>
      </c>
      <c r="F1000" s="56" t="str">
        <f>IF('AYIRA MINI MART FINAL MENU - Pr'!F1000="", "", 'AYIRA MINI MART FINAL MENU - Pr'!F1000)</f>
        <v/>
      </c>
      <c r="G1000" s="56" t="str">
        <f>IF('AYIRA MINI MART FINAL MENU - Pr'!G1000="", "", 'AYIRA MINI MART FINAL MENU - Pr'!G1000)</f>
        <v/>
      </c>
      <c r="H1000" s="56" t="str">
        <f>IF('AYIRA MINI MART FINAL MENU - Pr'!H1000="", "", 'AYIRA MINI MART FINAL MENU - Pr'!H1000)</f>
        <v/>
      </c>
      <c r="I1000" s="56" t="str">
        <f>IF('AYIRA MINI MART FINAL MENU - Pr'!I1000="", "", 'AYIRA MINI MART FINAL MENU - Pr'!I1000)</f>
        <v/>
      </c>
      <c r="J1000" s="56" t="str">
        <f>IFERROR(__xludf.DUMMYFUNCTION("IF('AYIRA MINI MART FINAL MENU - Pr'!J1000="""", """", GOOGLETRANSLATE('AYIRA MINI MART FINAL MENU - Pr'!J1000, ""en"", ""ar""))"),"")</f>
        <v/>
      </c>
      <c r="K1000" s="56" t="str">
        <f>IF('AYIRA MINI MART FINAL MENU - Pr'!K1000="", "", 'AYIRA MINI MART FINAL MENU - Pr'!K1000)</f>
        <v/>
      </c>
      <c r="L1000" s="56" t="str">
        <f>IF('AYIRA MINI MART FINAL MENU - Pr'!L1000="", "", 'AYIRA MINI MART FINAL MENU - Pr'!L1000)</f>
        <v/>
      </c>
      <c r="M1000" s="56" t="str">
        <f>IF('AYIRA MINI MART FINAL MENU - Pr'!M1000="", "", 'AYIRA MINI MART FINAL MENU - Pr'!M1000)</f>
        <v/>
      </c>
      <c r="N1000" s="56" t="str">
        <f>IF('AYIRA MINI MART FINAL MENU - Pr'!N1000="", "", 'AYIRA MINI MART FINAL MENU - Pr'!N1000)</f>
        <v/>
      </c>
      <c r="O1000" s="57"/>
      <c r="P1000" s="57"/>
      <c r="Q1000" s="57"/>
      <c r="R1000" s="57"/>
      <c r="S1000" s="57"/>
      <c r="T1000" s="57"/>
      <c r="U1000" s="57"/>
      <c r="V1000" s="57"/>
      <c r="W1000" s="57"/>
      <c r="X1000" s="57"/>
      <c r="Y1000" s="57"/>
      <c r="Z1000" s="57"/>
    </row>
    <row r="1001">
      <c r="A1001" s="56" t="str">
        <f>IFERROR(__xludf.DUMMYFUNCTION("IF('AYIRA MINI MART FINAL MENU - Pr'!A1001="""", """", IF(LEN(TRIM(REGEXREPLACE(REGEXREPLACE('AYIRA MINI MART FINAL MENU - Pr'!A1001, ""^[^\x{0600}-\x{06FF}]+"", """"), ""^[-–\s]+"", """")))&gt;0, TRIM(REGEXREPLACE(REGEXREPLACE('AYIRA MINI MART FINAL MENU - "&amp;"Pr'!A1001, ""^[^\x{0600}-\x{06FF}]+"", """"), ""^[-–\s]+"", """")), GOOGLETRANSLATE('AYIRA MINI MART FINAL MENU - Pr'!A1001, ""en"", ""ar"")))"),"جبنة Croissant (60 غرام)")</f>
        <v>جبنة Croissant (60 غرام)</v>
      </c>
      <c r="B1001" s="56" t="str">
        <f>IFERROR(__xludf.DUMMYFUNCTION("IF('AYIRA MINI MART FINAL MENU - Pr'!B1001="""", """", IF(LEN(TRIM(REGEXREPLACE(REGEXREPLACE('AYIRA MINI MART FINAL MENU - Pr'!B1001, ""^[^\x{0600}-\x{06FF}]+"", """"), ""^[-–\s]+"", """")))&gt;0, TRIM(REGEXREPLACE(REGEXREPLACE('AYIRA MINI MART FINAL MENU - "&amp;"Pr'!B1001, ""^[^\x{0600}-\x{06FF}]+"", """"), ""^[-–\s]+"", """")), GOOGLETRANSLATE('AYIRA MINI MART FINAL MENU - Pr'!B1001, ""en"", ""ar"")))"),"المخبوزات والمعجنات")</f>
        <v>المخبوزات والمعجنات</v>
      </c>
      <c r="C1001" s="58">
        <f>IF('AYIRA MINI MART FINAL MENU - Pr'!C1001="", "", 'AYIRA MINI MART FINAL MENU - Pr'!C1001)</f>
        <v>2</v>
      </c>
      <c r="D1001" s="58" t="str">
        <f>IF('AYIRA MINI MART FINAL MENU - Pr'!D1001="", "", 'AYIRA MINI MART FINAL MENU - Pr'!D1001)</f>
        <v>اكتشف Lusine Cheese Croissant (60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01" s="56" t="str">
        <f>IF('AYIRA MINI MART FINAL MENU - Pr'!E1001="", "", 'AYIRA MINI MART FINAL MENU - Pr'!E1001)</f>
        <v/>
      </c>
      <c r="F1001" s="56" t="str">
        <f>IF('AYIRA MINI MART FINAL MENU - Pr'!F1001="", "", 'AYIRA MINI MART FINAL MENU - Pr'!F1001)</f>
        <v/>
      </c>
      <c r="G1001" s="56" t="str">
        <f>IF('AYIRA MINI MART FINAL MENU - Pr'!G1001="", "", 'AYIRA MINI MART FINAL MENU - Pr'!G1001)</f>
        <v/>
      </c>
      <c r="H1001" s="56" t="str">
        <f>IF('AYIRA MINI MART FINAL MENU - Pr'!H1001="", "", 'AYIRA MINI MART FINAL MENU - Pr'!H1001)</f>
        <v/>
      </c>
      <c r="I1001" s="56" t="str">
        <f>IF('AYIRA MINI MART FINAL MENU - Pr'!I1001="", "", 'AYIRA MINI MART FINAL MENU - Pr'!I1001)</f>
        <v/>
      </c>
      <c r="J1001" s="56" t="str">
        <f>IFERROR(__xludf.DUMMYFUNCTION("IF('AYIRA MINI MART FINAL MENU - Pr'!J1001="""", """", GOOGLETRANSLATE('AYIRA MINI MART FINAL MENU - Pr'!J1001, ""en"", ""ar""))"),"")</f>
        <v/>
      </c>
      <c r="K1001" s="56" t="str">
        <f>IF('AYIRA MINI MART FINAL MENU - Pr'!K1001="", "", 'AYIRA MINI MART FINAL MENU - Pr'!K1001)</f>
        <v/>
      </c>
      <c r="L1001" s="56" t="str">
        <f>IF('AYIRA MINI MART FINAL MENU - Pr'!L1001="", "", 'AYIRA MINI MART FINAL MENU - Pr'!L1001)</f>
        <v/>
      </c>
      <c r="M1001" s="56" t="str">
        <f>IF('AYIRA MINI MART FINAL MENU - Pr'!M1001="", "", 'AYIRA MINI MART FINAL MENU - Pr'!M1001)</f>
        <v/>
      </c>
      <c r="N1001" s="56" t="str">
        <f>IF('AYIRA MINI MART FINAL MENU - Pr'!N1001="", "", 'AYIRA MINI MART FINAL MENU - Pr'!N1001)</f>
        <v/>
      </c>
      <c r="O1001" s="57"/>
      <c r="P1001" s="57"/>
      <c r="Q1001" s="57"/>
      <c r="R1001" s="57"/>
      <c r="S1001" s="57"/>
      <c r="T1001" s="57"/>
      <c r="U1001" s="57"/>
      <c r="V1001" s="57"/>
      <c r="W1001" s="57"/>
      <c r="X1001" s="57"/>
      <c r="Y1001" s="57"/>
      <c r="Z1001" s="57"/>
    </row>
    <row r="1002">
      <c r="A1002" s="56" t="str">
        <f>IFERROR(__xludf.DUMMYFUNCTION("IF('AYIRA MINI MART FINAL MENU - Pr'!A1002="""", """", IF(LEN(TRIM(REGEXREPLACE(REGEXREPLACE('AYIRA MINI MART FINAL MENU - Pr'!A1002, ""^[^\x{0600}-\x{06FF}]+"", """"), ""^[-–\s]+"", """")))&gt;0, TRIM(REGEXREPLACE(REGEXREPLACE('AYIRA MINI MART FINAL MENU - "&amp;"Pr'!A1002, ""^[^\x{0600}-\x{06FF}]+"", """"), ""^[-–\s]+"", """")), GOOGLETRANSLATE('AYIRA MINI MART FINAL MENU - Pr'!A1002, ""en"", ""ar"")))"),"بسكويت كريم زبدة Croissant (83 غرام)")</f>
        <v>بسكويت كريم زبدة Croissant (83 غرام)</v>
      </c>
      <c r="B1002" s="56" t="str">
        <f>IFERROR(__xludf.DUMMYFUNCTION("IF('AYIRA MINI MART FINAL MENU - Pr'!B1002="""", """", IF(LEN(TRIM(REGEXREPLACE(REGEXREPLACE('AYIRA MINI MART FINAL MENU - Pr'!B1002, ""^[^\x{0600}-\x{06FF}]+"", """"), ""^[-–\s]+"", """")))&gt;0, TRIM(REGEXREPLACE(REGEXREPLACE('AYIRA MINI MART FINAL MENU - "&amp;"Pr'!B1002, ""^[^\x{0600}-\x{06FF}]+"", """"), ""^[-–\s]+"", """")), GOOGLETRANSLATE('AYIRA MINI MART FINAL MENU - Pr'!B1002, ""en"", ""ar"")))"),"المخبوزات والمعجنات")</f>
        <v>المخبوزات والمعجنات</v>
      </c>
      <c r="C1002" s="58">
        <f>IF('AYIRA MINI MART FINAL MENU - Pr'!C1002="", "", 'AYIRA MINI MART FINAL MENU - Pr'!C1002)</f>
        <v>3.5</v>
      </c>
      <c r="D1002" s="58" t="str">
        <f>IF('AYIRA MINI MART FINAL MENU - Pr'!D1002="", "", 'AYIRA MINI MART FINAL MENU - Pr'!D1002)</f>
        <v>اكتشف Lusine Biscuit Cream Butter Croissant (83 g)،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02" s="56" t="str">
        <f>IF('AYIRA MINI MART FINAL MENU - Pr'!E1002="", "", 'AYIRA MINI MART FINAL MENU - Pr'!E1002)</f>
        <v/>
      </c>
      <c r="F1002" s="56" t="str">
        <f>IF('AYIRA MINI MART FINAL MENU - Pr'!F1002="", "", 'AYIRA MINI MART FINAL MENU - Pr'!F1002)</f>
        <v/>
      </c>
      <c r="G1002" s="56" t="str">
        <f>IF('AYIRA MINI MART FINAL MENU - Pr'!G1002="", "", 'AYIRA MINI MART FINAL MENU - Pr'!G1002)</f>
        <v/>
      </c>
      <c r="H1002" s="56" t="str">
        <f>IF('AYIRA MINI MART FINAL MENU - Pr'!H1002="", "", 'AYIRA MINI MART FINAL MENU - Pr'!H1002)</f>
        <v/>
      </c>
      <c r="I1002" s="56" t="str">
        <f>IF('AYIRA MINI MART FINAL MENU - Pr'!I1002="", "", 'AYIRA MINI MART FINAL MENU - Pr'!I1002)</f>
        <v/>
      </c>
      <c r="J1002" s="56" t="str">
        <f>IFERROR(__xludf.DUMMYFUNCTION("IF('AYIRA MINI MART FINAL MENU - Pr'!J1002="""", """", GOOGLETRANSLATE('AYIRA MINI MART FINAL MENU - Pr'!J1002, ""en"", ""ar""))"),"")</f>
        <v/>
      </c>
      <c r="K1002" s="56" t="str">
        <f>IF('AYIRA MINI MART FINAL MENU - Pr'!K1002="", "", 'AYIRA MINI MART FINAL MENU - Pr'!K1002)</f>
        <v/>
      </c>
      <c r="L1002" s="56" t="str">
        <f>IF('AYIRA MINI MART FINAL MENU - Pr'!L1002="", "", 'AYIRA MINI MART FINAL MENU - Pr'!L1002)</f>
        <v/>
      </c>
      <c r="M1002" s="56" t="str">
        <f>IF('AYIRA MINI MART FINAL MENU - Pr'!M1002="", "", 'AYIRA MINI MART FINAL MENU - Pr'!M1002)</f>
        <v/>
      </c>
      <c r="N1002" s="56" t="str">
        <f>IF('AYIRA MINI MART FINAL MENU - Pr'!N1002="", "", 'AYIRA MINI MART FINAL MENU - Pr'!N1002)</f>
        <v/>
      </c>
      <c r="O1002" s="57"/>
      <c r="P1002" s="57"/>
      <c r="Q1002" s="57"/>
      <c r="R1002" s="57"/>
      <c r="S1002" s="57"/>
      <c r="T1002" s="57"/>
      <c r="U1002" s="57"/>
      <c r="V1002" s="57"/>
      <c r="W1002" s="57"/>
      <c r="X1002" s="57"/>
      <c r="Y1002" s="57"/>
      <c r="Z1002" s="57"/>
    </row>
    <row r="1003">
      <c r="A1003" s="56" t="str">
        <f>IFERROR(__xludf.DUMMYFUNCTION("IF('AYIRA MINI MART FINAL MENU - Pr'!A1003="""", """", IF(LEN(TRIM(REGEXREPLACE(REGEXREPLACE('AYIRA MINI MART FINAL MENU - Pr'!A1003, ""^[^\x{0600}-\x{06FF}]+"", """"), ""^[-–\s]+"", """")))&gt;0, TRIM(REGEXREPLACE(REGEXREPLACE('AYIRA MINI MART FINAL MENU - "&amp;"Pr'!A1003, ""^[^\x{0600}-\x{06FF}]+"", """"), ""^[-–\s]+"", """")), GOOGLETRANSLATE('AYIRA MINI MART FINAL MENU - Pr'!A1003, ""en"", ""ar"")))"),"شوكولاتة ساندويتش 105 غرام")</f>
        <v>شوكولاتة ساندويتش 105 غرام</v>
      </c>
      <c r="B1003" s="56" t="str">
        <f>IFERROR(__xludf.DUMMYFUNCTION("IF('AYIRA MINI MART FINAL MENU - Pr'!B1003="""", """", IF(LEN(TRIM(REGEXREPLACE(REGEXREPLACE('AYIRA MINI MART FINAL MENU - Pr'!B1003, ""^[^\x{0600}-\x{06FF}]+"", """"), ""^[-–\s]+"", """")))&gt;0, TRIM(REGEXREPLACE(REGEXREPLACE('AYIRA MINI MART FINAL MENU - "&amp;"Pr'!B1003, ""^[^\x{0600}-\x{06FF}]+"", """"), ""^[-–\s]+"", """")), GOOGLETRANSLATE('AYIRA MINI MART FINAL MENU - Pr'!B1003, ""en"", ""ar"")))"),"المخبوزات والمعجنات")</f>
        <v>المخبوزات والمعجنات</v>
      </c>
      <c r="C1003" s="58">
        <f>IF('AYIRA MINI MART FINAL MENU - Pr'!C1003="", "", 'AYIRA MINI MART FINAL MENU - Pr'!C1003)</f>
        <v>3</v>
      </c>
      <c r="D1003" s="58" t="str">
        <f>IF('AYIRA MINI MART FINAL MENU - Pr'!D1003="", "", 'AYIRA MINI MART FINAL MENU - Pr'!D1003)</f>
        <v>دلّل حواسك مع Lusine Chocolate Sandwich 105 g،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1003" s="56" t="str">
        <f>IF('AYIRA MINI MART FINAL MENU - Pr'!E1003="", "", 'AYIRA MINI MART FINAL MENU - Pr'!E1003)</f>
        <v/>
      </c>
      <c r="F1003" s="56" t="str">
        <f>IF('AYIRA MINI MART FINAL MENU - Pr'!F1003="", "", 'AYIRA MINI MART FINAL MENU - Pr'!F1003)</f>
        <v/>
      </c>
      <c r="G1003" s="56" t="str">
        <f>IF('AYIRA MINI MART FINAL MENU - Pr'!G1003="", "", 'AYIRA MINI MART FINAL MENU - Pr'!G1003)</f>
        <v/>
      </c>
      <c r="H1003" s="56" t="str">
        <f>IF('AYIRA MINI MART FINAL MENU - Pr'!H1003="", "", 'AYIRA MINI MART FINAL MENU - Pr'!H1003)</f>
        <v/>
      </c>
      <c r="I1003" s="56" t="str">
        <f>IF('AYIRA MINI MART FINAL MENU - Pr'!I1003="", "", 'AYIRA MINI MART FINAL MENU - Pr'!I1003)</f>
        <v/>
      </c>
      <c r="J1003" s="56" t="str">
        <f>IFERROR(__xludf.DUMMYFUNCTION("IF('AYIRA MINI MART FINAL MENU - Pr'!J1003="""", """", GOOGLETRANSLATE('AYIRA MINI MART FINAL MENU - Pr'!J1003, ""en"", ""ar""))"),"")</f>
        <v/>
      </c>
      <c r="K1003" s="56" t="str">
        <f>IF('AYIRA MINI MART FINAL MENU - Pr'!K1003="", "", 'AYIRA MINI MART FINAL MENU - Pr'!K1003)</f>
        <v/>
      </c>
      <c r="L1003" s="56" t="str">
        <f>IF('AYIRA MINI MART FINAL MENU - Pr'!L1003="", "", 'AYIRA MINI MART FINAL MENU - Pr'!L1003)</f>
        <v/>
      </c>
      <c r="M1003" s="56" t="str">
        <f>IF('AYIRA MINI MART FINAL MENU - Pr'!M1003="", "", 'AYIRA MINI MART FINAL MENU - Pr'!M1003)</f>
        <v/>
      </c>
      <c r="N1003" s="56" t="str">
        <f>IF('AYIRA MINI MART FINAL MENU - Pr'!N1003="", "", 'AYIRA MINI MART FINAL MENU - Pr'!N1003)</f>
        <v/>
      </c>
      <c r="O1003" s="57"/>
      <c r="P1003" s="57"/>
      <c r="Q1003" s="57"/>
      <c r="R1003" s="57"/>
      <c r="S1003" s="57"/>
      <c r="T1003" s="57"/>
      <c r="U1003" s="57"/>
      <c r="V1003" s="57"/>
      <c r="W1003" s="57"/>
      <c r="X1003" s="57"/>
      <c r="Y1003" s="57"/>
      <c r="Z1003" s="57"/>
    </row>
    <row r="1004">
      <c r="A1004" s="56" t="str">
        <f>IFERROR(__xludf.DUMMYFUNCTION("IF('AYIRA MINI MART FINAL MENU - Pr'!A1004="""", """", IF(LEN(TRIM(REGEXREPLACE(REGEXREPLACE('AYIRA MINI MART FINAL MENU - Pr'!A1004, ""^[^\x{0600}-\x{06FF}]+"", """"), ""^[-–\s]+"", """")))&gt;0, TRIM(REGEXREPLACE(REGEXREPLACE('AYIRA MINI MART FINAL MENU - "&amp;"Pr'!A1004, ""^[^\x{0600}-\x{06FF}]+"", """"), ""^[-–\s]+"", """")), GOOGLETRANSLATE('AYIRA MINI MART FINAL MENU - Pr'!A1004, ""en"", ""ar"")))"),"قهوة with Cardamom 250 gm")</f>
        <v>قهوة with Cardamom 250 gm</v>
      </c>
      <c r="B1004" s="56" t="str">
        <f>IFERROR(__xludf.DUMMYFUNCTION("IF('AYIRA MINI MART FINAL MENU - Pr'!B1004="""", """", IF(LEN(TRIM(REGEXREPLACE(REGEXREPLACE('AYIRA MINI MART FINAL MENU - Pr'!B1004, ""^[^\x{0600}-\x{06FF}]+"", """"), ""^[-–\s]+"", """")))&gt;0, TRIM(REGEXREPLACE(REGEXREPLACE('AYIRA MINI MART FINAL MENU - "&amp;"Pr'!B1004, ""^[^\x{0600}-\x{06FF}]+"", """"), ""^[-–\s]+"", """")), GOOGLETRANSLATE('AYIRA MINI MART FINAL MENU - Pr'!B1004, ""en"", ""ar"")))"),"القهوة ومشروبات القهوة")</f>
        <v>القهوة ومشروبات القهوة</v>
      </c>
      <c r="C1004" s="56" t="str">
        <f>IF('AYIRA MINI MART FINAL MENU - Pr'!C1004="", "", 'AYIRA MINI MART FINAL MENU - Pr'!C1004)</f>
        <v/>
      </c>
      <c r="D1004" s="58" t="str">
        <f>IF('AYIRA MINI MART FINAL MENU - Pr'!D1004="", "", 'AYIRA MINI MART FINAL MENU - Pr'!D1004)</f>
        <v>اكتشف Al Rifai Turkish Coffee with Cardamom 250 gm،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04" s="56" t="str">
        <f>IF('AYIRA MINI MART FINAL MENU - Pr'!E1004="", "", 'AYIRA MINI MART FINAL MENU - Pr'!E1004)</f>
        <v/>
      </c>
      <c r="F1004" s="56" t="str">
        <f>IF('AYIRA MINI MART FINAL MENU - Pr'!F1004="", "", 'AYIRA MINI MART FINAL MENU - Pr'!F1004)</f>
        <v/>
      </c>
      <c r="G1004" s="56" t="str">
        <f>IF('AYIRA MINI MART FINAL MENU - Pr'!G1004="", "", 'AYIRA MINI MART FINAL MENU - Pr'!G1004)</f>
        <v/>
      </c>
      <c r="H1004" s="56" t="str">
        <f>IF('AYIRA MINI MART FINAL MENU - Pr'!H1004="", "", 'AYIRA MINI MART FINAL MENU - Pr'!H1004)</f>
        <v/>
      </c>
      <c r="I1004" s="56" t="str">
        <f>IF('AYIRA MINI MART FINAL MENU - Pr'!I1004="", "", 'AYIRA MINI MART FINAL MENU - Pr'!I1004)</f>
        <v/>
      </c>
      <c r="J1004" s="56" t="str">
        <f>IFERROR(__xludf.DUMMYFUNCTION("IF('AYIRA MINI MART FINAL MENU - Pr'!J1004="""", """", GOOGLETRANSLATE('AYIRA MINI MART FINAL MENU - Pr'!J1004, ""en"", ""ar""))"),"")</f>
        <v/>
      </c>
      <c r="K1004" s="56" t="str">
        <f>IF('AYIRA MINI MART FINAL MENU - Pr'!K1004="", "", 'AYIRA MINI MART FINAL MENU - Pr'!K1004)</f>
        <v/>
      </c>
      <c r="L1004" s="56" t="str">
        <f>IF('AYIRA MINI MART FINAL MENU - Pr'!L1004="", "", 'AYIRA MINI MART FINAL MENU - Pr'!L1004)</f>
        <v/>
      </c>
      <c r="M1004" s="56" t="str">
        <f>IF('AYIRA MINI MART FINAL MENU - Pr'!M1004="", "", 'AYIRA MINI MART FINAL MENU - Pr'!M1004)</f>
        <v/>
      </c>
      <c r="N1004" s="56" t="str">
        <f>IF('AYIRA MINI MART FINAL MENU - Pr'!N1004="", "", 'AYIRA MINI MART FINAL MENU - Pr'!N1004)</f>
        <v/>
      </c>
      <c r="O1004" s="57"/>
      <c r="P1004" s="57"/>
      <c r="Q1004" s="57"/>
      <c r="R1004" s="57"/>
      <c r="S1004" s="57"/>
      <c r="T1004" s="57"/>
      <c r="U1004" s="57"/>
      <c r="V1004" s="57"/>
      <c r="W1004" s="57"/>
      <c r="X1004" s="57"/>
      <c r="Y1004" s="57"/>
      <c r="Z1004" s="57"/>
    </row>
    <row r="1005">
      <c r="A1005" s="56" t="str">
        <f>IFERROR(__xludf.DUMMYFUNCTION("IF('AYIRA MINI MART FINAL MENU - Pr'!A1005="""", """", IF(LEN(TRIM(REGEXREPLACE(REGEXREPLACE('AYIRA MINI MART FINAL MENU - Pr'!A1005, ""^[^\x{0600}-\x{06FF}]+"", """"), ""^[-–\s]+"", """")))&gt;0, TRIM(REGEXREPLACE(REGEXREPLACE('AYIRA MINI MART FINAL MENU - "&amp;"Pr'!A1005, ""^[^\x{0600}-\x{06FF}]+"", """"), ""^[-–\s]+"", """")), GOOGLETRANSLATE('AYIRA MINI MART FINAL MENU - Pr'!A1005, ""en"", ""ar"")))"),"قهوة بندق Flavour 250 مل")</f>
        <v>قهوة بندق Flavour 250 مل</v>
      </c>
      <c r="B1005" s="56" t="str">
        <f>IFERROR(__xludf.DUMMYFUNCTION("IF('AYIRA MINI MART FINAL MENU - Pr'!B1005="""", """", IF(LEN(TRIM(REGEXREPLACE(REGEXREPLACE('AYIRA MINI MART FINAL MENU - Pr'!B1005, ""^[^\x{0600}-\x{06FF}]+"", """"), ""^[-–\s]+"", """")))&gt;0, TRIM(REGEXREPLACE(REGEXREPLACE('AYIRA MINI MART FINAL MENU - "&amp;"Pr'!B1005, ""^[^\x{0600}-\x{06FF}]+"", """"), ""^[-–\s]+"", """")), GOOGLETRANSLATE('AYIRA MINI MART FINAL MENU - Pr'!B1005, ""en"", ""ar"")))"),"القهوة ومشروبات القهوة")</f>
        <v>القهوة ومشروبات القهوة</v>
      </c>
      <c r="C1005" s="56" t="str">
        <f>IF('AYIRA MINI MART FINAL MENU - Pr'!C1005="", "", 'AYIRA MINI MART FINAL MENU - Pr'!C1005)</f>
        <v/>
      </c>
      <c r="D1005" s="58" t="str">
        <f>IF('AYIRA MINI MART FINAL MENU - Pr'!D1005="", "", 'AYIRA MINI MART FINAL MENU - Pr'!D1005)</f>
        <v>اختر Al Rifai French Coffee Hazelnut Flavour 250 ml، المكسرات الطبيعية الغنية بالبروتينات والدهون الصحية الضرورية لجسمك. محضرة من أجود المكسرات المختارة بعناية لضمان أعلى درجات النقاء والطعم. تُعتبر وجبة خفيفة صحية ومغذية مثالية بين الوجبات. تدعم صحة القلب وتمنحك الطاقة اللازمة. توفرها أيرا ميني مارت بأعلى جودة وأفضل الأسعار.</v>
      </c>
      <c r="E1005" s="56" t="str">
        <f>IF('AYIRA MINI MART FINAL MENU - Pr'!E1005="", "", 'AYIRA MINI MART FINAL MENU - Pr'!E1005)</f>
        <v/>
      </c>
      <c r="F1005" s="56" t="str">
        <f>IF('AYIRA MINI MART FINAL MENU - Pr'!F1005="", "", 'AYIRA MINI MART FINAL MENU - Pr'!F1005)</f>
        <v/>
      </c>
      <c r="G1005" s="56" t="str">
        <f>IF('AYIRA MINI MART FINAL MENU - Pr'!G1005="", "", 'AYIRA MINI MART FINAL MENU - Pr'!G1005)</f>
        <v/>
      </c>
      <c r="H1005" s="56" t="str">
        <f>IF('AYIRA MINI MART FINAL MENU - Pr'!H1005="", "", 'AYIRA MINI MART FINAL MENU - Pr'!H1005)</f>
        <v/>
      </c>
      <c r="I1005" s="56" t="str">
        <f>IF('AYIRA MINI MART FINAL MENU - Pr'!I1005="", "", 'AYIRA MINI MART FINAL MENU - Pr'!I1005)</f>
        <v/>
      </c>
      <c r="J1005" s="56" t="str">
        <f>IFERROR(__xludf.DUMMYFUNCTION("IF('AYIRA MINI MART FINAL MENU - Pr'!J1005="""", """", GOOGLETRANSLATE('AYIRA MINI MART FINAL MENU - Pr'!J1005, ""en"", ""ar""))"),"")</f>
        <v/>
      </c>
      <c r="K1005" s="56" t="str">
        <f>IF('AYIRA MINI MART FINAL MENU - Pr'!K1005="", "", 'AYIRA MINI MART FINAL MENU - Pr'!K1005)</f>
        <v/>
      </c>
      <c r="L1005" s="56" t="str">
        <f>IF('AYIRA MINI MART FINAL MENU - Pr'!L1005="", "", 'AYIRA MINI MART FINAL MENU - Pr'!L1005)</f>
        <v/>
      </c>
      <c r="M1005" s="56" t="str">
        <f>IF('AYIRA MINI MART FINAL MENU - Pr'!M1005="", "", 'AYIRA MINI MART FINAL MENU - Pr'!M1005)</f>
        <v/>
      </c>
      <c r="N1005" s="56" t="str">
        <f>IF('AYIRA MINI MART FINAL MENU - Pr'!N1005="", "", 'AYIRA MINI MART FINAL MENU - Pr'!N1005)</f>
        <v/>
      </c>
      <c r="O1005" s="57"/>
      <c r="P1005" s="57"/>
      <c r="Q1005" s="57"/>
      <c r="R1005" s="57"/>
      <c r="S1005" s="57"/>
      <c r="T1005" s="57"/>
      <c r="U1005" s="57"/>
      <c r="V1005" s="57"/>
      <c r="W1005" s="57"/>
      <c r="X1005" s="57"/>
      <c r="Y1005" s="57"/>
      <c r="Z1005" s="57"/>
    </row>
    <row r="1006">
      <c r="A1006" s="56" t="str">
        <f>IFERROR(__xludf.DUMMYFUNCTION("IF('AYIRA MINI MART FINAL MENU - Pr'!A1006="""", """", IF(LEN(TRIM(REGEXREPLACE(REGEXREPLACE('AYIRA MINI MART FINAL MENU - Pr'!A1006, ""^[^\x{0600}-\x{06FF}]+"", """"), ""^[-–\s]+"", """")))&gt;0, TRIM(REGEXREPLACE(REGEXREPLACE('AYIRA MINI MART FINAL MENU - "&amp;"Pr'!A1006, ""^[^\x{0600}-\x{06FF}]+"", """"), ""^[-–\s]+"", """")), GOOGLETRANSLATE('AYIRA MINI MART FINAL MENU - Pr'!A1006, ""en"", ""ar"")))"),"قهوة 250 gm")</f>
        <v>قهوة 250 gm</v>
      </c>
      <c r="B1006" s="56" t="str">
        <f>IFERROR(__xludf.DUMMYFUNCTION("IF('AYIRA MINI MART FINAL MENU - Pr'!B1006="""", """", IF(LEN(TRIM(REGEXREPLACE(REGEXREPLACE('AYIRA MINI MART FINAL MENU - Pr'!B1006, ""^[^\x{0600}-\x{06FF}]+"", """"), ""^[-–\s]+"", """")))&gt;0, TRIM(REGEXREPLACE(REGEXREPLACE('AYIRA MINI MART FINAL MENU - "&amp;"Pr'!B1006, ""^[^\x{0600}-\x{06FF}]+"", """"), ""^[-–\s]+"", """")), GOOGLETRANSLATE('AYIRA MINI MART FINAL MENU - Pr'!B1006, ""en"", ""ar"")))"),"القهوة ومشروبات القهوة")</f>
        <v>القهوة ومشروبات القهوة</v>
      </c>
      <c r="C1006" s="56" t="str">
        <f>IF('AYIRA MINI MART FINAL MENU - Pr'!C1006="", "", 'AYIRA MINI MART FINAL MENU - Pr'!C1006)</f>
        <v/>
      </c>
      <c r="D1006" s="58" t="str">
        <f>IF('AYIRA MINI MART FINAL MENU - Pr'!D1006="", "", 'AYIRA MINI MART FINAL MENU - Pr'!D1006)</f>
        <v>اكتشف Al Rifai French Coffee 250 gm،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06" s="56" t="str">
        <f>IF('AYIRA MINI MART FINAL MENU - Pr'!E1006="", "", 'AYIRA MINI MART FINAL MENU - Pr'!E1006)</f>
        <v/>
      </c>
      <c r="F1006" s="56" t="str">
        <f>IF('AYIRA MINI MART FINAL MENU - Pr'!F1006="", "", 'AYIRA MINI MART FINAL MENU - Pr'!F1006)</f>
        <v/>
      </c>
      <c r="G1006" s="56" t="str">
        <f>IF('AYIRA MINI MART FINAL MENU - Pr'!G1006="", "", 'AYIRA MINI MART FINAL MENU - Pr'!G1006)</f>
        <v/>
      </c>
      <c r="H1006" s="56" t="str">
        <f>IF('AYIRA MINI MART FINAL MENU - Pr'!H1006="", "", 'AYIRA MINI MART FINAL MENU - Pr'!H1006)</f>
        <v/>
      </c>
      <c r="I1006" s="56" t="str">
        <f>IF('AYIRA MINI MART FINAL MENU - Pr'!I1006="", "", 'AYIRA MINI MART FINAL MENU - Pr'!I1006)</f>
        <v/>
      </c>
      <c r="J1006" s="56" t="str">
        <f>IFERROR(__xludf.DUMMYFUNCTION("IF('AYIRA MINI MART FINAL MENU - Pr'!J1006="""", """", GOOGLETRANSLATE('AYIRA MINI MART FINAL MENU - Pr'!J1006, ""en"", ""ar""))"),"")</f>
        <v/>
      </c>
      <c r="K1006" s="56" t="str">
        <f>IF('AYIRA MINI MART FINAL MENU - Pr'!K1006="", "", 'AYIRA MINI MART FINAL MENU - Pr'!K1006)</f>
        <v/>
      </c>
      <c r="L1006" s="56" t="str">
        <f>IF('AYIRA MINI MART FINAL MENU - Pr'!L1006="", "", 'AYIRA MINI MART FINAL MENU - Pr'!L1006)</f>
        <v/>
      </c>
      <c r="M1006" s="56" t="str">
        <f>IF('AYIRA MINI MART FINAL MENU - Pr'!M1006="", "", 'AYIRA MINI MART FINAL MENU - Pr'!M1006)</f>
        <v/>
      </c>
      <c r="N1006" s="56" t="str">
        <f>IF('AYIRA MINI MART FINAL MENU - Pr'!N1006="", "", 'AYIRA MINI MART FINAL MENU - Pr'!N1006)</f>
        <v/>
      </c>
      <c r="O1006" s="57"/>
      <c r="P1006" s="57"/>
      <c r="Q1006" s="57"/>
      <c r="R1006" s="57"/>
      <c r="S1006" s="57"/>
      <c r="T1006" s="57"/>
      <c r="U1006" s="57"/>
      <c r="V1006" s="57"/>
      <c r="W1006" s="57"/>
      <c r="X1006" s="57"/>
      <c r="Y1006" s="57"/>
      <c r="Z1006" s="57"/>
    </row>
    <row r="1007">
      <c r="A1007" s="56" t="str">
        <f>IFERROR(__xludf.DUMMYFUNCTION("IF('AYIRA MINI MART FINAL MENU - Pr'!A1007="""", """", IF(LEN(TRIM(REGEXREPLACE(REGEXREPLACE('AYIRA MINI MART FINAL MENU - Pr'!A1007, ""^[^\x{0600}-\x{06FF}]+"", """"), ""^[-–\s]+"", """")))&gt;0, TRIM(REGEXREPLACE(REGEXREPLACE('AYIRA MINI MART FINAL MENU - "&amp;"Pr'!A1007, ""^[^\x{0600}-\x{06FF}]+"", """"), ""^[-–\s]+"", """")), GOOGLETRANSLATE('AYIRA MINI MART FINAL MENU - Pr'!A1007, ""en"", ""ar"")))"),"فانيليا Iced قهوة 240 مل")</f>
        <v>فانيليا Iced قهوة 240 مل</v>
      </c>
      <c r="B1007" s="56" t="str">
        <f>IFERROR(__xludf.DUMMYFUNCTION("IF('AYIRA MINI MART FINAL MENU - Pr'!B1007="""", """", IF(LEN(TRIM(REGEXREPLACE(REGEXREPLACE('AYIRA MINI MART FINAL MENU - Pr'!B1007, ""^[^\x{0600}-\x{06FF}]+"", """"), ""^[-–\s]+"", """")))&gt;0, TRIM(REGEXREPLACE(REGEXREPLACE('AYIRA MINI MART FINAL MENU - "&amp;"Pr'!B1007, ""^[^\x{0600}-\x{06FF}]+"", """"), ""^[-–\s]+"", """")), GOOGLETRANSLATE('AYIRA MINI MART FINAL MENU - Pr'!B1007, ""en"", ""ar"")))"),"المشروبات الغازية")</f>
        <v>المشروبات الغازية</v>
      </c>
      <c r="C1007" s="56" t="str">
        <f>IF('AYIRA MINI MART FINAL MENU - Pr'!C1007="", "", 'AYIRA MINI MART FINAL MENU - Pr'!C1007)</f>
        <v/>
      </c>
      <c r="D1007" s="58" t="str">
        <f>IF('AYIRA MINI MART FINAL MENU - Pr'!D1007="", "", 'AYIRA MINI MART FINAL MENU - Pr'!D1007)</f>
        <v>اكتشف Mr. Brown Vanilla Iced Coffee 240 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07" s="56" t="str">
        <f>IF('AYIRA MINI MART FINAL MENU - Pr'!E1007="", "", 'AYIRA MINI MART FINAL MENU - Pr'!E1007)</f>
        <v/>
      </c>
      <c r="F1007" s="56" t="str">
        <f>IF('AYIRA MINI MART FINAL MENU - Pr'!F1007="", "", 'AYIRA MINI MART FINAL MENU - Pr'!F1007)</f>
        <v/>
      </c>
      <c r="G1007" s="56" t="str">
        <f>IF('AYIRA MINI MART FINAL MENU - Pr'!G1007="", "", 'AYIRA MINI MART FINAL MENU - Pr'!G1007)</f>
        <v/>
      </c>
      <c r="H1007" s="56" t="str">
        <f>IF('AYIRA MINI MART FINAL MENU - Pr'!H1007="", "", 'AYIRA MINI MART FINAL MENU - Pr'!H1007)</f>
        <v/>
      </c>
      <c r="I1007" s="56" t="str">
        <f>IF('AYIRA MINI MART FINAL MENU - Pr'!I1007="", "", 'AYIRA MINI MART FINAL MENU - Pr'!I1007)</f>
        <v/>
      </c>
      <c r="J1007" s="56" t="str">
        <f>IFERROR(__xludf.DUMMYFUNCTION("IF('AYIRA MINI MART FINAL MENU - Pr'!J1007="""", """", GOOGLETRANSLATE('AYIRA MINI MART FINAL MENU - Pr'!J1007, ""en"", ""ar""))"),"")</f>
        <v/>
      </c>
      <c r="K1007" s="56" t="str">
        <f>IF('AYIRA MINI MART FINAL MENU - Pr'!K1007="", "", 'AYIRA MINI MART FINAL MENU - Pr'!K1007)</f>
        <v/>
      </c>
      <c r="L1007" s="56" t="str">
        <f>IF('AYIRA MINI MART FINAL MENU - Pr'!L1007="", "", 'AYIRA MINI MART FINAL MENU - Pr'!L1007)</f>
        <v/>
      </c>
      <c r="M1007" s="56" t="str">
        <f>IF('AYIRA MINI MART FINAL MENU - Pr'!M1007="", "", 'AYIRA MINI MART FINAL MENU - Pr'!M1007)</f>
        <v/>
      </c>
      <c r="N1007" s="56" t="str">
        <f>IF('AYIRA MINI MART FINAL MENU - Pr'!N1007="", "", 'AYIRA MINI MART FINAL MENU - Pr'!N1007)</f>
        <v/>
      </c>
      <c r="O1007" s="57"/>
      <c r="P1007" s="57"/>
      <c r="Q1007" s="57"/>
      <c r="R1007" s="57"/>
      <c r="S1007" s="57"/>
      <c r="T1007" s="57"/>
      <c r="U1007" s="57"/>
      <c r="V1007" s="57"/>
      <c r="W1007" s="57"/>
      <c r="X1007" s="57"/>
      <c r="Y1007" s="57"/>
      <c r="Z1007" s="57"/>
    </row>
    <row r="1008">
      <c r="A1008" s="56" t="str">
        <f>IFERROR(__xludf.DUMMYFUNCTION("IF('AYIRA MINI MART FINAL MENU - Pr'!A1008="""", """", IF(LEN(TRIM(REGEXREPLACE(REGEXREPLACE('AYIRA MINI MART FINAL MENU - Pr'!A1008, ""^[^\x{0600}-\x{06FF}]+"", """"), ""^[-–\s]+"", """")))&gt;0, TRIM(REGEXREPLACE(REGEXREPLACE('AYIRA MINI MART FINAL MENU - "&amp;"Pr'!A1008, ""^[^\x{0600}-\x{06FF}]+"", """"), ""^[-–\s]+"", """")), GOOGLETRANSLATE('AYIRA MINI MART FINAL MENU - Pr'!A1008, ""en"", ""ar"")))"),"كراميل Latte Iced قهوة 240 مل")</f>
        <v>كراميل Latte Iced قهوة 240 مل</v>
      </c>
      <c r="B1008" s="56" t="str">
        <f>IFERROR(__xludf.DUMMYFUNCTION("IF('AYIRA MINI MART FINAL MENU - Pr'!B1008="""", """", IF(LEN(TRIM(REGEXREPLACE(REGEXREPLACE('AYIRA MINI MART FINAL MENU - Pr'!B1008, ""^[^\x{0600}-\x{06FF}]+"", """"), ""^[-–\s]+"", """")))&gt;0, TRIM(REGEXREPLACE(REGEXREPLACE('AYIRA MINI MART FINAL MENU - "&amp;"Pr'!B1008, ""^[^\x{0600}-\x{06FF}]+"", """"), ""^[-–\s]+"", """")), GOOGLETRANSLATE('AYIRA MINI MART FINAL MENU - Pr'!B1008, ""en"", ""ar"")))"),"المشروبات الغازية")</f>
        <v>المشروبات الغازية</v>
      </c>
      <c r="C1008" s="56" t="str">
        <f>IF('AYIRA MINI MART FINAL MENU - Pr'!C1008="", "", 'AYIRA MINI MART FINAL MENU - Pr'!C1008)</f>
        <v/>
      </c>
      <c r="D1008" s="58" t="str">
        <f>IF('AYIRA MINI MART FINAL MENU - Pr'!D1008="", "", 'AYIRA MINI MART FINAL MENU - Pr'!D1008)</f>
        <v>اكتشف Mr. Brown Caramel Latte Iced Coffee 240 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08" s="56" t="str">
        <f>IF('AYIRA MINI MART FINAL MENU - Pr'!E1008="", "", 'AYIRA MINI MART FINAL MENU - Pr'!E1008)</f>
        <v/>
      </c>
      <c r="F1008" s="56" t="str">
        <f>IF('AYIRA MINI MART FINAL MENU - Pr'!F1008="", "", 'AYIRA MINI MART FINAL MENU - Pr'!F1008)</f>
        <v/>
      </c>
      <c r="G1008" s="56" t="str">
        <f>IF('AYIRA MINI MART FINAL MENU - Pr'!G1008="", "", 'AYIRA MINI MART FINAL MENU - Pr'!G1008)</f>
        <v/>
      </c>
      <c r="H1008" s="56" t="str">
        <f>IF('AYIRA MINI MART FINAL MENU - Pr'!H1008="", "", 'AYIRA MINI MART FINAL MENU - Pr'!H1008)</f>
        <v/>
      </c>
      <c r="I1008" s="56" t="str">
        <f>IF('AYIRA MINI MART FINAL MENU - Pr'!I1008="", "", 'AYIRA MINI MART FINAL MENU - Pr'!I1008)</f>
        <v/>
      </c>
      <c r="J1008" s="56" t="str">
        <f>IFERROR(__xludf.DUMMYFUNCTION("IF('AYIRA MINI MART FINAL MENU - Pr'!J1008="""", """", GOOGLETRANSLATE('AYIRA MINI MART FINAL MENU - Pr'!J1008, ""en"", ""ar""))"),"")</f>
        <v/>
      </c>
      <c r="K1008" s="56" t="str">
        <f>IF('AYIRA MINI MART FINAL MENU - Pr'!K1008="", "", 'AYIRA MINI MART FINAL MENU - Pr'!K1008)</f>
        <v/>
      </c>
      <c r="L1008" s="56" t="str">
        <f>IF('AYIRA MINI MART FINAL MENU - Pr'!L1008="", "", 'AYIRA MINI MART FINAL MENU - Pr'!L1008)</f>
        <v/>
      </c>
      <c r="M1008" s="56" t="str">
        <f>IF('AYIRA MINI MART FINAL MENU - Pr'!M1008="", "", 'AYIRA MINI MART FINAL MENU - Pr'!M1008)</f>
        <v/>
      </c>
      <c r="N1008" s="56" t="str">
        <f>IF('AYIRA MINI MART FINAL MENU - Pr'!N1008="", "", 'AYIRA MINI MART FINAL MENU - Pr'!N1008)</f>
        <v/>
      </c>
      <c r="O1008" s="57"/>
      <c r="P1008" s="57"/>
      <c r="Q1008" s="57"/>
      <c r="R1008" s="57"/>
      <c r="S1008" s="57"/>
      <c r="T1008" s="57"/>
      <c r="U1008" s="57"/>
      <c r="V1008" s="57"/>
      <c r="W1008" s="57"/>
      <c r="X1008" s="57"/>
      <c r="Y1008" s="57"/>
      <c r="Z1008" s="57"/>
    </row>
    <row r="1009">
      <c r="A1009" s="56" t="str">
        <f>IFERROR(__xludf.DUMMYFUNCTION("IF('AYIRA MINI MART FINAL MENU - Pr'!A1009="""", """", IF(LEN(TRIM(REGEXREPLACE(REGEXREPLACE('AYIRA MINI MART FINAL MENU - Pr'!A1009, ""^[^\x{0600}-\x{06FF}]+"", """"), ""^[-–\s]+"", """")))&gt;0, TRIM(REGEXREPLACE(REGEXREPLACE('AYIRA MINI MART FINAL MENU - "&amp;"Pr'!A1009, ""^[^\x{0600}-\x{06FF}]+"", """"), ""^[-–\s]+"", """")), GOOGLETRANSLATE('AYIRA MINI MART FINAL MENU - Pr'!A1009, ""en"", ""ar"")))"),"قهوة 240 مل")</f>
        <v>قهوة 240 مل</v>
      </c>
      <c r="B1009" s="56" t="str">
        <f>IFERROR(__xludf.DUMMYFUNCTION("IF('AYIRA MINI MART FINAL MENU - Pr'!B1009="""", """", IF(LEN(TRIM(REGEXREPLACE(REGEXREPLACE('AYIRA MINI MART FINAL MENU - Pr'!B1009, ""^[^\x{0600}-\x{06FF}]+"", """"), ""^[-–\s]+"", """")))&gt;0, TRIM(REGEXREPLACE(REGEXREPLACE('AYIRA MINI MART FINAL MENU - "&amp;"Pr'!B1009, ""^[^\x{0600}-\x{06FF}]+"", """"), ""^[-–\s]+"", """")), GOOGLETRANSLATE('AYIRA MINI MART FINAL MENU - Pr'!B1009, ""en"", ""ar"")))"),"المشروبات الغازية")</f>
        <v>المشروبات الغازية</v>
      </c>
      <c r="C1009" s="56" t="str">
        <f>IF('AYIRA MINI MART FINAL MENU - Pr'!C1009="", "", 'AYIRA MINI MART FINAL MENU - Pr'!C1009)</f>
        <v/>
      </c>
      <c r="D1009" s="58" t="str">
        <f>IF('AYIRA MINI MART FINAL MENU - Pr'!D1009="", "", 'AYIRA MINI MART FINAL MENU - Pr'!D1009)</f>
        <v>اكتشف Mr. Brown Cappuccino Iced Coffee 240 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09" s="56" t="str">
        <f>IF('AYIRA MINI MART FINAL MENU - Pr'!E1009="", "", 'AYIRA MINI MART FINAL MENU - Pr'!E1009)</f>
        <v/>
      </c>
      <c r="F1009" s="56" t="str">
        <f>IF('AYIRA MINI MART FINAL MENU - Pr'!F1009="", "", 'AYIRA MINI MART FINAL MENU - Pr'!F1009)</f>
        <v/>
      </c>
      <c r="G1009" s="56" t="str">
        <f>IF('AYIRA MINI MART FINAL MENU - Pr'!G1009="", "", 'AYIRA MINI MART FINAL MENU - Pr'!G1009)</f>
        <v/>
      </c>
      <c r="H1009" s="56" t="str">
        <f>IF('AYIRA MINI MART FINAL MENU - Pr'!H1009="", "", 'AYIRA MINI MART FINAL MENU - Pr'!H1009)</f>
        <v/>
      </c>
      <c r="I1009" s="56" t="str">
        <f>IF('AYIRA MINI MART FINAL MENU - Pr'!I1009="", "", 'AYIRA MINI MART FINAL MENU - Pr'!I1009)</f>
        <v/>
      </c>
      <c r="J1009" s="56" t="str">
        <f>IFERROR(__xludf.DUMMYFUNCTION("IF('AYIRA MINI MART FINAL MENU - Pr'!J1009="""", """", GOOGLETRANSLATE('AYIRA MINI MART FINAL MENU - Pr'!J1009, ""en"", ""ar""))"),"")</f>
        <v/>
      </c>
      <c r="K1009" s="56" t="str">
        <f>IF('AYIRA MINI MART FINAL MENU - Pr'!K1009="", "", 'AYIRA MINI MART FINAL MENU - Pr'!K1009)</f>
        <v/>
      </c>
      <c r="L1009" s="56" t="str">
        <f>IF('AYIRA MINI MART FINAL MENU - Pr'!L1009="", "", 'AYIRA MINI MART FINAL MENU - Pr'!L1009)</f>
        <v/>
      </c>
      <c r="M1009" s="56" t="str">
        <f>IF('AYIRA MINI MART FINAL MENU - Pr'!M1009="", "", 'AYIRA MINI MART FINAL MENU - Pr'!M1009)</f>
        <v/>
      </c>
      <c r="N1009" s="56" t="str">
        <f>IF('AYIRA MINI MART FINAL MENU - Pr'!N1009="", "", 'AYIRA MINI MART FINAL MENU - Pr'!N1009)</f>
        <v/>
      </c>
      <c r="O1009" s="57"/>
      <c r="P1009" s="57"/>
      <c r="Q1009" s="57"/>
      <c r="R1009" s="57"/>
      <c r="S1009" s="57"/>
      <c r="T1009" s="57"/>
      <c r="U1009" s="57"/>
      <c r="V1009" s="57"/>
      <c r="W1009" s="57"/>
      <c r="X1009" s="57"/>
      <c r="Y1009" s="57"/>
      <c r="Z1009" s="57"/>
    </row>
    <row r="1010">
      <c r="A1010" s="56" t="str">
        <f>IFERROR(__xludf.DUMMYFUNCTION("IF('AYIRA MINI MART FINAL MENU - Pr'!A1010="""", """", IF(LEN(TRIM(REGEXREPLACE(REGEXREPLACE('AYIRA MINI MART FINAL MENU - Pr'!A1010, ""^[^\x{0600}-\x{06FF}]+"", """"), ""^[-–\s]+"", """")))&gt;0, TRIM(REGEXREPLACE(REGEXREPLACE('AYIRA MINI MART FINAL MENU - "&amp;"Pr'!A1010, ""^[^\x{0600}-\x{06FF}]+"", """"), ""^[-–\s]+"", """")), GOOGLETRANSLATE('AYIRA MINI MART FINAL MENU - Pr'!A1010, ""en"", ""ar"")))"),"قهوة 240 مل")</f>
        <v>قهوة 240 مل</v>
      </c>
      <c r="B1010" s="56" t="str">
        <f>IFERROR(__xludf.DUMMYFUNCTION("IF('AYIRA MINI MART FINAL MENU - Pr'!B1010="""", """", IF(LEN(TRIM(REGEXREPLACE(REGEXREPLACE('AYIRA MINI MART FINAL MENU - Pr'!B1010, ""^[^\x{0600}-\x{06FF}]+"", """"), ""^[-–\s]+"", """")))&gt;0, TRIM(REGEXREPLACE(REGEXREPLACE('AYIRA MINI MART FINAL MENU - "&amp;"Pr'!B1010, ""^[^\x{0600}-\x{06FF}]+"", """"), ""^[-–\s]+"", """")), GOOGLETRANSLATE('AYIRA MINI MART FINAL MENU - Pr'!B1010, ""en"", ""ar"")))"),"المشروبات الغازية")</f>
        <v>المشروبات الغازية</v>
      </c>
      <c r="C1010" s="56" t="str">
        <f>IF('AYIRA MINI MART FINAL MENU - Pr'!C1010="", "", 'AYIRA MINI MART FINAL MENU - Pr'!C1010)</f>
        <v/>
      </c>
      <c r="D1010" s="58" t="str">
        <f>IF('AYIRA MINI MART FINAL MENU - Pr'!D1010="", "", 'AYIRA MINI MART FINAL MENU - Pr'!D1010)</f>
        <v>اكتشف Mr. Brown Iced Coffee 240 ml، المنتج المميز الذي يجمع بين الجودة العالية والقيمة الرائعة. مصنوع وفق أعلى معايير الجودة والسلامة لضمان رضاك التام في كل مرة. يتميز بمواصفاته الممتازة التي تجعله الخيار الأفضل لك ولعائلتك. سواء للاستخدام اليومي أو للمناسبات الخاصة، فهو يلبي توقعاتك ويتجاوزها. احصل عليه الآن من أيرا ميني مارت واستمتع بتجربة شراء ممتعة وموثوقة.</v>
      </c>
      <c r="E1010" s="56" t="str">
        <f>IF('AYIRA MINI MART FINAL MENU - Pr'!E1010="", "", 'AYIRA MINI MART FINAL MENU - Pr'!E1010)</f>
        <v/>
      </c>
      <c r="F1010" s="56" t="str">
        <f>IF('AYIRA MINI MART FINAL MENU - Pr'!F1010="", "", 'AYIRA MINI MART FINAL MENU - Pr'!F1010)</f>
        <v/>
      </c>
      <c r="G1010" s="56" t="str">
        <f>IF('AYIRA MINI MART FINAL MENU - Pr'!G1010="", "", 'AYIRA MINI MART FINAL MENU - Pr'!G1010)</f>
        <v/>
      </c>
      <c r="H1010" s="56" t="str">
        <f>IF('AYIRA MINI MART FINAL MENU - Pr'!H1010="", "", 'AYIRA MINI MART FINAL MENU - Pr'!H1010)</f>
        <v/>
      </c>
      <c r="I1010" s="56" t="str">
        <f>IF('AYIRA MINI MART FINAL MENU - Pr'!I1010="", "", 'AYIRA MINI MART FINAL MENU - Pr'!I1010)</f>
        <v/>
      </c>
      <c r="J1010" s="56" t="str">
        <f>IFERROR(__xludf.DUMMYFUNCTION("IF('AYIRA MINI MART FINAL MENU - Pr'!J1010="""", """", GOOGLETRANSLATE('AYIRA MINI MART FINAL MENU - Pr'!J1010, ""en"", ""ar""))"),"")</f>
        <v/>
      </c>
      <c r="K1010" s="56" t="str">
        <f>IF('AYIRA MINI MART FINAL MENU - Pr'!K1010="", "", 'AYIRA MINI MART FINAL MENU - Pr'!K1010)</f>
        <v/>
      </c>
      <c r="L1010" s="56" t="str">
        <f>IF('AYIRA MINI MART FINAL MENU - Pr'!L1010="", "", 'AYIRA MINI MART FINAL MENU - Pr'!L1010)</f>
        <v/>
      </c>
      <c r="M1010" s="56" t="str">
        <f>IF('AYIRA MINI MART FINAL MENU - Pr'!M1010="", "", 'AYIRA MINI MART FINAL MENU - Pr'!M1010)</f>
        <v/>
      </c>
      <c r="N1010" s="56" t="str">
        <f>IF('AYIRA MINI MART FINAL MENU - Pr'!N1010="", "", 'AYIRA MINI MART FINAL MENU - Pr'!N1010)</f>
        <v/>
      </c>
      <c r="O1010" s="57"/>
      <c r="P1010" s="57"/>
      <c r="Q1010" s="57"/>
      <c r="R1010" s="57"/>
      <c r="S1010" s="57"/>
      <c r="T1010" s="57"/>
      <c r="U1010" s="57"/>
      <c r="V1010" s="57"/>
      <c r="W1010" s="57"/>
      <c r="X1010" s="57"/>
      <c r="Y1010" s="57"/>
      <c r="Z1010" s="57"/>
    </row>
    <row r="1011">
      <c r="A1011" s="56" t="str">
        <f>IFERROR(__xludf.DUMMYFUNCTION("IF('AYIRA MINI MART FINAL MENU - Pr'!A1011="""", """", IF(LEN(TRIM(REGEXREPLACE(REGEXREPLACE('AYIRA MINI MART FINAL MENU - Pr'!A1011, ""^[^\x{0600}-\x{06FF}]+"", """"), ""^[-–\s]+"", """")))&gt;0, TRIM(REGEXREPLACE(REGEXREPLACE('AYIRA MINI MART FINAL MENU - "&amp;"Pr'!A1011, ""^[^\x{0600}-\x{06FF}]+"", """"), ""^[-–\s]+"", """")), GOOGLETRANSLATE('AYIRA MINI MART FINAL MENU - Pr'!A1011, ""en"", ""ar"")))"),"كي دي دي كراميل Macchiato قهوة with حليب 250 مل")</f>
        <v>كي دي دي كراميل Macchiato قهوة with حليب 250 مل</v>
      </c>
      <c r="B1011" s="56" t="str">
        <f>IFERROR(__xludf.DUMMYFUNCTION("IF('AYIRA MINI MART FINAL MENU - Pr'!B1011="""", """", IF(LEN(TRIM(REGEXREPLACE(REGEXREPLACE('AYIRA MINI MART FINAL MENU - Pr'!B1011, ""^[^\x{0600}-\x{06FF}]+"", """"), ""^[-–\s]+"", """")))&gt;0, TRIM(REGEXREPLACE(REGEXREPLACE('AYIRA MINI MART FINAL MENU - "&amp;"Pr'!B1011, ""^[^\x{0600}-\x{06FF}]+"", """"), ""^[-–\s]+"", """")), GOOGLETRANSLATE('AYIRA MINI MART FINAL MENU - Pr'!B1011, ""en"", ""ar"")))"),"المشروبات الغازية")</f>
        <v>المشروبات الغازية</v>
      </c>
      <c r="C1011" s="56" t="str">
        <f>IF('AYIRA MINI MART FINAL MENU - Pr'!C1011="", "", 'AYIRA MINI MART FINAL MENU - Pr'!C1011)</f>
        <v/>
      </c>
      <c r="D1011" s="58" t="str">
        <f>IF('AYIRA MINI MART FINAL MENU - Pr'!D1011="", "", 'AYIRA MINI MART FINAL MENU - Pr'!D1011)</f>
        <v>استمتع بـ كي دي دي،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011" s="56" t="str">
        <f>IF('AYIRA MINI MART FINAL MENU - Pr'!E1011="", "", 'AYIRA MINI MART FINAL MENU - Pr'!E1011)</f>
        <v/>
      </c>
      <c r="F1011" s="56" t="str">
        <f>IF('AYIRA MINI MART FINAL MENU - Pr'!F1011="", "", 'AYIRA MINI MART FINAL MENU - Pr'!F1011)</f>
        <v/>
      </c>
      <c r="G1011" s="56" t="str">
        <f>IF('AYIRA MINI MART FINAL MENU - Pr'!G1011="", "", 'AYIRA MINI MART FINAL MENU - Pr'!G1011)</f>
        <v/>
      </c>
      <c r="H1011" s="56" t="str">
        <f>IF('AYIRA MINI MART FINAL MENU - Pr'!H1011="", "", 'AYIRA MINI MART FINAL MENU - Pr'!H1011)</f>
        <v/>
      </c>
      <c r="I1011" s="56" t="str">
        <f>IF('AYIRA MINI MART FINAL MENU - Pr'!I1011="", "", 'AYIRA MINI MART FINAL MENU - Pr'!I1011)</f>
        <v/>
      </c>
      <c r="J1011" s="56" t="str">
        <f>IFERROR(__xludf.DUMMYFUNCTION("IF('AYIRA MINI MART FINAL MENU - Pr'!J1011="""", """", GOOGLETRANSLATE('AYIRA MINI MART FINAL MENU - Pr'!J1011, ""en"", ""ar""))"),"")</f>
        <v/>
      </c>
      <c r="K1011" s="56" t="str">
        <f>IF('AYIRA MINI MART FINAL MENU - Pr'!K1011="", "", 'AYIRA MINI MART FINAL MENU - Pr'!K1011)</f>
        <v/>
      </c>
      <c r="L1011" s="56" t="str">
        <f>IF('AYIRA MINI MART FINAL MENU - Pr'!L1011="", "", 'AYIRA MINI MART FINAL MENU - Pr'!L1011)</f>
        <v/>
      </c>
      <c r="M1011" s="56" t="str">
        <f>IF('AYIRA MINI MART FINAL MENU - Pr'!M1011="", "", 'AYIRA MINI MART FINAL MENU - Pr'!M1011)</f>
        <v/>
      </c>
      <c r="N1011" s="56" t="str">
        <f>IF('AYIRA MINI MART FINAL MENU - Pr'!N1011="", "", 'AYIRA MINI MART FINAL MENU - Pr'!N1011)</f>
        <v/>
      </c>
      <c r="O1011" s="57"/>
      <c r="P1011" s="57"/>
      <c r="Q1011" s="57"/>
      <c r="R1011" s="57"/>
      <c r="S1011" s="57"/>
      <c r="T1011" s="57"/>
      <c r="U1011" s="57"/>
      <c r="V1011" s="57"/>
      <c r="W1011" s="57"/>
      <c r="X1011" s="57"/>
      <c r="Y1011" s="57"/>
      <c r="Z1011" s="57"/>
    </row>
    <row r="1012">
      <c r="A1012" s="56" t="str">
        <f>IFERROR(__xludf.DUMMYFUNCTION("IF('AYIRA MINI MART FINAL MENU - Pr'!A1012="""", """", IF(LEN(TRIM(REGEXREPLACE(REGEXREPLACE('AYIRA MINI MART FINAL MENU - Pr'!A1012, ""^[^\x{0600}-\x{06FF}]+"", """"), ""^[-–\s]+"", """")))&gt;0, TRIM(REGEXREPLACE(REGEXREPLACE('AYIRA MINI MART FINAL MENU - "&amp;"Pr'!A1012, ""^[^\x{0600}-\x{06FF}]+"", """"), ""^[-–\s]+"", """")), GOOGLETRANSLATE('AYIRA MINI MART FINAL MENU - Pr'!A1012, ""en"", ""ar"")))"),"كي دي دي Caffè Latte قهوة with حليب 250 مل")</f>
        <v>كي دي دي Caffè Latte قهوة with حليب 250 مل</v>
      </c>
      <c r="B1012" s="56" t="str">
        <f>IFERROR(__xludf.DUMMYFUNCTION("IF('AYIRA MINI MART FINAL MENU - Pr'!B1012="""", """", IF(LEN(TRIM(REGEXREPLACE(REGEXREPLACE('AYIRA MINI MART FINAL MENU - Pr'!B1012, ""^[^\x{0600}-\x{06FF}]+"", """"), ""^[-–\s]+"", """")))&gt;0, TRIM(REGEXREPLACE(REGEXREPLACE('AYIRA MINI MART FINAL MENU - "&amp;"Pr'!B1012, ""^[^\x{0600}-\x{06FF}]+"", """"), ""^[-–\s]+"", """")), GOOGLETRANSLATE('AYIRA MINI MART FINAL MENU - Pr'!B1012, ""en"", ""ar"")))"),"المشروبات الغازية")</f>
        <v>المشروبات الغازية</v>
      </c>
      <c r="C1012" s="56" t="str">
        <f>IF('AYIRA MINI MART FINAL MENU - Pr'!C1012="", "", 'AYIRA MINI MART FINAL MENU - Pr'!C1012)</f>
        <v/>
      </c>
      <c r="D1012" s="58" t="str">
        <f>IF('AYIRA MINI MART FINAL MENU - Pr'!D1012="", "", 'AYIRA MINI MART FINAL MENU - Pr'!D1012)</f>
        <v>استمتع بـ كي دي دي، المشروب الغازي المنعش الذي يمنحك طاقة وحيوية في كل قطرة. يتميز بطعمه الرائع وتركيبته المميزة التي تجعله الخيار الأمثل لإرواء ظمأك في أي وقت. مثالي للحفلات والتجمعات العائلية والمناسبات المختلفة. يحتوي على نكهات متميزة تجعل كل رشفة تجربة لا تُنسى. احصل عليه الآن من أيرا ميني مارت بأفضل الأسعار وأعلى جودة. مشروبنا المميز يوفر لك الانتعاش الفوري ويلبي ذوقك الرفيع في كل لحظة تحتاج فيها إلى الترطيب.</v>
      </c>
      <c r="E1012" s="56" t="str">
        <f>IF('AYIRA MINI MART FINAL MENU - Pr'!E1012="", "", 'AYIRA MINI MART FINAL MENU - Pr'!E1012)</f>
        <v/>
      </c>
      <c r="F1012" s="56" t="str">
        <f>IF('AYIRA MINI MART FINAL MENU - Pr'!F1012="", "", 'AYIRA MINI MART FINAL MENU - Pr'!F1012)</f>
        <v/>
      </c>
      <c r="G1012" s="56" t="str">
        <f>IF('AYIRA MINI MART FINAL MENU - Pr'!G1012="", "", 'AYIRA MINI MART FINAL MENU - Pr'!G1012)</f>
        <v/>
      </c>
      <c r="H1012" s="56" t="str">
        <f>IF('AYIRA MINI MART FINAL MENU - Pr'!H1012="", "", 'AYIRA MINI MART FINAL MENU - Pr'!H1012)</f>
        <v/>
      </c>
      <c r="I1012" s="56" t="str">
        <f>IF('AYIRA MINI MART FINAL MENU - Pr'!I1012="", "", 'AYIRA MINI MART FINAL MENU - Pr'!I1012)</f>
        <v/>
      </c>
      <c r="J1012" s="56" t="str">
        <f>IFERROR(__xludf.DUMMYFUNCTION("IF('AYIRA MINI MART FINAL MENU - Pr'!J1012="""", """", GOOGLETRANSLATE('AYIRA MINI MART FINAL MENU - Pr'!J1012, ""en"", ""ar""))"),"")</f>
        <v/>
      </c>
      <c r="K1012" s="56" t="str">
        <f>IF('AYIRA MINI MART FINAL MENU - Pr'!K1012="", "", 'AYIRA MINI MART FINAL MENU - Pr'!K1012)</f>
        <v/>
      </c>
      <c r="L1012" s="56" t="str">
        <f>IF('AYIRA MINI MART FINAL MENU - Pr'!L1012="", "", 'AYIRA MINI MART FINAL MENU - Pr'!L1012)</f>
        <v/>
      </c>
      <c r="M1012" s="56" t="str">
        <f>IF('AYIRA MINI MART FINAL MENU - Pr'!M1012="", "", 'AYIRA MINI MART FINAL MENU - Pr'!M1012)</f>
        <v/>
      </c>
      <c r="N1012" s="56" t="str">
        <f>IF('AYIRA MINI MART FINAL MENU - Pr'!N1012="", "", 'AYIRA MINI MART FINAL MENU - Pr'!N1012)</f>
        <v/>
      </c>
      <c r="O1012" s="57"/>
      <c r="P1012" s="57"/>
      <c r="Q1012" s="57"/>
      <c r="R1012" s="57"/>
      <c r="S1012" s="57"/>
      <c r="T1012" s="57"/>
      <c r="U1012" s="57"/>
      <c r="V1012" s="57"/>
      <c r="W1012" s="57"/>
      <c r="X1012" s="57"/>
      <c r="Y1012" s="57"/>
      <c r="Z1012" s="57"/>
    </row>
    <row r="1013">
      <c r="A1013" s="56" t="str">
        <f>IFERROR(__xludf.DUMMYFUNCTION("IF('AYIRA MINI MART FINAL MENU - Pr'!A1013="""", """", IF(LEN(TRIM(REGEXREPLACE(REGEXREPLACE('AYIRA MINI MART FINAL MENU - Pr'!A1013, ""^[^\x{0600}-\x{06FF}]+"", """"), ""^[-–\s]+"", """")))&gt;0, TRIM(REGEXREPLACE(REGEXREPLACE('AYIRA MINI MART FINAL MENU - "&amp;"Pr'!A1013, ""^[^\x{0600}-\x{06FF}]+"", """"), ""^[-–\s]+"", """")), GOOGLETRANSLATE('AYIRA MINI MART FINAL MENU - Pr'!A1013, ""en"", ""ar"")))"),"كي دي دي Iced Mocha قهوة with شوكولاتة حليب 250 مل")</f>
        <v>كي دي دي Iced Mocha قهوة with شوكولاتة حليب 250 مل</v>
      </c>
      <c r="B1013" s="56" t="str">
        <f>IFERROR(__xludf.DUMMYFUNCTION("IF('AYIRA MINI MART FINAL MENU - Pr'!B1013="""", """", IF(LEN(TRIM(REGEXREPLACE(REGEXREPLACE('AYIRA MINI MART FINAL MENU - Pr'!B1013, ""^[^\x{0600}-\x{06FF}]+"", """"), ""^[-–\s]+"", """")))&gt;0, TRIM(REGEXREPLACE(REGEXREPLACE('AYIRA MINI MART FINAL MENU - "&amp;"Pr'!B1013, ""^[^\x{0600}-\x{06FF}]+"", """"), ""^[-–\s]+"", """")), GOOGLETRANSLATE('AYIRA MINI MART FINAL MENU - Pr'!B1013, ""en"", ""ar"")))"),"المشروبات الغازية")</f>
        <v>المشروبات الغازية</v>
      </c>
      <c r="C1013" s="56" t="str">
        <f>IF('AYIRA MINI MART FINAL MENU - Pr'!C1013="", "", 'AYIRA MINI MART FINAL MENU - Pr'!C1013)</f>
        <v/>
      </c>
      <c r="D1013" s="58" t="str">
        <f>IF('AYIRA MINI MART FINAL MENU - Pr'!D1013="", "", 'AYIRA MINI MART FINAL MENU - Pr'!D1013)</f>
        <v>دلّل حواسك مع كي دي دي، الشوكولاتة الفاخرة التي تمزج بين الطعم الغني والقوام المثالي. مصنوعة من أفضل حبوب الكاكاو المختارة لتمنحك تجربة حلوى استثنائية في كل مرة. سواء أكنت تبحث عن هدية مميزة أو تريد مكافأة نفسك، فهذه الشوكولاتة هي الخيار الأمثل. استمتع بكل قطعة وانغمس في عالم من النعومة والحلاوة. احصل عليها من أيرا ميني مارت وعاش لحظات من البهجة الحقيقية.</v>
      </c>
      <c r="E1013" s="56" t="str">
        <f>IF('AYIRA MINI MART FINAL MENU - Pr'!E1013="", "", 'AYIRA MINI MART FINAL MENU - Pr'!E1013)</f>
        <v/>
      </c>
      <c r="F1013" s="56" t="str">
        <f>IF('AYIRA MINI MART FINAL MENU - Pr'!F1013="", "", 'AYIRA MINI MART FINAL MENU - Pr'!F1013)</f>
        <v/>
      </c>
      <c r="G1013" s="56" t="str">
        <f>IF('AYIRA MINI MART FINAL MENU - Pr'!G1013="", "", 'AYIRA MINI MART FINAL MENU - Pr'!G1013)</f>
        <v/>
      </c>
      <c r="H1013" s="56" t="str">
        <f>IF('AYIRA MINI MART FINAL MENU - Pr'!H1013="", "", 'AYIRA MINI MART FINAL MENU - Pr'!H1013)</f>
        <v/>
      </c>
      <c r="I1013" s="56" t="str">
        <f>IF('AYIRA MINI MART FINAL MENU - Pr'!I1013="", "", 'AYIRA MINI MART FINAL MENU - Pr'!I1013)</f>
        <v/>
      </c>
      <c r="J1013" s="56" t="str">
        <f>IFERROR(__xludf.DUMMYFUNCTION("IF('AYIRA MINI MART FINAL MENU - Pr'!J1013="""", """", GOOGLETRANSLATE('AYIRA MINI MART FINAL MENU - Pr'!J1013, ""en"", ""ar""))"),"")</f>
        <v/>
      </c>
      <c r="K1013" s="56" t="str">
        <f>IF('AYIRA MINI MART FINAL MENU - Pr'!K1013="", "", 'AYIRA MINI MART FINAL MENU - Pr'!K1013)</f>
        <v/>
      </c>
      <c r="L1013" s="56" t="str">
        <f>IF('AYIRA MINI MART FINAL MENU - Pr'!L1013="", "", 'AYIRA MINI MART FINAL MENU - Pr'!L1013)</f>
        <v/>
      </c>
      <c r="M1013" s="56" t="str">
        <f>IF('AYIRA MINI MART FINAL MENU - Pr'!M1013="", "", 'AYIRA MINI MART FINAL MENU - Pr'!M1013)</f>
        <v/>
      </c>
      <c r="N1013" s="56" t="str">
        <f>IF('AYIRA MINI MART FINAL MENU - Pr'!N1013="", "", 'AYIRA MINI MART FINAL MENU - Pr'!N1013)</f>
        <v/>
      </c>
      <c r="O1013" s="57"/>
      <c r="P1013" s="57"/>
      <c r="Q1013" s="57"/>
      <c r="R1013" s="57"/>
      <c r="S1013" s="57"/>
      <c r="T1013" s="57"/>
      <c r="U1013" s="57"/>
      <c r="V1013" s="57"/>
      <c r="W1013" s="57"/>
      <c r="X1013" s="57"/>
      <c r="Y1013" s="57"/>
      <c r="Z1013" s="57"/>
    </row>
    <row r="1014">
      <c r="A1014" s="57"/>
      <c r="B1014" s="57"/>
      <c r="C1014" s="57"/>
      <c r="D1014" s="57"/>
      <c r="E1014" s="57"/>
      <c r="F1014" s="57"/>
      <c r="G1014" s="57"/>
      <c r="H1014" s="57"/>
      <c r="I1014" s="57"/>
      <c r="J1014" s="57"/>
      <c r="K1014" s="57"/>
      <c r="L1014" s="57"/>
      <c r="M1014" s="57"/>
      <c r="N1014" s="57"/>
      <c r="O1014" s="57"/>
      <c r="P1014" s="57"/>
      <c r="Q1014" s="57"/>
      <c r="R1014" s="57"/>
      <c r="S1014" s="57"/>
      <c r="T1014" s="57"/>
      <c r="U1014" s="57"/>
      <c r="V1014" s="57"/>
      <c r="W1014" s="57"/>
      <c r="X1014" s="57"/>
      <c r="Y1014" s="57"/>
      <c r="Z1014" s="57"/>
    </row>
    <row r="1015">
      <c r="A1015" s="57"/>
      <c r="B1015" s="57"/>
      <c r="C1015" s="57"/>
      <c r="D1015" s="57"/>
      <c r="E1015" s="57"/>
      <c r="F1015" s="57"/>
      <c r="G1015" s="57"/>
      <c r="H1015" s="57"/>
      <c r="I1015" s="57"/>
      <c r="J1015" s="57"/>
      <c r="K1015" s="57"/>
      <c r="L1015" s="57"/>
      <c r="M1015" s="57"/>
      <c r="N1015" s="57"/>
      <c r="O1015" s="57"/>
      <c r="P1015" s="57"/>
      <c r="Q1015" s="57"/>
      <c r="R1015" s="57"/>
      <c r="S1015" s="57"/>
      <c r="T1015" s="57"/>
      <c r="U1015" s="57"/>
      <c r="V1015" s="57"/>
      <c r="W1015" s="57"/>
      <c r="X1015" s="57"/>
      <c r="Y1015" s="57"/>
      <c r="Z1015" s="57"/>
    </row>
    <row r="1016">
      <c r="A1016" s="57"/>
      <c r="B1016" s="57"/>
      <c r="C1016" s="57"/>
      <c r="D1016" s="57"/>
      <c r="E1016" s="57"/>
      <c r="F1016" s="57"/>
      <c r="G1016" s="57"/>
      <c r="H1016" s="57"/>
      <c r="I1016" s="57"/>
      <c r="J1016" s="57"/>
      <c r="K1016" s="57"/>
      <c r="L1016" s="57"/>
      <c r="M1016" s="57"/>
      <c r="N1016" s="57"/>
      <c r="O1016" s="57"/>
      <c r="P1016" s="57"/>
      <c r="Q1016" s="57"/>
      <c r="R1016" s="57"/>
      <c r="S1016" s="57"/>
      <c r="T1016" s="57"/>
      <c r="U1016" s="57"/>
      <c r="V1016" s="57"/>
      <c r="W1016" s="57"/>
      <c r="X1016" s="57"/>
      <c r="Y1016" s="57"/>
      <c r="Z1016" s="57"/>
    </row>
    <row r="1017">
      <c r="A1017" s="57"/>
      <c r="B1017" s="57"/>
      <c r="C1017" s="57"/>
      <c r="D1017" s="57"/>
      <c r="E1017" s="57"/>
      <c r="F1017" s="57"/>
      <c r="G1017" s="57"/>
      <c r="H1017" s="57"/>
      <c r="I1017" s="57"/>
      <c r="J1017" s="57"/>
      <c r="K1017" s="57"/>
      <c r="L1017" s="57"/>
      <c r="M1017" s="57"/>
      <c r="N1017" s="57"/>
      <c r="O1017" s="57"/>
      <c r="P1017" s="57"/>
      <c r="Q1017" s="57"/>
      <c r="R1017" s="57"/>
      <c r="S1017" s="57"/>
      <c r="T1017" s="57"/>
      <c r="U1017" s="57"/>
      <c r="V1017" s="57"/>
      <c r="W1017" s="57"/>
      <c r="X1017" s="57"/>
      <c r="Y1017" s="57"/>
      <c r="Z1017" s="57"/>
    </row>
    <row r="1018">
      <c r="A1018" s="57"/>
      <c r="B1018" s="57"/>
      <c r="C1018" s="57"/>
      <c r="D1018" s="57"/>
      <c r="E1018" s="57"/>
      <c r="F1018" s="57"/>
      <c r="G1018" s="57"/>
      <c r="H1018" s="57"/>
      <c r="I1018" s="57"/>
      <c r="J1018" s="57"/>
      <c r="K1018" s="57"/>
      <c r="L1018" s="57"/>
      <c r="M1018" s="57"/>
      <c r="N1018" s="57"/>
      <c r="O1018" s="57"/>
      <c r="P1018" s="57"/>
      <c r="Q1018" s="57"/>
      <c r="R1018" s="57"/>
      <c r="S1018" s="57"/>
      <c r="T1018" s="57"/>
      <c r="U1018" s="57"/>
      <c r="V1018" s="57"/>
      <c r="W1018" s="57"/>
      <c r="X1018" s="57"/>
      <c r="Y1018" s="57"/>
      <c r="Z1018" s="57"/>
    </row>
    <row r="1019">
      <c r="A1019" s="57"/>
      <c r="B1019" s="57"/>
      <c r="C1019" s="57"/>
      <c r="D1019" s="57"/>
      <c r="E1019" s="57"/>
      <c r="F1019" s="57"/>
      <c r="G1019" s="57"/>
      <c r="H1019" s="57"/>
      <c r="I1019" s="57"/>
      <c r="J1019" s="57"/>
      <c r="K1019" s="57"/>
      <c r="L1019" s="57"/>
      <c r="M1019" s="57"/>
      <c r="N1019" s="57"/>
      <c r="O1019" s="57"/>
      <c r="P1019" s="57"/>
      <c r="Q1019" s="57"/>
      <c r="R1019" s="57"/>
      <c r="S1019" s="57"/>
      <c r="T1019" s="57"/>
      <c r="U1019" s="57"/>
      <c r="V1019" s="57"/>
      <c r="W1019" s="57"/>
      <c r="X1019" s="57"/>
      <c r="Y1019" s="57"/>
      <c r="Z1019" s="57"/>
    </row>
    <row r="1020">
      <c r="A1020" s="57"/>
      <c r="B1020" s="57"/>
      <c r="C1020" s="57"/>
      <c r="D1020" s="57"/>
      <c r="E1020" s="57"/>
      <c r="F1020" s="57"/>
      <c r="G1020" s="57"/>
      <c r="H1020" s="57"/>
      <c r="I1020" s="57"/>
      <c r="J1020" s="57"/>
      <c r="K1020" s="57"/>
      <c r="L1020" s="57"/>
      <c r="M1020" s="57"/>
      <c r="N1020" s="57"/>
      <c r="O1020" s="57"/>
      <c r="P1020" s="57"/>
      <c r="Q1020" s="57"/>
      <c r="R1020" s="57"/>
      <c r="S1020" s="57"/>
      <c r="T1020" s="57"/>
      <c r="U1020" s="57"/>
      <c r="V1020" s="57"/>
      <c r="W1020" s="57"/>
      <c r="X1020" s="57"/>
      <c r="Y1020" s="57"/>
      <c r="Z1020" s="57"/>
    </row>
    <row r="1021">
      <c r="A1021" s="57"/>
      <c r="B1021" s="57"/>
      <c r="C1021" s="57"/>
      <c r="D1021" s="57"/>
      <c r="E1021" s="57"/>
      <c r="F1021" s="57"/>
      <c r="G1021" s="57"/>
      <c r="H1021" s="57"/>
      <c r="I1021" s="57"/>
      <c r="J1021" s="57"/>
      <c r="K1021" s="57"/>
      <c r="L1021" s="57"/>
      <c r="M1021" s="57"/>
      <c r="N1021" s="57"/>
      <c r="O1021" s="57"/>
      <c r="P1021" s="57"/>
      <c r="Q1021" s="57"/>
      <c r="R1021" s="57"/>
      <c r="S1021" s="57"/>
      <c r="T1021" s="57"/>
      <c r="U1021" s="57"/>
      <c r="V1021" s="57"/>
      <c r="W1021" s="57"/>
      <c r="X1021" s="57"/>
      <c r="Y1021" s="57"/>
      <c r="Z1021" s="57"/>
    </row>
    <row r="1022">
      <c r="A1022" s="57"/>
      <c r="B1022" s="57"/>
      <c r="C1022" s="57"/>
      <c r="D1022" s="57"/>
      <c r="E1022" s="57"/>
      <c r="F1022" s="57"/>
      <c r="G1022" s="57"/>
      <c r="H1022" s="57"/>
      <c r="I1022" s="57"/>
      <c r="J1022" s="57"/>
      <c r="K1022" s="57"/>
      <c r="L1022" s="57"/>
      <c r="M1022" s="57"/>
      <c r="N1022" s="57"/>
      <c r="O1022" s="57"/>
      <c r="P1022" s="57"/>
      <c r="Q1022" s="57"/>
      <c r="R1022" s="57"/>
      <c r="S1022" s="57"/>
      <c r="T1022" s="57"/>
      <c r="U1022" s="57"/>
      <c r="V1022" s="57"/>
      <c r="W1022" s="57"/>
      <c r="X1022" s="57"/>
      <c r="Y1022" s="57"/>
      <c r="Z1022" s="57"/>
    </row>
    <row r="1023">
      <c r="A1023" s="57"/>
      <c r="B1023" s="57"/>
      <c r="C1023" s="57"/>
      <c r="D1023" s="57"/>
      <c r="E1023" s="57"/>
      <c r="F1023" s="57"/>
      <c r="G1023" s="57"/>
      <c r="H1023" s="57"/>
      <c r="I1023" s="57"/>
      <c r="J1023" s="57"/>
      <c r="K1023" s="57"/>
      <c r="L1023" s="57"/>
      <c r="M1023" s="57"/>
      <c r="N1023" s="57"/>
      <c r="O1023" s="57"/>
      <c r="P1023" s="57"/>
      <c r="Q1023" s="57"/>
      <c r="R1023" s="57"/>
      <c r="S1023" s="57"/>
      <c r="T1023" s="57"/>
      <c r="U1023" s="57"/>
      <c r="V1023" s="57"/>
      <c r="W1023" s="57"/>
      <c r="X1023" s="57"/>
      <c r="Y1023" s="57"/>
      <c r="Z1023" s="57"/>
    </row>
    <row r="1024">
      <c r="A1024" s="57"/>
      <c r="B1024" s="57"/>
      <c r="C1024" s="57"/>
      <c r="D1024" s="57"/>
      <c r="E1024" s="57"/>
      <c r="F1024" s="57"/>
      <c r="G1024" s="57"/>
      <c r="H1024" s="57"/>
      <c r="I1024" s="57"/>
      <c r="J1024" s="57"/>
      <c r="K1024" s="57"/>
      <c r="L1024" s="57"/>
      <c r="M1024" s="57"/>
      <c r="N1024" s="57"/>
      <c r="O1024" s="57"/>
      <c r="P1024" s="57"/>
      <c r="Q1024" s="57"/>
      <c r="R1024" s="57"/>
      <c r="S1024" s="57"/>
      <c r="T1024" s="57"/>
      <c r="U1024" s="57"/>
      <c r="V1024" s="57"/>
      <c r="W1024" s="57"/>
      <c r="X1024" s="57"/>
      <c r="Y1024" s="57"/>
      <c r="Z1024" s="57"/>
    </row>
    <row r="1025">
      <c r="A1025" s="57"/>
      <c r="B1025" s="57"/>
      <c r="C1025" s="57"/>
      <c r="D1025" s="57"/>
      <c r="E1025" s="57"/>
      <c r="F1025" s="57"/>
      <c r="G1025" s="57"/>
      <c r="H1025" s="57"/>
      <c r="I1025" s="57"/>
      <c r="J1025" s="57"/>
      <c r="K1025" s="57"/>
      <c r="L1025" s="57"/>
      <c r="M1025" s="57"/>
      <c r="N1025" s="57"/>
      <c r="O1025" s="57"/>
      <c r="P1025" s="57"/>
      <c r="Q1025" s="57"/>
      <c r="R1025" s="57"/>
      <c r="S1025" s="57"/>
      <c r="T1025" s="57"/>
      <c r="U1025" s="57"/>
      <c r="V1025" s="57"/>
      <c r="W1025" s="57"/>
      <c r="X1025" s="57"/>
      <c r="Y1025" s="57"/>
      <c r="Z1025" s="57"/>
    </row>
    <row r="1026">
      <c r="A1026" s="57"/>
      <c r="B1026" s="57"/>
      <c r="C1026" s="57"/>
      <c r="D1026" s="57"/>
      <c r="E1026" s="57"/>
      <c r="F1026" s="57"/>
      <c r="G1026" s="57"/>
      <c r="H1026" s="57"/>
      <c r="I1026" s="57"/>
      <c r="J1026" s="57"/>
      <c r="K1026" s="57"/>
      <c r="L1026" s="57"/>
      <c r="M1026" s="57"/>
      <c r="N1026" s="57"/>
      <c r="O1026" s="57"/>
      <c r="P1026" s="57"/>
      <c r="Q1026" s="57"/>
      <c r="R1026" s="57"/>
      <c r="S1026" s="57"/>
      <c r="T1026" s="57"/>
      <c r="U1026" s="57"/>
      <c r="V1026" s="57"/>
      <c r="W1026" s="57"/>
      <c r="X1026" s="57"/>
      <c r="Y1026" s="57"/>
      <c r="Z1026" s="57"/>
    </row>
    <row r="1027">
      <c r="A1027" s="57"/>
      <c r="B1027" s="57"/>
      <c r="C1027" s="57"/>
      <c r="D1027" s="57"/>
      <c r="E1027" s="57"/>
      <c r="F1027" s="57"/>
      <c r="G1027" s="57"/>
      <c r="H1027" s="57"/>
      <c r="I1027" s="57"/>
      <c r="J1027" s="57"/>
      <c r="K1027" s="57"/>
      <c r="L1027" s="57"/>
      <c r="M1027" s="57"/>
      <c r="N1027" s="57"/>
      <c r="O1027" s="57"/>
      <c r="P1027" s="57"/>
      <c r="Q1027" s="57"/>
      <c r="R1027" s="57"/>
      <c r="S1027" s="57"/>
      <c r="T1027" s="57"/>
      <c r="U1027" s="57"/>
      <c r="V1027" s="57"/>
      <c r="W1027" s="57"/>
      <c r="X1027" s="57"/>
      <c r="Y1027" s="57"/>
      <c r="Z1027" s="57"/>
    </row>
    <row r="1028">
      <c r="A1028" s="57"/>
      <c r="B1028" s="57"/>
      <c r="C1028" s="57"/>
      <c r="D1028" s="57"/>
      <c r="E1028" s="57"/>
      <c r="F1028" s="57"/>
      <c r="G1028" s="57"/>
      <c r="H1028" s="57"/>
      <c r="I1028" s="57"/>
      <c r="J1028" s="57"/>
      <c r="K1028" s="57"/>
      <c r="L1028" s="57"/>
      <c r="M1028" s="57"/>
      <c r="N1028" s="57"/>
      <c r="O1028" s="57"/>
      <c r="P1028" s="57"/>
      <c r="Q1028" s="57"/>
      <c r="R1028" s="57"/>
      <c r="S1028" s="57"/>
      <c r="T1028" s="57"/>
      <c r="U1028" s="57"/>
      <c r="V1028" s="57"/>
      <c r="W1028" s="57"/>
      <c r="X1028" s="57"/>
      <c r="Y1028" s="57"/>
      <c r="Z1028" s="57"/>
    </row>
    <row r="1029">
      <c r="A1029" s="57"/>
      <c r="B1029" s="57"/>
      <c r="C1029" s="57"/>
      <c r="D1029" s="57"/>
      <c r="E1029" s="57"/>
      <c r="F1029" s="57"/>
      <c r="G1029" s="57"/>
      <c r="H1029" s="57"/>
      <c r="I1029" s="57"/>
      <c r="J1029" s="57"/>
      <c r="K1029" s="57"/>
      <c r="L1029" s="57"/>
      <c r="M1029" s="57"/>
      <c r="N1029" s="57"/>
      <c r="O1029" s="57"/>
      <c r="P1029" s="57"/>
      <c r="Q1029" s="57"/>
      <c r="R1029" s="57"/>
      <c r="S1029" s="57"/>
      <c r="T1029" s="57"/>
      <c r="U1029" s="57"/>
      <c r="V1029" s="57"/>
      <c r="W1029" s="57"/>
      <c r="X1029" s="57"/>
      <c r="Y1029" s="57"/>
      <c r="Z1029" s="57"/>
    </row>
    <row r="1030">
      <c r="A1030" s="57"/>
      <c r="B1030" s="57"/>
      <c r="C1030" s="57"/>
      <c r="D1030" s="57"/>
      <c r="E1030" s="57"/>
      <c r="F1030" s="57"/>
      <c r="G1030" s="57"/>
      <c r="H1030" s="57"/>
      <c r="I1030" s="57"/>
      <c r="J1030" s="57"/>
      <c r="K1030" s="57"/>
      <c r="L1030" s="57"/>
      <c r="M1030" s="57"/>
      <c r="N1030" s="57"/>
      <c r="O1030" s="57"/>
      <c r="P1030" s="57"/>
      <c r="Q1030" s="57"/>
      <c r="R1030" s="57"/>
      <c r="S1030" s="57"/>
      <c r="T1030" s="57"/>
      <c r="U1030" s="57"/>
      <c r="V1030" s="57"/>
      <c r="W1030" s="57"/>
      <c r="X1030" s="57"/>
      <c r="Y1030" s="57"/>
      <c r="Z1030" s="57"/>
    </row>
    <row r="1031">
      <c r="A1031" s="57"/>
      <c r="B1031" s="57"/>
      <c r="C1031" s="57"/>
      <c r="D1031" s="57"/>
      <c r="E1031" s="57"/>
      <c r="F1031" s="57"/>
      <c r="G1031" s="57"/>
      <c r="H1031" s="57"/>
      <c r="I1031" s="57"/>
      <c r="J1031" s="57"/>
      <c r="K1031" s="57"/>
      <c r="L1031" s="57"/>
      <c r="M1031" s="57"/>
      <c r="N1031" s="57"/>
      <c r="O1031" s="57"/>
      <c r="P1031" s="57"/>
      <c r="Q1031" s="57"/>
      <c r="R1031" s="57"/>
      <c r="S1031" s="57"/>
      <c r="T1031" s="57"/>
      <c r="U1031" s="57"/>
      <c r="V1031" s="57"/>
      <c r="W1031" s="57"/>
      <c r="X1031" s="57"/>
      <c r="Y1031" s="57"/>
      <c r="Z1031" s="57"/>
    </row>
    <row r="1032">
      <c r="A1032" s="57"/>
      <c r="B1032" s="57"/>
      <c r="C1032" s="57"/>
      <c r="D1032" s="57"/>
      <c r="E1032" s="57"/>
      <c r="F1032" s="57"/>
      <c r="G1032" s="57"/>
      <c r="H1032" s="57"/>
      <c r="I1032" s="57"/>
      <c r="J1032" s="57"/>
      <c r="K1032" s="57"/>
      <c r="L1032" s="57"/>
      <c r="M1032" s="57"/>
      <c r="N1032" s="57"/>
      <c r="O1032" s="57"/>
      <c r="P1032" s="57"/>
      <c r="Q1032" s="57"/>
      <c r="R1032" s="57"/>
      <c r="S1032" s="57"/>
      <c r="T1032" s="57"/>
      <c r="U1032" s="57"/>
      <c r="V1032" s="57"/>
      <c r="W1032" s="57"/>
      <c r="X1032" s="57"/>
      <c r="Y1032" s="57"/>
      <c r="Z1032" s="57"/>
    </row>
    <row r="1033">
      <c r="A1033" s="57"/>
      <c r="B1033" s="57"/>
      <c r="C1033" s="57"/>
      <c r="D1033" s="57"/>
      <c r="E1033" s="57"/>
      <c r="F1033" s="57"/>
      <c r="G1033" s="57"/>
      <c r="H1033" s="57"/>
      <c r="I1033" s="57"/>
      <c r="J1033" s="57"/>
      <c r="K1033" s="57"/>
      <c r="L1033" s="57"/>
      <c r="M1033" s="57"/>
      <c r="N1033" s="57"/>
      <c r="O1033" s="57"/>
      <c r="P1033" s="57"/>
      <c r="Q1033" s="57"/>
      <c r="R1033" s="57"/>
      <c r="S1033" s="57"/>
      <c r="T1033" s="57"/>
      <c r="U1033" s="57"/>
      <c r="V1033" s="57"/>
      <c r="W1033" s="57"/>
      <c r="X1033" s="57"/>
      <c r="Y1033" s="57"/>
      <c r="Z1033" s="57"/>
    </row>
    <row r="1034">
      <c r="A1034" s="57"/>
      <c r="B1034" s="57"/>
      <c r="C1034" s="57"/>
      <c r="D1034" s="57"/>
      <c r="E1034" s="57"/>
      <c r="F1034" s="57"/>
      <c r="G1034" s="57"/>
      <c r="H1034" s="57"/>
      <c r="I1034" s="57"/>
      <c r="J1034" s="57"/>
      <c r="K1034" s="57"/>
      <c r="L1034" s="57"/>
      <c r="M1034" s="57"/>
      <c r="N1034" s="57"/>
      <c r="O1034" s="57"/>
      <c r="P1034" s="57"/>
      <c r="Q1034" s="57"/>
      <c r="R1034" s="57"/>
      <c r="S1034" s="57"/>
      <c r="T1034" s="57"/>
      <c r="U1034" s="57"/>
      <c r="V1034" s="57"/>
      <c r="W1034" s="57"/>
      <c r="X1034" s="57"/>
      <c r="Y1034" s="57"/>
      <c r="Z1034" s="57"/>
    </row>
    <row r="1035">
      <c r="A1035" s="57"/>
      <c r="B1035" s="57"/>
      <c r="C1035" s="57"/>
      <c r="D1035" s="57"/>
      <c r="E1035" s="57"/>
      <c r="F1035" s="57"/>
      <c r="G1035" s="57"/>
      <c r="H1035" s="57"/>
      <c r="I1035" s="57"/>
      <c r="J1035" s="57"/>
      <c r="K1035" s="57"/>
      <c r="L1035" s="57"/>
      <c r="M1035" s="57"/>
      <c r="N1035" s="57"/>
      <c r="O1035" s="57"/>
      <c r="P1035" s="57"/>
      <c r="Q1035" s="57"/>
      <c r="R1035" s="57"/>
      <c r="S1035" s="57"/>
      <c r="T1035" s="57"/>
      <c r="U1035" s="57"/>
      <c r="V1035" s="57"/>
      <c r="W1035" s="57"/>
      <c r="X1035" s="57"/>
      <c r="Y1035" s="57"/>
      <c r="Z1035" s="57"/>
    </row>
    <row r="1036">
      <c r="A1036" s="57"/>
      <c r="B1036" s="57"/>
      <c r="C1036" s="57"/>
      <c r="D1036" s="57"/>
      <c r="E1036" s="57"/>
      <c r="F1036" s="57"/>
      <c r="G1036" s="57"/>
      <c r="H1036" s="57"/>
      <c r="I1036" s="57"/>
      <c r="J1036" s="57"/>
      <c r="K1036" s="57"/>
      <c r="L1036" s="57"/>
      <c r="M1036" s="57"/>
      <c r="N1036" s="57"/>
      <c r="O1036" s="57"/>
      <c r="P1036" s="57"/>
      <c r="Q1036" s="57"/>
      <c r="R1036" s="57"/>
      <c r="S1036" s="57"/>
      <c r="T1036" s="57"/>
      <c r="U1036" s="57"/>
      <c r="V1036" s="57"/>
      <c r="W1036" s="57"/>
      <c r="X1036" s="57"/>
      <c r="Y1036" s="57"/>
      <c r="Z1036" s="57"/>
    </row>
    <row r="1037">
      <c r="A1037" s="57"/>
      <c r="B1037" s="57"/>
      <c r="C1037" s="57"/>
      <c r="D1037" s="57"/>
      <c r="E1037" s="57"/>
      <c r="F1037" s="57"/>
      <c r="G1037" s="57"/>
      <c r="H1037" s="57"/>
      <c r="I1037" s="57"/>
      <c r="J1037" s="57"/>
      <c r="K1037" s="57"/>
      <c r="L1037" s="57"/>
      <c r="M1037" s="57"/>
      <c r="N1037" s="57"/>
      <c r="O1037" s="57"/>
      <c r="P1037" s="57"/>
      <c r="Q1037" s="57"/>
      <c r="R1037" s="57"/>
      <c r="S1037" s="57"/>
      <c r="T1037" s="57"/>
      <c r="U1037" s="57"/>
      <c r="V1037" s="57"/>
      <c r="W1037" s="57"/>
      <c r="X1037" s="57"/>
      <c r="Y1037" s="57"/>
      <c r="Z1037" s="57"/>
    </row>
    <row r="1038">
      <c r="A1038" s="57"/>
      <c r="B1038" s="57"/>
      <c r="C1038" s="57"/>
      <c r="D1038" s="57"/>
      <c r="E1038" s="57"/>
      <c r="F1038" s="57"/>
      <c r="G1038" s="57"/>
      <c r="H1038" s="57"/>
      <c r="I1038" s="57"/>
      <c r="J1038" s="57"/>
      <c r="K1038" s="57"/>
      <c r="L1038" s="57"/>
      <c r="M1038" s="57"/>
      <c r="N1038" s="57"/>
      <c r="O1038" s="57"/>
      <c r="P1038" s="57"/>
      <c r="Q1038" s="57"/>
      <c r="R1038" s="57"/>
      <c r="S1038" s="57"/>
      <c r="T1038" s="57"/>
      <c r="U1038" s="57"/>
      <c r="V1038" s="57"/>
      <c r="W1038" s="57"/>
      <c r="X1038" s="57"/>
      <c r="Y1038" s="57"/>
      <c r="Z1038" s="57"/>
    </row>
    <row r="1039">
      <c r="A1039" s="57"/>
      <c r="B1039" s="57"/>
      <c r="C1039" s="57"/>
      <c r="D1039" s="57"/>
      <c r="E1039" s="57"/>
      <c r="F1039" s="57"/>
      <c r="G1039" s="57"/>
      <c r="H1039" s="57"/>
      <c r="I1039" s="57"/>
      <c r="J1039" s="57"/>
      <c r="K1039" s="57"/>
      <c r="L1039" s="57"/>
      <c r="M1039" s="57"/>
      <c r="N1039" s="57"/>
      <c r="O1039" s="57"/>
      <c r="P1039" s="57"/>
      <c r="Q1039" s="57"/>
      <c r="R1039" s="57"/>
      <c r="S1039" s="57"/>
      <c r="T1039" s="57"/>
      <c r="U1039" s="57"/>
      <c r="V1039" s="57"/>
      <c r="W1039" s="57"/>
      <c r="X1039" s="57"/>
      <c r="Y1039" s="57"/>
      <c r="Z1039" s="57"/>
    </row>
    <row r="1040">
      <c r="A1040" s="57"/>
      <c r="B1040" s="57"/>
      <c r="C1040" s="57"/>
      <c r="D1040" s="57"/>
      <c r="E1040" s="57"/>
      <c r="F1040" s="57"/>
      <c r="G1040" s="57"/>
      <c r="H1040" s="57"/>
      <c r="I1040" s="57"/>
      <c r="J1040" s="57"/>
      <c r="K1040" s="57"/>
      <c r="L1040" s="57"/>
      <c r="M1040" s="57"/>
      <c r="N1040" s="57"/>
      <c r="O1040" s="57"/>
      <c r="P1040" s="57"/>
      <c r="Q1040" s="57"/>
      <c r="R1040" s="57"/>
      <c r="S1040" s="57"/>
      <c r="T1040" s="57"/>
      <c r="U1040" s="57"/>
      <c r="V1040" s="57"/>
      <c r="W1040" s="57"/>
      <c r="X1040" s="57"/>
      <c r="Y1040" s="57"/>
      <c r="Z1040" s="57"/>
    </row>
    <row r="1041">
      <c r="A1041" s="57"/>
      <c r="B1041" s="57"/>
      <c r="C1041" s="57"/>
      <c r="D1041" s="57"/>
      <c r="E1041" s="57"/>
      <c r="F1041" s="57"/>
      <c r="G1041" s="57"/>
      <c r="H1041" s="57"/>
      <c r="I1041" s="57"/>
      <c r="J1041" s="57"/>
      <c r="K1041" s="57"/>
      <c r="L1041" s="57"/>
      <c r="M1041" s="57"/>
      <c r="N1041" s="57"/>
      <c r="O1041" s="57"/>
      <c r="P1041" s="57"/>
      <c r="Q1041" s="57"/>
      <c r="R1041" s="57"/>
      <c r="S1041" s="57"/>
      <c r="T1041" s="57"/>
      <c r="U1041" s="57"/>
      <c r="V1041" s="57"/>
      <c r="W1041" s="57"/>
      <c r="X1041" s="57"/>
      <c r="Y1041" s="57"/>
      <c r="Z1041" s="57"/>
    </row>
    <row r="1042">
      <c r="A1042" s="57"/>
      <c r="B1042" s="57"/>
      <c r="C1042" s="57"/>
      <c r="D1042" s="57"/>
      <c r="E1042" s="57"/>
      <c r="F1042" s="57"/>
      <c r="G1042" s="57"/>
      <c r="H1042" s="57"/>
      <c r="I1042" s="57"/>
      <c r="J1042" s="57"/>
      <c r="K1042" s="57"/>
      <c r="L1042" s="57"/>
      <c r="M1042" s="57"/>
      <c r="N1042" s="57"/>
      <c r="O1042" s="57"/>
      <c r="P1042" s="57"/>
      <c r="Q1042" s="57"/>
      <c r="R1042" s="57"/>
      <c r="S1042" s="57"/>
      <c r="T1042" s="57"/>
      <c r="U1042" s="57"/>
      <c r="V1042" s="57"/>
      <c r="W1042" s="57"/>
      <c r="X1042" s="57"/>
      <c r="Y1042" s="57"/>
      <c r="Z1042" s="57"/>
    </row>
    <row r="1043">
      <c r="A1043" s="57"/>
      <c r="B1043" s="57"/>
      <c r="C1043" s="57"/>
      <c r="D1043" s="57"/>
      <c r="E1043" s="57"/>
      <c r="F1043" s="57"/>
      <c r="G1043" s="57"/>
      <c r="H1043" s="57"/>
      <c r="I1043" s="57"/>
      <c r="J1043" s="57"/>
      <c r="K1043" s="57"/>
      <c r="L1043" s="57"/>
      <c r="M1043" s="57"/>
      <c r="N1043" s="57"/>
      <c r="O1043" s="57"/>
      <c r="P1043" s="57"/>
      <c r="Q1043" s="57"/>
      <c r="R1043" s="57"/>
      <c r="S1043" s="57"/>
      <c r="T1043" s="57"/>
      <c r="U1043" s="57"/>
      <c r="V1043" s="57"/>
      <c r="W1043" s="57"/>
      <c r="X1043" s="57"/>
      <c r="Y1043" s="57"/>
      <c r="Z1043" s="57"/>
    </row>
    <row r="1044">
      <c r="A1044" s="57"/>
      <c r="B1044" s="57"/>
      <c r="C1044" s="57"/>
      <c r="D1044" s="57"/>
      <c r="E1044" s="57"/>
      <c r="F1044" s="57"/>
      <c r="G1044" s="57"/>
      <c r="H1044" s="57"/>
      <c r="I1044" s="57"/>
      <c r="J1044" s="57"/>
      <c r="K1044" s="57"/>
      <c r="L1044" s="57"/>
      <c r="M1044" s="57"/>
      <c r="N1044" s="57"/>
      <c r="O1044" s="57"/>
      <c r="P1044" s="57"/>
      <c r="Q1044" s="57"/>
      <c r="R1044" s="57"/>
      <c r="S1044" s="57"/>
      <c r="T1044" s="57"/>
      <c r="U1044" s="57"/>
      <c r="V1044" s="57"/>
      <c r="W1044" s="57"/>
      <c r="X1044" s="57"/>
      <c r="Y1044" s="57"/>
      <c r="Z1044" s="57"/>
    </row>
    <row r="1045">
      <c r="A1045" s="57"/>
      <c r="B1045" s="57"/>
      <c r="C1045" s="57"/>
      <c r="D1045" s="57"/>
      <c r="E1045" s="57"/>
      <c r="F1045" s="57"/>
      <c r="G1045" s="57"/>
      <c r="H1045" s="57"/>
      <c r="I1045" s="57"/>
      <c r="J1045" s="57"/>
      <c r="K1045" s="57"/>
      <c r="L1045" s="57"/>
      <c r="M1045" s="57"/>
      <c r="N1045" s="57"/>
      <c r="O1045" s="57"/>
      <c r="P1045" s="57"/>
      <c r="Q1045" s="57"/>
      <c r="R1045" s="57"/>
      <c r="S1045" s="57"/>
      <c r="T1045" s="57"/>
      <c r="U1045" s="57"/>
      <c r="V1045" s="57"/>
      <c r="W1045" s="57"/>
      <c r="X1045" s="57"/>
      <c r="Y1045" s="57"/>
      <c r="Z1045" s="57"/>
    </row>
    <row r="1046">
      <c r="A1046" s="57"/>
      <c r="B1046" s="57"/>
      <c r="C1046" s="57"/>
      <c r="D1046" s="57"/>
      <c r="E1046" s="57"/>
      <c r="F1046" s="57"/>
      <c r="G1046" s="57"/>
      <c r="H1046" s="57"/>
      <c r="I1046" s="57"/>
      <c r="J1046" s="57"/>
      <c r="K1046" s="57"/>
      <c r="L1046" s="57"/>
      <c r="M1046" s="57"/>
      <c r="N1046" s="57"/>
      <c r="O1046" s="57"/>
      <c r="P1046" s="57"/>
      <c r="Q1046" s="57"/>
      <c r="R1046" s="57"/>
      <c r="S1046" s="57"/>
      <c r="T1046" s="57"/>
      <c r="U1046" s="57"/>
      <c r="V1046" s="57"/>
      <c r="W1046" s="57"/>
      <c r="X1046" s="57"/>
      <c r="Y1046" s="57"/>
      <c r="Z1046" s="57"/>
    </row>
    <row r="1047">
      <c r="A1047" s="57"/>
      <c r="B1047" s="57"/>
      <c r="C1047" s="57"/>
      <c r="D1047" s="57"/>
      <c r="E1047" s="57"/>
      <c r="F1047" s="57"/>
      <c r="G1047" s="57"/>
      <c r="H1047" s="57"/>
      <c r="I1047" s="57"/>
      <c r="J1047" s="57"/>
      <c r="K1047" s="57"/>
      <c r="L1047" s="57"/>
      <c r="M1047" s="57"/>
      <c r="N1047" s="57"/>
      <c r="O1047" s="57"/>
      <c r="P1047" s="57"/>
      <c r="Q1047" s="57"/>
      <c r="R1047" s="57"/>
      <c r="S1047" s="57"/>
      <c r="T1047" s="57"/>
      <c r="U1047" s="57"/>
      <c r="V1047" s="57"/>
      <c r="W1047" s="57"/>
      <c r="X1047" s="57"/>
      <c r="Y1047" s="57"/>
      <c r="Z1047" s="57"/>
    </row>
    <row r="1048">
      <c r="A1048" s="57"/>
      <c r="B1048" s="57"/>
      <c r="C1048" s="57"/>
      <c r="D1048" s="57"/>
      <c r="E1048" s="57"/>
      <c r="F1048" s="57"/>
      <c r="G1048" s="57"/>
      <c r="H1048" s="57"/>
      <c r="I1048" s="57"/>
      <c r="J1048" s="57"/>
      <c r="K1048" s="57"/>
      <c r="L1048" s="57"/>
      <c r="M1048" s="57"/>
      <c r="N1048" s="57"/>
      <c r="O1048" s="57"/>
      <c r="P1048" s="57"/>
      <c r="Q1048" s="57"/>
      <c r="R1048" s="57"/>
      <c r="S1048" s="57"/>
      <c r="T1048" s="57"/>
      <c r="U1048" s="57"/>
      <c r="V1048" s="57"/>
      <c r="W1048" s="57"/>
      <c r="X1048" s="57"/>
      <c r="Y1048" s="57"/>
      <c r="Z1048" s="57"/>
    </row>
    <row r="1049">
      <c r="A1049" s="57"/>
      <c r="B1049" s="57"/>
      <c r="C1049" s="57"/>
      <c r="D1049" s="57"/>
      <c r="E1049" s="57"/>
      <c r="F1049" s="57"/>
      <c r="G1049" s="57"/>
      <c r="H1049" s="57"/>
      <c r="I1049" s="57"/>
      <c r="J1049" s="57"/>
      <c r="K1049" s="57"/>
      <c r="L1049" s="57"/>
      <c r="M1049" s="57"/>
      <c r="N1049" s="57"/>
      <c r="O1049" s="57"/>
      <c r="P1049" s="57"/>
      <c r="Q1049" s="57"/>
      <c r="R1049" s="57"/>
      <c r="S1049" s="57"/>
      <c r="T1049" s="57"/>
      <c r="U1049" s="57"/>
      <c r="V1049" s="57"/>
      <c r="W1049" s="57"/>
      <c r="X1049" s="57"/>
      <c r="Y1049" s="57"/>
      <c r="Z1049" s="57"/>
    </row>
    <row r="1050">
      <c r="A1050" s="57"/>
      <c r="B1050" s="57"/>
      <c r="C1050" s="57"/>
      <c r="D1050" s="57"/>
      <c r="E1050" s="57"/>
      <c r="F1050" s="57"/>
      <c r="G1050" s="57"/>
      <c r="H1050" s="57"/>
      <c r="I1050" s="57"/>
      <c r="J1050" s="57"/>
      <c r="K1050" s="57"/>
      <c r="L1050" s="57"/>
      <c r="M1050" s="57"/>
      <c r="N1050" s="57"/>
      <c r="O1050" s="57"/>
      <c r="P1050" s="57"/>
      <c r="Q1050" s="57"/>
      <c r="R1050" s="57"/>
      <c r="S1050" s="57"/>
      <c r="T1050" s="57"/>
      <c r="U1050" s="57"/>
      <c r="V1050" s="57"/>
      <c r="W1050" s="57"/>
      <c r="X1050" s="57"/>
      <c r="Y1050" s="57"/>
      <c r="Z1050" s="57"/>
    </row>
    <row r="1051">
      <c r="A1051" s="57"/>
      <c r="B1051" s="57"/>
      <c r="C1051" s="57"/>
      <c r="D1051" s="57"/>
      <c r="E1051" s="57"/>
      <c r="F1051" s="57"/>
      <c r="G1051" s="57"/>
      <c r="H1051" s="57"/>
      <c r="I1051" s="57"/>
      <c r="J1051" s="57"/>
      <c r="K1051" s="57"/>
      <c r="L1051" s="57"/>
      <c r="M1051" s="57"/>
      <c r="N1051" s="57"/>
      <c r="O1051" s="57"/>
      <c r="P1051" s="57"/>
      <c r="Q1051" s="57"/>
      <c r="R1051" s="57"/>
      <c r="S1051" s="57"/>
      <c r="T1051" s="57"/>
      <c r="U1051" s="57"/>
      <c r="V1051" s="57"/>
      <c r="W1051" s="57"/>
      <c r="X1051" s="57"/>
      <c r="Y1051" s="57"/>
      <c r="Z1051" s="57"/>
    </row>
    <row r="1052">
      <c r="A1052" s="57"/>
      <c r="B1052" s="57"/>
      <c r="C1052" s="57"/>
      <c r="D1052" s="57"/>
      <c r="E1052" s="57"/>
      <c r="F1052" s="57"/>
      <c r="G1052" s="57"/>
      <c r="H1052" s="57"/>
      <c r="I1052" s="57"/>
      <c r="J1052" s="57"/>
      <c r="K1052" s="57"/>
      <c r="L1052" s="57"/>
      <c r="M1052" s="57"/>
      <c r="N1052" s="57"/>
      <c r="O1052" s="57"/>
      <c r="P1052" s="57"/>
      <c r="Q1052" s="57"/>
      <c r="R1052" s="57"/>
      <c r="S1052" s="57"/>
      <c r="T1052" s="57"/>
      <c r="U1052" s="57"/>
      <c r="V1052" s="57"/>
      <c r="W1052" s="57"/>
      <c r="X1052" s="57"/>
      <c r="Y1052" s="57"/>
      <c r="Z1052" s="57"/>
    </row>
    <row r="1053">
      <c r="A1053" s="57"/>
      <c r="B1053" s="57"/>
      <c r="C1053" s="57"/>
      <c r="D1053" s="57"/>
      <c r="E1053" s="57"/>
      <c r="F1053" s="57"/>
      <c r="G1053" s="57"/>
      <c r="H1053" s="57"/>
      <c r="I1053" s="57"/>
      <c r="J1053" s="57"/>
      <c r="K1053" s="57"/>
      <c r="L1053" s="57"/>
      <c r="M1053" s="57"/>
      <c r="N1053" s="57"/>
      <c r="O1053" s="57"/>
      <c r="P1053" s="57"/>
      <c r="Q1053" s="57"/>
      <c r="R1053" s="57"/>
      <c r="S1053" s="57"/>
      <c r="T1053" s="57"/>
      <c r="U1053" s="57"/>
      <c r="V1053" s="57"/>
      <c r="W1053" s="57"/>
      <c r="X1053" s="57"/>
      <c r="Y1053" s="57"/>
      <c r="Z1053" s="57"/>
    </row>
    <row r="1054">
      <c r="A1054" s="57"/>
      <c r="B1054" s="57"/>
      <c r="C1054" s="57"/>
      <c r="D1054" s="57"/>
      <c r="E1054" s="57"/>
      <c r="F1054" s="57"/>
      <c r="G1054" s="57"/>
      <c r="H1054" s="57"/>
      <c r="I1054" s="57"/>
      <c r="J1054" s="57"/>
      <c r="K1054" s="57"/>
      <c r="L1054" s="57"/>
      <c r="M1054" s="57"/>
      <c r="N1054" s="57"/>
      <c r="O1054" s="57"/>
      <c r="P1054" s="57"/>
      <c r="Q1054" s="57"/>
      <c r="R1054" s="57"/>
      <c r="S1054" s="57"/>
      <c r="T1054" s="57"/>
      <c r="U1054" s="57"/>
      <c r="V1054" s="57"/>
      <c r="W1054" s="57"/>
      <c r="X1054" s="57"/>
      <c r="Y1054" s="57"/>
      <c r="Z1054" s="57"/>
    </row>
    <row r="1055">
      <c r="A1055" s="57"/>
      <c r="B1055" s="57"/>
      <c r="C1055" s="57"/>
      <c r="D1055" s="57"/>
      <c r="E1055" s="57"/>
      <c r="F1055" s="57"/>
      <c r="G1055" s="57"/>
      <c r="H1055" s="57"/>
      <c r="I1055" s="57"/>
      <c r="J1055" s="57"/>
      <c r="K1055" s="57"/>
      <c r="L1055" s="57"/>
      <c r="M1055" s="57"/>
      <c r="N1055" s="57"/>
      <c r="O1055" s="57"/>
      <c r="P1055" s="57"/>
      <c r="Q1055" s="57"/>
      <c r="R1055" s="57"/>
      <c r="S1055" s="57"/>
      <c r="T1055" s="57"/>
      <c r="U1055" s="57"/>
      <c r="V1055" s="57"/>
      <c r="W1055" s="57"/>
      <c r="X1055" s="57"/>
      <c r="Y1055" s="57"/>
      <c r="Z1055" s="57"/>
    </row>
    <row r="1056">
      <c r="A1056" s="57"/>
      <c r="B1056" s="57"/>
      <c r="C1056" s="57"/>
      <c r="D1056" s="57"/>
      <c r="E1056" s="57"/>
      <c r="F1056" s="57"/>
      <c r="G1056" s="57"/>
      <c r="H1056" s="57"/>
      <c r="I1056" s="57"/>
      <c r="J1056" s="57"/>
      <c r="K1056" s="57"/>
      <c r="L1056" s="57"/>
      <c r="M1056" s="57"/>
      <c r="N1056" s="57"/>
      <c r="O1056" s="57"/>
      <c r="P1056" s="57"/>
      <c r="Q1056" s="57"/>
      <c r="R1056" s="57"/>
      <c r="S1056" s="57"/>
      <c r="T1056" s="57"/>
      <c r="U1056" s="57"/>
      <c r="V1056" s="57"/>
      <c r="W1056" s="57"/>
      <c r="X1056" s="57"/>
      <c r="Y1056" s="57"/>
      <c r="Z1056" s="57"/>
    </row>
    <row r="1057">
      <c r="A1057" s="57"/>
      <c r="B1057" s="57"/>
      <c r="C1057" s="57"/>
      <c r="D1057" s="57"/>
      <c r="E1057" s="57"/>
      <c r="F1057" s="57"/>
      <c r="G1057" s="57"/>
      <c r="H1057" s="57"/>
      <c r="I1057" s="57"/>
      <c r="J1057" s="57"/>
      <c r="K1057" s="57"/>
      <c r="L1057" s="57"/>
      <c r="M1057" s="57"/>
      <c r="N1057" s="57"/>
      <c r="O1057" s="57"/>
      <c r="P1057" s="57"/>
      <c r="Q1057" s="57"/>
      <c r="R1057" s="57"/>
      <c r="S1057" s="57"/>
      <c r="T1057" s="57"/>
      <c r="U1057" s="57"/>
      <c r="V1057" s="57"/>
      <c r="W1057" s="57"/>
      <c r="X1057" s="57"/>
      <c r="Y1057" s="57"/>
      <c r="Z1057" s="57"/>
    </row>
    <row r="1058">
      <c r="A1058" s="57"/>
      <c r="B1058" s="57"/>
      <c r="C1058" s="57"/>
      <c r="D1058" s="57"/>
      <c r="E1058" s="57"/>
      <c r="F1058" s="57"/>
      <c r="G1058" s="57"/>
      <c r="H1058" s="57"/>
      <c r="I1058" s="57"/>
      <c r="J1058" s="57"/>
      <c r="K1058" s="57"/>
      <c r="L1058" s="57"/>
      <c r="M1058" s="57"/>
      <c r="N1058" s="57"/>
      <c r="O1058" s="57"/>
      <c r="P1058" s="57"/>
      <c r="Q1058" s="57"/>
      <c r="R1058" s="57"/>
      <c r="S1058" s="57"/>
      <c r="T1058" s="57"/>
      <c r="U1058" s="57"/>
      <c r="V1058" s="57"/>
      <c r="W1058" s="57"/>
      <c r="X1058" s="57"/>
      <c r="Y1058" s="57"/>
      <c r="Z1058" s="57"/>
    </row>
    <row r="1059">
      <c r="A1059" s="57"/>
      <c r="B1059" s="57"/>
      <c r="C1059" s="57"/>
      <c r="D1059" s="57"/>
      <c r="E1059" s="57"/>
      <c r="F1059" s="57"/>
      <c r="G1059" s="57"/>
      <c r="H1059" s="57"/>
      <c r="I1059" s="57"/>
      <c r="J1059" s="57"/>
      <c r="K1059" s="57"/>
      <c r="L1059" s="57"/>
      <c r="M1059" s="57"/>
      <c r="N1059" s="57"/>
      <c r="O1059" s="57"/>
      <c r="P1059" s="57"/>
      <c r="Q1059" s="57"/>
      <c r="R1059" s="57"/>
      <c r="S1059" s="57"/>
      <c r="T1059" s="57"/>
      <c r="U1059" s="57"/>
      <c r="V1059" s="57"/>
      <c r="W1059" s="57"/>
      <c r="X1059" s="57"/>
      <c r="Y1059" s="57"/>
      <c r="Z1059" s="57"/>
    </row>
    <row r="1060">
      <c r="A1060" s="57"/>
      <c r="B1060" s="57"/>
      <c r="C1060" s="57"/>
      <c r="D1060" s="57"/>
      <c r="E1060" s="57"/>
      <c r="F1060" s="57"/>
      <c r="G1060" s="57"/>
      <c r="H1060" s="57"/>
      <c r="I1060" s="57"/>
      <c r="J1060" s="57"/>
      <c r="K1060" s="57"/>
      <c r="L1060" s="57"/>
      <c r="M1060" s="57"/>
      <c r="N1060" s="57"/>
      <c r="O1060" s="57"/>
      <c r="P1060" s="57"/>
      <c r="Q1060" s="57"/>
      <c r="R1060" s="57"/>
      <c r="S1060" s="57"/>
      <c r="T1060" s="57"/>
      <c r="U1060" s="57"/>
      <c r="V1060" s="57"/>
      <c r="W1060" s="57"/>
      <c r="X1060" s="57"/>
      <c r="Y1060" s="57"/>
      <c r="Z1060" s="57"/>
    </row>
    <row r="1061">
      <c r="A1061" s="57"/>
      <c r="B1061" s="57"/>
      <c r="C1061" s="57"/>
      <c r="D1061" s="57"/>
      <c r="E1061" s="57"/>
      <c r="F1061" s="57"/>
      <c r="G1061" s="57"/>
      <c r="H1061" s="57"/>
      <c r="I1061" s="57"/>
      <c r="J1061" s="57"/>
      <c r="K1061" s="57"/>
      <c r="L1061" s="57"/>
      <c r="M1061" s="57"/>
      <c r="N1061" s="57"/>
      <c r="O1061" s="57"/>
      <c r="P1061" s="57"/>
      <c r="Q1061" s="57"/>
      <c r="R1061" s="57"/>
      <c r="S1061" s="57"/>
      <c r="T1061" s="57"/>
      <c r="U1061" s="57"/>
      <c r="V1061" s="57"/>
      <c r="W1061" s="57"/>
      <c r="X1061" s="57"/>
      <c r="Y1061" s="57"/>
      <c r="Z1061" s="57"/>
    </row>
    <row r="1062">
      <c r="A1062" s="57"/>
      <c r="B1062" s="57"/>
      <c r="C1062" s="57"/>
      <c r="D1062" s="57"/>
      <c r="E1062" s="57"/>
      <c r="F1062" s="57"/>
      <c r="G1062" s="57"/>
      <c r="H1062" s="57"/>
      <c r="I1062" s="57"/>
      <c r="J1062" s="57"/>
      <c r="K1062" s="57"/>
      <c r="L1062" s="57"/>
      <c r="M1062" s="57"/>
      <c r="N1062" s="57"/>
      <c r="O1062" s="57"/>
      <c r="P1062" s="57"/>
      <c r="Q1062" s="57"/>
      <c r="R1062" s="57"/>
      <c r="S1062" s="57"/>
      <c r="T1062" s="57"/>
      <c r="U1062" s="57"/>
      <c r="V1062" s="57"/>
      <c r="W1062" s="57"/>
      <c r="X1062" s="57"/>
      <c r="Y1062" s="57"/>
      <c r="Z1062" s="57"/>
    </row>
    <row r="1063">
      <c r="A1063" s="57"/>
      <c r="B1063" s="57"/>
      <c r="C1063" s="57"/>
      <c r="D1063" s="57"/>
      <c r="E1063" s="57"/>
      <c r="F1063" s="57"/>
      <c r="G1063" s="57"/>
      <c r="H1063" s="57"/>
      <c r="I1063" s="57"/>
      <c r="J1063" s="57"/>
      <c r="K1063" s="57"/>
      <c r="L1063" s="57"/>
      <c r="M1063" s="57"/>
      <c r="N1063" s="57"/>
      <c r="O1063" s="57"/>
      <c r="P1063" s="57"/>
      <c r="Q1063" s="57"/>
      <c r="R1063" s="57"/>
      <c r="S1063" s="57"/>
      <c r="T1063" s="57"/>
      <c r="U1063" s="57"/>
      <c r="V1063" s="57"/>
      <c r="W1063" s="57"/>
      <c r="X1063" s="57"/>
      <c r="Y1063" s="57"/>
      <c r="Z1063" s="57"/>
    </row>
    <row r="1064">
      <c r="A1064" s="57"/>
      <c r="B1064" s="57"/>
      <c r="C1064" s="57"/>
      <c r="D1064" s="57"/>
      <c r="E1064" s="57"/>
      <c r="F1064" s="57"/>
      <c r="G1064" s="57"/>
      <c r="H1064" s="57"/>
      <c r="I1064" s="57"/>
      <c r="J1064" s="57"/>
      <c r="K1064" s="57"/>
      <c r="L1064" s="57"/>
      <c r="M1064" s="57"/>
      <c r="N1064" s="57"/>
      <c r="O1064" s="57"/>
      <c r="P1064" s="57"/>
      <c r="Q1064" s="57"/>
      <c r="R1064" s="57"/>
      <c r="S1064" s="57"/>
      <c r="T1064" s="57"/>
      <c r="U1064" s="57"/>
      <c r="V1064" s="57"/>
      <c r="W1064" s="57"/>
      <c r="X1064" s="57"/>
      <c r="Y1064" s="57"/>
      <c r="Z1064" s="57"/>
    </row>
    <row r="1065">
      <c r="A1065" s="57"/>
      <c r="B1065" s="57"/>
      <c r="C1065" s="57"/>
      <c r="D1065" s="57"/>
      <c r="E1065" s="57"/>
      <c r="F1065" s="57"/>
      <c r="G1065" s="57"/>
      <c r="H1065" s="57"/>
      <c r="I1065" s="57"/>
      <c r="J1065" s="57"/>
      <c r="K1065" s="57"/>
      <c r="L1065" s="57"/>
      <c r="M1065" s="57"/>
      <c r="N1065" s="57"/>
      <c r="O1065" s="57"/>
      <c r="P1065" s="57"/>
      <c r="Q1065" s="57"/>
      <c r="R1065" s="57"/>
      <c r="S1065" s="57"/>
      <c r="T1065" s="57"/>
      <c r="U1065" s="57"/>
      <c r="V1065" s="57"/>
      <c r="W1065" s="57"/>
      <c r="X1065" s="57"/>
      <c r="Y1065" s="57"/>
      <c r="Z1065" s="57"/>
    </row>
    <row r="1066">
      <c r="A1066" s="57"/>
      <c r="B1066" s="57"/>
      <c r="C1066" s="57"/>
      <c r="D1066" s="57"/>
      <c r="E1066" s="57"/>
      <c r="F1066" s="57"/>
      <c r="G1066" s="57"/>
      <c r="H1066" s="57"/>
      <c r="I1066" s="57"/>
      <c r="J1066" s="57"/>
      <c r="K1066" s="57"/>
      <c r="L1066" s="57"/>
      <c r="M1066" s="57"/>
      <c r="N1066" s="57"/>
      <c r="O1066" s="57"/>
      <c r="P1066" s="57"/>
      <c r="Q1066" s="57"/>
      <c r="R1066" s="57"/>
      <c r="S1066" s="57"/>
      <c r="T1066" s="57"/>
      <c r="U1066" s="57"/>
      <c r="V1066" s="57"/>
      <c r="W1066" s="57"/>
      <c r="X1066" s="57"/>
      <c r="Y1066" s="57"/>
      <c r="Z1066" s="57"/>
    </row>
    <row r="1067">
      <c r="A1067" s="57"/>
      <c r="B1067" s="57"/>
      <c r="C1067" s="57"/>
      <c r="D1067" s="57"/>
      <c r="E1067" s="57"/>
      <c r="F1067" s="57"/>
      <c r="G1067" s="57"/>
      <c r="H1067" s="57"/>
      <c r="I1067" s="57"/>
      <c r="J1067" s="57"/>
      <c r="K1067" s="57"/>
      <c r="L1067" s="57"/>
      <c r="M1067" s="57"/>
      <c r="N1067" s="57"/>
      <c r="O1067" s="57"/>
      <c r="P1067" s="57"/>
      <c r="Q1067" s="57"/>
      <c r="R1067" s="57"/>
      <c r="S1067" s="57"/>
      <c r="T1067" s="57"/>
      <c r="U1067" s="57"/>
      <c r="V1067" s="57"/>
      <c r="W1067" s="57"/>
      <c r="X1067" s="57"/>
      <c r="Y1067" s="57"/>
      <c r="Z1067" s="57"/>
    </row>
    <row r="1068">
      <c r="A1068" s="57"/>
      <c r="B1068" s="57"/>
      <c r="C1068" s="57"/>
      <c r="D1068" s="57"/>
      <c r="E1068" s="57"/>
      <c r="F1068" s="57"/>
      <c r="G1068" s="57"/>
      <c r="H1068" s="57"/>
      <c r="I1068" s="57"/>
      <c r="J1068" s="57"/>
      <c r="K1068" s="57"/>
      <c r="L1068" s="57"/>
      <c r="M1068" s="57"/>
      <c r="N1068" s="57"/>
      <c r="O1068" s="57"/>
      <c r="P1068" s="57"/>
      <c r="Q1068" s="57"/>
      <c r="R1068" s="57"/>
      <c r="S1068" s="57"/>
      <c r="T1068" s="57"/>
      <c r="U1068" s="57"/>
      <c r="V1068" s="57"/>
      <c r="W1068" s="57"/>
      <c r="X1068" s="57"/>
      <c r="Y1068" s="57"/>
      <c r="Z1068" s="57"/>
    </row>
    <row r="1069">
      <c r="A1069" s="57"/>
      <c r="B1069" s="57"/>
      <c r="C1069" s="57"/>
      <c r="D1069" s="57"/>
      <c r="E1069" s="57"/>
      <c r="F1069" s="57"/>
      <c r="G1069" s="57"/>
      <c r="H1069" s="57"/>
      <c r="I1069" s="57"/>
      <c r="J1069" s="57"/>
      <c r="K1069" s="57"/>
      <c r="L1069" s="57"/>
      <c r="M1069" s="57"/>
      <c r="N1069" s="57"/>
      <c r="O1069" s="57"/>
      <c r="P1069" s="57"/>
      <c r="Q1069" s="57"/>
      <c r="R1069" s="57"/>
      <c r="S1069" s="57"/>
      <c r="T1069" s="57"/>
      <c r="U1069" s="57"/>
      <c r="V1069" s="57"/>
      <c r="W1069" s="57"/>
      <c r="X1069" s="57"/>
      <c r="Y1069" s="57"/>
      <c r="Z1069" s="57"/>
    </row>
    <row r="1070">
      <c r="A1070" s="57"/>
      <c r="B1070" s="57"/>
      <c r="C1070" s="57"/>
      <c r="D1070" s="57"/>
      <c r="E1070" s="57"/>
      <c r="F1070" s="57"/>
      <c r="G1070" s="57"/>
      <c r="H1070" s="57"/>
      <c r="I1070" s="57"/>
      <c r="J1070" s="57"/>
      <c r="K1070" s="57"/>
      <c r="L1070" s="57"/>
      <c r="M1070" s="57"/>
      <c r="N1070" s="57"/>
      <c r="O1070" s="57"/>
      <c r="P1070" s="57"/>
      <c r="Q1070" s="57"/>
      <c r="R1070" s="57"/>
      <c r="S1070" s="57"/>
      <c r="T1070" s="57"/>
      <c r="U1070" s="57"/>
      <c r="V1070" s="57"/>
      <c r="W1070" s="57"/>
      <c r="X1070" s="57"/>
      <c r="Y1070" s="57"/>
      <c r="Z1070" s="57"/>
    </row>
    <row r="1071">
      <c r="A1071" s="57"/>
      <c r="B1071" s="57"/>
      <c r="C1071" s="57"/>
      <c r="D1071" s="57"/>
      <c r="E1071" s="57"/>
      <c r="F1071" s="57"/>
      <c r="G1071" s="57"/>
      <c r="H1071" s="57"/>
      <c r="I1071" s="57"/>
      <c r="J1071" s="57"/>
      <c r="K1071" s="57"/>
      <c r="L1071" s="57"/>
      <c r="M1071" s="57"/>
      <c r="N1071" s="57"/>
      <c r="O1071" s="57"/>
      <c r="P1071" s="57"/>
      <c r="Q1071" s="57"/>
      <c r="R1071" s="57"/>
      <c r="S1071" s="57"/>
      <c r="T1071" s="57"/>
      <c r="U1071" s="57"/>
      <c r="V1071" s="57"/>
      <c r="W1071" s="57"/>
      <c r="X1071" s="57"/>
      <c r="Y1071" s="57"/>
      <c r="Z1071" s="57"/>
    </row>
    <row r="1072">
      <c r="A1072" s="57"/>
      <c r="B1072" s="57"/>
      <c r="C1072" s="57"/>
      <c r="D1072" s="57"/>
      <c r="E1072" s="57"/>
      <c r="F1072" s="57"/>
      <c r="G1072" s="57"/>
      <c r="H1072" s="57"/>
      <c r="I1072" s="57"/>
      <c r="J1072" s="57"/>
      <c r="K1072" s="57"/>
      <c r="L1072" s="57"/>
      <c r="M1072" s="57"/>
      <c r="N1072" s="57"/>
      <c r="O1072" s="57"/>
      <c r="P1072" s="57"/>
      <c r="Q1072" s="57"/>
      <c r="R1072" s="57"/>
      <c r="S1072" s="57"/>
      <c r="T1072" s="57"/>
      <c r="U1072" s="57"/>
      <c r="V1072" s="57"/>
      <c r="W1072" s="57"/>
      <c r="X1072" s="57"/>
      <c r="Y1072" s="57"/>
      <c r="Z1072" s="57"/>
    </row>
    <row r="1073">
      <c r="A1073" s="57"/>
      <c r="B1073" s="57"/>
      <c r="C1073" s="57"/>
      <c r="D1073" s="57"/>
      <c r="E1073" s="57"/>
      <c r="F1073" s="57"/>
      <c r="G1073" s="57"/>
      <c r="H1073" s="57"/>
      <c r="I1073" s="57"/>
      <c r="J1073" s="57"/>
      <c r="K1073" s="57"/>
      <c r="L1073" s="57"/>
      <c r="M1073" s="57"/>
      <c r="N1073" s="57"/>
      <c r="O1073" s="57"/>
      <c r="P1073" s="57"/>
      <c r="Q1073" s="57"/>
      <c r="R1073" s="57"/>
      <c r="S1073" s="57"/>
      <c r="T1073" s="57"/>
      <c r="U1073" s="57"/>
      <c r="V1073" s="57"/>
      <c r="W1073" s="57"/>
      <c r="X1073" s="57"/>
      <c r="Y1073" s="57"/>
      <c r="Z1073" s="57"/>
    </row>
    <row r="1074">
      <c r="A1074" s="57"/>
      <c r="B1074" s="57"/>
      <c r="C1074" s="57"/>
      <c r="D1074" s="57"/>
      <c r="E1074" s="57"/>
      <c r="F1074" s="57"/>
      <c r="G1074" s="57"/>
      <c r="H1074" s="57"/>
      <c r="I1074" s="57"/>
      <c r="J1074" s="57"/>
      <c r="K1074" s="57"/>
      <c r="L1074" s="57"/>
      <c r="M1074" s="57"/>
      <c r="N1074" s="57"/>
      <c r="O1074" s="57"/>
      <c r="P1074" s="57"/>
      <c r="Q1074" s="57"/>
      <c r="R1074" s="57"/>
      <c r="S1074" s="57"/>
      <c r="T1074" s="57"/>
      <c r="U1074" s="57"/>
      <c r="V1074" s="57"/>
      <c r="W1074" s="57"/>
      <c r="X1074" s="57"/>
      <c r="Y1074" s="57"/>
      <c r="Z1074" s="57"/>
    </row>
    <row r="1075">
      <c r="A1075" s="57"/>
      <c r="B1075" s="57"/>
      <c r="C1075" s="57"/>
      <c r="D1075" s="57"/>
      <c r="E1075" s="57"/>
      <c r="F1075" s="57"/>
      <c r="G1075" s="57"/>
      <c r="H1075" s="57"/>
      <c r="I1075" s="57"/>
      <c r="J1075" s="57"/>
      <c r="K1075" s="57"/>
      <c r="L1075" s="57"/>
      <c r="M1075" s="57"/>
      <c r="N1075" s="57"/>
      <c r="O1075" s="57"/>
      <c r="P1075" s="57"/>
      <c r="Q1075" s="57"/>
      <c r="R1075" s="57"/>
      <c r="S1075" s="57"/>
      <c r="T1075" s="57"/>
      <c r="U1075" s="57"/>
      <c r="V1075" s="57"/>
      <c r="W1075" s="57"/>
      <c r="X1075" s="57"/>
      <c r="Y1075" s="57"/>
      <c r="Z1075" s="57"/>
    </row>
    <row r="1076">
      <c r="A1076" s="57"/>
      <c r="B1076" s="57"/>
      <c r="C1076" s="57"/>
      <c r="D1076" s="57"/>
      <c r="E1076" s="57"/>
      <c r="F1076" s="57"/>
      <c r="G1076" s="57"/>
      <c r="H1076" s="57"/>
      <c r="I1076" s="57"/>
      <c r="J1076" s="57"/>
      <c r="K1076" s="57"/>
      <c r="L1076" s="57"/>
      <c r="M1076" s="57"/>
      <c r="N1076" s="57"/>
      <c r="O1076" s="57"/>
      <c r="P1076" s="57"/>
      <c r="Q1076" s="57"/>
      <c r="R1076" s="57"/>
      <c r="S1076" s="57"/>
      <c r="T1076" s="57"/>
      <c r="U1076" s="57"/>
      <c r="V1076" s="57"/>
      <c r="W1076" s="57"/>
      <c r="X1076" s="57"/>
      <c r="Y1076" s="57"/>
      <c r="Z1076" s="57"/>
    </row>
    <row r="1077">
      <c r="A1077" s="57"/>
      <c r="B1077" s="57"/>
      <c r="C1077" s="57"/>
      <c r="D1077" s="57"/>
      <c r="E1077" s="57"/>
      <c r="F1077" s="57"/>
      <c r="G1077" s="57"/>
      <c r="H1077" s="57"/>
      <c r="I1077" s="57"/>
      <c r="J1077" s="57"/>
      <c r="K1077" s="57"/>
      <c r="L1077" s="57"/>
      <c r="M1077" s="57"/>
      <c r="N1077" s="57"/>
      <c r="O1077" s="57"/>
      <c r="P1077" s="57"/>
      <c r="Q1077" s="57"/>
      <c r="R1077" s="57"/>
      <c r="S1077" s="57"/>
      <c r="T1077" s="57"/>
      <c r="U1077" s="57"/>
      <c r="V1077" s="57"/>
      <c r="W1077" s="57"/>
      <c r="X1077" s="57"/>
      <c r="Y1077" s="57"/>
      <c r="Z1077" s="57"/>
    </row>
    <row r="1078">
      <c r="A1078" s="57"/>
      <c r="B1078" s="57"/>
      <c r="C1078" s="57"/>
      <c r="D1078" s="57"/>
      <c r="E1078" s="57"/>
      <c r="F1078" s="57"/>
      <c r="G1078" s="57"/>
      <c r="H1078" s="57"/>
      <c r="I1078" s="57"/>
      <c r="J1078" s="57"/>
      <c r="K1078" s="57"/>
      <c r="L1078" s="57"/>
      <c r="M1078" s="57"/>
      <c r="N1078" s="57"/>
      <c r="O1078" s="57"/>
      <c r="P1078" s="57"/>
      <c r="Q1078" s="57"/>
      <c r="R1078" s="57"/>
      <c r="S1078" s="57"/>
      <c r="T1078" s="57"/>
      <c r="U1078" s="57"/>
      <c r="V1078" s="57"/>
      <c r="W1078" s="57"/>
      <c r="X1078" s="57"/>
      <c r="Y1078" s="57"/>
      <c r="Z1078" s="57"/>
    </row>
    <row r="1079">
      <c r="A1079" s="57"/>
      <c r="B1079" s="57"/>
      <c r="C1079" s="57"/>
      <c r="D1079" s="57"/>
      <c r="E1079" s="57"/>
      <c r="F1079" s="57"/>
      <c r="G1079" s="57"/>
      <c r="H1079" s="57"/>
      <c r="I1079" s="57"/>
      <c r="J1079" s="57"/>
      <c r="K1079" s="57"/>
      <c r="L1079" s="57"/>
      <c r="M1079" s="57"/>
      <c r="N1079" s="57"/>
      <c r="O1079" s="57"/>
      <c r="P1079" s="57"/>
      <c r="Q1079" s="57"/>
      <c r="R1079" s="57"/>
      <c r="S1079" s="57"/>
      <c r="T1079" s="57"/>
      <c r="U1079" s="57"/>
      <c r="V1079" s="57"/>
      <c r="W1079" s="57"/>
      <c r="X1079" s="57"/>
      <c r="Y1079" s="57"/>
      <c r="Z1079" s="57"/>
    </row>
    <row r="1080">
      <c r="A1080" s="57"/>
      <c r="B1080" s="57"/>
      <c r="C1080" s="57"/>
      <c r="D1080" s="57"/>
      <c r="E1080" s="57"/>
      <c r="F1080" s="57"/>
      <c r="G1080" s="57"/>
      <c r="H1080" s="57"/>
      <c r="I1080" s="57"/>
      <c r="J1080" s="57"/>
      <c r="K1080" s="57"/>
      <c r="L1080" s="57"/>
      <c r="M1080" s="57"/>
      <c r="N1080" s="57"/>
      <c r="O1080" s="57"/>
      <c r="P1080" s="57"/>
      <c r="Q1080" s="57"/>
      <c r="R1080" s="57"/>
      <c r="S1080" s="57"/>
      <c r="T1080" s="57"/>
      <c r="U1080" s="57"/>
      <c r="V1080" s="57"/>
      <c r="W1080" s="57"/>
      <c r="X1080" s="57"/>
      <c r="Y1080" s="57"/>
      <c r="Z1080" s="57"/>
    </row>
    <row r="1081">
      <c r="A1081" s="57"/>
      <c r="B1081" s="57"/>
      <c r="C1081" s="57"/>
      <c r="D1081" s="57"/>
      <c r="E1081" s="57"/>
      <c r="F1081" s="57"/>
      <c r="G1081" s="57"/>
      <c r="H1081" s="57"/>
      <c r="I1081" s="57"/>
      <c r="J1081" s="57"/>
      <c r="K1081" s="57"/>
      <c r="L1081" s="57"/>
      <c r="M1081" s="57"/>
      <c r="N1081" s="57"/>
      <c r="O1081" s="57"/>
      <c r="P1081" s="57"/>
      <c r="Q1081" s="57"/>
      <c r="R1081" s="57"/>
      <c r="S1081" s="57"/>
      <c r="T1081" s="57"/>
      <c r="U1081" s="57"/>
      <c r="V1081" s="57"/>
      <c r="W1081" s="57"/>
      <c r="X1081" s="57"/>
      <c r="Y1081" s="57"/>
      <c r="Z1081" s="57"/>
    </row>
    <row r="1082">
      <c r="A1082" s="57"/>
      <c r="B1082" s="57"/>
      <c r="C1082" s="57"/>
      <c r="D1082" s="57"/>
      <c r="E1082" s="57"/>
      <c r="F1082" s="57"/>
      <c r="G1082" s="57"/>
      <c r="H1082" s="57"/>
      <c r="I1082" s="57"/>
      <c r="J1082" s="57"/>
      <c r="K1082" s="57"/>
      <c r="L1082" s="57"/>
      <c r="M1082" s="57"/>
      <c r="N1082" s="57"/>
      <c r="O1082" s="57"/>
      <c r="P1082" s="57"/>
      <c r="Q1082" s="57"/>
      <c r="R1082" s="57"/>
      <c r="S1082" s="57"/>
      <c r="T1082" s="57"/>
      <c r="U1082" s="57"/>
      <c r="V1082" s="57"/>
      <c r="W1082" s="57"/>
      <c r="X1082" s="57"/>
      <c r="Y1082" s="57"/>
      <c r="Z1082" s="57"/>
    </row>
    <row r="1083">
      <c r="A1083" s="57"/>
      <c r="B1083" s="57"/>
      <c r="C1083" s="57"/>
      <c r="D1083" s="57"/>
      <c r="E1083" s="57"/>
      <c r="F1083" s="57"/>
      <c r="G1083" s="57"/>
      <c r="H1083" s="57"/>
      <c r="I1083" s="57"/>
      <c r="J1083" s="57"/>
      <c r="K1083" s="57"/>
      <c r="L1083" s="57"/>
      <c r="M1083" s="57"/>
      <c r="N1083" s="57"/>
      <c r="O1083" s="57"/>
      <c r="P1083" s="57"/>
      <c r="Q1083" s="57"/>
      <c r="R1083" s="57"/>
      <c r="S1083" s="57"/>
      <c r="T1083" s="57"/>
      <c r="U1083" s="57"/>
      <c r="V1083" s="57"/>
      <c r="W1083" s="57"/>
      <c r="X1083" s="57"/>
      <c r="Y1083" s="57"/>
      <c r="Z1083" s="57"/>
    </row>
    <row r="1084">
      <c r="A1084" s="57"/>
      <c r="B1084" s="57"/>
      <c r="C1084" s="57"/>
      <c r="D1084" s="57"/>
      <c r="E1084" s="57"/>
      <c r="F1084" s="57"/>
      <c r="G1084" s="57"/>
      <c r="H1084" s="57"/>
      <c r="I1084" s="57"/>
      <c r="J1084" s="57"/>
      <c r="K1084" s="57"/>
      <c r="L1084" s="57"/>
      <c r="M1084" s="57"/>
      <c r="N1084" s="57"/>
      <c r="O1084" s="57"/>
      <c r="P1084" s="57"/>
      <c r="Q1084" s="57"/>
      <c r="R1084" s="57"/>
      <c r="S1084" s="57"/>
      <c r="T1084" s="57"/>
      <c r="U1084" s="57"/>
      <c r="V1084" s="57"/>
      <c r="W1084" s="57"/>
      <c r="X1084" s="57"/>
      <c r="Y1084" s="57"/>
      <c r="Z1084" s="57"/>
    </row>
    <row r="1085">
      <c r="A1085" s="57"/>
      <c r="B1085" s="57"/>
      <c r="C1085" s="57"/>
      <c r="D1085" s="57"/>
      <c r="E1085" s="57"/>
      <c r="F1085" s="57"/>
      <c r="G1085" s="57"/>
      <c r="H1085" s="57"/>
      <c r="I1085" s="57"/>
      <c r="J1085" s="57"/>
      <c r="K1085" s="57"/>
      <c r="L1085" s="57"/>
      <c r="M1085" s="57"/>
      <c r="N1085" s="57"/>
      <c r="O1085" s="57"/>
      <c r="P1085" s="57"/>
      <c r="Q1085" s="57"/>
      <c r="R1085" s="57"/>
      <c r="S1085" s="57"/>
      <c r="T1085" s="57"/>
      <c r="U1085" s="57"/>
      <c r="V1085" s="57"/>
      <c r="W1085" s="57"/>
      <c r="X1085" s="57"/>
      <c r="Y1085" s="57"/>
      <c r="Z1085" s="57"/>
    </row>
    <row r="1086">
      <c r="A1086" s="57"/>
      <c r="B1086" s="57"/>
      <c r="C1086" s="57"/>
      <c r="D1086" s="57"/>
      <c r="E1086" s="57"/>
      <c r="F1086" s="57"/>
      <c r="G1086" s="57"/>
      <c r="H1086" s="57"/>
      <c r="I1086" s="57"/>
      <c r="J1086" s="57"/>
      <c r="K1086" s="57"/>
      <c r="L1086" s="57"/>
      <c r="M1086" s="57"/>
      <c r="N1086" s="57"/>
      <c r="O1086" s="57"/>
      <c r="P1086" s="57"/>
      <c r="Q1086" s="57"/>
      <c r="R1086" s="57"/>
      <c r="S1086" s="57"/>
      <c r="T1086" s="57"/>
      <c r="U1086" s="57"/>
      <c r="V1086" s="57"/>
      <c r="W1086" s="57"/>
      <c r="X1086" s="57"/>
      <c r="Y1086" s="57"/>
      <c r="Z1086" s="57"/>
    </row>
    <row r="1087">
      <c r="A1087" s="57"/>
      <c r="B1087" s="57"/>
      <c r="C1087" s="57"/>
      <c r="D1087" s="57"/>
      <c r="E1087" s="57"/>
      <c r="F1087" s="57"/>
      <c r="G1087" s="57"/>
      <c r="H1087" s="57"/>
      <c r="I1087" s="57"/>
      <c r="J1087" s="57"/>
      <c r="K1087" s="57"/>
      <c r="L1087" s="57"/>
      <c r="M1087" s="57"/>
      <c r="N1087" s="57"/>
      <c r="O1087" s="57"/>
      <c r="P1087" s="57"/>
      <c r="Q1087" s="57"/>
      <c r="R1087" s="57"/>
      <c r="S1087" s="57"/>
      <c r="T1087" s="57"/>
      <c r="U1087" s="57"/>
      <c r="V1087" s="57"/>
      <c r="W1087" s="57"/>
      <c r="X1087" s="57"/>
      <c r="Y1087" s="57"/>
      <c r="Z1087" s="57"/>
    </row>
    <row r="1088">
      <c r="A1088" s="57"/>
      <c r="B1088" s="57"/>
      <c r="C1088" s="57"/>
      <c r="D1088" s="57"/>
      <c r="E1088" s="57"/>
      <c r="F1088" s="57"/>
      <c r="G1088" s="57"/>
      <c r="H1088" s="57"/>
      <c r="I1088" s="57"/>
      <c r="J1088" s="57"/>
      <c r="K1088" s="57"/>
      <c r="L1088" s="57"/>
      <c r="M1088" s="57"/>
      <c r="N1088" s="57"/>
      <c r="O1088" s="57"/>
      <c r="P1088" s="57"/>
      <c r="Q1088" s="57"/>
      <c r="R1088" s="57"/>
      <c r="S1088" s="57"/>
      <c r="T1088" s="57"/>
      <c r="U1088" s="57"/>
      <c r="V1088" s="57"/>
      <c r="W1088" s="57"/>
      <c r="X1088" s="57"/>
      <c r="Y1088" s="57"/>
      <c r="Z1088" s="57"/>
    </row>
    <row r="1089">
      <c r="A1089" s="57"/>
      <c r="B1089" s="57"/>
      <c r="C1089" s="57"/>
      <c r="D1089" s="57"/>
      <c r="E1089" s="57"/>
      <c r="F1089" s="57"/>
      <c r="G1089" s="57"/>
      <c r="H1089" s="57"/>
      <c r="I1089" s="57"/>
      <c r="J1089" s="57"/>
      <c r="K1089" s="57"/>
      <c r="L1089" s="57"/>
      <c r="M1089" s="57"/>
      <c r="N1089" s="57"/>
      <c r="O1089" s="57"/>
      <c r="P1089" s="57"/>
      <c r="Q1089" s="57"/>
      <c r="R1089" s="57"/>
      <c r="S1089" s="57"/>
      <c r="T1089" s="57"/>
      <c r="U1089" s="57"/>
      <c r="V1089" s="57"/>
      <c r="W1089" s="57"/>
      <c r="X1089" s="57"/>
      <c r="Y1089" s="57"/>
      <c r="Z1089" s="57"/>
    </row>
    <row r="1090">
      <c r="A1090" s="57"/>
      <c r="B1090" s="57"/>
      <c r="C1090" s="57"/>
      <c r="D1090" s="57"/>
      <c r="E1090" s="57"/>
      <c r="F1090" s="57"/>
      <c r="G1090" s="57"/>
      <c r="H1090" s="57"/>
      <c r="I1090" s="57"/>
      <c r="J1090" s="57"/>
      <c r="K1090" s="57"/>
      <c r="L1090" s="57"/>
      <c r="M1090" s="57"/>
      <c r="N1090" s="57"/>
      <c r="O1090" s="57"/>
      <c r="P1090" s="57"/>
      <c r="Q1090" s="57"/>
      <c r="R1090" s="57"/>
      <c r="S1090" s="57"/>
      <c r="T1090" s="57"/>
      <c r="U1090" s="57"/>
      <c r="V1090" s="57"/>
      <c r="W1090" s="57"/>
      <c r="X1090" s="57"/>
      <c r="Y1090" s="57"/>
      <c r="Z1090" s="57"/>
    </row>
    <row r="1091">
      <c r="A1091" s="57"/>
      <c r="B1091" s="57"/>
      <c r="C1091" s="57"/>
      <c r="D1091" s="57"/>
      <c r="E1091" s="57"/>
      <c r="F1091" s="57"/>
      <c r="G1091" s="57"/>
      <c r="H1091" s="57"/>
      <c r="I1091" s="57"/>
      <c r="J1091" s="57"/>
      <c r="K1091" s="57"/>
      <c r="L1091" s="57"/>
      <c r="M1091" s="57"/>
      <c r="N1091" s="57"/>
      <c r="O1091" s="57"/>
      <c r="P1091" s="57"/>
      <c r="Q1091" s="57"/>
      <c r="R1091" s="57"/>
      <c r="S1091" s="57"/>
      <c r="T1091" s="57"/>
      <c r="U1091" s="57"/>
      <c r="V1091" s="57"/>
      <c r="W1091" s="57"/>
      <c r="X1091" s="57"/>
      <c r="Y1091" s="57"/>
      <c r="Z1091" s="57"/>
    </row>
    <row r="1092">
      <c r="A1092" s="57"/>
      <c r="B1092" s="57"/>
      <c r="C1092" s="57"/>
      <c r="D1092" s="57"/>
      <c r="E1092" s="57"/>
      <c r="F1092" s="57"/>
      <c r="G1092" s="57"/>
      <c r="H1092" s="57"/>
      <c r="I1092" s="57"/>
      <c r="J1092" s="57"/>
      <c r="K1092" s="57"/>
      <c r="L1092" s="57"/>
      <c r="M1092" s="57"/>
      <c r="N1092" s="57"/>
      <c r="O1092" s="57"/>
      <c r="P1092" s="57"/>
      <c r="Q1092" s="57"/>
      <c r="R1092" s="57"/>
      <c r="S1092" s="57"/>
      <c r="T1092" s="57"/>
      <c r="U1092" s="57"/>
      <c r="V1092" s="57"/>
      <c r="W1092" s="57"/>
      <c r="X1092" s="57"/>
      <c r="Y1092" s="57"/>
      <c r="Z1092" s="57"/>
    </row>
    <row r="1093">
      <c r="A1093" s="57"/>
      <c r="B1093" s="57"/>
      <c r="C1093" s="57"/>
      <c r="D1093" s="57"/>
      <c r="E1093" s="57"/>
      <c r="F1093" s="57"/>
      <c r="G1093" s="57"/>
      <c r="H1093" s="57"/>
      <c r="I1093" s="57"/>
      <c r="J1093" s="57"/>
      <c r="K1093" s="57"/>
      <c r="L1093" s="57"/>
      <c r="M1093" s="57"/>
      <c r="N1093" s="57"/>
      <c r="O1093" s="57"/>
      <c r="P1093" s="57"/>
      <c r="Q1093" s="57"/>
      <c r="R1093" s="57"/>
      <c r="S1093" s="57"/>
      <c r="T1093" s="57"/>
      <c r="U1093" s="57"/>
      <c r="V1093" s="57"/>
      <c r="W1093" s="57"/>
      <c r="X1093" s="57"/>
      <c r="Y1093" s="57"/>
      <c r="Z1093" s="57"/>
    </row>
    <row r="1094">
      <c r="A1094" s="57"/>
      <c r="B1094" s="57"/>
      <c r="C1094" s="57"/>
      <c r="D1094" s="57"/>
      <c r="E1094" s="57"/>
      <c r="F1094" s="57"/>
      <c r="G1094" s="57"/>
      <c r="H1094" s="57"/>
      <c r="I1094" s="57"/>
      <c r="J1094" s="57"/>
      <c r="K1094" s="57"/>
      <c r="L1094" s="57"/>
      <c r="M1094" s="57"/>
      <c r="N1094" s="57"/>
      <c r="O1094" s="57"/>
      <c r="P1094" s="57"/>
      <c r="Q1094" s="57"/>
      <c r="R1094" s="57"/>
      <c r="S1094" s="57"/>
      <c r="T1094" s="57"/>
      <c r="U1094" s="57"/>
      <c r="V1094" s="57"/>
      <c r="W1094" s="57"/>
      <c r="X1094" s="57"/>
      <c r="Y1094" s="57"/>
      <c r="Z1094" s="57"/>
    </row>
    <row r="1095">
      <c r="A1095" s="57"/>
      <c r="B1095" s="57"/>
      <c r="C1095" s="57"/>
      <c r="D1095" s="57"/>
      <c r="E1095" s="57"/>
      <c r="F1095" s="57"/>
      <c r="G1095" s="57"/>
      <c r="H1095" s="57"/>
      <c r="I1095" s="57"/>
      <c r="J1095" s="57"/>
      <c r="K1095" s="57"/>
      <c r="L1095" s="57"/>
      <c r="M1095" s="57"/>
      <c r="N1095" s="57"/>
      <c r="O1095" s="57"/>
      <c r="P1095" s="57"/>
      <c r="Q1095" s="57"/>
      <c r="R1095" s="57"/>
      <c r="S1095" s="57"/>
      <c r="T1095" s="57"/>
      <c r="U1095" s="57"/>
      <c r="V1095" s="57"/>
      <c r="W1095" s="57"/>
      <c r="X1095" s="57"/>
      <c r="Y1095" s="57"/>
      <c r="Z1095" s="57"/>
    </row>
    <row r="1096">
      <c r="A1096" s="57"/>
      <c r="B1096" s="57"/>
      <c r="C1096" s="57"/>
      <c r="D1096" s="57"/>
      <c r="E1096" s="57"/>
      <c r="F1096" s="57"/>
      <c r="G1096" s="57"/>
      <c r="H1096" s="57"/>
      <c r="I1096" s="57"/>
      <c r="J1096" s="57"/>
      <c r="K1096" s="57"/>
      <c r="L1096" s="57"/>
      <c r="M1096" s="57"/>
      <c r="N1096" s="57"/>
      <c r="O1096" s="57"/>
      <c r="P1096" s="57"/>
      <c r="Q1096" s="57"/>
      <c r="R1096" s="57"/>
      <c r="S1096" s="57"/>
      <c r="T1096" s="57"/>
      <c r="U1096" s="57"/>
      <c r="V1096" s="57"/>
      <c r="W1096" s="57"/>
      <c r="X1096" s="57"/>
      <c r="Y1096" s="57"/>
      <c r="Z1096" s="57"/>
    </row>
    <row r="1097">
      <c r="A1097" s="57"/>
      <c r="B1097" s="57"/>
      <c r="C1097" s="57"/>
      <c r="D1097" s="57"/>
      <c r="E1097" s="57"/>
      <c r="F1097" s="57"/>
      <c r="G1097" s="57"/>
      <c r="H1097" s="57"/>
      <c r="I1097" s="57"/>
      <c r="J1097" s="57"/>
      <c r="K1097" s="57"/>
      <c r="L1097" s="57"/>
      <c r="M1097" s="57"/>
      <c r="N1097" s="57"/>
      <c r="O1097" s="57"/>
      <c r="P1097" s="57"/>
      <c r="Q1097" s="57"/>
      <c r="R1097" s="57"/>
      <c r="S1097" s="57"/>
      <c r="T1097" s="57"/>
      <c r="U1097" s="57"/>
      <c r="V1097" s="57"/>
      <c r="W1097" s="57"/>
      <c r="X1097" s="57"/>
      <c r="Y1097" s="57"/>
      <c r="Z1097" s="57"/>
    </row>
    <row r="1098">
      <c r="A1098" s="57"/>
      <c r="B1098" s="57"/>
      <c r="C1098" s="57"/>
      <c r="D1098" s="57"/>
      <c r="E1098" s="57"/>
      <c r="F1098" s="57"/>
      <c r="G1098" s="57"/>
      <c r="H1098" s="57"/>
      <c r="I1098" s="57"/>
      <c r="J1098" s="57"/>
      <c r="K1098" s="57"/>
      <c r="L1098" s="57"/>
      <c r="M1098" s="57"/>
      <c r="N1098" s="57"/>
      <c r="O1098" s="57"/>
      <c r="P1098" s="57"/>
      <c r="Q1098" s="57"/>
      <c r="R1098" s="57"/>
      <c r="S1098" s="57"/>
      <c r="T1098" s="57"/>
      <c r="U1098" s="57"/>
      <c r="V1098" s="57"/>
      <c r="W1098" s="57"/>
      <c r="X1098" s="57"/>
      <c r="Y1098" s="57"/>
      <c r="Z1098" s="57"/>
    </row>
    <row r="1099">
      <c r="A1099" s="57"/>
      <c r="B1099" s="57"/>
      <c r="C1099" s="57"/>
      <c r="D1099" s="57"/>
      <c r="E1099" s="57"/>
      <c r="F1099" s="57"/>
      <c r="G1099" s="57"/>
      <c r="H1099" s="57"/>
      <c r="I1099" s="57"/>
      <c r="J1099" s="57"/>
      <c r="K1099" s="57"/>
      <c r="L1099" s="57"/>
      <c r="M1099" s="57"/>
      <c r="N1099" s="57"/>
      <c r="O1099" s="57"/>
      <c r="P1099" s="57"/>
      <c r="Q1099" s="57"/>
      <c r="R1099" s="57"/>
      <c r="S1099" s="57"/>
      <c r="T1099" s="57"/>
      <c r="U1099" s="57"/>
      <c r="V1099" s="57"/>
      <c r="W1099" s="57"/>
      <c r="X1099" s="57"/>
      <c r="Y1099" s="57"/>
      <c r="Z1099" s="57"/>
    </row>
    <row r="1100">
      <c r="A1100" s="57"/>
      <c r="B1100" s="57"/>
      <c r="C1100" s="57"/>
      <c r="D1100" s="57"/>
      <c r="E1100" s="57"/>
      <c r="F1100" s="57"/>
      <c r="G1100" s="57"/>
      <c r="H1100" s="57"/>
      <c r="I1100" s="57"/>
      <c r="J1100" s="57"/>
      <c r="K1100" s="57"/>
      <c r="L1100" s="57"/>
      <c r="M1100" s="57"/>
      <c r="N1100" s="57"/>
      <c r="O1100" s="57"/>
      <c r="P1100" s="57"/>
      <c r="Q1100" s="57"/>
      <c r="R1100" s="57"/>
      <c r="S1100" s="57"/>
      <c r="T1100" s="57"/>
      <c r="U1100" s="57"/>
      <c r="V1100" s="57"/>
      <c r="W1100" s="57"/>
      <c r="X1100" s="57"/>
      <c r="Y1100" s="57"/>
      <c r="Z1100" s="57"/>
    </row>
  </sheetData>
  <drawing r:id="rId1"/>
  <tableParts count="1">
    <tablePart r:id="rId3"/>
  </tableParts>
</worksheet>
</file>